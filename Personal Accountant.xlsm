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8000" windowWidth="25200" windowHeight="12015" tabRatio="907" firstSheet="19" activeTab="2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2" i="4" l="1"/>
  <c r="S71" i="4"/>
  <c r="E4" i="24" l="1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F5" i="1" l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G23" i="18"/>
  <c r="Q32" i="18"/>
  <c r="S5" i="18"/>
  <c r="T14" i="18"/>
  <c r="AA32" i="18"/>
  <c r="U32" i="18"/>
  <c r="T5" i="18"/>
  <c r="S32" i="18"/>
  <c r="T32" i="18"/>
  <c r="P23" i="18"/>
  <c r="J23" i="18"/>
  <c r="AA14" i="18"/>
  <c r="G5" i="18"/>
  <c r="AA23" i="18"/>
  <c r="Z23" i="18"/>
  <c r="I32" i="18"/>
  <c r="F32" i="18"/>
  <c r="Q14" i="18"/>
  <c r="I23" i="18"/>
  <c r="P32" i="18"/>
  <c r="P5" i="18"/>
  <c r="F14" i="18"/>
  <c r="F23" i="18"/>
  <c r="G32" i="18"/>
  <c r="P14" i="18"/>
  <c r="AB14" i="18"/>
  <c r="R32" i="18"/>
  <c r="H23" i="18"/>
  <c r="Z14" i="18"/>
  <c r="Z32" i="18"/>
  <c r="R5" i="18"/>
  <c r="S14" i="18"/>
  <c r="U14" i="18"/>
  <c r="Q5" i="18"/>
  <c r="Z5" i="18"/>
  <c r="AB32" i="18"/>
  <c r="F5" i="18"/>
  <c r="G14" i="18"/>
  <c r="H32" i="18"/>
  <c r="R14" i="18"/>
  <c r="J32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A5" i="18"/>
  <c r="AC32" i="18"/>
  <c r="Q23" i="18"/>
  <c r="R23" i="18" s="1"/>
  <c r="V32" i="18"/>
  <c r="V14" i="18"/>
  <c r="AD32" i="18"/>
  <c r="K32" i="18"/>
  <c r="H5" i="18"/>
  <c r="AB5" i="18"/>
  <c r="U5" i="18"/>
  <c r="K23" i="18"/>
  <c r="V5" i="18"/>
  <c r="AC14" i="18"/>
  <c r="H14" i="18"/>
  <c r="AB23" i="18"/>
  <c r="AD14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AE32" i="18"/>
  <c r="L23" i="18"/>
  <c r="AC5" i="18"/>
  <c r="S23" i="18"/>
  <c r="L32" i="18"/>
  <c r="I14" i="18"/>
  <c r="I5" i="18"/>
  <c r="AC23" i="18"/>
  <c r="AE14" i="18"/>
  <c r="F33" i="18" l="1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I9" i="3"/>
  <c r="I10" i="3"/>
  <c r="I11" i="3"/>
  <c r="I12" i="3"/>
  <c r="I13" i="3"/>
  <c r="H9" i="3"/>
  <c r="H10" i="3"/>
  <c r="H11" i="3"/>
  <c r="H12" i="3"/>
  <c r="H13" i="3"/>
  <c r="E3" i="1"/>
  <c r="C3" i="1"/>
  <c r="AD5" i="18"/>
  <c r="T23" i="18"/>
  <c r="AF32" i="18"/>
  <c r="J14" i="18"/>
  <c r="AF14" i="18"/>
  <c r="J5" i="18"/>
  <c r="AD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J10" i="3"/>
  <c r="K10" i="3" s="1"/>
  <c r="J12" i="3"/>
  <c r="K12" i="3" s="1"/>
  <c r="J13" i="3"/>
  <c r="K13" i="3" s="1"/>
  <c r="H14" i="3"/>
  <c r="J9" i="3"/>
  <c r="K9" i="3" s="1"/>
  <c r="J11" i="3"/>
  <c r="K11" i="3" s="1"/>
  <c r="I14" i="3"/>
  <c r="R8" i="22"/>
  <c r="R7" i="22"/>
  <c r="R6" i="22"/>
  <c r="AE23" i="18"/>
  <c r="K14" i="18"/>
  <c r="AE5" i="18"/>
  <c r="K5" i="18"/>
  <c r="U23" i="18"/>
  <c r="J14" i="3" l="1"/>
  <c r="I3" i="1" s="1"/>
  <c r="L5" i="18"/>
  <c r="V23" i="18"/>
  <c r="AF23" i="18"/>
  <c r="AF5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G14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<sst xmlns="http://schemas.openxmlformats.org/spreadsheetml/2006/main" count="1391" uniqueCount="956">
  <si>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</si>
  <si>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</si>
  <si>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</si>
  <si>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</si>
  <si>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</si>
  <si>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</si>
  <si>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</si>
  <si>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</si>
  <si>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</si>
  <si>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</si>
  <si>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</si>
  <si>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</si>
  <si>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</si>
  <si>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</si>
  <si>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</si>
  <si>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</si>
  <si>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</si>
  <si>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</si>
  <si>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</si>
  <si>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</si>
  <si>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</si>
  <si>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</si>
  <si>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</si>
  <si>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</si>
  <si>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</si>
  <si>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</si>
  <si>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</si>
  <si>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</si>
  <si>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</si>
  <si>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</si>
  <si>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</si>
  <si>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</si>
  <si>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</si>
  <si>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</si>
  <si>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</si>
  <si>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</si>
  <si>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</si>
  <si>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</si>
  <si>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</si>
  <si>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</si>
  <si>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</si>
  <si>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</si>
  <si>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</si>
  <si>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</si>
  <si>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</si>
  <si>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</si>
  <si>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</si>
  <si>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</si>
  <si>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</si>
  <si>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</si>
  <si>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</si>
  <si>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</si>
  <si>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</si>
  <si>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</si>
  <si>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</si>
  <si>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</si>
  <si>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</si>
  <si>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</si>
  <si>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</si>
  <si>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</si>
  <si>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</si>
  <si>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</si>
  <si>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</si>
  <si>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</si>
  <si>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</si>
  <si>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</si>
  <si>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</si>
  <si>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</si>
  <si>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</si>
  <si>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</si>
  <si>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</si>
  <si>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</si>
  <si>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</si>
  <si>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</si>
  <si>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</si>
  <si>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</si>
  <si>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</si>
  <si>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</si>
  <si>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</si>
  <si>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</si>
  <si>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</si>
  <si>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</si>
  <si>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</si>
  <si>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</si>
  <si>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</si>
  <si>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</si>
  <si>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</si>
  <si>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</si>
  <si>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</si>
  <si>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</si>
  <si>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</si>
  <si>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</si>
  <si>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</si>
  <si>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</si>
  <si>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</si>
  <si>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</si>
  <si>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</si>
  <si>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</si>
  <si>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</si>
  <si>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</si>
  <si>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</si>
  <si>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</si>
  <si>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</si>
  <si>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</si>
  <si>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</si>
  <si>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</si>
  <si>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</si>
  <si>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</si>
  <si>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</si>
  <si>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</si>
  <si>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</si>
  <si>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</si>
  <si>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</si>
  <si>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</si>
  <si>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</si>
  <si>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</si>
  <si>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</si>
  <si>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</si>
  <si>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</si>
  <si>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</si>
  <si>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</si>
  <si>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</si>
  <si>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</si>
  <si>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</si>
  <si>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</si>
  <si>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</si>
  <si>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</si>
  <si>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</si>
  <si>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</si>
  <si>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</si>
  <si>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</si>
  <si>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</si>
  <si>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</si>
  <si>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</si>
  <si>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</si>
  <si>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</si>
  <si>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</si>
  <si>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</si>
  <si>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</si>
  <si>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</si>
  <si>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</si>
  <si>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</si>
  <si>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</si>
  <si>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</si>
  <si>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</si>
  <si>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</si>
  <si>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</si>
  <si>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</si>
  <si>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</si>
  <si>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</si>
  <si>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</si>
  <si>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</si>
  <si>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</si>
  <si>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</si>
  <si>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</si>
  <si>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</si>
  <si>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</si>
  <si>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</si>
  <si>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</si>
  <si>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</si>
  <si>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</si>
  <si>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</si>
  <si>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</si>
  <si>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</si>
  <si>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</si>
  <si>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</si>
  <si>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</si>
  <si>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</si>
  <si>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</si>
  <si>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</si>
  <si>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</si>
  <si>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</si>
  <si>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</si>
  <si>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</si>
  <si>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</si>
  <si>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</si>
  <si>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</si>
  <si>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</si>
  <si>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</si>
  <si>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</si>
  <si>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</si>
  <si>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</si>
  <si>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</si>
  <si>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</si>
  <si>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</si>
  <si>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</si>
  <si>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</si>
  <si>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</si>
  <si>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</si>
  <si>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</si>
  <si>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</si>
  <si>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</si>
  <si>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</si>
  <si>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</si>
  <si>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</si>
  <si>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</si>
  <si>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</si>
  <si>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</si>
  <si>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</si>
  <si>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</si>
  <si>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</si>
  <si>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</si>
  <si>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</si>
  <si>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</si>
  <si>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</si>
  <si>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</si>
  <si>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</si>
  <si>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</si>
  <si>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</si>
  <si>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</si>
  <si>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</si>
  <si>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</si>
  <si>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</si>
  <si>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</si>
  <si>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</si>
  <si>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</si>
  <si>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</si>
  <si>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</si>
  <si>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</si>
  <si>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</si>
  <si>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</si>
  <si>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</si>
  <si>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</si>
  <si>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</si>
  <si>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</si>
  <si>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</si>
  <si>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</si>
  <si>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</si>
  <si>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</si>
  <si>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</si>
  <si>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</si>
  <si>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</si>
  <si>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</si>
  <si>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</si>
  <si>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</si>
  <si>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</si>
  <si>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</si>
  <si>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</si>
  <si>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</si>
  <si>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</si>
  <si>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</si>
  <si>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</si>
  <si>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</si>
  <si>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</si>
  <si>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</si>
  <si>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</si>
  <si>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</si>
  <si>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</si>
  <si>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</si>
  <si>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</si>
  <si>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</si>
  <si>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</si>
  <si>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</si>
  <si>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</si>
  <si>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</si>
  <si>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</si>
  <si>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</si>
  <si>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</si>
  <si>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</si>
  <si>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</si>
  <si>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</si>
  <si>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</si>
  <si>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</si>
  <si>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</si>
  <si>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</si>
  <si>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</si>
  <si>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</si>
  <si>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</si>
  <si>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</si>
  <si>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</si>
  <si>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</si>
  <si>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</si>
  <si>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</si>
  <si>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</si>
  <si>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</si>
  <si>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</si>
  <si>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</si>
  <si>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</si>
  <si>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</si>
  <si>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</si>
  <si>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</si>
  <si>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</si>
  <si>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</si>
  <si>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</si>
  <si>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</si>
  <si>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</si>
  <si>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</si>
  <si>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</si>
  <si>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</si>
  <si>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</si>
  <si>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</si>
  <si>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</si>
  <si>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</si>
  <si>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</si>
  <si>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</si>
  <si>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</si>
  <si>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</si>
  <si>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</si>
  <si>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</si>
  <si>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</si>
  <si>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</si>
  <si>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</si>
  <si>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</si>
  <si>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</si>
  <si>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</si>
  <si>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</si>
  <si>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</si>
  <si>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</si>
  <si>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</si>
  <si>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</si>
  <si>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</si>
  <si>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</si>
  <si>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</si>
  <si>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</si>
  <si>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</si>
  <si>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</si>
  <si>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</si>
  <si>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</si>
  <si>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</si>
  <si>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</si>
  <si>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</si>
  <si>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</si>
  <si>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</si>
  <si>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</si>
  <si>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</si>
  <si>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</si>
  <si>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</si>
  <si>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</si>
  <si>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</si>
  <si>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</si>
  <si>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</si>
  <si>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</si>
  <si>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</si>
  <si>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</si>
  <si>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</si>
  <si>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</si>
  <si>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</si>
  <si>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</si>
  <si>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</si>
  <si>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</si>
  <si>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</si>
  <si>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</si>
  <si>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</si>
  <si>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</si>
  <si>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</si>
  <si>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</si>
  <si>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</si>
  <si>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</si>
  <si>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</si>
  <si>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</si>
  <si>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</si>
  <si>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</si>
  <si>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</si>
  <si>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</si>
  <si>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</si>
  <si>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</si>
  <si>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</si>
  <si>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</si>
  <si>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</si>
  <si>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</si>
  <si>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</si>
  <si>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</si>
  <si>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</si>
  <si>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</si>
  <si>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</si>
  <si>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</si>
  <si>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</si>
  <si>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</si>
  <si>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</si>
  <si>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</si>
  <si>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</si>
  <si>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</si>
  <si>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</si>
  <si>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</si>
  <si>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</si>
  <si>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</si>
  <si>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</si>
  <si>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</si>
  <si>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</si>
  <si>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</si>
  <si>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</si>
  <si>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</si>
  <si>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</si>
  <si>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</si>
  <si>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</si>
  <si>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</si>
  <si>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</si>
  <si>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</si>
  <si>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</si>
  <si>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</si>
  <si>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</si>
  <si>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</si>
  <si>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</si>
  <si>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</si>
  <si>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</si>
  <si>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</si>
  <si>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</si>
  <si>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</si>
  <si>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</si>
  <si>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</si>
  <si>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</si>
  <si>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</si>
  <si>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</si>
  <si>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</si>
  <si>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</si>
  <si>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</si>
  <si>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</si>
  <si>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</si>
  <si>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شعبه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</si>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</sst>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</numFmts>
  <fonts count="3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name val="B Nazanin"/>
      <charset val="178"/>
    </font>
    <font>
      <sz val="12"/>
      <name val="Arial"/>
      <family val="2"/>
    </font>
    <font>
      <b/>
      <sz val="14"/>
      <color theme="0"/>
      <name val="B Nazanin"/>
      <charset val="178"/>
    </font>
    <font>
      <b/>
      <sz val="11"/>
      <color theme="0"/>
      <name val="B Nazanin"/>
      <charset val="178"/>
    </font>
    <font>
      <sz val="11"/>
      <color theme="1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225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0" fontId="0" fillId="0" borderId="0" xfId="0" applyNumberFormat="1"/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1" fillId="18" borderId="0" xfId="0" applyFont="1" applyFill="1" applyAlignment="1">
      <alignment horizontal="center" vertical="center" wrapText="1" readingOrder="2"/>
    </xf>
    <xf numFmtId="0" fontId="9" fillId="18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4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7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0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29" borderId="0" xfId="0" applyFont="1" applyFill="1" applyAlignment="1">
      <alignment horizontal="center" vertical="center" wrapText="1" readingOrder="2"/>
    </xf>
    <xf numFmtId="0" fontId="21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20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24" fillId="17" borderId="0" xfId="0" applyFont="1" applyFill="1" applyAlignment="1">
      <alignment horizontal="center" vertical="center" wrapText="1" readingOrder="2"/>
    </xf>
    <xf numFmtId="0" fontId="25" fillId="17" borderId="0" xfId="0" applyFont="1" applyFill="1"/>
    <xf numFmtId="0" fontId="0" fillId="17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1" borderId="0" xfId="0" applyFont="1" applyFill="1" applyAlignment="1">
      <alignment horizontal="center" vertical="center" wrapText="1" readingOrder="2"/>
    </xf>
    <xf numFmtId="0" fontId="25" fillId="31" borderId="0" xfId="0" applyFont="1" applyFill="1"/>
    <xf numFmtId="0" fontId="0" fillId="31" borderId="0" xfId="0" applyFill="1"/>
    <xf numFmtId="0" fontId="17" fillId="32" borderId="0" xfId="1" applyFont="1" applyFill="1" applyAlignment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readingOrder="2"/>
    </xf>
    <xf numFmtId="0" fontId="5" fillId="15" borderId="0" xfId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readingOrder="2"/>
    </xf>
    <xf numFmtId="0" fontId="4" fillId="9" borderId="0" xfId="0" applyFont="1" applyFill="1" applyAlignment="1" applyProtection="1">
      <alignment horizontal="center" vertical="center" readingOrder="2"/>
    </xf>
    <xf numFmtId="0" fontId="8" fillId="16" borderId="0" xfId="0" applyFont="1" applyFill="1" applyAlignment="1" applyProtection="1">
      <alignment horizontal="center" vertical="center" readingOrder="2"/>
    </xf>
    <xf numFmtId="0" fontId="8" fillId="9" borderId="0" xfId="0" applyFont="1" applyFill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readingOrder="2"/>
    </xf>
    <xf numFmtId="0" fontId="9" fillId="9" borderId="0" xfId="0" applyFont="1" applyFill="1" applyAlignment="1" applyProtection="1">
      <alignment horizontal="center" vertical="center" readingOrder="2"/>
    </xf>
    <xf numFmtId="0" fontId="18" fillId="0" borderId="0" xfId="0" applyFont="1" applyAlignment="1" applyProtection="1">
      <alignment horizontal="center" vertical="center" readingOrder="2"/>
    </xf>
    <xf numFmtId="0" fontId="18" fillId="9" borderId="0" xfId="0" applyFont="1" applyFill="1" applyAlignment="1" applyProtection="1">
      <alignment horizontal="center" vertical="center" readingOrder="2"/>
    </xf>
    <xf numFmtId="0" fontId="0" fillId="9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9" borderId="0" xfId="0" applyNumberFormat="1" applyFill="1" applyAlignment="1" applyProtection="1">
      <alignment horizontal="center" readingOrder="2"/>
    </xf>
    <xf numFmtId="49" fontId="0" fillId="0" borderId="0" xfId="0" applyNumberFormat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0" fillId="9" borderId="0" xfId="0" applyFont="1" applyFill="1" applyAlignment="1" applyProtection="1">
      <alignment vertical="center"/>
    </xf>
    <xf numFmtId="0" fontId="20" fillId="20" borderId="0" xfId="0" applyFont="1" applyFill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3" fillId="9" borderId="0" xfId="0" applyFont="1" applyFill="1" applyAlignment="1" applyProtection="1">
      <alignment horizontal="center" vertical="center"/>
    </xf>
    <xf numFmtId="49" fontId="0" fillId="9" borderId="0" xfId="0" applyNumberFormat="1" applyFill="1" applyAlignment="1" applyProtection="1">
      <alignment horizontal="center" vertical="center" readingOrder="2"/>
    </xf>
    <xf numFmtId="0" fontId="20" fillId="35" borderId="0" xfId="0" applyFont="1" applyFill="1" applyAlignment="1" applyProtection="1">
      <alignment vertical="center"/>
    </xf>
    <xf numFmtId="0" fontId="25" fillId="35" borderId="0" xfId="0" applyFont="1" applyFill="1" applyProtection="1"/>
    <xf numFmtId="0" fontId="0" fillId="35" borderId="0" xfId="0" applyFill="1" applyProtection="1"/>
    <xf numFmtId="0" fontId="5" fillId="9" borderId="0" xfId="1" applyFont="1" applyFill="1" applyBorder="1" applyAlignment="1" applyProtection="1">
      <alignment horizontal="center" vertical="center"/>
    </xf>
    <xf numFmtId="0" fontId="6" fillId="9" borderId="0" xfId="1" applyFont="1" applyFill="1" applyBorder="1" applyAlignment="1" applyProtection="1">
      <alignment horizontal="center" vertical="center"/>
    </xf>
    <xf numFmtId="0" fontId="29" fillId="18" borderId="0" xfId="0" applyFont="1" applyFill="1" applyAlignment="1">
      <alignment horizontal="center" vertical="center" wrapText="1" readingOrder="2"/>
    </xf>
    <xf numFmtId="165" fontId="9" fillId="9" borderId="0" xfId="0" applyNumberFormat="1" applyFont="1" applyFill="1" applyAlignment="1">
      <alignment horizontal="center" vertical="center" wrapText="1" readingOrder="2"/>
    </xf>
    <xf numFmtId="0" fontId="12" fillId="9" borderId="0" xfId="0" applyFont="1" applyFill="1" applyAlignment="1">
      <alignment horizontal="center" vertical="center" wrapText="1" readingOrder="2"/>
    </xf>
    <xf numFmtId="49" fontId="13" fillId="9" borderId="0" xfId="0" applyNumberFormat="1" applyFont="1" applyFill="1" applyAlignment="1">
      <alignment horizontal="center" vertical="center" wrapText="1"/>
    </xf>
    <xf numFmtId="49" fontId="13" fillId="9" borderId="0" xfId="0" applyNumberFormat="1" applyFont="1" applyFill="1" applyAlignment="1">
      <alignment horizontal="center" vertical="center" wrapText="1" readingOrder="2"/>
    </xf>
    <xf numFmtId="0" fontId="11" fillId="9" borderId="0" xfId="0" applyFont="1" applyFill="1" applyAlignment="1">
      <alignment horizontal="center" vertical="center" wrapText="1" readingOrder="2"/>
    </xf>
    <xf numFmtId="0" fontId="10" fillId="9" borderId="0" xfId="0" applyFont="1" applyFill="1" applyAlignment="1">
      <alignment horizontal="center" vertical="center" wrapText="1" readingOrder="2"/>
    </xf>
    <xf numFmtId="49" fontId="11" fillId="9" borderId="0" xfId="0" applyNumberFormat="1" applyFont="1" applyFill="1" applyAlignment="1">
      <alignment horizontal="center" vertical="center" wrapText="1"/>
    </xf>
    <xf numFmtId="49" fontId="11" fillId="9" borderId="0" xfId="0" applyNumberFormat="1" applyFont="1" applyFill="1" applyAlignment="1">
      <alignment horizontal="center" vertical="center" wrapText="1" readingOrder="2"/>
    </xf>
    <xf numFmtId="0" fontId="21" fillId="9" borderId="0" xfId="0" applyFont="1" applyFill="1" applyAlignment="1">
      <alignment vertical="center"/>
    </xf>
    <xf numFmtId="0" fontId="28" fillId="20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20" fillId="20" borderId="0" xfId="0" applyFont="1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0" xfId="0" applyFill="1"/>
    <xf numFmtId="0" fontId="0" fillId="35" borderId="0" xfId="0" applyFill="1" applyAlignment="1"/>
    <xf numFmtId="0" fontId="0" fillId="9" borderId="0" xfId="0" applyFill="1" applyAlignment="1">
      <alignment horizontal="center" vertical="center" wrapText="1"/>
    </xf>
    <xf numFmtId="0" fontId="32" fillId="9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1" fillId="22" borderId="4" xfId="0" applyFont="1" applyFill="1" applyBorder="1" applyAlignment="1">
      <alignment horizontal="center" vertical="center" wrapText="1"/>
    </xf>
    <xf numFmtId="0" fontId="2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21" fillId="9" borderId="0" xfId="0" applyFont="1" applyFill="1" applyAlignment="1">
      <alignment vertical="center" wrapText="1"/>
    </xf>
    <xf numFmtId="169" fontId="31" fillId="35" borderId="0" xfId="0" applyNumberFormat="1" applyFont="1" applyFill="1" applyAlignment="1" applyProtection="1">
      <alignment horizontal="center" vertical="center"/>
    </xf>
    <xf numFmtId="0" fontId="26" fillId="35" borderId="0" xfId="0" applyNumberFormat="1" applyFont="1" applyFill="1" applyAlignment="1" applyProtection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17" fillId="17" borderId="0" xfId="1" applyFont="1" applyFill="1" applyAlignment="1" applyProtection="1">
      <alignment horizontal="center" vertical="center" wrapText="1"/>
    </xf>
    <xf numFmtId="0" fontId="27" fillId="30" borderId="0" xfId="0" applyFont="1" applyFill="1" applyAlignment="1">
      <alignment horizontal="center" vertical="center" wrapText="1" readingOrder="2"/>
    </xf>
    <xf numFmtId="0" fontId="27" fillId="29" borderId="0" xfId="0" applyFont="1" applyFill="1" applyAlignment="1">
      <alignment horizontal="center" vertical="center" wrapText="1" readingOrder="2"/>
    </xf>
    <xf numFmtId="0" fontId="22" fillId="4" borderId="0" xfId="0" applyFont="1" applyFill="1" applyAlignment="1">
      <alignment horizontal="center" vertical="center" textRotation="180" wrapText="1" readingOrder="2"/>
    </xf>
    <xf numFmtId="0" fontId="22" fillId="21" borderId="0" xfId="0" applyFont="1" applyFill="1" applyAlignment="1">
      <alignment horizontal="center" vertical="center" textRotation="180" wrapText="1" readingOrder="2"/>
    </xf>
    <xf numFmtId="0" fontId="27" fillId="17" borderId="0" xfId="0" applyFont="1" applyFill="1" applyAlignment="1">
      <alignment horizontal="center" vertical="center" wrapText="1" readingOrder="2"/>
    </xf>
    <xf numFmtId="0" fontId="22" fillId="3" borderId="0" xfId="0" applyFont="1" applyFill="1" applyAlignment="1">
      <alignment horizontal="center" vertical="center" textRotation="180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30" fillId="36" borderId="0" xfId="1" applyFont="1" applyFill="1" applyBorder="1" applyAlignment="1" applyProtection="1">
      <alignment horizontal="center" vertical="center"/>
    </xf>
    <xf numFmtId="0" fontId="31" fillId="36" borderId="0" xfId="1" applyFont="1" applyFill="1" applyBorder="1" applyAlignment="1" applyProtection="1">
      <alignment horizontal="center" vertical="center"/>
    </xf>
    <xf numFmtId="0" fontId="0" fillId="21" borderId="0" xfId="0" applyFill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 vertical="center"/>
      <protection locked="0"/>
    </xf>
    <xf numFmtId="0" fontId="26" fillId="36" borderId="0" xfId="0" applyFont="1" applyFill="1" applyAlignment="1" applyProtection="1">
      <alignment horizontal="center" vertical="center"/>
    </xf>
    <xf numFmtId="0" fontId="21" fillId="27" borderId="0" xfId="0" applyFont="1" applyFill="1" applyAlignment="1" applyProtection="1">
      <alignment horizontal="right" vertical="center"/>
    </xf>
    <xf numFmtId="0" fontId="23" fillId="21" borderId="0" xfId="0" applyFont="1" applyFill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/>
    </xf>
    <xf numFmtId="0" fontId="23" fillId="33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6" fillId="18" borderId="0" xfId="0" applyFont="1" applyFill="1" applyAlignment="1">
      <alignment horizontal="center" vertical="center" wrapText="1"/>
    </xf>
    <xf numFmtId="0" fontId="21" fillId="27" borderId="0" xfId="0" applyFont="1" applyFill="1" applyAlignment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readingOrder="2"/>
      <protection locked="0"/>
    </xf>
    <xf numFmtId="49" fontId="0" fillId="0" borderId="0" xfId="0" applyNumberFormat="1" applyFont="1" applyAlignment="1" applyProtection="1">
      <alignment horizontal="right" vertical="center" wrapText="1" readingOrder="2"/>
      <protection locked="0"/>
    </xf>
    <xf numFmtId="49" fontId="33" fillId="0" borderId="0" xfId="0" applyNumberFormat="1" applyFont="1" applyAlignment="1" applyProtection="1">
      <alignment horizontal="right" vertical="center" wrapText="1"/>
      <protection locked="0"/>
    </xf>
    <xf numFmtId="0" fontId="0" fillId="9" borderId="0" xfId="0" applyFill="1" applyAlignment="1" applyProtection="1">
      <alignment horizontal="right" vertical="center" readingOrder="2"/>
      <protection locked="0"/>
    </xf>
    <xf numFmtId="49" fontId="0" fillId="9" borderId="0" xfId="0" applyNumberFormat="1" applyFill="1" applyAlignment="1" applyProtection="1">
      <alignment horizontal="center" vertical="center" readingOrder="2"/>
      <protection locked="0"/>
    </xf>
    <xf numFmtId="0" fontId="0" fillId="9" borderId="0" xfId="0" applyNumberFormat="1" applyFill="1" applyAlignment="1" applyProtection="1">
      <alignment horizontal="center" vertical="center"/>
    </xf>
    <xf numFmtId="0" fontId="0" fillId="9" borderId="0" xfId="0" applyFill="1" applyAlignment="1" applyProtection="1">
      <alignment horizontal="center" vertical="center"/>
      <protection locked="0"/>
    </xf>
    <xf numFmtId="49" fontId="34" fillId="0" borderId="0" xfId="0" applyNumberFormat="1" applyFont="1" applyAlignment="1" applyProtection="1">
      <alignment horizontal="right" vertical="center" wrapText="1" readingOrder="2"/>
      <protection locked="0"/>
    </xf>
    <xf numFmtId="49" fontId="0" fillId="0" borderId="0" xfId="0" applyNumberFormat="1" applyFont="1" applyAlignment="1" applyProtection="1">
      <alignment horizontal="right" vertical="center"/>
      <protection locked="0"/>
    </xf>
    <xf numFmtId="0" fontId="34" fillId="0" borderId="0" xfId="0" applyFont="1" applyAlignment="1" applyProtection="1">
      <alignment horizontal="right" vertical="center" wrapText="1"/>
      <protection locked="0"/>
    </xf>
    <xf numFmtId="49" fontId="0" fillId="0" borderId="0" xfId="0" applyNumberFormat="1" applyFont="1" applyAlignment="1" applyProtection="1">
      <alignment horizontal="right" vertical="center" wrapText="1"/>
      <protection locked="0"/>
    </xf>
  </cellXfs>
  <cellStyles count="3">
    <cellStyle name="Currency" xfId="2" builtinId="4"/>
    <cellStyle name="Hyperlink" xfId="1" builtinId="8"/>
    <cellStyle name="Normal" xfId="0" builtinId="0"/>
  </cellStyles>
  <dxfs count="209"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right" vertical="center" textRotation="0" wrapText="1" indent="0" justifyLastLine="0" shrinkToFit="0" readingOrder="2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right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0" indent="0" justifyLastLine="0" shrinkToFit="0"/>
      <protection locked="1" hidden="0"/>
    </dxf>
    <dxf>
      <alignment horizontal="center" vertical="center" textRotation="0" wrapText="0" indent="0" justifyLastLine="0" shrinkToFit="0"/>
      <protection locked="1" hidden="0"/>
    </dxf>
    <dxf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2"/>
      <protection locked="0" hidden="0"/>
    </dxf>
    <dxf>
      <alignment horizontal="right" vertical="center" textRotation="0" wrapText="0" indent="0" justifyLastLine="0" shrinkToFit="0" readingOrder="2"/>
      <protection locked="0" hidden="0"/>
    </dxf>
    <dxf>
      <protection locked="0" hidden="0"/>
    </dxf>
    <dxf>
      <alignment horizontal="center" vertical="center" textRotation="0" wrapText="0" indent="0" justifyLastLine="0" shrinkToFit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نام حساب" tableColumnId="46"/>
      <queryTableField id="2" name="دریافت کننده - پرداخت کنندگان" tableColumnId="47"/>
      <queryTableField id="3" dataBound="0" tableColumnId="48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208" dataDxfId="207">
  <autoFilter ref="A7:N507"/>
  <tableColumns count="14">
    <tableColumn id="1" name="ردیف" dataDxfId="206"/>
    <tableColumn id="2" name="افراد (اعضا)" dataDxfId="205"/>
    <tableColumn id="4" name="تاریخ" dataDxfId="204"/>
    <tableColumn id="5" name="عنوان" dataDxfId="203"/>
    <tableColumn id="14" name="تراکنش" dataDxfId="202"/>
    <tableColumn id="6" name="گروه (درآمد/هزینه)" dataDxfId="201"/>
    <tableColumn id="7" name="زیر گروه" dataDxfId="200"/>
    <tableColumn id="3" name="روش تراکنش" dataDxfId="199"/>
    <tableColumn id="8" name="مبلغ (ریال)" dataDxfId="198"/>
    <tableColumn id="9" name="پرداخت کننده" dataDxfId="197"/>
    <tableColumn id="10" name="دریافت کننده" dataDxfId="196"/>
    <tableColumn id="11" name="مانده حساب‌ها" dataDxfId="195" dataCellStyle="Currency"/>
    <tableColumn id="12" name="نوع خرج" dataDxfId="194"/>
    <tableColumn id="13" name="شرح" dataDxfId="19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92" dataDxfId="191">
  <autoFilter ref="A4:B12"/>
  <tableColumns count="2">
    <tableColumn id="1" name="کد گروه درآمدی" dataDxfId="190"/>
    <tableColumn id="2" name="نام گروه درآمد" dataDxfId="18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88" dataDxfId="187">
  <autoFilter ref="F5:F6"/>
  <tableColumns count="1">
    <tableColumn id="1" name="دستمزد" dataDxfId="18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85" dataDxfId="184">
  <autoFilter ref="H5:H6"/>
  <tableColumns count="1">
    <tableColumn id="1" name="منفعت کسب" dataDxfId="18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82" dataDxfId="181">
  <autoFilter ref="J5:J6"/>
  <tableColumns count="1">
    <tableColumn id="1" name="سود سرمایه‌گذاری" dataDxfId="18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79" dataDxfId="178">
  <autoFilter ref="L5:L8"/>
  <sortState ref="L6:L8">
    <sortCondition ref="L5:L8"/>
  </sortState>
  <tableColumns count="1">
    <tableColumn id="1" name="تشویقی‌ها، جوایز و عیدی‌ها" dataDxfId="177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76" dataDxfId="175">
  <autoFilter ref="N5:N6"/>
  <tableColumns count="1">
    <tableColumn id="1" name="دریافت رهن و اجاره" dataDxfId="174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73" dataDxfId="172">
  <autoFilter ref="P5:P6"/>
  <tableColumns count="1">
    <tableColumn id="1" name="دریافت وام" dataDxfId="171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70" dataDxfId="169">
  <autoFilter ref="R5:R6"/>
  <tableColumns count="1">
    <tableColumn id="1" name="درآمد متفرقه" dataDxfId="168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67" dataDxfId="166">
  <autoFilter ref="D5:D6"/>
  <tableColumns count="1">
    <tableColumn id="1" name="حقوق" dataDxfId="16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64">
  <autoFilter ref="A5:B29"/>
  <sortState ref="A5:B28">
    <sortCondition ref="B4:B28"/>
  </sortState>
  <tableColumns count="2">
    <tableColumn id="1" name="کد گروه هزینه" dataDxfId="163"/>
    <tableColumn id="2" name="نام گروه هزینه" dataDxfId="162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61" dataDxfId="160">
  <autoFilter ref="F4:F13"/>
  <sortState ref="F4:F12">
    <sortCondition ref="F3:F12"/>
  </sortState>
  <tableColumns count="1">
    <tableColumn id="1" name="ایاب و ذهاب" dataDxfId="15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58" dataDxfId="157">
  <autoFilter ref="D4:D8"/>
  <sortState ref="D4:D7">
    <sortCondition ref="D3:D7"/>
  </sortState>
  <tableColumns count="1">
    <tableColumn id="1" name="ارتباطات" dataDxfId="1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55" dataDxfId="154">
  <autoFilter ref="H4:H9"/>
  <sortState ref="H4:H8">
    <sortCondition ref="H3:H8"/>
  </sortState>
  <tableColumns count="1">
    <tableColumn id="1" name="بهداشت و درمان" dataDxfId="153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52" dataDxfId="151">
  <autoFilter ref="J4:J9"/>
  <sortState ref="J4:J8">
    <sortCondition ref="J3:J8"/>
  </sortState>
  <tableColumns count="1">
    <tableColumn id="1" name="بهداشت و نظافت فردی" dataDxfId="150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49" dataDxfId="148">
  <autoFilter ref="L4:L6"/>
  <sortState ref="L4:L5">
    <sortCondition ref="L3:L5"/>
  </sortState>
  <tableColumns count="1">
    <tableColumn id="1" name="بهداشت و نظافت محیط" dataDxfId="147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46" dataDxfId="145">
  <autoFilter ref="N4:N8"/>
  <sortState ref="N4:N7">
    <sortCondition ref="N3:N7"/>
  </sortState>
  <tableColumns count="1">
    <tableColumn id="1" name="بیمه" dataDxfId="14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43" dataDxfId="142">
  <autoFilter ref="P4:P6"/>
  <sortState ref="P4">
    <sortCondition ref="P3:P4"/>
  </sortState>
  <tableColumns count="1">
    <tableColumn id="1" name="پرداخت اقساط" dataDxfId="141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40" dataDxfId="139">
  <autoFilter ref="R4:R8"/>
  <sortState ref="R4:R7">
    <sortCondition ref="R3:R7"/>
  </sortState>
  <tableColumns count="1">
    <tableColumn id="1" name="پوشاک و کفش" dataDxfId="13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37" dataDxfId="136">
  <autoFilter ref="T4:T9"/>
  <sortState ref="T4:T8">
    <sortCondition ref="T3:T8"/>
  </sortState>
  <tableColumns count="1">
    <tableColumn id="1" name="خودرو" dataDxfId="135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34" dataDxfId="133">
  <autoFilter ref="V4:V8"/>
  <sortState ref="V4:V7">
    <sortCondition ref="V3:V7"/>
  </sortState>
  <tableColumns count="1">
    <tableColumn id="1" name="خوراکی‌ها و آشامیدنی‌ها" dataDxfId="132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31" dataDxfId="130">
  <autoFilter ref="X4:X6"/>
  <sortState ref="X4">
    <sortCondition ref="X3:X4"/>
  </sortState>
  <tableColumns count="1">
    <tableColumn id="1" name="خیریه و امور فرهنگی" dataDxfId="129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28" dataDxfId="127">
  <autoFilter ref="Z4:Z6"/>
  <sortState ref="Z4:Z5">
    <sortCondition ref="Z3:Z5"/>
  </sortState>
  <tableColumns count="1">
    <tableColumn id="1" name="دخانیات" dataDxfId="126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25" dataDxfId="124">
  <autoFilter ref="AB4:AB6"/>
  <sortState ref="AB4:AB5">
    <sortCondition ref="AB3:AB5"/>
  </sortState>
  <tableColumns count="1">
    <tableColumn id="1" name="دوچرخه" dataDxfId="12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122" dataDxfId="121">
  <autoFilter ref="AD4:AD8"/>
  <sortState ref="AD4:AD7">
    <sortCondition ref="AD3:AD7"/>
  </sortState>
  <tableColumns count="1">
    <tableColumn id="1" name="زیورآلات سرمایه" dataDxfId="12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119" dataDxfId="118">
  <autoFilter ref="AF4:AF6"/>
  <sortState ref="AF4">
    <sortCondition ref="AF3:AF4"/>
  </sortState>
  <tableColumns count="1">
    <tableColumn id="1" name=" زیورآلات غیر سرمایه" dataDxfId="117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116" dataDxfId="115">
  <autoFilter ref="AH4:AH6"/>
  <sortState ref="AH5:AH6">
    <sortCondition ref="AH4:AH6"/>
  </sortState>
  <tableColumns count="1">
    <tableColumn id="1" name=" سرمایه گذاری" dataDxfId="11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113" dataDxfId="112">
  <autoFilter ref="AJ4:AJ6"/>
  <sortState ref="AJ4">
    <sortCondition ref="AJ3:AJ4"/>
  </sortState>
  <tableColumns count="1">
    <tableColumn id="1" name="سفر و گردش" dataDxfId="11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110" dataDxfId="109">
  <autoFilter ref="AL4:AL15"/>
  <sortState ref="AL4:AL14">
    <sortCondition ref="AL3:AL14"/>
  </sortState>
  <tableColumns count="1">
    <tableColumn id="1" name="صورتحاب‌های مسکن" dataDxfId="108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107" dataDxfId="106">
  <autoFilter ref="AN4:AN8"/>
  <sortState ref="AN4:AN7">
    <sortCondition ref="AN3:AN7"/>
  </sortState>
  <tableColumns count="1">
    <tableColumn id="1" name="فراغت و سرگرمی" dataDxfId="105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104" dataDxfId="103">
  <autoFilter ref="AP4:AP8"/>
  <tableColumns count="1">
    <tableColumn id="1" name="مالیات" dataDxfId="10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101" dataDxfId="100">
  <autoFilter ref="AR4:AR6"/>
  <sortState ref="AR4">
    <sortCondition ref="AR3:AR4"/>
  </sortState>
  <tableColumns count="1">
    <tableColumn id="1" name=" مدرک و تحصیل" dataDxfId="99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98" dataDxfId="97">
  <autoFilter ref="AT4:AT7"/>
  <sortState ref="AT4:AT6">
    <sortCondition ref="AT3:AT6"/>
  </sortState>
  <tableColumns count="1">
    <tableColumn id="1" name="ورزش" dataDxfId="9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95" dataDxfId="94">
  <autoFilter ref="AV4:AV11"/>
  <tableColumns count="1">
    <tableColumn id="1" name="هدیه و کادو" dataDxfId="93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92" dataDxfId="91">
  <autoFilter ref="AX4:AX7"/>
  <tableColumns count="1">
    <tableColumn id="1" name="یادگیری و توسعه فردی" dataDxfId="90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6" totalsRowShown="0" headerRowDxfId="89" dataDxfId="88" dataCellStyle="Normal">
  <autoFilter ref="A3:A16"/>
  <tableColumns count="1">
    <tableColumn id="1" name="دریافت کننده - پرداخت کنندگان" dataDxfId="87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43" name="Accounts_and_ReceiversAndPayers_AppendTabel" displayName="Accounts_and_ReceiversAndPayers_AppendTabel" ref="C3:E19" tableType="queryTable" totalsRowShown="0" headerRowDxfId="86" dataDxfId="85">
  <autoFilter ref="C3:E19"/>
  <tableColumns count="3">
    <tableColumn id="46" uniqueName="46" name="نام حساب" queryTableFieldId="1" dataDxfId="84"/>
    <tableColumn id="47" uniqueName="47" name="دریافت کننده - پرداخت کنندگان" queryTableFieldId="2" dataDxfId="83"/>
    <tableColumn id="48" uniqueName="48" name="Accounts and ReceiversAndPayers" queryTableFieldId="3" dataDxfId="82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D3:L4" totalsRowShown="0" headerRowDxfId="81" dataDxfId="80">
  <autoFilter ref="D3:L4"/>
  <tableColumns count="9">
    <tableColumn id="6" name="ID" dataDxfId="79"/>
    <tableColumn id="1" name="افراد" dataDxfId="78"/>
    <tableColumn id="2" name="کد ملی" dataDxfId="77"/>
    <tableColumn id="3" name="شماره تماس" dataDxfId="76"/>
    <tableColumn id="4" name="آدرس ایمیل" dataDxfId="75" dataCellStyle="Hyperlink"/>
    <tableColumn id="5" name="سایت اینترنتی" dataDxfId="74"/>
    <tableColumn id="7" name="آدرس محل کار" dataDxfId="73"/>
    <tableColumn id="8" name="آدرس منزل" dataDxfId="72"/>
    <tableColumn id="9" name="توضیحات" dataDxfId="71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D8:R14" totalsRowCount="1" headerRowDxfId="70" dataDxfId="69">
  <autoFilter ref="D8:R13"/>
  <tableColumns count="15">
    <tableColumn id="1" name="ID" totalsRowLabel="Total" dataDxfId="68" totalsRowDxfId="67"/>
    <tableColumn id="2" name="نام حساب" dataDxfId="66" totalsRowDxfId="65"/>
    <tableColumn id="3" name="نوع حساب" dataDxfId="64" totalsRowDxfId="63"/>
    <tableColumn id="4" name="موجودی اولیه" totalsRowFunction="sum" dataDxfId="62" totalsRowDxfId="61"/>
    <tableColumn id="9" name="جمع پرداختی" totalsRowFunction="sum" totalsRowDxfId="60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59" totalsRowDxfId="58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57" totalsRowDxfId="56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55" totalsRowDxfId="54">
      <calculatedColumnFormula>IF(FinancialAccountsTable[[#This Row],[مانده]]=0,"",IF(FinancialAccountsTable[[#This Row],[مانده]]&gt;0,"بدهکار","بستانکار"))</calculatedColumnFormula>
    </tableColumn>
    <tableColumn id="17" name="نام بانک" dataDxfId="53" totalsRowDxfId="52"/>
    <tableColumn id="18" name="شعبه بانک" dataDxfId="51" totalsRowDxfId="50"/>
    <tableColumn id="10" name="شماره حساب" totalsRowDxfId="49"/>
    <tableColumn id="19" name="شماره شبا" dataDxfId="48" totalsRowDxfId="47"/>
    <tableColumn id="14" name="شماره کارت" totalsRowDxfId="46"/>
    <tableColumn id="15" name="تاریخ انقضاء کارت" totalsRowDxfId="45"/>
    <tableColumn id="16" name="CVV2" totalsRowDxfId="44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D3:D6" totalsRowShown="0" headerRowDxfId="43" dataDxfId="42">
  <autoFilter ref="D3:D6"/>
  <tableColumns count="1">
    <tableColumn id="1" name="نوع خرج" dataDxfId="41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F3:F7" totalsRowShown="0" headerRowDxfId="40" dataDxfId="39">
  <autoFilter ref="F3:F7"/>
  <tableColumns count="1">
    <tableColumn id="1" name="نوع تراکنش" dataDxfId="38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H3:H10" totalsRowShown="0" headerRowDxfId="37" dataDxfId="36">
  <autoFilter ref="H3:H10"/>
  <tableColumns count="1">
    <tableColumn id="1" name="روش تراکنش" dataDxfId="35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M4:O14" totalsRowShown="0" headerRowDxfId="34" dataDxfId="33">
  <autoFilter ref="M4:O14"/>
  <tableColumns count="3">
    <tableColumn id="1" name="عنوان تعطیلات" dataDxfId="32"/>
    <tableColumn id="2" name="روز و ماه" dataDxfId="31"/>
    <tableColumn id="3" name="Date" dataDxfId="30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J4:K10" totalsRowShown="0" headerRowDxfId="29" dataDxfId="28">
  <autoFilter ref="J4:K10"/>
  <tableColumns count="2">
    <tableColumn id="1" name="ID" dataDxfId="27"/>
    <tableColumn id="2" name="شیوه نمایش تاریخ" dataDxfId="26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6" name="EventsTable" displayName="EventsTable" ref="Q4:S224" totalsRowShown="0" headerRowDxfId="25" dataDxfId="24">
  <autoFilter ref="Q4:S224"/>
  <tableColumns count="3">
    <tableColumn id="1" name="عنوان مناسبت" dataDxfId="11"/>
    <tableColumn id="2" name="روز و ماه" dataDxfId="12"/>
    <tableColumn id="3" name="Date" dataDxfId="23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6.xml><?xml version="1.0" encoding="utf-8"?>
<table xmlns="http://schemas.openxmlformats.org/spreadsheetml/2006/main" id="47" name="LunarCalendarHolidaysTable" displayName="LunarCalendarHolidaysTable" ref="U4:V24" totalsRowShown="0" headerRowDxfId="22" dataDxfId="21">
  <autoFilter ref="U4:V24"/>
  <tableColumns count="2">
    <tableColumn id="1" name="تعطیلات قمری" dataDxfId="9"/>
    <tableColumn id="2" name="Day and Month" dataDxfId="10"/>
  </tableColumns>
  <tableStyleInfo name="TableStyleMedium11" showFirstColumn="0" showLastColumn="0" showRowStripes="1" showColumnStripes="0"/>
</table>
</file>

<file path=xl/tables/table47.xml><?xml version="1.0" encoding="utf-8"?>
<table xmlns="http://schemas.openxmlformats.org/spreadsheetml/2006/main" id="48" name="LunarCalendarEventsTable" displayName="LunarCalendarEventsTable" ref="X4:Y63" totalsRowShown="0" headerRowDxfId="20" dataDxfId="19">
  <autoFilter ref="X4:Y63"/>
  <tableColumns count="2">
    <tableColumn id="1" name="مناسبت قمری" dataDxfId="7"/>
    <tableColumn id="2" name="Day and Month" dataDxfId="8"/>
  </tableColumns>
  <tableStyleInfo name="TableStyleMedium14" showFirstColumn="0" showLastColumn="0" showRowStripes="1" showColumnStripes="0"/>
</table>
</file>

<file path=xl/tables/table48.xml><?xml version="1.0" encoding="utf-8"?>
<table xmlns="http://schemas.openxmlformats.org/spreadsheetml/2006/main" id="49" name="GregorianCalendarEventsTable" displayName="GregorianCalendarEventsTable" ref="AA4:AB32" totalsRowShown="0" headerRowDxfId="18" dataDxfId="17">
  <autoFilter ref="AA4:AB32"/>
  <tableColumns count="2">
    <tableColumn id="1" name="مناسبت میلادی" dataDxfId="5"/>
    <tableColumn id="2" name="Day and Month" dataDxfId="6"/>
  </tableColumns>
  <tableStyleInfo name="TableStyleMedium12" showFirstColumn="0" showLastColumn="0" showRowStripes="1" showColumnStripes="0"/>
</table>
</file>

<file path=xl/tables/table49.xml><?xml version="1.0" encoding="utf-8"?>
<table xmlns="http://schemas.openxmlformats.org/spreadsheetml/2006/main" id="50" name="BankFeesTable" displayName="BankFeesTable" ref="J13:K41" totalsRowShown="0" headerRowDxfId="16" dataDxfId="15">
  <autoFilter ref="J13:K41"/>
  <tableColumns count="2">
    <tableColumn id="1" name="عملیات" dataDxfId="14"/>
    <tableColumn id="2" name="Wage" dataDxfId="13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78" t="s">
        <v>1</v>
      </c>
      <c r="Q5" s="79" t="s">
        <v>118</v>
      </c>
      <c r="R5" s="79" t="s">
        <v>0</v>
      </c>
      <c r="S5" s="80" t="s">
        <v>17</v>
      </c>
      <c r="T5" s="81" t="s">
        <v>107</v>
      </c>
      <c r="U5" s="82" t="s">
        <v>149</v>
      </c>
      <c r="V5" s="79" t="s">
        <v>116</v>
      </c>
      <c r="W5" s="79" t="s">
        <v>150</v>
      </c>
      <c r="X5" s="83" t="s">
        <v>2</v>
      </c>
      <c r="Y5" s="79" t="s">
        <v>6</v>
      </c>
      <c r="Z5" s="79" t="s">
        <v>5</v>
      </c>
      <c r="AA5" s="79" t="s">
        <v>158</v>
      </c>
      <c r="AB5" s="80" t="s">
        <v>112</v>
      </c>
      <c r="AC5" s="80" t="s">
        <v>40</v>
      </c>
    </row>
    <row r="6" spans="1:29" ht="15.75" x14ac:dyDescent="0.25">
      <c r="P6" s="84">
        <v>1</v>
      </c>
      <c r="Q6" s="85" t="s">
        <v>119</v>
      </c>
      <c r="R6" s="86">
        <f>DATE(2021,6,26)</f>
        <v>44373</v>
      </c>
      <c r="S6" s="87" t="s">
        <v>157</v>
      </c>
      <c r="T6" s="88" t="s">
        <v>283</v>
      </c>
      <c r="U6" s="85" t="s">
        <v>187</v>
      </c>
      <c r="V6" s="85" t="s">
        <v>271</v>
      </c>
      <c r="W6" s="85" t="s">
        <v>154</v>
      </c>
      <c r="X6" s="89">
        <v>80000</v>
      </c>
      <c r="Y6" s="85" t="s">
        <v>137</v>
      </c>
      <c r="Z6" s="85" t="s">
        <v>331</v>
      </c>
      <c r="AA6" s="85"/>
      <c r="AB6" s="87" t="s">
        <v>113</v>
      </c>
      <c r="AC6" s="87"/>
    </row>
    <row r="7" spans="1:29" ht="15.75" x14ac:dyDescent="0.25">
      <c r="P7" s="90">
        <v>2</v>
      </c>
      <c r="Q7" s="91"/>
      <c r="R7" s="92">
        <f>DATE(2021,6,26)</f>
        <v>44373</v>
      </c>
      <c r="S7" s="93"/>
      <c r="T7" s="94" t="s">
        <v>283</v>
      </c>
      <c r="U7" s="91"/>
      <c r="V7" s="91"/>
      <c r="W7" s="91"/>
      <c r="X7" s="95"/>
      <c r="Y7" s="91"/>
      <c r="Z7" s="91"/>
      <c r="AA7" s="91"/>
      <c r="AB7" s="93"/>
      <c r="AC7" s="93"/>
    </row>
    <row r="8" spans="1:29" ht="15.75" x14ac:dyDescent="0.25">
      <c r="P8" s="84">
        <v>3</v>
      </c>
      <c r="Q8" s="85"/>
      <c r="R8" s="86">
        <f>DATE(2021,8,17)</f>
        <v>44425</v>
      </c>
      <c r="S8" s="87"/>
      <c r="T8" s="88" t="s">
        <v>307</v>
      </c>
      <c r="U8" s="85" t="s">
        <v>310</v>
      </c>
      <c r="V8" s="85" t="s">
        <v>321</v>
      </c>
      <c r="W8" s="85"/>
      <c r="X8" s="89"/>
      <c r="Y8" s="85"/>
      <c r="Z8" s="85"/>
      <c r="AA8" s="85"/>
      <c r="AB8" s="87"/>
      <c r="AC8" s="87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343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342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30" t="str">
        <f>Slash(14000525)</f>
        <v>1400/05/25</v>
      </c>
      <c r="Q22">
        <v>7</v>
      </c>
    </row>
    <row r="23" spans="3:17" x14ac:dyDescent="0.25">
      <c r="K23" s="106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K29"/>
  <sheetViews>
    <sheetView rightToLeft="1" workbookViewId="0">
      <selection activeCell="F15" sqref="F15"/>
    </sheetView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147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C18" sqref="C18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107" t="s">
        <v>111</v>
      </c>
      <c r="I1" s="14" t="s">
        <v>105</v>
      </c>
      <c r="J1" s="15" t="s">
        <v>98</v>
      </c>
      <c r="K1" s="108" t="s">
        <v>7</v>
      </c>
      <c r="L1" s="4"/>
      <c r="M1" s="28"/>
      <c r="N1" s="4"/>
      <c r="O1" s="51"/>
      <c r="P1" s="51"/>
      <c r="Q1" s="51"/>
      <c r="R1" s="51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51"/>
      <c r="P2" s="51"/>
      <c r="Q2" s="51"/>
      <c r="R2" s="51"/>
    </row>
    <row r="3" spans="1:19" ht="24" customHeight="1" x14ac:dyDescent="0.25">
      <c r="A3" s="16"/>
      <c r="B3" s="5" t="s">
        <v>108</v>
      </c>
      <c r="C3" s="101">
        <f>SUMIF(Tarakonesh[تراکنش],"دریافت_درآمد",Tarakonesh[مبلغ (ریال)])</f>
        <v>5525000</v>
      </c>
      <c r="D3" s="6" t="s">
        <v>109</v>
      </c>
      <c r="E3" s="100">
        <f>SUMIF(Tarakonesh[تراکنش],"پرداخت_هزینه",Tarakonesh[مبلغ (ریال)])</f>
        <v>3093000</v>
      </c>
      <c r="F3" s="37" t="s">
        <v>341</v>
      </c>
      <c r="G3" s="99">
        <f>SUMIF(Tarakonesh[تراکنش],"انتقال",Tarakonesh[مبلغ (ریال)])</f>
        <v>520000</v>
      </c>
      <c r="H3" s="103" t="s">
        <v>344</v>
      </c>
      <c r="I3" s="105">
        <f>FinancialAccountsTable[[#Totals],[مانده]]</f>
        <v>4427000</v>
      </c>
      <c r="J3" s="190" t="s">
        <v>147</v>
      </c>
      <c r="K3" s="190"/>
      <c r="L3" s="4"/>
      <c r="M3" s="29"/>
      <c r="N3" s="4"/>
      <c r="O3" s="51"/>
      <c r="P3" s="51"/>
      <c r="Q3" s="51"/>
      <c r="R3" s="51"/>
    </row>
    <row r="4" spans="1:19" s="64" customFormat="1" ht="3.75" customHeight="1" x14ac:dyDescent="0.25">
      <c r="A4" s="16"/>
      <c r="B4" s="60"/>
      <c r="C4" s="60"/>
      <c r="D4" s="60"/>
      <c r="E4" s="61"/>
      <c r="F4" s="61"/>
      <c r="G4" s="104"/>
      <c r="H4" s="62"/>
      <c r="I4" s="4"/>
      <c r="J4" s="63"/>
      <c r="K4" s="63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60"/>
      <c r="C5" s="131">
        <v>0</v>
      </c>
      <c r="D5" s="60"/>
      <c r="E5" s="188" t="s">
        <v>419</v>
      </c>
      <c r="F5" s="187">
        <f ca="1">TODAY()</f>
        <v>44462</v>
      </c>
      <c r="G5" s="4"/>
      <c r="H5" s="62"/>
      <c r="I5" s="4"/>
      <c r="J5" s="59" t="s">
        <v>189</v>
      </c>
      <c r="K5" s="65" t="s">
        <v>190</v>
      </c>
      <c r="L5" s="4"/>
      <c r="M5" s="29"/>
      <c r="N5" s="4"/>
      <c r="O5" s="51"/>
      <c r="P5" s="51"/>
      <c r="Q5" s="51"/>
      <c r="R5" s="51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51"/>
      <c r="P6" s="51"/>
      <c r="Q6" s="51"/>
      <c r="R6" s="51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54" t="s">
        <v>149</v>
      </c>
      <c r="G7" s="8" t="s">
        <v>116</v>
      </c>
      <c r="H7" s="8" t="s">
        <v>150</v>
      </c>
      <c r="I7" s="21" t="s">
        <v>2</v>
      </c>
      <c r="J7" s="8" t="s">
        <v>6</v>
      </c>
      <c r="K7" s="8" t="s">
        <v>5</v>
      </c>
      <c r="L7" s="8" t="s">
        <v>158</v>
      </c>
      <c r="M7" s="30" t="s">
        <v>112</v>
      </c>
      <c r="N7" s="30" t="s">
        <v>40</v>
      </c>
      <c r="O7" s="51"/>
      <c r="P7" s="51"/>
      <c r="Q7" s="51"/>
      <c r="R7" s="51"/>
      <c r="S7" s="51"/>
    </row>
    <row r="8" spans="1:19" x14ac:dyDescent="0.25">
      <c r="A8" s="26">
        <v>1</v>
      </c>
      <c r="B8" s="27" t="s">
        <v>119</v>
      </c>
      <c r="C8" s="31" t="s">
        <v>390</v>
      </c>
      <c r="D8" s="31" t="s">
        <v>157</v>
      </c>
      <c r="E8" s="39" t="s">
        <v>283</v>
      </c>
      <c r="F8" s="27" t="s">
        <v>285</v>
      </c>
      <c r="G8" s="27"/>
      <c r="H8" s="27" t="s">
        <v>308</v>
      </c>
      <c r="I8" s="25">
        <v>80000</v>
      </c>
      <c r="J8" s="27" t="s">
        <v>324</v>
      </c>
      <c r="K8" s="27" t="s">
        <v>334</v>
      </c>
      <c r="L8" s="102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391</v>
      </c>
      <c r="D9" s="31"/>
      <c r="E9" s="39" t="s">
        <v>307</v>
      </c>
      <c r="F9" s="27"/>
      <c r="G9" s="27"/>
      <c r="H9" s="27" t="s">
        <v>153</v>
      </c>
      <c r="I9" s="25">
        <v>1000000</v>
      </c>
      <c r="J9" s="27" t="s">
        <v>329</v>
      </c>
      <c r="K9" s="27" t="s">
        <v>324</v>
      </c>
      <c r="L9" s="102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1"/>
      <c r="N9" s="31"/>
    </row>
    <row r="10" spans="1:19" ht="31.5" x14ac:dyDescent="0.25">
      <c r="A10" s="26">
        <v>3</v>
      </c>
      <c r="B10" s="27"/>
      <c r="C10" s="31" t="s">
        <v>389</v>
      </c>
      <c r="D10" s="31"/>
      <c r="E10" s="39" t="s">
        <v>141</v>
      </c>
      <c r="F10" s="27"/>
      <c r="G10" s="27"/>
      <c r="H10" s="27" t="s">
        <v>152</v>
      </c>
      <c r="I10" s="25">
        <v>20000</v>
      </c>
      <c r="J10" s="27" t="s">
        <v>137</v>
      </c>
      <c r="K10" s="27" t="s">
        <v>324</v>
      </c>
      <c r="L10" s="102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1"/>
      <c r="N10" s="31"/>
      <c r="R10" s="96"/>
    </row>
    <row r="11" spans="1:19" x14ac:dyDescent="0.25">
      <c r="A11" s="26">
        <v>4</v>
      </c>
      <c r="B11" s="27"/>
      <c r="C11" s="31"/>
      <c r="D11" s="31"/>
      <c r="E11" s="39" t="s">
        <v>307</v>
      </c>
      <c r="F11" s="27"/>
      <c r="G11" s="27"/>
      <c r="H11" s="27" t="s">
        <v>151</v>
      </c>
      <c r="I11" s="25">
        <v>20000</v>
      </c>
      <c r="J11" s="27" t="s">
        <v>327</v>
      </c>
      <c r="K11" s="27" t="s">
        <v>325</v>
      </c>
      <c r="L11" s="102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1"/>
      <c r="N11" s="31"/>
      <c r="R11" s="96"/>
    </row>
    <row r="12" spans="1:19" x14ac:dyDescent="0.25">
      <c r="A12" s="26">
        <v>5</v>
      </c>
      <c r="B12" s="27"/>
      <c r="C12" s="31"/>
      <c r="D12" s="31"/>
      <c r="E12" s="39" t="s">
        <v>283</v>
      </c>
      <c r="F12" s="27"/>
      <c r="G12" s="27"/>
      <c r="H12" s="27"/>
      <c r="I12" s="25">
        <v>3000</v>
      </c>
      <c r="J12" s="27" t="s">
        <v>325</v>
      </c>
      <c r="K12" s="27" t="s">
        <v>331</v>
      </c>
      <c r="L12" s="102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307</v>
      </c>
      <c r="F13" s="27"/>
      <c r="G13" s="27"/>
      <c r="H13" s="27"/>
      <c r="I13" s="25">
        <v>500000</v>
      </c>
      <c r="J13" s="27" t="s">
        <v>328</v>
      </c>
      <c r="K13" s="27" t="s">
        <v>137</v>
      </c>
      <c r="L13" s="102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141</v>
      </c>
      <c r="F14" s="27"/>
      <c r="G14" s="27"/>
      <c r="H14" s="27"/>
      <c r="I14" s="25">
        <v>500000</v>
      </c>
      <c r="J14" s="27" t="s">
        <v>326</v>
      </c>
      <c r="K14" s="27" t="s">
        <v>325</v>
      </c>
      <c r="L14" s="102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283</v>
      </c>
      <c r="F15" s="27"/>
      <c r="G15" s="27"/>
      <c r="H15" s="27"/>
      <c r="I15" s="25">
        <v>10000</v>
      </c>
      <c r="J15" s="27" t="s">
        <v>324</v>
      </c>
      <c r="K15" s="27" t="s">
        <v>328</v>
      </c>
      <c r="L15" s="102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283</v>
      </c>
      <c r="F16" s="27"/>
      <c r="G16" s="27"/>
      <c r="H16" s="27"/>
      <c r="I16" s="25">
        <v>3000000</v>
      </c>
      <c r="J16" s="27" t="s">
        <v>325</v>
      </c>
      <c r="K16" s="27" t="s">
        <v>329</v>
      </c>
      <c r="L16" s="102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1"/>
      <c r="N16" s="31"/>
    </row>
    <row r="17" spans="1:14" ht="31.5" x14ac:dyDescent="0.25">
      <c r="A17" s="26">
        <v>10</v>
      </c>
      <c r="B17" s="27"/>
      <c r="C17" s="31" t="s">
        <v>420</v>
      </c>
      <c r="D17" s="31"/>
      <c r="E17" s="39" t="s">
        <v>307</v>
      </c>
      <c r="F17" s="27"/>
      <c r="G17" s="27"/>
      <c r="H17" s="27"/>
      <c r="I17" s="25">
        <v>4000000</v>
      </c>
      <c r="J17" s="27" t="s">
        <v>330</v>
      </c>
      <c r="K17" s="27" t="s">
        <v>137</v>
      </c>
      <c r="L17" s="102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307</v>
      </c>
      <c r="F18" s="27"/>
      <c r="G18" s="27"/>
      <c r="H18" s="27"/>
      <c r="I18" s="25">
        <v>5000</v>
      </c>
      <c r="J18" s="27"/>
      <c r="K18" s="27"/>
      <c r="L18" s="102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102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102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390</v>
      </c>
      <c r="D21" s="31"/>
      <c r="E21" s="39"/>
      <c r="F21" s="27"/>
      <c r="G21" s="27"/>
      <c r="H21" s="27"/>
      <c r="I21" s="25"/>
      <c r="J21" s="27"/>
      <c r="K21" s="27"/>
      <c r="L21" s="102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102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102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102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102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102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102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102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102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102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102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102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102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102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102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102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102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102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102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102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102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102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102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102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102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102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102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102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102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102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102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102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102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102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102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102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102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102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102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102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102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102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102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102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102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102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102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102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102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102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102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102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102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102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102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102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102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102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102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102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102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102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102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102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102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102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102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102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102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102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102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102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102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102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102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102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102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102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102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102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102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102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102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102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102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102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102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102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102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102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102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102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102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102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102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102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102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102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102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102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102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102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102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102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102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102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102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102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102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102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102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102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102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102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102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102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102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102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102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102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102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102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102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102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102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102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102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102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102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102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102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102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102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102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102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102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102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102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102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102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102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102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102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102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102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102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102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102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102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102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102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102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102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102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102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102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102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102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102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102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102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102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102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102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102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102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102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102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102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102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102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102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102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102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102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102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102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102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102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102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102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102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102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102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102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102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102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102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102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102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102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102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102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102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102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102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102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102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102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102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102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102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102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102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102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102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102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102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102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102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102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102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102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102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102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102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102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102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102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102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102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102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102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102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102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102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102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102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102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102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102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102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102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102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102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102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102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102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102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102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102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102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102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102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102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102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102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102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102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102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102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102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102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102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102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102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102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102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102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102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102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102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102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102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102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102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102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102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102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102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102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102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102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102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102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102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102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102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102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102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102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102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102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102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102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102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102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102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102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102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102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102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102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102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102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102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102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102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102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102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102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102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102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102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102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102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102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102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102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102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102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102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102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102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102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102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102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102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102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102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102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102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102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102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102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102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102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102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102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102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102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102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102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102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102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102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102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102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102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102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102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102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102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102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102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102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102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102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102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102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102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102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102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102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102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102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102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102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102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102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102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102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102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102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102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102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102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102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102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102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102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102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102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102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102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102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102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102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102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102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102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102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102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102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102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102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102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102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102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102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102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102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102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102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102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102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102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102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102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102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102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102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102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102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102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102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102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102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102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102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102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102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102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102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102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102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102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102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102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102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102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102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102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102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102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102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102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102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102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102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102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102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102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102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102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102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102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102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102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102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102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102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102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102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102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102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102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102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102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102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102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102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102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102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102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102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102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102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102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102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102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102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102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102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102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102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102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102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102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102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102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102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102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102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102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102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102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102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102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102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102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102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102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102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102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102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102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1"/>
      <c r="N507" s="31"/>
    </row>
    <row r="514" spans="4:4" x14ac:dyDescent="0.25">
      <c r="D514" s="132"/>
    </row>
    <row r="515" spans="4:4" x14ac:dyDescent="0.25">
      <c r="D515" s="132"/>
    </row>
  </sheetData>
  <dataConsolidate/>
  <mergeCells count="1">
    <mergeCell ref="J3:K3"/>
  </mergeCells>
  <conditionalFormatting sqref="A8:N507">
    <cfRule type="expression" dxfId="4" priority="1">
      <formula xml:space="preserve"> "" = $E8</formula>
    </cfRule>
    <cfRule type="expression" dxfId="3" priority="5">
      <formula xml:space="preserve"> "انتقال" = $E8</formula>
    </cfRule>
    <cfRule type="expression" dxfId="2" priority="6">
      <formula xml:space="preserve"> "پرداخت_هزینه" = $E8</formula>
    </cfRule>
    <cfRule type="expression" dxfId="1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صورت 13770101 ثبت 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G34" sqref="G34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>
      <selection activeCell="G34" sqref="G34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12" t="s">
        <v>345</v>
      </c>
    </row>
    <row r="2" spans="1:33" ht="24" customHeight="1" x14ac:dyDescent="0.25">
      <c r="A2" s="111">
        <v>1400</v>
      </c>
      <c r="D2" s="123"/>
      <c r="E2" s="123"/>
      <c r="F2" s="123">
        <v>0</v>
      </c>
      <c r="G2" s="123">
        <v>1</v>
      </c>
      <c r="H2" s="123">
        <v>2</v>
      </c>
      <c r="I2" s="123">
        <v>3</v>
      </c>
      <c r="J2" s="123">
        <v>4</v>
      </c>
      <c r="K2" s="123">
        <v>5</v>
      </c>
      <c r="L2" s="123">
        <v>6</v>
      </c>
      <c r="M2" s="124"/>
      <c r="N2" s="124"/>
      <c r="O2" s="123"/>
      <c r="P2" s="123">
        <v>0</v>
      </c>
      <c r="Q2" s="123">
        <v>1</v>
      </c>
      <c r="R2" s="123">
        <v>2</v>
      </c>
      <c r="S2" s="123">
        <v>3</v>
      </c>
      <c r="T2" s="123">
        <v>4</v>
      </c>
      <c r="U2" s="123">
        <v>5</v>
      </c>
      <c r="V2" s="123">
        <v>6</v>
      </c>
      <c r="W2" s="124"/>
      <c r="X2" s="124"/>
      <c r="Y2" s="123"/>
      <c r="Z2" s="123">
        <v>0</v>
      </c>
      <c r="AA2" s="123">
        <v>1</v>
      </c>
      <c r="AB2" s="123">
        <v>2</v>
      </c>
      <c r="AC2" s="123">
        <v>3</v>
      </c>
      <c r="AD2" s="123">
        <v>4</v>
      </c>
      <c r="AE2" s="123">
        <v>5</v>
      </c>
      <c r="AF2" s="123">
        <v>6</v>
      </c>
    </row>
    <row r="3" spans="1:33" ht="24" customHeight="1" x14ac:dyDescent="0.25">
      <c r="A3" s="41"/>
      <c r="D3" s="194" t="s">
        <v>354</v>
      </c>
      <c r="E3" s="114"/>
      <c r="F3" s="192" t="s">
        <v>346</v>
      </c>
      <c r="G3" s="192"/>
      <c r="H3" s="192"/>
      <c r="I3" s="192"/>
      <c r="J3" s="192"/>
      <c r="K3" s="192"/>
      <c r="L3" s="192"/>
      <c r="M3" s="116"/>
      <c r="O3" s="114"/>
      <c r="P3" s="192" t="s">
        <v>355</v>
      </c>
      <c r="Q3" s="192"/>
      <c r="R3" s="192"/>
      <c r="S3" s="192"/>
      <c r="T3" s="192"/>
      <c r="U3" s="192"/>
      <c r="V3" s="192"/>
      <c r="W3" s="116"/>
      <c r="Y3" s="114"/>
      <c r="Z3" s="192" t="s">
        <v>358</v>
      </c>
      <c r="AA3" s="192"/>
      <c r="AB3" s="192"/>
      <c r="AC3" s="192"/>
      <c r="AD3" s="192"/>
      <c r="AE3" s="192"/>
      <c r="AF3" s="192"/>
      <c r="AG3" s="116"/>
    </row>
    <row r="4" spans="1:33" ht="24" customHeight="1" thickBot="1" x14ac:dyDescent="0.3">
      <c r="A4" s="9" t="s">
        <v>8</v>
      </c>
      <c r="D4" s="194"/>
      <c r="E4" s="114"/>
      <c r="F4" s="115" t="s">
        <v>347</v>
      </c>
      <c r="G4" s="115" t="s">
        <v>349</v>
      </c>
      <c r="H4" s="115" t="s">
        <v>350</v>
      </c>
      <c r="I4" s="115" t="s">
        <v>351</v>
      </c>
      <c r="J4" s="115" t="s">
        <v>352</v>
      </c>
      <c r="K4" s="115" t="s">
        <v>353</v>
      </c>
      <c r="L4" s="115" t="s">
        <v>348</v>
      </c>
      <c r="M4" s="116"/>
      <c r="O4" s="114"/>
      <c r="P4" s="115" t="s">
        <v>347</v>
      </c>
      <c r="Q4" s="115" t="s">
        <v>349</v>
      </c>
      <c r="R4" s="115" t="s">
        <v>350</v>
      </c>
      <c r="S4" s="115" t="s">
        <v>351</v>
      </c>
      <c r="T4" s="115" t="s">
        <v>352</v>
      </c>
      <c r="U4" s="115" t="s">
        <v>353</v>
      </c>
      <c r="V4" s="115" t="s">
        <v>348</v>
      </c>
      <c r="W4" s="116"/>
      <c r="Y4" s="114"/>
      <c r="Z4" s="115" t="s">
        <v>347</v>
      </c>
      <c r="AA4" s="115" t="s">
        <v>349</v>
      </c>
      <c r="AB4" s="115" t="s">
        <v>350</v>
      </c>
      <c r="AC4" s="115" t="s">
        <v>351</v>
      </c>
      <c r="AD4" s="115" t="s">
        <v>352</v>
      </c>
      <c r="AE4" s="115" t="s">
        <v>353</v>
      </c>
      <c r="AF4" s="115" t="s">
        <v>348</v>
      </c>
      <c r="AG4" s="116"/>
    </row>
    <row r="5" spans="1:33" ht="24" customHeight="1" x14ac:dyDescent="0.25">
      <c r="A5" s="35" t="s">
        <v>115</v>
      </c>
      <c r="D5" s="194"/>
      <c r="E5" s="114"/>
      <c r="F5" s="113" t="str">
        <f>IF(DayWeekNo($A$2&amp;"0101")=F2,1,IF(DayWeekNo($A$2&amp;"0101")&lt;F2,E5+1,""))</f>
        <v/>
      </c>
      <c r="G5" s="113">
        <f>IF(DayWeekNo($A$2&amp;"0101")=G2,1,IF(DayWeekNo($A$2&amp;"0101")&lt;G2,F5+1,""))</f>
        <v>1</v>
      </c>
      <c r="H5" s="113">
        <f>IF(DayWeekNo($A$2&amp;"0101")=H2,1,IF(DayWeekNo($A$2&amp;"0101")&lt;H2,G5+1,""))</f>
        <v>2</v>
      </c>
      <c r="I5" s="113">
        <f>IF(DayWeekNo($A$2&amp;"0101")=I2,1,IF(DayWeekNo($A$2&amp;"0101")&lt;I2,H5+1,""))</f>
        <v>3</v>
      </c>
      <c r="J5" s="113">
        <f>IF(DayWeekNo($A$2&amp;"0101")=J2,1,IF(DayWeekNo($A$2&amp;"0101")&lt;J2,I5+1,""))</f>
        <v>4</v>
      </c>
      <c r="K5" s="113">
        <f>IF(DayWeekNo($A$2&amp;"0101")=K2,1,IF(DayWeekNo($A$2&amp;"0101")&lt;K2,J5+1,""))</f>
        <v>5</v>
      </c>
      <c r="L5" s="113">
        <f>IF(DayWeekNo($A$2&amp;"0101")=L2,1,IF(DayWeekNo($A$2&amp;"0101")&lt;L2,K5+1,""))</f>
        <v>6</v>
      </c>
      <c r="M5" s="117"/>
      <c r="O5" s="114"/>
      <c r="P5" s="113" t="str">
        <f>IF(DayWeekNo($A$2&amp;"0201")=P2,1,IF(DayWeekNo($A$2&amp;"0201")&lt;P2,O5+1,""))</f>
        <v/>
      </c>
      <c r="Q5" s="113" t="str">
        <f>IF(DayWeekNo($A$2&amp;"0201")=Q2,1,IF(DayWeekNo($A$2&amp;"0201")&lt;Q2,P5+1,""))</f>
        <v/>
      </c>
      <c r="R5" s="113" t="str">
        <f>IF(DayWeekNo($A$2&amp;"0201")=R2,1,IF(DayWeekNo($A$2&amp;"0201")&lt;R2,Q5+1,""))</f>
        <v/>
      </c>
      <c r="S5" s="113" t="str">
        <f>IF(DayWeekNo($A$2&amp;"0201")=S2,1,IF(DayWeekNo($A$2&amp;"0201")&lt;S2,R5+1,""))</f>
        <v/>
      </c>
      <c r="T5" s="113">
        <f>IF(DayWeekNo($A$2&amp;"0201")=T2,1,IF(DayWeekNo($A$2&amp;"0201")&lt;T2,S5+1,""))</f>
        <v>1</v>
      </c>
      <c r="U5" s="113">
        <f>IF(DayWeekNo($A$2&amp;"0201")=U2,1,IF(DayWeekNo($A$2&amp;"0201")&lt;U2,T5+1,""))</f>
        <v>2</v>
      </c>
      <c r="V5" s="113">
        <f>IF(DayWeekNo($A$2&amp;"0201")=V2,1,IF(DayWeekNo($A$2&amp;"0201")&lt;V2,U5+1,""))</f>
        <v>3</v>
      </c>
      <c r="Y5" s="114"/>
      <c r="Z5" s="113">
        <f>IF(DayWeekNo($A$2&amp;"0301")=Z2,1,IF(DayWeekNo($A$2&amp;"0301")&lt;Z2,Y5+1,""))</f>
        <v>1</v>
      </c>
      <c r="AA5" s="113">
        <f>IF(DayWeekNo($A$2&amp;"0301")=AA2,1,IF(DayWeekNo($A$2&amp;"0301")&lt;AA2,Z5+1,""))</f>
        <v>2</v>
      </c>
      <c r="AB5" s="113">
        <f>IF(DayWeekNo($A$2&amp;"0301")=AB2,1,IF(DayWeekNo($A$2&amp;"0301")&lt;AB2,AA5+1,""))</f>
        <v>3</v>
      </c>
      <c r="AC5" s="113">
        <f>IF(DayWeekNo($A$2&amp;"0301")=AC2,1,IF(DayWeekNo($A$2&amp;"0301")&lt;AC2,AB5+1,""))</f>
        <v>4</v>
      </c>
      <c r="AD5" s="113">
        <f>IF(DayWeekNo($A$2&amp;"0301")=AD2,1,IF(DayWeekNo($A$2&amp;"0301")&lt;AD2,AC5+1,""))</f>
        <v>5</v>
      </c>
      <c r="AE5" s="113">
        <f>IF(DayWeekNo($A$2&amp;"0301")=AE2,1,IF(DayWeekNo($A$2&amp;"0301")&lt;AE2,AD5+1,""))</f>
        <v>6</v>
      </c>
      <c r="AF5" s="113">
        <f>IF(DayWeekNo($A$2&amp;"0301")=AF2,1,IF(DayWeekNo($A$2&amp;"0301")&lt;AF2,AE5+1,""))</f>
        <v>7</v>
      </c>
      <c r="AG5" s="117"/>
    </row>
    <row r="6" spans="1:33" ht="24" customHeight="1" x14ac:dyDescent="0.25">
      <c r="A6" s="10" t="s">
        <v>102</v>
      </c>
      <c r="D6" s="194"/>
      <c r="E6" s="114"/>
      <c r="F6" s="113">
        <f>IFERROR(IF(L5+1&lt;=31,L5+1,""),"")</f>
        <v>7</v>
      </c>
      <c r="G6" s="113">
        <f>IFERROR(IF(F6+1&lt;=31,F6+1,""),"")</f>
        <v>8</v>
      </c>
      <c r="H6" s="113">
        <f t="shared" ref="H6:L6" si="0">IFERROR(IF(G6+1&lt;=31,G6+1,""),"")</f>
        <v>9</v>
      </c>
      <c r="I6" s="113">
        <f t="shared" si="0"/>
        <v>10</v>
      </c>
      <c r="J6" s="113">
        <f t="shared" si="0"/>
        <v>11</v>
      </c>
      <c r="K6" s="113">
        <f t="shared" si="0"/>
        <v>12</v>
      </c>
      <c r="L6" s="113">
        <f t="shared" si="0"/>
        <v>13</v>
      </c>
      <c r="M6" s="117"/>
      <c r="O6" s="114"/>
      <c r="P6" s="113">
        <f>IFERROR(IF(V5+1&lt;=31,V5+1,""),"")</f>
        <v>4</v>
      </c>
      <c r="Q6" s="113">
        <f>IFERROR(IF(P6+1&lt;=31,P6+1,""),"")</f>
        <v>5</v>
      </c>
      <c r="R6" s="113">
        <f t="shared" ref="R6:V6" si="1">IFERROR(IF(Q6+1&lt;=31,Q6+1,""),"")</f>
        <v>6</v>
      </c>
      <c r="S6" s="113">
        <f t="shared" si="1"/>
        <v>7</v>
      </c>
      <c r="T6" s="113">
        <f t="shared" si="1"/>
        <v>8</v>
      </c>
      <c r="U6" s="113">
        <f t="shared" si="1"/>
        <v>9</v>
      </c>
      <c r="V6" s="113">
        <f t="shared" si="1"/>
        <v>10</v>
      </c>
      <c r="Y6" s="114"/>
      <c r="Z6" s="113">
        <f>IFERROR(IF(AF5+1&lt;=31,AF5+1,""),"")</f>
        <v>8</v>
      </c>
      <c r="AA6" s="113">
        <f>IFERROR(IF(Z6+1&lt;=31,Z6+1,""),"")</f>
        <v>9</v>
      </c>
      <c r="AB6" s="113">
        <f t="shared" ref="AB6:AF6" si="2">IFERROR(IF(AA6+1&lt;=31,AA6+1,""),"")</f>
        <v>10</v>
      </c>
      <c r="AC6" s="113">
        <f t="shared" si="2"/>
        <v>11</v>
      </c>
      <c r="AD6" s="113">
        <f t="shared" si="2"/>
        <v>12</v>
      </c>
      <c r="AE6" s="113">
        <f t="shared" si="2"/>
        <v>13</v>
      </c>
      <c r="AF6" s="113">
        <f t="shared" si="2"/>
        <v>14</v>
      </c>
      <c r="AG6" s="117"/>
    </row>
    <row r="7" spans="1:33" ht="24" customHeight="1" x14ac:dyDescent="0.25">
      <c r="A7" s="11" t="s">
        <v>103</v>
      </c>
      <c r="D7" s="194"/>
      <c r="E7" s="114"/>
      <c r="F7" s="113">
        <f t="shared" ref="F7:F9" si="3">IFERROR(IF(L6+1&lt;=31,L6+1,""),"")</f>
        <v>14</v>
      </c>
      <c r="G7" s="113">
        <f t="shared" ref="G7:L7" si="4">IFERROR(IF(F7+1&lt;=31,F7+1,""),"")</f>
        <v>15</v>
      </c>
      <c r="H7" s="113">
        <f t="shared" si="4"/>
        <v>16</v>
      </c>
      <c r="I7" s="113">
        <f t="shared" si="4"/>
        <v>17</v>
      </c>
      <c r="J7" s="113">
        <f t="shared" si="4"/>
        <v>18</v>
      </c>
      <c r="K7" s="113">
        <f t="shared" si="4"/>
        <v>19</v>
      </c>
      <c r="L7" s="113">
        <f t="shared" si="4"/>
        <v>20</v>
      </c>
      <c r="M7" s="117"/>
      <c r="O7" s="114"/>
      <c r="P7" s="113">
        <f t="shared" ref="P7:P9" si="5">IFERROR(IF(V6+1&lt;=31,V6+1,""),"")</f>
        <v>11</v>
      </c>
      <c r="Q7" s="113">
        <f t="shared" ref="Q7:V7" si="6">IFERROR(IF(P7+1&lt;=31,P7+1,""),"")</f>
        <v>12</v>
      </c>
      <c r="R7" s="113">
        <f t="shared" si="6"/>
        <v>13</v>
      </c>
      <c r="S7" s="113">
        <f t="shared" si="6"/>
        <v>14</v>
      </c>
      <c r="T7" s="113">
        <f t="shared" si="6"/>
        <v>15</v>
      </c>
      <c r="U7" s="113">
        <f t="shared" si="6"/>
        <v>16</v>
      </c>
      <c r="V7" s="113">
        <f t="shared" si="6"/>
        <v>17</v>
      </c>
      <c r="Y7" s="114"/>
      <c r="Z7" s="113">
        <f t="shared" ref="Z7:Z9" si="7">IFERROR(IF(AF6+1&lt;=31,AF6+1,""),"")</f>
        <v>15</v>
      </c>
      <c r="AA7" s="113">
        <f t="shared" ref="AA7:AF7" si="8">IFERROR(IF(Z7+1&lt;=31,Z7+1,""),"")</f>
        <v>16</v>
      </c>
      <c r="AB7" s="113">
        <f t="shared" si="8"/>
        <v>17</v>
      </c>
      <c r="AC7" s="113">
        <f t="shared" si="8"/>
        <v>18</v>
      </c>
      <c r="AD7" s="113">
        <f t="shared" si="8"/>
        <v>19</v>
      </c>
      <c r="AE7" s="113">
        <f t="shared" si="8"/>
        <v>20</v>
      </c>
      <c r="AF7" s="113">
        <f t="shared" si="8"/>
        <v>21</v>
      </c>
      <c r="AG7" s="117"/>
    </row>
    <row r="8" spans="1:33" ht="24" customHeight="1" x14ac:dyDescent="0.25">
      <c r="A8" s="33" t="s">
        <v>104</v>
      </c>
      <c r="D8" s="194"/>
      <c r="E8" s="114"/>
      <c r="F8" s="113">
        <f t="shared" si="3"/>
        <v>21</v>
      </c>
      <c r="G8" s="113">
        <f t="shared" ref="G8:L8" si="9">IFERROR(IF(F8+1&lt;=31,F8+1,""),"")</f>
        <v>22</v>
      </c>
      <c r="H8" s="113">
        <f t="shared" si="9"/>
        <v>23</v>
      </c>
      <c r="I8" s="113">
        <f t="shared" si="9"/>
        <v>24</v>
      </c>
      <c r="J8" s="113">
        <f t="shared" si="9"/>
        <v>25</v>
      </c>
      <c r="K8" s="113">
        <f t="shared" si="9"/>
        <v>26</v>
      </c>
      <c r="L8" s="113">
        <f t="shared" si="9"/>
        <v>27</v>
      </c>
      <c r="M8" s="117"/>
      <c r="O8" s="114"/>
      <c r="P8" s="113">
        <f t="shared" si="5"/>
        <v>18</v>
      </c>
      <c r="Q8" s="113">
        <f t="shared" ref="Q8:V8" si="10">IFERROR(IF(P8+1&lt;=31,P8+1,""),"")</f>
        <v>19</v>
      </c>
      <c r="R8" s="113">
        <f t="shared" si="10"/>
        <v>20</v>
      </c>
      <c r="S8" s="113">
        <f t="shared" si="10"/>
        <v>21</v>
      </c>
      <c r="T8" s="113">
        <f t="shared" si="10"/>
        <v>22</v>
      </c>
      <c r="U8" s="113">
        <f t="shared" si="10"/>
        <v>23</v>
      </c>
      <c r="V8" s="113">
        <f t="shared" si="10"/>
        <v>24</v>
      </c>
      <c r="Y8" s="114"/>
      <c r="Z8" s="113">
        <f t="shared" si="7"/>
        <v>22</v>
      </c>
      <c r="AA8" s="113">
        <f t="shared" ref="AA8:AF8" si="11">IFERROR(IF(Z8+1&lt;=31,Z8+1,""),"")</f>
        <v>23</v>
      </c>
      <c r="AB8" s="113">
        <f t="shared" si="11"/>
        <v>24</v>
      </c>
      <c r="AC8" s="113">
        <f t="shared" si="11"/>
        <v>25</v>
      </c>
      <c r="AD8" s="113">
        <f t="shared" si="11"/>
        <v>26</v>
      </c>
      <c r="AE8" s="113">
        <f t="shared" si="11"/>
        <v>27</v>
      </c>
      <c r="AF8" s="113">
        <f t="shared" si="11"/>
        <v>28</v>
      </c>
      <c r="AG8" s="117"/>
    </row>
    <row r="9" spans="1:33" ht="24" customHeight="1" x14ac:dyDescent="0.25">
      <c r="A9" s="12" t="s">
        <v>110</v>
      </c>
      <c r="D9" s="194"/>
      <c r="E9" s="114"/>
      <c r="F9" s="113">
        <f t="shared" si="3"/>
        <v>28</v>
      </c>
      <c r="G9" s="113">
        <f t="shared" ref="G9:L10" si="12">IFERROR(IF(F9+1&lt;=31,F9+1,""),"")</f>
        <v>29</v>
      </c>
      <c r="H9" s="113">
        <f t="shared" si="12"/>
        <v>30</v>
      </c>
      <c r="I9" s="113">
        <f t="shared" si="12"/>
        <v>31</v>
      </c>
      <c r="J9" s="113" t="str">
        <f t="shared" si="12"/>
        <v/>
      </c>
      <c r="K9" s="113" t="str">
        <f t="shared" si="12"/>
        <v/>
      </c>
      <c r="L9" s="113" t="str">
        <f t="shared" si="12"/>
        <v/>
      </c>
      <c r="M9" s="117"/>
      <c r="O9" s="114"/>
      <c r="P9" s="113">
        <f t="shared" si="5"/>
        <v>25</v>
      </c>
      <c r="Q9" s="113">
        <f t="shared" ref="Q9:V10" si="13">IFERROR(IF(P9+1&lt;=31,P9+1,""),"")</f>
        <v>26</v>
      </c>
      <c r="R9" s="113">
        <f t="shared" si="13"/>
        <v>27</v>
      </c>
      <c r="S9" s="113">
        <f t="shared" si="13"/>
        <v>28</v>
      </c>
      <c r="T9" s="113">
        <f t="shared" si="13"/>
        <v>29</v>
      </c>
      <c r="U9" s="113">
        <f t="shared" si="13"/>
        <v>30</v>
      </c>
      <c r="V9" s="113">
        <f t="shared" si="13"/>
        <v>31</v>
      </c>
      <c r="Y9" s="114"/>
      <c r="Z9" s="113">
        <f t="shared" si="7"/>
        <v>29</v>
      </c>
      <c r="AA9" s="113">
        <f t="shared" ref="AA9:AF10" si="14">IFERROR(IF(Z9+1&lt;=31,Z9+1,""),"")</f>
        <v>30</v>
      </c>
      <c r="AB9" s="113">
        <f t="shared" si="14"/>
        <v>31</v>
      </c>
      <c r="AC9" s="113" t="str">
        <f t="shared" si="14"/>
        <v/>
      </c>
      <c r="AD9" s="113" t="str">
        <f t="shared" si="14"/>
        <v/>
      </c>
      <c r="AE9" s="113" t="str">
        <f t="shared" si="14"/>
        <v/>
      </c>
      <c r="AF9" s="113" t="str">
        <f t="shared" si="14"/>
        <v/>
      </c>
      <c r="AG9" s="117"/>
    </row>
    <row r="10" spans="1:33" ht="24" customHeight="1" x14ac:dyDescent="0.25">
      <c r="A10" s="13" t="s">
        <v>89</v>
      </c>
      <c r="D10" s="194"/>
      <c r="E10" s="114"/>
      <c r="F10" s="113" t="str">
        <f t="shared" ref="F10" si="15">IFERROR(IF(L9+1&lt;=31,L9+1,""),"")</f>
        <v/>
      </c>
      <c r="G10" s="113" t="str">
        <f t="shared" si="12"/>
        <v/>
      </c>
      <c r="H10" s="113" t="str">
        <f t="shared" si="12"/>
        <v/>
      </c>
      <c r="I10" s="113" t="str">
        <f t="shared" si="12"/>
        <v/>
      </c>
      <c r="J10" s="113" t="str">
        <f t="shared" si="12"/>
        <v/>
      </c>
      <c r="K10" s="113" t="str">
        <f t="shared" si="12"/>
        <v/>
      </c>
      <c r="L10" s="113" t="str">
        <f t="shared" si="12"/>
        <v/>
      </c>
      <c r="O10" s="114"/>
      <c r="P10" s="113" t="str">
        <f t="shared" ref="P10" si="16">IFERROR(IF(V9+1&lt;=31,V9+1,""),"")</f>
        <v/>
      </c>
      <c r="Q10" s="113" t="str">
        <f t="shared" si="13"/>
        <v/>
      </c>
      <c r="R10" s="113" t="str">
        <f t="shared" si="13"/>
        <v/>
      </c>
      <c r="S10" s="113" t="str">
        <f t="shared" si="13"/>
        <v/>
      </c>
      <c r="T10" s="113" t="str">
        <f t="shared" si="13"/>
        <v/>
      </c>
      <c r="U10" s="113" t="str">
        <f t="shared" si="13"/>
        <v/>
      </c>
      <c r="V10" s="113" t="str">
        <f t="shared" si="13"/>
        <v/>
      </c>
      <c r="Y10" s="114"/>
      <c r="Z10" s="113" t="str">
        <f t="shared" ref="Z10" si="17">IFERROR(IF(AF9+1&lt;=31,AF9+1,""),"")</f>
        <v/>
      </c>
      <c r="AA10" s="113" t="str">
        <f t="shared" si="14"/>
        <v/>
      </c>
      <c r="AB10" s="113" t="str">
        <f t="shared" si="14"/>
        <v/>
      </c>
      <c r="AC10" s="113" t="str">
        <f t="shared" si="14"/>
        <v/>
      </c>
      <c r="AD10" s="113" t="str">
        <f t="shared" si="14"/>
        <v/>
      </c>
      <c r="AE10" s="113" t="str">
        <f t="shared" si="14"/>
        <v/>
      </c>
      <c r="AF10" s="113" t="str">
        <f t="shared" si="14"/>
        <v/>
      </c>
    </row>
    <row r="11" spans="1:33" ht="24" customHeight="1" x14ac:dyDescent="0.25">
      <c r="A11" s="23" t="s">
        <v>111</v>
      </c>
      <c r="D11" s="123"/>
      <c r="E11" s="123"/>
      <c r="F11" s="123">
        <v>0</v>
      </c>
      <c r="G11" s="123">
        <v>1</v>
      </c>
      <c r="H11" s="123">
        <v>2</v>
      </c>
      <c r="I11" s="123">
        <v>3</v>
      </c>
      <c r="J11" s="123">
        <v>4</v>
      </c>
      <c r="K11" s="123">
        <v>5</v>
      </c>
      <c r="L11" s="123">
        <v>6</v>
      </c>
      <c r="M11" s="124"/>
      <c r="N11" s="124"/>
      <c r="O11" s="123"/>
      <c r="P11" s="123">
        <v>0</v>
      </c>
      <c r="Q11" s="123">
        <v>1</v>
      </c>
      <c r="R11" s="123">
        <v>2</v>
      </c>
      <c r="S11" s="123">
        <v>3</v>
      </c>
      <c r="T11" s="123">
        <v>4</v>
      </c>
      <c r="U11" s="123">
        <v>5</v>
      </c>
      <c r="V11" s="123">
        <v>6</v>
      </c>
      <c r="W11" s="124"/>
      <c r="X11" s="124"/>
      <c r="Y11" s="124"/>
      <c r="Z11" s="123">
        <v>0</v>
      </c>
      <c r="AA11" s="123">
        <v>1</v>
      </c>
      <c r="AB11" s="123">
        <v>2</v>
      </c>
      <c r="AC11" s="123">
        <v>3</v>
      </c>
      <c r="AD11" s="123">
        <v>4</v>
      </c>
      <c r="AE11" s="123">
        <v>5</v>
      </c>
      <c r="AF11" s="123">
        <v>6</v>
      </c>
      <c r="AG11" s="124"/>
    </row>
    <row r="12" spans="1:33" ht="24" customHeight="1" x14ac:dyDescent="0.25">
      <c r="A12" s="14" t="s">
        <v>105</v>
      </c>
      <c r="D12" s="193" t="s">
        <v>356</v>
      </c>
      <c r="E12" s="118"/>
      <c r="F12" s="191" t="s">
        <v>357</v>
      </c>
      <c r="G12" s="191"/>
      <c r="H12" s="191"/>
      <c r="I12" s="191"/>
      <c r="J12" s="191"/>
      <c r="K12" s="191"/>
      <c r="L12" s="191"/>
      <c r="M12" s="119"/>
      <c r="O12" s="118"/>
      <c r="P12" s="191" t="s">
        <v>359</v>
      </c>
      <c r="Q12" s="191"/>
      <c r="R12" s="191"/>
      <c r="S12" s="191"/>
      <c r="T12" s="191"/>
      <c r="U12" s="191"/>
      <c r="V12" s="191"/>
      <c r="W12" s="119"/>
      <c r="Y12" s="118"/>
      <c r="Z12" s="191" t="s">
        <v>360</v>
      </c>
      <c r="AA12" s="191"/>
      <c r="AB12" s="191"/>
      <c r="AC12" s="191"/>
      <c r="AD12" s="191"/>
      <c r="AE12" s="191"/>
      <c r="AF12" s="191"/>
      <c r="AG12" s="119"/>
    </row>
    <row r="13" spans="1:33" ht="24" customHeight="1" thickBot="1" x14ac:dyDescent="0.3">
      <c r="A13" s="15" t="s">
        <v>98</v>
      </c>
      <c r="D13" s="193"/>
      <c r="E13" s="118"/>
      <c r="F13" s="115" t="s">
        <v>347</v>
      </c>
      <c r="G13" s="115" t="s">
        <v>349</v>
      </c>
      <c r="H13" s="115" t="s">
        <v>350</v>
      </c>
      <c r="I13" s="115" t="s">
        <v>351</v>
      </c>
      <c r="J13" s="115" t="s">
        <v>352</v>
      </c>
      <c r="K13" s="115" t="s">
        <v>353</v>
      </c>
      <c r="L13" s="115" t="s">
        <v>348</v>
      </c>
      <c r="M13" s="119"/>
      <c r="O13" s="118"/>
      <c r="P13" s="115" t="s">
        <v>347</v>
      </c>
      <c r="Q13" s="115" t="s">
        <v>349</v>
      </c>
      <c r="R13" s="115" t="s">
        <v>350</v>
      </c>
      <c r="S13" s="115" t="s">
        <v>351</v>
      </c>
      <c r="T13" s="115" t="s">
        <v>352</v>
      </c>
      <c r="U13" s="115" t="s">
        <v>353</v>
      </c>
      <c r="V13" s="115" t="s">
        <v>348</v>
      </c>
      <c r="W13" s="119"/>
      <c r="Y13" s="118"/>
      <c r="Z13" s="115" t="s">
        <v>347</v>
      </c>
      <c r="AA13" s="115" t="s">
        <v>349</v>
      </c>
      <c r="AB13" s="115" t="s">
        <v>350</v>
      </c>
      <c r="AC13" s="115" t="s">
        <v>351</v>
      </c>
      <c r="AD13" s="115" t="s">
        <v>352</v>
      </c>
      <c r="AE13" s="115" t="s">
        <v>353</v>
      </c>
      <c r="AF13" s="115" t="s">
        <v>348</v>
      </c>
      <c r="AG13" s="119"/>
    </row>
    <row r="14" spans="1:33" ht="24" customHeight="1" x14ac:dyDescent="0.25">
      <c r="A14" s="128" t="s">
        <v>99</v>
      </c>
      <c r="D14" s="193"/>
      <c r="E14" s="118"/>
      <c r="F14" s="113" t="str">
        <f>IF(DayWeekNo($A$2&amp;"0401")=F11,1,IF(DayWeekNo($A$2&amp;"0401")&lt;F11,E14+1,""))</f>
        <v/>
      </c>
      <c r="G14" s="113" t="str">
        <f>IF(DayWeekNo($A$2&amp;"0401")=G11,1,IF(DayWeekNo($A$2&amp;"0401")&lt;G11,F14+1,""))</f>
        <v/>
      </c>
      <c r="H14" s="113" t="str">
        <f>IF(DayWeekNo($A$2&amp;"0401")=H11,1,IF(DayWeekNo($A$2&amp;"0401")&lt;H11,G14+1,""))</f>
        <v/>
      </c>
      <c r="I14" s="113">
        <f>IF(DayWeekNo($A$2&amp;"0401")=I11,1,IF(DayWeekNo($A$2&amp;"0401")&lt;I11,H14+1,""))</f>
        <v>1</v>
      </c>
      <c r="J14" s="113">
        <f>IF(DayWeekNo($A$2&amp;"0401")=J11,1,IF(DayWeekNo($A$2&amp;"0401")&lt;J11,I14+1,""))</f>
        <v>2</v>
      </c>
      <c r="K14" s="113">
        <f>IF(DayWeekNo($A$2&amp;"0401")=K11,1,IF(DayWeekNo($A$2&amp;"0401")&lt;K11,J14+1,""))</f>
        <v>3</v>
      </c>
      <c r="L14" s="113">
        <f>IF(DayWeekNo($A$2&amp;"0401")=L11,1,IF(DayWeekNo($A$2&amp;"0401")&lt;L11,K14+1,""))</f>
        <v>4</v>
      </c>
      <c r="M14" s="117"/>
      <c r="O14" s="118"/>
      <c r="P14" s="113" t="str">
        <f>IF(DayWeekNo($A$2&amp;"0501")=P11,1,IF(DayWeekNo($A$2&amp;"0501")&lt;P11,O14+1,""))</f>
        <v/>
      </c>
      <c r="Q14" s="113" t="str">
        <f>IF(DayWeekNo($A$2&amp;"0501")=Q11,1,IF(DayWeekNo($A$2&amp;"0501")&lt;Q11,P14+1,""))</f>
        <v/>
      </c>
      <c r="R14" s="113" t="str">
        <f>IF(DayWeekNo($A$2&amp;"0501")=R11,1,IF(DayWeekNo($A$2&amp;"0501")&lt;R11,Q14+1,""))</f>
        <v/>
      </c>
      <c r="S14" s="113" t="str">
        <f>IF(DayWeekNo($A$2&amp;"0501")=S11,1,IF(DayWeekNo($A$2&amp;"0501")&lt;S11,R14+1,""))</f>
        <v/>
      </c>
      <c r="T14" s="113" t="str">
        <f>IF(DayWeekNo($A$2&amp;"0501")=T11,1,IF(DayWeekNo($A$2&amp;"0501")&lt;T11,S14+1,""))</f>
        <v/>
      </c>
      <c r="U14" s="113" t="str">
        <f>IF(DayWeekNo($A$2&amp;"0501")=U11,1,IF(DayWeekNo($A$2&amp;"0501")&lt;U11,T14+1,""))</f>
        <v/>
      </c>
      <c r="V14" s="113">
        <f>IF(DayWeekNo($A$2&amp;"0501")=V11,1,IF(DayWeekNo($A$2&amp;"0501")&lt;V11,U14+1,""))</f>
        <v>1</v>
      </c>
      <c r="W14" s="117"/>
      <c r="Y14" s="118"/>
      <c r="Z14" s="113" t="str">
        <f>IF(DayWeekNo($A$2&amp;"0601")=Z11,1,IF(DayWeekNo($A$2&amp;"0601")&lt;Z11,Y14+1,""))</f>
        <v/>
      </c>
      <c r="AA14" s="113" t="str">
        <f>IF(DayWeekNo($A$2&amp;"0601")=AA11,1,IF(DayWeekNo($A$2&amp;"0601")&lt;AA11,Z14+1,""))</f>
        <v/>
      </c>
      <c r="AB14" s="113">
        <f>IF(DayWeekNo($A$2&amp;"0601")=AB11,1,IF(DayWeekNo($A$2&amp;"0601")&lt;AB11,AA14+1,""))</f>
        <v>1</v>
      </c>
      <c r="AC14" s="113">
        <f>IF(DayWeekNo($A$2&amp;"0601")=AC11,1,IF(DayWeekNo($A$2&amp;"0601")&lt;AC11,AB14+1,""))</f>
        <v>2</v>
      </c>
      <c r="AD14" s="113">
        <f>IF(DayWeekNo($A$2&amp;"0601")=AD11,1,IF(DayWeekNo($A$2&amp;"0601")&lt;AD11,AC14+1,""))</f>
        <v>3</v>
      </c>
      <c r="AE14" s="113">
        <f>IF(DayWeekNo($A$2&amp;"0601")=AE11,1,IF(DayWeekNo($A$2&amp;"0601")&lt;AE11,AD14+1,""))</f>
        <v>4</v>
      </c>
      <c r="AF14" s="113">
        <f>IF(DayWeekNo($A$2&amp;"0601")=AF11,1,IF(DayWeekNo($A$2&amp;"0601")&lt;AF11,AE14+1,""))</f>
        <v>5</v>
      </c>
      <c r="AG14" s="117"/>
    </row>
    <row r="15" spans="1:33" ht="24" customHeight="1" x14ac:dyDescent="0.25">
      <c r="A15" s="109" t="s">
        <v>100</v>
      </c>
      <c r="D15" s="193"/>
      <c r="E15" s="118"/>
      <c r="F15" s="113">
        <f>IFERROR(IF(L14+1&lt;=31,L14+1,""),"")</f>
        <v>5</v>
      </c>
      <c r="G15" s="113">
        <f>IFERROR(IF(F15+1&lt;=31,F15+1,""),"")</f>
        <v>6</v>
      </c>
      <c r="H15" s="113">
        <f t="shared" ref="H15:L15" si="18">IFERROR(IF(G15+1&lt;=31,G15+1,""),"")</f>
        <v>7</v>
      </c>
      <c r="I15" s="113">
        <f t="shared" si="18"/>
        <v>8</v>
      </c>
      <c r="J15" s="113">
        <f t="shared" si="18"/>
        <v>9</v>
      </c>
      <c r="K15" s="113">
        <f t="shared" si="18"/>
        <v>10</v>
      </c>
      <c r="L15" s="113">
        <f t="shared" si="18"/>
        <v>11</v>
      </c>
      <c r="M15" s="117"/>
      <c r="O15" s="118"/>
      <c r="P15" s="113">
        <f>IFERROR(IF(V14+1&lt;=31,V14+1,""),"")</f>
        <v>2</v>
      </c>
      <c r="Q15" s="113">
        <f>IFERROR(IF(P15+1&lt;=31,P15+1,""),"")</f>
        <v>3</v>
      </c>
      <c r="R15" s="113">
        <f t="shared" ref="R15:V15" si="19">IFERROR(IF(Q15+1&lt;=31,Q15+1,""),"")</f>
        <v>4</v>
      </c>
      <c r="S15" s="113">
        <f t="shared" si="19"/>
        <v>5</v>
      </c>
      <c r="T15" s="113">
        <f t="shared" si="19"/>
        <v>6</v>
      </c>
      <c r="U15" s="113">
        <f t="shared" si="19"/>
        <v>7</v>
      </c>
      <c r="V15" s="113">
        <f t="shared" si="19"/>
        <v>8</v>
      </c>
      <c r="W15" s="117"/>
      <c r="Y15" s="118"/>
      <c r="Z15" s="113">
        <f>IFERROR(IF(AF14+1&lt;=31,AF14+1,""),"")</f>
        <v>6</v>
      </c>
      <c r="AA15" s="113">
        <f>IFERROR(IF(Z15+1&lt;=31,Z15+1,""),"")</f>
        <v>7</v>
      </c>
      <c r="AB15" s="113">
        <f t="shared" ref="AB15:AF15" si="20">IFERROR(IF(AA15+1&lt;=31,AA15+1,""),"")</f>
        <v>8</v>
      </c>
      <c r="AC15" s="113">
        <f t="shared" si="20"/>
        <v>9</v>
      </c>
      <c r="AD15" s="113">
        <f t="shared" si="20"/>
        <v>10</v>
      </c>
      <c r="AE15" s="113">
        <f t="shared" si="20"/>
        <v>11</v>
      </c>
      <c r="AF15" s="113">
        <f t="shared" si="20"/>
        <v>12</v>
      </c>
      <c r="AG15" s="117"/>
    </row>
    <row r="16" spans="1:33" ht="24" customHeight="1" x14ac:dyDescent="0.25">
      <c r="D16" s="193"/>
      <c r="E16" s="118"/>
      <c r="F16" s="113">
        <f t="shared" ref="F16:F18" si="21">IFERROR(IF(L15+1&lt;=31,L15+1,""),"")</f>
        <v>12</v>
      </c>
      <c r="G16" s="113">
        <f t="shared" ref="G16:L16" si="22">IFERROR(IF(F16+1&lt;=31,F16+1,""),"")</f>
        <v>13</v>
      </c>
      <c r="H16" s="113">
        <f t="shared" si="22"/>
        <v>14</v>
      </c>
      <c r="I16" s="113">
        <f t="shared" si="22"/>
        <v>15</v>
      </c>
      <c r="J16" s="113">
        <f t="shared" si="22"/>
        <v>16</v>
      </c>
      <c r="K16" s="113">
        <f t="shared" si="22"/>
        <v>17</v>
      </c>
      <c r="L16" s="113">
        <f t="shared" si="22"/>
        <v>18</v>
      </c>
      <c r="M16" s="117"/>
      <c r="O16" s="118"/>
      <c r="P16" s="113">
        <f t="shared" ref="P16:P18" si="23">IFERROR(IF(V15+1&lt;=31,V15+1,""),"")</f>
        <v>9</v>
      </c>
      <c r="Q16" s="113">
        <f t="shared" ref="Q16:V16" si="24">IFERROR(IF(P16+1&lt;=31,P16+1,""),"")</f>
        <v>10</v>
      </c>
      <c r="R16" s="113">
        <f t="shared" si="24"/>
        <v>11</v>
      </c>
      <c r="S16" s="113">
        <f t="shared" si="24"/>
        <v>12</v>
      </c>
      <c r="T16" s="113">
        <f t="shared" si="24"/>
        <v>13</v>
      </c>
      <c r="U16" s="113">
        <f t="shared" si="24"/>
        <v>14</v>
      </c>
      <c r="V16" s="113">
        <f t="shared" si="24"/>
        <v>15</v>
      </c>
      <c r="W16" s="117"/>
      <c r="Y16" s="118"/>
      <c r="Z16" s="113">
        <f t="shared" ref="Z16:Z19" si="25">IFERROR(IF(AF15+1&lt;=31,AF15+1,""),"")</f>
        <v>13</v>
      </c>
      <c r="AA16" s="113">
        <f t="shared" ref="AA16:AF16" si="26">IFERROR(IF(Z16+1&lt;=31,Z16+1,""),"")</f>
        <v>14</v>
      </c>
      <c r="AB16" s="113">
        <f t="shared" si="26"/>
        <v>15</v>
      </c>
      <c r="AC16" s="113">
        <f t="shared" si="26"/>
        <v>16</v>
      </c>
      <c r="AD16" s="113">
        <f t="shared" si="26"/>
        <v>17</v>
      </c>
      <c r="AE16" s="113">
        <f t="shared" si="26"/>
        <v>18</v>
      </c>
      <c r="AF16" s="113">
        <f t="shared" si="26"/>
        <v>19</v>
      </c>
      <c r="AG16" s="117"/>
    </row>
    <row r="17" spans="4:33" ht="21" x14ac:dyDescent="0.25">
      <c r="D17" s="193"/>
      <c r="E17" s="118"/>
      <c r="F17" s="113">
        <f t="shared" si="21"/>
        <v>19</v>
      </c>
      <c r="G17" s="113">
        <f t="shared" ref="G17:L17" si="27">IFERROR(IF(F17+1&lt;=31,F17+1,""),"")</f>
        <v>20</v>
      </c>
      <c r="H17" s="113">
        <f t="shared" si="27"/>
        <v>21</v>
      </c>
      <c r="I17" s="113">
        <f t="shared" si="27"/>
        <v>22</v>
      </c>
      <c r="J17" s="113">
        <f t="shared" si="27"/>
        <v>23</v>
      </c>
      <c r="K17" s="113">
        <f t="shared" si="27"/>
        <v>24</v>
      </c>
      <c r="L17" s="113">
        <f t="shared" si="27"/>
        <v>25</v>
      </c>
      <c r="M17" s="117"/>
      <c r="O17" s="118"/>
      <c r="P17" s="113">
        <f t="shared" si="23"/>
        <v>16</v>
      </c>
      <c r="Q17" s="113">
        <f t="shared" ref="Q17:V17" si="28">IFERROR(IF(P17+1&lt;=31,P17+1,""),"")</f>
        <v>17</v>
      </c>
      <c r="R17" s="113">
        <f t="shared" si="28"/>
        <v>18</v>
      </c>
      <c r="S17" s="113">
        <f t="shared" si="28"/>
        <v>19</v>
      </c>
      <c r="T17" s="113">
        <f t="shared" si="28"/>
        <v>20</v>
      </c>
      <c r="U17" s="113">
        <f t="shared" si="28"/>
        <v>21</v>
      </c>
      <c r="V17" s="113">
        <f t="shared" si="28"/>
        <v>22</v>
      </c>
      <c r="W17" s="117"/>
      <c r="Y17" s="118"/>
      <c r="Z17" s="113">
        <f t="shared" si="25"/>
        <v>20</v>
      </c>
      <c r="AA17" s="113">
        <f t="shared" ref="AA17:AF17" si="29">IFERROR(IF(Z17+1&lt;=31,Z17+1,""),"")</f>
        <v>21</v>
      </c>
      <c r="AB17" s="113">
        <f t="shared" si="29"/>
        <v>22</v>
      </c>
      <c r="AC17" s="113">
        <f t="shared" si="29"/>
        <v>23</v>
      </c>
      <c r="AD17" s="113">
        <f t="shared" si="29"/>
        <v>24</v>
      </c>
      <c r="AE17" s="113">
        <f t="shared" si="29"/>
        <v>25</v>
      </c>
      <c r="AF17" s="113">
        <f t="shared" si="29"/>
        <v>26</v>
      </c>
      <c r="AG17" s="117"/>
    </row>
    <row r="18" spans="4:33" ht="21" x14ac:dyDescent="0.25">
      <c r="D18" s="193"/>
      <c r="E18" s="118"/>
      <c r="F18" s="113">
        <f t="shared" si="21"/>
        <v>26</v>
      </c>
      <c r="G18" s="113">
        <f t="shared" ref="G18:L19" si="30">IFERROR(IF(F18+1&lt;=31,F18+1,""),"")</f>
        <v>27</v>
      </c>
      <c r="H18" s="113">
        <f t="shared" si="30"/>
        <v>28</v>
      </c>
      <c r="I18" s="113">
        <f t="shared" si="30"/>
        <v>29</v>
      </c>
      <c r="J18" s="113">
        <f t="shared" si="30"/>
        <v>30</v>
      </c>
      <c r="K18" s="113">
        <f t="shared" si="30"/>
        <v>31</v>
      </c>
      <c r="L18" s="113" t="str">
        <f t="shared" si="30"/>
        <v/>
      </c>
      <c r="M18" s="117"/>
      <c r="O18" s="118"/>
      <c r="P18" s="113">
        <f t="shared" si="23"/>
        <v>23</v>
      </c>
      <c r="Q18" s="113">
        <f t="shared" ref="Q18:V19" si="31">IFERROR(IF(P18+1&lt;=31,P18+1,""),"")</f>
        <v>24</v>
      </c>
      <c r="R18" s="113">
        <f t="shared" si="31"/>
        <v>25</v>
      </c>
      <c r="S18" s="113">
        <f t="shared" si="31"/>
        <v>26</v>
      </c>
      <c r="T18" s="113">
        <f t="shared" si="31"/>
        <v>27</v>
      </c>
      <c r="U18" s="113">
        <f t="shared" si="31"/>
        <v>28</v>
      </c>
      <c r="V18" s="113">
        <f t="shared" si="31"/>
        <v>29</v>
      </c>
      <c r="W18" s="117"/>
      <c r="Y18" s="118"/>
      <c r="Z18" s="113">
        <f t="shared" si="25"/>
        <v>27</v>
      </c>
      <c r="AA18" s="113">
        <f t="shared" ref="AA18:AF18" si="32">IFERROR(IF(Z18+1&lt;=31,Z18+1,""),"")</f>
        <v>28</v>
      </c>
      <c r="AB18" s="113">
        <f t="shared" si="32"/>
        <v>29</v>
      </c>
      <c r="AC18" s="113">
        <f t="shared" si="32"/>
        <v>30</v>
      </c>
      <c r="AD18" s="113">
        <f t="shared" si="32"/>
        <v>31</v>
      </c>
      <c r="AE18" s="113" t="str">
        <f t="shared" si="32"/>
        <v/>
      </c>
      <c r="AF18" s="113" t="str">
        <f t="shared" si="32"/>
        <v/>
      </c>
      <c r="AG18" s="117"/>
    </row>
    <row r="19" spans="4:33" ht="21" x14ac:dyDescent="0.25">
      <c r="D19" s="193"/>
      <c r="E19" s="119"/>
      <c r="F19" s="113" t="str">
        <f t="shared" ref="F19" si="33">IFERROR(IF(L18+1&lt;=31,L18+1,""),"")</f>
        <v/>
      </c>
      <c r="G19" s="113" t="str">
        <f t="shared" si="30"/>
        <v/>
      </c>
      <c r="H19" s="113" t="str">
        <f t="shared" si="30"/>
        <v/>
      </c>
      <c r="I19" s="113" t="str">
        <f t="shared" si="30"/>
        <v/>
      </c>
      <c r="J19" s="113" t="str">
        <f t="shared" si="30"/>
        <v/>
      </c>
      <c r="K19" s="113" t="str">
        <f t="shared" si="30"/>
        <v/>
      </c>
      <c r="L19" s="113" t="str">
        <f t="shared" si="30"/>
        <v/>
      </c>
      <c r="O19" s="119"/>
      <c r="P19" s="113">
        <f t="shared" ref="P19" si="34">IFERROR(IF(V18+1&lt;=31,V18+1,""),"")</f>
        <v>30</v>
      </c>
      <c r="Q19" s="113">
        <f t="shared" si="31"/>
        <v>31</v>
      </c>
      <c r="R19" s="113" t="str">
        <f t="shared" si="31"/>
        <v/>
      </c>
      <c r="S19" s="113" t="str">
        <f t="shared" si="31"/>
        <v/>
      </c>
      <c r="T19" s="113" t="str">
        <f t="shared" si="31"/>
        <v/>
      </c>
      <c r="U19" s="113" t="str">
        <f t="shared" si="31"/>
        <v/>
      </c>
      <c r="V19" s="113" t="str">
        <f t="shared" si="31"/>
        <v/>
      </c>
      <c r="Y19" s="119"/>
      <c r="Z19" s="113" t="str">
        <f t="shared" si="25"/>
        <v/>
      </c>
      <c r="AA19" s="113" t="str">
        <f t="shared" ref="AA19:AF19" si="35">IFERROR(IF(Z19+1&lt;=31,Z19+1,""),"")</f>
        <v/>
      </c>
      <c r="AB19" s="113" t="str">
        <f t="shared" si="35"/>
        <v/>
      </c>
      <c r="AC19" s="113" t="str">
        <f t="shared" si="35"/>
        <v/>
      </c>
      <c r="AD19" s="113" t="str">
        <f t="shared" si="35"/>
        <v/>
      </c>
      <c r="AE19" s="113" t="str">
        <f t="shared" si="35"/>
        <v/>
      </c>
      <c r="AF19" s="113" t="str">
        <f t="shared" si="35"/>
        <v/>
      </c>
    </row>
    <row r="20" spans="4:33" ht="21" x14ac:dyDescent="0.25">
      <c r="D20" s="123"/>
      <c r="E20" s="123"/>
      <c r="F20" s="123">
        <v>0</v>
      </c>
      <c r="G20" s="123">
        <v>1</v>
      </c>
      <c r="H20" s="123">
        <v>2</v>
      </c>
      <c r="I20" s="123">
        <v>3</v>
      </c>
      <c r="J20" s="123">
        <v>4</v>
      </c>
      <c r="K20" s="123">
        <v>5</v>
      </c>
      <c r="L20" s="123">
        <v>6</v>
      </c>
      <c r="M20" s="124"/>
      <c r="N20" s="124"/>
      <c r="O20" s="123"/>
      <c r="P20" s="123">
        <v>0</v>
      </c>
      <c r="Q20" s="123">
        <v>1</v>
      </c>
      <c r="R20" s="123">
        <v>2</v>
      </c>
      <c r="S20" s="123">
        <v>3</v>
      </c>
      <c r="T20" s="123">
        <v>4</v>
      </c>
      <c r="U20" s="123">
        <v>5</v>
      </c>
      <c r="V20" s="123">
        <v>6</v>
      </c>
      <c r="W20" s="124"/>
      <c r="X20" s="124"/>
      <c r="Y20" s="123"/>
      <c r="Z20" s="123">
        <v>0</v>
      </c>
      <c r="AA20" s="123">
        <v>1</v>
      </c>
      <c r="AB20" s="123">
        <v>2</v>
      </c>
      <c r="AC20" s="123">
        <v>3</v>
      </c>
      <c r="AD20" s="123">
        <v>4</v>
      </c>
      <c r="AE20" s="123">
        <v>5</v>
      </c>
      <c r="AF20" s="123">
        <v>6</v>
      </c>
      <c r="AG20" s="124"/>
    </row>
    <row r="21" spans="4:33" ht="25.5" x14ac:dyDescent="0.25">
      <c r="D21" s="198" t="s">
        <v>361</v>
      </c>
      <c r="E21" s="120"/>
      <c r="F21" s="195" t="s">
        <v>362</v>
      </c>
      <c r="G21" s="195"/>
      <c r="H21" s="195"/>
      <c r="I21" s="195"/>
      <c r="J21" s="195"/>
      <c r="K21" s="195"/>
      <c r="L21" s="195"/>
      <c r="M21" s="122"/>
      <c r="O21" s="120"/>
      <c r="P21" s="195" t="s">
        <v>363</v>
      </c>
      <c r="Q21" s="195"/>
      <c r="R21" s="195"/>
      <c r="S21" s="195"/>
      <c r="T21" s="195"/>
      <c r="U21" s="195"/>
      <c r="V21" s="195"/>
      <c r="W21" s="122"/>
      <c r="Y21" s="120"/>
      <c r="Z21" s="195" t="s">
        <v>363</v>
      </c>
      <c r="AA21" s="195"/>
      <c r="AB21" s="195"/>
      <c r="AC21" s="195"/>
      <c r="AD21" s="195"/>
      <c r="AE21" s="195"/>
      <c r="AF21" s="195"/>
      <c r="AG21" s="122"/>
    </row>
    <row r="22" spans="4:33" ht="21.75" thickBot="1" x14ac:dyDescent="0.3">
      <c r="D22" s="198"/>
      <c r="E22" s="120"/>
      <c r="F22" s="115" t="s">
        <v>347</v>
      </c>
      <c r="G22" s="115" t="s">
        <v>349</v>
      </c>
      <c r="H22" s="115" t="s">
        <v>350</v>
      </c>
      <c r="I22" s="115" t="s">
        <v>351</v>
      </c>
      <c r="J22" s="115" t="s">
        <v>352</v>
      </c>
      <c r="K22" s="115" t="s">
        <v>353</v>
      </c>
      <c r="L22" s="115" t="s">
        <v>348</v>
      </c>
      <c r="M22" s="122"/>
      <c r="O22" s="120"/>
      <c r="P22" s="115" t="s">
        <v>347</v>
      </c>
      <c r="Q22" s="115" t="s">
        <v>349</v>
      </c>
      <c r="R22" s="115" t="s">
        <v>350</v>
      </c>
      <c r="S22" s="115" t="s">
        <v>351</v>
      </c>
      <c r="T22" s="115" t="s">
        <v>352</v>
      </c>
      <c r="U22" s="115" t="s">
        <v>353</v>
      </c>
      <c r="V22" s="115" t="s">
        <v>348</v>
      </c>
      <c r="W22" s="122"/>
      <c r="Y22" s="120"/>
      <c r="Z22" s="115" t="s">
        <v>347</v>
      </c>
      <c r="AA22" s="115" t="s">
        <v>349</v>
      </c>
      <c r="AB22" s="115" t="s">
        <v>350</v>
      </c>
      <c r="AC22" s="115" t="s">
        <v>351</v>
      </c>
      <c r="AD22" s="115" t="s">
        <v>352</v>
      </c>
      <c r="AE22" s="115" t="s">
        <v>353</v>
      </c>
      <c r="AF22" s="115" t="s">
        <v>348</v>
      </c>
      <c r="AG22" s="122"/>
    </row>
    <row r="23" spans="4:33" ht="21" x14ac:dyDescent="0.25">
      <c r="D23" s="198"/>
      <c r="E23" s="120"/>
      <c r="F23" s="113" t="str">
        <f>IF(DayWeekNo($A$2&amp;"0701")=F20,1,IF(DayWeekNo($A$2&amp;"0701")&lt;F20,E23+1,""))</f>
        <v/>
      </c>
      <c r="G23" s="113" t="str">
        <f>IF(DayWeekNo($A$2&amp;"0701")=G20,1,IF(DayWeekNo($A$2&amp;"0701")&lt;G20,F23+1,""))</f>
        <v/>
      </c>
      <c r="H23" s="113" t="str">
        <f>IF(DayWeekNo($A$2&amp;"0701")=H20,1,IF(DayWeekNo($A$2&amp;"0701")&lt;H20,G23+1,""))</f>
        <v/>
      </c>
      <c r="I23" s="113" t="str">
        <f>IF(DayWeekNo($A$2&amp;"0701")=I20,1,IF(DayWeekNo($A$2&amp;"0701")&lt;I20,H23+1,""))</f>
        <v/>
      </c>
      <c r="J23" s="113" t="str">
        <f>IF(DayWeekNo($A$2&amp;"0701")=J20,1,IF(DayWeekNo($A$2&amp;"0701")&lt;J20,I23+1,""))</f>
        <v/>
      </c>
      <c r="K23" s="113">
        <f>IF(DayWeekNo($A$2&amp;"0701")=K20,1,IF(DayWeekNo($A$2&amp;"0701")&lt;K20,J23+1,""))</f>
        <v>1</v>
      </c>
      <c r="L23" s="113">
        <f>IF(DayWeekNo($A$2&amp;"0701")=L20,1,IF(DayWeekNo($A$2&amp;"0701")&lt;L20,K23+1,""))</f>
        <v>2</v>
      </c>
      <c r="M23" s="117"/>
      <c r="O23" s="120"/>
      <c r="P23" s="113">
        <f>IF(DayWeekNo($A$2&amp;"0801")=P20,1,IF(DayWeekNo($A$2&amp;"0801")&lt;P20,O23+1,""))</f>
        <v>1</v>
      </c>
      <c r="Q23" s="113">
        <f>IF(DayWeekNo($A$2&amp;"0801")=Q20,1,IF(DayWeekNo($A$2&amp;"0801")&lt;Q20,P23+1,""))</f>
        <v>2</v>
      </c>
      <c r="R23" s="113">
        <f>IF(DayWeekNo($A$2&amp;"0801")=R20,1,IF(DayWeekNo($A$2&amp;"0801")&lt;R20,Q23+1,""))</f>
        <v>3</v>
      </c>
      <c r="S23" s="113">
        <f>IF(DayWeekNo($A$2&amp;"0801")=S20,1,IF(DayWeekNo($A$2&amp;"0801")&lt;S20,R23+1,""))</f>
        <v>4</v>
      </c>
      <c r="T23" s="113">
        <f>IF(DayWeekNo($A$2&amp;"0801")=T20,1,IF(DayWeekNo($A$2&amp;"0801")&lt;T20,S23+1,""))</f>
        <v>5</v>
      </c>
      <c r="U23" s="113">
        <f>IF(DayWeekNo($A$2&amp;"0801")=U20,1,IF(DayWeekNo($A$2&amp;"0801")&lt;U20,T23+1,""))</f>
        <v>6</v>
      </c>
      <c r="V23" s="113">
        <f>IF(DayWeekNo($A$2&amp;"0801")=V20,1,IF(DayWeekNo($A$2&amp;"0801")&lt;V20,U23+1,""))</f>
        <v>7</v>
      </c>
      <c r="W23" s="117"/>
      <c r="Y23" s="120"/>
      <c r="Z23" s="113" t="str">
        <f>IF(DayWeekNo($A$2&amp;"0901")=Z20,1,IF(DayWeekNo($A$2&amp;"0901")&lt;Z20,Y23+1,""))</f>
        <v/>
      </c>
      <c r="AA23" s="113" t="str">
        <f>IF(DayWeekNo($A$2&amp;"0901")=AA20,1,IF(DayWeekNo($A$2&amp;"0901")&lt;AA20,Z23+1,""))</f>
        <v/>
      </c>
      <c r="AB23" s="113">
        <f>IF(DayWeekNo($A$2&amp;"0901")=AB20,1,IF(DayWeekNo($A$2&amp;"0901")&lt;AB20,AA23+1,""))</f>
        <v>1</v>
      </c>
      <c r="AC23" s="113">
        <f>IF(DayWeekNo($A$2&amp;"0901")=AC20,1,IF(DayWeekNo($A$2&amp;"0901")&lt;AC20,AB23+1,""))</f>
        <v>2</v>
      </c>
      <c r="AD23" s="113">
        <f>IF(DayWeekNo($A$2&amp;"0901")=AD20,1,IF(DayWeekNo($A$2&amp;"0901")&lt;AD20,AC23+1,""))</f>
        <v>3</v>
      </c>
      <c r="AE23" s="113">
        <f>IF(DayWeekNo($A$2&amp;"0901")=AE20,1,IF(DayWeekNo($A$2&amp;"0901")&lt;AE20,AD23+1,""))</f>
        <v>4</v>
      </c>
      <c r="AF23" s="113">
        <f>IF(DayWeekNo($A$2&amp;"0901")=AF20,1,IF(DayWeekNo($A$2&amp;"0901")&lt;AF20,AE23+1,""))</f>
        <v>5</v>
      </c>
      <c r="AG23" s="117"/>
    </row>
    <row r="24" spans="4:33" ht="21" x14ac:dyDescent="0.25">
      <c r="D24" s="198"/>
      <c r="E24" s="120"/>
      <c r="F24" s="113">
        <f>IFERROR(IF(L23+1&lt;=30,L23+1,""),"")</f>
        <v>3</v>
      </c>
      <c r="G24" s="113">
        <f>IFERROR(IF(F24+1&lt;=30,F24+1,""),"")</f>
        <v>4</v>
      </c>
      <c r="H24" s="113">
        <f t="shared" ref="H24:L24" si="36">IFERROR(IF(G24+1&lt;=30,G24+1,""),"")</f>
        <v>5</v>
      </c>
      <c r="I24" s="113">
        <f t="shared" si="36"/>
        <v>6</v>
      </c>
      <c r="J24" s="113">
        <f t="shared" si="36"/>
        <v>7</v>
      </c>
      <c r="K24" s="113">
        <f t="shared" si="36"/>
        <v>8</v>
      </c>
      <c r="L24" s="113">
        <f t="shared" si="36"/>
        <v>9</v>
      </c>
      <c r="M24" s="117"/>
      <c r="O24" s="120"/>
      <c r="P24" s="113">
        <f>IFERROR(IF(V23+1&lt;=30,V23+1,""),"")</f>
        <v>8</v>
      </c>
      <c r="Q24" s="113">
        <f>IFERROR(IF(P24+1&lt;=30,P24+1,""),"")</f>
        <v>9</v>
      </c>
      <c r="R24" s="113">
        <f t="shared" ref="R24:V24" si="37">IFERROR(IF(Q24+1&lt;=30,Q24+1,""),"")</f>
        <v>10</v>
      </c>
      <c r="S24" s="113">
        <f t="shared" si="37"/>
        <v>11</v>
      </c>
      <c r="T24" s="113">
        <f t="shared" si="37"/>
        <v>12</v>
      </c>
      <c r="U24" s="113">
        <f t="shared" si="37"/>
        <v>13</v>
      </c>
      <c r="V24" s="113">
        <f t="shared" si="37"/>
        <v>14</v>
      </c>
      <c r="W24" s="117"/>
      <c r="Y24" s="120"/>
      <c r="Z24" s="113">
        <f>IFERROR(IF(AF23+1&lt;=30,AF23+1,""),"")</f>
        <v>6</v>
      </c>
      <c r="AA24" s="113">
        <f>IFERROR(IF(Z24+1&lt;=30,Z24+1,""),"")</f>
        <v>7</v>
      </c>
      <c r="AB24" s="113">
        <f t="shared" ref="AB24:AF24" si="38">IFERROR(IF(AA24+1&lt;=30,AA24+1,""),"")</f>
        <v>8</v>
      </c>
      <c r="AC24" s="113">
        <f t="shared" si="38"/>
        <v>9</v>
      </c>
      <c r="AD24" s="113">
        <f t="shared" si="38"/>
        <v>10</v>
      </c>
      <c r="AE24" s="113">
        <f t="shared" si="38"/>
        <v>11</v>
      </c>
      <c r="AF24" s="113">
        <f t="shared" si="38"/>
        <v>12</v>
      </c>
      <c r="AG24" s="117"/>
    </row>
    <row r="25" spans="4:33" ht="21" x14ac:dyDescent="0.25">
      <c r="D25" s="198"/>
      <c r="E25" s="120"/>
      <c r="F25" s="113">
        <f t="shared" ref="F25:F28" si="39">IFERROR(IF(L24+1&lt;=30,L24+1,""),"")</f>
        <v>10</v>
      </c>
      <c r="G25" s="113">
        <f t="shared" ref="G25:L25" si="40">IFERROR(IF(F25+1&lt;=30,F25+1,""),"")</f>
        <v>11</v>
      </c>
      <c r="H25" s="113">
        <f t="shared" si="40"/>
        <v>12</v>
      </c>
      <c r="I25" s="113">
        <f t="shared" si="40"/>
        <v>13</v>
      </c>
      <c r="J25" s="113">
        <f t="shared" si="40"/>
        <v>14</v>
      </c>
      <c r="K25" s="113">
        <f t="shared" si="40"/>
        <v>15</v>
      </c>
      <c r="L25" s="113">
        <f t="shared" si="40"/>
        <v>16</v>
      </c>
      <c r="M25" s="117"/>
      <c r="O25" s="120"/>
      <c r="P25" s="113">
        <f t="shared" ref="P25:P28" si="41">IFERROR(IF(V24+1&lt;=30,V24+1,""),"")</f>
        <v>15</v>
      </c>
      <c r="Q25" s="113">
        <f t="shared" ref="Q25:V25" si="42">IFERROR(IF(P25+1&lt;=30,P25+1,""),"")</f>
        <v>16</v>
      </c>
      <c r="R25" s="113">
        <f t="shared" si="42"/>
        <v>17</v>
      </c>
      <c r="S25" s="113">
        <f t="shared" si="42"/>
        <v>18</v>
      </c>
      <c r="T25" s="113">
        <f t="shared" si="42"/>
        <v>19</v>
      </c>
      <c r="U25" s="113">
        <f t="shared" si="42"/>
        <v>20</v>
      </c>
      <c r="V25" s="113">
        <f t="shared" si="42"/>
        <v>21</v>
      </c>
      <c r="W25" s="117"/>
      <c r="Y25" s="120"/>
      <c r="Z25" s="113">
        <f t="shared" ref="Z25:Z28" si="43">IFERROR(IF(AF24+1&lt;=30,AF24+1,""),"")</f>
        <v>13</v>
      </c>
      <c r="AA25" s="113">
        <f t="shared" ref="AA25:AF25" si="44">IFERROR(IF(Z25+1&lt;=30,Z25+1,""),"")</f>
        <v>14</v>
      </c>
      <c r="AB25" s="113">
        <f t="shared" si="44"/>
        <v>15</v>
      </c>
      <c r="AC25" s="113">
        <f t="shared" si="44"/>
        <v>16</v>
      </c>
      <c r="AD25" s="113">
        <f t="shared" si="44"/>
        <v>17</v>
      </c>
      <c r="AE25" s="113">
        <f t="shared" si="44"/>
        <v>18</v>
      </c>
      <c r="AF25" s="113">
        <f t="shared" si="44"/>
        <v>19</v>
      </c>
      <c r="AG25" s="117"/>
    </row>
    <row r="26" spans="4:33" ht="21" x14ac:dyDescent="0.25">
      <c r="D26" s="198"/>
      <c r="E26" s="120"/>
      <c r="F26" s="113">
        <f t="shared" si="39"/>
        <v>17</v>
      </c>
      <c r="G26" s="113">
        <f t="shared" ref="G26:L26" si="45">IFERROR(IF(F26+1&lt;=30,F26+1,""),"")</f>
        <v>18</v>
      </c>
      <c r="H26" s="113">
        <f t="shared" si="45"/>
        <v>19</v>
      </c>
      <c r="I26" s="113">
        <f t="shared" si="45"/>
        <v>20</v>
      </c>
      <c r="J26" s="113">
        <f t="shared" si="45"/>
        <v>21</v>
      </c>
      <c r="K26" s="113">
        <f t="shared" si="45"/>
        <v>22</v>
      </c>
      <c r="L26" s="113">
        <f t="shared" si="45"/>
        <v>23</v>
      </c>
      <c r="M26" s="117"/>
      <c r="O26" s="120"/>
      <c r="P26" s="113">
        <f t="shared" si="41"/>
        <v>22</v>
      </c>
      <c r="Q26" s="113">
        <f t="shared" ref="Q26:V26" si="46">IFERROR(IF(P26+1&lt;=30,P26+1,""),"")</f>
        <v>23</v>
      </c>
      <c r="R26" s="113">
        <f t="shared" si="46"/>
        <v>24</v>
      </c>
      <c r="S26" s="113">
        <f t="shared" si="46"/>
        <v>25</v>
      </c>
      <c r="T26" s="113">
        <f t="shared" si="46"/>
        <v>26</v>
      </c>
      <c r="U26" s="113">
        <f t="shared" si="46"/>
        <v>27</v>
      </c>
      <c r="V26" s="113">
        <f t="shared" si="46"/>
        <v>28</v>
      </c>
      <c r="W26" s="117"/>
      <c r="Y26" s="120"/>
      <c r="Z26" s="113">
        <f t="shared" si="43"/>
        <v>20</v>
      </c>
      <c r="AA26" s="113">
        <f t="shared" ref="AA26:AF26" si="47">IFERROR(IF(Z26+1&lt;=30,Z26+1,""),"")</f>
        <v>21</v>
      </c>
      <c r="AB26" s="113">
        <f t="shared" si="47"/>
        <v>22</v>
      </c>
      <c r="AC26" s="113">
        <f t="shared" si="47"/>
        <v>23</v>
      </c>
      <c r="AD26" s="113">
        <f t="shared" si="47"/>
        <v>24</v>
      </c>
      <c r="AE26" s="113">
        <f t="shared" si="47"/>
        <v>25</v>
      </c>
      <c r="AF26" s="113">
        <f t="shared" si="47"/>
        <v>26</v>
      </c>
      <c r="AG26" s="117"/>
    </row>
    <row r="27" spans="4:33" ht="21" x14ac:dyDescent="0.25">
      <c r="D27" s="198"/>
      <c r="E27" s="120"/>
      <c r="F27" s="113">
        <f t="shared" si="39"/>
        <v>24</v>
      </c>
      <c r="G27" s="113">
        <f t="shared" ref="G27:L27" si="48">IFERROR(IF(F27+1&lt;=30,F27+1,""),"")</f>
        <v>25</v>
      </c>
      <c r="H27" s="113">
        <f t="shared" si="48"/>
        <v>26</v>
      </c>
      <c r="I27" s="113">
        <f t="shared" si="48"/>
        <v>27</v>
      </c>
      <c r="J27" s="113">
        <f t="shared" si="48"/>
        <v>28</v>
      </c>
      <c r="K27" s="113">
        <f t="shared" si="48"/>
        <v>29</v>
      </c>
      <c r="L27" s="113">
        <f t="shared" si="48"/>
        <v>30</v>
      </c>
      <c r="M27" s="117"/>
      <c r="O27" s="120"/>
      <c r="P27" s="113">
        <f t="shared" si="41"/>
        <v>29</v>
      </c>
      <c r="Q27" s="113">
        <f t="shared" ref="Q27:V27" si="49">IFERROR(IF(P27+1&lt;=30,P27+1,""),"")</f>
        <v>30</v>
      </c>
      <c r="R27" s="113" t="str">
        <f t="shared" si="49"/>
        <v/>
      </c>
      <c r="S27" s="113" t="str">
        <f t="shared" si="49"/>
        <v/>
      </c>
      <c r="T27" s="113" t="str">
        <f t="shared" si="49"/>
        <v/>
      </c>
      <c r="U27" s="113" t="str">
        <f t="shared" si="49"/>
        <v/>
      </c>
      <c r="V27" s="113" t="str">
        <f t="shared" si="49"/>
        <v/>
      </c>
      <c r="W27" s="117"/>
      <c r="Y27" s="120"/>
      <c r="Z27" s="113">
        <f t="shared" si="43"/>
        <v>27</v>
      </c>
      <c r="AA27" s="113">
        <f t="shared" ref="AA27:AF27" si="50">IFERROR(IF(Z27+1&lt;=30,Z27+1,""),"")</f>
        <v>28</v>
      </c>
      <c r="AB27" s="113">
        <f t="shared" si="50"/>
        <v>29</v>
      </c>
      <c r="AC27" s="113">
        <f t="shared" si="50"/>
        <v>30</v>
      </c>
      <c r="AD27" s="113" t="str">
        <f t="shared" si="50"/>
        <v/>
      </c>
      <c r="AE27" s="113" t="str">
        <f t="shared" si="50"/>
        <v/>
      </c>
      <c r="AF27" s="113" t="str">
        <f t="shared" si="50"/>
        <v/>
      </c>
      <c r="AG27" s="117"/>
    </row>
    <row r="28" spans="4:33" ht="21" x14ac:dyDescent="0.25">
      <c r="D28" s="198"/>
      <c r="E28" s="121"/>
      <c r="F28" s="113" t="str">
        <f t="shared" si="39"/>
        <v/>
      </c>
      <c r="G28" s="113" t="str">
        <f t="shared" ref="G28:L28" si="51">IFERROR(IF(F28+1&lt;=30,F28+1,""),"")</f>
        <v/>
      </c>
      <c r="H28" s="113" t="str">
        <f t="shared" si="51"/>
        <v/>
      </c>
      <c r="I28" s="113" t="str">
        <f t="shared" si="51"/>
        <v/>
      </c>
      <c r="J28" s="113" t="str">
        <f t="shared" si="51"/>
        <v/>
      </c>
      <c r="K28" s="113" t="str">
        <f t="shared" si="51"/>
        <v/>
      </c>
      <c r="L28" s="113" t="str">
        <f t="shared" si="51"/>
        <v/>
      </c>
      <c r="O28" s="121"/>
      <c r="P28" s="113" t="str">
        <f t="shared" si="41"/>
        <v/>
      </c>
      <c r="Q28" s="113" t="str">
        <f t="shared" ref="Q28:V28" si="52">IFERROR(IF(P28+1&lt;=30,P28+1,""),"")</f>
        <v/>
      </c>
      <c r="R28" s="113" t="str">
        <f t="shared" si="52"/>
        <v/>
      </c>
      <c r="S28" s="113" t="str">
        <f t="shared" si="52"/>
        <v/>
      </c>
      <c r="T28" s="113" t="str">
        <f t="shared" si="52"/>
        <v/>
      </c>
      <c r="U28" s="113" t="str">
        <f t="shared" si="52"/>
        <v/>
      </c>
      <c r="V28" s="113" t="str">
        <f t="shared" si="52"/>
        <v/>
      </c>
      <c r="Y28" s="121"/>
      <c r="Z28" s="113" t="str">
        <f t="shared" si="43"/>
        <v/>
      </c>
      <c r="AA28" s="113" t="str">
        <f t="shared" ref="AA28:AF28" si="53">IFERROR(IF(Z28+1&lt;=30,Z28+1,""),"")</f>
        <v/>
      </c>
      <c r="AB28" s="113" t="str">
        <f t="shared" si="53"/>
        <v/>
      </c>
      <c r="AC28" s="113" t="str">
        <f t="shared" si="53"/>
        <v/>
      </c>
      <c r="AD28" s="113" t="str">
        <f t="shared" si="53"/>
        <v/>
      </c>
      <c r="AE28" s="113" t="str">
        <f t="shared" si="53"/>
        <v/>
      </c>
      <c r="AF28" s="113" t="str">
        <f t="shared" si="53"/>
        <v/>
      </c>
    </row>
    <row r="29" spans="4:33" ht="21" x14ac:dyDescent="0.25">
      <c r="D29" s="123"/>
      <c r="E29" s="123"/>
      <c r="F29" s="123">
        <v>0</v>
      </c>
      <c r="G29" s="123">
        <v>1</v>
      </c>
      <c r="H29" s="123">
        <v>2</v>
      </c>
      <c r="I29" s="123">
        <v>3</v>
      </c>
      <c r="J29" s="123">
        <v>4</v>
      </c>
      <c r="K29" s="123">
        <v>5</v>
      </c>
      <c r="L29" s="123">
        <v>6</v>
      </c>
      <c r="M29" s="124"/>
      <c r="N29" s="124"/>
      <c r="O29" s="123"/>
      <c r="P29" s="123">
        <v>0</v>
      </c>
      <c r="Q29" s="123">
        <v>1</v>
      </c>
      <c r="R29" s="123">
        <v>2</v>
      </c>
      <c r="S29" s="123">
        <v>3</v>
      </c>
      <c r="T29" s="123">
        <v>4</v>
      </c>
      <c r="U29" s="123">
        <v>5</v>
      </c>
      <c r="V29" s="123">
        <v>6</v>
      </c>
      <c r="W29" s="124"/>
      <c r="X29" s="124"/>
      <c r="Y29" s="123"/>
      <c r="Z29" s="123">
        <v>0</v>
      </c>
      <c r="AA29" s="123">
        <v>1</v>
      </c>
      <c r="AB29" s="123">
        <v>2</v>
      </c>
      <c r="AC29" s="123">
        <v>3</v>
      </c>
      <c r="AD29" s="123">
        <v>4</v>
      </c>
      <c r="AE29" s="123">
        <v>5</v>
      </c>
      <c r="AF29" s="123">
        <v>6</v>
      </c>
      <c r="AG29" s="124"/>
    </row>
    <row r="30" spans="4:33" ht="25.5" x14ac:dyDescent="0.25">
      <c r="D30" s="196" t="s">
        <v>364</v>
      </c>
      <c r="E30" s="125"/>
      <c r="F30" s="197" t="s">
        <v>365</v>
      </c>
      <c r="G30" s="197"/>
      <c r="H30" s="197"/>
      <c r="I30" s="197"/>
      <c r="J30" s="197"/>
      <c r="K30" s="197"/>
      <c r="L30" s="197"/>
      <c r="M30" s="127"/>
      <c r="O30" s="125"/>
      <c r="P30" s="197" t="s">
        <v>366</v>
      </c>
      <c r="Q30" s="197"/>
      <c r="R30" s="197"/>
      <c r="S30" s="197"/>
      <c r="T30" s="197"/>
      <c r="U30" s="197"/>
      <c r="V30" s="197"/>
      <c r="W30" s="127"/>
      <c r="Y30" s="125"/>
      <c r="Z30" s="197" t="s">
        <v>367</v>
      </c>
      <c r="AA30" s="197"/>
      <c r="AB30" s="197"/>
      <c r="AC30" s="197"/>
      <c r="AD30" s="197"/>
      <c r="AE30" s="197"/>
      <c r="AF30" s="197"/>
      <c r="AG30" s="127"/>
    </row>
    <row r="31" spans="4:33" ht="21.75" thickBot="1" x14ac:dyDescent="0.3">
      <c r="D31" s="196"/>
      <c r="E31" s="125"/>
      <c r="F31" s="115" t="s">
        <v>347</v>
      </c>
      <c r="G31" s="115" t="s">
        <v>349</v>
      </c>
      <c r="H31" s="115" t="s">
        <v>350</v>
      </c>
      <c r="I31" s="115" t="s">
        <v>351</v>
      </c>
      <c r="J31" s="115" t="s">
        <v>352</v>
      </c>
      <c r="K31" s="115" t="s">
        <v>353</v>
      </c>
      <c r="L31" s="115" t="s">
        <v>348</v>
      </c>
      <c r="M31" s="127"/>
      <c r="O31" s="125"/>
      <c r="P31" s="115" t="s">
        <v>347</v>
      </c>
      <c r="Q31" s="115" t="s">
        <v>349</v>
      </c>
      <c r="R31" s="115" t="s">
        <v>350</v>
      </c>
      <c r="S31" s="115" t="s">
        <v>351</v>
      </c>
      <c r="T31" s="115" t="s">
        <v>352</v>
      </c>
      <c r="U31" s="115" t="s">
        <v>353</v>
      </c>
      <c r="V31" s="115" t="s">
        <v>348</v>
      </c>
      <c r="W31" s="127"/>
      <c r="Y31" s="125"/>
      <c r="Z31" s="115" t="s">
        <v>347</v>
      </c>
      <c r="AA31" s="115" t="s">
        <v>349</v>
      </c>
      <c r="AB31" s="115" t="s">
        <v>350</v>
      </c>
      <c r="AC31" s="115" t="s">
        <v>351</v>
      </c>
      <c r="AD31" s="115" t="s">
        <v>352</v>
      </c>
      <c r="AE31" s="115" t="s">
        <v>353</v>
      </c>
      <c r="AF31" s="115" t="s">
        <v>348</v>
      </c>
      <c r="AG31" s="127"/>
    </row>
    <row r="32" spans="4:33" ht="21" x14ac:dyDescent="0.25">
      <c r="D32" s="196"/>
      <c r="E32" s="125"/>
      <c r="F32" s="113" t="str">
        <f>IF(DayWeekNo($A$2&amp;"1001")=F29,1,IF(DayWeekNo($A$2&amp;"1001")&lt;F29,E32+1,""))</f>
        <v/>
      </c>
      <c r="G32" s="113" t="str">
        <f>IF(DayWeekNo($A$2&amp;"1001")=G29,1,IF(DayWeekNo($A$2&amp;"1001")&lt;G29,F32+1,""))</f>
        <v/>
      </c>
      <c r="H32" s="113" t="str">
        <f>IF(DayWeekNo($A$2&amp;"1001")=H29,1,IF(DayWeekNo($A$2&amp;"1001")&lt;H29,G32+1,""))</f>
        <v/>
      </c>
      <c r="I32" s="113" t="str">
        <f>IF(DayWeekNo($A$2&amp;"1001")=I29,1,IF(DayWeekNo($A$2&amp;"1001")&lt;I29,H32+1,""))</f>
        <v/>
      </c>
      <c r="J32" s="113">
        <f>IF(DayWeekNo($A$2&amp;"1001")=J29,1,IF(DayWeekNo($A$2&amp;"1001")&lt;J29,I32+1,""))</f>
        <v>1</v>
      </c>
      <c r="K32" s="113">
        <f>IF(DayWeekNo($A$2&amp;"1001")=K29,1,IF(DayWeekNo($A$2&amp;"1001")&lt;K29,J32+1,""))</f>
        <v>2</v>
      </c>
      <c r="L32" s="113">
        <f>IF(DayWeekNo($A$2&amp;"1001")=L29,1,IF(DayWeekNo($A$2&amp;"1001")&lt;L29,K32+1,""))</f>
        <v>3</v>
      </c>
      <c r="M32" s="117"/>
      <c r="O32" s="125"/>
      <c r="P32" s="113" t="str">
        <f>IF(DayWeekNo($A$2&amp;"1101")=P29,1,IF(DayWeekNo($A$2&amp;"1101")&lt;P29,O32+1,""))</f>
        <v/>
      </c>
      <c r="Q32" s="113" t="str">
        <f>IF(DayWeekNo($A$2&amp;"1101")=Q29,1,IF(DayWeekNo($A$2&amp;"1101")&lt;Q29,P32+1,""))</f>
        <v/>
      </c>
      <c r="R32" s="113" t="str">
        <f>IF(DayWeekNo($A$2&amp;"1101")=R29,1,IF(DayWeekNo($A$2&amp;"1101")&lt;R29,Q32+1,""))</f>
        <v/>
      </c>
      <c r="S32" s="113" t="str">
        <f>IF(DayWeekNo($A$2&amp;"1101")=S29,1,IF(DayWeekNo($A$2&amp;"1101")&lt;S29,R32+1,""))</f>
        <v/>
      </c>
      <c r="T32" s="113" t="str">
        <f>IF(DayWeekNo($A$2&amp;"1101")=T29,1,IF(DayWeekNo($A$2&amp;"1101")&lt;T29,S32+1,""))</f>
        <v/>
      </c>
      <c r="U32" s="113" t="str">
        <f>IF(DayWeekNo($A$2&amp;"1101")=U29,1,IF(DayWeekNo($A$2&amp;"1101")&lt;U29,T32+1,""))</f>
        <v/>
      </c>
      <c r="V32" s="113">
        <f>IF(DayWeekNo($A$2&amp;"1101")=V29,1,IF(DayWeekNo($A$2&amp;"1101")&lt;V29,U32+1,""))</f>
        <v>1</v>
      </c>
      <c r="W32" s="117"/>
      <c r="Y32" s="125"/>
      <c r="Z32" s="113" t="str">
        <f>IF(DayWeekNo($A$2&amp;"1201")=Z29,1,IF(DayWeekNo($A$2&amp;"1201")&lt;Z29,Y32+1,""))</f>
        <v/>
      </c>
      <c r="AA32" s="113">
        <f>IF(DayWeekNo($A$2&amp;"1201")=AA29,1,IF(DayWeekNo($A$2&amp;"1201")&lt;AA29,Z32+1,""))</f>
        <v>1</v>
      </c>
      <c r="AB32" s="113">
        <f>IF(DayWeekNo($A$2&amp;"1201")=AB29,1,IF(DayWeekNo($A$2&amp;"1201")&lt;AB29,AA32+1,""))</f>
        <v>2</v>
      </c>
      <c r="AC32" s="113">
        <f>IF(DayWeekNo($A$2&amp;"1201")=AC29,1,IF(DayWeekNo($A$2&amp;"1201")&lt;AC29,AB32+1,""))</f>
        <v>3</v>
      </c>
      <c r="AD32" s="113">
        <f>IF(DayWeekNo($A$2&amp;"1201")=AD29,1,IF(DayWeekNo($A$2&amp;"1201")&lt;AD29,AC32+1,""))</f>
        <v>4</v>
      </c>
      <c r="AE32" s="113">
        <f>IF(DayWeekNo($A$2&amp;"1201")=AE29,1,IF(DayWeekNo($A$2&amp;"1201")&lt;AE29,AD32+1,""))</f>
        <v>5</v>
      </c>
      <c r="AF32" s="113">
        <f>IF(DayWeekNo($A$2&amp;"1201")=AF29,1,IF(DayWeekNo($A$2&amp;"1201")&lt;AF29,AE32+1,""))</f>
        <v>6</v>
      </c>
      <c r="AG32" s="117"/>
    </row>
    <row r="33" spans="4:33" ht="21" x14ac:dyDescent="0.25">
      <c r="D33" s="196"/>
      <c r="E33" s="125"/>
      <c r="F33" s="113">
        <f>IFERROR(IF(L32+1&lt;=30,L32+1,""),"")</f>
        <v>4</v>
      </c>
      <c r="G33" s="113">
        <f>IFERROR(IF(F33+1&lt;=30,F33+1,""),"")</f>
        <v>5</v>
      </c>
      <c r="H33" s="113">
        <f t="shared" ref="H33:L33" si="54">IFERROR(IF(G33+1&lt;=30,G33+1,""),"")</f>
        <v>6</v>
      </c>
      <c r="I33" s="113">
        <f t="shared" si="54"/>
        <v>7</v>
      </c>
      <c r="J33" s="113">
        <f t="shared" si="54"/>
        <v>8</v>
      </c>
      <c r="K33" s="113">
        <f t="shared" si="54"/>
        <v>9</v>
      </c>
      <c r="L33" s="113">
        <f t="shared" si="54"/>
        <v>10</v>
      </c>
      <c r="M33" s="117"/>
      <c r="O33" s="125"/>
      <c r="P33" s="113">
        <f>IFERROR(IF(V32+1&lt;=30,V32+1,""),"")</f>
        <v>2</v>
      </c>
      <c r="Q33" s="113">
        <f>IFERROR(IF(P33+1&lt;=30,P33+1,""),"")</f>
        <v>3</v>
      </c>
      <c r="R33" s="113">
        <f t="shared" ref="R33:V33" si="55">IFERROR(IF(Q33+1&lt;=30,Q33+1,""),"")</f>
        <v>4</v>
      </c>
      <c r="S33" s="113">
        <f t="shared" si="55"/>
        <v>5</v>
      </c>
      <c r="T33" s="113">
        <f t="shared" si="55"/>
        <v>6</v>
      </c>
      <c r="U33" s="113">
        <f t="shared" si="55"/>
        <v>7</v>
      </c>
      <c r="V33" s="113">
        <f t="shared" si="55"/>
        <v>8</v>
      </c>
      <c r="W33" s="117"/>
      <c r="Y33" s="125"/>
      <c r="Z33" s="113">
        <f>IFERROR(IF(AF32+1&lt;=29,AF32+1,""),"")</f>
        <v>7</v>
      </c>
      <c r="AA33" s="113">
        <f>IFERROR(IF(Z33+1&lt;=29,Z33+1,""),"")</f>
        <v>8</v>
      </c>
      <c r="AB33" s="113">
        <f t="shared" ref="AB33:AF33" si="56">IFERROR(IF(AA33+1&lt;=29,AA33+1,""),"")</f>
        <v>9</v>
      </c>
      <c r="AC33" s="113">
        <f t="shared" si="56"/>
        <v>10</v>
      </c>
      <c r="AD33" s="113">
        <f t="shared" si="56"/>
        <v>11</v>
      </c>
      <c r="AE33" s="113">
        <f t="shared" si="56"/>
        <v>12</v>
      </c>
      <c r="AF33" s="113">
        <f t="shared" si="56"/>
        <v>13</v>
      </c>
      <c r="AG33" s="117"/>
    </row>
    <row r="34" spans="4:33" ht="21" x14ac:dyDescent="0.25">
      <c r="D34" s="196"/>
      <c r="E34" s="125"/>
      <c r="F34" s="113">
        <f t="shared" ref="F34:F37" si="57">IFERROR(IF(L33+1&lt;=30,L33+1,""),"")</f>
        <v>11</v>
      </c>
      <c r="G34" s="113">
        <f t="shared" ref="G34:L34" si="58">IFERROR(IF(F34+1&lt;=30,F34+1,""),"")</f>
        <v>12</v>
      </c>
      <c r="H34" s="113">
        <f t="shared" si="58"/>
        <v>13</v>
      </c>
      <c r="I34" s="113">
        <f t="shared" si="58"/>
        <v>14</v>
      </c>
      <c r="J34" s="113">
        <f t="shared" si="58"/>
        <v>15</v>
      </c>
      <c r="K34" s="113">
        <f t="shared" si="58"/>
        <v>16</v>
      </c>
      <c r="L34" s="113">
        <f t="shared" si="58"/>
        <v>17</v>
      </c>
      <c r="M34" s="117"/>
      <c r="O34" s="125"/>
      <c r="P34" s="113">
        <f t="shared" ref="P34:P37" si="59">IFERROR(IF(V33+1&lt;=30,V33+1,""),"")</f>
        <v>9</v>
      </c>
      <c r="Q34" s="113">
        <f t="shared" ref="Q34:V34" si="60">IFERROR(IF(P34+1&lt;=30,P34+1,""),"")</f>
        <v>10</v>
      </c>
      <c r="R34" s="113">
        <f t="shared" si="60"/>
        <v>11</v>
      </c>
      <c r="S34" s="113">
        <f t="shared" si="60"/>
        <v>12</v>
      </c>
      <c r="T34" s="113">
        <f t="shared" si="60"/>
        <v>13</v>
      </c>
      <c r="U34" s="113">
        <f t="shared" si="60"/>
        <v>14</v>
      </c>
      <c r="V34" s="113">
        <f t="shared" si="60"/>
        <v>15</v>
      </c>
      <c r="W34" s="117"/>
      <c r="Y34" s="125"/>
      <c r="Z34" s="113">
        <f t="shared" ref="Z34:Z36" si="61">IFERROR(IF(AF33+1&lt;=29,AF33+1,""),"")</f>
        <v>14</v>
      </c>
      <c r="AA34" s="113">
        <f t="shared" ref="AA34:AF34" si="62">IFERROR(IF(Z34+1&lt;=29,Z34+1,""),"")</f>
        <v>15</v>
      </c>
      <c r="AB34" s="113">
        <f t="shared" si="62"/>
        <v>16</v>
      </c>
      <c r="AC34" s="113">
        <f t="shared" si="62"/>
        <v>17</v>
      </c>
      <c r="AD34" s="113">
        <f t="shared" si="62"/>
        <v>18</v>
      </c>
      <c r="AE34" s="113">
        <f t="shared" si="62"/>
        <v>19</v>
      </c>
      <c r="AF34" s="113">
        <f t="shared" si="62"/>
        <v>20</v>
      </c>
      <c r="AG34" s="117"/>
    </row>
    <row r="35" spans="4:33" ht="21" x14ac:dyDescent="0.25">
      <c r="D35" s="196"/>
      <c r="E35" s="125"/>
      <c r="F35" s="113">
        <f t="shared" si="57"/>
        <v>18</v>
      </c>
      <c r="G35" s="113">
        <f t="shared" ref="G35:L35" si="63">IFERROR(IF(F35+1&lt;=30,F35+1,""),"")</f>
        <v>19</v>
      </c>
      <c r="H35" s="113">
        <f t="shared" si="63"/>
        <v>20</v>
      </c>
      <c r="I35" s="113">
        <f t="shared" si="63"/>
        <v>21</v>
      </c>
      <c r="J35" s="113">
        <f t="shared" si="63"/>
        <v>22</v>
      </c>
      <c r="K35" s="113">
        <f t="shared" si="63"/>
        <v>23</v>
      </c>
      <c r="L35" s="113">
        <f t="shared" si="63"/>
        <v>24</v>
      </c>
      <c r="M35" s="117"/>
      <c r="O35" s="125"/>
      <c r="P35" s="113">
        <f t="shared" si="59"/>
        <v>16</v>
      </c>
      <c r="Q35" s="113">
        <f t="shared" ref="Q35:V35" si="64">IFERROR(IF(P35+1&lt;=30,P35+1,""),"")</f>
        <v>17</v>
      </c>
      <c r="R35" s="113">
        <f t="shared" si="64"/>
        <v>18</v>
      </c>
      <c r="S35" s="113">
        <f t="shared" si="64"/>
        <v>19</v>
      </c>
      <c r="T35" s="113">
        <f t="shared" si="64"/>
        <v>20</v>
      </c>
      <c r="U35" s="113">
        <f t="shared" si="64"/>
        <v>21</v>
      </c>
      <c r="V35" s="113">
        <f t="shared" si="64"/>
        <v>22</v>
      </c>
      <c r="W35" s="117"/>
      <c r="Y35" s="125"/>
      <c r="Z35" s="113">
        <f t="shared" si="61"/>
        <v>21</v>
      </c>
      <c r="AA35" s="113">
        <f t="shared" ref="AA35:AF35" si="65">IFERROR(IF(Z35+1&lt;=29,Z35+1,""),"")</f>
        <v>22</v>
      </c>
      <c r="AB35" s="113">
        <f t="shared" si="65"/>
        <v>23</v>
      </c>
      <c r="AC35" s="113">
        <f t="shared" si="65"/>
        <v>24</v>
      </c>
      <c r="AD35" s="113">
        <f t="shared" si="65"/>
        <v>25</v>
      </c>
      <c r="AE35" s="113">
        <f t="shared" si="65"/>
        <v>26</v>
      </c>
      <c r="AF35" s="113">
        <f t="shared" si="65"/>
        <v>27</v>
      </c>
      <c r="AG35" s="117"/>
    </row>
    <row r="36" spans="4:33" ht="21" x14ac:dyDescent="0.25">
      <c r="D36" s="196"/>
      <c r="E36" s="125"/>
      <c r="F36" s="113">
        <f t="shared" si="57"/>
        <v>25</v>
      </c>
      <c r="G36" s="113">
        <f t="shared" ref="G36:L36" si="66">IFERROR(IF(F36+1&lt;=30,F36+1,""),"")</f>
        <v>26</v>
      </c>
      <c r="H36" s="113">
        <f t="shared" si="66"/>
        <v>27</v>
      </c>
      <c r="I36" s="113">
        <f t="shared" si="66"/>
        <v>28</v>
      </c>
      <c r="J36" s="113">
        <f t="shared" si="66"/>
        <v>29</v>
      </c>
      <c r="K36" s="113">
        <f t="shared" si="66"/>
        <v>30</v>
      </c>
      <c r="L36" s="113" t="str">
        <f t="shared" si="66"/>
        <v/>
      </c>
      <c r="M36" s="117"/>
      <c r="O36" s="125"/>
      <c r="P36" s="113">
        <f t="shared" si="59"/>
        <v>23</v>
      </c>
      <c r="Q36" s="113">
        <f t="shared" ref="Q36:V36" si="67">IFERROR(IF(P36+1&lt;=30,P36+1,""),"")</f>
        <v>24</v>
      </c>
      <c r="R36" s="113">
        <f t="shared" si="67"/>
        <v>25</v>
      </c>
      <c r="S36" s="113">
        <f t="shared" si="67"/>
        <v>26</v>
      </c>
      <c r="T36" s="113">
        <f t="shared" si="67"/>
        <v>27</v>
      </c>
      <c r="U36" s="113">
        <f t="shared" si="67"/>
        <v>28</v>
      </c>
      <c r="V36" s="113">
        <f t="shared" si="67"/>
        <v>29</v>
      </c>
      <c r="W36" s="117"/>
      <c r="Y36" s="125"/>
      <c r="Z36" s="113">
        <f t="shared" si="61"/>
        <v>28</v>
      </c>
      <c r="AA36" s="113">
        <f t="shared" ref="AA36:AF36" si="68">IFERROR(IF(Z36+1&lt;=29,Z36+1,""),"")</f>
        <v>29</v>
      </c>
      <c r="AB36" s="113" t="str">
        <f t="shared" si="68"/>
        <v/>
      </c>
      <c r="AC36" s="113" t="str">
        <f t="shared" si="68"/>
        <v/>
      </c>
      <c r="AD36" s="113" t="str">
        <f t="shared" si="68"/>
        <v/>
      </c>
      <c r="AE36" s="113" t="str">
        <f t="shared" si="68"/>
        <v/>
      </c>
      <c r="AF36" s="113" t="str">
        <f t="shared" si="68"/>
        <v/>
      </c>
      <c r="AG36" s="117"/>
    </row>
    <row r="37" spans="4:33" ht="21" x14ac:dyDescent="0.25">
      <c r="D37" s="196"/>
      <c r="E37" s="126"/>
      <c r="F37" s="113" t="str">
        <f t="shared" si="57"/>
        <v/>
      </c>
      <c r="G37" s="113" t="str">
        <f t="shared" ref="G37:L37" si="69">IFERROR(IF(F37+1&lt;=30,F37+1,""),"")</f>
        <v/>
      </c>
      <c r="H37" s="113" t="str">
        <f t="shared" si="69"/>
        <v/>
      </c>
      <c r="I37" s="113" t="str">
        <f t="shared" si="69"/>
        <v/>
      </c>
      <c r="J37" s="113" t="str">
        <f t="shared" si="69"/>
        <v/>
      </c>
      <c r="K37" s="113" t="str">
        <f t="shared" si="69"/>
        <v/>
      </c>
      <c r="L37" s="113" t="str">
        <f t="shared" si="69"/>
        <v/>
      </c>
      <c r="O37" s="126"/>
      <c r="P37" s="113">
        <f t="shared" si="59"/>
        <v>30</v>
      </c>
      <c r="Q37" s="113" t="str">
        <f t="shared" ref="Q37:V37" si="70">IFERROR(IF(P37+1&lt;=30,P37+1,""),"")</f>
        <v/>
      </c>
      <c r="R37" s="113" t="str">
        <f t="shared" si="70"/>
        <v/>
      </c>
      <c r="S37" s="113" t="str">
        <f t="shared" si="70"/>
        <v/>
      </c>
      <c r="T37" s="113" t="str">
        <f t="shared" si="70"/>
        <v/>
      </c>
      <c r="U37" s="113" t="str">
        <f t="shared" si="70"/>
        <v/>
      </c>
      <c r="V37" s="113" t="str">
        <f t="shared" si="70"/>
        <v/>
      </c>
      <c r="Y37" s="126"/>
      <c r="Z37" s="113" t="str">
        <f>IFERROR(IF(AF36+1&lt;=29,AF36+1,""),"")</f>
        <v/>
      </c>
      <c r="AA37" s="113" t="str">
        <f t="shared" ref="AA37:AF37" si="71">IFERROR(IF(Z37+1&lt;=29,Z37+1,""),"")</f>
        <v/>
      </c>
      <c r="AB37" s="113" t="str">
        <f t="shared" si="71"/>
        <v/>
      </c>
      <c r="AC37" s="113" t="str">
        <f t="shared" si="71"/>
        <v/>
      </c>
      <c r="AD37" s="113" t="str">
        <f t="shared" si="71"/>
        <v/>
      </c>
      <c r="AE37" s="113" t="str">
        <f t="shared" si="71"/>
        <v/>
      </c>
      <c r="AF37" s="113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0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8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199" t="s">
        <v>160</v>
      </c>
      <c r="B3" s="199"/>
      <c r="D3" s="41"/>
      <c r="F3" s="41"/>
      <c r="H3" s="41"/>
      <c r="J3" s="41"/>
      <c r="L3" s="41"/>
      <c r="N3" s="41"/>
      <c r="P3" s="56"/>
      <c r="Q3" s="56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159</v>
      </c>
      <c r="B4" s="43" t="s">
        <v>171</v>
      </c>
      <c r="D4" s="41"/>
      <c r="F4" s="41"/>
      <c r="H4" s="41"/>
      <c r="J4" s="41"/>
      <c r="L4" s="41"/>
      <c r="N4" s="41"/>
      <c r="P4" s="56"/>
      <c r="Q4" s="56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309</v>
      </c>
      <c r="D5" s="75" t="s">
        <v>309</v>
      </c>
      <c r="F5" s="75" t="s">
        <v>161</v>
      </c>
      <c r="G5" s="56"/>
      <c r="H5" s="75" t="s">
        <v>163</v>
      </c>
      <c r="I5" s="56"/>
      <c r="J5" s="75" t="s">
        <v>165</v>
      </c>
      <c r="K5" s="56"/>
      <c r="L5" s="75" t="s">
        <v>167</v>
      </c>
      <c r="N5" s="75" t="s">
        <v>168</v>
      </c>
      <c r="O5" s="56"/>
      <c r="P5" s="75" t="s">
        <v>166</v>
      </c>
      <c r="Q5" s="56"/>
      <c r="R5" s="76" t="s">
        <v>319</v>
      </c>
    </row>
    <row r="6" spans="1:23" ht="15.75" x14ac:dyDescent="0.25">
      <c r="A6" s="42">
        <v>2</v>
      </c>
      <c r="B6" s="73" t="s">
        <v>161</v>
      </c>
      <c r="D6" s="75" t="s">
        <v>320</v>
      </c>
      <c r="F6" s="75" t="s">
        <v>162</v>
      </c>
      <c r="G6" s="56"/>
      <c r="H6" s="75" t="s">
        <v>164</v>
      </c>
      <c r="I6" s="56"/>
      <c r="J6" s="75" t="s">
        <v>321</v>
      </c>
      <c r="K6" s="56"/>
      <c r="L6" s="75" t="s">
        <v>320</v>
      </c>
      <c r="M6" s="56"/>
      <c r="N6" s="75" t="s">
        <v>156</v>
      </c>
      <c r="O6" s="56"/>
      <c r="P6" s="75" t="s">
        <v>322</v>
      </c>
      <c r="Q6" s="56"/>
      <c r="R6" s="74" t="s">
        <v>317</v>
      </c>
    </row>
    <row r="7" spans="1:23" ht="15.75" x14ac:dyDescent="0.25">
      <c r="A7" s="42">
        <v>3</v>
      </c>
      <c r="B7" s="42" t="s">
        <v>313</v>
      </c>
      <c r="F7" s="55"/>
      <c r="G7" s="56"/>
      <c r="H7" s="55"/>
      <c r="I7" s="56"/>
      <c r="J7" s="55"/>
      <c r="K7" s="56"/>
      <c r="L7" s="75" t="s">
        <v>314</v>
      </c>
      <c r="M7" s="56"/>
      <c r="N7" s="55"/>
      <c r="O7" s="56"/>
      <c r="P7" s="55"/>
      <c r="Q7" s="56"/>
    </row>
    <row r="8" spans="1:23" ht="15.75" x14ac:dyDescent="0.25">
      <c r="A8" s="42">
        <v>4</v>
      </c>
      <c r="B8" s="42" t="s">
        <v>310</v>
      </c>
      <c r="F8" s="55"/>
      <c r="G8" s="56"/>
      <c r="H8" s="55"/>
      <c r="I8" s="56"/>
      <c r="J8" s="55"/>
      <c r="K8" s="56"/>
      <c r="L8" s="75" t="s">
        <v>315</v>
      </c>
      <c r="M8" s="56"/>
      <c r="N8" s="55"/>
      <c r="O8" s="56"/>
      <c r="P8" s="55"/>
      <c r="Q8" s="56"/>
    </row>
    <row r="9" spans="1:23" ht="15.75" x14ac:dyDescent="0.25">
      <c r="A9" s="42">
        <v>5</v>
      </c>
      <c r="B9" s="42" t="s">
        <v>316</v>
      </c>
      <c r="H9" s="55"/>
      <c r="I9" s="56"/>
      <c r="J9" s="55"/>
      <c r="K9" s="56"/>
      <c r="L9" s="55"/>
      <c r="M9" s="56"/>
      <c r="N9" s="55"/>
      <c r="O9" s="56"/>
    </row>
    <row r="10" spans="1:23" ht="15.75" x14ac:dyDescent="0.25">
      <c r="A10" s="42">
        <v>6</v>
      </c>
      <c r="B10" s="42" t="s">
        <v>311</v>
      </c>
      <c r="L10" s="55"/>
    </row>
    <row r="11" spans="1:23" ht="15.75" x14ac:dyDescent="0.25">
      <c r="A11" s="42">
        <v>7</v>
      </c>
      <c r="B11" s="42" t="s">
        <v>312</v>
      </c>
      <c r="L11" s="55"/>
    </row>
    <row r="12" spans="1:23" ht="15.75" x14ac:dyDescent="0.25">
      <c r="A12" s="42">
        <v>8</v>
      </c>
      <c r="B12" s="42" t="s">
        <v>318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8" customWidth="1"/>
    <col min="6" max="6" width="21.42578125" customWidth="1"/>
    <col min="7" max="7" width="0.7109375" style="68" customWidth="1"/>
    <col min="8" max="8" width="15.7109375" customWidth="1"/>
    <col min="9" max="9" width="0.7109375" style="68" customWidth="1"/>
    <col min="10" max="10" width="20.7109375" customWidth="1"/>
    <col min="11" max="11" width="0.7109375" style="68" customWidth="1"/>
    <col min="12" max="12" width="21.42578125" customWidth="1"/>
    <col min="13" max="13" width="0.7109375" style="68" customWidth="1"/>
    <col min="14" max="14" width="14.28515625" customWidth="1"/>
    <col min="15" max="15" width="0.7109375" style="68" customWidth="1"/>
    <col min="16" max="16" width="18.85546875" customWidth="1"/>
    <col min="17" max="17" width="0.7109375" style="68" customWidth="1"/>
    <col min="18" max="18" width="17.140625" customWidth="1"/>
    <col min="19" max="19" width="0.7109375" style="68" customWidth="1"/>
    <col min="20" max="20" width="17.140625" customWidth="1"/>
    <col min="21" max="21" width="0.7109375" style="68" customWidth="1"/>
    <col min="22" max="22" width="30.7109375" customWidth="1"/>
    <col min="23" max="23" width="0.7109375" style="68" customWidth="1"/>
    <col min="24" max="24" width="22.85546875" customWidth="1"/>
    <col min="25" max="25" width="0.7109375" style="68" customWidth="1"/>
    <col min="26" max="26" width="17.140625" customWidth="1"/>
    <col min="27" max="27" width="0.7109375" style="68" customWidth="1"/>
    <col min="28" max="28" width="22.85546875" customWidth="1"/>
    <col min="29" max="29" width="0.7109375" style="68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57"/>
      <c r="D1" s="68"/>
      <c r="F1" s="41"/>
      <c r="H1" s="41"/>
      <c r="J1" s="41"/>
      <c r="L1" s="41"/>
      <c r="N1" s="68"/>
      <c r="P1" s="68"/>
      <c r="R1" s="68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57"/>
      <c r="D2" s="68"/>
      <c r="F2" s="41"/>
      <c r="H2" s="41"/>
      <c r="J2" s="41"/>
      <c r="L2" s="41"/>
      <c r="N2" s="68"/>
      <c r="P2" s="68"/>
      <c r="R2" s="68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8"/>
      <c r="E3" s="68"/>
      <c r="G3" s="68"/>
      <c r="I3" s="68"/>
      <c r="K3" s="68"/>
      <c r="M3" s="68"/>
      <c r="N3" s="68"/>
      <c r="O3" s="68"/>
      <c r="P3" s="68"/>
      <c r="Q3" s="68"/>
      <c r="R3" s="68"/>
      <c r="S3" s="68"/>
      <c r="U3" s="68"/>
      <c r="W3" s="68"/>
      <c r="Y3" s="68"/>
      <c r="AA3" s="68"/>
      <c r="AC3" s="68"/>
    </row>
    <row r="4" spans="1:55" ht="15.75" x14ac:dyDescent="0.25">
      <c r="A4" s="200" t="s">
        <v>169</v>
      </c>
      <c r="B4" s="200"/>
      <c r="D4" s="42" t="s">
        <v>187</v>
      </c>
      <c r="E4" s="69"/>
      <c r="F4" s="42" t="s">
        <v>191</v>
      </c>
      <c r="G4" s="69"/>
      <c r="H4" s="42" t="s">
        <v>185</v>
      </c>
      <c r="I4" s="69"/>
      <c r="J4" s="42" t="s">
        <v>175</v>
      </c>
      <c r="K4" s="69"/>
      <c r="L4" s="42" t="s">
        <v>174</v>
      </c>
      <c r="M4" s="69"/>
      <c r="N4" s="42" t="s">
        <v>176</v>
      </c>
      <c r="O4" s="69"/>
      <c r="P4" s="42" t="s">
        <v>180</v>
      </c>
      <c r="Q4" s="69"/>
      <c r="R4" s="42" t="s">
        <v>186</v>
      </c>
      <c r="S4" s="69"/>
      <c r="T4" s="42" t="s">
        <v>201</v>
      </c>
      <c r="U4" s="69"/>
      <c r="V4" s="42" t="s">
        <v>184</v>
      </c>
      <c r="W4" s="69"/>
      <c r="X4" s="42" t="s">
        <v>263</v>
      </c>
      <c r="Y4" s="69"/>
      <c r="Z4" s="42" t="s">
        <v>188</v>
      </c>
      <c r="AA4" s="69"/>
      <c r="AB4" s="42" t="s">
        <v>205</v>
      </c>
      <c r="AC4" s="69"/>
      <c r="AD4" s="42" t="s">
        <v>273</v>
      </c>
      <c r="AE4" s="70"/>
      <c r="AF4" s="42" t="s">
        <v>276</v>
      </c>
      <c r="AG4" s="70"/>
      <c r="AH4" s="42" t="s">
        <v>278</v>
      </c>
      <c r="AI4" s="70"/>
      <c r="AJ4" s="42" t="s">
        <v>178</v>
      </c>
      <c r="AK4" s="70"/>
      <c r="AL4" s="42" t="s">
        <v>227</v>
      </c>
      <c r="AM4" s="70"/>
      <c r="AN4" s="42" t="s">
        <v>241</v>
      </c>
      <c r="AO4" s="70"/>
      <c r="AP4" s="42" t="s">
        <v>177</v>
      </c>
      <c r="AQ4" s="70"/>
      <c r="AR4" s="42" t="s">
        <v>279</v>
      </c>
      <c r="AS4" s="70"/>
      <c r="AT4" s="42" t="s">
        <v>246</v>
      </c>
      <c r="AU4" s="70"/>
      <c r="AV4" s="42" t="s">
        <v>179</v>
      </c>
      <c r="AW4" s="56"/>
      <c r="AX4" s="55" t="s">
        <v>173</v>
      </c>
      <c r="AY4" s="55"/>
      <c r="AZ4" s="55"/>
      <c r="BA4" s="55"/>
    </row>
    <row r="5" spans="1:55" ht="15.75" x14ac:dyDescent="0.25">
      <c r="A5" s="42" t="s">
        <v>170</v>
      </c>
      <c r="B5" s="42" t="s">
        <v>172</v>
      </c>
      <c r="D5" s="42" t="s">
        <v>266</v>
      </c>
      <c r="E5" s="69"/>
      <c r="F5" s="42" t="s">
        <v>196</v>
      </c>
      <c r="G5" s="69"/>
      <c r="H5" s="42" t="s">
        <v>215</v>
      </c>
      <c r="I5" s="69"/>
      <c r="J5" s="42" t="s">
        <v>220</v>
      </c>
      <c r="K5" s="69"/>
      <c r="L5" s="42" t="s">
        <v>224</v>
      </c>
      <c r="M5" s="69"/>
      <c r="N5" s="42" t="s">
        <v>202</v>
      </c>
      <c r="O5" s="69"/>
      <c r="P5" s="42" t="s">
        <v>269</v>
      </c>
      <c r="Q5" s="69"/>
      <c r="R5" s="42" t="s">
        <v>237</v>
      </c>
      <c r="S5" s="69"/>
      <c r="T5" s="42" t="s">
        <v>206</v>
      </c>
      <c r="U5" s="69"/>
      <c r="V5" s="42" t="s">
        <v>211</v>
      </c>
      <c r="W5" s="69"/>
      <c r="X5" s="42" t="s">
        <v>270</v>
      </c>
      <c r="Y5" s="69"/>
      <c r="Z5" s="42" t="s">
        <v>271</v>
      </c>
      <c r="AA5" s="69"/>
      <c r="AB5" s="42" t="s">
        <v>268</v>
      </c>
      <c r="AC5" s="69"/>
      <c r="AD5" s="42" t="s">
        <v>282</v>
      </c>
      <c r="AE5" s="70"/>
      <c r="AF5" s="42" t="s">
        <v>277</v>
      </c>
      <c r="AG5" s="70"/>
      <c r="AH5" s="42" t="s">
        <v>305</v>
      </c>
      <c r="AI5" s="70"/>
      <c r="AJ5" s="42" t="s">
        <v>255</v>
      </c>
      <c r="AK5" s="70"/>
      <c r="AL5" s="42" t="s">
        <v>253</v>
      </c>
      <c r="AM5" s="70"/>
      <c r="AN5" s="42" t="s">
        <v>243</v>
      </c>
      <c r="AO5" s="70"/>
      <c r="AP5" s="42" t="s">
        <v>201</v>
      </c>
      <c r="AQ5" s="70"/>
      <c r="AR5" s="42" t="s">
        <v>280</v>
      </c>
      <c r="AS5" s="70"/>
      <c r="AT5" s="42" t="s">
        <v>248</v>
      </c>
      <c r="AU5" s="70"/>
      <c r="AV5" s="42" t="s">
        <v>258</v>
      </c>
      <c r="AW5" s="56"/>
      <c r="AX5" s="55" t="s">
        <v>301</v>
      </c>
      <c r="AY5" s="55"/>
      <c r="AZ5" s="55"/>
      <c r="BA5" s="55"/>
    </row>
    <row r="6" spans="1:55" ht="15.75" x14ac:dyDescent="0.25">
      <c r="A6" s="42">
        <v>1</v>
      </c>
      <c r="B6" s="66" t="s">
        <v>187</v>
      </c>
      <c r="D6" s="42" t="s">
        <v>267</v>
      </c>
      <c r="E6" s="69"/>
      <c r="F6" s="42" t="s">
        <v>195</v>
      </c>
      <c r="G6" s="69"/>
      <c r="H6" s="42" t="s">
        <v>216</v>
      </c>
      <c r="I6" s="69"/>
      <c r="J6" s="42" t="s">
        <v>223</v>
      </c>
      <c r="K6" s="69"/>
      <c r="L6" s="42" t="s">
        <v>225</v>
      </c>
      <c r="M6" s="69"/>
      <c r="N6" s="42" t="s">
        <v>201</v>
      </c>
      <c r="O6" s="69"/>
      <c r="P6" s="42" t="s">
        <v>156</v>
      </c>
      <c r="Q6" s="69"/>
      <c r="R6" s="42" t="s">
        <v>238</v>
      </c>
      <c r="S6" s="69"/>
      <c r="T6" s="42" t="s">
        <v>210</v>
      </c>
      <c r="U6" s="69"/>
      <c r="V6" s="42" t="s">
        <v>212</v>
      </c>
      <c r="W6" s="69"/>
      <c r="X6" s="42" t="s">
        <v>156</v>
      </c>
      <c r="Y6" s="69"/>
      <c r="Z6" s="42" t="s">
        <v>272</v>
      </c>
      <c r="AA6" s="69"/>
      <c r="AB6" s="42" t="s">
        <v>233</v>
      </c>
      <c r="AC6" s="69"/>
      <c r="AD6" s="42" t="s">
        <v>281</v>
      </c>
      <c r="AE6" s="70"/>
      <c r="AF6" s="42" t="s">
        <v>304</v>
      </c>
      <c r="AG6" s="70"/>
      <c r="AH6" s="42" t="s">
        <v>320</v>
      </c>
      <c r="AI6" s="70"/>
      <c r="AJ6" s="42" t="s">
        <v>254</v>
      </c>
      <c r="AK6" s="70"/>
      <c r="AL6" s="42" t="s">
        <v>228</v>
      </c>
      <c r="AM6" s="70"/>
      <c r="AN6" s="42" t="s">
        <v>242</v>
      </c>
      <c r="AO6" s="70"/>
      <c r="AP6" s="42" t="s">
        <v>250</v>
      </c>
      <c r="AQ6" s="70"/>
      <c r="AR6" s="42" t="s">
        <v>306</v>
      </c>
      <c r="AS6" s="70"/>
      <c r="AT6" s="42" t="s">
        <v>247</v>
      </c>
      <c r="AU6" s="70"/>
      <c r="AV6" s="42" t="s">
        <v>259</v>
      </c>
      <c r="AW6" s="56"/>
      <c r="AX6" s="55" t="s">
        <v>300</v>
      </c>
      <c r="AY6" s="55"/>
      <c r="AZ6" s="55"/>
      <c r="BA6" s="55"/>
    </row>
    <row r="7" spans="1:55" ht="15.75" x14ac:dyDescent="0.25">
      <c r="A7" s="42">
        <v>2</v>
      </c>
      <c r="B7" s="67" t="s">
        <v>285</v>
      </c>
      <c r="D7" s="42" t="s">
        <v>264</v>
      </c>
      <c r="E7" s="69"/>
      <c r="F7" s="42" t="s">
        <v>194</v>
      </c>
      <c r="G7" s="69"/>
      <c r="H7" s="42" t="s">
        <v>217</v>
      </c>
      <c r="I7" s="69"/>
      <c r="J7" s="42" t="s">
        <v>221</v>
      </c>
      <c r="K7" s="69"/>
      <c r="L7" s="42"/>
      <c r="M7" s="69"/>
      <c r="N7" s="42" t="s">
        <v>203</v>
      </c>
      <c r="O7" s="69"/>
      <c r="P7" s="42"/>
      <c r="Q7" s="69"/>
      <c r="R7" s="42" t="s">
        <v>239</v>
      </c>
      <c r="S7" s="69"/>
      <c r="T7" s="42" t="s">
        <v>207</v>
      </c>
      <c r="U7" s="69"/>
      <c r="V7" s="42" t="s">
        <v>213</v>
      </c>
      <c r="W7" s="69"/>
      <c r="X7" s="42"/>
      <c r="Y7" s="69"/>
      <c r="Z7" s="42"/>
      <c r="AA7" s="69"/>
      <c r="AB7" s="42"/>
      <c r="AC7" s="69"/>
      <c r="AD7" s="42" t="s">
        <v>274</v>
      </c>
      <c r="AE7" s="70"/>
      <c r="AF7" s="42"/>
      <c r="AG7" s="70"/>
      <c r="AH7" s="42"/>
      <c r="AI7" s="70"/>
      <c r="AJ7" s="42"/>
      <c r="AK7" s="70"/>
      <c r="AL7" s="42" t="s">
        <v>229</v>
      </c>
      <c r="AM7" s="70"/>
      <c r="AN7" s="42" t="s">
        <v>244</v>
      </c>
      <c r="AO7" s="70"/>
      <c r="AP7" s="42" t="s">
        <v>251</v>
      </c>
      <c r="AQ7" s="70"/>
      <c r="AR7" s="42"/>
      <c r="AS7" s="70"/>
      <c r="AT7" s="42" t="s">
        <v>249</v>
      </c>
      <c r="AU7" s="70"/>
      <c r="AV7" s="42" t="s">
        <v>260</v>
      </c>
      <c r="AW7" s="56"/>
      <c r="AX7" s="55" t="s">
        <v>302</v>
      </c>
      <c r="AY7" s="55"/>
      <c r="AZ7" s="55"/>
      <c r="BA7" s="55"/>
    </row>
    <row r="8" spans="1:55" ht="15.75" x14ac:dyDescent="0.25">
      <c r="A8" s="42">
        <v>3</v>
      </c>
      <c r="B8" s="67" t="s">
        <v>286</v>
      </c>
      <c r="D8" s="42" t="s">
        <v>265</v>
      </c>
      <c r="E8" s="69"/>
      <c r="F8" s="42" t="s">
        <v>192</v>
      </c>
      <c r="G8" s="69"/>
      <c r="H8" s="42" t="s">
        <v>218</v>
      </c>
      <c r="I8" s="69"/>
      <c r="J8" s="42" t="s">
        <v>226</v>
      </c>
      <c r="K8" s="69"/>
      <c r="L8" s="42"/>
      <c r="M8" s="69"/>
      <c r="N8" s="42" t="s">
        <v>204</v>
      </c>
      <c r="O8" s="69"/>
      <c r="P8" s="42"/>
      <c r="Q8" s="69"/>
      <c r="R8" s="42" t="s">
        <v>240</v>
      </c>
      <c r="S8" s="69"/>
      <c r="T8" s="42" t="s">
        <v>208</v>
      </c>
      <c r="U8" s="69"/>
      <c r="V8" s="42" t="s">
        <v>214</v>
      </c>
      <c r="W8" s="69"/>
      <c r="X8" s="42"/>
      <c r="Y8" s="69"/>
      <c r="Z8" s="42"/>
      <c r="AA8" s="69"/>
      <c r="AB8" s="42"/>
      <c r="AC8" s="69"/>
      <c r="AD8" s="42" t="s">
        <v>275</v>
      </c>
      <c r="AE8" s="70"/>
      <c r="AF8" s="42"/>
      <c r="AG8" s="70"/>
      <c r="AH8" s="42"/>
      <c r="AI8" s="70"/>
      <c r="AJ8" s="42"/>
      <c r="AK8" s="70"/>
      <c r="AL8" s="42" t="s">
        <v>230</v>
      </c>
      <c r="AM8" s="70"/>
      <c r="AN8" s="42" t="s">
        <v>245</v>
      </c>
      <c r="AO8" s="70"/>
      <c r="AP8" s="42" t="s">
        <v>252</v>
      </c>
      <c r="AQ8" s="70"/>
      <c r="AR8" s="42"/>
      <c r="AS8" s="70"/>
      <c r="AT8" s="42"/>
      <c r="AU8" s="70"/>
      <c r="AV8" s="42" t="s">
        <v>256</v>
      </c>
      <c r="AW8" s="56"/>
      <c r="AX8" s="55"/>
      <c r="AY8" s="55"/>
      <c r="AZ8" s="55"/>
      <c r="BA8" s="55"/>
    </row>
    <row r="9" spans="1:55" ht="15.75" x14ac:dyDescent="0.25">
      <c r="A9" s="42">
        <v>4</v>
      </c>
      <c r="B9" s="66" t="s">
        <v>287</v>
      </c>
      <c r="D9" s="42"/>
      <c r="E9" s="69"/>
      <c r="F9" s="42" t="s">
        <v>193</v>
      </c>
      <c r="G9" s="69"/>
      <c r="H9" s="42" t="s">
        <v>219</v>
      </c>
      <c r="I9" s="69"/>
      <c r="J9" s="42" t="s">
        <v>222</v>
      </c>
      <c r="K9" s="69"/>
      <c r="L9" s="42"/>
      <c r="M9" s="69"/>
      <c r="N9" s="42"/>
      <c r="O9" s="69"/>
      <c r="P9" s="42"/>
      <c r="Q9" s="69"/>
      <c r="R9" s="42"/>
      <c r="S9" s="69"/>
      <c r="T9" s="42" t="s">
        <v>209</v>
      </c>
      <c r="U9" s="69"/>
      <c r="V9" s="42"/>
      <c r="W9" s="69"/>
      <c r="X9" s="42"/>
      <c r="Y9" s="69"/>
      <c r="Z9" s="42"/>
      <c r="AA9" s="69"/>
      <c r="AB9" s="42"/>
      <c r="AC9" s="69"/>
      <c r="AD9" s="42"/>
      <c r="AE9" s="70"/>
      <c r="AF9" s="42"/>
      <c r="AG9" s="70"/>
      <c r="AH9" s="42"/>
      <c r="AI9" s="70"/>
      <c r="AJ9" s="42"/>
      <c r="AK9" s="70"/>
      <c r="AL9" s="42" t="s">
        <v>236</v>
      </c>
      <c r="AM9" s="70"/>
      <c r="AN9" s="42"/>
      <c r="AO9" s="70"/>
      <c r="AP9" s="42"/>
      <c r="AQ9" s="70"/>
      <c r="AR9" s="42"/>
      <c r="AS9" s="70"/>
      <c r="AT9" s="42"/>
      <c r="AU9" s="70"/>
      <c r="AV9" s="42" t="s">
        <v>257</v>
      </c>
      <c r="AW9" s="56"/>
      <c r="AX9" s="55"/>
      <c r="AY9" s="55"/>
      <c r="AZ9" s="55"/>
      <c r="BA9" s="55"/>
    </row>
    <row r="10" spans="1:55" ht="15.75" x14ac:dyDescent="0.25">
      <c r="A10" s="42">
        <v>5</v>
      </c>
      <c r="B10" s="66" t="s">
        <v>288</v>
      </c>
      <c r="D10" s="42"/>
      <c r="E10" s="69"/>
      <c r="F10" s="42" t="s">
        <v>197</v>
      </c>
      <c r="G10" s="69"/>
      <c r="H10" s="42"/>
      <c r="I10" s="69"/>
      <c r="J10" s="42"/>
      <c r="K10" s="69"/>
      <c r="L10" s="42"/>
      <c r="M10" s="69"/>
      <c r="N10" s="42"/>
      <c r="O10" s="69"/>
      <c r="P10" s="42"/>
      <c r="Q10" s="69"/>
      <c r="R10" s="42"/>
      <c r="S10" s="69"/>
      <c r="T10" s="42"/>
      <c r="U10" s="69"/>
      <c r="V10" s="42"/>
      <c r="W10" s="69"/>
      <c r="X10" s="42"/>
      <c r="Y10" s="69"/>
      <c r="Z10" s="42"/>
      <c r="AA10" s="69"/>
      <c r="AB10" s="42"/>
      <c r="AC10" s="69"/>
      <c r="AD10" s="42"/>
      <c r="AE10" s="70"/>
      <c r="AF10" s="42"/>
      <c r="AG10" s="70"/>
      <c r="AH10" s="42"/>
      <c r="AI10" s="70"/>
      <c r="AJ10" s="42"/>
      <c r="AK10" s="70"/>
      <c r="AL10" s="42" t="s">
        <v>231</v>
      </c>
      <c r="AM10" s="70"/>
      <c r="AN10" s="42"/>
      <c r="AO10" s="70"/>
      <c r="AP10" s="42"/>
      <c r="AQ10" s="70"/>
      <c r="AR10" s="42"/>
      <c r="AS10" s="70"/>
      <c r="AT10" s="42"/>
      <c r="AU10" s="70"/>
      <c r="AV10" s="42" t="s">
        <v>261</v>
      </c>
      <c r="AW10" s="56"/>
      <c r="AX10" s="55"/>
      <c r="AY10" s="55"/>
      <c r="AZ10" s="55"/>
      <c r="BA10" s="55"/>
    </row>
    <row r="11" spans="1:55" ht="15.75" x14ac:dyDescent="0.25">
      <c r="A11" s="42">
        <v>6</v>
      </c>
      <c r="B11" s="67" t="s">
        <v>176</v>
      </c>
      <c r="D11" s="42"/>
      <c r="E11" s="69"/>
      <c r="F11" s="42" t="s">
        <v>200</v>
      </c>
      <c r="G11" s="69"/>
      <c r="H11" s="42"/>
      <c r="I11" s="69"/>
      <c r="J11" s="42"/>
      <c r="K11" s="69"/>
      <c r="L11" s="42"/>
      <c r="M11" s="69"/>
      <c r="N11" s="42"/>
      <c r="O11" s="69"/>
      <c r="P11" s="42"/>
      <c r="Q11" s="69"/>
      <c r="R11" s="42"/>
      <c r="S11" s="69"/>
      <c r="T11" s="42"/>
      <c r="U11" s="69"/>
      <c r="V11" s="42"/>
      <c r="W11" s="69"/>
      <c r="X11" s="42"/>
      <c r="Y11" s="69"/>
      <c r="Z11" s="42"/>
      <c r="AA11" s="69"/>
      <c r="AB11" s="42"/>
      <c r="AC11" s="69"/>
      <c r="AD11" s="42"/>
      <c r="AE11" s="70"/>
      <c r="AF11" s="42"/>
      <c r="AG11" s="70"/>
      <c r="AH11" s="42"/>
      <c r="AI11" s="70"/>
      <c r="AJ11" s="42"/>
      <c r="AK11" s="70"/>
      <c r="AL11" s="42" t="s">
        <v>235</v>
      </c>
      <c r="AM11" s="70"/>
      <c r="AN11" s="42"/>
      <c r="AO11" s="70"/>
      <c r="AP11" s="42"/>
      <c r="AQ11" s="70"/>
      <c r="AR11" s="42"/>
      <c r="AS11" s="70"/>
      <c r="AT11" s="42"/>
      <c r="AU11" s="70"/>
      <c r="AV11" s="42" t="s">
        <v>262</v>
      </c>
      <c r="AW11" s="56"/>
      <c r="AX11" s="55"/>
      <c r="AY11" s="55"/>
      <c r="AZ11" s="55"/>
      <c r="BA11" s="55"/>
    </row>
    <row r="12" spans="1:55" ht="15.75" x14ac:dyDescent="0.25">
      <c r="A12" s="42">
        <v>7</v>
      </c>
      <c r="B12" s="67" t="s">
        <v>289</v>
      </c>
      <c r="D12" s="42"/>
      <c r="E12" s="69"/>
      <c r="F12" s="42" t="s">
        <v>198</v>
      </c>
      <c r="G12" s="69"/>
      <c r="H12" s="42"/>
      <c r="I12" s="69"/>
      <c r="J12" s="42"/>
      <c r="K12" s="69"/>
      <c r="L12" s="42"/>
      <c r="M12" s="69"/>
      <c r="N12" s="42"/>
      <c r="O12" s="69"/>
      <c r="P12" s="42"/>
      <c r="Q12" s="69"/>
      <c r="R12" s="42"/>
      <c r="S12" s="69"/>
      <c r="T12" s="42"/>
      <c r="U12" s="69"/>
      <c r="V12" s="42"/>
      <c r="W12" s="69"/>
      <c r="X12" s="42"/>
      <c r="Y12" s="69"/>
      <c r="Z12" s="42"/>
      <c r="AA12" s="69"/>
      <c r="AB12" s="42"/>
      <c r="AC12" s="69"/>
      <c r="AD12" s="42"/>
      <c r="AE12" s="70"/>
      <c r="AF12" s="42"/>
      <c r="AG12" s="70"/>
      <c r="AH12" s="42"/>
      <c r="AI12" s="70"/>
      <c r="AJ12" s="42"/>
      <c r="AK12" s="70"/>
      <c r="AL12" s="42" t="s">
        <v>250</v>
      </c>
      <c r="AM12" s="70"/>
      <c r="AN12" s="42"/>
      <c r="AO12" s="70"/>
      <c r="AP12" s="42"/>
      <c r="AQ12" s="70"/>
      <c r="AR12" s="42"/>
      <c r="AS12" s="70"/>
      <c r="AT12" s="42"/>
      <c r="AU12" s="70"/>
      <c r="AV12" s="42"/>
      <c r="AW12" s="56"/>
      <c r="AX12" s="55"/>
      <c r="AY12" s="55"/>
      <c r="AZ12" s="55"/>
      <c r="BA12" s="55"/>
    </row>
    <row r="13" spans="1:55" ht="15.75" x14ac:dyDescent="0.25">
      <c r="A13" s="42">
        <v>8</v>
      </c>
      <c r="B13" s="67" t="s">
        <v>290</v>
      </c>
      <c r="D13" s="42"/>
      <c r="E13" s="69"/>
      <c r="F13" s="42" t="s">
        <v>199</v>
      </c>
      <c r="G13" s="69"/>
      <c r="H13" s="42"/>
      <c r="I13" s="69"/>
      <c r="J13" s="42"/>
      <c r="K13" s="69"/>
      <c r="L13" s="42"/>
      <c r="M13" s="69"/>
      <c r="N13" s="42"/>
      <c r="O13" s="69"/>
      <c r="P13" s="42"/>
      <c r="Q13" s="69"/>
      <c r="R13" s="42"/>
      <c r="S13" s="71"/>
      <c r="T13" s="42"/>
      <c r="U13" s="69"/>
      <c r="V13" s="42"/>
      <c r="W13" s="69"/>
      <c r="X13" s="42"/>
      <c r="Y13" s="69"/>
      <c r="Z13" s="42"/>
      <c r="AA13" s="69"/>
      <c r="AB13" s="42"/>
      <c r="AC13" s="69"/>
      <c r="AD13" s="42"/>
      <c r="AE13" s="70"/>
      <c r="AF13" s="42"/>
      <c r="AG13" s="70"/>
      <c r="AH13" s="42"/>
      <c r="AI13" s="70"/>
      <c r="AJ13" s="42"/>
      <c r="AK13" s="70"/>
      <c r="AL13" s="42" t="s">
        <v>234</v>
      </c>
      <c r="AM13" s="70"/>
      <c r="AN13" s="42"/>
      <c r="AO13" s="70"/>
      <c r="AP13" s="42"/>
      <c r="AQ13" s="70"/>
      <c r="AR13" s="42"/>
      <c r="AS13" s="70"/>
      <c r="AT13" s="42"/>
      <c r="AU13" s="70"/>
      <c r="AV13" s="42"/>
      <c r="AW13" s="56"/>
      <c r="AX13" s="55"/>
      <c r="AY13" s="55"/>
      <c r="AZ13" s="55"/>
      <c r="BA13" s="55"/>
    </row>
    <row r="14" spans="1:55" ht="15.75" x14ac:dyDescent="0.25">
      <c r="A14" s="42">
        <v>9</v>
      </c>
      <c r="B14" s="66" t="s">
        <v>201</v>
      </c>
      <c r="D14" s="42"/>
      <c r="E14" s="69"/>
      <c r="F14" s="42"/>
      <c r="G14" s="69"/>
      <c r="H14" s="42"/>
      <c r="I14" s="69"/>
      <c r="J14" s="42"/>
      <c r="K14" s="69"/>
      <c r="L14" s="42"/>
      <c r="M14" s="69"/>
      <c r="N14" s="42"/>
      <c r="O14" s="69"/>
      <c r="P14" s="42"/>
      <c r="Q14" s="69"/>
      <c r="R14" s="42"/>
      <c r="S14" s="69"/>
      <c r="T14" s="42"/>
      <c r="U14" s="69"/>
      <c r="V14" s="42"/>
      <c r="W14" s="69"/>
      <c r="X14" s="42"/>
      <c r="Y14" s="69"/>
      <c r="Z14" s="42"/>
      <c r="AA14" s="69"/>
      <c r="AB14" s="42"/>
      <c r="AC14" s="69"/>
      <c r="AD14" s="42"/>
      <c r="AE14" s="70"/>
      <c r="AF14" s="42"/>
      <c r="AG14" s="70"/>
      <c r="AH14" s="42"/>
      <c r="AI14" s="70"/>
      <c r="AJ14" s="42"/>
      <c r="AK14" s="70"/>
      <c r="AL14" s="42" t="s">
        <v>232</v>
      </c>
      <c r="AM14" s="70"/>
      <c r="AN14" s="42"/>
      <c r="AO14" s="70"/>
      <c r="AP14" s="42"/>
      <c r="AQ14" s="70"/>
      <c r="AR14" s="42"/>
      <c r="AS14" s="70"/>
      <c r="AT14" s="42"/>
      <c r="AU14" s="70"/>
      <c r="AV14" s="42"/>
      <c r="AW14" s="56"/>
      <c r="AX14" s="55"/>
      <c r="AY14" s="55"/>
      <c r="AZ14" s="55"/>
      <c r="BA14" s="55"/>
    </row>
    <row r="15" spans="1:55" ht="15.75" x14ac:dyDescent="0.25">
      <c r="A15" s="42">
        <v>10</v>
      </c>
      <c r="B15" s="67" t="s">
        <v>291</v>
      </c>
      <c r="D15" s="42"/>
      <c r="E15" s="69"/>
      <c r="F15" s="42"/>
      <c r="G15" s="69"/>
      <c r="H15" s="42"/>
      <c r="I15" s="69"/>
      <c r="J15" s="42"/>
      <c r="K15" s="69"/>
      <c r="L15" s="42"/>
      <c r="M15" s="69"/>
      <c r="N15" s="42"/>
      <c r="O15" s="69"/>
      <c r="P15" s="42"/>
      <c r="Q15" s="69"/>
      <c r="R15" s="42"/>
      <c r="S15" s="69"/>
      <c r="T15" s="42"/>
      <c r="U15" s="69"/>
      <c r="V15" s="42"/>
      <c r="W15" s="69"/>
      <c r="X15" s="42"/>
      <c r="Y15" s="69"/>
      <c r="Z15" s="42"/>
      <c r="AA15" s="69"/>
      <c r="AB15" s="42"/>
      <c r="AC15" s="69"/>
      <c r="AD15" s="42"/>
      <c r="AE15" s="70"/>
      <c r="AF15" s="42"/>
      <c r="AG15" s="70"/>
      <c r="AH15" s="42"/>
      <c r="AI15" s="70"/>
      <c r="AJ15" s="42"/>
      <c r="AK15" s="70"/>
      <c r="AL15" s="42" t="s">
        <v>233</v>
      </c>
      <c r="AM15" s="70"/>
      <c r="AN15" s="42"/>
      <c r="AO15" s="70"/>
      <c r="AP15" s="42"/>
      <c r="AQ15" s="70"/>
      <c r="AR15" s="42"/>
      <c r="AS15" s="70"/>
      <c r="AT15" s="42"/>
      <c r="AU15" s="70"/>
      <c r="AV15" s="42"/>
      <c r="AW15" s="56"/>
      <c r="AX15" s="55"/>
      <c r="AY15" s="55"/>
      <c r="AZ15" s="55"/>
      <c r="BA15" s="55"/>
    </row>
    <row r="16" spans="1:55" ht="15.75" x14ac:dyDescent="0.25">
      <c r="A16" s="42">
        <v>11</v>
      </c>
      <c r="B16" s="67" t="s">
        <v>284</v>
      </c>
      <c r="D16" s="42"/>
      <c r="E16" s="69"/>
      <c r="F16" s="42"/>
      <c r="G16" s="69"/>
      <c r="H16" s="42"/>
      <c r="I16" s="69"/>
      <c r="J16" s="42"/>
      <c r="K16" s="69"/>
      <c r="L16" s="42"/>
      <c r="M16" s="69"/>
      <c r="N16" s="42"/>
      <c r="O16" s="69"/>
      <c r="P16" s="42"/>
      <c r="Q16" s="69"/>
      <c r="R16" s="42"/>
      <c r="S16" s="69"/>
      <c r="T16" s="42"/>
      <c r="U16" s="69"/>
      <c r="V16" s="42"/>
      <c r="W16" s="69"/>
      <c r="X16" s="42"/>
      <c r="Y16" s="69"/>
      <c r="Z16" s="42"/>
      <c r="AA16" s="69"/>
      <c r="AB16" s="42"/>
      <c r="AC16" s="69"/>
      <c r="AD16" s="42"/>
      <c r="AE16" s="70"/>
      <c r="AF16" s="42"/>
      <c r="AG16" s="70"/>
      <c r="AH16" s="42"/>
      <c r="AI16" s="70"/>
      <c r="AJ16" s="42"/>
      <c r="AK16" s="70"/>
      <c r="AL16" s="42"/>
      <c r="AM16" s="70"/>
      <c r="AN16" s="42"/>
      <c r="AO16" s="70"/>
      <c r="AP16" s="42"/>
      <c r="AQ16" s="70"/>
      <c r="AR16" s="42"/>
      <c r="AS16" s="70"/>
      <c r="AT16" s="42"/>
      <c r="AU16" s="70"/>
      <c r="AV16" s="42"/>
      <c r="AW16" s="56"/>
      <c r="AX16" s="55"/>
      <c r="AY16" s="55"/>
      <c r="AZ16" s="55"/>
      <c r="BA16" s="55"/>
    </row>
    <row r="17" spans="1:53" ht="15.75" x14ac:dyDescent="0.25">
      <c r="A17" s="42">
        <v>12</v>
      </c>
      <c r="B17" s="67" t="s">
        <v>188</v>
      </c>
      <c r="D17" s="55"/>
      <c r="E17" s="72"/>
      <c r="F17" s="55"/>
      <c r="G17" s="72"/>
      <c r="H17" s="55"/>
      <c r="I17" s="72"/>
      <c r="J17" s="55"/>
      <c r="K17" s="72"/>
      <c r="L17" s="55"/>
      <c r="M17" s="72"/>
      <c r="N17" s="55"/>
      <c r="O17" s="72"/>
      <c r="P17" s="55"/>
      <c r="Q17" s="72"/>
      <c r="R17" s="55"/>
      <c r="S17" s="72"/>
      <c r="T17" s="55"/>
      <c r="U17" s="72"/>
      <c r="V17" s="55"/>
      <c r="W17" s="72"/>
      <c r="X17" s="55"/>
      <c r="Y17" s="72"/>
      <c r="Z17" s="55"/>
      <c r="AA17" s="72"/>
      <c r="AB17" s="55"/>
      <c r="AC17" s="72"/>
      <c r="AD17" s="55"/>
      <c r="AE17" s="56"/>
      <c r="AF17" s="55"/>
      <c r="AG17" s="56"/>
      <c r="AH17" s="55"/>
      <c r="AI17" s="56"/>
      <c r="AJ17" s="55"/>
      <c r="AK17" s="56"/>
      <c r="AL17" s="55"/>
      <c r="AM17" s="56"/>
      <c r="AN17" s="55"/>
      <c r="AO17" s="56"/>
      <c r="AP17" s="55"/>
      <c r="AQ17" s="56"/>
      <c r="AR17" s="55"/>
      <c r="AS17" s="56"/>
      <c r="AT17" s="55"/>
      <c r="AU17" s="56"/>
      <c r="AV17" s="55"/>
      <c r="AW17" s="56"/>
      <c r="AX17" s="55"/>
      <c r="AY17" s="55"/>
      <c r="AZ17" s="55"/>
      <c r="BA17" s="55"/>
    </row>
    <row r="18" spans="1:53" ht="15.75" x14ac:dyDescent="0.25">
      <c r="A18" s="42">
        <v>13</v>
      </c>
      <c r="B18" s="66" t="s">
        <v>205</v>
      </c>
      <c r="D18" s="55"/>
      <c r="E18" s="72"/>
      <c r="F18" s="55"/>
      <c r="G18" s="72"/>
      <c r="H18" s="55"/>
      <c r="I18" s="72"/>
      <c r="J18" s="55"/>
      <c r="K18" s="72"/>
      <c r="L18" s="55"/>
      <c r="M18" s="72"/>
      <c r="N18" s="55"/>
      <c r="O18" s="72"/>
      <c r="P18" s="55"/>
      <c r="Q18" s="72"/>
      <c r="R18" s="55"/>
      <c r="S18" s="72"/>
      <c r="T18" s="55"/>
      <c r="U18" s="72"/>
      <c r="V18" s="55"/>
      <c r="W18" s="72"/>
      <c r="X18" s="55"/>
      <c r="Y18" s="72"/>
      <c r="Z18" s="55"/>
      <c r="AA18" s="72"/>
      <c r="AB18" s="55"/>
      <c r="AC18" s="72"/>
      <c r="AD18" s="55"/>
      <c r="AE18" s="56"/>
      <c r="AF18" s="55"/>
      <c r="AG18" s="56"/>
      <c r="AH18" s="55"/>
      <c r="AI18" s="56"/>
      <c r="AJ18" s="55"/>
      <c r="AK18" s="56"/>
      <c r="AL18" s="55"/>
      <c r="AM18" s="56"/>
      <c r="AN18" s="55"/>
      <c r="AO18" s="56"/>
      <c r="AP18" s="55"/>
      <c r="AQ18" s="56"/>
      <c r="AR18" s="55"/>
      <c r="AS18" s="56"/>
      <c r="AT18" s="55"/>
      <c r="AU18" s="56"/>
      <c r="AV18" s="55"/>
      <c r="AW18" s="56"/>
      <c r="AX18" s="55"/>
      <c r="AY18" s="55"/>
      <c r="AZ18" s="55"/>
      <c r="BA18" s="55"/>
    </row>
    <row r="19" spans="1:53" ht="15.75" x14ac:dyDescent="0.25">
      <c r="A19" s="42">
        <v>14</v>
      </c>
      <c r="B19" s="67" t="s">
        <v>292</v>
      </c>
      <c r="D19" s="55"/>
      <c r="E19" s="72"/>
      <c r="F19" s="55"/>
      <c r="G19" s="72"/>
      <c r="H19" s="55"/>
      <c r="I19" s="72"/>
      <c r="J19" s="55"/>
      <c r="K19" s="72"/>
      <c r="L19" s="55"/>
      <c r="M19" s="72"/>
      <c r="N19" s="55"/>
      <c r="O19" s="72"/>
      <c r="P19" s="55"/>
      <c r="Q19" s="72"/>
      <c r="R19" s="55"/>
      <c r="S19" s="72"/>
      <c r="T19" s="55"/>
      <c r="U19" s="72"/>
      <c r="V19" s="55"/>
      <c r="W19" s="72"/>
      <c r="X19" s="55"/>
      <c r="Y19" s="72"/>
      <c r="Z19" s="55"/>
      <c r="AA19" s="72"/>
      <c r="AB19" s="55"/>
      <c r="AC19" s="72"/>
      <c r="AD19" s="55"/>
      <c r="AE19" s="56"/>
      <c r="AF19" s="55"/>
      <c r="AG19" s="56"/>
      <c r="AH19" s="55"/>
      <c r="AI19" s="56"/>
      <c r="AJ19" s="55"/>
      <c r="AK19" s="56"/>
      <c r="AL19" s="55"/>
      <c r="AM19" s="56"/>
      <c r="AN19" s="55"/>
      <c r="AO19" s="56"/>
      <c r="AP19" s="55"/>
      <c r="AQ19" s="56"/>
      <c r="AR19" s="55"/>
      <c r="AS19" s="56"/>
      <c r="AT19" s="55"/>
      <c r="AU19" s="56"/>
      <c r="AV19" s="55"/>
      <c r="AW19" s="56"/>
      <c r="AX19" s="55"/>
      <c r="AY19" s="55"/>
      <c r="AZ19" s="55"/>
      <c r="BA19" s="55"/>
    </row>
    <row r="20" spans="1:53" ht="15.75" x14ac:dyDescent="0.25">
      <c r="A20" s="42">
        <v>15</v>
      </c>
      <c r="B20" s="67" t="s">
        <v>293</v>
      </c>
      <c r="D20" s="55"/>
      <c r="E20" s="72"/>
      <c r="F20" s="55"/>
      <c r="G20" s="72"/>
      <c r="H20" s="55"/>
      <c r="I20" s="72"/>
      <c r="J20" s="55"/>
      <c r="K20" s="72"/>
      <c r="L20" s="55"/>
      <c r="M20" s="72"/>
      <c r="N20" s="55"/>
      <c r="O20" s="72"/>
      <c r="P20" s="55"/>
      <c r="Q20" s="72"/>
      <c r="R20" s="55"/>
      <c r="S20" s="72"/>
      <c r="T20" s="55"/>
      <c r="U20" s="72"/>
      <c r="V20" s="55"/>
      <c r="W20" s="72"/>
      <c r="X20" s="55"/>
      <c r="Y20" s="72"/>
      <c r="Z20" s="55"/>
      <c r="AA20" s="72"/>
      <c r="AB20" s="55"/>
      <c r="AC20" s="72"/>
      <c r="AD20" s="55"/>
      <c r="AE20" s="56"/>
      <c r="AF20" s="55"/>
      <c r="AG20" s="56"/>
      <c r="AH20" s="55"/>
      <c r="AI20" s="56"/>
      <c r="AJ20" s="55"/>
      <c r="AK20" s="56"/>
      <c r="AL20" s="55"/>
      <c r="AM20" s="56"/>
      <c r="AN20" s="55"/>
      <c r="AO20" s="56"/>
      <c r="AP20" s="55"/>
      <c r="AQ20" s="56"/>
      <c r="AR20" s="55"/>
      <c r="AS20" s="56"/>
      <c r="AT20" s="55"/>
      <c r="AU20" s="56"/>
      <c r="AV20" s="55"/>
      <c r="AW20" s="56"/>
      <c r="AX20" s="55"/>
      <c r="AY20" s="55"/>
      <c r="AZ20" s="55"/>
      <c r="BA20" s="55"/>
    </row>
    <row r="21" spans="1:53" ht="15.75" x14ac:dyDescent="0.25">
      <c r="A21" s="42">
        <v>16</v>
      </c>
      <c r="B21" s="67" t="s">
        <v>294</v>
      </c>
      <c r="D21" s="55"/>
      <c r="E21" s="72"/>
      <c r="F21" s="55"/>
      <c r="G21" s="72"/>
      <c r="H21" s="55"/>
      <c r="I21" s="72"/>
      <c r="J21" s="55"/>
      <c r="K21" s="72"/>
      <c r="L21" s="55"/>
      <c r="M21" s="72"/>
      <c r="N21" s="55"/>
      <c r="O21" s="72"/>
      <c r="P21" s="55"/>
      <c r="Q21" s="72"/>
      <c r="R21" s="55"/>
      <c r="S21" s="72"/>
      <c r="T21" s="55"/>
      <c r="U21" s="72"/>
      <c r="V21" s="55"/>
      <c r="W21" s="72"/>
      <c r="X21" s="55"/>
      <c r="Y21" s="72"/>
      <c r="Z21" s="55"/>
      <c r="AA21" s="72"/>
      <c r="AB21" s="55"/>
      <c r="AC21" s="72"/>
      <c r="AD21" s="55"/>
      <c r="AE21" s="56"/>
      <c r="AF21" s="55"/>
      <c r="AG21" s="56"/>
      <c r="AH21" s="55"/>
      <c r="AI21" s="56"/>
      <c r="AJ21" s="55"/>
      <c r="AK21" s="56"/>
      <c r="AL21" s="55"/>
      <c r="AM21" s="56"/>
      <c r="AN21" s="55"/>
      <c r="AO21" s="56"/>
      <c r="AP21" s="55"/>
      <c r="AQ21" s="56"/>
      <c r="AR21" s="55"/>
      <c r="AS21" s="56"/>
      <c r="AT21" s="55"/>
      <c r="AU21" s="56"/>
      <c r="AV21" s="55"/>
      <c r="AW21" s="56"/>
      <c r="AX21" s="55"/>
      <c r="AY21" s="55"/>
      <c r="AZ21" s="55"/>
      <c r="BA21" s="55"/>
    </row>
    <row r="22" spans="1:53" ht="15.75" x14ac:dyDescent="0.25">
      <c r="A22" s="42">
        <v>17</v>
      </c>
      <c r="B22" s="67" t="s">
        <v>295</v>
      </c>
      <c r="D22" s="55"/>
      <c r="E22" s="72"/>
      <c r="F22" s="55"/>
      <c r="G22" s="72"/>
      <c r="H22" s="55"/>
      <c r="I22" s="72"/>
      <c r="J22" s="55"/>
      <c r="K22" s="72"/>
      <c r="L22" s="55"/>
      <c r="M22" s="72"/>
      <c r="N22" s="55"/>
      <c r="O22" s="72"/>
      <c r="P22" s="55"/>
      <c r="Q22" s="72"/>
      <c r="R22" s="55"/>
      <c r="S22" s="72"/>
      <c r="T22" s="55"/>
      <c r="U22" s="72"/>
      <c r="V22" s="55"/>
      <c r="W22" s="72"/>
      <c r="X22" s="55"/>
      <c r="Y22" s="72"/>
      <c r="Z22" s="55"/>
      <c r="AA22" s="72"/>
      <c r="AB22" s="55"/>
      <c r="AC22" s="72"/>
      <c r="AD22" s="55"/>
      <c r="AE22" s="56"/>
      <c r="AF22" s="55"/>
      <c r="AG22" s="56"/>
      <c r="AH22" s="55"/>
      <c r="AI22" s="56"/>
      <c r="AJ22" s="55"/>
      <c r="AK22" s="56"/>
      <c r="AL22" s="55"/>
      <c r="AM22" s="56"/>
      <c r="AN22" s="55"/>
      <c r="AO22" s="56"/>
      <c r="AP22" s="55"/>
      <c r="AQ22" s="56"/>
      <c r="AR22" s="55"/>
      <c r="AS22" s="56"/>
      <c r="AT22" s="55"/>
      <c r="AU22" s="56"/>
      <c r="AV22" s="55"/>
      <c r="AW22" s="56"/>
      <c r="AX22" s="55"/>
      <c r="AY22" s="55"/>
      <c r="AZ22" s="55"/>
      <c r="BA22" s="55"/>
    </row>
    <row r="23" spans="1:53" ht="15.75" x14ac:dyDescent="0.25">
      <c r="A23" s="42">
        <v>18</v>
      </c>
      <c r="B23" s="66" t="s">
        <v>303</v>
      </c>
    </row>
    <row r="24" spans="1:53" ht="15.75" x14ac:dyDescent="0.25">
      <c r="A24" s="42">
        <v>19</v>
      </c>
      <c r="B24" s="67" t="s">
        <v>296</v>
      </c>
    </row>
    <row r="25" spans="1:53" ht="15.75" x14ac:dyDescent="0.25">
      <c r="A25" s="42">
        <v>20</v>
      </c>
      <c r="B25" s="67" t="s">
        <v>177</v>
      </c>
    </row>
    <row r="26" spans="1:53" ht="15.75" x14ac:dyDescent="0.25">
      <c r="A26" s="42">
        <v>21</v>
      </c>
      <c r="B26" s="67" t="s">
        <v>297</v>
      </c>
    </row>
    <row r="27" spans="1:53" ht="15.75" x14ac:dyDescent="0.25">
      <c r="A27" s="42">
        <v>22</v>
      </c>
      <c r="B27" s="67" t="s">
        <v>298</v>
      </c>
    </row>
    <row r="28" spans="1:53" ht="15.75" x14ac:dyDescent="0.25">
      <c r="A28" s="42">
        <v>23</v>
      </c>
      <c r="B28" s="66" t="s">
        <v>246</v>
      </c>
    </row>
    <row r="29" spans="1:53" ht="15.75" x14ac:dyDescent="0.25">
      <c r="A29" s="42">
        <v>24</v>
      </c>
      <c r="B29" s="67" t="s">
        <v>299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181</v>
      </c>
    </row>
    <row r="5" spans="4:4" x14ac:dyDescent="0.25">
      <c r="D5" t="s">
        <v>182</v>
      </c>
    </row>
    <row r="6" spans="4:4" x14ac:dyDescent="0.25">
      <c r="D6" t="s">
        <v>183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20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8.28515625" customWidth="1"/>
    <col min="5" max="5" width="36.42578125" customWidth="1"/>
    <col min="6" max="6" width="11" customWidth="1"/>
    <col min="7" max="7" width="17.7109375" customWidth="1"/>
    <col min="8" max="8" width="27.28515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9" t="s">
        <v>8</v>
      </c>
      <c r="B1" s="35" t="s">
        <v>115</v>
      </c>
      <c r="C1" s="10" t="s">
        <v>102</v>
      </c>
      <c r="D1" s="11" t="s">
        <v>103</v>
      </c>
      <c r="E1" s="33" t="s">
        <v>104</v>
      </c>
      <c r="F1" s="12" t="s">
        <v>110</v>
      </c>
      <c r="G1" s="13" t="s">
        <v>89</v>
      </c>
      <c r="H1" s="23" t="s">
        <v>111</v>
      </c>
      <c r="I1" s="14" t="s">
        <v>105</v>
      </c>
      <c r="J1" s="15" t="s">
        <v>98</v>
      </c>
    </row>
    <row r="2" spans="1:10" s="41" customFormat="1" ht="3.75" customHeight="1" x14ac:dyDescent="0.25"/>
    <row r="3" spans="1:10" ht="15.75" x14ac:dyDescent="0.25">
      <c r="A3" s="50" t="s">
        <v>145</v>
      </c>
      <c r="C3" s="189" t="s">
        <v>125</v>
      </c>
      <c r="D3" s="189" t="s">
        <v>145</v>
      </c>
      <c r="E3" s="110" t="s">
        <v>146</v>
      </c>
    </row>
    <row r="4" spans="1:10" ht="15.75" x14ac:dyDescent="0.25">
      <c r="A4" s="42" t="s">
        <v>327</v>
      </c>
      <c r="C4" s="189" t="s">
        <v>137</v>
      </c>
      <c r="D4" s="189"/>
      <c r="E4" s="189" t="str">
        <f>CONCATENATE(Accounts_and_ReceiversAndPayers_AppendTabel[[#This Row],[نام حساب]],Accounts_and_ReceiversAndPayers_AppendTabel[[#This Row],[دریافت کننده - پرداخت کنندگان]])</f>
        <v>حساب نقدی (نقدینگی)</v>
      </c>
      <c r="F4" s="49"/>
    </row>
    <row r="5" spans="1:10" ht="15.75" x14ac:dyDescent="0.25">
      <c r="A5" s="42" t="s">
        <v>328</v>
      </c>
      <c r="C5" s="189" t="s">
        <v>324</v>
      </c>
      <c r="D5" s="189"/>
      <c r="E5" s="189" t="str">
        <f>CONCATENATE(Accounts_and_ReceiversAndPayers_AppendTabel[[#This Row],[نام حساب]],Accounts_and_ReceiversAndPayers_AppendTabel[[#This Row],[دریافت کننده - پرداخت کنندگان]])</f>
        <v xml:space="preserve">حساب روزمره </v>
      </c>
      <c r="F5" s="49"/>
    </row>
    <row r="6" spans="1:10" ht="15.75" x14ac:dyDescent="0.25">
      <c r="A6" s="42" t="s">
        <v>329</v>
      </c>
      <c r="C6" s="189" t="s">
        <v>325</v>
      </c>
      <c r="D6" s="189"/>
      <c r="E6" s="189" t="str">
        <f>CONCATENATE(Accounts_and_ReceiversAndPayers_AppendTabel[[#This Row],[نام حساب]],Accounts_and_ReceiversAndPayers_AppendTabel[[#This Row],[دریافت کننده - پرداخت کنندگان]])</f>
        <v>حساب پس‌انداز</v>
      </c>
      <c r="F6" s="49"/>
    </row>
    <row r="7" spans="1:10" ht="15.75" x14ac:dyDescent="0.25">
      <c r="A7" s="42" t="s">
        <v>330</v>
      </c>
      <c r="C7" s="189" t="s">
        <v>326</v>
      </c>
      <c r="D7" s="189"/>
      <c r="E7" s="189" t="str">
        <f>CONCATENATE(Accounts_and_ReceiversAndPayers_AppendTabel[[#This Row],[نام حساب]],Accounts_and_ReceiversAndPayers_AppendTabel[[#This Row],[دریافت کننده - پرداخت کنندگان]])</f>
        <v xml:space="preserve">بانک </v>
      </c>
      <c r="F7" s="49"/>
    </row>
    <row r="8" spans="1:10" ht="15.75" x14ac:dyDescent="0.25">
      <c r="A8" s="42" t="s">
        <v>331</v>
      </c>
      <c r="C8" s="189"/>
      <c r="D8" s="189" t="s">
        <v>327</v>
      </c>
      <c r="E8" s="189" t="str">
        <f>CONCATENATE(Accounts_and_ReceiversAndPayers_AppendTabel[[#This Row],[نام حساب]],Accounts_and_ReceiversAndPayers_AppendTabel[[#This Row],[دریافت کننده - پرداخت کنندگان]])</f>
        <v xml:space="preserve">پدر </v>
      </c>
      <c r="F8" s="49"/>
    </row>
    <row r="9" spans="1:10" ht="15.75" x14ac:dyDescent="0.25">
      <c r="A9" s="42" t="s">
        <v>332</v>
      </c>
      <c r="C9" s="189"/>
      <c r="D9" s="189" t="s">
        <v>328</v>
      </c>
      <c r="E9" s="189" t="str">
        <f>CONCATENATE(Accounts_and_ReceiversAndPayers_AppendTabel[[#This Row],[نام حساب]],Accounts_and_ReceiversAndPayers_AppendTabel[[#This Row],[دریافت کننده - پرداخت کنندگان]])</f>
        <v>مادر</v>
      </c>
      <c r="F9" s="49"/>
    </row>
    <row r="10" spans="1:10" ht="15.75" x14ac:dyDescent="0.25">
      <c r="A10" s="42" t="s">
        <v>333</v>
      </c>
      <c r="C10" s="189"/>
      <c r="D10" s="189" t="s">
        <v>329</v>
      </c>
      <c r="E10" s="189" t="str">
        <f>CONCATENATE(Accounts_and_ReceiversAndPayers_AppendTabel[[#This Row],[نام حساب]],Accounts_and_ReceiversAndPayers_AppendTabel[[#This Row],[دریافت کننده - پرداخت کنندگان]])</f>
        <v>هسته تحقیقاتی</v>
      </c>
      <c r="F10" s="49"/>
    </row>
    <row r="11" spans="1:10" ht="15.75" x14ac:dyDescent="0.25">
      <c r="A11" s="42" t="s">
        <v>332</v>
      </c>
      <c r="C11" s="189"/>
      <c r="D11" s="189" t="s">
        <v>330</v>
      </c>
      <c r="E11" s="189" t="str">
        <f>CONCATENATE(Accounts_and_ReceiversAndPayers_AppendTabel[[#This Row],[نام حساب]],Accounts_and_ReceiversAndPayers_AppendTabel[[#This Row],[دریافت کننده - پرداخت کنندگان]])</f>
        <v>مرکز رشد و فناوری</v>
      </c>
    </row>
    <row r="12" spans="1:10" ht="15.75" x14ac:dyDescent="0.25">
      <c r="A12" s="42" t="s">
        <v>334</v>
      </c>
      <c r="C12" s="189"/>
      <c r="D12" s="189" t="s">
        <v>331</v>
      </c>
      <c r="E12" s="189" t="str">
        <f>CONCATENATE(Accounts_and_ReceiversAndPayers_AppendTabel[[#This Row],[نام حساب]],Accounts_and_ReceiversAndPayers_AppendTabel[[#This Row],[دریافت کننده - پرداخت کنندگان]])</f>
        <v xml:space="preserve">مغازه </v>
      </c>
    </row>
    <row r="13" spans="1:10" ht="15.75" x14ac:dyDescent="0.25">
      <c r="A13" s="42" t="s">
        <v>335</v>
      </c>
      <c r="C13" s="189"/>
      <c r="D13" s="189" t="s">
        <v>332</v>
      </c>
      <c r="E13" s="189" t="str">
        <f>CONCATENATE(Accounts_and_ReceiversAndPayers_AppendTabel[[#This Row],[نام حساب]],Accounts_and_ReceiversAndPayers_AppendTabel[[#This Row],[دریافت کننده - پرداخت کنندگان]])</f>
        <v xml:space="preserve">محمد </v>
      </c>
    </row>
    <row r="14" spans="1:10" ht="15.75" x14ac:dyDescent="0.25">
      <c r="A14" s="42" t="s">
        <v>336</v>
      </c>
      <c r="C14" s="189"/>
      <c r="D14" s="189" t="s">
        <v>333</v>
      </c>
      <c r="E14" s="189" t="str">
        <f>CONCATENATE(Accounts_and_ReceiversAndPayers_AppendTabel[[#This Row],[نام حساب]],Accounts_and_ReceiversAndPayers_AppendTabel[[#This Row],[دریافت کننده - پرداخت کنندگان]])</f>
        <v xml:space="preserve">سید </v>
      </c>
    </row>
    <row r="15" spans="1:10" ht="15.75" x14ac:dyDescent="0.25">
      <c r="A15" s="42" t="s">
        <v>156</v>
      </c>
      <c r="C15" s="189"/>
      <c r="D15" s="189" t="s">
        <v>332</v>
      </c>
      <c r="E15" s="189" t="str">
        <f>CONCATENATE(Accounts_and_ReceiversAndPayers_AppendTabel[[#This Row],[نام حساب]],Accounts_and_ReceiversAndPayers_AppendTabel[[#This Row],[دریافت کننده - پرداخت کنندگان]])</f>
        <v xml:space="preserve">محمد </v>
      </c>
    </row>
    <row r="16" spans="1:10" ht="15.75" x14ac:dyDescent="0.25">
      <c r="A16" s="42"/>
      <c r="C16" s="189"/>
      <c r="D16" s="189" t="s">
        <v>334</v>
      </c>
      <c r="E16" s="189" t="str">
        <f>CONCATENATE(Accounts_and_ReceiversAndPayers_AppendTabel[[#This Row],[نام حساب]],Accounts_and_ReceiversAndPayers_AppendTabel[[#This Row],[دریافت کننده - پرداخت کنندگان]])</f>
        <v xml:space="preserve"> پور</v>
      </c>
    </row>
    <row r="17" spans="3:5" x14ac:dyDescent="0.25">
      <c r="C17" s="189"/>
      <c r="D17" s="189" t="s">
        <v>335</v>
      </c>
      <c r="E17" s="189" t="str">
        <f>CONCATENATE(Accounts_and_ReceiversAndPayers_AppendTabel[[#This Row],[نام حساب]],Accounts_and_ReceiversAndPayers_AppendTabel[[#This Row],[دریافت کننده - پرداخت کنندگان]])</f>
        <v>یاشار</v>
      </c>
    </row>
    <row r="18" spans="3:5" x14ac:dyDescent="0.25">
      <c r="C18" s="189"/>
      <c r="D18" s="189" t="s">
        <v>336</v>
      </c>
      <c r="E18" s="189" t="str">
        <f>CONCATENATE(Accounts_and_ReceiversAndPayers_AppendTabel[[#This Row],[نام حساب]],Accounts_and_ReceiversAndPayers_AppendTabel[[#This Row],[دریافت کننده - پرداخت کنندگان]])</f>
        <v xml:space="preserve">حسین </v>
      </c>
    </row>
    <row r="19" spans="3:5" x14ac:dyDescent="0.25">
      <c r="C19" s="189"/>
      <c r="D19" s="189" t="s">
        <v>156</v>
      </c>
      <c r="E19" s="189" t="str">
        <f>CONCATENATE(Accounts_and_ReceiversAndPayers_AppendTabel[[#This Row],[نام حساب]],Accounts_and_ReceiversAndPayers_AppendTabel[[#This Row],[دریافت کننده - پرداخت کنندگان]])</f>
        <v>تست</v>
      </c>
    </row>
    <row r="20" spans="3:5" x14ac:dyDescent="0.25">
      <c r="C20" s="110"/>
      <c r="D20" s="110"/>
      <c r="E20" s="110"/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R20"/>
  <sheetViews>
    <sheetView showGridLines="0" rightToLeft="1" topLeftCell="C1" workbookViewId="0">
      <selection activeCell="E16" sqref="E16"/>
    </sheetView>
  </sheetViews>
  <sheetFormatPr defaultRowHeight="15" x14ac:dyDescent="0.25"/>
  <cols>
    <col min="1" max="1" width="32.7109375" style="158" customWidth="1"/>
    <col min="2" max="2" width="0.7109375" style="158" customWidth="1"/>
    <col min="3" max="3" width="4.5703125" style="4" customWidth="1"/>
    <col min="4" max="4" width="5.85546875" style="41" customWidth="1"/>
    <col min="5" max="6" width="28.5703125" style="41" customWidth="1"/>
    <col min="7" max="7" width="18.28515625" style="41" customWidth="1"/>
    <col min="8" max="8" width="36.5703125" style="41" customWidth="1"/>
    <col min="9" max="9" width="32" style="41" customWidth="1"/>
    <col min="10" max="10" width="18.28515625" style="41" customWidth="1"/>
    <col min="11" max="11" width="34.28515625" style="41" customWidth="1"/>
    <col min="12" max="12" width="30" style="41" customWidth="1"/>
    <col min="13" max="13" width="31.42578125" style="41" customWidth="1"/>
    <col min="14" max="14" width="18.5703125" style="41" customWidth="1"/>
    <col min="15" max="15" width="21.42578125" style="41" customWidth="1"/>
    <col min="16" max="17" width="18.28515625" style="41" customWidth="1"/>
    <col min="18" max="16384" width="9.140625" style="41"/>
  </cols>
  <sheetData>
    <row r="1" spans="1:18" s="4" customFormat="1" ht="24" customHeight="1" x14ac:dyDescent="0.25">
      <c r="A1" s="171" t="s">
        <v>406</v>
      </c>
      <c r="B1" s="158"/>
      <c r="D1" s="201" t="s">
        <v>410</v>
      </c>
      <c r="E1" s="202"/>
      <c r="F1" s="202"/>
      <c r="G1" s="202"/>
      <c r="H1" s="202"/>
      <c r="I1" s="202"/>
      <c r="J1" s="202"/>
      <c r="K1" s="62"/>
      <c r="L1" s="160"/>
      <c r="M1" s="159"/>
    </row>
    <row r="2" spans="1:18" s="4" customFormat="1" ht="3.75" customHeight="1" x14ac:dyDescent="0.25">
      <c r="A2" s="158"/>
      <c r="B2" s="158"/>
      <c r="F2" s="4" t="s">
        <v>3</v>
      </c>
    </row>
    <row r="3" spans="1:18" s="4" customFormat="1" ht="18.75" x14ac:dyDescent="0.25">
      <c r="A3" s="9" t="s">
        <v>8</v>
      </c>
      <c r="B3" s="158"/>
      <c r="D3" s="172" t="s">
        <v>124</v>
      </c>
      <c r="E3" s="172" t="s">
        <v>117</v>
      </c>
      <c r="F3" s="172" t="s">
        <v>128</v>
      </c>
      <c r="G3" s="172" t="s">
        <v>129</v>
      </c>
      <c r="H3" s="172" t="s">
        <v>130</v>
      </c>
      <c r="I3" s="172" t="s">
        <v>131</v>
      </c>
      <c r="J3" s="172" t="s">
        <v>132</v>
      </c>
      <c r="K3" s="172" t="s">
        <v>133</v>
      </c>
      <c r="L3" s="172" t="s">
        <v>134</v>
      </c>
    </row>
    <row r="4" spans="1:18" ht="18.75" x14ac:dyDescent="0.25">
      <c r="A4" s="135" t="s">
        <v>115</v>
      </c>
      <c r="D4" s="42">
        <v>0</v>
      </c>
      <c r="E4" s="42" t="s">
        <v>119</v>
      </c>
      <c r="F4" s="77">
        <v>1111111111</v>
      </c>
      <c r="G4" s="44" t="s">
        <v>323</v>
      </c>
      <c r="H4" s="45" t="s">
        <v>123</v>
      </c>
      <c r="I4" s="44" t="s">
        <v>135</v>
      </c>
      <c r="J4" s="42"/>
      <c r="K4" s="42"/>
      <c r="L4" s="42"/>
    </row>
    <row r="5" spans="1:18" ht="24" customHeight="1" x14ac:dyDescent="0.25">
      <c r="A5" s="10" t="s">
        <v>102</v>
      </c>
    </row>
    <row r="6" spans="1:18" ht="34.5" customHeight="1" x14ac:dyDescent="0.25">
      <c r="A6" s="11" t="s">
        <v>103</v>
      </c>
    </row>
    <row r="7" spans="1:18" ht="19.5" x14ac:dyDescent="0.25">
      <c r="A7" s="33" t="s">
        <v>104</v>
      </c>
      <c r="D7" s="170"/>
      <c r="E7" s="170"/>
      <c r="F7" s="170"/>
      <c r="G7" s="170"/>
      <c r="H7" s="170"/>
      <c r="I7" s="170"/>
      <c r="J7" s="170"/>
    </row>
    <row r="8" spans="1:18" s="4" customFormat="1" ht="18.75" x14ac:dyDescent="0.25">
      <c r="A8" s="129" t="s">
        <v>110</v>
      </c>
      <c r="B8" s="158"/>
      <c r="D8" s="173" t="s">
        <v>124</v>
      </c>
      <c r="E8" s="173" t="s">
        <v>125</v>
      </c>
      <c r="F8" s="173" t="s">
        <v>126</v>
      </c>
      <c r="G8" s="174" t="s">
        <v>127</v>
      </c>
      <c r="H8" s="173" t="s">
        <v>338</v>
      </c>
      <c r="I8" s="173" t="s">
        <v>337</v>
      </c>
      <c r="J8" s="173" t="s">
        <v>339</v>
      </c>
      <c r="K8" s="173" t="s">
        <v>340</v>
      </c>
      <c r="L8" s="173" t="s">
        <v>407</v>
      </c>
      <c r="M8" s="173" t="s">
        <v>408</v>
      </c>
      <c r="N8" s="173" t="s">
        <v>120</v>
      </c>
      <c r="O8" s="173" t="s">
        <v>409</v>
      </c>
      <c r="P8" s="175" t="s">
        <v>121</v>
      </c>
      <c r="Q8" s="175" t="s">
        <v>136</v>
      </c>
      <c r="R8" s="173" t="s">
        <v>122</v>
      </c>
    </row>
    <row r="9" spans="1:18" ht="18.75" x14ac:dyDescent="0.25">
      <c r="A9" s="13" t="s">
        <v>89</v>
      </c>
      <c r="D9" s="42">
        <v>0</v>
      </c>
      <c r="E9" s="42" t="s">
        <v>137</v>
      </c>
      <c r="F9" s="42" t="s">
        <v>138</v>
      </c>
      <c r="G9" s="46">
        <v>2000000</v>
      </c>
      <c r="H9" s="97">
        <f>SUMIF(Tarakonesh[پرداخت کننده],FinancialAccountsTable[[#This Row],[نام حساب]],Tarakonesh[مبلغ (ریال)])</f>
        <v>20000</v>
      </c>
      <c r="I9" s="97">
        <f>SUMIF(Tarakonesh[دریافت کننده],FinancialAccountsTable[[#This Row],[نام حساب]],Tarakonesh[مبلغ (ریال)])</f>
        <v>4500000</v>
      </c>
      <c r="J9" s="97">
        <f>(FinancialAccountsTable[[#This Row],[جمع دریافتی]]+FinancialAccountsTable[[#This Row],[موجودی اولیه]])-FinancialAccountsTable[[#This Row],[جمع پرداختی]]</f>
        <v>6480000</v>
      </c>
      <c r="K9" s="47" t="str">
        <f>IF(FinancialAccountsTable[[#This Row],[مانده]]=0,"",IF(FinancialAccountsTable[[#This Row],[مانده]]&gt;0,"بدهکار","بستانکار"))</f>
        <v>بدهکار</v>
      </c>
      <c r="L9" s="47"/>
      <c r="M9" s="47"/>
      <c r="N9" s="47" t="s">
        <v>123</v>
      </c>
      <c r="O9" s="47"/>
      <c r="P9" s="48" t="s">
        <v>123</v>
      </c>
      <c r="Q9" s="48" t="s">
        <v>123</v>
      </c>
      <c r="R9" s="47" t="s">
        <v>123</v>
      </c>
    </row>
    <row r="10" spans="1:18" ht="18.75" x14ac:dyDescent="0.25">
      <c r="A10" s="107" t="s">
        <v>111</v>
      </c>
      <c r="D10" s="42">
        <v>1</v>
      </c>
      <c r="E10" s="42" t="s">
        <v>324</v>
      </c>
      <c r="F10" s="42" t="s">
        <v>139</v>
      </c>
      <c r="G10" s="46"/>
      <c r="H10" s="97">
        <f>SUMIF(Tarakonesh[پرداخت کننده],FinancialAccountsTable[[#This Row],[نام حساب]],Tarakonesh[مبلغ (ریال)])</f>
        <v>90000</v>
      </c>
      <c r="I10" s="97">
        <f>SUMIF(Tarakonesh[دریافت کننده],FinancialAccountsTable[[#This Row],[نام حساب]],Tarakonesh[مبلغ (ریال)])</f>
        <v>1020000</v>
      </c>
      <c r="J10" s="97">
        <f>(FinancialAccountsTable[[#This Row],[جمع دریافتی]]+FinancialAccountsTable[[#This Row],[موجودی اولیه]])-FinancialAccountsTable[[#This Row],[جمع پرداختی]]</f>
        <v>930000</v>
      </c>
      <c r="K10" s="47" t="str">
        <f>IF(FinancialAccountsTable[[#This Row],[مانده]]=0,"",IF(FinancialAccountsTable[[#This Row],[مانده]]&gt;0,"بدهکار","بستانکار"))</f>
        <v>بدهکار</v>
      </c>
      <c r="L10" s="47"/>
      <c r="M10" s="47"/>
      <c r="N10" s="47" t="s">
        <v>123</v>
      </c>
      <c r="O10" s="47"/>
      <c r="P10" s="48" t="s">
        <v>123</v>
      </c>
      <c r="Q10" s="48" t="s">
        <v>123</v>
      </c>
      <c r="R10" s="47" t="s">
        <v>123</v>
      </c>
    </row>
    <row r="11" spans="1:18" ht="18.75" x14ac:dyDescent="0.25">
      <c r="A11" s="14" t="s">
        <v>105</v>
      </c>
      <c r="D11" s="42">
        <v>2</v>
      </c>
      <c r="E11" s="42" t="s">
        <v>325</v>
      </c>
      <c r="F11" s="42"/>
      <c r="G11" s="46"/>
      <c r="H11" s="97">
        <f>SUMIF(Tarakonesh[پرداخت کننده],FinancialAccountsTable[[#This Row],[نام حساب]],Tarakonesh[مبلغ (ریال)])</f>
        <v>3003000</v>
      </c>
      <c r="I11" s="97">
        <f>SUMIF(Tarakonesh[دریافت کننده],FinancialAccountsTable[[#This Row],[نام حساب]],Tarakonesh[مبلغ (ریال)])</f>
        <v>520000</v>
      </c>
      <c r="J11" s="97">
        <f>(FinancialAccountsTable[[#This Row],[جمع دریافتی]]+FinancialAccountsTable[[#This Row],[موجودی اولیه]])-FinancialAccountsTable[[#This Row],[جمع پرداختی]]</f>
        <v>-2483000</v>
      </c>
      <c r="K11" s="47" t="str">
        <f>IF(FinancialAccountsTable[[#This Row],[مانده]]=0,"",IF(FinancialAccountsTable[[#This Row],[مانده]]&gt;0,"بدهکار","بستانکار"))</f>
        <v>بستانکار</v>
      </c>
      <c r="L11" s="47"/>
      <c r="M11" s="47"/>
      <c r="N11" s="47" t="s">
        <v>123</v>
      </c>
      <c r="O11" s="47"/>
      <c r="P11" s="48" t="s">
        <v>123</v>
      </c>
      <c r="Q11" s="48" t="s">
        <v>123</v>
      </c>
      <c r="R11" s="47" t="s">
        <v>123</v>
      </c>
    </row>
    <row r="12" spans="1:18" ht="24" customHeight="1" x14ac:dyDescent="0.25">
      <c r="A12" s="15" t="s">
        <v>98</v>
      </c>
      <c r="D12" s="42">
        <v>3</v>
      </c>
      <c r="E12" s="42" t="s">
        <v>326</v>
      </c>
      <c r="F12" s="42"/>
      <c r="G12" s="46"/>
      <c r="H12" s="97">
        <f>SUMIF(Tarakonesh[پرداخت کننده],FinancialAccountsTable[[#This Row],[نام حساب]],Tarakonesh[مبلغ (ریال)])</f>
        <v>500000</v>
      </c>
      <c r="I12" s="97">
        <f>SUMIF(Tarakonesh[دریافت کننده],FinancialAccountsTable[[#This Row],[نام حساب]],Tarakonesh[مبلغ (ریال)])</f>
        <v>0</v>
      </c>
      <c r="J12" s="97">
        <f>(FinancialAccountsTable[[#This Row],[جمع دریافتی]]+FinancialAccountsTable[[#This Row],[موجودی اولیه]])-FinancialAccountsTable[[#This Row],[جمع پرداختی]]</f>
        <v>-500000</v>
      </c>
      <c r="K12" s="47" t="str">
        <f>IF(FinancialAccountsTable[[#This Row],[مانده]]=0,"",IF(FinancialAccountsTable[[#This Row],[مانده]]&gt;0,"بدهکار","بستانکار"))</f>
        <v>بستانکار</v>
      </c>
      <c r="L12" s="47"/>
      <c r="M12" s="47"/>
      <c r="N12" s="47" t="s">
        <v>123</v>
      </c>
      <c r="O12" s="47"/>
      <c r="P12" s="48" t="s">
        <v>123</v>
      </c>
      <c r="Q12" s="48" t="s">
        <v>123</v>
      </c>
      <c r="R12" s="47" t="s">
        <v>123</v>
      </c>
    </row>
    <row r="13" spans="1:18" ht="24" customHeight="1" x14ac:dyDescent="0.25">
      <c r="D13" s="42">
        <v>4</v>
      </c>
      <c r="E13" s="42"/>
      <c r="F13" s="42"/>
      <c r="G13" s="46"/>
      <c r="H13" s="97">
        <f>SUMIF(Tarakonesh[پرداخت کننده],FinancialAccountsTable[[#This Row],[نام حساب]],Tarakonesh[مبلغ (ریال)])</f>
        <v>0</v>
      </c>
      <c r="I13" s="97">
        <f>SUMIF(Tarakonesh[دریافت کننده],FinancialAccountsTable[[#This Row],[نام حساب]],Tarakonesh[مبلغ (ریال)])</f>
        <v>0</v>
      </c>
      <c r="J13" s="97">
        <f>(FinancialAccountsTable[[#This Row],[جمع دریافتی]]+FinancialAccountsTable[[#This Row],[موجودی اولیه]])-FinancialAccountsTable[[#This Row],[جمع پرداختی]]</f>
        <v>0</v>
      </c>
      <c r="K13" s="47" t="str">
        <f>IF(FinancialAccountsTable[[#This Row],[مانده]]=0,"",IF(FinancialAccountsTable[[#This Row],[مانده]]&gt;0,"بدهکار","بستانکار"))</f>
        <v/>
      </c>
      <c r="L13" s="47"/>
      <c r="M13" s="47"/>
      <c r="N13" s="47" t="s">
        <v>123</v>
      </c>
      <c r="O13" s="47"/>
      <c r="P13" s="48" t="s">
        <v>123</v>
      </c>
      <c r="Q13" s="48" t="s">
        <v>123</v>
      </c>
      <c r="R13" s="47" t="s">
        <v>123</v>
      </c>
    </row>
    <row r="14" spans="1:18" ht="34.5" customHeight="1" x14ac:dyDescent="0.25">
      <c r="D14" s="42" t="s">
        <v>148</v>
      </c>
      <c r="E14" s="53"/>
      <c r="F14" s="53"/>
      <c r="G14" s="46">
        <f>SUBTOTAL(109,FinancialAccountsTable[موجودی اولیه])</f>
        <v>2000000</v>
      </c>
      <c r="H14" s="98">
        <f>SUBTOTAL(109,FinancialAccountsTable[جمع پرداختی])</f>
        <v>3613000</v>
      </c>
      <c r="I14" s="98">
        <f>SUBTOTAL(109,FinancialAccountsTable[جمع دریافتی])</f>
        <v>6040000</v>
      </c>
      <c r="J14" s="98">
        <f>SUBTOTAL(109,FinancialAccountsTable[مانده])</f>
        <v>4427000</v>
      </c>
      <c r="K14" s="52"/>
      <c r="L14" s="52"/>
      <c r="M14" s="52"/>
      <c r="N14" s="161"/>
      <c r="O14" s="161"/>
      <c r="P14" s="161"/>
      <c r="Q14" s="161"/>
      <c r="R14" s="161"/>
    </row>
    <row r="15" spans="1:18" ht="24" customHeight="1" x14ac:dyDescent="0.25"/>
    <row r="16" spans="1:18" ht="24" customHeight="1" x14ac:dyDescent="0.25"/>
    <row r="17" spans="4:11" ht="24" customHeight="1" x14ac:dyDescent="0.25"/>
    <row r="18" spans="4:11" ht="24" customHeight="1" x14ac:dyDescent="0.25"/>
    <row r="19" spans="4:11" ht="15.75" x14ac:dyDescent="0.25">
      <c r="D19" s="70"/>
      <c r="E19" s="70"/>
      <c r="F19" s="70"/>
      <c r="G19" s="162"/>
      <c r="H19" s="163"/>
      <c r="I19" s="164"/>
      <c r="J19" s="165"/>
      <c r="K19" s="166"/>
    </row>
    <row r="20" spans="4:11" ht="15.75" x14ac:dyDescent="0.25">
      <c r="D20" s="70"/>
      <c r="E20" s="70"/>
      <c r="F20" s="70"/>
      <c r="G20" s="162"/>
      <c r="H20" s="167"/>
      <c r="I20" s="168"/>
      <c r="J20" s="169"/>
      <c r="K20" s="166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>
      <formula1>10</formula1>
    </dataValidation>
    <dataValidation operator="equal" allowBlank="1" showInputMessage="1" showErrorMessage="1" sqref="G4"/>
  </dataValidations>
  <hyperlinks>
    <hyperlink ref="H4" r:id="rId1" display="Alireza13.m2@gmail.com"/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B365"/>
  <sheetViews>
    <sheetView showGridLines="0" rightToLeft="1" tabSelected="1" topLeftCell="N112" workbookViewId="0">
      <selection activeCell="R123" sqref="R123"/>
    </sheetView>
  </sheetViews>
  <sheetFormatPr defaultRowHeight="15" x14ac:dyDescent="0.25"/>
  <cols>
    <col min="1" max="1" width="29.7109375" style="158" customWidth="1"/>
    <col min="2" max="2" width="0.7109375" style="157" customWidth="1"/>
    <col min="3" max="3" width="4.5703125" style="4" customWidth="1"/>
    <col min="4" max="4" width="18.28515625" style="4" customWidth="1"/>
    <col min="5" max="5" width="0.7109375" style="4" customWidth="1"/>
    <col min="6" max="6" width="24.85546875" style="4" bestFit="1" customWidth="1"/>
    <col min="7" max="7" width="0.7109375" style="4" customWidth="1"/>
    <col min="8" max="8" width="28.5703125" style="4" customWidth="1"/>
    <col min="9" max="9" width="0.7109375" style="4" customWidth="1"/>
    <col min="10" max="10" width="26.28515625" style="4" bestFit="1" customWidth="1"/>
    <col min="11" max="11" width="20.7109375" style="147" bestFit="1" customWidth="1"/>
    <col min="12" max="12" width="4.5703125" style="4" customWidth="1"/>
    <col min="13" max="13" width="28.5703125" style="64" customWidth="1"/>
    <col min="14" max="14" width="14.28515625" style="64" customWidth="1"/>
    <col min="15" max="15" width="18.85546875" style="64" customWidth="1"/>
    <col min="16" max="16" width="0.7109375" style="4" customWidth="1"/>
    <col min="17" max="17" width="28.5703125" style="64" customWidth="1"/>
    <col min="18" max="18" width="14.28515625" style="64" customWidth="1"/>
    <col min="19" max="19" width="18.85546875" style="64" customWidth="1"/>
    <col min="20" max="20" width="0.7109375" style="4" customWidth="1"/>
    <col min="21" max="21" width="28.5703125" style="64" customWidth="1"/>
    <col min="22" max="22" width="18.85546875" style="64" customWidth="1"/>
    <col min="23" max="23" width="0.7109375" style="4" customWidth="1"/>
    <col min="24" max="24" width="28.5703125" style="64" customWidth="1"/>
    <col min="25" max="25" width="18.85546875" style="64" customWidth="1"/>
    <col min="26" max="26" width="0.7109375" style="4" customWidth="1"/>
    <col min="27" max="27" width="28.5703125" style="64" customWidth="1"/>
    <col min="28" max="28" width="18.85546875" style="64" customWidth="1"/>
    <col min="29" max="16384" width="9.140625" style="41"/>
  </cols>
  <sheetData>
    <row r="1" spans="1:28" s="4" customFormat="1" ht="24" customHeight="1" x14ac:dyDescent="0.25">
      <c r="A1" s="152" t="s">
        <v>405</v>
      </c>
      <c r="B1" s="156"/>
      <c r="C1" s="151"/>
      <c r="D1" s="205" t="s">
        <v>403</v>
      </c>
      <c r="E1" s="205"/>
      <c r="F1" s="205"/>
      <c r="G1" s="205"/>
      <c r="H1" s="205"/>
      <c r="I1" s="205"/>
      <c r="J1" s="205"/>
      <c r="K1" s="205"/>
      <c r="M1" s="206" t="s">
        <v>404</v>
      </c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</row>
    <row r="2" spans="1:28" s="4" customFormat="1" ht="3.75" customHeight="1" x14ac:dyDescent="0.25">
      <c r="A2" s="158"/>
      <c r="B2" s="157"/>
      <c r="K2" s="147"/>
    </row>
    <row r="3" spans="1:28" ht="18.75" x14ac:dyDescent="0.25">
      <c r="A3" s="9" t="s">
        <v>8</v>
      </c>
      <c r="D3" s="136" t="s">
        <v>112</v>
      </c>
      <c r="F3" s="138" t="s">
        <v>140</v>
      </c>
      <c r="H3" s="51" t="s">
        <v>150</v>
      </c>
      <c r="J3" s="208" t="s">
        <v>401</v>
      </c>
      <c r="K3" s="208"/>
      <c r="M3" s="209" t="s">
        <v>368</v>
      </c>
      <c r="N3" s="209"/>
      <c r="O3" s="209"/>
      <c r="P3" s="154"/>
      <c r="Q3" s="210" t="s">
        <v>369</v>
      </c>
      <c r="R3" s="210"/>
      <c r="S3" s="210"/>
      <c r="T3" s="145"/>
      <c r="U3" s="211" t="s">
        <v>393</v>
      </c>
      <c r="V3" s="211"/>
      <c r="W3" s="145"/>
      <c r="X3" s="203" t="s">
        <v>370</v>
      </c>
      <c r="Y3" s="203"/>
      <c r="AA3" s="204" t="s">
        <v>371</v>
      </c>
      <c r="AB3" s="204"/>
    </row>
    <row r="4" spans="1:28" ht="18.75" x14ac:dyDescent="0.25">
      <c r="A4" s="135" t="s">
        <v>115</v>
      </c>
      <c r="D4" s="141" t="s">
        <v>113</v>
      </c>
      <c r="E4" s="137"/>
      <c r="F4" s="141" t="s">
        <v>283</v>
      </c>
      <c r="G4" s="139"/>
      <c r="H4" s="140" t="s">
        <v>154</v>
      </c>
      <c r="J4" s="140" t="s">
        <v>124</v>
      </c>
      <c r="K4" s="134" t="s">
        <v>388</v>
      </c>
      <c r="M4" s="133" t="s">
        <v>372</v>
      </c>
      <c r="N4" s="146" t="s">
        <v>385</v>
      </c>
      <c r="O4" s="146" t="s">
        <v>384</v>
      </c>
      <c r="P4" s="155"/>
      <c r="Q4" s="133" t="s">
        <v>373</v>
      </c>
      <c r="R4" s="133" t="s">
        <v>385</v>
      </c>
      <c r="S4" s="133" t="s">
        <v>384</v>
      </c>
      <c r="T4" s="145"/>
      <c r="U4" s="133" t="s">
        <v>374</v>
      </c>
      <c r="V4" s="133" t="s">
        <v>402</v>
      </c>
      <c r="W4" s="145"/>
      <c r="X4" s="133" t="s">
        <v>375</v>
      </c>
      <c r="Y4" s="133" t="s">
        <v>402</v>
      </c>
      <c r="AA4" s="150" t="s">
        <v>376</v>
      </c>
      <c r="AB4" s="150" t="s">
        <v>402</v>
      </c>
    </row>
    <row r="5" spans="1:28" ht="30" x14ac:dyDescent="0.25">
      <c r="A5" s="10" t="s">
        <v>102</v>
      </c>
      <c r="D5" s="141" t="s">
        <v>114</v>
      </c>
      <c r="E5" s="142"/>
      <c r="F5" s="141" t="s">
        <v>307</v>
      </c>
      <c r="G5" s="142"/>
      <c r="H5" s="140" t="s">
        <v>151</v>
      </c>
      <c r="J5" s="140">
        <v>0</v>
      </c>
      <c r="K5" s="148" t="s">
        <v>392</v>
      </c>
      <c r="M5" s="215" t="s">
        <v>386</v>
      </c>
      <c r="N5" s="214" t="s">
        <v>377</v>
      </c>
      <c r="O5" s="140" t="str">
        <f>CONCATENATE(تقویم!$A$2,HolidayTable[[#This Row],[روز و ماه]])</f>
        <v>14000101</v>
      </c>
      <c r="P5" s="145"/>
      <c r="Q5" s="221" t="s">
        <v>430</v>
      </c>
      <c r="R5" s="149" t="s">
        <v>378</v>
      </c>
      <c r="S5" s="140" t="str">
        <f>CONCATENATE(تقویم!$A$2,EventsTable[[#This Row],[روز و ماه]])</f>
        <v>14000102</v>
      </c>
      <c r="T5" s="145"/>
      <c r="U5" s="222" t="s">
        <v>799</v>
      </c>
      <c r="V5" s="149" t="s">
        <v>800</v>
      </c>
      <c r="W5" s="145"/>
      <c r="X5" s="221" t="s">
        <v>835</v>
      </c>
      <c r="Y5" s="149" t="s">
        <v>377</v>
      </c>
      <c r="Z5" s="145"/>
      <c r="AA5" s="215" t="s">
        <v>916</v>
      </c>
      <c r="AB5" s="149" t="s">
        <v>377</v>
      </c>
    </row>
    <row r="6" spans="1:28" ht="18.75" x14ac:dyDescent="0.25">
      <c r="A6" s="11" t="s">
        <v>103</v>
      </c>
      <c r="D6" s="141" t="s">
        <v>142</v>
      </c>
      <c r="E6" s="142"/>
      <c r="F6" s="141" t="s">
        <v>141</v>
      </c>
      <c r="G6" s="142"/>
      <c r="H6" s="140" t="s">
        <v>152</v>
      </c>
      <c r="J6" s="140">
        <v>1</v>
      </c>
      <c r="K6" s="148"/>
      <c r="M6" s="215" t="s">
        <v>387</v>
      </c>
      <c r="N6" s="214" t="s">
        <v>378</v>
      </c>
      <c r="O6" s="140" t="str">
        <f>CONCATENATE(تقویم!$A$2,HolidayTable[[#This Row],[روز و ماه]])</f>
        <v>14000102</v>
      </c>
      <c r="P6" s="145"/>
      <c r="Q6" s="221" t="s">
        <v>431</v>
      </c>
      <c r="R6" s="149" t="s">
        <v>378</v>
      </c>
      <c r="S6" s="140" t="str">
        <f>CONCATENATE(تقویم!$A$2,EventsTable[[#This Row],[روز و ماه]])</f>
        <v>14000102</v>
      </c>
      <c r="T6" s="145"/>
      <c r="U6" s="222" t="s">
        <v>801</v>
      </c>
      <c r="V6" s="149" t="s">
        <v>802</v>
      </c>
      <c r="W6" s="145"/>
      <c r="X6" s="221" t="s">
        <v>836</v>
      </c>
      <c r="Y6" s="149" t="s">
        <v>837</v>
      </c>
      <c r="Z6" s="145"/>
      <c r="AA6" s="215" t="s">
        <v>917</v>
      </c>
      <c r="AB6" s="149" t="s">
        <v>918</v>
      </c>
    </row>
    <row r="7" spans="1:28" ht="30" x14ac:dyDescent="0.25">
      <c r="A7" s="33" t="s">
        <v>104</v>
      </c>
      <c r="E7" s="142"/>
      <c r="F7" s="143"/>
      <c r="G7" s="142"/>
      <c r="H7" s="140" t="s">
        <v>308</v>
      </c>
      <c r="J7" s="140">
        <v>2</v>
      </c>
      <c r="K7" s="148"/>
      <c r="M7" s="215" t="s">
        <v>387</v>
      </c>
      <c r="N7" s="214" t="s">
        <v>379</v>
      </c>
      <c r="O7" s="140" t="str">
        <f>CONCATENATE(تقویم!$A$2,HolidayTable[[#This Row],[روز و ماه]])</f>
        <v>14000103</v>
      </c>
      <c r="P7" s="145"/>
      <c r="Q7" s="221" t="s">
        <v>432</v>
      </c>
      <c r="R7" s="149" t="s">
        <v>433</v>
      </c>
      <c r="S7" s="140" t="str">
        <f>CONCATENATE(تقویم!$A$2,EventsTable[[#This Row],[روز و ماه]])</f>
        <v>14000106</v>
      </c>
      <c r="T7" s="145"/>
      <c r="U7" s="222" t="s">
        <v>803</v>
      </c>
      <c r="V7" s="149" t="s">
        <v>804</v>
      </c>
      <c r="W7" s="145"/>
      <c r="X7" s="221" t="s">
        <v>838</v>
      </c>
      <c r="Y7" s="149" t="s">
        <v>381</v>
      </c>
      <c r="Z7" s="145"/>
      <c r="AA7" s="215" t="s">
        <v>919</v>
      </c>
      <c r="AB7" s="149" t="s">
        <v>920</v>
      </c>
    </row>
    <row r="8" spans="1:28" ht="30" x14ac:dyDescent="0.25">
      <c r="A8" s="129" t="s">
        <v>110</v>
      </c>
      <c r="G8" s="144"/>
      <c r="H8" s="140" t="s">
        <v>155</v>
      </c>
      <c r="J8" s="140">
        <v>3</v>
      </c>
      <c r="K8" s="148"/>
      <c r="M8" s="215" t="s">
        <v>387</v>
      </c>
      <c r="N8" s="214" t="s">
        <v>380</v>
      </c>
      <c r="O8" s="140" t="str">
        <f>CONCATENATE(تقویم!$A$2,HolidayTable[[#This Row],[روز و ماه]])</f>
        <v>14000104</v>
      </c>
      <c r="P8" s="145"/>
      <c r="Q8" s="221" t="s">
        <v>434</v>
      </c>
      <c r="R8" s="149" t="s">
        <v>435</v>
      </c>
      <c r="S8" s="140" t="str">
        <f>CONCATENATE(تقویم!$A$2,EventsTable[[#This Row],[روز و ماه]])</f>
        <v>14000107</v>
      </c>
      <c r="T8" s="145"/>
      <c r="U8" s="222" t="s">
        <v>805</v>
      </c>
      <c r="V8" s="149" t="s">
        <v>485</v>
      </c>
      <c r="W8" s="145"/>
      <c r="X8" s="221" t="s">
        <v>839</v>
      </c>
      <c r="Y8" s="149" t="s">
        <v>447</v>
      </c>
      <c r="Z8" s="145"/>
      <c r="AA8" s="215" t="s">
        <v>921</v>
      </c>
      <c r="AB8" s="149" t="s">
        <v>922</v>
      </c>
    </row>
    <row r="9" spans="1:28" ht="30" x14ac:dyDescent="0.25">
      <c r="A9" s="13" t="s">
        <v>89</v>
      </c>
      <c r="H9" s="140" t="s">
        <v>77</v>
      </c>
      <c r="J9" s="140"/>
      <c r="K9" s="148"/>
      <c r="M9" s="215" t="s">
        <v>383</v>
      </c>
      <c r="N9" s="214" t="s">
        <v>381</v>
      </c>
      <c r="O9" s="140" t="str">
        <f>CONCATENATE(تقویم!$A$2,HolidayTable[[#This Row],[روز و ماه]])</f>
        <v>14000112</v>
      </c>
      <c r="P9" s="145"/>
      <c r="Q9" s="221" t="s">
        <v>436</v>
      </c>
      <c r="R9" s="149" t="s">
        <v>427</v>
      </c>
      <c r="S9" s="140" t="str">
        <f>CONCATENATE(تقویم!$A$2,EventsTable[[#This Row],[روز و ماه]])</f>
        <v>14000115</v>
      </c>
      <c r="T9" s="145"/>
      <c r="U9" s="222" t="s">
        <v>806</v>
      </c>
      <c r="V9" s="149" t="s">
        <v>485</v>
      </c>
      <c r="W9" s="145"/>
      <c r="X9" s="221" t="s">
        <v>840</v>
      </c>
      <c r="Y9" s="149" t="s">
        <v>463</v>
      </c>
      <c r="Z9" s="145"/>
      <c r="AA9" s="215" t="s">
        <v>923</v>
      </c>
      <c r="AB9" s="149" t="s">
        <v>924</v>
      </c>
    </row>
    <row r="10" spans="1:28" ht="18.75" x14ac:dyDescent="0.25">
      <c r="A10" s="107" t="s">
        <v>111</v>
      </c>
      <c r="H10" s="140" t="s">
        <v>153</v>
      </c>
      <c r="J10" s="140"/>
      <c r="K10" s="148"/>
      <c r="M10" s="215" t="s">
        <v>421</v>
      </c>
      <c r="N10" s="214" t="s">
        <v>382</v>
      </c>
      <c r="O10" s="140" t="str">
        <f>CONCATENATE(تقویم!$A$2,HolidayTable[[#This Row],[روز و ماه]])</f>
        <v>14000113</v>
      </c>
      <c r="P10" s="145"/>
      <c r="Q10" s="223" t="s">
        <v>437</v>
      </c>
      <c r="R10" s="149" t="s">
        <v>438</v>
      </c>
      <c r="S10" s="140" t="str">
        <f>CONCATENATE(تقویم!$A$2,EventsTable[[#This Row],[روز و ماه]])</f>
        <v>14000118</v>
      </c>
      <c r="T10" s="145"/>
      <c r="U10" s="222" t="s">
        <v>807</v>
      </c>
      <c r="V10" s="149" t="s">
        <v>808</v>
      </c>
      <c r="W10" s="145"/>
      <c r="X10" s="215" t="s">
        <v>841</v>
      </c>
      <c r="Y10" s="149" t="s">
        <v>842</v>
      </c>
      <c r="Z10" s="145"/>
      <c r="AA10" s="215" t="s">
        <v>925</v>
      </c>
      <c r="AB10" s="149" t="s">
        <v>561</v>
      </c>
    </row>
    <row r="11" spans="1:28" ht="45" x14ac:dyDescent="0.25">
      <c r="A11" s="14" t="s">
        <v>105</v>
      </c>
      <c r="M11" s="216" t="s">
        <v>422</v>
      </c>
      <c r="N11" s="214" t="s">
        <v>426</v>
      </c>
      <c r="O11" s="153" t="str">
        <f>CONCATENATE(تقویم!$A$2,HolidayTable[[#This Row],[روز و ماه]])</f>
        <v>14000314</v>
      </c>
      <c r="Q11" s="223" t="s">
        <v>439</v>
      </c>
      <c r="R11" s="149" t="s">
        <v>440</v>
      </c>
      <c r="S11" s="153" t="str">
        <f>CONCATENATE(تقویم!$A$2,EventsTable[[#This Row],[روز و ماه]])</f>
        <v>14000119</v>
      </c>
      <c r="U11" s="222" t="s">
        <v>809</v>
      </c>
      <c r="V11" s="149" t="s">
        <v>810</v>
      </c>
      <c r="X11" s="221" t="s">
        <v>843</v>
      </c>
      <c r="Y11" s="149" t="s">
        <v>483</v>
      </c>
      <c r="Z11" s="145"/>
      <c r="AA11" s="215" t="s">
        <v>926</v>
      </c>
      <c r="AB11" s="149" t="s">
        <v>565</v>
      </c>
    </row>
    <row r="12" spans="1:28" ht="30" x14ac:dyDescent="0.25">
      <c r="A12" s="15" t="s">
        <v>98</v>
      </c>
      <c r="J12" s="207" t="s">
        <v>396</v>
      </c>
      <c r="K12" s="207"/>
      <c r="M12" s="215" t="s">
        <v>423</v>
      </c>
      <c r="N12" s="214" t="s">
        <v>427</v>
      </c>
      <c r="O12" s="153" t="str">
        <f>CONCATENATE(تقویم!$A$2,HolidayTable[[#This Row],[روز و ماه]])</f>
        <v>14000115</v>
      </c>
      <c r="Q12" s="223" t="s">
        <v>441</v>
      </c>
      <c r="R12" s="149" t="s">
        <v>442</v>
      </c>
      <c r="S12" s="153" t="str">
        <f>CONCATENATE(تقویم!$A$2,EventsTable[[#This Row],[روز و ماه]])</f>
        <v>14000120</v>
      </c>
      <c r="U12" s="222" t="s">
        <v>811</v>
      </c>
      <c r="V12" s="149" t="s">
        <v>810</v>
      </c>
      <c r="X12" s="221" t="s">
        <v>844</v>
      </c>
      <c r="Y12" s="149" t="s">
        <v>491</v>
      </c>
      <c r="Z12" s="145"/>
      <c r="AA12" s="215" t="s">
        <v>927</v>
      </c>
      <c r="AB12" s="149" t="s">
        <v>580</v>
      </c>
    </row>
    <row r="13" spans="1:28" ht="45" x14ac:dyDescent="0.25">
      <c r="J13" s="133" t="s">
        <v>394</v>
      </c>
      <c r="K13" s="133" t="s">
        <v>395</v>
      </c>
      <c r="M13" s="215" t="s">
        <v>424</v>
      </c>
      <c r="N13" s="214" t="s">
        <v>428</v>
      </c>
      <c r="O13" s="153" t="str">
        <f>CONCATENATE(تقویم!$A$2,HolidayTable[[#This Row],[روز و ماه]])</f>
        <v>14001122</v>
      </c>
      <c r="Q13" s="223" t="s">
        <v>443</v>
      </c>
      <c r="R13" s="149" t="s">
        <v>442</v>
      </c>
      <c r="S13" s="153" t="str">
        <f>CONCATENATE(تقویم!$A$2,EventsTable[[#This Row],[روز و ماه]])</f>
        <v>14000120</v>
      </c>
      <c r="U13" s="222" t="s">
        <v>812</v>
      </c>
      <c r="V13" s="149" t="s">
        <v>813</v>
      </c>
      <c r="X13" s="221" t="s">
        <v>845</v>
      </c>
      <c r="Y13" s="149" t="s">
        <v>846</v>
      </c>
      <c r="AA13" s="215" t="s">
        <v>928</v>
      </c>
      <c r="AB13" s="149" t="s">
        <v>595</v>
      </c>
    </row>
    <row r="14" spans="1:28" ht="30" x14ac:dyDescent="0.25">
      <c r="J14" s="133" t="s">
        <v>152</v>
      </c>
      <c r="K14" s="133"/>
      <c r="M14" s="215" t="s">
        <v>425</v>
      </c>
      <c r="N14" s="214" t="s">
        <v>429</v>
      </c>
      <c r="O14" s="153" t="str">
        <f>CONCATENATE(تقویم!$A$2,HolidayTable[[#This Row],[روز و ماه]])</f>
        <v>14001229</v>
      </c>
      <c r="Q14" s="223" t="s">
        <v>444</v>
      </c>
      <c r="R14" s="149" t="s">
        <v>445</v>
      </c>
      <c r="S14" s="153" t="str">
        <f>CONCATENATE(تقویم!$A$2,EventsTable[[#This Row],[روز و ماه]])</f>
        <v>14000121</v>
      </c>
      <c r="U14" s="222" t="s">
        <v>814</v>
      </c>
      <c r="V14" s="149" t="s">
        <v>813</v>
      </c>
      <c r="X14" s="221" t="s">
        <v>847</v>
      </c>
      <c r="Y14" s="149" t="s">
        <v>846</v>
      </c>
      <c r="AA14" s="215" t="s">
        <v>929</v>
      </c>
      <c r="AB14" s="149" t="s">
        <v>607</v>
      </c>
    </row>
    <row r="15" spans="1:28" ht="60" x14ac:dyDescent="0.25">
      <c r="J15" s="133" t="s">
        <v>397</v>
      </c>
      <c r="K15" s="133"/>
      <c r="M15" s="217"/>
      <c r="N15" s="218"/>
      <c r="O15" s="219"/>
      <c r="Q15" s="223" t="s">
        <v>446</v>
      </c>
      <c r="R15" s="149" t="s">
        <v>445</v>
      </c>
      <c r="S15" s="153" t="str">
        <f>CONCATENATE(تقویم!$A$2,EventsTable[[#This Row],[روز و ماه]])</f>
        <v>14000121</v>
      </c>
      <c r="U15" s="222" t="s">
        <v>815</v>
      </c>
      <c r="V15" s="149" t="s">
        <v>603</v>
      </c>
      <c r="X15" s="215" t="s">
        <v>848</v>
      </c>
      <c r="Y15" s="149" t="s">
        <v>849</v>
      </c>
      <c r="AA15" s="215" t="s">
        <v>930</v>
      </c>
      <c r="AB15" s="149" t="s">
        <v>626</v>
      </c>
    </row>
    <row r="16" spans="1:28" ht="30" x14ac:dyDescent="0.25">
      <c r="I16" s="145"/>
      <c r="J16" s="133" t="s">
        <v>398</v>
      </c>
      <c r="K16" s="133"/>
      <c r="M16" s="217"/>
      <c r="N16" s="218"/>
      <c r="O16" s="219"/>
      <c r="Q16" s="223" t="s">
        <v>832</v>
      </c>
      <c r="R16" s="149" t="s">
        <v>447</v>
      </c>
      <c r="S16" s="153" t="str">
        <f>CONCATENATE(تقویم!$A$2,EventsTable[[#This Row],[روز و ماه]])</f>
        <v>14000125</v>
      </c>
      <c r="U16" s="222" t="s">
        <v>816</v>
      </c>
      <c r="V16" s="149" t="s">
        <v>651</v>
      </c>
      <c r="X16" s="215" t="s">
        <v>850</v>
      </c>
      <c r="Y16" s="149" t="s">
        <v>526</v>
      </c>
      <c r="AA16" s="215" t="s">
        <v>931</v>
      </c>
      <c r="AB16" s="149" t="s">
        <v>932</v>
      </c>
    </row>
    <row r="17" spans="9:28" ht="30" x14ac:dyDescent="0.25">
      <c r="I17" s="145"/>
      <c r="J17" s="133" t="s">
        <v>399</v>
      </c>
      <c r="K17" s="133"/>
      <c r="M17" s="217"/>
      <c r="N17" s="218"/>
      <c r="O17" s="219"/>
      <c r="Q17" s="223" t="s">
        <v>448</v>
      </c>
      <c r="R17" s="149" t="s">
        <v>449</v>
      </c>
      <c r="S17" s="153" t="str">
        <f>CONCATENATE(تقویم!$A$2,EventsTable[[#This Row],[روز و ماه]])</f>
        <v>14000129</v>
      </c>
      <c r="U17" s="222" t="s">
        <v>817</v>
      </c>
      <c r="V17" s="149" t="s">
        <v>818</v>
      </c>
      <c r="X17" s="215" t="s">
        <v>851</v>
      </c>
      <c r="Y17" s="149" t="s">
        <v>528</v>
      </c>
      <c r="AA17" s="215" t="s">
        <v>933</v>
      </c>
      <c r="AB17" s="149" t="s">
        <v>669</v>
      </c>
    </row>
    <row r="18" spans="9:28" ht="30" x14ac:dyDescent="0.25">
      <c r="I18" s="145"/>
      <c r="J18" s="133" t="s">
        <v>400</v>
      </c>
      <c r="K18" s="133"/>
      <c r="M18" s="217"/>
      <c r="N18" s="218"/>
      <c r="O18" s="219"/>
      <c r="Q18" s="223" t="s">
        <v>450</v>
      </c>
      <c r="R18" s="149" t="s">
        <v>451</v>
      </c>
      <c r="S18" s="153" t="str">
        <f>CONCATENATE(تقویم!$A$2,EventsTable[[#This Row],[روز و ماه]])</f>
        <v>14000201</v>
      </c>
      <c r="U18" s="222" t="s">
        <v>819</v>
      </c>
      <c r="V18" s="149" t="s">
        <v>820</v>
      </c>
      <c r="X18" s="215" t="s">
        <v>852</v>
      </c>
      <c r="Y18" s="149" t="s">
        <v>561</v>
      </c>
      <c r="AA18" s="215" t="s">
        <v>934</v>
      </c>
      <c r="AB18" s="149" t="s">
        <v>935</v>
      </c>
    </row>
    <row r="19" spans="9:28" ht="30" x14ac:dyDescent="0.25">
      <c r="I19" s="145"/>
      <c r="J19" s="133"/>
      <c r="K19" s="149"/>
      <c r="M19" s="217"/>
      <c r="N19" s="218"/>
      <c r="O19" s="219"/>
      <c r="Q19" s="223" t="s">
        <v>452</v>
      </c>
      <c r="R19" s="149" t="s">
        <v>453</v>
      </c>
      <c r="S19" s="153" t="str">
        <f>CONCATENATE(تقویم!$A$2,EventsTable[[#This Row],[روز و ماه]])</f>
        <v>14000202</v>
      </c>
      <c r="U19" s="222" t="s">
        <v>821</v>
      </c>
      <c r="V19" s="149" t="s">
        <v>822</v>
      </c>
      <c r="X19" s="215" t="s">
        <v>853</v>
      </c>
      <c r="Y19" s="149" t="s">
        <v>854</v>
      </c>
      <c r="AA19" s="215" t="s">
        <v>936</v>
      </c>
      <c r="AB19" s="149" t="s">
        <v>721</v>
      </c>
    </row>
    <row r="20" spans="9:28" ht="30" x14ac:dyDescent="0.25">
      <c r="I20" s="145"/>
      <c r="J20" s="133"/>
      <c r="K20" s="149"/>
      <c r="M20" s="217"/>
      <c r="N20" s="218"/>
      <c r="O20" s="219"/>
      <c r="Q20" s="223" t="s">
        <v>454</v>
      </c>
      <c r="R20" s="149" t="s">
        <v>453</v>
      </c>
      <c r="S20" s="153" t="str">
        <f>CONCATENATE(تقویم!$A$2,EventsTable[[#This Row],[روز و ماه]])</f>
        <v>14000202</v>
      </c>
      <c r="U20" s="222" t="s">
        <v>823</v>
      </c>
      <c r="V20" s="149" t="s">
        <v>824</v>
      </c>
      <c r="X20" s="215" t="s">
        <v>855</v>
      </c>
      <c r="Y20" s="149" t="s">
        <v>621</v>
      </c>
      <c r="AA20" s="215" t="s">
        <v>937</v>
      </c>
      <c r="AB20" s="149" t="s">
        <v>726</v>
      </c>
    </row>
    <row r="21" spans="9:28" x14ac:dyDescent="0.25">
      <c r="I21" s="145"/>
      <c r="J21" s="133"/>
      <c r="K21" s="149"/>
      <c r="M21" s="217"/>
      <c r="N21" s="218"/>
      <c r="O21" s="219"/>
      <c r="Q21" s="223" t="s">
        <v>455</v>
      </c>
      <c r="R21" s="149" t="s">
        <v>453</v>
      </c>
      <c r="S21" s="153" t="str">
        <f>CONCATENATE(تقویم!$A$2,EventsTable[[#This Row],[روز و ماه]])</f>
        <v>14000202</v>
      </c>
      <c r="U21" s="222" t="s">
        <v>825</v>
      </c>
      <c r="V21" s="149" t="s">
        <v>826</v>
      </c>
      <c r="X21" s="215" t="s">
        <v>856</v>
      </c>
      <c r="Y21" s="149" t="s">
        <v>621</v>
      </c>
      <c r="AA21" s="215" t="s">
        <v>938</v>
      </c>
      <c r="AB21" s="149" t="s">
        <v>726</v>
      </c>
    </row>
    <row r="22" spans="9:28" ht="30" x14ac:dyDescent="0.25">
      <c r="I22" s="145"/>
      <c r="J22" s="133"/>
      <c r="K22" s="149"/>
      <c r="M22" s="217"/>
      <c r="N22" s="218"/>
      <c r="O22" s="219"/>
      <c r="Q22" s="223" t="s">
        <v>456</v>
      </c>
      <c r="R22" s="149" t="s">
        <v>457</v>
      </c>
      <c r="S22" s="153" t="str">
        <f>CONCATENATE(تقویم!$A$2,EventsTable[[#This Row],[روز و ماه]])</f>
        <v>14000203</v>
      </c>
      <c r="U22" s="222" t="s">
        <v>827</v>
      </c>
      <c r="V22" s="149" t="s">
        <v>828</v>
      </c>
      <c r="X22" s="215" t="s">
        <v>857</v>
      </c>
      <c r="Y22" s="149" t="s">
        <v>630</v>
      </c>
      <c r="AA22" s="215" t="s">
        <v>939</v>
      </c>
      <c r="AB22" s="149" t="s">
        <v>824</v>
      </c>
    </row>
    <row r="23" spans="9:28" ht="45" x14ac:dyDescent="0.25">
      <c r="J23" s="133"/>
      <c r="K23" s="149"/>
      <c r="M23" s="217"/>
      <c r="N23" s="218"/>
      <c r="O23" s="219"/>
      <c r="Q23" s="223" t="s">
        <v>458</v>
      </c>
      <c r="R23" s="149" t="s">
        <v>457</v>
      </c>
      <c r="S23" s="153" t="str">
        <f>CONCATENATE(تقویم!$A$2,EventsTable[[#This Row],[روز و ماه]])</f>
        <v>14000203</v>
      </c>
      <c r="U23" s="222" t="s">
        <v>829</v>
      </c>
      <c r="V23" s="149" t="s">
        <v>830</v>
      </c>
      <c r="X23" s="215" t="s">
        <v>858</v>
      </c>
      <c r="Y23" s="149" t="s">
        <v>630</v>
      </c>
      <c r="AA23" s="215" t="s">
        <v>940</v>
      </c>
      <c r="AB23" s="149" t="s">
        <v>735</v>
      </c>
    </row>
    <row r="24" spans="9:28" ht="30" x14ac:dyDescent="0.25">
      <c r="J24" s="133"/>
      <c r="K24" s="149"/>
      <c r="M24" s="217"/>
      <c r="N24" s="218"/>
      <c r="O24" s="219"/>
      <c r="Q24" s="223" t="s">
        <v>459</v>
      </c>
      <c r="R24" s="149" t="s">
        <v>457</v>
      </c>
      <c r="S24" s="153" t="str">
        <f>CONCATENATE(تقویم!$A$2,EventsTable[[#This Row],[روز و ماه]])</f>
        <v>14000203</v>
      </c>
      <c r="U24" s="222" t="s">
        <v>831</v>
      </c>
      <c r="V24" s="149" t="s">
        <v>787</v>
      </c>
      <c r="X24" s="215" t="s">
        <v>859</v>
      </c>
      <c r="Y24" s="149" t="s">
        <v>630</v>
      </c>
      <c r="AA24" s="215" t="s">
        <v>941</v>
      </c>
      <c r="AB24" s="149" t="s">
        <v>737</v>
      </c>
    </row>
    <row r="25" spans="9:28" ht="30" x14ac:dyDescent="0.25">
      <c r="J25" s="133"/>
      <c r="K25" s="149"/>
      <c r="M25" s="217"/>
      <c r="N25" s="218"/>
      <c r="O25" s="219"/>
      <c r="Q25" s="223" t="s">
        <v>460</v>
      </c>
      <c r="R25" s="149" t="s">
        <v>461</v>
      </c>
      <c r="S25" s="153" t="str">
        <f>CONCATENATE(تقویم!$A$2,EventsTable[[#This Row],[روز و ماه]])</f>
        <v>14000205</v>
      </c>
      <c r="X25" s="215" t="s">
        <v>860</v>
      </c>
      <c r="Y25" s="149" t="s">
        <v>861</v>
      </c>
      <c r="AA25" s="215" t="s">
        <v>942</v>
      </c>
      <c r="AB25" s="149" t="s">
        <v>943</v>
      </c>
    </row>
    <row r="26" spans="9:28" ht="30" x14ac:dyDescent="0.25">
      <c r="J26" s="133"/>
      <c r="K26" s="149"/>
      <c r="M26" s="217"/>
      <c r="N26" s="218"/>
      <c r="O26" s="219"/>
      <c r="Q26" s="223" t="s">
        <v>462</v>
      </c>
      <c r="R26" s="149" t="s">
        <v>463</v>
      </c>
      <c r="S26" s="153" t="str">
        <f>CONCATENATE(تقویم!$A$2,EventsTable[[#This Row],[روز و ماه]])</f>
        <v>14000207</v>
      </c>
      <c r="X26" s="215" t="s">
        <v>862</v>
      </c>
      <c r="Y26" s="149" t="s">
        <v>863</v>
      </c>
      <c r="AA26" s="215" t="s">
        <v>944</v>
      </c>
      <c r="AB26" s="149" t="s">
        <v>945</v>
      </c>
    </row>
    <row r="27" spans="9:28" ht="30" x14ac:dyDescent="0.25">
      <c r="J27" s="133"/>
      <c r="K27" s="149"/>
      <c r="M27" s="217"/>
      <c r="N27" s="218"/>
      <c r="O27" s="219"/>
      <c r="Q27" s="223" t="s">
        <v>464</v>
      </c>
      <c r="R27" s="149" t="s">
        <v>465</v>
      </c>
      <c r="S27" s="153" t="str">
        <f>CONCATENATE(تقویم!$A$2,EventsTable[[#This Row],[روز و ماه]])</f>
        <v>14000209</v>
      </c>
      <c r="X27" s="215" t="s">
        <v>864</v>
      </c>
      <c r="Y27" s="149" t="s">
        <v>865</v>
      </c>
      <c r="AA27" s="215" t="s">
        <v>946</v>
      </c>
      <c r="AB27" s="149" t="s">
        <v>947</v>
      </c>
    </row>
    <row r="28" spans="9:28" ht="30" x14ac:dyDescent="0.25">
      <c r="J28" s="133"/>
      <c r="K28" s="149"/>
      <c r="M28" s="217"/>
      <c r="N28" s="218"/>
      <c r="O28" s="219"/>
      <c r="Q28" s="223" t="s">
        <v>466</v>
      </c>
      <c r="R28" s="149" t="s">
        <v>467</v>
      </c>
      <c r="S28" s="153" t="str">
        <f>CONCATENATE(تقویم!$A$2,EventsTable[[#This Row],[روز و ماه]])</f>
        <v>14000210</v>
      </c>
      <c r="X28" s="215" t="s">
        <v>866</v>
      </c>
      <c r="Y28" s="149" t="s">
        <v>651</v>
      </c>
      <c r="AA28" s="215" t="s">
        <v>948</v>
      </c>
      <c r="AB28" s="149" t="s">
        <v>949</v>
      </c>
    </row>
    <row r="29" spans="9:28" ht="30" x14ac:dyDescent="0.25">
      <c r="J29" s="133"/>
      <c r="K29" s="149"/>
      <c r="M29" s="217"/>
      <c r="N29" s="218"/>
      <c r="O29" s="219"/>
      <c r="Q29" s="223" t="s">
        <v>468</v>
      </c>
      <c r="R29" s="149" t="s">
        <v>467</v>
      </c>
      <c r="S29" s="153" t="str">
        <f>CONCATENATE(تقویم!$A$2,EventsTable[[#This Row],[روز و ماه]])</f>
        <v>14000210</v>
      </c>
      <c r="X29" s="215" t="s">
        <v>867</v>
      </c>
      <c r="Y29" s="149" t="s">
        <v>651</v>
      </c>
      <c r="AA29" s="215" t="s">
        <v>950</v>
      </c>
      <c r="AB29" s="149" t="s">
        <v>904</v>
      </c>
    </row>
    <row r="30" spans="9:28" ht="30" x14ac:dyDescent="0.25">
      <c r="J30" s="133"/>
      <c r="K30" s="149"/>
      <c r="M30" s="217"/>
      <c r="N30" s="218"/>
      <c r="O30" s="219"/>
      <c r="Q30" s="223" t="s">
        <v>469</v>
      </c>
      <c r="R30" s="149" t="s">
        <v>470</v>
      </c>
      <c r="S30" s="153" t="str">
        <f>CONCATENATE(تقویم!$A$2,EventsTable[[#This Row],[روز و ماه]])</f>
        <v>14000212</v>
      </c>
      <c r="X30" s="215" t="s">
        <v>868</v>
      </c>
      <c r="Y30" s="149" t="s">
        <v>656</v>
      </c>
      <c r="AA30" s="215" t="s">
        <v>951</v>
      </c>
      <c r="AB30" s="149" t="s">
        <v>772</v>
      </c>
    </row>
    <row r="31" spans="9:28" ht="30" x14ac:dyDescent="0.25">
      <c r="J31" s="133"/>
      <c r="K31" s="149"/>
      <c r="M31" s="217"/>
      <c r="N31" s="218"/>
      <c r="O31" s="219"/>
      <c r="Q31" s="223" t="s">
        <v>471</v>
      </c>
      <c r="R31" s="149" t="s">
        <v>472</v>
      </c>
      <c r="S31" s="153" t="str">
        <f>CONCATENATE(تقویم!$A$2,EventsTable[[#This Row],[روز و ماه]])</f>
        <v>14000215</v>
      </c>
      <c r="X31" s="215" t="s">
        <v>869</v>
      </c>
      <c r="Y31" s="149" t="s">
        <v>656</v>
      </c>
      <c r="AA31" s="215" t="s">
        <v>952</v>
      </c>
      <c r="AB31" s="149" t="s">
        <v>909</v>
      </c>
    </row>
    <row r="32" spans="9:28" ht="30" x14ac:dyDescent="0.25">
      <c r="J32" s="133"/>
      <c r="K32" s="149"/>
      <c r="M32" s="217"/>
      <c r="N32" s="218"/>
      <c r="O32" s="219"/>
      <c r="Q32" s="223" t="s">
        <v>473</v>
      </c>
      <c r="R32" s="149" t="s">
        <v>474</v>
      </c>
      <c r="S32" s="153" t="str">
        <f>CONCATENATE(تقویم!$A$2,EventsTable[[#This Row],[روز و ماه]])</f>
        <v>14000218</v>
      </c>
      <c r="X32" s="215" t="s">
        <v>870</v>
      </c>
      <c r="Y32" s="149" t="s">
        <v>871</v>
      </c>
      <c r="AA32" s="215" t="s">
        <v>953</v>
      </c>
      <c r="AB32" s="149" t="s">
        <v>796</v>
      </c>
    </row>
    <row r="33" spans="10:25" ht="30" x14ac:dyDescent="0.25">
      <c r="J33" s="133"/>
      <c r="K33" s="149"/>
      <c r="M33" s="217"/>
      <c r="N33" s="218"/>
      <c r="O33" s="219"/>
      <c r="Q33" s="223" t="s">
        <v>475</v>
      </c>
      <c r="R33" s="149" t="s">
        <v>476</v>
      </c>
      <c r="S33" s="153" t="str">
        <f>CONCATENATE(تقویم!$A$2,EventsTable[[#This Row],[روز و ماه]])</f>
        <v>14000219</v>
      </c>
      <c r="X33" s="215" t="s">
        <v>872</v>
      </c>
      <c r="Y33" s="149" t="s">
        <v>873</v>
      </c>
    </row>
    <row r="34" spans="10:25" ht="30" x14ac:dyDescent="0.25">
      <c r="J34" s="133"/>
      <c r="K34" s="149"/>
      <c r="M34" s="217"/>
      <c r="N34" s="218"/>
      <c r="O34" s="219"/>
      <c r="Q34" s="223" t="s">
        <v>477</v>
      </c>
      <c r="R34" s="149" t="s">
        <v>476</v>
      </c>
      <c r="S34" s="153" t="str">
        <f>CONCATENATE(تقویم!$A$2,EventsTable[[#This Row],[روز و ماه]])</f>
        <v>14000219</v>
      </c>
      <c r="X34" s="215" t="s">
        <v>874</v>
      </c>
      <c r="Y34" s="149" t="s">
        <v>672</v>
      </c>
    </row>
    <row r="35" spans="10:25" ht="30" x14ac:dyDescent="0.25">
      <c r="J35" s="133"/>
      <c r="K35" s="149"/>
      <c r="M35" s="217"/>
      <c r="N35" s="218"/>
      <c r="O35" s="219"/>
      <c r="Q35" s="223" t="s">
        <v>478</v>
      </c>
      <c r="R35" s="149" t="s">
        <v>479</v>
      </c>
      <c r="S35" s="153" t="str">
        <f>CONCATENATE(تقویم!$A$2,EventsTable[[#This Row],[روز و ماه]])</f>
        <v>14000224</v>
      </c>
      <c r="X35" s="215" t="s">
        <v>875</v>
      </c>
      <c r="Y35" s="149" t="s">
        <v>876</v>
      </c>
    </row>
    <row r="36" spans="10:25" ht="30" x14ac:dyDescent="0.25">
      <c r="J36" s="133"/>
      <c r="K36" s="149"/>
      <c r="M36" s="217"/>
      <c r="N36" s="218"/>
      <c r="O36" s="219"/>
      <c r="Q36" s="223" t="s">
        <v>480</v>
      </c>
      <c r="R36" s="149" t="s">
        <v>481</v>
      </c>
      <c r="S36" s="153" t="str">
        <f>CONCATENATE(تقویم!$A$2,EventsTable[[#This Row],[روز و ماه]])</f>
        <v>14000225</v>
      </c>
      <c r="X36" s="215" t="s">
        <v>877</v>
      </c>
      <c r="Y36" s="149" t="s">
        <v>878</v>
      </c>
    </row>
    <row r="37" spans="10:25" x14ac:dyDescent="0.25">
      <c r="J37" s="133"/>
      <c r="K37" s="149"/>
      <c r="M37" s="217"/>
      <c r="N37" s="218"/>
      <c r="O37" s="219"/>
      <c r="Q37" s="223" t="s">
        <v>482</v>
      </c>
      <c r="R37" s="149" t="s">
        <v>483</v>
      </c>
      <c r="S37" s="153" t="str">
        <f>CONCATENATE(تقویم!$A$2,EventsTable[[#This Row],[روز و ماه]])</f>
        <v>14000227</v>
      </c>
      <c r="X37" s="215" t="s">
        <v>879</v>
      </c>
      <c r="Y37" s="149" t="s">
        <v>820</v>
      </c>
    </row>
    <row r="38" spans="10:25" ht="30" x14ac:dyDescent="0.25">
      <c r="J38" s="133"/>
      <c r="K38" s="149"/>
      <c r="M38" s="217"/>
      <c r="N38" s="218"/>
      <c r="O38" s="219"/>
      <c r="Q38" s="223" t="s">
        <v>484</v>
      </c>
      <c r="R38" s="149" t="s">
        <v>485</v>
      </c>
      <c r="S38" s="153" t="str">
        <f>CONCATENATE(تقویم!$A$2,EventsTable[[#This Row],[روز و ماه]])</f>
        <v>14000228</v>
      </c>
      <c r="X38" s="215" t="s">
        <v>880</v>
      </c>
      <c r="Y38" s="149" t="s">
        <v>701</v>
      </c>
    </row>
    <row r="39" spans="10:25" ht="30" x14ac:dyDescent="0.25">
      <c r="J39" s="133"/>
      <c r="K39" s="149"/>
      <c r="M39" s="217"/>
      <c r="N39" s="218"/>
      <c r="O39" s="219"/>
      <c r="Q39" s="223" t="s">
        <v>486</v>
      </c>
      <c r="R39" s="149" t="s">
        <v>487</v>
      </c>
      <c r="S39" s="153" t="str">
        <f>CONCATENATE(تقویم!$A$2,EventsTable[[#This Row],[روز و ماه]])</f>
        <v>14000230</v>
      </c>
      <c r="X39" s="215" t="s">
        <v>881</v>
      </c>
      <c r="Y39" s="149" t="s">
        <v>882</v>
      </c>
    </row>
    <row r="40" spans="10:25" x14ac:dyDescent="0.25">
      <c r="J40" s="133"/>
      <c r="K40" s="149"/>
      <c r="M40" s="217"/>
      <c r="N40" s="218"/>
      <c r="O40" s="219"/>
      <c r="Q40" s="223" t="s">
        <v>488</v>
      </c>
      <c r="R40" s="149" t="s">
        <v>489</v>
      </c>
      <c r="S40" s="153" t="str">
        <f>CONCATENATE(تقویم!$A$2,EventsTable[[#This Row],[روز و ماه]])</f>
        <v>14000231</v>
      </c>
      <c r="X40" s="215" t="s">
        <v>883</v>
      </c>
      <c r="Y40" s="149" t="s">
        <v>882</v>
      </c>
    </row>
    <row r="41" spans="10:25" x14ac:dyDescent="0.25">
      <c r="J41" s="133"/>
      <c r="K41" s="149"/>
      <c r="M41" s="217"/>
      <c r="N41" s="218"/>
      <c r="O41" s="219"/>
      <c r="Q41" s="223" t="s">
        <v>490</v>
      </c>
      <c r="R41" s="149" t="s">
        <v>491</v>
      </c>
      <c r="S41" s="153" t="str">
        <f>CONCATENATE(تقویم!$A$2,EventsTable[[#This Row],[روز و ماه]])</f>
        <v>14000301</v>
      </c>
      <c r="X41" s="215" t="s">
        <v>884</v>
      </c>
      <c r="Y41" s="149" t="s">
        <v>711</v>
      </c>
    </row>
    <row r="42" spans="10:25" ht="30" x14ac:dyDescent="0.25">
      <c r="M42" s="217"/>
      <c r="N42" s="218"/>
      <c r="O42" s="219"/>
      <c r="Q42" s="223" t="s">
        <v>492</v>
      </c>
      <c r="R42" s="149" t="s">
        <v>491</v>
      </c>
      <c r="S42" s="153" t="str">
        <f>CONCATENATE(تقویم!$A$2,EventsTable[[#This Row],[روز و ماه]])</f>
        <v>14000301</v>
      </c>
      <c r="X42" s="215" t="s">
        <v>885</v>
      </c>
      <c r="Y42" s="149" t="s">
        <v>713</v>
      </c>
    </row>
    <row r="43" spans="10:25" ht="45" x14ac:dyDescent="0.25">
      <c r="M43" s="217"/>
      <c r="N43" s="218"/>
      <c r="O43" s="219"/>
      <c r="Q43" s="223" t="s">
        <v>493</v>
      </c>
      <c r="R43" s="149" t="s">
        <v>494</v>
      </c>
      <c r="S43" s="153" t="str">
        <f>CONCATENATE(تقویم!$A$2,EventsTable[[#This Row],[روز و ماه]])</f>
        <v>14000303</v>
      </c>
      <c r="X43" s="215" t="s">
        <v>884</v>
      </c>
      <c r="Y43" s="149" t="s">
        <v>715</v>
      </c>
    </row>
    <row r="44" spans="10:25" x14ac:dyDescent="0.25">
      <c r="M44" s="217"/>
      <c r="N44" s="218"/>
      <c r="O44" s="219"/>
      <c r="Q44" s="223" t="s">
        <v>833</v>
      </c>
      <c r="R44" s="149" t="s">
        <v>495</v>
      </c>
      <c r="S44" s="153" t="str">
        <f>CONCATENATE(تقویم!$A$2,EventsTable[[#This Row],[روز و ماه]])</f>
        <v>14000304</v>
      </c>
      <c r="X44" s="215" t="s">
        <v>884</v>
      </c>
      <c r="Y44" s="149" t="s">
        <v>886</v>
      </c>
    </row>
    <row r="45" spans="10:25" ht="30" x14ac:dyDescent="0.25">
      <c r="M45" s="217"/>
      <c r="N45" s="218"/>
      <c r="O45" s="219"/>
      <c r="Q45" s="223" t="s">
        <v>496</v>
      </c>
      <c r="R45" s="149" t="s">
        <v>495</v>
      </c>
      <c r="S45" s="153" t="str">
        <f>CONCATENATE(تقویم!$A$2,EventsTable[[#This Row],[روز و ماه]])</f>
        <v>14000304</v>
      </c>
      <c r="X45" s="215" t="s">
        <v>887</v>
      </c>
      <c r="Y45" s="149" t="s">
        <v>888</v>
      </c>
    </row>
    <row r="46" spans="10:25" ht="30" x14ac:dyDescent="0.25">
      <c r="M46" s="217"/>
      <c r="N46" s="218"/>
      <c r="O46" s="219"/>
      <c r="Q46" s="223" t="s">
        <v>497</v>
      </c>
      <c r="R46" s="149" t="s">
        <v>498</v>
      </c>
      <c r="S46" s="153" t="str">
        <f>CONCATENATE(تقویم!$A$2,EventsTable[[#This Row],[روز و ماه]])</f>
        <v>14000305</v>
      </c>
      <c r="X46" s="215" t="s">
        <v>889</v>
      </c>
      <c r="Y46" s="149" t="s">
        <v>742</v>
      </c>
    </row>
    <row r="47" spans="10:25" ht="30" x14ac:dyDescent="0.25">
      <c r="M47" s="217"/>
      <c r="N47" s="218"/>
      <c r="O47" s="219"/>
      <c r="Q47" s="223" t="s">
        <v>499</v>
      </c>
      <c r="R47" s="149" t="s">
        <v>500</v>
      </c>
      <c r="S47" s="153" t="str">
        <f>CONCATENATE(تقویم!$A$2,EventsTable[[#This Row],[روز و ماه]])</f>
        <v>14000307</v>
      </c>
      <c r="X47" s="215" t="s">
        <v>890</v>
      </c>
      <c r="Y47" s="149" t="s">
        <v>891</v>
      </c>
    </row>
    <row r="48" spans="10:25" ht="30" x14ac:dyDescent="0.25">
      <c r="M48" s="217"/>
      <c r="N48" s="218"/>
      <c r="O48" s="219"/>
      <c r="Q48" s="223" t="s">
        <v>501</v>
      </c>
      <c r="R48" s="149" t="s">
        <v>426</v>
      </c>
      <c r="S48" s="153" t="str">
        <f>CONCATENATE(تقویم!$A$2,EventsTable[[#This Row],[روز و ماه]])</f>
        <v>14000314</v>
      </c>
      <c r="X48" s="215" t="s">
        <v>892</v>
      </c>
      <c r="Y48" s="149" t="s">
        <v>893</v>
      </c>
    </row>
    <row r="49" spans="13:25" ht="45" x14ac:dyDescent="0.25">
      <c r="M49" s="217"/>
      <c r="N49" s="218"/>
      <c r="O49" s="219"/>
      <c r="Q49" s="223" t="s">
        <v>502</v>
      </c>
      <c r="R49" s="149" t="s">
        <v>503</v>
      </c>
      <c r="S49" s="153" t="str">
        <f>CONCATENATE(تقویم!$A$2,EventsTable[[#This Row],[روز و ماه]])</f>
        <v>14000315</v>
      </c>
      <c r="X49" s="215" t="s">
        <v>894</v>
      </c>
      <c r="Y49" s="149" t="s">
        <v>895</v>
      </c>
    </row>
    <row r="50" spans="13:25" ht="30" x14ac:dyDescent="0.25">
      <c r="M50" s="217"/>
      <c r="N50" s="218"/>
      <c r="O50" s="219"/>
      <c r="Q50" s="223" t="s">
        <v>504</v>
      </c>
      <c r="R50" s="149" t="s">
        <v>505</v>
      </c>
      <c r="S50" s="153" t="str">
        <f>CONCATENATE(تقویم!$A$2,EventsTable[[#This Row],[روز و ماه]])</f>
        <v>14000320</v>
      </c>
      <c r="X50" s="215" t="s">
        <v>896</v>
      </c>
      <c r="Y50" s="149" t="s">
        <v>895</v>
      </c>
    </row>
    <row r="51" spans="13:25" ht="45" x14ac:dyDescent="0.25">
      <c r="M51" s="217"/>
      <c r="N51" s="218"/>
      <c r="O51" s="219"/>
      <c r="Q51" s="223" t="s">
        <v>506</v>
      </c>
      <c r="R51" s="149" t="s">
        <v>505</v>
      </c>
      <c r="S51" s="153" t="str">
        <f>CONCATENATE(تقویم!$A$2,EventsTable[[#This Row],[روز و ماه]])</f>
        <v>14000320</v>
      </c>
      <c r="X51" s="215" t="s">
        <v>897</v>
      </c>
      <c r="Y51" s="149" t="s">
        <v>757</v>
      </c>
    </row>
    <row r="52" spans="13:25" ht="45" x14ac:dyDescent="0.25">
      <c r="M52" s="217"/>
      <c r="N52" s="218"/>
      <c r="O52" s="219"/>
      <c r="Q52" s="223" t="s">
        <v>507</v>
      </c>
      <c r="R52" s="149" t="s">
        <v>508</v>
      </c>
      <c r="S52" s="153" t="str">
        <f>CONCATENATE(تقویم!$A$2,EventsTable[[#This Row],[روز و ماه]])</f>
        <v>14000326</v>
      </c>
      <c r="X52" s="215" t="s">
        <v>898</v>
      </c>
      <c r="Y52" s="149" t="s">
        <v>899</v>
      </c>
    </row>
    <row r="53" spans="13:25" ht="45" x14ac:dyDescent="0.25">
      <c r="M53" s="217"/>
      <c r="N53" s="218"/>
      <c r="O53" s="219"/>
      <c r="Q53" s="223" t="s">
        <v>509</v>
      </c>
      <c r="R53" s="149" t="s">
        <v>510</v>
      </c>
      <c r="S53" s="153" t="str">
        <f>CONCATENATE(تقویم!$A$2,EventsTable[[#This Row],[روز و ماه]])</f>
        <v>14000327</v>
      </c>
      <c r="X53" s="215" t="s">
        <v>900</v>
      </c>
      <c r="Y53" s="149" t="s">
        <v>769</v>
      </c>
    </row>
    <row r="54" spans="13:25" ht="30" x14ac:dyDescent="0.25">
      <c r="M54" s="217"/>
      <c r="N54" s="218"/>
      <c r="O54" s="219"/>
      <c r="Q54" s="223" t="s">
        <v>511</v>
      </c>
      <c r="R54" s="149" t="s">
        <v>512</v>
      </c>
      <c r="S54" s="153" t="str">
        <f>CONCATENATE(تقویم!$A$2,EventsTable[[#This Row],[روز و ماه]])</f>
        <v>14000329</v>
      </c>
      <c r="X54" s="215" t="s">
        <v>901</v>
      </c>
      <c r="Y54" s="149" t="s">
        <v>902</v>
      </c>
    </row>
    <row r="55" spans="13:25" ht="45" x14ac:dyDescent="0.25">
      <c r="M55" s="217"/>
      <c r="N55" s="218"/>
      <c r="O55" s="219"/>
      <c r="Q55" s="223" t="s">
        <v>513</v>
      </c>
      <c r="R55" s="149" t="s">
        <v>514</v>
      </c>
      <c r="S55" s="153" t="str">
        <f>CONCATENATE(تقویم!$A$2,EventsTable[[#This Row],[روز و ماه]])</f>
        <v>14000330</v>
      </c>
      <c r="X55" s="215" t="s">
        <v>903</v>
      </c>
      <c r="Y55" s="149" t="s">
        <v>904</v>
      </c>
    </row>
    <row r="56" spans="13:25" ht="30" x14ac:dyDescent="0.25">
      <c r="M56" s="217"/>
      <c r="N56" s="218"/>
      <c r="O56" s="219"/>
      <c r="Q56" s="223" t="s">
        <v>515</v>
      </c>
      <c r="R56" s="149" t="s">
        <v>516</v>
      </c>
      <c r="S56" s="153" t="str">
        <f>CONCATENATE(تقویم!$A$2,EventsTable[[#This Row],[روز و ماه]])</f>
        <v>14000331</v>
      </c>
      <c r="X56" s="215" t="s">
        <v>905</v>
      </c>
      <c r="Y56" s="149" t="s">
        <v>904</v>
      </c>
    </row>
    <row r="57" spans="13:25" ht="45" x14ac:dyDescent="0.25">
      <c r="M57" s="217"/>
      <c r="N57" s="218"/>
      <c r="O57" s="219"/>
      <c r="Q57" s="223" t="s">
        <v>517</v>
      </c>
      <c r="R57" s="149" t="s">
        <v>516</v>
      </c>
      <c r="S57" s="153" t="str">
        <f>CONCATENATE(تقویم!$A$2,EventsTable[[#This Row],[روز و ماه]])</f>
        <v>14000331</v>
      </c>
      <c r="X57" s="215" t="s">
        <v>906</v>
      </c>
      <c r="Y57" s="149" t="s">
        <v>907</v>
      </c>
    </row>
    <row r="58" spans="13:25" ht="60" x14ac:dyDescent="0.25">
      <c r="M58" s="217"/>
      <c r="N58" s="218"/>
      <c r="O58" s="219"/>
      <c r="Q58" s="223" t="s">
        <v>518</v>
      </c>
      <c r="R58" s="149" t="s">
        <v>519</v>
      </c>
      <c r="S58" s="153" t="str">
        <f>CONCATENATE(تقویم!$A$2,EventsTable[[#This Row],[روز و ماه]])</f>
        <v>14000401</v>
      </c>
      <c r="X58" s="215" t="s">
        <v>908</v>
      </c>
      <c r="Y58" s="149" t="s">
        <v>909</v>
      </c>
    </row>
    <row r="59" spans="13:25" x14ac:dyDescent="0.25">
      <c r="M59" s="217"/>
      <c r="N59" s="218"/>
      <c r="O59" s="219"/>
      <c r="Q59" s="223" t="s">
        <v>520</v>
      </c>
      <c r="R59" s="149" t="s">
        <v>519</v>
      </c>
      <c r="S59" s="153" t="str">
        <f>CONCATENATE(تقویم!$A$2,EventsTable[[#This Row],[روز و ماه]])</f>
        <v>14000401</v>
      </c>
      <c r="X59" s="215" t="s">
        <v>910</v>
      </c>
      <c r="Y59" s="149" t="s">
        <v>780</v>
      </c>
    </row>
    <row r="60" spans="13:25" ht="60" x14ac:dyDescent="0.25">
      <c r="M60" s="217"/>
      <c r="N60" s="218"/>
      <c r="O60" s="219"/>
      <c r="Q60" s="223" t="s">
        <v>521</v>
      </c>
      <c r="R60" s="149" t="s">
        <v>522</v>
      </c>
      <c r="S60" s="153" t="str">
        <f>CONCATENATE(تقویم!$A$2,EventsTable[[#This Row],[روز و ماه]])</f>
        <v>14000407</v>
      </c>
      <c r="X60" s="215" t="s">
        <v>911</v>
      </c>
      <c r="Y60" s="149" t="s">
        <v>785</v>
      </c>
    </row>
    <row r="61" spans="13:25" ht="30" x14ac:dyDescent="0.25">
      <c r="M61" s="217"/>
      <c r="N61" s="218"/>
      <c r="O61" s="219"/>
      <c r="Q61" s="223" t="s">
        <v>523</v>
      </c>
      <c r="R61" s="149" t="s">
        <v>522</v>
      </c>
      <c r="S61" s="153" t="str">
        <f>CONCATENATE(تقویم!$A$2,EventsTable[[#This Row],[روز و ماه]])</f>
        <v>14000407</v>
      </c>
      <c r="X61" s="215" t="s">
        <v>912</v>
      </c>
      <c r="Y61" s="149" t="s">
        <v>790</v>
      </c>
    </row>
    <row r="62" spans="13:25" ht="30" x14ac:dyDescent="0.25">
      <c r="M62" s="217"/>
      <c r="N62" s="218"/>
      <c r="O62" s="219"/>
      <c r="Q62" s="223" t="s">
        <v>524</v>
      </c>
      <c r="R62" s="149" t="s">
        <v>522</v>
      </c>
      <c r="S62" s="153" t="str">
        <f>CONCATENATE(تقویم!$A$2,EventsTable[[#This Row],[روز و ماه]])</f>
        <v>14000407</v>
      </c>
      <c r="X62" s="215" t="s">
        <v>913</v>
      </c>
      <c r="Y62" s="149" t="s">
        <v>914</v>
      </c>
    </row>
    <row r="63" spans="13:25" ht="30" x14ac:dyDescent="0.25">
      <c r="M63" s="217"/>
      <c r="N63" s="218"/>
      <c r="O63" s="219"/>
      <c r="Q63" s="223" t="s">
        <v>525</v>
      </c>
      <c r="R63" s="149" t="s">
        <v>526</v>
      </c>
      <c r="S63" s="153" t="str">
        <f>CONCATENATE(تقویم!$A$2,EventsTable[[#This Row],[روز و ماه]])</f>
        <v>14000408</v>
      </c>
      <c r="X63" s="215" t="s">
        <v>915</v>
      </c>
      <c r="Y63" s="149" t="s">
        <v>796</v>
      </c>
    </row>
    <row r="64" spans="13:25" x14ac:dyDescent="0.25">
      <c r="M64" s="217"/>
      <c r="N64" s="218"/>
      <c r="O64" s="219"/>
      <c r="Q64" s="223" t="s">
        <v>527</v>
      </c>
      <c r="R64" s="149" t="s">
        <v>528</v>
      </c>
      <c r="S64" s="153" t="str">
        <f>CONCATENATE(تقویم!$A$2,EventsTable[[#This Row],[روز و ماه]])</f>
        <v>14000410</v>
      </c>
    </row>
    <row r="65" spans="13:19" x14ac:dyDescent="0.25">
      <c r="M65" s="217"/>
      <c r="N65" s="218"/>
      <c r="O65" s="219"/>
      <c r="Q65" s="223" t="s">
        <v>529</v>
      </c>
      <c r="R65" s="149" t="s">
        <v>528</v>
      </c>
      <c r="S65" s="153" t="str">
        <f>CONCATENATE(تقویم!$A$2,EventsTable[[#This Row],[روز و ماه]])</f>
        <v>14000410</v>
      </c>
    </row>
    <row r="66" spans="13:19" x14ac:dyDescent="0.25">
      <c r="M66" s="217"/>
      <c r="N66" s="218"/>
      <c r="O66" s="219"/>
      <c r="Q66" s="223" t="s">
        <v>530</v>
      </c>
      <c r="R66" s="149" t="s">
        <v>528</v>
      </c>
      <c r="S66" s="153" t="str">
        <f>CONCATENATE(تقویم!$A$2,EventsTable[[#This Row],[روز و ماه]])</f>
        <v>14000410</v>
      </c>
    </row>
    <row r="67" spans="13:19" ht="45" x14ac:dyDescent="0.25">
      <c r="M67" s="217"/>
      <c r="N67" s="218"/>
      <c r="O67" s="219"/>
      <c r="Q67" s="223" t="s">
        <v>531</v>
      </c>
      <c r="R67" s="149" t="s">
        <v>532</v>
      </c>
      <c r="S67" s="153" t="str">
        <f>CONCATENATE(تقویم!$A$2,EventsTable[[#This Row],[روز و ماه]])</f>
        <v>14000411</v>
      </c>
    </row>
    <row r="68" spans="13:19" ht="45" x14ac:dyDescent="0.25">
      <c r="M68" s="217"/>
      <c r="N68" s="218"/>
      <c r="O68" s="219"/>
      <c r="Q68" s="223" t="s">
        <v>533</v>
      </c>
      <c r="R68" s="149" t="s">
        <v>534</v>
      </c>
      <c r="S68" s="153" t="str">
        <f>CONCATENATE(تقویم!$A$2,EventsTable[[#This Row],[روز و ماه]])</f>
        <v>14000412</v>
      </c>
    </row>
    <row r="69" spans="13:19" x14ac:dyDescent="0.25">
      <c r="M69" s="217"/>
      <c r="N69" s="218"/>
      <c r="O69" s="219"/>
      <c r="Q69" s="223" t="s">
        <v>535</v>
      </c>
      <c r="R69" s="149" t="s">
        <v>534</v>
      </c>
      <c r="S69" s="153" t="str">
        <f>CONCATENATE(تقویم!$A$2,EventsTable[[#This Row],[روز و ماه]])</f>
        <v>14000412</v>
      </c>
    </row>
    <row r="70" spans="13:19" ht="30" x14ac:dyDescent="0.25">
      <c r="M70" s="217"/>
      <c r="N70" s="218"/>
      <c r="O70" s="219"/>
      <c r="Q70" s="223" t="s">
        <v>536</v>
      </c>
      <c r="R70" s="149" t="s">
        <v>534</v>
      </c>
      <c r="S70" s="153" t="str">
        <f>CONCATENATE(تقویم!$A$2,EventsTable[[#This Row],[روز و ماه]])</f>
        <v>14000412</v>
      </c>
    </row>
    <row r="71" spans="13:19" x14ac:dyDescent="0.25">
      <c r="M71" s="217"/>
      <c r="N71" s="218"/>
      <c r="O71" s="219"/>
      <c r="Q71" s="223" t="s">
        <v>954</v>
      </c>
      <c r="R71" s="149" t="s">
        <v>538</v>
      </c>
      <c r="S71" s="153" t="str">
        <f>CONCATENATE(تقویم!$A$2,EventsTable[[#This Row],[روز و ماه]])</f>
        <v>14000414</v>
      </c>
    </row>
    <row r="72" spans="13:19" x14ac:dyDescent="0.25">
      <c r="M72" s="217"/>
      <c r="N72" s="218"/>
      <c r="O72" s="219"/>
      <c r="Q72" s="223" t="s">
        <v>537</v>
      </c>
      <c r="R72" s="149" t="s">
        <v>538</v>
      </c>
      <c r="S72" s="153" t="str">
        <f>CONCATENATE(تقویم!$A$2,EventsTable[[#This Row],[روز و ماه]])</f>
        <v>14000414</v>
      </c>
    </row>
    <row r="73" spans="13:19" x14ac:dyDescent="0.25">
      <c r="M73" s="217"/>
      <c r="N73" s="218"/>
      <c r="O73" s="219"/>
      <c r="Q73" s="223" t="s">
        <v>539</v>
      </c>
      <c r="R73" s="149" t="s">
        <v>540</v>
      </c>
      <c r="S73" s="153" t="str">
        <f>CONCATENATE(تقویم!$A$2,EventsTable[[#This Row],[روز و ماه]])</f>
        <v>14000416</v>
      </c>
    </row>
    <row r="74" spans="13:19" x14ac:dyDescent="0.25">
      <c r="M74" s="217"/>
      <c r="N74" s="218"/>
      <c r="O74" s="219"/>
      <c r="Q74" s="223" t="s">
        <v>541</v>
      </c>
      <c r="R74" s="149" t="s">
        <v>542</v>
      </c>
      <c r="S74" s="153" t="str">
        <f>CONCATENATE(تقویم!$A$2,EventsTable[[#This Row],[روز و ماه]])</f>
        <v>14000418</v>
      </c>
    </row>
    <row r="75" spans="13:19" ht="45" x14ac:dyDescent="0.25">
      <c r="M75" s="217"/>
      <c r="N75" s="218"/>
      <c r="O75" s="219"/>
      <c r="Q75" s="223" t="s">
        <v>543</v>
      </c>
      <c r="R75" s="149" t="s">
        <v>542</v>
      </c>
      <c r="S75" s="153" t="str">
        <f>CONCATENATE(تقویم!$A$2,EventsTable[[#This Row],[روز و ماه]])</f>
        <v>14000418</v>
      </c>
    </row>
    <row r="76" spans="13:19" x14ac:dyDescent="0.25">
      <c r="M76" s="217"/>
      <c r="N76" s="218"/>
      <c r="O76" s="219"/>
      <c r="Q76" s="223" t="s">
        <v>544</v>
      </c>
      <c r="R76" s="149" t="s">
        <v>545</v>
      </c>
      <c r="S76" s="153" t="str">
        <f>CONCATENATE(تقویم!$A$2,EventsTable[[#This Row],[روز و ماه]])</f>
        <v>14000421</v>
      </c>
    </row>
    <row r="77" spans="13:19" ht="30" x14ac:dyDescent="0.25">
      <c r="M77" s="217"/>
      <c r="N77" s="218"/>
      <c r="O77" s="219"/>
      <c r="Q77" s="223" t="s">
        <v>546</v>
      </c>
      <c r="R77" s="149" t="s">
        <v>545</v>
      </c>
      <c r="S77" s="153" t="str">
        <f>CONCATENATE(تقویم!$A$2,EventsTable[[#This Row],[روز و ماه]])</f>
        <v>14000421</v>
      </c>
    </row>
    <row r="78" spans="13:19" ht="30" x14ac:dyDescent="0.25">
      <c r="M78" s="217"/>
      <c r="N78" s="218"/>
      <c r="O78" s="219"/>
      <c r="Q78" s="223" t="s">
        <v>547</v>
      </c>
      <c r="R78" s="149" t="s">
        <v>548</v>
      </c>
      <c r="S78" s="153" t="str">
        <f>CONCATENATE(تقویم!$A$2,EventsTable[[#This Row],[روز و ماه]])</f>
        <v>14000423</v>
      </c>
    </row>
    <row r="79" spans="13:19" ht="30" x14ac:dyDescent="0.25">
      <c r="M79" s="217"/>
      <c r="N79" s="218"/>
      <c r="O79" s="219"/>
      <c r="Q79" s="223" t="s">
        <v>549</v>
      </c>
      <c r="R79" s="149" t="s">
        <v>548</v>
      </c>
      <c r="S79" s="153" t="str">
        <f>CONCATENATE(تقویم!$A$2,EventsTable[[#This Row],[روز و ماه]])</f>
        <v>14000423</v>
      </c>
    </row>
    <row r="80" spans="13:19" x14ac:dyDescent="0.25">
      <c r="M80" s="217"/>
      <c r="N80" s="218"/>
      <c r="O80" s="219"/>
      <c r="Q80" s="223" t="s">
        <v>550</v>
      </c>
      <c r="R80" s="149" t="s">
        <v>551</v>
      </c>
      <c r="S80" s="153" t="str">
        <f>CONCATENATE(تقویم!$A$2,EventsTable[[#This Row],[روز و ماه]])</f>
        <v>14000425</v>
      </c>
    </row>
    <row r="81" spans="13:19" ht="30" x14ac:dyDescent="0.25">
      <c r="M81" s="217"/>
      <c r="N81" s="218"/>
      <c r="O81" s="219"/>
      <c r="Q81" s="223" t="s">
        <v>552</v>
      </c>
      <c r="R81" s="149" t="s">
        <v>553</v>
      </c>
      <c r="S81" s="153" t="str">
        <f>CONCATENATE(تقویم!$A$2,EventsTable[[#This Row],[روز و ماه]])</f>
        <v>14000426</v>
      </c>
    </row>
    <row r="82" spans="13:19" ht="30" x14ac:dyDescent="0.25">
      <c r="M82" s="217"/>
      <c r="N82" s="218"/>
      <c r="O82" s="219"/>
      <c r="Q82" s="223" t="s">
        <v>554</v>
      </c>
      <c r="R82" s="149" t="s">
        <v>555</v>
      </c>
      <c r="S82" s="153" t="str">
        <f>CONCATENATE(تقویم!$A$2,EventsTable[[#This Row],[روز و ماه]])</f>
        <v>14000427</v>
      </c>
    </row>
    <row r="83" spans="13:19" ht="30" x14ac:dyDescent="0.25">
      <c r="M83" s="217"/>
      <c r="N83" s="218"/>
      <c r="O83" s="219"/>
      <c r="Q83" s="223" t="s">
        <v>556</v>
      </c>
      <c r="R83" s="149" t="s">
        <v>557</v>
      </c>
      <c r="S83" s="153" t="str">
        <f>CONCATENATE(تقویم!$A$2,EventsTable[[#This Row],[روز و ماه]])</f>
        <v>14000730</v>
      </c>
    </row>
    <row r="84" spans="13:19" x14ac:dyDescent="0.25">
      <c r="M84" s="217"/>
      <c r="N84" s="218"/>
      <c r="O84" s="219"/>
      <c r="Q84" s="223" t="s">
        <v>558</v>
      </c>
      <c r="R84" s="149" t="s">
        <v>559</v>
      </c>
      <c r="S84" s="153" t="str">
        <f>CONCATENATE(تقویم!$A$2,EventsTable[[#This Row],[روز و ماه]])</f>
        <v>14000504</v>
      </c>
    </row>
    <row r="85" spans="13:19" ht="30" x14ac:dyDescent="0.25">
      <c r="M85" s="217"/>
      <c r="N85" s="218"/>
      <c r="O85" s="219"/>
      <c r="Q85" s="223" t="s">
        <v>560</v>
      </c>
      <c r="R85" s="149" t="s">
        <v>561</v>
      </c>
      <c r="S85" s="153" t="str">
        <f>CONCATENATE(تقویم!$A$2,EventsTable[[#This Row],[روز و ماه]])</f>
        <v>14000505</v>
      </c>
    </row>
    <row r="86" spans="13:19" ht="30" x14ac:dyDescent="0.25">
      <c r="M86" s="217"/>
      <c r="N86" s="218"/>
      <c r="O86" s="219"/>
      <c r="Q86" s="223" t="s">
        <v>562</v>
      </c>
      <c r="R86" s="149" t="s">
        <v>563</v>
      </c>
      <c r="S86" s="153" t="str">
        <f>CONCATENATE(تقویم!$A$2,EventsTable[[#This Row],[روز و ماه]])</f>
        <v>14000506</v>
      </c>
    </row>
    <row r="87" spans="13:19" ht="30" x14ac:dyDescent="0.25">
      <c r="M87" s="217"/>
      <c r="N87" s="218"/>
      <c r="O87" s="219"/>
      <c r="Q87" s="223" t="s">
        <v>564</v>
      </c>
      <c r="R87" s="149" t="s">
        <v>565</v>
      </c>
      <c r="S87" s="153" t="str">
        <f>CONCATENATE(تقویم!$A$2,EventsTable[[#This Row],[روز و ماه]])</f>
        <v>14000508</v>
      </c>
    </row>
    <row r="88" spans="13:19" x14ac:dyDescent="0.25">
      <c r="M88" s="217"/>
      <c r="N88" s="218"/>
      <c r="O88" s="219"/>
      <c r="Q88" s="223" t="s">
        <v>566</v>
      </c>
      <c r="R88" s="149" t="s">
        <v>567</v>
      </c>
      <c r="S88" s="153" t="str">
        <f>CONCATENATE(تقویم!$A$2,EventsTable[[#This Row],[روز و ماه]])</f>
        <v>14000509</v>
      </c>
    </row>
    <row r="89" spans="13:19" ht="30" x14ac:dyDescent="0.25">
      <c r="M89" s="217"/>
      <c r="N89" s="218"/>
      <c r="O89" s="219"/>
      <c r="Q89" s="223" t="s">
        <v>568</v>
      </c>
      <c r="R89" s="149" t="s">
        <v>569</v>
      </c>
      <c r="S89" s="153" t="str">
        <f>CONCATENATE(تقویم!$A$2,EventsTable[[#This Row],[روز و ماه]])</f>
        <v>14000511</v>
      </c>
    </row>
    <row r="90" spans="13:19" ht="30" x14ac:dyDescent="0.25">
      <c r="M90" s="217"/>
      <c r="N90" s="218"/>
      <c r="O90" s="219"/>
      <c r="Q90" s="223" t="s">
        <v>834</v>
      </c>
      <c r="R90" s="149" t="s">
        <v>570</v>
      </c>
      <c r="S90" s="153" t="str">
        <f>CONCATENATE(تقویم!$A$2,EventsTable[[#This Row],[روز و ماه]])</f>
        <v>14000514</v>
      </c>
    </row>
    <row r="91" spans="13:19" x14ac:dyDescent="0.25">
      <c r="M91" s="217"/>
      <c r="N91" s="218"/>
      <c r="O91" s="219"/>
      <c r="Q91" s="223" t="s">
        <v>571</v>
      </c>
      <c r="R91" s="149" t="s">
        <v>570</v>
      </c>
      <c r="S91" s="153" t="str">
        <f>CONCATENATE(تقویم!$A$2,EventsTable[[#This Row],[روز و ماه]])</f>
        <v>14000514</v>
      </c>
    </row>
    <row r="92" spans="13:19" ht="45" x14ac:dyDescent="0.25">
      <c r="M92" s="217"/>
      <c r="N92" s="218"/>
      <c r="O92" s="219"/>
      <c r="Q92" s="223" t="s">
        <v>572</v>
      </c>
      <c r="R92" s="149" t="s">
        <v>573</v>
      </c>
      <c r="S92" s="153" t="str">
        <f>CONCATENATE(تقویم!$A$2,EventsTable[[#This Row],[روز و ماه]])</f>
        <v>14000515</v>
      </c>
    </row>
    <row r="93" spans="13:19" ht="30" x14ac:dyDescent="0.25">
      <c r="M93" s="217"/>
      <c r="N93" s="218"/>
      <c r="O93" s="219"/>
      <c r="Q93" s="223" t="s">
        <v>574</v>
      </c>
      <c r="R93" s="149" t="s">
        <v>573</v>
      </c>
      <c r="S93" s="153" t="str">
        <f>CONCATENATE(تقویم!$A$2,EventsTable[[#This Row],[روز و ماه]])</f>
        <v>14000515</v>
      </c>
    </row>
    <row r="94" spans="13:19" x14ac:dyDescent="0.25">
      <c r="M94" s="217"/>
      <c r="N94" s="218"/>
      <c r="O94" s="219"/>
      <c r="Q94" s="223" t="s">
        <v>575</v>
      </c>
      <c r="R94" s="149" t="s">
        <v>576</v>
      </c>
      <c r="S94" s="153" t="str">
        <f>CONCATENATE(تقویم!$A$2,EventsTable[[#This Row],[روز و ماه]])</f>
        <v>14000516</v>
      </c>
    </row>
    <row r="95" spans="13:19" x14ac:dyDescent="0.25">
      <c r="M95" s="217"/>
      <c r="N95" s="218"/>
      <c r="O95" s="219"/>
      <c r="Q95" s="223" t="s">
        <v>577</v>
      </c>
      <c r="R95" s="149" t="s">
        <v>578</v>
      </c>
      <c r="S95" s="153" t="str">
        <f>CONCATENATE(تقویم!$A$2,EventsTable[[#This Row],[روز و ماه]])</f>
        <v>14000517</v>
      </c>
    </row>
    <row r="96" spans="13:19" x14ac:dyDescent="0.25">
      <c r="M96" s="217"/>
      <c r="N96" s="218"/>
      <c r="O96" s="219"/>
      <c r="Q96" s="223" t="s">
        <v>579</v>
      </c>
      <c r="R96" s="149" t="s">
        <v>580</v>
      </c>
      <c r="S96" s="153" t="str">
        <f>CONCATENATE(تقویم!$A$2,EventsTable[[#This Row],[روز و ماه]])</f>
        <v>14000518</v>
      </c>
    </row>
    <row r="97" spans="13:19" x14ac:dyDescent="0.25">
      <c r="M97" s="217"/>
      <c r="N97" s="218"/>
      <c r="O97" s="219"/>
      <c r="Q97" s="223" t="s">
        <v>581</v>
      </c>
      <c r="R97" s="149" t="s">
        <v>582</v>
      </c>
      <c r="S97" s="153" t="str">
        <f>CONCATENATE(تقویم!$A$2,EventsTable[[#This Row],[روز و ماه]])</f>
        <v>14000521</v>
      </c>
    </row>
    <row r="98" spans="13:19" x14ac:dyDescent="0.25">
      <c r="M98" s="217"/>
      <c r="N98" s="218"/>
      <c r="O98" s="219"/>
      <c r="Q98" s="223" t="s">
        <v>583</v>
      </c>
      <c r="R98" s="149" t="s">
        <v>584</v>
      </c>
      <c r="S98" s="153" t="str">
        <f>CONCATENATE(تقویم!$A$2,EventsTable[[#This Row],[روز و ماه]])</f>
        <v>14000522</v>
      </c>
    </row>
    <row r="99" spans="13:19" x14ac:dyDescent="0.25">
      <c r="M99" s="217"/>
      <c r="N99" s="218"/>
      <c r="O99" s="219"/>
      <c r="Q99" s="223" t="s">
        <v>585</v>
      </c>
      <c r="R99" s="149" t="s">
        <v>586</v>
      </c>
      <c r="S99" s="153" t="str">
        <f>CONCATENATE(تقویم!$A$2,EventsTable[[#This Row],[روز و ماه]])</f>
        <v>14000523</v>
      </c>
    </row>
    <row r="100" spans="13:19" ht="30" x14ac:dyDescent="0.25">
      <c r="M100" s="217"/>
      <c r="N100" s="218"/>
      <c r="O100" s="219"/>
      <c r="Q100" s="223" t="s">
        <v>587</v>
      </c>
      <c r="R100" s="149" t="s">
        <v>588</v>
      </c>
      <c r="S100" s="153" t="str">
        <f>CONCATENATE(تقویم!$A$2,EventsTable[[#This Row],[روز و ماه]])</f>
        <v>14000526</v>
      </c>
    </row>
    <row r="101" spans="13:19" ht="30" x14ac:dyDescent="0.25">
      <c r="M101" s="217"/>
      <c r="N101" s="218"/>
      <c r="O101" s="219"/>
      <c r="Q101" s="223" t="s">
        <v>589</v>
      </c>
      <c r="R101" s="149" t="s">
        <v>590</v>
      </c>
      <c r="S101" s="153" t="str">
        <f>CONCATENATE(تقویم!$A$2,EventsTable[[#This Row],[روز و ماه]])</f>
        <v>14000528</v>
      </c>
    </row>
    <row r="102" spans="13:19" ht="45" x14ac:dyDescent="0.25">
      <c r="M102" s="217"/>
      <c r="N102" s="218"/>
      <c r="O102" s="219"/>
      <c r="Q102" s="223" t="s">
        <v>591</v>
      </c>
      <c r="R102" s="149" t="s">
        <v>590</v>
      </c>
      <c r="S102" s="153" t="str">
        <f>CONCATENATE(تقویم!$A$2,EventsTable[[#This Row],[روز و ماه]])</f>
        <v>14000528</v>
      </c>
    </row>
    <row r="103" spans="13:19" x14ac:dyDescent="0.25">
      <c r="M103" s="217"/>
      <c r="N103" s="218"/>
      <c r="O103" s="219"/>
      <c r="Q103" s="223" t="s">
        <v>592</v>
      </c>
      <c r="R103" s="149" t="s">
        <v>593</v>
      </c>
      <c r="S103" s="153" t="str">
        <f>CONCATENATE(تقویم!$A$2,EventsTable[[#This Row],[روز و ماه]])</f>
        <v>14000530</v>
      </c>
    </row>
    <row r="104" spans="13:19" x14ac:dyDescent="0.25">
      <c r="M104" s="217"/>
      <c r="N104" s="218"/>
      <c r="O104" s="219"/>
      <c r="Q104" s="223" t="s">
        <v>594</v>
      </c>
      <c r="R104" s="149" t="s">
        <v>595</v>
      </c>
      <c r="S104" s="153" t="str">
        <f>CONCATENATE(تقویم!$A$2,EventsTable[[#This Row],[روز و ماه]])</f>
        <v>14000531</v>
      </c>
    </row>
    <row r="105" spans="13:19" x14ac:dyDescent="0.25">
      <c r="M105" s="217"/>
      <c r="N105" s="218"/>
      <c r="O105" s="219"/>
      <c r="Q105" s="223" t="s">
        <v>596</v>
      </c>
      <c r="R105" s="149" t="s">
        <v>597</v>
      </c>
      <c r="S105" s="153" t="str">
        <f>CONCATENATE(تقویم!$A$2,EventsTable[[#This Row],[روز و ماه]])</f>
        <v>14000601</v>
      </c>
    </row>
    <row r="106" spans="13:19" x14ac:dyDescent="0.25">
      <c r="M106" s="217"/>
      <c r="N106" s="218"/>
      <c r="O106" s="219"/>
      <c r="Q106" s="223" t="s">
        <v>598</v>
      </c>
      <c r="R106" s="149" t="s">
        <v>597</v>
      </c>
      <c r="S106" s="153" t="str">
        <f>CONCATENATE(تقویم!$A$2,EventsTable[[#This Row],[روز و ماه]])</f>
        <v>14000601</v>
      </c>
    </row>
    <row r="107" spans="13:19" x14ac:dyDescent="0.25">
      <c r="M107" s="217"/>
      <c r="N107" s="218"/>
      <c r="O107" s="219"/>
      <c r="Q107" s="223" t="s">
        <v>599</v>
      </c>
      <c r="R107" s="149" t="s">
        <v>600</v>
      </c>
      <c r="S107" s="153" t="str">
        <f>CONCATENATE(تقویم!$A$2,EventsTable[[#This Row],[روز و ماه]])</f>
        <v>14000602</v>
      </c>
    </row>
    <row r="108" spans="13:19" ht="30" x14ac:dyDescent="0.25">
      <c r="M108" s="217"/>
      <c r="N108" s="218"/>
      <c r="O108" s="219"/>
      <c r="Q108" s="223" t="s">
        <v>601</v>
      </c>
      <c r="R108" s="149" t="s">
        <v>600</v>
      </c>
      <c r="S108" s="153" t="str">
        <f>CONCATENATE(تقویم!$A$2,EventsTable[[#This Row],[روز و ماه]])</f>
        <v>14000602</v>
      </c>
    </row>
    <row r="109" spans="13:19" ht="30" x14ac:dyDescent="0.25">
      <c r="M109" s="217"/>
      <c r="N109" s="218"/>
      <c r="O109" s="219"/>
      <c r="Q109" s="223" t="s">
        <v>602</v>
      </c>
      <c r="R109" s="149" t="s">
        <v>603</v>
      </c>
      <c r="S109" s="153" t="str">
        <f>CONCATENATE(تقویم!$A$2,EventsTable[[#This Row],[روز و ماه]])</f>
        <v>14000603</v>
      </c>
    </row>
    <row r="110" spans="13:19" x14ac:dyDescent="0.25">
      <c r="M110" s="217"/>
      <c r="N110" s="218"/>
      <c r="O110" s="219"/>
      <c r="Q110" s="223" t="s">
        <v>604</v>
      </c>
      <c r="R110" s="149" t="s">
        <v>605</v>
      </c>
      <c r="S110" s="153" t="str">
        <f>CONCATENATE(تقویم!$A$2,EventsTable[[#This Row],[روز و ماه]])</f>
        <v>14000604</v>
      </c>
    </row>
    <row r="111" spans="13:19" x14ac:dyDescent="0.25">
      <c r="M111" s="217"/>
      <c r="N111" s="218"/>
      <c r="O111" s="219"/>
      <c r="Q111" s="223" t="s">
        <v>606</v>
      </c>
      <c r="R111" s="149" t="s">
        <v>607</v>
      </c>
      <c r="S111" s="153" t="str">
        <f>CONCATENATE(تقویم!$A$2,EventsTable[[#This Row],[روز و ماه]])</f>
        <v>14000605</v>
      </c>
    </row>
    <row r="112" spans="13:19" x14ac:dyDescent="0.25">
      <c r="M112" s="217"/>
      <c r="N112" s="218"/>
      <c r="O112" s="219"/>
      <c r="Q112" s="223" t="s">
        <v>608</v>
      </c>
      <c r="R112" s="149" t="s">
        <v>607</v>
      </c>
      <c r="S112" s="153" t="str">
        <f>CONCATENATE(تقویم!$A$2,EventsTable[[#This Row],[روز و ماه]])</f>
        <v>14000605</v>
      </c>
    </row>
    <row r="113" spans="13:19" x14ac:dyDescent="0.25">
      <c r="M113" s="217"/>
      <c r="N113" s="218"/>
      <c r="O113" s="219"/>
      <c r="Q113" s="223" t="s">
        <v>609</v>
      </c>
      <c r="R113" s="149" t="s">
        <v>607</v>
      </c>
      <c r="S113" s="153" t="str">
        <f>CONCATENATE(تقویم!$A$2,EventsTable[[#This Row],[روز و ماه]])</f>
        <v>14000605</v>
      </c>
    </row>
    <row r="114" spans="13:19" ht="60" x14ac:dyDescent="0.25">
      <c r="M114" s="217"/>
      <c r="N114" s="218"/>
      <c r="O114" s="219"/>
      <c r="Q114" s="223" t="s">
        <v>610</v>
      </c>
      <c r="R114" s="149" t="s">
        <v>611</v>
      </c>
      <c r="S114" s="153" t="str">
        <f>CONCATENATE(تقویم!$A$2,EventsTable[[#This Row],[روز و ماه]])</f>
        <v>14000608</v>
      </c>
    </row>
    <row r="115" spans="13:19" ht="45" x14ac:dyDescent="0.25">
      <c r="M115" s="217"/>
      <c r="N115" s="218"/>
      <c r="O115" s="219"/>
      <c r="Q115" s="223" t="s">
        <v>612</v>
      </c>
      <c r="R115" s="149" t="s">
        <v>613</v>
      </c>
      <c r="S115" s="153" t="str">
        <f>CONCATENATE(تقویم!$A$2,EventsTable[[#This Row],[روز و ماه]])</f>
        <v>14000610</v>
      </c>
    </row>
    <row r="116" spans="13:19" ht="45" x14ac:dyDescent="0.25">
      <c r="M116" s="217"/>
      <c r="N116" s="218"/>
      <c r="O116" s="219"/>
      <c r="Q116" s="223" t="s">
        <v>614</v>
      </c>
      <c r="R116" s="149" t="s">
        <v>613</v>
      </c>
      <c r="S116" s="153" t="str">
        <f>CONCATENATE(تقویم!$A$2,EventsTable[[#This Row],[روز و ماه]])</f>
        <v>14000610</v>
      </c>
    </row>
    <row r="117" spans="13:19" x14ac:dyDescent="0.25">
      <c r="M117" s="217"/>
      <c r="N117" s="218"/>
      <c r="O117" s="219"/>
      <c r="Q117" s="223" t="s">
        <v>615</v>
      </c>
      <c r="R117" s="149" t="s">
        <v>616</v>
      </c>
      <c r="S117" s="153" t="str">
        <f>CONCATENATE(تقویم!$A$2,EventsTable[[#This Row],[روز و ماه]])</f>
        <v>14000611</v>
      </c>
    </row>
    <row r="118" spans="13:19" ht="45" x14ac:dyDescent="0.25">
      <c r="M118" s="217"/>
      <c r="N118" s="218"/>
      <c r="O118" s="219"/>
      <c r="Q118" s="223" t="s">
        <v>617</v>
      </c>
      <c r="R118" s="149" t="s">
        <v>618</v>
      </c>
      <c r="S118" s="153" t="str">
        <f>CONCATENATE(تقویم!$A$2,EventsTable[[#This Row],[روز و ماه]])</f>
        <v>14000612</v>
      </c>
    </row>
    <row r="119" spans="13:19" x14ac:dyDescent="0.25">
      <c r="M119" s="217"/>
      <c r="N119" s="218"/>
      <c r="O119" s="219"/>
      <c r="Q119" s="223" t="s">
        <v>619</v>
      </c>
      <c r="R119" s="149" t="s">
        <v>618</v>
      </c>
      <c r="S119" s="153" t="str">
        <f>CONCATENATE(تقویم!$A$2,EventsTable[[#This Row],[روز و ماه]])</f>
        <v>14000612</v>
      </c>
    </row>
    <row r="120" spans="13:19" x14ac:dyDescent="0.25">
      <c r="M120" s="217"/>
      <c r="N120" s="218"/>
      <c r="O120" s="219"/>
      <c r="Q120" s="215" t="s">
        <v>620</v>
      </c>
      <c r="R120" s="149" t="s">
        <v>621</v>
      </c>
      <c r="S120" s="153" t="str">
        <f>CONCATENATE(تقویم!$A$2,EventsTable[[#This Row],[روز و ماه]])</f>
        <v>14000613</v>
      </c>
    </row>
    <row r="121" spans="13:19" x14ac:dyDescent="0.25">
      <c r="M121" s="217"/>
      <c r="N121" s="218"/>
      <c r="O121" s="219"/>
      <c r="Q121" s="215" t="s">
        <v>622</v>
      </c>
      <c r="R121" s="149" t="s">
        <v>621</v>
      </c>
      <c r="S121" s="153" t="str">
        <f>CONCATENATE(تقویم!$A$2,EventsTable[[#This Row],[روز و ماه]])</f>
        <v>14000613</v>
      </c>
    </row>
    <row r="122" spans="13:19" x14ac:dyDescent="0.25">
      <c r="M122" s="217"/>
      <c r="N122" s="218"/>
      <c r="O122" s="219"/>
      <c r="Q122" s="224" t="s">
        <v>955</v>
      </c>
      <c r="R122" s="149" t="s">
        <v>621</v>
      </c>
      <c r="S122" s="153" t="str">
        <f>CONCATENATE(تقویم!$A$2,EventsTable[[#This Row],[روز و ماه]])</f>
        <v>14000613</v>
      </c>
    </row>
    <row r="123" spans="13:19" ht="30" x14ac:dyDescent="0.25">
      <c r="M123" s="217"/>
      <c r="N123" s="218"/>
      <c r="O123" s="219"/>
      <c r="Q123" s="215" t="s">
        <v>623</v>
      </c>
      <c r="R123" s="149" t="s">
        <v>624</v>
      </c>
      <c r="S123" s="153" t="str">
        <f>CONCATENATE(تقویم!$A$2,EventsTable[[#This Row],[روز و ماه]])</f>
        <v>14000614</v>
      </c>
    </row>
    <row r="124" spans="13:19" ht="45" x14ac:dyDescent="0.25">
      <c r="M124" s="217"/>
      <c r="N124" s="218"/>
      <c r="O124" s="219"/>
      <c r="Q124" s="215" t="s">
        <v>625</v>
      </c>
      <c r="R124" s="149" t="s">
        <v>626</v>
      </c>
      <c r="S124" s="153" t="str">
        <f>CONCATENATE(تقویم!$A$2,EventsTable[[#This Row],[روز و ماه]])</f>
        <v>14000617</v>
      </c>
    </row>
    <row r="125" spans="13:19" ht="45" x14ac:dyDescent="0.25">
      <c r="M125" s="217"/>
      <c r="N125" s="218"/>
      <c r="O125" s="219"/>
      <c r="Q125" s="215" t="s">
        <v>627</v>
      </c>
      <c r="R125" s="149" t="s">
        <v>628</v>
      </c>
      <c r="S125" s="153" t="str">
        <f>CONCATENATE(تقویم!$A$2,EventsTable[[#This Row],[روز و ماه]])</f>
        <v>14000619</v>
      </c>
    </row>
    <row r="126" spans="13:19" ht="30" x14ac:dyDescent="0.25">
      <c r="M126" s="217"/>
      <c r="N126" s="218"/>
      <c r="O126" s="219"/>
      <c r="Q126" s="215" t="s">
        <v>629</v>
      </c>
      <c r="R126" s="149" t="s">
        <v>630</v>
      </c>
      <c r="S126" s="153" t="str">
        <f>CONCATENATE(تقویم!$A$2,EventsTable[[#This Row],[روز و ماه]])</f>
        <v>14000620</v>
      </c>
    </row>
    <row r="127" spans="13:19" x14ac:dyDescent="0.25">
      <c r="M127" s="217"/>
      <c r="N127" s="218"/>
      <c r="O127" s="219"/>
      <c r="Q127" s="215" t="s">
        <v>631</v>
      </c>
      <c r="R127" s="149" t="s">
        <v>632</v>
      </c>
      <c r="S127" s="153" t="str">
        <f>CONCATENATE(تقویم!$A$2,EventsTable[[#This Row],[روز و ماه]])</f>
        <v>14000621</v>
      </c>
    </row>
    <row r="128" spans="13:19" x14ac:dyDescent="0.25">
      <c r="M128" s="217"/>
      <c r="N128" s="218"/>
      <c r="O128" s="219"/>
      <c r="Q128" s="215" t="s">
        <v>633</v>
      </c>
      <c r="R128" s="149" t="s">
        <v>634</v>
      </c>
      <c r="S128" s="153" t="str">
        <f>CONCATENATE(تقویم!$A$2,EventsTable[[#This Row],[روز و ماه]])</f>
        <v>14000627</v>
      </c>
    </row>
    <row r="129" spans="13:19" ht="30" x14ac:dyDescent="0.25">
      <c r="M129" s="217"/>
      <c r="N129" s="218"/>
      <c r="O129" s="219"/>
      <c r="Q129" s="215" t="s">
        <v>635</v>
      </c>
      <c r="R129" s="149" t="s">
        <v>634</v>
      </c>
      <c r="S129" s="153" t="str">
        <f>CONCATENATE(تقویم!$A$2,EventsTable[[#This Row],[روز و ماه]])</f>
        <v>14000627</v>
      </c>
    </row>
    <row r="130" spans="13:19" x14ac:dyDescent="0.25">
      <c r="M130" s="217"/>
      <c r="N130" s="218"/>
      <c r="O130" s="219"/>
      <c r="Q130" s="215" t="s">
        <v>636</v>
      </c>
      <c r="R130" s="149" t="s">
        <v>637</v>
      </c>
      <c r="S130" s="153" t="str">
        <f>CONCATENATE(تقویم!$A$2,EventsTable[[#This Row],[روز و ماه]])</f>
        <v>14000631</v>
      </c>
    </row>
    <row r="131" spans="13:19" x14ac:dyDescent="0.25">
      <c r="M131" s="217"/>
      <c r="N131" s="218"/>
      <c r="O131" s="219"/>
      <c r="Q131" s="215" t="s">
        <v>638</v>
      </c>
      <c r="R131" s="149" t="s">
        <v>637</v>
      </c>
      <c r="S131" s="153" t="str">
        <f>CONCATENATE(تقویم!$A$2,EventsTable[[#This Row],[روز و ماه]])</f>
        <v>14000631</v>
      </c>
    </row>
    <row r="132" spans="13:19" ht="30" x14ac:dyDescent="0.25">
      <c r="M132" s="217"/>
      <c r="N132" s="218"/>
      <c r="O132" s="219"/>
      <c r="Q132" s="215" t="s">
        <v>639</v>
      </c>
      <c r="R132" s="149" t="s">
        <v>640</v>
      </c>
      <c r="S132" s="153" t="str">
        <f>CONCATENATE(تقویم!$A$2,EventsTable[[#This Row],[روز و ماه]])</f>
        <v>14000705</v>
      </c>
    </row>
    <row r="133" spans="13:19" ht="30" x14ac:dyDescent="0.25">
      <c r="M133" s="217"/>
      <c r="N133" s="218"/>
      <c r="O133" s="219"/>
      <c r="Q133" s="215" t="s">
        <v>641</v>
      </c>
      <c r="R133" s="149" t="s">
        <v>642</v>
      </c>
      <c r="S133" s="153" t="str">
        <f>CONCATENATE(تقویم!$A$2,EventsTable[[#This Row],[روز و ماه]])</f>
        <v>14000707</v>
      </c>
    </row>
    <row r="134" spans="13:19" ht="45" x14ac:dyDescent="0.25">
      <c r="M134" s="217"/>
      <c r="N134" s="218"/>
      <c r="O134" s="219"/>
      <c r="Q134" s="215" t="s">
        <v>643</v>
      </c>
      <c r="R134" s="149" t="s">
        <v>642</v>
      </c>
      <c r="S134" s="153" t="str">
        <f>CONCATENATE(تقویم!$A$2,EventsTable[[#This Row],[روز و ماه]])</f>
        <v>14000707</v>
      </c>
    </row>
    <row r="135" spans="13:19" x14ac:dyDescent="0.25">
      <c r="M135" s="217"/>
      <c r="N135" s="218"/>
      <c r="O135" s="219"/>
      <c r="Q135" s="215" t="s">
        <v>644</v>
      </c>
      <c r="R135" s="149" t="s">
        <v>642</v>
      </c>
      <c r="S135" s="153" t="str">
        <f>CONCATENATE(تقویم!$A$2,EventsTable[[#This Row],[روز و ماه]])</f>
        <v>14000707</v>
      </c>
    </row>
    <row r="136" spans="13:19" x14ac:dyDescent="0.25">
      <c r="M136" s="217"/>
      <c r="N136" s="218"/>
      <c r="O136" s="219"/>
      <c r="Q136" s="215" t="s">
        <v>645</v>
      </c>
      <c r="R136" s="149" t="s">
        <v>642</v>
      </c>
      <c r="S136" s="153" t="str">
        <f>CONCATENATE(تقویم!$A$2,EventsTable[[#This Row],[روز و ماه]])</f>
        <v>14000707</v>
      </c>
    </row>
    <row r="137" spans="13:19" x14ac:dyDescent="0.25">
      <c r="M137" s="217"/>
      <c r="N137" s="218"/>
      <c r="O137" s="219"/>
      <c r="Q137" s="215" t="s">
        <v>646</v>
      </c>
      <c r="R137" s="149" t="s">
        <v>647</v>
      </c>
      <c r="S137" s="153" t="str">
        <f>CONCATENATE(تقویم!$A$2,EventsTable[[#This Row],[روز و ماه]])</f>
        <v>14000708</v>
      </c>
    </row>
    <row r="138" spans="13:19" ht="30" x14ac:dyDescent="0.25">
      <c r="M138" s="217"/>
      <c r="N138" s="218"/>
      <c r="O138" s="219"/>
      <c r="Q138" s="215" t="s">
        <v>648</v>
      </c>
      <c r="R138" s="149" t="s">
        <v>649</v>
      </c>
      <c r="S138" s="153" t="str">
        <f>CONCATENATE(تقویم!$A$2,EventsTable[[#This Row],[روز و ماه]])</f>
        <v>14000709</v>
      </c>
    </row>
    <row r="139" spans="13:19" ht="30" x14ac:dyDescent="0.25">
      <c r="M139" s="217"/>
      <c r="N139" s="218"/>
      <c r="O139" s="219"/>
      <c r="Q139" s="215" t="s">
        <v>650</v>
      </c>
      <c r="R139" s="149" t="s">
        <v>651</v>
      </c>
      <c r="S139" s="153" t="str">
        <f>CONCATENATE(تقویم!$A$2,EventsTable[[#This Row],[روز و ماه]])</f>
        <v>14000713</v>
      </c>
    </row>
    <row r="140" spans="13:19" x14ac:dyDescent="0.25">
      <c r="M140" s="217"/>
      <c r="N140" s="218"/>
      <c r="O140" s="219"/>
      <c r="Q140" s="215" t="s">
        <v>652</v>
      </c>
      <c r="R140" s="149" t="s">
        <v>651</v>
      </c>
      <c r="S140" s="153" t="str">
        <f>CONCATENATE(تقویم!$A$2,EventsTable[[#This Row],[روز و ماه]])</f>
        <v>14000713</v>
      </c>
    </row>
    <row r="141" spans="13:19" x14ac:dyDescent="0.25">
      <c r="M141" s="217"/>
      <c r="N141" s="218"/>
      <c r="O141" s="219"/>
      <c r="Q141" s="215" t="s">
        <v>653</v>
      </c>
      <c r="R141" s="149" t="s">
        <v>654</v>
      </c>
      <c r="S141" s="153" t="str">
        <f>CONCATENATE(تقویم!$A$2,EventsTable[[#This Row],[روز و ماه]])</f>
        <v>14000714</v>
      </c>
    </row>
    <row r="142" spans="13:19" x14ac:dyDescent="0.25">
      <c r="M142" s="217"/>
      <c r="N142" s="218"/>
      <c r="O142" s="219"/>
      <c r="Q142" s="215" t="s">
        <v>655</v>
      </c>
      <c r="R142" s="149" t="s">
        <v>656</v>
      </c>
      <c r="S142" s="153" t="str">
        <f>CONCATENATE(تقویم!$A$2,EventsTable[[#This Row],[روز و ماه]])</f>
        <v>14000715</v>
      </c>
    </row>
    <row r="143" spans="13:19" x14ac:dyDescent="0.25">
      <c r="M143" s="217"/>
      <c r="N143" s="218"/>
      <c r="O143" s="219"/>
      <c r="Q143" s="215" t="s">
        <v>657</v>
      </c>
      <c r="R143" s="149" t="s">
        <v>658</v>
      </c>
      <c r="S143" s="153" t="str">
        <f>CONCATENATE(تقویم!$A$2,EventsTable[[#This Row],[روز و ماه]])</f>
        <v>14000720</v>
      </c>
    </row>
    <row r="144" spans="13:19" ht="45" x14ac:dyDescent="0.25">
      <c r="M144" s="217"/>
      <c r="N144" s="218"/>
      <c r="O144" s="219"/>
      <c r="Q144" s="215" t="s">
        <v>659</v>
      </c>
      <c r="R144" s="149" t="s">
        <v>586</v>
      </c>
      <c r="S144" s="153" t="str">
        <f>CONCATENATE(تقویم!$A$2,EventsTable[[#This Row],[روز و ماه]])</f>
        <v>14000523</v>
      </c>
    </row>
    <row r="145" spans="13:19" x14ac:dyDescent="0.25">
      <c r="M145" s="217"/>
      <c r="N145" s="218"/>
      <c r="O145" s="219"/>
      <c r="Q145" s="215" t="s">
        <v>660</v>
      </c>
      <c r="R145" s="149" t="s">
        <v>661</v>
      </c>
      <c r="S145" s="153" t="str">
        <f>CONCATENATE(تقویم!$A$2,EventsTable[[#This Row],[روز و ماه]])</f>
        <v>14000724</v>
      </c>
    </row>
    <row r="146" spans="13:19" x14ac:dyDescent="0.25">
      <c r="M146" s="217"/>
      <c r="N146" s="218"/>
      <c r="O146" s="219"/>
      <c r="Q146" s="215" t="s">
        <v>662</v>
      </c>
      <c r="R146" s="149" t="s">
        <v>661</v>
      </c>
      <c r="S146" s="153" t="str">
        <f>CONCATENATE(تقویم!$A$2,EventsTable[[#This Row],[روز و ماه]])</f>
        <v>14000724</v>
      </c>
    </row>
    <row r="147" spans="13:19" ht="45" x14ac:dyDescent="0.25">
      <c r="M147" s="217"/>
      <c r="N147" s="218"/>
      <c r="O147" s="219"/>
      <c r="Q147" s="215" t="s">
        <v>663</v>
      </c>
      <c r="R147" s="149" t="s">
        <v>661</v>
      </c>
      <c r="S147" s="153" t="str">
        <f>CONCATENATE(تقویم!$A$2,EventsTable[[#This Row],[روز و ماه]])</f>
        <v>14000724</v>
      </c>
    </row>
    <row r="148" spans="13:19" x14ac:dyDescent="0.25">
      <c r="M148" s="217"/>
      <c r="N148" s="218"/>
      <c r="O148" s="219"/>
      <c r="Q148" s="215" t="s">
        <v>664</v>
      </c>
      <c r="R148" s="149" t="s">
        <v>665</v>
      </c>
      <c r="S148" s="153" t="str">
        <f>CONCATENATE(تقویم!$A$2,EventsTable[[#This Row],[روز و ماه]])</f>
        <v>14000726</v>
      </c>
    </row>
    <row r="149" spans="13:19" x14ac:dyDescent="0.25">
      <c r="M149" s="217"/>
      <c r="N149" s="218"/>
      <c r="O149" s="219"/>
      <c r="Q149" s="215" t="s">
        <v>666</v>
      </c>
      <c r="R149" s="149" t="s">
        <v>667</v>
      </c>
      <c r="S149" s="153" t="str">
        <f>CONCATENATE(تقویم!$A$2,EventsTable[[#This Row],[روز و ماه]])</f>
        <v>14000729</v>
      </c>
    </row>
    <row r="150" spans="13:19" ht="30" x14ac:dyDescent="0.25">
      <c r="M150" s="217"/>
      <c r="N150" s="218"/>
      <c r="O150" s="219"/>
      <c r="Q150" s="215" t="s">
        <v>668</v>
      </c>
      <c r="R150" s="149" t="s">
        <v>669</v>
      </c>
      <c r="S150" s="153" t="str">
        <f>CONCATENATE(تقویم!$A$2,EventsTable[[#This Row],[روز و ماه]])</f>
        <v>14000801</v>
      </c>
    </row>
    <row r="151" spans="13:19" x14ac:dyDescent="0.25">
      <c r="M151" s="217"/>
      <c r="N151" s="218"/>
      <c r="O151" s="219"/>
      <c r="Q151" s="215" t="s">
        <v>670</v>
      </c>
      <c r="R151" s="149" t="s">
        <v>669</v>
      </c>
      <c r="S151" s="153" t="str">
        <f>CONCATENATE(تقویم!$A$2,EventsTable[[#This Row],[روز و ماه]])</f>
        <v>14000801</v>
      </c>
    </row>
    <row r="152" spans="13:19" ht="45" x14ac:dyDescent="0.25">
      <c r="M152" s="217"/>
      <c r="N152" s="218"/>
      <c r="O152" s="219"/>
      <c r="Q152" s="215" t="s">
        <v>671</v>
      </c>
      <c r="R152" s="149" t="s">
        <v>672</v>
      </c>
      <c r="S152" s="153" t="str">
        <f>CONCATENATE(تقویم!$A$2,EventsTable[[#This Row],[روز و ماه]])</f>
        <v>14000804</v>
      </c>
    </row>
    <row r="153" spans="13:19" ht="30" x14ac:dyDescent="0.25">
      <c r="M153" s="217"/>
      <c r="N153" s="218"/>
      <c r="O153" s="219"/>
      <c r="Q153" s="215" t="s">
        <v>673</v>
      </c>
      <c r="R153" s="149" t="s">
        <v>674</v>
      </c>
      <c r="S153" s="153" t="str">
        <f>CONCATENATE(تقویم!$A$2,EventsTable[[#This Row],[روز و ماه]])</f>
        <v>14000808</v>
      </c>
    </row>
    <row r="154" spans="13:19" x14ac:dyDescent="0.25">
      <c r="M154" s="217"/>
      <c r="N154" s="218"/>
      <c r="O154" s="219"/>
      <c r="Q154" s="215"/>
      <c r="R154" s="149"/>
      <c r="S154" s="153" t="str">
        <f>CONCATENATE(تقویم!$A$2,EventsTable[[#This Row],[روز و ماه]])</f>
        <v>1400</v>
      </c>
    </row>
    <row r="155" spans="13:19" x14ac:dyDescent="0.25">
      <c r="M155" s="217"/>
      <c r="N155" s="218"/>
      <c r="O155" s="219"/>
      <c r="Q155" s="215" t="s">
        <v>675</v>
      </c>
      <c r="R155" s="149" t="s">
        <v>674</v>
      </c>
      <c r="S155" s="153" t="str">
        <f>CONCATENATE(تقویم!$A$2,EventsTable[[#This Row],[روز و ماه]])</f>
        <v>14000808</v>
      </c>
    </row>
    <row r="156" spans="13:19" x14ac:dyDescent="0.25">
      <c r="M156" s="217"/>
      <c r="N156" s="218"/>
      <c r="O156" s="219"/>
      <c r="Q156" s="215" t="s">
        <v>676</v>
      </c>
      <c r="R156" s="149" t="s">
        <v>674</v>
      </c>
      <c r="S156" s="153" t="str">
        <f>CONCATENATE(تقویم!$A$2,EventsTable[[#This Row],[روز و ماه]])</f>
        <v>14000808</v>
      </c>
    </row>
    <row r="157" spans="13:19" ht="45" x14ac:dyDescent="0.25">
      <c r="M157" s="217"/>
      <c r="N157" s="218"/>
      <c r="O157" s="219"/>
      <c r="Q157" s="215" t="s">
        <v>677</v>
      </c>
      <c r="R157" s="149" t="s">
        <v>678</v>
      </c>
      <c r="S157" s="153" t="str">
        <f>CONCATENATE(تقویم!$A$2,EventsTable[[#This Row],[روز و ماه]])</f>
        <v>14000810</v>
      </c>
    </row>
    <row r="158" spans="13:19" ht="45" x14ac:dyDescent="0.25">
      <c r="M158" s="217"/>
      <c r="N158" s="218"/>
      <c r="O158" s="219"/>
      <c r="Q158" s="215" t="s">
        <v>679</v>
      </c>
      <c r="R158" s="149" t="s">
        <v>680</v>
      </c>
      <c r="S158" s="153" t="str">
        <f>CONCATENATE(تقویم!$A$2,EventsTable[[#This Row],[روز و ماه]])</f>
        <v>14000813</v>
      </c>
    </row>
    <row r="159" spans="13:19" x14ac:dyDescent="0.25">
      <c r="M159" s="217"/>
      <c r="N159" s="218"/>
      <c r="O159" s="219"/>
      <c r="Q159" s="215" t="s">
        <v>681</v>
      </c>
      <c r="R159" s="149" t="s">
        <v>680</v>
      </c>
      <c r="S159" s="153" t="str">
        <f>CONCATENATE(تقویم!$A$2,EventsTable[[#This Row],[روز و ماه]])</f>
        <v>14000813</v>
      </c>
    </row>
    <row r="160" spans="13:19" x14ac:dyDescent="0.25">
      <c r="M160" s="217"/>
      <c r="N160" s="218"/>
      <c r="O160" s="219"/>
      <c r="Q160" s="215" t="s">
        <v>682</v>
      </c>
      <c r="R160" s="149" t="s">
        <v>680</v>
      </c>
      <c r="S160" s="153" t="str">
        <f>CONCATENATE(تقویم!$A$2,EventsTable[[#This Row],[روز و ماه]])</f>
        <v>14000813</v>
      </c>
    </row>
    <row r="161" spans="13:19" ht="30" x14ac:dyDescent="0.25">
      <c r="M161" s="217"/>
      <c r="N161" s="218"/>
      <c r="O161" s="219"/>
      <c r="Q161" s="215" t="s">
        <v>683</v>
      </c>
      <c r="R161" s="149" t="s">
        <v>680</v>
      </c>
      <c r="S161" s="153" t="str">
        <f>CONCATENATE(تقویم!$A$2,EventsTable[[#This Row],[روز و ماه]])</f>
        <v>14000813</v>
      </c>
    </row>
    <row r="162" spans="13:19" x14ac:dyDescent="0.25">
      <c r="M162" s="217"/>
      <c r="N162" s="218"/>
      <c r="O162" s="219"/>
      <c r="Q162" s="215" t="s">
        <v>684</v>
      </c>
      <c r="R162" s="149" t="s">
        <v>685</v>
      </c>
      <c r="S162" s="153" t="str">
        <f>CONCATENATE(تقویم!$A$2,EventsTable[[#This Row],[روز و ماه]])</f>
        <v>14000814</v>
      </c>
    </row>
    <row r="163" spans="13:19" x14ac:dyDescent="0.25">
      <c r="M163" s="217"/>
      <c r="N163" s="218"/>
      <c r="O163" s="219"/>
      <c r="Q163" s="215" t="s">
        <v>686</v>
      </c>
      <c r="R163" s="149" t="s">
        <v>687</v>
      </c>
      <c r="S163" s="153" t="str">
        <f>CONCATENATE(تقویم!$A$2,EventsTable[[#This Row],[روز و ماه]])</f>
        <v>14000818</v>
      </c>
    </row>
    <row r="164" spans="13:19" x14ac:dyDescent="0.25">
      <c r="M164" s="217"/>
      <c r="N164" s="218"/>
      <c r="O164" s="219"/>
      <c r="Q164" s="215" t="s">
        <v>688</v>
      </c>
      <c r="R164" s="149" t="s">
        <v>689</v>
      </c>
      <c r="S164" s="153" t="str">
        <f>CONCATENATE(تقویم!$A$2,EventsTable[[#This Row],[روز و ماه]])</f>
        <v>14000824</v>
      </c>
    </row>
    <row r="165" spans="13:19" ht="45" x14ac:dyDescent="0.25">
      <c r="M165" s="217"/>
      <c r="N165" s="218"/>
      <c r="O165" s="219"/>
      <c r="Q165" s="215" t="s">
        <v>690</v>
      </c>
      <c r="R165" s="149" t="s">
        <v>689</v>
      </c>
      <c r="S165" s="153" t="str">
        <f>CONCATENATE(تقویم!$A$2,EventsTable[[#This Row],[روز و ماه]])</f>
        <v>14000824</v>
      </c>
    </row>
    <row r="166" spans="13:19" ht="30" x14ac:dyDescent="0.25">
      <c r="M166" s="217"/>
      <c r="N166" s="218"/>
      <c r="O166" s="219"/>
      <c r="Q166" s="215" t="s">
        <v>691</v>
      </c>
      <c r="R166" s="149" t="s">
        <v>692</v>
      </c>
      <c r="S166" s="153" t="str">
        <f>CONCATENATE(تقویم!$A$2,EventsTable[[#This Row],[روز و ماه]])</f>
        <v>14000826</v>
      </c>
    </row>
    <row r="167" spans="13:19" ht="45" x14ac:dyDescent="0.25">
      <c r="M167" s="217"/>
      <c r="N167" s="218"/>
      <c r="O167" s="219"/>
      <c r="Q167" s="215" t="s">
        <v>693</v>
      </c>
      <c r="R167" s="149" t="s">
        <v>694</v>
      </c>
      <c r="S167" s="153" t="str">
        <f>CONCATENATE(تقویم!$A$2,EventsTable[[#This Row],[روز و ماه]])</f>
        <v>14000905</v>
      </c>
    </row>
    <row r="168" spans="13:19" x14ac:dyDescent="0.25">
      <c r="M168" s="217"/>
      <c r="N168" s="218"/>
      <c r="O168" s="219"/>
      <c r="Q168" s="215" t="s">
        <v>695</v>
      </c>
      <c r="R168" s="149" t="s">
        <v>694</v>
      </c>
      <c r="S168" s="153" t="str">
        <f>CONCATENATE(تقویم!$A$2,EventsTable[[#This Row],[روز و ماه]])</f>
        <v>14000905</v>
      </c>
    </row>
    <row r="169" spans="13:19" x14ac:dyDescent="0.25">
      <c r="M169" s="217"/>
      <c r="N169" s="218"/>
      <c r="O169" s="219"/>
      <c r="Q169" s="215" t="s">
        <v>696</v>
      </c>
      <c r="R169" s="149" t="s">
        <v>697</v>
      </c>
      <c r="S169" s="153" t="str">
        <f>CONCATENATE(تقویم!$A$2,EventsTable[[#This Row],[روز و ماه]])</f>
        <v>14000907</v>
      </c>
    </row>
    <row r="170" spans="13:19" x14ac:dyDescent="0.25">
      <c r="M170" s="217"/>
      <c r="N170" s="218"/>
      <c r="O170" s="219"/>
      <c r="Q170" s="215" t="s">
        <v>698</v>
      </c>
      <c r="R170" s="149" t="s">
        <v>699</v>
      </c>
      <c r="S170" s="153" t="str">
        <f>CONCATENATE(تقویم!$A$2,EventsTable[[#This Row],[روز و ماه]])</f>
        <v>14000909</v>
      </c>
    </row>
    <row r="171" spans="13:19" ht="30" x14ac:dyDescent="0.25">
      <c r="M171" s="217"/>
      <c r="N171" s="218"/>
      <c r="O171" s="219"/>
      <c r="Q171" s="215" t="s">
        <v>700</v>
      </c>
      <c r="R171" s="149" t="s">
        <v>701</v>
      </c>
      <c r="S171" s="153" t="str">
        <f>CONCATENATE(تقویم!$A$2,EventsTable[[#This Row],[روز و ماه]])</f>
        <v>14000910</v>
      </c>
    </row>
    <row r="172" spans="13:19" ht="30" x14ac:dyDescent="0.25">
      <c r="M172" s="217"/>
      <c r="N172" s="218"/>
      <c r="O172" s="219"/>
      <c r="Q172" s="215" t="s">
        <v>702</v>
      </c>
      <c r="R172" s="149" t="s">
        <v>703</v>
      </c>
      <c r="S172" s="153" t="str">
        <f>CONCATENATE(تقویم!$A$2,EventsTable[[#This Row],[روز و ماه]])</f>
        <v>14000911</v>
      </c>
    </row>
    <row r="173" spans="13:19" ht="45" x14ac:dyDescent="0.25">
      <c r="M173" s="217"/>
      <c r="N173" s="218"/>
      <c r="O173" s="219"/>
      <c r="Q173" s="215" t="s">
        <v>704</v>
      </c>
      <c r="R173" s="149" t="s">
        <v>705</v>
      </c>
      <c r="S173" s="153" t="str">
        <f>CONCATENATE(تقویم!$A$2,EventsTable[[#This Row],[روز و ماه]])</f>
        <v>14000912</v>
      </c>
    </row>
    <row r="174" spans="13:19" x14ac:dyDescent="0.25">
      <c r="M174" s="217"/>
      <c r="N174" s="218"/>
      <c r="O174" s="219"/>
      <c r="Q174" s="215" t="s">
        <v>706</v>
      </c>
      <c r="R174" s="149" t="s">
        <v>707</v>
      </c>
      <c r="S174" s="153" t="str">
        <f>CONCATENATE(تقویم!$A$2,EventsTable[[#This Row],[روز و ماه]])</f>
        <v>14000913</v>
      </c>
    </row>
    <row r="175" spans="13:19" x14ac:dyDescent="0.25">
      <c r="M175" s="217"/>
      <c r="N175" s="218"/>
      <c r="O175" s="219"/>
      <c r="Q175" s="215" t="s">
        <v>708</v>
      </c>
      <c r="R175" s="149" t="s">
        <v>709</v>
      </c>
      <c r="S175" s="153" t="str">
        <f>CONCATENATE(تقویم!$A$2,EventsTable[[#This Row],[روز و ماه]])</f>
        <v>14000916</v>
      </c>
    </row>
    <row r="176" spans="13:19" ht="45" x14ac:dyDescent="0.25">
      <c r="M176" s="217"/>
      <c r="N176" s="218"/>
      <c r="O176" s="219"/>
      <c r="Q176" s="215" t="s">
        <v>710</v>
      </c>
      <c r="R176" s="149" t="s">
        <v>711</v>
      </c>
      <c r="S176" s="153" t="str">
        <f>CONCATENATE(تقویم!$A$2,EventsTable[[#This Row],[روز و ماه]])</f>
        <v>14000918</v>
      </c>
    </row>
    <row r="177" spans="13:19" ht="45" x14ac:dyDescent="0.25">
      <c r="M177" s="217"/>
      <c r="N177" s="218"/>
      <c r="O177" s="219"/>
      <c r="Q177" s="215" t="s">
        <v>712</v>
      </c>
      <c r="R177" s="149" t="s">
        <v>713</v>
      </c>
      <c r="S177" s="153" t="str">
        <f>CONCATENATE(تقویم!$A$2,EventsTable[[#This Row],[روز و ماه]])</f>
        <v>14000919</v>
      </c>
    </row>
    <row r="178" spans="13:19" ht="45" x14ac:dyDescent="0.25">
      <c r="M178" s="217"/>
      <c r="N178" s="218"/>
      <c r="O178" s="219"/>
      <c r="Q178" s="215" t="s">
        <v>714</v>
      </c>
      <c r="R178" s="149" t="s">
        <v>715</v>
      </c>
      <c r="S178" s="153" t="str">
        <f>CONCATENATE(تقویم!$A$2,EventsTable[[#This Row],[روز و ماه]])</f>
        <v>14000920</v>
      </c>
    </row>
    <row r="179" spans="13:19" x14ac:dyDescent="0.25">
      <c r="M179" s="217"/>
      <c r="N179" s="218"/>
      <c r="O179" s="219"/>
      <c r="Q179" s="215" t="s">
        <v>716</v>
      </c>
      <c r="R179" s="149" t="s">
        <v>717</v>
      </c>
      <c r="S179" s="153" t="str">
        <f>CONCATENATE(تقویم!$A$2,EventsTable[[#This Row],[روز و ماه]])</f>
        <v>14000925</v>
      </c>
    </row>
    <row r="180" spans="13:19" x14ac:dyDescent="0.25">
      <c r="M180" s="217"/>
      <c r="N180" s="218"/>
      <c r="O180" s="219"/>
      <c r="Q180" s="215" t="s">
        <v>718</v>
      </c>
      <c r="R180" s="149" t="s">
        <v>719</v>
      </c>
      <c r="S180" s="153" t="str">
        <f>CONCATENATE(تقویم!$A$2,EventsTable[[#This Row],[روز و ماه]])</f>
        <v>14000926</v>
      </c>
    </row>
    <row r="181" spans="13:19" ht="30" x14ac:dyDescent="0.25">
      <c r="M181" s="217"/>
      <c r="N181" s="218"/>
      <c r="O181" s="219"/>
      <c r="Q181" s="215" t="s">
        <v>720</v>
      </c>
      <c r="R181" s="149" t="s">
        <v>721</v>
      </c>
      <c r="S181" s="153" t="str">
        <f>CONCATENATE(تقویم!$A$2,EventsTable[[#This Row],[روز و ماه]])</f>
        <v>14000927</v>
      </c>
    </row>
    <row r="182" spans="13:19" x14ac:dyDescent="0.25">
      <c r="M182" s="217"/>
      <c r="N182" s="218"/>
      <c r="O182" s="219"/>
      <c r="Q182" s="215" t="s">
        <v>722</v>
      </c>
      <c r="R182" s="149" t="s">
        <v>721</v>
      </c>
      <c r="S182" s="153" t="str">
        <f>CONCATENATE(تقویم!$A$2,EventsTable[[#This Row],[روز و ماه]])</f>
        <v>14000927</v>
      </c>
    </row>
    <row r="183" spans="13:19" x14ac:dyDescent="0.25">
      <c r="M183" s="217"/>
      <c r="N183" s="218"/>
      <c r="O183" s="219"/>
      <c r="Q183" s="215" t="s">
        <v>723</v>
      </c>
      <c r="R183" s="149" t="s">
        <v>724</v>
      </c>
      <c r="S183" s="153" t="str">
        <f>CONCATENATE(تقویم!$A$2,EventsTable[[#This Row],[روز و ماه]])</f>
        <v>14000929</v>
      </c>
    </row>
    <row r="184" spans="13:19" x14ac:dyDescent="0.25">
      <c r="M184" s="217"/>
      <c r="N184" s="218"/>
      <c r="O184" s="219"/>
      <c r="Q184" s="215" t="s">
        <v>725</v>
      </c>
      <c r="R184" s="149" t="s">
        <v>726</v>
      </c>
      <c r="S184" s="153" t="str">
        <f>CONCATENATE(تقویم!$A$2,EventsTable[[#This Row],[روز و ماه]])</f>
        <v>14000930</v>
      </c>
    </row>
    <row r="185" spans="13:19" x14ac:dyDescent="0.25">
      <c r="M185" s="217"/>
      <c r="N185" s="218"/>
      <c r="O185" s="219"/>
      <c r="Q185" s="215" t="s">
        <v>727</v>
      </c>
      <c r="R185" s="149" t="s">
        <v>728</v>
      </c>
      <c r="S185" s="153" t="str">
        <f>CONCATENATE(تقویم!$A$2,EventsTable[[#This Row],[روز و ماه]])</f>
        <v>14001003</v>
      </c>
    </row>
    <row r="186" spans="13:19" ht="30" x14ac:dyDescent="0.25">
      <c r="M186" s="217"/>
      <c r="N186" s="218"/>
      <c r="O186" s="219"/>
      <c r="Q186" s="215" t="s">
        <v>729</v>
      </c>
      <c r="R186" s="149" t="s">
        <v>730</v>
      </c>
      <c r="S186" s="153" t="str">
        <f>CONCATENATE(تقویم!$A$2,EventsTable[[#This Row],[روز و ماه]])</f>
        <v>14001005</v>
      </c>
    </row>
    <row r="187" spans="13:19" ht="45" x14ac:dyDescent="0.25">
      <c r="M187" s="217"/>
      <c r="N187" s="218"/>
      <c r="O187" s="219"/>
      <c r="Q187" s="215" t="s">
        <v>731</v>
      </c>
      <c r="R187" s="149" t="s">
        <v>732</v>
      </c>
      <c r="S187" s="153" t="str">
        <f>CONCATENATE(تقویم!$A$2,EventsTable[[#This Row],[روز و ماه]])</f>
        <v>14001007</v>
      </c>
    </row>
    <row r="188" spans="13:19" ht="45" x14ac:dyDescent="0.25">
      <c r="M188" s="217"/>
      <c r="N188" s="218"/>
      <c r="O188" s="219"/>
      <c r="Q188" s="215" t="s">
        <v>733</v>
      </c>
      <c r="R188" s="149" t="s">
        <v>732</v>
      </c>
      <c r="S188" s="153" t="str">
        <f>CONCATENATE(تقویم!$A$2,EventsTable[[#This Row],[روز و ماه]])</f>
        <v>14001007</v>
      </c>
    </row>
    <row r="189" spans="13:19" x14ac:dyDescent="0.25">
      <c r="M189" s="217"/>
      <c r="N189" s="218"/>
      <c r="O189" s="219"/>
      <c r="Q189" s="215" t="s">
        <v>734</v>
      </c>
      <c r="R189" s="149" t="s">
        <v>735</v>
      </c>
      <c r="S189" s="153" t="str">
        <f>CONCATENATE(تقویم!$A$2,EventsTable[[#This Row],[روز و ماه]])</f>
        <v>14001008</v>
      </c>
    </row>
    <row r="190" spans="13:19" ht="30" x14ac:dyDescent="0.25">
      <c r="M190" s="217"/>
      <c r="N190" s="218"/>
      <c r="O190" s="219"/>
      <c r="Q190" s="215" t="s">
        <v>736</v>
      </c>
      <c r="R190" s="149" t="s">
        <v>737</v>
      </c>
      <c r="S190" s="153" t="str">
        <f>CONCATENATE(تقویم!$A$2,EventsTable[[#This Row],[روز و ماه]])</f>
        <v>14001009</v>
      </c>
    </row>
    <row r="191" spans="13:19" ht="60" x14ac:dyDescent="0.25">
      <c r="M191" s="217"/>
      <c r="N191" s="218"/>
      <c r="O191" s="219"/>
      <c r="Q191" s="215" t="s">
        <v>738</v>
      </c>
      <c r="R191" s="149" t="s">
        <v>739</v>
      </c>
      <c r="S191" s="153" t="str">
        <f>CONCATENATE(تقویم!$A$2,EventsTable[[#This Row],[روز و ماه]])</f>
        <v>14001013</v>
      </c>
    </row>
    <row r="192" spans="13:19" ht="45" x14ac:dyDescent="0.25">
      <c r="M192" s="217"/>
      <c r="N192" s="218"/>
      <c r="O192" s="219"/>
      <c r="Q192" s="215" t="s">
        <v>740</v>
      </c>
      <c r="R192" s="149" t="s">
        <v>739</v>
      </c>
      <c r="S192" s="153" t="str">
        <f>CONCATENATE(تقویم!$A$2,EventsTable[[#This Row],[روز و ماه]])</f>
        <v>14001013</v>
      </c>
    </row>
    <row r="193" spans="13:19" ht="45" x14ac:dyDescent="0.25">
      <c r="M193" s="217"/>
      <c r="N193" s="218"/>
      <c r="O193" s="219"/>
      <c r="Q193" s="215" t="s">
        <v>741</v>
      </c>
      <c r="R193" s="149" t="s">
        <v>742</v>
      </c>
      <c r="S193" s="153" t="str">
        <f>CONCATENATE(تقویم!$A$2,EventsTable[[#This Row],[روز و ماه]])</f>
        <v>14001017</v>
      </c>
    </row>
    <row r="194" spans="13:19" x14ac:dyDescent="0.25">
      <c r="M194" s="217"/>
      <c r="N194" s="218"/>
      <c r="O194" s="219"/>
      <c r="Q194" s="215" t="s">
        <v>743</v>
      </c>
      <c r="R194" s="149" t="s">
        <v>742</v>
      </c>
      <c r="S194" s="153" t="str">
        <f>CONCATENATE(تقویم!$A$2,EventsTable[[#This Row],[روز و ماه]])</f>
        <v>14001017</v>
      </c>
    </row>
    <row r="195" spans="13:19" x14ac:dyDescent="0.25">
      <c r="M195" s="217"/>
      <c r="N195" s="218"/>
      <c r="O195" s="219"/>
      <c r="Q195" s="215" t="s">
        <v>744</v>
      </c>
      <c r="R195" s="149" t="s">
        <v>745</v>
      </c>
      <c r="S195" s="153" t="str">
        <f>CONCATENATE(تقویم!$A$2,EventsTable[[#This Row],[روز و ماه]])</f>
        <v>14001019</v>
      </c>
    </row>
    <row r="196" spans="13:19" ht="30" x14ac:dyDescent="0.25">
      <c r="M196" s="217"/>
      <c r="N196" s="218"/>
      <c r="O196" s="219"/>
      <c r="Q196" s="215" t="s">
        <v>746</v>
      </c>
      <c r="R196" s="149" t="s">
        <v>747</v>
      </c>
      <c r="S196" s="153" t="str">
        <f>CONCATENATE(تقویم!$A$2,EventsTable[[#This Row],[روز و ماه]])</f>
        <v>14001020</v>
      </c>
    </row>
    <row r="197" spans="13:19" ht="45" x14ac:dyDescent="0.25">
      <c r="M197" s="217"/>
      <c r="N197" s="218"/>
      <c r="O197" s="219"/>
      <c r="Q197" s="215" t="s">
        <v>748</v>
      </c>
      <c r="R197" s="149" t="s">
        <v>749</v>
      </c>
      <c r="S197" s="153" t="str">
        <f>CONCATENATE(تقویم!$A$2,EventsTable[[#This Row],[روز و ماه]])</f>
        <v>14001022</v>
      </c>
    </row>
    <row r="198" spans="13:19" x14ac:dyDescent="0.25">
      <c r="M198" s="217"/>
      <c r="N198" s="218"/>
      <c r="O198" s="219"/>
      <c r="Q198" s="215" t="s">
        <v>750</v>
      </c>
      <c r="R198" s="149" t="s">
        <v>751</v>
      </c>
      <c r="S198" s="153" t="str">
        <f>CONCATENATE(تقویم!$A$2,EventsTable[[#This Row],[روز و ماه]])</f>
        <v>14001026</v>
      </c>
    </row>
    <row r="199" spans="13:19" ht="45" x14ac:dyDescent="0.25">
      <c r="M199" s="217"/>
      <c r="N199" s="218"/>
      <c r="O199" s="219"/>
      <c r="Q199" s="215" t="s">
        <v>752</v>
      </c>
      <c r="R199" s="149" t="s">
        <v>753</v>
      </c>
      <c r="S199" s="153" t="str">
        <f>CONCATENATE(تقویم!$A$2,EventsTable[[#This Row],[روز و ماه]])</f>
        <v>14001027</v>
      </c>
    </row>
    <row r="200" spans="13:19" x14ac:dyDescent="0.25">
      <c r="M200" s="217"/>
      <c r="N200" s="218"/>
      <c r="O200" s="219"/>
      <c r="Q200" s="215" t="s">
        <v>754</v>
      </c>
      <c r="R200" s="149" t="s">
        <v>755</v>
      </c>
      <c r="S200" s="153" t="str">
        <f>CONCATENATE(تقویم!$A$2,EventsTable[[#This Row],[روز و ماه]])</f>
        <v>14001029</v>
      </c>
    </row>
    <row r="201" spans="13:19" x14ac:dyDescent="0.25">
      <c r="M201" s="217"/>
      <c r="N201" s="218"/>
      <c r="O201" s="219"/>
      <c r="Q201" s="215" t="s">
        <v>756</v>
      </c>
      <c r="R201" s="149" t="s">
        <v>757</v>
      </c>
      <c r="S201" s="153" t="str">
        <f>CONCATENATE(تقویم!$A$2,EventsTable[[#This Row],[روز و ماه]])</f>
        <v>14001106</v>
      </c>
    </row>
    <row r="202" spans="13:19" ht="45" x14ac:dyDescent="0.25">
      <c r="M202" s="217"/>
      <c r="N202" s="218"/>
      <c r="O202" s="219"/>
      <c r="Q202" s="215" t="s">
        <v>758</v>
      </c>
      <c r="R202" s="149" t="s">
        <v>759</v>
      </c>
      <c r="S202" s="153" t="str">
        <f>CONCATENATE(تقویم!$A$2,EventsTable[[#This Row],[روز و ماه]])</f>
        <v>14001112</v>
      </c>
    </row>
    <row r="203" spans="13:19" x14ac:dyDescent="0.25">
      <c r="M203" s="217"/>
      <c r="N203" s="218"/>
      <c r="O203" s="219"/>
      <c r="Q203" s="215" t="s">
        <v>760</v>
      </c>
      <c r="R203" s="149" t="s">
        <v>761</v>
      </c>
      <c r="S203" s="153" t="str">
        <f>CONCATENATE(تقویم!$A$2,EventsTable[[#This Row],[روز و ماه]])</f>
        <v>14001114</v>
      </c>
    </row>
    <row r="204" spans="13:19" x14ac:dyDescent="0.25">
      <c r="M204" s="217"/>
      <c r="N204" s="218"/>
      <c r="O204" s="219"/>
      <c r="Q204" s="215" t="s">
        <v>762</v>
      </c>
      <c r="R204" s="149" t="s">
        <v>763</v>
      </c>
      <c r="S204" s="153" t="str">
        <f>CONCATENATE(تقویم!$A$2,EventsTable[[#This Row],[روز و ماه]])</f>
        <v>14001119</v>
      </c>
    </row>
    <row r="205" spans="13:19" ht="45" x14ac:dyDescent="0.25">
      <c r="M205" s="217"/>
      <c r="N205" s="218"/>
      <c r="O205" s="219"/>
      <c r="Q205" s="215" t="s">
        <v>764</v>
      </c>
      <c r="R205" s="149" t="s">
        <v>765</v>
      </c>
      <c r="S205" s="153" t="str">
        <f>CONCATENATE(تقویم!$A$2,EventsTable[[#This Row],[روز و ماه]])</f>
        <v>14001121</v>
      </c>
    </row>
    <row r="206" spans="13:19" ht="60" x14ac:dyDescent="0.25">
      <c r="M206" s="217"/>
      <c r="N206" s="218"/>
      <c r="O206" s="219"/>
      <c r="Q206" s="215" t="s">
        <v>766</v>
      </c>
      <c r="R206" s="149" t="s">
        <v>767</v>
      </c>
      <c r="S206" s="153" t="str">
        <f>CONCATENATE(تقویم!$A$2,EventsTable[[#This Row],[روز و ماه]])</f>
        <v>14001125</v>
      </c>
    </row>
    <row r="207" spans="13:19" ht="30" x14ac:dyDescent="0.25">
      <c r="M207" s="217"/>
      <c r="N207" s="218"/>
      <c r="O207" s="219"/>
      <c r="Q207" s="215" t="s">
        <v>768</v>
      </c>
      <c r="R207" s="149" t="s">
        <v>769</v>
      </c>
      <c r="S207" s="153" t="str">
        <f>CONCATENATE(تقویم!$A$2,EventsTable[[#This Row],[روز و ماه]])</f>
        <v>14001129</v>
      </c>
    </row>
    <row r="208" spans="13:19" x14ac:dyDescent="0.25">
      <c r="M208" s="217"/>
      <c r="N208" s="218"/>
      <c r="O208" s="219"/>
      <c r="Q208" s="215" t="s">
        <v>770</v>
      </c>
      <c r="R208" s="149" t="s">
        <v>769</v>
      </c>
      <c r="S208" s="153" t="str">
        <f>CONCATENATE(تقویم!$A$2,EventsTable[[#This Row],[روز و ماه]])</f>
        <v>14001129</v>
      </c>
    </row>
    <row r="209" spans="13:19" ht="30" x14ac:dyDescent="0.25">
      <c r="M209" s="217"/>
      <c r="N209" s="218"/>
      <c r="O209" s="219"/>
      <c r="Q209" s="215" t="s">
        <v>771</v>
      </c>
      <c r="R209" s="149" t="s">
        <v>772</v>
      </c>
      <c r="S209" s="153" t="str">
        <f>CONCATENATE(تقویم!$A$2,EventsTable[[#This Row],[روز و ماه]])</f>
        <v>14001203</v>
      </c>
    </row>
    <row r="210" spans="13:19" x14ac:dyDescent="0.25">
      <c r="M210" s="217"/>
      <c r="N210" s="218"/>
      <c r="O210" s="219"/>
      <c r="Q210" s="215" t="s">
        <v>773</v>
      </c>
      <c r="R210" s="149" t="s">
        <v>774</v>
      </c>
      <c r="S210" s="153" t="str">
        <f>CONCATENATE(تقویم!$A$2,EventsTable[[#This Row],[روز و ماه]])</f>
        <v>14001205</v>
      </c>
    </row>
    <row r="211" spans="13:19" x14ac:dyDescent="0.25">
      <c r="M211" s="217"/>
      <c r="N211" s="218"/>
      <c r="O211" s="219"/>
      <c r="Q211" s="215" t="s">
        <v>775</v>
      </c>
      <c r="R211" s="149" t="s">
        <v>774</v>
      </c>
      <c r="S211" s="153" t="str">
        <f>CONCATENATE(تقویم!$A$2,EventsTable[[#This Row],[روز و ماه]])</f>
        <v>14001205</v>
      </c>
    </row>
    <row r="212" spans="13:19" x14ac:dyDescent="0.25">
      <c r="M212" s="217"/>
      <c r="N212" s="218"/>
      <c r="O212" s="219"/>
      <c r="Q212" s="215" t="s">
        <v>776</v>
      </c>
      <c r="R212" s="149" t="s">
        <v>777</v>
      </c>
      <c r="S212" s="153" t="str">
        <f>CONCATENATE(تقویم!$A$2,EventsTable[[#This Row],[روز و ماه]])</f>
        <v>14001208</v>
      </c>
    </row>
    <row r="213" spans="13:19" ht="30" x14ac:dyDescent="0.25">
      <c r="M213" s="217"/>
      <c r="N213" s="218"/>
      <c r="O213" s="219"/>
      <c r="Q213" s="215" t="s">
        <v>778</v>
      </c>
      <c r="R213" s="149" t="s">
        <v>777</v>
      </c>
      <c r="S213" s="153" t="str">
        <f>CONCATENATE(تقویم!$A$2,EventsTable[[#This Row],[روز و ماه]])</f>
        <v>14001208</v>
      </c>
    </row>
    <row r="214" spans="13:19" x14ac:dyDescent="0.25">
      <c r="M214" s="217"/>
      <c r="N214" s="218"/>
      <c r="O214" s="219"/>
      <c r="Q214" s="215" t="s">
        <v>779</v>
      </c>
      <c r="R214" s="149" t="s">
        <v>780</v>
      </c>
      <c r="S214" s="153" t="str">
        <f>CONCATENATE(تقویم!$A$2,EventsTable[[#This Row],[روز و ماه]])</f>
        <v>14001209</v>
      </c>
    </row>
    <row r="215" spans="13:19" x14ac:dyDescent="0.25">
      <c r="M215" s="217"/>
      <c r="N215" s="218"/>
      <c r="O215" s="219"/>
      <c r="Q215" s="215" t="s">
        <v>781</v>
      </c>
      <c r="R215" s="149" t="s">
        <v>782</v>
      </c>
      <c r="S215" s="153" t="str">
        <f>CONCATENATE(تقویم!$A$2,EventsTable[[#This Row],[روز و ماه]])</f>
        <v>14001214</v>
      </c>
    </row>
    <row r="216" spans="13:19" x14ac:dyDescent="0.25">
      <c r="M216" s="217"/>
      <c r="N216" s="218"/>
      <c r="O216" s="219"/>
      <c r="Q216" s="215" t="s">
        <v>783</v>
      </c>
      <c r="R216" s="149" t="s">
        <v>782</v>
      </c>
      <c r="S216" s="153" t="str">
        <f>CONCATENATE(تقویم!$A$2,EventsTable[[#This Row],[روز و ماه]])</f>
        <v>14001214</v>
      </c>
    </row>
    <row r="217" spans="13:19" x14ac:dyDescent="0.25">
      <c r="M217" s="217"/>
      <c r="N217" s="218"/>
      <c r="O217" s="219"/>
      <c r="Q217" s="215" t="s">
        <v>784</v>
      </c>
      <c r="R217" s="149" t="s">
        <v>785</v>
      </c>
      <c r="S217" s="153" t="str">
        <f>CONCATENATE(تقویم!$A$2,EventsTable[[#This Row],[روز و ماه]])</f>
        <v>14001215</v>
      </c>
    </row>
    <row r="218" spans="13:19" x14ac:dyDescent="0.25">
      <c r="M218" s="217"/>
      <c r="N218" s="218"/>
      <c r="O218" s="219"/>
      <c r="Q218" s="215" t="s">
        <v>786</v>
      </c>
      <c r="R218" s="149" t="s">
        <v>787</v>
      </c>
      <c r="S218" s="153" t="str">
        <f>CONCATENATE(تقویم!$A$2,EventsTable[[#This Row],[روز و ماه]])</f>
        <v>14001218</v>
      </c>
    </row>
    <row r="219" spans="13:19" ht="30" x14ac:dyDescent="0.25">
      <c r="M219" s="217"/>
      <c r="N219" s="218"/>
      <c r="O219" s="219"/>
      <c r="Q219" s="215" t="s">
        <v>788</v>
      </c>
      <c r="R219" s="149" t="s">
        <v>787</v>
      </c>
      <c r="S219" s="153" t="str">
        <f>CONCATENATE(تقویم!$A$2,EventsTable[[#This Row],[روز و ماه]])</f>
        <v>14001218</v>
      </c>
    </row>
    <row r="220" spans="13:19" x14ac:dyDescent="0.25">
      <c r="M220" s="217"/>
      <c r="N220" s="218"/>
      <c r="O220" s="219"/>
      <c r="Q220" s="215" t="s">
        <v>789</v>
      </c>
      <c r="R220" s="149" t="s">
        <v>790</v>
      </c>
      <c r="S220" s="153" t="str">
        <f>CONCATENATE(تقویم!$A$2,EventsTable[[#This Row],[روز و ماه]])</f>
        <v>14001220</v>
      </c>
    </row>
    <row r="221" spans="13:19" x14ac:dyDescent="0.25">
      <c r="M221" s="217"/>
      <c r="N221" s="218"/>
      <c r="O221" s="219"/>
      <c r="Q221" s="215" t="s">
        <v>791</v>
      </c>
      <c r="R221" s="149" t="s">
        <v>792</v>
      </c>
      <c r="S221" s="153" t="str">
        <f>CONCATENATE(تقویم!$A$2,EventsTable[[#This Row],[روز و ماه]])</f>
        <v>14001221</v>
      </c>
    </row>
    <row r="222" spans="13:19" ht="60" x14ac:dyDescent="0.25">
      <c r="M222" s="217"/>
      <c r="N222" s="218"/>
      <c r="O222" s="219"/>
      <c r="Q222" s="215" t="s">
        <v>793</v>
      </c>
      <c r="R222" s="149" t="s">
        <v>794</v>
      </c>
      <c r="S222" s="153" t="str">
        <f>CONCATENATE(تقویم!$A$2,EventsTable[[#This Row],[روز و ماه]])</f>
        <v>14001222</v>
      </c>
    </row>
    <row r="223" spans="13:19" ht="30" x14ac:dyDescent="0.25">
      <c r="M223" s="217"/>
      <c r="N223" s="218"/>
      <c r="O223" s="219"/>
      <c r="Q223" s="215" t="s">
        <v>795</v>
      </c>
      <c r="R223" s="149" t="s">
        <v>796</v>
      </c>
      <c r="S223" s="153" t="str">
        <f>CONCATENATE(تقویم!$A$2,EventsTable[[#This Row],[روز و ماه]])</f>
        <v>14001225</v>
      </c>
    </row>
    <row r="224" spans="13:19" ht="30" x14ac:dyDescent="0.25">
      <c r="M224" s="217"/>
      <c r="N224" s="218"/>
      <c r="O224" s="219"/>
      <c r="Q224" s="215" t="s">
        <v>797</v>
      </c>
      <c r="R224" s="149" t="s">
        <v>798</v>
      </c>
      <c r="S224" s="153" t="str">
        <f>CONCATENATE(تقویم!$A$2,EventsTable[[#This Row],[روز و ماه]])</f>
        <v>14001230</v>
      </c>
    </row>
    <row r="225" spans="13:19" x14ac:dyDescent="0.25">
      <c r="M225" s="217"/>
      <c r="N225" s="218"/>
      <c r="O225" s="219"/>
      <c r="Q225" s="220"/>
      <c r="R225" s="220"/>
      <c r="S225" s="219"/>
    </row>
    <row r="226" spans="13:19" x14ac:dyDescent="0.25">
      <c r="M226" s="217"/>
      <c r="N226" s="218"/>
      <c r="O226" s="219"/>
      <c r="Q226" s="220"/>
      <c r="R226" s="220"/>
      <c r="S226" s="219"/>
    </row>
    <row r="227" spans="13:19" x14ac:dyDescent="0.25">
      <c r="M227" s="217"/>
      <c r="N227" s="218"/>
      <c r="O227" s="219"/>
      <c r="Q227" s="220"/>
      <c r="R227" s="220"/>
      <c r="S227" s="219"/>
    </row>
    <row r="228" spans="13:19" x14ac:dyDescent="0.25">
      <c r="M228" s="217"/>
      <c r="N228" s="218"/>
      <c r="O228" s="219"/>
      <c r="Q228" s="220"/>
      <c r="R228" s="220"/>
      <c r="S228" s="219"/>
    </row>
    <row r="229" spans="13:19" x14ac:dyDescent="0.25">
      <c r="M229" s="217"/>
      <c r="N229" s="218"/>
      <c r="O229" s="219"/>
      <c r="Q229" s="220"/>
      <c r="R229" s="220"/>
      <c r="S229" s="219"/>
    </row>
    <row r="230" spans="13:19" x14ac:dyDescent="0.25">
      <c r="M230" s="217"/>
      <c r="N230" s="218"/>
      <c r="O230" s="219"/>
      <c r="Q230" s="220"/>
      <c r="R230" s="220"/>
      <c r="S230" s="219"/>
    </row>
    <row r="231" spans="13:19" x14ac:dyDescent="0.25">
      <c r="M231" s="217"/>
      <c r="N231" s="218"/>
      <c r="O231" s="219"/>
      <c r="Q231" s="220"/>
      <c r="R231" s="220"/>
      <c r="S231" s="219"/>
    </row>
    <row r="232" spans="13:19" x14ac:dyDescent="0.25">
      <c r="M232" s="217"/>
      <c r="N232" s="218"/>
      <c r="O232" s="219"/>
      <c r="Q232" s="220"/>
      <c r="R232" s="220"/>
      <c r="S232" s="219"/>
    </row>
    <row r="233" spans="13:19" x14ac:dyDescent="0.25">
      <c r="M233" s="217"/>
      <c r="N233" s="218"/>
      <c r="O233" s="219"/>
      <c r="Q233" s="220"/>
      <c r="R233" s="220"/>
      <c r="S233" s="219"/>
    </row>
    <row r="234" spans="13:19" x14ac:dyDescent="0.25">
      <c r="M234" s="217"/>
      <c r="N234" s="218"/>
      <c r="O234" s="219"/>
      <c r="Q234" s="220"/>
      <c r="R234" s="220"/>
      <c r="S234" s="219"/>
    </row>
    <row r="235" spans="13:19" x14ac:dyDescent="0.25">
      <c r="M235" s="217"/>
      <c r="N235" s="218"/>
      <c r="O235" s="219"/>
      <c r="Q235" s="220"/>
      <c r="R235" s="220"/>
      <c r="S235" s="219"/>
    </row>
    <row r="236" spans="13:19" x14ac:dyDescent="0.25">
      <c r="M236" s="217"/>
      <c r="N236" s="218"/>
      <c r="O236" s="219"/>
      <c r="Q236" s="220"/>
      <c r="R236" s="220"/>
      <c r="S236" s="219"/>
    </row>
    <row r="237" spans="13:19" x14ac:dyDescent="0.25">
      <c r="M237" s="217"/>
      <c r="N237" s="218"/>
      <c r="O237" s="219"/>
      <c r="Q237" s="220"/>
      <c r="R237" s="220"/>
      <c r="S237" s="219"/>
    </row>
    <row r="238" spans="13:19" x14ac:dyDescent="0.25">
      <c r="M238" s="217"/>
      <c r="N238" s="218"/>
      <c r="O238" s="219"/>
      <c r="Q238" s="220"/>
      <c r="R238" s="220"/>
      <c r="S238" s="219"/>
    </row>
    <row r="239" spans="13:19" x14ac:dyDescent="0.25">
      <c r="M239" s="217"/>
      <c r="N239" s="218"/>
      <c r="O239" s="219"/>
      <c r="Q239" s="220"/>
      <c r="R239" s="220"/>
      <c r="S239" s="219"/>
    </row>
    <row r="240" spans="13:19" x14ac:dyDescent="0.25">
      <c r="M240" s="217"/>
      <c r="N240" s="218"/>
      <c r="O240" s="219"/>
      <c r="Q240" s="220"/>
      <c r="R240" s="220"/>
      <c r="S240" s="219"/>
    </row>
    <row r="241" spans="13:19" x14ac:dyDescent="0.25">
      <c r="M241" s="217"/>
      <c r="N241" s="218"/>
      <c r="O241" s="219"/>
      <c r="Q241" s="220"/>
      <c r="R241" s="220"/>
      <c r="S241" s="219"/>
    </row>
    <row r="242" spans="13:19" x14ac:dyDescent="0.25">
      <c r="M242" s="217"/>
      <c r="N242" s="218"/>
      <c r="O242" s="219"/>
      <c r="Q242" s="220"/>
      <c r="R242" s="220"/>
      <c r="S242" s="219"/>
    </row>
    <row r="243" spans="13:19" x14ac:dyDescent="0.25">
      <c r="M243" s="217"/>
      <c r="N243" s="218"/>
      <c r="O243" s="219"/>
      <c r="Q243" s="220"/>
      <c r="R243" s="220"/>
      <c r="S243" s="219"/>
    </row>
    <row r="244" spans="13:19" x14ac:dyDescent="0.25">
      <c r="M244" s="217"/>
      <c r="N244" s="218"/>
      <c r="O244" s="219"/>
      <c r="Q244" s="220"/>
      <c r="R244" s="220"/>
      <c r="S244" s="219"/>
    </row>
    <row r="245" spans="13:19" x14ac:dyDescent="0.25">
      <c r="M245" s="217"/>
      <c r="N245" s="218"/>
      <c r="O245" s="219"/>
      <c r="Q245" s="220"/>
      <c r="R245" s="220"/>
      <c r="S245" s="219"/>
    </row>
    <row r="246" spans="13:19" x14ac:dyDescent="0.25">
      <c r="M246" s="217"/>
      <c r="N246" s="218"/>
      <c r="O246" s="219"/>
      <c r="Q246" s="220"/>
      <c r="R246" s="220"/>
      <c r="S246" s="219"/>
    </row>
    <row r="247" spans="13:19" x14ac:dyDescent="0.25">
      <c r="M247" s="217"/>
      <c r="N247" s="218"/>
      <c r="O247" s="219"/>
      <c r="Q247" s="220"/>
      <c r="R247" s="220"/>
      <c r="S247" s="219"/>
    </row>
    <row r="248" spans="13:19" x14ac:dyDescent="0.25">
      <c r="M248" s="217"/>
      <c r="N248" s="218"/>
      <c r="O248" s="219"/>
      <c r="Q248" s="220"/>
      <c r="R248" s="220"/>
      <c r="S248" s="219"/>
    </row>
    <row r="249" spans="13:19" x14ac:dyDescent="0.25">
      <c r="M249" s="217"/>
      <c r="N249" s="218"/>
      <c r="O249" s="219"/>
      <c r="Q249" s="220"/>
      <c r="R249" s="220"/>
      <c r="S249" s="219"/>
    </row>
    <row r="250" spans="13:19" x14ac:dyDescent="0.25">
      <c r="M250" s="217"/>
      <c r="N250" s="218"/>
      <c r="O250" s="219"/>
      <c r="Q250" s="220"/>
      <c r="R250" s="220"/>
      <c r="S250" s="219"/>
    </row>
    <row r="251" spans="13:19" x14ac:dyDescent="0.25">
      <c r="M251" s="217"/>
      <c r="N251" s="218"/>
      <c r="O251" s="219"/>
      <c r="Q251" s="220"/>
      <c r="R251" s="220"/>
      <c r="S251" s="219"/>
    </row>
    <row r="252" spans="13:19" x14ac:dyDescent="0.25">
      <c r="M252" s="217"/>
      <c r="N252" s="218"/>
      <c r="O252" s="219"/>
      <c r="Q252" s="220"/>
      <c r="R252" s="220"/>
      <c r="S252" s="219"/>
    </row>
    <row r="253" spans="13:19" x14ac:dyDescent="0.25">
      <c r="M253" s="217"/>
      <c r="N253" s="218"/>
      <c r="O253" s="219"/>
      <c r="Q253" s="220"/>
      <c r="R253" s="220"/>
      <c r="S253" s="219"/>
    </row>
    <row r="254" spans="13:19" x14ac:dyDescent="0.25">
      <c r="M254" s="217"/>
      <c r="N254" s="218"/>
      <c r="O254" s="219"/>
      <c r="Q254" s="220"/>
      <c r="R254" s="220"/>
      <c r="S254" s="219"/>
    </row>
    <row r="255" spans="13:19" x14ac:dyDescent="0.25">
      <c r="M255" s="217"/>
      <c r="N255" s="218"/>
      <c r="O255" s="219"/>
      <c r="Q255" s="220"/>
      <c r="R255" s="220"/>
      <c r="S255" s="219"/>
    </row>
    <row r="256" spans="13:19" x14ac:dyDescent="0.25">
      <c r="M256" s="217"/>
      <c r="N256" s="218"/>
      <c r="O256" s="219"/>
      <c r="Q256" s="220"/>
      <c r="R256" s="220"/>
      <c r="S256" s="219"/>
    </row>
    <row r="257" spans="13:19" x14ac:dyDescent="0.25">
      <c r="M257" s="217"/>
      <c r="N257" s="218"/>
      <c r="O257" s="219"/>
      <c r="Q257" s="220"/>
      <c r="R257" s="220"/>
      <c r="S257" s="219"/>
    </row>
    <row r="258" spans="13:19" x14ac:dyDescent="0.25">
      <c r="M258" s="217"/>
      <c r="N258" s="218"/>
      <c r="O258" s="219"/>
      <c r="Q258" s="220"/>
      <c r="R258" s="220"/>
      <c r="S258" s="219"/>
    </row>
    <row r="259" spans="13:19" x14ac:dyDescent="0.25">
      <c r="M259" s="217"/>
      <c r="N259" s="218"/>
      <c r="O259" s="219"/>
      <c r="Q259" s="220"/>
      <c r="R259" s="220"/>
      <c r="S259" s="219"/>
    </row>
    <row r="260" spans="13:19" x14ac:dyDescent="0.25">
      <c r="M260" s="217"/>
      <c r="N260" s="218"/>
      <c r="O260" s="219"/>
      <c r="Q260" s="220"/>
      <c r="R260" s="220"/>
      <c r="S260" s="219"/>
    </row>
    <row r="261" spans="13:19" x14ac:dyDescent="0.25">
      <c r="M261" s="217"/>
      <c r="N261" s="218"/>
      <c r="O261" s="219"/>
      <c r="Q261" s="220"/>
      <c r="R261" s="220"/>
      <c r="S261" s="219"/>
    </row>
    <row r="262" spans="13:19" x14ac:dyDescent="0.25">
      <c r="M262" s="217"/>
      <c r="N262" s="218"/>
      <c r="O262" s="219"/>
      <c r="Q262" s="220"/>
      <c r="R262" s="220"/>
      <c r="S262" s="219"/>
    </row>
    <row r="263" spans="13:19" x14ac:dyDescent="0.25">
      <c r="M263" s="217"/>
      <c r="N263" s="218"/>
      <c r="O263" s="219"/>
      <c r="Q263" s="220"/>
      <c r="R263" s="220"/>
      <c r="S263" s="219"/>
    </row>
    <row r="264" spans="13:19" x14ac:dyDescent="0.25">
      <c r="M264" s="217"/>
      <c r="N264" s="218"/>
      <c r="O264" s="219"/>
      <c r="Q264" s="220"/>
      <c r="R264" s="220"/>
      <c r="S264" s="219"/>
    </row>
    <row r="265" spans="13:19" x14ac:dyDescent="0.25">
      <c r="M265" s="217"/>
      <c r="N265" s="218"/>
      <c r="O265" s="219"/>
      <c r="Q265" s="220"/>
      <c r="R265" s="220"/>
      <c r="S265" s="219"/>
    </row>
    <row r="266" spans="13:19" x14ac:dyDescent="0.25">
      <c r="M266" s="217"/>
      <c r="N266" s="218"/>
      <c r="O266" s="219"/>
      <c r="Q266" s="220"/>
      <c r="R266" s="220"/>
      <c r="S266" s="219"/>
    </row>
    <row r="267" spans="13:19" x14ac:dyDescent="0.25">
      <c r="M267" s="217"/>
      <c r="N267" s="218"/>
      <c r="O267" s="219"/>
      <c r="Q267" s="220"/>
      <c r="R267" s="220"/>
      <c r="S267" s="219"/>
    </row>
    <row r="268" spans="13:19" x14ac:dyDescent="0.25">
      <c r="M268" s="217"/>
      <c r="N268" s="218"/>
      <c r="O268" s="219"/>
      <c r="Q268" s="220"/>
      <c r="R268" s="220"/>
      <c r="S268" s="219"/>
    </row>
    <row r="269" spans="13:19" x14ac:dyDescent="0.25">
      <c r="M269" s="217"/>
      <c r="N269" s="218"/>
      <c r="O269" s="219"/>
      <c r="Q269" s="220"/>
      <c r="R269" s="220"/>
      <c r="S269" s="219"/>
    </row>
    <row r="270" spans="13:19" x14ac:dyDescent="0.25">
      <c r="M270" s="217"/>
      <c r="N270" s="218"/>
      <c r="O270" s="219"/>
      <c r="Q270" s="220"/>
      <c r="R270" s="220"/>
      <c r="S270" s="219"/>
    </row>
    <row r="271" spans="13:19" x14ac:dyDescent="0.25">
      <c r="M271" s="217"/>
      <c r="N271" s="218"/>
      <c r="O271" s="219"/>
      <c r="Q271" s="220"/>
      <c r="R271" s="220"/>
      <c r="S271" s="219"/>
    </row>
    <row r="272" spans="13:19" x14ac:dyDescent="0.25">
      <c r="M272" s="217"/>
      <c r="N272" s="218"/>
      <c r="O272" s="219"/>
      <c r="Q272" s="220"/>
      <c r="R272" s="220"/>
      <c r="S272" s="219"/>
    </row>
    <row r="273" spans="13:19" x14ac:dyDescent="0.25">
      <c r="M273" s="217"/>
      <c r="N273" s="218"/>
      <c r="O273" s="219"/>
      <c r="Q273" s="220"/>
      <c r="R273" s="220"/>
      <c r="S273" s="219"/>
    </row>
    <row r="274" spans="13:19" x14ac:dyDescent="0.25">
      <c r="M274" s="217"/>
      <c r="N274" s="218"/>
      <c r="O274" s="219"/>
      <c r="Q274" s="220"/>
      <c r="R274" s="220"/>
      <c r="S274" s="219"/>
    </row>
    <row r="275" spans="13:19" x14ac:dyDescent="0.25">
      <c r="M275" s="217"/>
      <c r="N275" s="218"/>
      <c r="O275" s="219"/>
      <c r="Q275" s="220"/>
      <c r="R275" s="220"/>
      <c r="S275" s="219"/>
    </row>
    <row r="276" spans="13:19" x14ac:dyDescent="0.25">
      <c r="M276" s="217"/>
      <c r="N276" s="218"/>
      <c r="O276" s="219"/>
      <c r="Q276" s="220"/>
      <c r="R276" s="220"/>
      <c r="S276" s="219"/>
    </row>
    <row r="277" spans="13:19" x14ac:dyDescent="0.25">
      <c r="M277" s="217"/>
      <c r="N277" s="218"/>
      <c r="O277" s="219"/>
      <c r="Q277" s="220"/>
      <c r="R277" s="220"/>
      <c r="S277" s="219"/>
    </row>
    <row r="278" spans="13:19" x14ac:dyDescent="0.25">
      <c r="M278" s="217"/>
      <c r="N278" s="218"/>
      <c r="O278" s="219"/>
      <c r="Q278" s="220"/>
      <c r="R278" s="220"/>
      <c r="S278" s="219"/>
    </row>
    <row r="279" spans="13:19" x14ac:dyDescent="0.25">
      <c r="M279" s="217"/>
      <c r="N279" s="218"/>
      <c r="O279" s="219"/>
      <c r="Q279" s="220"/>
      <c r="R279" s="220"/>
      <c r="S279" s="219"/>
    </row>
    <row r="280" spans="13:19" x14ac:dyDescent="0.25">
      <c r="M280" s="217"/>
      <c r="N280" s="218"/>
      <c r="O280" s="219"/>
      <c r="Q280" s="220"/>
      <c r="R280" s="220"/>
      <c r="S280" s="219"/>
    </row>
    <row r="281" spans="13:19" x14ac:dyDescent="0.25">
      <c r="M281" s="217"/>
      <c r="N281" s="218"/>
      <c r="O281" s="219"/>
      <c r="Q281" s="220"/>
      <c r="R281" s="220"/>
      <c r="S281" s="219"/>
    </row>
    <row r="282" spans="13:19" x14ac:dyDescent="0.25">
      <c r="M282" s="217"/>
      <c r="N282" s="218"/>
      <c r="O282" s="219"/>
      <c r="Q282" s="220"/>
      <c r="R282" s="220"/>
      <c r="S282" s="219"/>
    </row>
    <row r="283" spans="13:19" x14ac:dyDescent="0.25">
      <c r="M283" s="217"/>
      <c r="N283" s="218"/>
      <c r="O283" s="219"/>
      <c r="Q283" s="220"/>
      <c r="R283" s="220"/>
      <c r="S283" s="219"/>
    </row>
    <row r="284" spans="13:19" x14ac:dyDescent="0.25">
      <c r="M284" s="217"/>
      <c r="N284" s="218"/>
      <c r="O284" s="219"/>
      <c r="Q284" s="220"/>
      <c r="R284" s="220"/>
      <c r="S284" s="219"/>
    </row>
    <row r="285" spans="13:19" x14ac:dyDescent="0.25">
      <c r="M285" s="217"/>
      <c r="N285" s="218"/>
      <c r="O285" s="219"/>
      <c r="Q285" s="220"/>
      <c r="R285" s="220"/>
      <c r="S285" s="219"/>
    </row>
    <row r="286" spans="13:19" x14ac:dyDescent="0.25">
      <c r="M286" s="217"/>
      <c r="N286" s="218"/>
      <c r="O286" s="219"/>
      <c r="Q286" s="220"/>
      <c r="R286" s="220"/>
      <c r="S286" s="219"/>
    </row>
    <row r="287" spans="13:19" x14ac:dyDescent="0.25">
      <c r="M287" s="217"/>
      <c r="N287" s="218"/>
      <c r="O287" s="219"/>
      <c r="Q287" s="220"/>
      <c r="R287" s="220"/>
      <c r="S287" s="219"/>
    </row>
    <row r="288" spans="13:19" x14ac:dyDescent="0.25">
      <c r="M288" s="217"/>
      <c r="N288" s="218"/>
      <c r="O288" s="219"/>
      <c r="Q288" s="220"/>
      <c r="R288" s="220"/>
      <c r="S288" s="219"/>
    </row>
    <row r="289" spans="13:19" x14ac:dyDescent="0.25">
      <c r="M289" s="217"/>
      <c r="N289" s="218"/>
      <c r="O289" s="219"/>
      <c r="Q289" s="220"/>
      <c r="R289" s="220"/>
      <c r="S289" s="219"/>
    </row>
    <row r="290" spans="13:19" x14ac:dyDescent="0.25">
      <c r="M290" s="217"/>
      <c r="N290" s="218"/>
      <c r="O290" s="219"/>
      <c r="Q290" s="220"/>
      <c r="R290" s="220"/>
      <c r="S290" s="219"/>
    </row>
    <row r="291" spans="13:19" x14ac:dyDescent="0.25">
      <c r="M291" s="217"/>
      <c r="N291" s="218"/>
      <c r="O291" s="219"/>
      <c r="Q291" s="220"/>
      <c r="R291" s="220"/>
      <c r="S291" s="219"/>
    </row>
    <row r="292" spans="13:19" x14ac:dyDescent="0.25">
      <c r="M292" s="217"/>
      <c r="N292" s="218"/>
      <c r="O292" s="219"/>
      <c r="Q292" s="220"/>
      <c r="R292" s="220"/>
      <c r="S292" s="219"/>
    </row>
    <row r="293" spans="13:19" x14ac:dyDescent="0.25">
      <c r="M293" s="217"/>
      <c r="N293" s="218"/>
      <c r="O293" s="219"/>
      <c r="Q293" s="220"/>
      <c r="R293" s="220"/>
      <c r="S293" s="219"/>
    </row>
    <row r="294" spans="13:19" x14ac:dyDescent="0.25">
      <c r="M294" s="217"/>
      <c r="N294" s="218"/>
      <c r="O294" s="219"/>
      <c r="Q294" s="220"/>
      <c r="R294" s="220"/>
      <c r="S294" s="219"/>
    </row>
    <row r="295" spans="13:19" x14ac:dyDescent="0.25">
      <c r="M295" s="217"/>
      <c r="N295" s="218"/>
      <c r="O295" s="219"/>
      <c r="Q295" s="220"/>
      <c r="R295" s="220"/>
      <c r="S295" s="219"/>
    </row>
    <row r="296" spans="13:19" x14ac:dyDescent="0.25">
      <c r="M296" s="217"/>
      <c r="N296" s="218"/>
      <c r="O296" s="219"/>
      <c r="Q296" s="220"/>
      <c r="R296" s="220"/>
      <c r="S296" s="219"/>
    </row>
    <row r="297" spans="13:19" x14ac:dyDescent="0.25">
      <c r="M297" s="217"/>
      <c r="N297" s="218"/>
      <c r="O297" s="219"/>
      <c r="Q297" s="220"/>
      <c r="R297" s="220"/>
      <c r="S297" s="219"/>
    </row>
    <row r="298" spans="13:19" x14ac:dyDescent="0.25">
      <c r="M298" s="217"/>
      <c r="N298" s="218"/>
      <c r="O298" s="219"/>
      <c r="Q298" s="220"/>
      <c r="R298" s="220"/>
      <c r="S298" s="219"/>
    </row>
    <row r="299" spans="13:19" x14ac:dyDescent="0.25">
      <c r="M299" s="217"/>
      <c r="N299" s="218"/>
      <c r="O299" s="219"/>
      <c r="Q299" s="220"/>
      <c r="R299" s="220"/>
      <c r="S299" s="219"/>
    </row>
    <row r="300" spans="13:19" x14ac:dyDescent="0.25">
      <c r="M300" s="217"/>
      <c r="N300" s="218"/>
      <c r="O300" s="219"/>
      <c r="Q300" s="220"/>
      <c r="R300" s="220"/>
      <c r="S300" s="219"/>
    </row>
    <row r="301" spans="13:19" x14ac:dyDescent="0.25">
      <c r="M301" s="217"/>
      <c r="N301" s="218"/>
      <c r="O301" s="219"/>
      <c r="Q301" s="220"/>
      <c r="R301" s="220"/>
      <c r="S301" s="219"/>
    </row>
    <row r="302" spans="13:19" x14ac:dyDescent="0.25">
      <c r="M302" s="217"/>
      <c r="N302" s="218"/>
      <c r="O302" s="219"/>
      <c r="Q302" s="220"/>
      <c r="R302" s="220"/>
      <c r="S302" s="219"/>
    </row>
    <row r="303" spans="13:19" x14ac:dyDescent="0.25">
      <c r="M303" s="217"/>
      <c r="N303" s="218"/>
      <c r="O303" s="219"/>
      <c r="Q303" s="220"/>
      <c r="R303" s="220"/>
      <c r="S303" s="219"/>
    </row>
    <row r="304" spans="13:19" x14ac:dyDescent="0.25">
      <c r="M304" s="217"/>
      <c r="N304" s="218"/>
      <c r="O304" s="219"/>
      <c r="Q304" s="220"/>
      <c r="R304" s="220"/>
      <c r="S304" s="219"/>
    </row>
    <row r="305" spans="13:19" x14ac:dyDescent="0.25">
      <c r="M305" s="217"/>
      <c r="N305" s="218"/>
      <c r="O305" s="219"/>
      <c r="Q305" s="220"/>
      <c r="R305" s="220"/>
      <c r="S305" s="219"/>
    </row>
    <row r="306" spans="13:19" x14ac:dyDescent="0.25">
      <c r="M306" s="217"/>
      <c r="N306" s="218"/>
      <c r="O306" s="219"/>
      <c r="Q306" s="220"/>
      <c r="R306" s="220"/>
      <c r="S306" s="219"/>
    </row>
    <row r="307" spans="13:19" x14ac:dyDescent="0.25">
      <c r="M307" s="217"/>
      <c r="N307" s="218"/>
      <c r="O307" s="219"/>
      <c r="Q307" s="220"/>
      <c r="R307" s="220"/>
      <c r="S307" s="219"/>
    </row>
    <row r="308" spans="13:19" x14ac:dyDescent="0.25">
      <c r="M308" s="217"/>
      <c r="N308" s="218"/>
      <c r="O308" s="219"/>
      <c r="Q308" s="220"/>
      <c r="R308" s="220"/>
      <c r="S308" s="219"/>
    </row>
    <row r="309" spans="13:19" x14ac:dyDescent="0.25">
      <c r="M309" s="217"/>
      <c r="N309" s="218"/>
      <c r="O309" s="219"/>
      <c r="Q309" s="220"/>
      <c r="R309" s="220"/>
      <c r="S309" s="219"/>
    </row>
    <row r="310" spans="13:19" x14ac:dyDescent="0.25">
      <c r="M310" s="217"/>
      <c r="N310" s="218"/>
      <c r="O310" s="219"/>
      <c r="Q310" s="220"/>
      <c r="R310" s="220"/>
      <c r="S310" s="219"/>
    </row>
    <row r="311" spans="13:19" x14ac:dyDescent="0.25">
      <c r="M311" s="217"/>
      <c r="N311" s="218"/>
      <c r="O311" s="219"/>
      <c r="Q311" s="220"/>
      <c r="R311" s="220"/>
      <c r="S311" s="219"/>
    </row>
    <row r="312" spans="13:19" x14ac:dyDescent="0.25">
      <c r="M312" s="217"/>
      <c r="N312" s="218"/>
      <c r="O312" s="219"/>
      <c r="Q312" s="220"/>
      <c r="R312" s="220"/>
      <c r="S312" s="219"/>
    </row>
    <row r="313" spans="13:19" x14ac:dyDescent="0.25">
      <c r="M313" s="217"/>
      <c r="N313" s="218"/>
      <c r="O313" s="219"/>
      <c r="Q313" s="220"/>
      <c r="R313" s="220"/>
      <c r="S313" s="219"/>
    </row>
    <row r="314" spans="13:19" x14ac:dyDescent="0.25">
      <c r="M314" s="217"/>
      <c r="N314" s="218"/>
      <c r="O314" s="219"/>
      <c r="Q314" s="220"/>
      <c r="R314" s="220"/>
      <c r="S314" s="219"/>
    </row>
    <row r="315" spans="13:19" x14ac:dyDescent="0.25">
      <c r="M315" s="217"/>
      <c r="N315" s="218"/>
      <c r="O315" s="219"/>
      <c r="Q315" s="220"/>
      <c r="R315" s="220"/>
      <c r="S315" s="219"/>
    </row>
    <row r="316" spans="13:19" x14ac:dyDescent="0.25">
      <c r="M316" s="217"/>
      <c r="N316" s="218"/>
      <c r="O316" s="219"/>
      <c r="Q316" s="220"/>
      <c r="R316" s="220"/>
      <c r="S316" s="219"/>
    </row>
    <row r="317" spans="13:19" x14ac:dyDescent="0.25">
      <c r="M317" s="217"/>
      <c r="N317" s="218"/>
      <c r="O317" s="219"/>
      <c r="Q317" s="220"/>
      <c r="R317" s="220"/>
      <c r="S317" s="219"/>
    </row>
    <row r="318" spans="13:19" x14ac:dyDescent="0.25">
      <c r="M318" s="217"/>
      <c r="N318" s="218"/>
      <c r="O318" s="219"/>
      <c r="Q318" s="220"/>
      <c r="R318" s="220"/>
      <c r="S318" s="219"/>
    </row>
    <row r="319" spans="13:19" x14ac:dyDescent="0.25">
      <c r="M319" s="217"/>
      <c r="N319" s="218"/>
      <c r="O319" s="219"/>
      <c r="Q319" s="220"/>
      <c r="R319" s="220"/>
      <c r="S319" s="219"/>
    </row>
    <row r="320" spans="13:19" x14ac:dyDescent="0.25">
      <c r="M320" s="217"/>
      <c r="N320" s="218"/>
      <c r="O320" s="219"/>
      <c r="Q320" s="220"/>
      <c r="R320" s="220"/>
      <c r="S320" s="219"/>
    </row>
    <row r="321" spans="13:19" x14ac:dyDescent="0.25">
      <c r="M321" s="217"/>
      <c r="N321" s="218"/>
      <c r="O321" s="219"/>
      <c r="Q321" s="220"/>
      <c r="R321" s="220"/>
      <c r="S321" s="219"/>
    </row>
    <row r="322" spans="13:19" x14ac:dyDescent="0.25">
      <c r="M322" s="217"/>
      <c r="N322" s="218"/>
      <c r="O322" s="219"/>
      <c r="Q322" s="220"/>
      <c r="R322" s="220"/>
      <c r="S322" s="219"/>
    </row>
    <row r="323" spans="13:19" x14ac:dyDescent="0.25">
      <c r="M323" s="217"/>
      <c r="N323" s="218"/>
      <c r="O323" s="219"/>
      <c r="Q323" s="220"/>
      <c r="R323" s="220"/>
      <c r="S323" s="219"/>
    </row>
    <row r="324" spans="13:19" x14ac:dyDescent="0.25">
      <c r="M324" s="217"/>
      <c r="N324" s="218"/>
      <c r="O324" s="219"/>
      <c r="Q324" s="220"/>
      <c r="R324" s="220"/>
      <c r="S324" s="219"/>
    </row>
    <row r="325" spans="13:19" x14ac:dyDescent="0.25">
      <c r="M325" s="217"/>
      <c r="N325" s="218"/>
      <c r="O325" s="219"/>
      <c r="Q325" s="220"/>
      <c r="R325" s="220"/>
      <c r="S325" s="219"/>
    </row>
    <row r="326" spans="13:19" x14ac:dyDescent="0.25">
      <c r="M326" s="217"/>
      <c r="N326" s="218"/>
      <c r="O326" s="219"/>
      <c r="Q326" s="220"/>
      <c r="R326" s="220"/>
      <c r="S326" s="219"/>
    </row>
    <row r="327" spans="13:19" x14ac:dyDescent="0.25">
      <c r="M327" s="217"/>
      <c r="N327" s="218"/>
      <c r="O327" s="219"/>
      <c r="Q327" s="220"/>
      <c r="R327" s="220"/>
      <c r="S327" s="219"/>
    </row>
    <row r="328" spans="13:19" x14ac:dyDescent="0.25">
      <c r="M328" s="217"/>
      <c r="N328" s="218"/>
      <c r="O328" s="219"/>
      <c r="Q328" s="220"/>
      <c r="R328" s="220"/>
      <c r="S328" s="219"/>
    </row>
    <row r="329" spans="13:19" x14ac:dyDescent="0.25">
      <c r="M329" s="217"/>
      <c r="N329" s="218"/>
      <c r="O329" s="219"/>
      <c r="Q329" s="220"/>
      <c r="R329" s="220"/>
      <c r="S329" s="219"/>
    </row>
    <row r="330" spans="13:19" x14ac:dyDescent="0.25">
      <c r="M330" s="217"/>
      <c r="N330" s="218"/>
      <c r="O330" s="219"/>
      <c r="Q330" s="220"/>
      <c r="R330" s="220"/>
      <c r="S330" s="219"/>
    </row>
    <row r="331" spans="13:19" x14ac:dyDescent="0.25">
      <c r="M331" s="217"/>
      <c r="N331" s="218"/>
      <c r="O331" s="219"/>
      <c r="Q331" s="220"/>
      <c r="R331" s="220"/>
      <c r="S331" s="219"/>
    </row>
    <row r="332" spans="13:19" x14ac:dyDescent="0.25">
      <c r="M332" s="217"/>
      <c r="N332" s="218"/>
      <c r="O332" s="219"/>
      <c r="Q332" s="220"/>
      <c r="R332" s="220"/>
      <c r="S332" s="219"/>
    </row>
    <row r="333" spans="13:19" x14ac:dyDescent="0.25">
      <c r="M333" s="217"/>
      <c r="N333" s="218"/>
      <c r="O333" s="219"/>
      <c r="Q333" s="220"/>
      <c r="R333" s="220"/>
      <c r="S333" s="219"/>
    </row>
    <row r="334" spans="13:19" x14ac:dyDescent="0.25">
      <c r="M334" s="217"/>
      <c r="N334" s="218"/>
      <c r="O334" s="219"/>
      <c r="Q334" s="220"/>
      <c r="R334" s="220"/>
      <c r="S334" s="219"/>
    </row>
    <row r="335" spans="13:19" x14ac:dyDescent="0.25">
      <c r="M335" s="217"/>
      <c r="N335" s="218"/>
      <c r="O335" s="219"/>
      <c r="Q335" s="220"/>
      <c r="R335" s="220"/>
      <c r="S335" s="219"/>
    </row>
    <row r="336" spans="13:19" x14ac:dyDescent="0.25">
      <c r="M336" s="217"/>
      <c r="N336" s="218"/>
      <c r="O336" s="219"/>
      <c r="Q336" s="220"/>
      <c r="R336" s="220"/>
      <c r="S336" s="219"/>
    </row>
    <row r="337" spans="13:19" x14ac:dyDescent="0.25">
      <c r="M337" s="217"/>
      <c r="N337" s="218"/>
      <c r="O337" s="219"/>
      <c r="Q337" s="220"/>
      <c r="R337" s="220"/>
      <c r="S337" s="219"/>
    </row>
    <row r="338" spans="13:19" x14ac:dyDescent="0.25">
      <c r="M338" s="217"/>
      <c r="N338" s="218"/>
      <c r="O338" s="219"/>
      <c r="Q338" s="220"/>
      <c r="R338" s="220"/>
      <c r="S338" s="219"/>
    </row>
    <row r="339" spans="13:19" x14ac:dyDescent="0.25">
      <c r="M339" s="217"/>
      <c r="N339" s="218"/>
      <c r="O339" s="219"/>
      <c r="Q339" s="220"/>
      <c r="R339" s="220"/>
      <c r="S339" s="219"/>
    </row>
    <row r="340" spans="13:19" x14ac:dyDescent="0.25">
      <c r="M340" s="217"/>
      <c r="N340" s="218"/>
      <c r="O340" s="219"/>
      <c r="Q340" s="220"/>
      <c r="R340" s="220"/>
      <c r="S340" s="219"/>
    </row>
    <row r="341" spans="13:19" x14ac:dyDescent="0.25">
      <c r="M341" s="217"/>
      <c r="N341" s="218"/>
      <c r="O341" s="219"/>
      <c r="Q341" s="220"/>
      <c r="R341" s="220"/>
      <c r="S341" s="219"/>
    </row>
    <row r="342" spans="13:19" x14ac:dyDescent="0.25">
      <c r="M342" s="217"/>
      <c r="N342" s="218"/>
      <c r="O342" s="219"/>
      <c r="Q342" s="220"/>
      <c r="R342" s="220"/>
      <c r="S342" s="219"/>
    </row>
    <row r="343" spans="13:19" x14ac:dyDescent="0.25">
      <c r="M343" s="217"/>
      <c r="N343" s="218"/>
      <c r="O343" s="219"/>
      <c r="Q343" s="220"/>
      <c r="R343" s="220"/>
      <c r="S343" s="219"/>
    </row>
    <row r="344" spans="13:19" x14ac:dyDescent="0.25">
      <c r="M344" s="217"/>
      <c r="N344" s="218"/>
      <c r="O344" s="219"/>
      <c r="Q344" s="220"/>
      <c r="R344" s="220"/>
      <c r="S344" s="219"/>
    </row>
    <row r="345" spans="13:19" x14ac:dyDescent="0.25">
      <c r="M345" s="217"/>
      <c r="N345" s="218"/>
      <c r="O345" s="219"/>
      <c r="Q345" s="220"/>
      <c r="R345" s="220"/>
      <c r="S345" s="219"/>
    </row>
    <row r="346" spans="13:19" x14ac:dyDescent="0.25">
      <c r="M346" s="217"/>
      <c r="N346" s="218"/>
      <c r="O346" s="219"/>
      <c r="Q346" s="220"/>
      <c r="R346" s="220"/>
      <c r="S346" s="219"/>
    </row>
    <row r="347" spans="13:19" x14ac:dyDescent="0.25">
      <c r="M347" s="217"/>
      <c r="N347" s="218"/>
      <c r="O347" s="219"/>
      <c r="Q347" s="220"/>
      <c r="R347" s="220"/>
      <c r="S347" s="219"/>
    </row>
    <row r="348" spans="13:19" x14ac:dyDescent="0.25">
      <c r="M348" s="217"/>
      <c r="N348" s="218"/>
      <c r="O348" s="219"/>
      <c r="Q348" s="220"/>
      <c r="R348" s="220"/>
      <c r="S348" s="219"/>
    </row>
    <row r="349" spans="13:19" x14ac:dyDescent="0.25">
      <c r="M349" s="217"/>
      <c r="N349" s="218"/>
      <c r="O349" s="219"/>
      <c r="Q349" s="220"/>
      <c r="R349" s="220"/>
      <c r="S349" s="219"/>
    </row>
    <row r="350" spans="13:19" x14ac:dyDescent="0.25">
      <c r="M350" s="217"/>
      <c r="N350" s="218"/>
      <c r="O350" s="219"/>
      <c r="Q350" s="220"/>
      <c r="R350" s="220"/>
      <c r="S350" s="219"/>
    </row>
    <row r="351" spans="13:19" x14ac:dyDescent="0.25">
      <c r="M351" s="217"/>
      <c r="N351" s="218"/>
      <c r="O351" s="219"/>
      <c r="Q351" s="220"/>
      <c r="R351" s="220"/>
      <c r="S351" s="219"/>
    </row>
    <row r="352" spans="13:19" x14ac:dyDescent="0.25">
      <c r="M352" s="217"/>
      <c r="N352" s="218"/>
      <c r="O352" s="219"/>
      <c r="Q352" s="220"/>
      <c r="R352" s="220"/>
      <c r="S352" s="219"/>
    </row>
    <row r="353" spans="13:19" x14ac:dyDescent="0.25">
      <c r="M353" s="217"/>
      <c r="N353" s="218"/>
      <c r="O353" s="219"/>
      <c r="Q353" s="220"/>
      <c r="R353" s="220"/>
      <c r="S353" s="219"/>
    </row>
    <row r="354" spans="13:19" x14ac:dyDescent="0.25">
      <c r="M354" s="217"/>
      <c r="N354" s="218"/>
      <c r="O354" s="219"/>
      <c r="Q354" s="220"/>
      <c r="R354" s="220"/>
      <c r="S354" s="219"/>
    </row>
    <row r="355" spans="13:19" x14ac:dyDescent="0.25">
      <c r="M355" s="217"/>
      <c r="N355" s="218"/>
      <c r="O355" s="219"/>
      <c r="Q355" s="220"/>
      <c r="R355" s="220"/>
      <c r="S355" s="219"/>
    </row>
    <row r="356" spans="13:19" x14ac:dyDescent="0.25">
      <c r="M356" s="217"/>
      <c r="N356" s="218"/>
      <c r="O356" s="219"/>
      <c r="Q356" s="220"/>
      <c r="R356" s="220"/>
      <c r="S356" s="219"/>
    </row>
    <row r="357" spans="13:19" x14ac:dyDescent="0.25">
      <c r="M357" s="217"/>
      <c r="N357" s="218"/>
      <c r="O357" s="219"/>
      <c r="Q357" s="220"/>
      <c r="R357" s="220"/>
      <c r="S357" s="219"/>
    </row>
    <row r="358" spans="13:19" x14ac:dyDescent="0.25">
      <c r="M358" s="217"/>
      <c r="N358" s="218"/>
      <c r="O358" s="219"/>
      <c r="Q358" s="220"/>
      <c r="R358" s="220"/>
      <c r="S358" s="219"/>
    </row>
    <row r="359" spans="13:19" x14ac:dyDescent="0.25">
      <c r="M359" s="217"/>
      <c r="N359" s="218"/>
      <c r="O359" s="219"/>
      <c r="Q359" s="220"/>
      <c r="R359" s="220"/>
      <c r="S359" s="219"/>
    </row>
    <row r="360" spans="13:19" x14ac:dyDescent="0.25">
      <c r="M360" s="217"/>
      <c r="N360" s="218"/>
      <c r="O360" s="219"/>
      <c r="Q360" s="220"/>
      <c r="R360" s="220"/>
      <c r="S360" s="219"/>
    </row>
    <row r="361" spans="13:19" x14ac:dyDescent="0.25">
      <c r="M361" s="217"/>
      <c r="N361" s="218"/>
      <c r="O361" s="219"/>
      <c r="Q361" s="220"/>
      <c r="R361" s="220"/>
      <c r="S361" s="219"/>
    </row>
    <row r="362" spans="13:19" x14ac:dyDescent="0.25">
      <c r="M362" s="217"/>
      <c r="N362" s="218"/>
      <c r="O362" s="219"/>
      <c r="Q362" s="220"/>
      <c r="R362" s="220"/>
      <c r="S362" s="219"/>
    </row>
    <row r="363" spans="13:19" x14ac:dyDescent="0.25">
      <c r="M363" s="217"/>
      <c r="N363" s="218"/>
      <c r="O363" s="219"/>
      <c r="Q363" s="220"/>
      <c r="R363" s="220"/>
      <c r="S363" s="219"/>
    </row>
    <row r="364" spans="13:19" x14ac:dyDescent="0.25">
      <c r="M364" s="217"/>
      <c r="N364" s="218"/>
      <c r="O364" s="219"/>
      <c r="Q364" s="220"/>
      <c r="R364" s="220"/>
      <c r="S364" s="219"/>
    </row>
    <row r="365" spans="13:19" x14ac:dyDescent="0.25">
      <c r="M365" s="217"/>
      <c r="N365" s="218"/>
      <c r="O365" s="219"/>
      <c r="Q365" s="220"/>
      <c r="R365" s="220"/>
      <c r="S365" s="219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G5" sqref="G5"/>
    </sheetView>
  </sheetViews>
  <sheetFormatPr defaultRowHeight="18" x14ac:dyDescent="0.25"/>
  <cols>
    <col min="1" max="1" width="30.5703125" style="178" customWidth="1"/>
    <col min="2" max="2" width="0.7109375" style="178" customWidth="1"/>
    <col min="3" max="3" width="4.5703125" style="110" customWidth="1"/>
    <col min="4" max="4" width="18.28515625" style="182" customWidth="1"/>
    <col min="5" max="5" width="36.5703125" style="182" customWidth="1"/>
    <col min="6" max="6" width="28.5703125" style="182" customWidth="1"/>
    <col min="7" max="10" width="18.28515625" style="110" customWidth="1"/>
    <col min="11" max="11" width="61.5703125" style="110" customWidth="1"/>
    <col min="12" max="12" width="20.85546875" style="110" customWidth="1"/>
    <col min="13" max="13" width="28.7109375" style="110" customWidth="1"/>
    <col min="14" max="16384" width="9.140625" style="110"/>
  </cols>
  <sheetData>
    <row r="1" spans="1:8" s="180" customFormat="1" ht="21" customHeight="1" x14ac:dyDescent="0.25">
      <c r="A1" s="176" t="s">
        <v>411</v>
      </c>
      <c r="B1" s="177"/>
      <c r="D1" s="213" t="s">
        <v>418</v>
      </c>
      <c r="E1" s="213"/>
      <c r="F1" s="186"/>
      <c r="G1" s="186"/>
      <c r="H1" s="186"/>
    </row>
    <row r="2" spans="1:8" s="180" customFormat="1" ht="3" customHeight="1" x14ac:dyDescent="0.25">
      <c r="A2" s="178"/>
      <c r="B2" s="178"/>
      <c r="D2" s="181"/>
      <c r="E2" s="181"/>
      <c r="F2" s="181"/>
    </row>
    <row r="3" spans="1:8" ht="18.75" x14ac:dyDescent="0.25">
      <c r="A3" s="9" t="s">
        <v>8</v>
      </c>
      <c r="B3" s="179"/>
    </row>
    <row r="4" spans="1:8" ht="21" x14ac:dyDescent="0.25">
      <c r="A4" s="135" t="s">
        <v>115</v>
      </c>
      <c r="D4" s="212" t="s">
        <v>412</v>
      </c>
      <c r="E4" s="212"/>
      <c r="F4" s="212"/>
    </row>
    <row r="5" spans="1:8" ht="19.5" x14ac:dyDescent="0.25">
      <c r="A5" s="15" t="s">
        <v>98</v>
      </c>
      <c r="D5" s="183" t="s">
        <v>413</v>
      </c>
      <c r="E5" s="183" t="s">
        <v>40</v>
      </c>
      <c r="F5" s="183" t="s">
        <v>414</v>
      </c>
    </row>
    <row r="6" spans="1:8" ht="54" x14ac:dyDescent="0.25">
      <c r="D6" s="184" t="s">
        <v>8</v>
      </c>
      <c r="E6" s="185" t="s">
        <v>415</v>
      </c>
      <c r="F6" s="185" t="s">
        <v>123</v>
      </c>
    </row>
    <row r="7" spans="1:8" ht="90" x14ac:dyDescent="0.25">
      <c r="D7" s="184" t="s">
        <v>107</v>
      </c>
      <c r="E7" s="185" t="s">
        <v>416</v>
      </c>
      <c r="F7" s="185" t="s">
        <v>417</v>
      </c>
    </row>
  </sheetData>
  <mergeCells count="2">
    <mergeCell ref="D4:F4"/>
    <mergeCell ref="D1:E1"/>
  </mergeCells>
  <hyperlinks>
    <hyperlink ref="A3" location="فهرست!A1" display="فهرست"/>
    <hyperlink ref="A5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2021-09-23T18:24:13Z</dcterms:modified>
</cp:coreProperties>
</file>