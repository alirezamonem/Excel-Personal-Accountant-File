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ccountant_Github_Repository\"/>
    </mc:Choice>
  </mc:AlternateContent>
  <xr:revisionPtr revIDLastSave="0" documentId="13_ncr:1_{3BEEFADF-5FD5-4015-A5D5-3044B2F08385}" xr6:coauthVersionLast="47" xr6:coauthVersionMax="47" xr10:uidLastSave="{00000000-0000-0000-0000-000000000000}"/>
  <bookViews>
    <workbookView xWindow="-120" yWindow="330" windowWidth="19440" windowHeight="11790" tabRatio="907" activeTab="13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گروه‌‌های درآمدی" sheetId="20" r:id="rId15"/>
    <sheet name="گزارش گروه‌های دریافتی" sheetId="13" state="hidden" r:id="rId16"/>
    <sheet name="گروه‌‌های (بابت‌ها) هزینه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externalReferences>
    <externalReference r:id="rId26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>Accounts_Receivers_Payers_Table[Accounts_Receivers_Payers]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>#REF!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[1]!OutputProductCategoryTable[دسته خروجی]</definedName>
    <definedName name="کالای_ورودی">[1]!IncomingProductCategoryTable[دسته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" i="33" l="1"/>
  <c r="L3" i="33"/>
  <c r="L4" i="33"/>
  <c r="R2" i="33"/>
  <c r="R4" i="33"/>
  <c r="R5" i="33"/>
  <c r="R6" i="33"/>
  <c r="R7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27" i="33"/>
  <c r="R28" i="33"/>
  <c r="R29" i="33"/>
  <c r="R30" i="33"/>
  <c r="R31" i="33"/>
  <c r="R32" i="33"/>
  <c r="R33" i="33"/>
  <c r="R34" i="33"/>
  <c r="R35" i="33"/>
  <c r="R36" i="33"/>
  <c r="R37" i="33"/>
  <c r="R38" i="33"/>
  <c r="R39" i="33"/>
  <c r="R40" i="33"/>
  <c r="R41" i="33"/>
  <c r="R42" i="33"/>
  <c r="R43" i="33"/>
  <c r="R44" i="33"/>
  <c r="R45" i="33"/>
  <c r="R46" i="33"/>
  <c r="R47" i="33"/>
  <c r="R48" i="33"/>
  <c r="R49" i="33"/>
  <c r="R50" i="33"/>
  <c r="R51" i="33"/>
  <c r="R52" i="33"/>
  <c r="R53" i="33"/>
  <c r="R54" i="33"/>
  <c r="R55" i="33"/>
  <c r="R56" i="33"/>
  <c r="R57" i="33"/>
  <c r="R58" i="33"/>
  <c r="R59" i="33"/>
  <c r="R60" i="33"/>
  <c r="R61" i="33"/>
  <c r="R62" i="33"/>
  <c r="R63" i="33"/>
  <c r="R64" i="33"/>
  <c r="R65" i="33"/>
  <c r="R66" i="33"/>
  <c r="R67" i="33"/>
  <c r="R68" i="33"/>
  <c r="R69" i="33"/>
  <c r="R70" i="33"/>
  <c r="R71" i="33"/>
  <c r="R72" i="33"/>
  <c r="R73" i="33"/>
  <c r="R74" i="33"/>
  <c r="R75" i="33"/>
  <c r="R76" i="33"/>
  <c r="R77" i="33"/>
  <c r="R78" i="33"/>
  <c r="R79" i="33"/>
  <c r="R80" i="33"/>
  <c r="R81" i="33"/>
  <c r="R82" i="33"/>
  <c r="R83" i="33"/>
  <c r="R84" i="33"/>
  <c r="R85" i="33"/>
  <c r="R86" i="33"/>
  <c r="R87" i="33"/>
  <c r="R88" i="33"/>
  <c r="R89" i="33"/>
  <c r="R90" i="33"/>
  <c r="R91" i="33"/>
  <c r="R92" i="33"/>
  <c r="R93" i="33"/>
  <c r="R94" i="33"/>
  <c r="R95" i="33"/>
  <c r="R96" i="33"/>
  <c r="R97" i="33"/>
  <c r="R98" i="33"/>
  <c r="R99" i="33"/>
  <c r="R100" i="33"/>
  <c r="R101" i="33"/>
  <c r="R102" i="33"/>
  <c r="R103" i="33"/>
  <c r="R104" i="33"/>
  <c r="R105" i="33"/>
  <c r="R106" i="33"/>
  <c r="R107" i="33"/>
  <c r="R108" i="33"/>
  <c r="R109" i="33"/>
  <c r="R110" i="33"/>
  <c r="R111" i="33"/>
  <c r="R112" i="33"/>
  <c r="R113" i="33"/>
  <c r="R114" i="33"/>
  <c r="R115" i="33"/>
  <c r="R116" i="33"/>
  <c r="R117" i="33"/>
  <c r="R118" i="33"/>
  <c r="R119" i="33"/>
  <c r="R120" i="33"/>
  <c r="R121" i="33"/>
  <c r="R122" i="33"/>
  <c r="R123" i="33"/>
  <c r="R124" i="33"/>
  <c r="R125" i="33"/>
  <c r="R126" i="33"/>
  <c r="R127" i="33"/>
  <c r="R128" i="33"/>
  <c r="R129" i="33"/>
  <c r="R130" i="33"/>
  <c r="R131" i="33"/>
  <c r="R132" i="33"/>
  <c r="R133" i="33"/>
  <c r="R134" i="33"/>
  <c r="R135" i="33"/>
  <c r="R136" i="33"/>
  <c r="R137" i="33"/>
  <c r="R138" i="33"/>
  <c r="R139" i="33"/>
  <c r="R140" i="33"/>
  <c r="R141" i="33"/>
  <c r="R142" i="33"/>
  <c r="R143" i="33"/>
  <c r="R144" i="33"/>
  <c r="R145" i="33"/>
  <c r="R146" i="33"/>
  <c r="R147" i="33"/>
  <c r="R148" i="33"/>
  <c r="R149" i="33"/>
  <c r="R150" i="33"/>
  <c r="R151" i="33"/>
  <c r="R152" i="33"/>
  <c r="R153" i="33"/>
  <c r="R154" i="33"/>
  <c r="R155" i="33"/>
  <c r="R156" i="33"/>
  <c r="R157" i="33"/>
  <c r="R158" i="33"/>
  <c r="R159" i="33"/>
  <c r="R160" i="33"/>
  <c r="R161" i="33"/>
  <c r="R162" i="33"/>
  <c r="R163" i="33"/>
  <c r="R164" i="33"/>
  <c r="R165" i="33"/>
  <c r="R166" i="33"/>
  <c r="R167" i="33"/>
  <c r="R168" i="33"/>
  <c r="R169" i="33"/>
  <c r="R170" i="33"/>
  <c r="R171" i="33"/>
  <c r="R172" i="33"/>
  <c r="R173" i="33"/>
  <c r="R174" i="33"/>
  <c r="R175" i="33"/>
  <c r="R176" i="33"/>
  <c r="R177" i="33"/>
  <c r="R178" i="33"/>
  <c r="R179" i="33"/>
  <c r="R180" i="33"/>
  <c r="R181" i="33"/>
  <c r="R182" i="33"/>
  <c r="R183" i="33"/>
  <c r="R184" i="33"/>
  <c r="R185" i="33"/>
  <c r="R186" i="33"/>
  <c r="R187" i="33"/>
  <c r="R188" i="33"/>
  <c r="R189" i="33"/>
  <c r="R190" i="33"/>
  <c r="R191" i="33"/>
  <c r="R192" i="33"/>
  <c r="R193" i="33"/>
  <c r="R194" i="33"/>
  <c r="R195" i="33"/>
  <c r="R196" i="33"/>
  <c r="R197" i="33"/>
  <c r="R198" i="33"/>
  <c r="R199" i="33"/>
  <c r="R200" i="33"/>
  <c r="R201" i="33"/>
  <c r="R202" i="33"/>
  <c r="R203" i="33"/>
  <c r="R204" i="33"/>
  <c r="R205" i="33"/>
  <c r="R206" i="33"/>
  <c r="R207" i="33"/>
  <c r="R208" i="33"/>
  <c r="R209" i="33"/>
  <c r="R210" i="33"/>
  <c r="R211" i="33"/>
  <c r="R212" i="33"/>
  <c r="R213" i="33"/>
  <c r="R214" i="33"/>
  <c r="R215" i="33"/>
  <c r="R216" i="33"/>
  <c r="R217" i="33"/>
  <c r="R218" i="33"/>
  <c r="R219" i="33"/>
  <c r="R220" i="33"/>
  <c r="R221" i="33"/>
  <c r="R222" i="33"/>
  <c r="R223" i="33"/>
  <c r="R224" i="33"/>
  <c r="R225" i="33"/>
  <c r="R226" i="33"/>
  <c r="R227" i="33"/>
  <c r="R228" i="33"/>
  <c r="R229" i="33"/>
  <c r="R230" i="33"/>
  <c r="R231" i="33"/>
  <c r="R232" i="33"/>
  <c r="R233" i="33"/>
  <c r="R234" i="33"/>
  <c r="R235" i="33"/>
  <c r="R236" i="33"/>
  <c r="R237" i="33"/>
  <c r="R238" i="33"/>
  <c r="R239" i="33"/>
  <c r="R240" i="33"/>
  <c r="R241" i="33"/>
  <c r="R242" i="33"/>
  <c r="R243" i="33"/>
  <c r="R244" i="33"/>
  <c r="R245" i="33"/>
  <c r="R246" i="33"/>
  <c r="R247" i="33"/>
  <c r="R248" i="33"/>
  <c r="R249" i="33"/>
  <c r="R250" i="33"/>
  <c r="R251" i="33"/>
  <c r="R252" i="33"/>
  <c r="R253" i="33"/>
  <c r="R254" i="33"/>
  <c r="R255" i="33"/>
  <c r="R256" i="33"/>
  <c r="R257" i="33"/>
  <c r="R258" i="33"/>
  <c r="R259" i="33"/>
  <c r="R260" i="33"/>
  <c r="R261" i="33"/>
  <c r="R262" i="33"/>
  <c r="R263" i="33"/>
  <c r="R264" i="33"/>
  <c r="R265" i="33"/>
  <c r="R266" i="33"/>
  <c r="R267" i="33"/>
  <c r="R268" i="33"/>
  <c r="R269" i="33"/>
  <c r="R270" i="33"/>
  <c r="R271" i="33"/>
  <c r="R272" i="33"/>
  <c r="R273" i="33"/>
  <c r="R274" i="33"/>
  <c r="R275" i="33"/>
  <c r="R276" i="33"/>
  <c r="R277" i="33"/>
  <c r="R278" i="33"/>
  <c r="R279" i="33"/>
  <c r="R280" i="33"/>
  <c r="R281" i="33"/>
  <c r="R282" i="33"/>
  <c r="R283" i="33"/>
  <c r="R284" i="33"/>
  <c r="R285" i="33"/>
  <c r="R286" i="33"/>
  <c r="R287" i="33"/>
  <c r="R288" i="33"/>
  <c r="R289" i="33"/>
  <c r="R290" i="33"/>
  <c r="R291" i="33"/>
  <c r="R292" i="33"/>
  <c r="R293" i="33"/>
  <c r="R294" i="33"/>
  <c r="R295" i="33"/>
  <c r="R296" i="33"/>
  <c r="R297" i="33"/>
  <c r="R298" i="33"/>
  <c r="R299" i="33"/>
  <c r="R300" i="33"/>
  <c r="R301" i="33"/>
  <c r="R302" i="33"/>
  <c r="R303" i="33"/>
  <c r="R304" i="33"/>
  <c r="R305" i="33"/>
  <c r="R306" i="33"/>
  <c r="R307" i="33"/>
  <c r="R308" i="33"/>
  <c r="R309" i="33"/>
  <c r="R310" i="33"/>
  <c r="R311" i="33"/>
  <c r="R312" i="33"/>
  <c r="R313" i="33"/>
  <c r="R314" i="33"/>
  <c r="R315" i="33"/>
  <c r="R316" i="33"/>
  <c r="R317" i="33"/>
  <c r="R318" i="33"/>
  <c r="R319" i="33"/>
  <c r="R320" i="33"/>
  <c r="R321" i="33"/>
  <c r="R322" i="33"/>
  <c r="R323" i="33"/>
  <c r="R324" i="33"/>
  <c r="R325" i="33"/>
  <c r="R326" i="33"/>
  <c r="R327" i="33"/>
  <c r="R328" i="33"/>
  <c r="R329" i="33"/>
  <c r="R330" i="33"/>
  <c r="R331" i="33"/>
  <c r="R332" i="33"/>
  <c r="R333" i="33"/>
  <c r="R334" i="33"/>
  <c r="R335" i="33"/>
  <c r="R336" i="33"/>
  <c r="R337" i="33"/>
  <c r="R338" i="33"/>
  <c r="R339" i="33"/>
  <c r="R340" i="33"/>
  <c r="R341" i="33"/>
  <c r="R342" i="33"/>
  <c r="R343" i="33"/>
  <c r="R344" i="33"/>
  <c r="R345" i="33"/>
  <c r="R346" i="33"/>
  <c r="R347" i="33"/>
  <c r="R348" i="33"/>
  <c r="R349" i="33"/>
  <c r="R350" i="33"/>
  <c r="R351" i="33"/>
  <c r="R352" i="33"/>
  <c r="R353" i="33"/>
  <c r="R354" i="33"/>
  <c r="R355" i="33"/>
  <c r="R356" i="33"/>
  <c r="R357" i="33"/>
  <c r="R358" i="33"/>
  <c r="R359" i="33"/>
  <c r="R360" i="33"/>
  <c r="R361" i="33"/>
  <c r="R362" i="33"/>
  <c r="R363" i="33"/>
  <c r="R364" i="33"/>
  <c r="R365" i="33"/>
  <c r="R366" i="33"/>
  <c r="R367" i="33"/>
  <c r="R368" i="33"/>
  <c r="R369" i="33"/>
  <c r="R370" i="33"/>
  <c r="R371" i="33"/>
  <c r="R372" i="33"/>
  <c r="R373" i="33"/>
  <c r="R374" i="33"/>
  <c r="R375" i="33"/>
  <c r="R376" i="33"/>
  <c r="R377" i="33"/>
  <c r="R378" i="33"/>
  <c r="R379" i="33"/>
  <c r="R380" i="33"/>
  <c r="R381" i="33"/>
  <c r="R382" i="33"/>
  <c r="R383" i="33"/>
  <c r="R384" i="33"/>
  <c r="R385" i="33"/>
  <c r="R386" i="33"/>
  <c r="R387" i="33"/>
  <c r="R388" i="33"/>
  <c r="R389" i="33"/>
  <c r="R390" i="33"/>
  <c r="R391" i="33"/>
  <c r="R392" i="33"/>
  <c r="R393" i="33"/>
  <c r="R394" i="33"/>
  <c r="R395" i="33"/>
  <c r="R396" i="33"/>
  <c r="R397" i="33"/>
  <c r="R398" i="33"/>
  <c r="R399" i="33"/>
  <c r="R400" i="33"/>
  <c r="R401" i="33"/>
  <c r="R402" i="33"/>
  <c r="R403" i="33"/>
  <c r="R404" i="33"/>
  <c r="R405" i="33"/>
  <c r="R406" i="33"/>
  <c r="R407" i="33"/>
  <c r="R408" i="33"/>
  <c r="R409" i="33"/>
  <c r="R410" i="33"/>
  <c r="R411" i="33"/>
  <c r="R412" i="33"/>
  <c r="R413" i="33"/>
  <c r="R414" i="33"/>
  <c r="R415" i="33"/>
  <c r="R416" i="33"/>
  <c r="R417" i="33"/>
  <c r="R418" i="33"/>
  <c r="R419" i="33"/>
  <c r="R420" i="33"/>
  <c r="R421" i="33"/>
  <c r="R422" i="33"/>
  <c r="R423" i="33"/>
  <c r="R424" i="33"/>
  <c r="R425" i="33"/>
  <c r="R426" i="33"/>
  <c r="R427" i="33"/>
  <c r="R428" i="33"/>
  <c r="R429" i="33"/>
  <c r="R430" i="33"/>
  <c r="R431" i="33"/>
  <c r="R432" i="33"/>
  <c r="R433" i="33"/>
  <c r="R434" i="33"/>
  <c r="R435" i="33"/>
  <c r="R436" i="33"/>
  <c r="R437" i="33"/>
  <c r="R438" i="33"/>
  <c r="R439" i="33"/>
  <c r="R440" i="33"/>
  <c r="R441" i="33"/>
  <c r="R442" i="33"/>
  <c r="R443" i="33"/>
  <c r="R444" i="33"/>
  <c r="R445" i="33"/>
  <c r="R446" i="33"/>
  <c r="R447" i="33"/>
  <c r="R448" i="33"/>
  <c r="R449" i="33"/>
  <c r="R450" i="33"/>
  <c r="R451" i="33"/>
  <c r="R452" i="33"/>
  <c r="R453" i="33"/>
  <c r="R454" i="33"/>
  <c r="R455" i="33"/>
  <c r="R456" i="33"/>
  <c r="R457" i="33"/>
  <c r="R458" i="33"/>
  <c r="R459" i="33"/>
  <c r="R460" i="33"/>
  <c r="R461" i="33"/>
  <c r="R462" i="33"/>
  <c r="R463" i="33"/>
  <c r="R464" i="33"/>
  <c r="R465" i="33"/>
  <c r="R466" i="33"/>
  <c r="R467" i="33"/>
  <c r="R468" i="33"/>
  <c r="R469" i="33"/>
  <c r="R470" i="33"/>
  <c r="R471" i="33"/>
  <c r="R472" i="33"/>
  <c r="R473" i="33"/>
  <c r="R474" i="33"/>
  <c r="R475" i="33"/>
  <c r="R476" i="33"/>
  <c r="R477" i="33"/>
  <c r="R478" i="33"/>
  <c r="R479" i="33"/>
  <c r="R480" i="33"/>
  <c r="R481" i="33"/>
  <c r="R482" i="33"/>
  <c r="R483" i="33"/>
  <c r="R484" i="33"/>
  <c r="R485" i="33"/>
  <c r="R486" i="33"/>
  <c r="R487" i="33"/>
  <c r="R488" i="33"/>
  <c r="R489" i="33"/>
  <c r="R490" i="33"/>
  <c r="R491" i="33"/>
  <c r="R492" i="33"/>
  <c r="R493" i="33"/>
  <c r="R494" i="33"/>
  <c r="R495" i="33"/>
  <c r="R496" i="33"/>
  <c r="R497" i="33"/>
  <c r="R498" i="33"/>
  <c r="R499" i="33"/>
  <c r="R500" i="33"/>
  <c r="R501" i="33"/>
  <c r="R502" i="33"/>
  <c r="R503" i="33"/>
  <c r="R504" i="33"/>
  <c r="R505" i="33"/>
  <c r="R506" i="33"/>
  <c r="R507" i="33"/>
  <c r="R508" i="33"/>
  <c r="R509" i="33"/>
  <c r="R510" i="33"/>
  <c r="R511" i="33"/>
  <c r="R512" i="33"/>
  <c r="R513" i="33"/>
  <c r="R514" i="33"/>
  <c r="R515" i="33"/>
  <c r="R516" i="33"/>
  <c r="R517" i="33"/>
  <c r="R518" i="33"/>
  <c r="R519" i="33"/>
  <c r="R520" i="33"/>
  <c r="R521" i="33"/>
  <c r="R522" i="33"/>
  <c r="R523" i="33"/>
  <c r="R524" i="33"/>
  <c r="R525" i="33"/>
  <c r="R526" i="33"/>
  <c r="R527" i="33"/>
  <c r="R528" i="33"/>
  <c r="R529" i="33"/>
  <c r="R530" i="33"/>
  <c r="R531" i="33"/>
  <c r="R532" i="33"/>
  <c r="R533" i="33"/>
  <c r="R534" i="33"/>
  <c r="R535" i="33"/>
  <c r="R536" i="33"/>
  <c r="R537" i="33"/>
  <c r="R538" i="33"/>
  <c r="R539" i="33"/>
  <c r="R540" i="33"/>
  <c r="R541" i="33"/>
  <c r="R542" i="33"/>
  <c r="R543" i="33"/>
  <c r="R544" i="33"/>
  <c r="R545" i="33"/>
  <c r="R546" i="33"/>
  <c r="R547" i="33"/>
  <c r="R548" i="33"/>
  <c r="R549" i="33"/>
  <c r="R550" i="33"/>
  <c r="R551" i="33"/>
  <c r="R552" i="33"/>
  <c r="R553" i="33"/>
  <c r="R554" i="33"/>
  <c r="R555" i="33"/>
  <c r="R556" i="33"/>
  <c r="R557" i="33"/>
  <c r="R558" i="33"/>
  <c r="R559" i="33"/>
  <c r="R560" i="33"/>
  <c r="R561" i="33"/>
  <c r="R562" i="33"/>
  <c r="R563" i="33"/>
  <c r="R564" i="33"/>
  <c r="R565" i="33"/>
  <c r="R566" i="33"/>
  <c r="R567" i="33"/>
  <c r="R568" i="33"/>
  <c r="R569" i="33"/>
  <c r="R570" i="33"/>
  <c r="R571" i="33"/>
  <c r="R572" i="33"/>
  <c r="R573" i="33"/>
  <c r="R574" i="33"/>
  <c r="R575" i="33"/>
  <c r="R576" i="33"/>
  <c r="R577" i="33"/>
  <c r="R578" i="33"/>
  <c r="R579" i="33"/>
  <c r="R580" i="33"/>
  <c r="R581" i="33"/>
  <c r="R582" i="33"/>
  <c r="R583" i="33"/>
  <c r="R584" i="33"/>
  <c r="R585" i="33"/>
  <c r="R586" i="33"/>
  <c r="R587" i="33"/>
  <c r="R588" i="33"/>
  <c r="R589" i="33"/>
  <c r="R590" i="33"/>
  <c r="R591" i="33"/>
  <c r="R592" i="33"/>
  <c r="R593" i="33"/>
  <c r="R594" i="33"/>
  <c r="R595" i="33"/>
  <c r="R596" i="33"/>
  <c r="R597" i="33"/>
  <c r="R598" i="33"/>
  <c r="R599" i="33"/>
  <c r="R600" i="33"/>
  <c r="R601" i="33"/>
  <c r="R602" i="33"/>
  <c r="R603" i="33"/>
  <c r="R604" i="33"/>
  <c r="R605" i="33"/>
  <c r="R606" i="33"/>
  <c r="R607" i="33"/>
  <c r="R608" i="33"/>
  <c r="R609" i="33"/>
  <c r="R610" i="33"/>
  <c r="R611" i="33"/>
  <c r="R612" i="33"/>
  <c r="R613" i="33"/>
  <c r="R614" i="33"/>
  <c r="R615" i="33"/>
  <c r="R616" i="33"/>
  <c r="R617" i="33"/>
  <c r="R618" i="33"/>
  <c r="R619" i="33"/>
  <c r="R620" i="33"/>
  <c r="R621" i="33"/>
  <c r="R622" i="33"/>
  <c r="R623" i="33"/>
  <c r="R624" i="33"/>
  <c r="R625" i="33"/>
  <c r="R626" i="33"/>
  <c r="R627" i="33"/>
  <c r="R628" i="33"/>
  <c r="R629" i="33"/>
  <c r="R630" i="33"/>
  <c r="R631" i="33"/>
  <c r="R632" i="33"/>
  <c r="R633" i="33"/>
  <c r="R634" i="33"/>
  <c r="R635" i="33"/>
  <c r="R636" i="33"/>
  <c r="R637" i="33"/>
  <c r="R638" i="33"/>
  <c r="R639" i="33"/>
  <c r="R640" i="33"/>
  <c r="R641" i="33"/>
  <c r="R642" i="33"/>
  <c r="R643" i="33"/>
  <c r="R644" i="33"/>
  <c r="R645" i="33"/>
  <c r="R646" i="33"/>
  <c r="R647" i="33"/>
  <c r="R648" i="33"/>
  <c r="R649" i="33"/>
  <c r="R650" i="33"/>
  <c r="R651" i="33"/>
  <c r="R652" i="33"/>
  <c r="R653" i="33"/>
  <c r="R654" i="33"/>
  <c r="R655" i="33"/>
  <c r="R656" i="33"/>
  <c r="R657" i="33"/>
  <c r="R658" i="33"/>
  <c r="R659" i="33"/>
  <c r="R660" i="33"/>
  <c r="R661" i="33"/>
  <c r="R662" i="33"/>
  <c r="R663" i="33"/>
  <c r="R664" i="33"/>
  <c r="R665" i="33"/>
  <c r="R666" i="33"/>
  <c r="R667" i="33"/>
  <c r="R668" i="33"/>
  <c r="R669" i="33"/>
  <c r="R670" i="33"/>
  <c r="R671" i="33"/>
  <c r="R672" i="33"/>
  <c r="R673" i="33"/>
  <c r="R674" i="33"/>
  <c r="R675" i="33"/>
  <c r="R676" i="33"/>
  <c r="R677" i="33"/>
  <c r="R678" i="33"/>
  <c r="R679" i="33"/>
  <c r="R680" i="33"/>
  <c r="R681" i="33"/>
  <c r="R682" i="33"/>
  <c r="R683" i="33"/>
  <c r="R684" i="33"/>
  <c r="R685" i="33"/>
  <c r="R686" i="33"/>
  <c r="R687" i="33"/>
  <c r="R688" i="33"/>
  <c r="R689" i="33"/>
  <c r="R690" i="33"/>
  <c r="R691" i="33"/>
  <c r="R692" i="33"/>
  <c r="R693" i="33"/>
  <c r="R694" i="33"/>
  <c r="R695" i="33"/>
  <c r="R696" i="33"/>
  <c r="R697" i="33"/>
  <c r="R698" i="33"/>
  <c r="R699" i="33"/>
  <c r="R700" i="33"/>
  <c r="R701" i="33"/>
  <c r="R702" i="33"/>
  <c r="R703" i="33"/>
  <c r="R704" i="33"/>
  <c r="R705" i="33"/>
  <c r="R706" i="33"/>
  <c r="R707" i="33"/>
  <c r="R708" i="33"/>
  <c r="R709" i="33"/>
  <c r="R710" i="33"/>
  <c r="R711" i="33"/>
  <c r="R712" i="33"/>
  <c r="R713" i="33"/>
  <c r="R714" i="33"/>
  <c r="R715" i="33"/>
  <c r="R716" i="33"/>
  <c r="R717" i="33"/>
  <c r="R718" i="33"/>
  <c r="R719" i="33"/>
  <c r="R720" i="33"/>
  <c r="R721" i="33"/>
  <c r="R722" i="33"/>
  <c r="R723" i="33"/>
  <c r="R724" i="33"/>
  <c r="R725" i="33"/>
  <c r="R726" i="33"/>
  <c r="R727" i="33"/>
  <c r="R728" i="33"/>
  <c r="R729" i="33"/>
  <c r="R730" i="33"/>
  <c r="R731" i="33"/>
  <c r="R732" i="33"/>
  <c r="R733" i="33"/>
  <c r="R734" i="33"/>
  <c r="R735" i="33"/>
  <c r="R736" i="33"/>
  <c r="R737" i="33"/>
  <c r="R738" i="33"/>
  <c r="R739" i="33"/>
  <c r="R740" i="33"/>
  <c r="R741" i="33"/>
  <c r="R742" i="33"/>
  <c r="R743" i="33"/>
  <c r="R744" i="33"/>
  <c r="R745" i="33"/>
  <c r="R746" i="33"/>
  <c r="R747" i="33"/>
  <c r="R748" i="33"/>
  <c r="R749" i="33"/>
  <c r="R750" i="33"/>
  <c r="R751" i="33"/>
  <c r="R752" i="33"/>
  <c r="R753" i="33"/>
  <c r="R754" i="33"/>
  <c r="R755" i="33"/>
  <c r="R756" i="33"/>
  <c r="R757" i="33"/>
  <c r="R758" i="33"/>
  <c r="R759" i="33"/>
  <c r="R760" i="33"/>
  <c r="R761" i="33"/>
  <c r="R762" i="33"/>
  <c r="R763" i="33"/>
  <c r="R764" i="33"/>
  <c r="R765" i="33"/>
  <c r="R766" i="33"/>
  <c r="R767" i="33"/>
  <c r="R768" i="33"/>
  <c r="R769" i="33"/>
  <c r="R770" i="33"/>
  <c r="R771" i="33"/>
  <c r="R772" i="33"/>
  <c r="R773" i="33"/>
  <c r="R774" i="33"/>
  <c r="R775" i="33"/>
  <c r="R776" i="33"/>
  <c r="R777" i="33"/>
  <c r="R778" i="33"/>
  <c r="R779" i="33"/>
  <c r="R780" i="33"/>
  <c r="R781" i="33"/>
  <c r="R782" i="33"/>
  <c r="R783" i="33"/>
  <c r="R784" i="33"/>
  <c r="R785" i="33"/>
  <c r="R786" i="33"/>
  <c r="R787" i="33"/>
  <c r="R788" i="33"/>
  <c r="R789" i="33"/>
  <c r="R790" i="33"/>
  <c r="R791" i="33"/>
  <c r="R792" i="33"/>
  <c r="R793" i="33"/>
  <c r="R794" i="33"/>
  <c r="R795" i="33"/>
  <c r="R796" i="33"/>
  <c r="R797" i="33"/>
  <c r="R798" i="33"/>
  <c r="R799" i="33"/>
  <c r="R800" i="33"/>
  <c r="R801" i="33"/>
  <c r="R802" i="33"/>
  <c r="R803" i="33"/>
  <c r="R804" i="33"/>
  <c r="R805" i="33"/>
  <c r="R806" i="33"/>
  <c r="R807" i="33"/>
  <c r="R808" i="33"/>
  <c r="R809" i="33"/>
  <c r="R810" i="33"/>
  <c r="R811" i="33"/>
  <c r="R812" i="33"/>
  <c r="R813" i="33"/>
  <c r="R814" i="33"/>
  <c r="R815" i="33"/>
  <c r="R816" i="33"/>
  <c r="R817" i="33"/>
  <c r="R818" i="33"/>
  <c r="R819" i="33"/>
  <c r="R820" i="33"/>
  <c r="R821" i="33"/>
  <c r="R822" i="33"/>
  <c r="R823" i="33"/>
  <c r="R824" i="33"/>
  <c r="R825" i="33"/>
  <c r="R826" i="33"/>
  <c r="R827" i="33"/>
  <c r="R828" i="33"/>
  <c r="R829" i="33"/>
  <c r="R830" i="33"/>
  <c r="R831" i="33"/>
  <c r="R832" i="33"/>
  <c r="R833" i="33"/>
  <c r="R834" i="33"/>
  <c r="R835" i="33"/>
  <c r="R836" i="33"/>
  <c r="R837" i="33"/>
  <c r="R838" i="33"/>
  <c r="R839" i="33"/>
  <c r="R840" i="33"/>
  <c r="R841" i="33"/>
  <c r="R842" i="33"/>
  <c r="R843" i="33"/>
  <c r="R844" i="33"/>
  <c r="R845" i="33"/>
  <c r="R846" i="33"/>
  <c r="R847" i="33"/>
  <c r="R848" i="33"/>
  <c r="R849" i="33"/>
  <c r="R850" i="33"/>
  <c r="R851" i="33"/>
  <c r="R852" i="33"/>
  <c r="R853" i="33"/>
  <c r="R854" i="33"/>
  <c r="R855" i="33"/>
  <c r="R856" i="33"/>
  <c r="R857" i="33"/>
  <c r="R858" i="33"/>
  <c r="R859" i="33"/>
  <c r="R860" i="33"/>
  <c r="R861" i="33"/>
  <c r="R862" i="33"/>
  <c r="R863" i="33"/>
  <c r="R864" i="33"/>
  <c r="R865" i="33"/>
  <c r="R866" i="33"/>
  <c r="R867" i="33"/>
  <c r="R868" i="33"/>
  <c r="R869" i="33"/>
  <c r="R870" i="33"/>
  <c r="R871" i="33"/>
  <c r="R872" i="33"/>
  <c r="R873" i="33"/>
  <c r="R874" i="33"/>
  <c r="R875" i="33"/>
  <c r="R876" i="33"/>
  <c r="R877" i="33"/>
  <c r="R878" i="33"/>
  <c r="R879" i="33"/>
  <c r="R880" i="33"/>
  <c r="R881" i="33"/>
  <c r="R882" i="33"/>
  <c r="R883" i="33"/>
  <c r="R884" i="33"/>
  <c r="R885" i="33"/>
  <c r="R886" i="33"/>
  <c r="R887" i="33"/>
  <c r="R888" i="33"/>
  <c r="R889" i="33"/>
  <c r="R890" i="33"/>
  <c r="R891" i="33"/>
  <c r="R892" i="33"/>
  <c r="R893" i="33"/>
  <c r="R894" i="33"/>
  <c r="R895" i="33"/>
  <c r="R896" i="33"/>
  <c r="R897" i="33"/>
  <c r="R898" i="33"/>
  <c r="R899" i="33"/>
  <c r="R900" i="33"/>
  <c r="R901" i="33"/>
  <c r="R902" i="33"/>
  <c r="R903" i="33"/>
  <c r="R904" i="33"/>
  <c r="R905" i="33"/>
  <c r="R906" i="33"/>
  <c r="R907" i="33"/>
  <c r="R908" i="33"/>
  <c r="R909" i="33"/>
  <c r="R910" i="33"/>
  <c r="R911" i="33"/>
  <c r="R912" i="33"/>
  <c r="R913" i="33"/>
  <c r="R914" i="33"/>
  <c r="R915" i="33"/>
  <c r="R916" i="33"/>
  <c r="R917" i="33"/>
  <c r="R918" i="33"/>
  <c r="R919" i="33"/>
  <c r="R920" i="33"/>
  <c r="R921" i="33"/>
  <c r="R922" i="33"/>
  <c r="R923" i="33"/>
  <c r="R924" i="33"/>
  <c r="R925" i="33"/>
  <c r="R926" i="33"/>
  <c r="R927" i="33"/>
  <c r="R928" i="33"/>
  <c r="R929" i="33"/>
  <c r="R930" i="33"/>
  <c r="R931" i="33"/>
  <c r="R932" i="33"/>
  <c r="R933" i="33"/>
  <c r="R934" i="33"/>
  <c r="R935" i="33"/>
  <c r="R936" i="33"/>
  <c r="R937" i="33"/>
  <c r="R938" i="33"/>
  <c r="R939" i="33"/>
  <c r="R940" i="33"/>
  <c r="R941" i="33"/>
  <c r="R942" i="33"/>
  <c r="R943" i="33"/>
  <c r="R944" i="33"/>
  <c r="R945" i="33"/>
  <c r="R946" i="33"/>
  <c r="R947" i="33"/>
  <c r="R948" i="33"/>
  <c r="R949" i="33"/>
  <c r="R950" i="33"/>
  <c r="R951" i="33"/>
  <c r="R952" i="33"/>
  <c r="R953" i="33"/>
  <c r="R954" i="33"/>
  <c r="R955" i="33"/>
  <c r="R956" i="33"/>
  <c r="R957" i="33"/>
  <c r="R958" i="33"/>
  <c r="R959" i="33"/>
  <c r="R960" i="33"/>
  <c r="R961" i="33"/>
  <c r="R962" i="33"/>
  <c r="R963" i="33"/>
  <c r="R964" i="33"/>
  <c r="R965" i="33"/>
  <c r="R966" i="33"/>
  <c r="R967" i="33"/>
  <c r="R968" i="33"/>
  <c r="R969" i="33"/>
  <c r="R970" i="33"/>
  <c r="R971" i="33"/>
  <c r="R972" i="33"/>
  <c r="R973" i="33"/>
  <c r="R974" i="33"/>
  <c r="R975" i="33"/>
  <c r="R976" i="33"/>
  <c r="R977" i="33"/>
  <c r="R978" i="33"/>
  <c r="R979" i="33"/>
  <c r="R980" i="33"/>
  <c r="R981" i="33"/>
  <c r="R982" i="33"/>
  <c r="R983" i="33"/>
  <c r="R984" i="33"/>
  <c r="R985" i="33"/>
  <c r="R986" i="33"/>
  <c r="R987" i="33"/>
  <c r="R988" i="33"/>
  <c r="R989" i="33"/>
  <c r="R990" i="33"/>
  <c r="R991" i="33"/>
  <c r="R992" i="33"/>
  <c r="R993" i="33"/>
  <c r="R994" i="33"/>
  <c r="R995" i="33"/>
  <c r="R996" i="33"/>
  <c r="R997" i="33"/>
  <c r="R998" i="33"/>
  <c r="R999" i="33"/>
  <c r="R1000" i="33"/>
  <c r="R1001" i="33"/>
  <c r="R1002" i="33"/>
  <c r="R1003" i="33"/>
  <c r="R1004" i="33"/>
  <c r="R1005" i="33"/>
  <c r="R1006" i="33"/>
  <c r="R1007" i="33"/>
  <c r="R1008" i="33"/>
  <c r="R1009" i="33"/>
  <c r="R1010" i="33"/>
  <c r="R1011" i="33"/>
  <c r="R1012" i="33"/>
  <c r="R1013" i="33"/>
  <c r="R1014" i="33"/>
  <c r="R1015" i="33"/>
  <c r="R1016" i="33"/>
  <c r="R1017" i="33"/>
  <c r="R1018" i="33"/>
  <c r="R1019" i="33"/>
  <c r="R1020" i="33"/>
  <c r="R1021" i="33"/>
  <c r="R1022" i="33"/>
  <c r="R1023" i="33"/>
  <c r="R1024" i="33"/>
  <c r="R1025" i="33"/>
  <c r="R1026" i="33"/>
  <c r="R1027" i="33"/>
  <c r="R1028" i="33"/>
  <c r="R1029" i="33"/>
  <c r="R1030" i="33"/>
  <c r="R1031" i="33"/>
  <c r="R1032" i="33"/>
  <c r="R1033" i="33"/>
  <c r="R1034" i="33"/>
  <c r="R1035" i="33"/>
  <c r="R1036" i="33"/>
  <c r="R1037" i="33"/>
  <c r="R1038" i="33"/>
  <c r="R1039" i="33"/>
  <c r="R1040" i="33"/>
  <c r="R1041" i="33"/>
  <c r="R1042" i="33"/>
  <c r="R1043" i="33"/>
  <c r="R1044" i="33"/>
  <c r="R1045" i="33"/>
  <c r="R1046" i="33"/>
  <c r="R1047" i="33"/>
  <c r="R1048" i="33"/>
  <c r="R1049" i="33"/>
  <c r="R1050" i="33"/>
  <c r="R1051" i="33"/>
  <c r="R1052" i="33"/>
  <c r="R1053" i="33"/>
  <c r="R1054" i="33"/>
  <c r="R1055" i="33"/>
  <c r="R1056" i="33"/>
  <c r="R1057" i="33"/>
  <c r="R1058" i="33"/>
  <c r="R1059" i="33"/>
  <c r="R1060" i="33"/>
  <c r="R1061" i="33"/>
  <c r="R1062" i="33"/>
  <c r="R1063" i="33"/>
  <c r="R1064" i="33"/>
  <c r="R1065" i="33"/>
  <c r="R1066" i="33"/>
  <c r="R1067" i="33"/>
  <c r="R1068" i="33"/>
  <c r="R1069" i="33"/>
  <c r="R1070" i="33"/>
  <c r="R1071" i="33"/>
  <c r="R1072" i="33"/>
  <c r="R1073" i="33"/>
  <c r="R1074" i="33"/>
  <c r="R1075" i="33"/>
  <c r="R1076" i="33"/>
  <c r="R1077" i="33"/>
  <c r="R1078" i="33"/>
  <c r="R1079" i="33"/>
  <c r="R1080" i="33"/>
  <c r="R1081" i="33"/>
  <c r="R1082" i="33"/>
  <c r="R1083" i="33"/>
  <c r="R1084" i="33"/>
  <c r="R1085" i="33"/>
  <c r="R1086" i="33"/>
  <c r="R1087" i="33"/>
  <c r="R1088" i="33"/>
  <c r="R1089" i="33"/>
  <c r="R1090" i="33"/>
  <c r="R1091" i="33"/>
  <c r="R1092" i="33"/>
  <c r="R1093" i="33"/>
  <c r="R1094" i="33"/>
  <c r="R1095" i="33"/>
  <c r="R1096" i="33"/>
  <c r="R1097" i="33"/>
  <c r="R1098" i="33"/>
  <c r="R1099" i="33"/>
  <c r="R1100" i="33"/>
  <c r="R1101" i="33"/>
  <c r="R1102" i="33"/>
  <c r="R1103" i="33"/>
  <c r="R1104" i="33"/>
  <c r="R1105" i="33"/>
  <c r="R1106" i="33"/>
  <c r="R1107" i="33"/>
  <c r="R1108" i="33"/>
  <c r="R1109" i="33"/>
  <c r="R1110" i="33"/>
  <c r="R1111" i="33"/>
  <c r="R1112" i="33"/>
  <c r="R1113" i="33"/>
  <c r="R1114" i="33"/>
  <c r="R1115" i="33"/>
  <c r="R1116" i="33"/>
  <c r="R1117" i="33"/>
  <c r="R1118" i="33"/>
  <c r="R1119" i="33"/>
  <c r="R1120" i="33"/>
  <c r="R1121" i="33"/>
  <c r="R1122" i="33"/>
  <c r="R1123" i="33"/>
  <c r="R1124" i="33"/>
  <c r="R1125" i="33"/>
  <c r="R1126" i="33"/>
  <c r="R1127" i="33"/>
  <c r="R1128" i="33"/>
  <c r="R1129" i="33"/>
  <c r="R1130" i="33"/>
  <c r="R1131" i="33"/>
  <c r="R1132" i="33"/>
  <c r="R1133" i="33"/>
  <c r="R1134" i="33"/>
  <c r="R1135" i="33"/>
  <c r="R1136" i="33"/>
  <c r="R1137" i="33"/>
  <c r="R1138" i="33"/>
  <c r="R1139" i="33"/>
  <c r="R1140" i="33"/>
  <c r="R1141" i="33"/>
  <c r="R1142" i="33"/>
  <c r="R1143" i="33"/>
  <c r="R1144" i="33"/>
  <c r="R1145" i="33"/>
  <c r="R1146" i="33"/>
  <c r="R1147" i="33"/>
  <c r="R1148" i="33"/>
  <c r="R1149" i="33"/>
  <c r="R1150" i="33"/>
  <c r="R1151" i="33"/>
  <c r="R1152" i="33"/>
  <c r="R1153" i="33"/>
  <c r="R1154" i="33"/>
  <c r="R1155" i="33"/>
  <c r="R1156" i="33"/>
  <c r="R1157" i="33"/>
  <c r="R1158" i="33"/>
  <c r="R1159" i="33"/>
  <c r="R1160" i="33"/>
  <c r="R1161" i="33"/>
  <c r="R1162" i="33"/>
  <c r="R1163" i="33"/>
  <c r="R1164" i="33"/>
  <c r="R1165" i="33"/>
  <c r="R1166" i="33"/>
  <c r="R1167" i="33"/>
  <c r="R1168" i="33"/>
  <c r="R1169" i="33"/>
  <c r="R1170" i="33"/>
  <c r="R1171" i="33"/>
  <c r="R1172" i="33"/>
  <c r="R1173" i="33"/>
  <c r="R1174" i="33"/>
  <c r="R1175" i="33"/>
  <c r="R1176" i="33"/>
  <c r="R1177" i="33"/>
  <c r="R1178" i="33"/>
  <c r="R1179" i="33"/>
  <c r="R1180" i="33"/>
  <c r="R1181" i="33"/>
  <c r="R1182" i="33"/>
  <c r="R1183" i="33"/>
  <c r="R1184" i="33"/>
  <c r="R1185" i="33"/>
  <c r="R1186" i="33"/>
  <c r="R1187" i="33"/>
  <c r="R1188" i="33"/>
  <c r="R1189" i="33"/>
  <c r="R1190" i="33"/>
  <c r="R1191" i="33"/>
  <c r="R1192" i="33"/>
  <c r="R1193" i="33"/>
  <c r="R1194" i="33"/>
  <c r="R1195" i="33"/>
  <c r="R1196" i="33"/>
  <c r="R1197" i="33"/>
  <c r="R1198" i="33"/>
  <c r="R1199" i="33"/>
  <c r="R1200" i="33"/>
  <c r="R1201" i="33"/>
  <c r="R1202" i="33"/>
  <c r="R1203" i="33"/>
  <c r="R1204" i="33"/>
  <c r="R1205" i="33"/>
  <c r="R1206" i="33"/>
  <c r="R1207" i="33"/>
  <c r="R1208" i="33"/>
  <c r="R1209" i="33"/>
  <c r="R1210" i="33"/>
  <c r="R1211" i="33"/>
  <c r="R1212" i="33"/>
  <c r="R1213" i="33"/>
  <c r="R1214" i="33"/>
  <c r="R1215" i="33"/>
  <c r="R1216" i="33"/>
  <c r="R1217" i="33"/>
  <c r="R1218" i="33"/>
  <c r="R1219" i="33"/>
  <c r="R1220" i="33"/>
  <c r="R1221" i="33"/>
  <c r="R1222" i="33"/>
  <c r="R1223" i="33"/>
  <c r="R1224" i="33"/>
  <c r="R1225" i="33"/>
  <c r="R1226" i="33"/>
  <c r="R1227" i="33"/>
  <c r="R1228" i="33"/>
  <c r="R1229" i="33"/>
  <c r="R1230" i="33"/>
  <c r="R1231" i="33"/>
  <c r="R1232" i="33"/>
  <c r="R1233" i="33"/>
  <c r="R1234" i="33"/>
  <c r="R1235" i="33"/>
  <c r="R1236" i="33"/>
  <c r="R1237" i="33"/>
  <c r="R1238" i="33"/>
  <c r="R1239" i="33"/>
  <c r="R1240" i="33"/>
  <c r="R1241" i="33"/>
  <c r="R1242" i="33"/>
  <c r="R1243" i="33"/>
  <c r="R1244" i="33"/>
  <c r="R1245" i="33"/>
  <c r="R1246" i="33"/>
  <c r="R1247" i="33"/>
  <c r="R1248" i="33"/>
  <c r="R1249" i="33"/>
  <c r="R1250" i="33"/>
  <c r="R1251" i="33"/>
  <c r="R1252" i="33"/>
  <c r="R1253" i="33"/>
  <c r="R1254" i="33"/>
  <c r="R1255" i="33"/>
  <c r="R1256" i="33"/>
  <c r="R1257" i="33"/>
  <c r="R1258" i="33"/>
  <c r="R1259" i="33"/>
  <c r="R1260" i="33"/>
  <c r="R1261" i="33"/>
  <c r="R1262" i="33"/>
  <c r="R1263" i="33"/>
  <c r="R1264" i="33"/>
  <c r="R1265" i="33"/>
  <c r="R1266" i="33"/>
  <c r="R1267" i="33"/>
  <c r="R1268" i="33"/>
  <c r="R1269" i="33"/>
  <c r="R1270" i="33"/>
  <c r="R1271" i="33"/>
  <c r="R1272" i="33"/>
  <c r="R1273" i="33"/>
  <c r="R1274" i="33"/>
  <c r="R1275" i="33"/>
  <c r="R1276" i="33"/>
  <c r="R1277" i="33"/>
  <c r="R1278" i="33"/>
  <c r="R1279" i="33"/>
  <c r="R1280" i="33"/>
  <c r="R1281" i="33"/>
  <c r="R1282" i="33"/>
  <c r="R1283" i="33"/>
  <c r="R1284" i="33"/>
  <c r="R1285" i="33"/>
  <c r="R1286" i="33"/>
  <c r="R1287" i="33"/>
  <c r="R1288" i="33"/>
  <c r="R1289" i="33"/>
  <c r="R1290" i="33"/>
  <c r="R1291" i="33"/>
  <c r="R1292" i="33"/>
  <c r="R1293" i="33"/>
  <c r="R1294" i="33"/>
  <c r="R1295" i="33"/>
  <c r="R1296" i="33"/>
  <c r="R1297" i="33"/>
  <c r="R1298" i="33"/>
  <c r="R1299" i="33"/>
  <c r="R1300" i="33"/>
  <c r="R1301" i="33"/>
  <c r="R1302" i="33"/>
  <c r="R1303" i="33"/>
  <c r="R1304" i="33"/>
  <c r="R1305" i="33"/>
  <c r="R1306" i="33"/>
  <c r="R1307" i="33"/>
  <c r="R1308" i="33"/>
  <c r="R1309" i="33"/>
  <c r="R1310" i="33"/>
  <c r="R1311" i="33"/>
  <c r="R1312" i="33"/>
  <c r="R1313" i="33"/>
  <c r="R1314" i="33"/>
  <c r="R1315" i="33"/>
  <c r="R1316" i="33"/>
  <c r="R1317" i="33"/>
  <c r="R1318" i="33"/>
  <c r="R1319" i="33"/>
  <c r="R1320" i="33"/>
  <c r="R1321" i="33"/>
  <c r="R1322" i="33"/>
  <c r="R1323" i="33"/>
  <c r="R1324" i="33"/>
  <c r="R1325" i="33"/>
  <c r="R1326" i="33"/>
  <c r="R1327" i="33"/>
  <c r="R1328" i="33"/>
  <c r="R1329" i="33"/>
  <c r="R1330" i="33"/>
  <c r="R1331" i="33"/>
  <c r="R1332" i="33"/>
  <c r="R1333" i="33"/>
  <c r="R1334" i="33"/>
  <c r="R1335" i="33"/>
  <c r="R1336" i="33"/>
  <c r="R1337" i="33"/>
  <c r="R1338" i="33"/>
  <c r="R1339" i="33"/>
  <c r="R1340" i="33"/>
  <c r="R1341" i="33"/>
  <c r="R1342" i="33"/>
  <c r="R1343" i="33"/>
  <c r="R1344" i="33"/>
  <c r="R1345" i="33"/>
  <c r="R1346" i="33"/>
  <c r="R1347" i="33"/>
  <c r="R1348" i="33"/>
  <c r="R1349" i="33"/>
  <c r="R1350" i="33"/>
  <c r="R1351" i="33"/>
  <c r="R1352" i="33"/>
  <c r="R1353" i="33"/>
  <c r="R1354" i="33"/>
  <c r="R1355" i="33"/>
  <c r="R1356" i="33"/>
  <c r="R1357" i="33"/>
  <c r="R1358" i="33"/>
  <c r="R1359" i="33"/>
  <c r="R1360" i="33"/>
  <c r="R1361" i="33"/>
  <c r="R1362" i="33"/>
  <c r="R1363" i="33"/>
  <c r="R1364" i="33"/>
  <c r="R1365" i="33"/>
  <c r="R1366" i="33"/>
  <c r="R1367" i="33"/>
  <c r="R1368" i="33"/>
  <c r="R1369" i="33"/>
  <c r="R1370" i="33"/>
  <c r="R1371" i="33"/>
  <c r="R1372" i="33"/>
  <c r="R1373" i="33"/>
  <c r="R1374" i="33"/>
  <c r="R1375" i="33"/>
  <c r="R1376" i="33"/>
  <c r="R1377" i="33"/>
  <c r="R1378" i="33"/>
  <c r="R1379" i="33"/>
  <c r="R1380" i="33"/>
  <c r="R1381" i="33"/>
  <c r="R1382" i="33"/>
  <c r="R1383" i="33"/>
  <c r="R1384" i="33"/>
  <c r="R1385" i="33"/>
  <c r="R1386" i="33"/>
  <c r="R1387" i="33"/>
  <c r="R1388" i="33"/>
  <c r="R1389" i="33"/>
  <c r="R1390" i="33"/>
  <c r="R1391" i="33"/>
  <c r="R1392" i="33"/>
  <c r="R1393" i="33"/>
  <c r="R1394" i="33"/>
  <c r="R1395" i="33"/>
  <c r="R1396" i="33"/>
  <c r="R1397" i="33"/>
  <c r="R1398" i="33"/>
  <c r="R1399" i="33"/>
  <c r="R1400" i="33"/>
  <c r="R1401" i="33"/>
  <c r="R1402" i="33"/>
  <c r="R1403" i="33"/>
  <c r="R1404" i="33"/>
  <c r="R1405" i="33"/>
  <c r="R1406" i="33"/>
  <c r="R1407" i="33"/>
  <c r="R1408" i="33"/>
  <c r="R1409" i="33"/>
  <c r="R1410" i="33"/>
  <c r="R1411" i="33"/>
  <c r="R1412" i="33"/>
  <c r="R1413" i="33"/>
  <c r="R1414" i="33"/>
  <c r="R1415" i="33"/>
  <c r="R1416" i="33"/>
  <c r="R1417" i="33"/>
  <c r="R1418" i="33"/>
  <c r="R1419" i="33"/>
  <c r="R1420" i="33"/>
  <c r="R1421" i="33"/>
  <c r="R1422" i="33"/>
  <c r="R1423" i="33"/>
  <c r="R1424" i="33"/>
  <c r="R1425" i="33"/>
  <c r="R1426" i="33"/>
  <c r="R1427" i="33"/>
  <c r="R1428" i="33"/>
  <c r="R1429" i="33"/>
  <c r="R1430" i="33"/>
  <c r="R1431" i="33"/>
  <c r="R1432" i="33"/>
  <c r="R1433" i="33"/>
  <c r="R1434" i="33"/>
  <c r="R1435" i="33"/>
  <c r="R1436" i="33"/>
  <c r="R1437" i="33"/>
  <c r="R1438" i="33"/>
  <c r="R1439" i="33"/>
  <c r="R1440" i="33"/>
  <c r="R1441" i="33"/>
  <c r="R1442" i="33"/>
  <c r="R1443" i="33"/>
  <c r="R1444" i="33"/>
  <c r="R1445" i="33"/>
  <c r="R1446" i="33"/>
  <c r="R1447" i="33"/>
  <c r="R1448" i="33"/>
  <c r="R1449" i="33"/>
  <c r="R1450" i="33"/>
  <c r="R1451" i="33"/>
  <c r="R1452" i="33"/>
  <c r="R1453" i="33"/>
  <c r="R1454" i="33"/>
  <c r="R1455" i="33"/>
  <c r="R1456" i="33"/>
  <c r="R1457" i="33"/>
  <c r="R1458" i="33"/>
  <c r="R1459" i="33"/>
  <c r="R1460" i="33"/>
  <c r="R1461" i="33"/>
  <c r="R1462" i="33"/>
  <c r="R1463" i="33"/>
  <c r="R1464" i="33"/>
  <c r="R1465" i="33"/>
  <c r="R1466" i="33"/>
  <c r="R1467" i="33"/>
  <c r="R1468" i="33"/>
  <c r="R1469" i="33"/>
  <c r="R1470" i="33"/>
  <c r="R1471" i="33"/>
  <c r="R1472" i="33"/>
  <c r="R1473" i="33"/>
  <c r="R1474" i="33"/>
  <c r="R1475" i="33"/>
  <c r="R1476" i="33"/>
  <c r="R1477" i="33"/>
  <c r="R1478" i="33"/>
  <c r="R1479" i="33"/>
  <c r="R1480" i="33"/>
  <c r="R1481" i="33"/>
  <c r="R1482" i="33"/>
  <c r="R1483" i="33"/>
  <c r="R1484" i="33"/>
  <c r="R1485" i="33"/>
  <c r="R1486" i="33"/>
  <c r="R1487" i="33"/>
  <c r="R1488" i="33"/>
  <c r="R1489" i="33"/>
  <c r="R1490" i="33"/>
  <c r="R1491" i="33"/>
  <c r="R1492" i="33"/>
  <c r="R1493" i="33"/>
  <c r="R1494" i="33"/>
  <c r="R1495" i="33"/>
  <c r="R1496" i="33"/>
  <c r="R1497" i="33"/>
  <c r="R1498" i="33"/>
  <c r="R1499" i="33"/>
  <c r="R1500" i="33"/>
  <c r="R1501" i="33"/>
  <c r="R1502" i="33"/>
  <c r="R1503" i="33"/>
  <c r="R1504" i="33"/>
  <c r="R1505" i="33"/>
  <c r="R1506" i="33"/>
  <c r="R1507" i="33"/>
  <c r="R1508" i="33"/>
  <c r="R1509" i="33"/>
  <c r="R1510" i="33"/>
  <c r="R1511" i="33"/>
  <c r="R1512" i="33"/>
  <c r="R1513" i="33"/>
  <c r="R1514" i="33"/>
  <c r="R1515" i="33"/>
  <c r="R1516" i="33"/>
  <c r="R1517" i="33"/>
  <c r="R1518" i="33"/>
  <c r="R1519" i="33"/>
  <c r="R1520" i="33"/>
  <c r="R1521" i="33"/>
  <c r="R1522" i="33"/>
  <c r="R1523" i="33"/>
  <c r="R1524" i="33"/>
  <c r="R1525" i="33"/>
  <c r="R1526" i="33"/>
  <c r="R1527" i="33"/>
  <c r="R1528" i="33"/>
  <c r="R1529" i="33"/>
  <c r="R1530" i="33"/>
  <c r="R1531" i="33"/>
  <c r="R1532" i="33"/>
  <c r="R1533" i="33"/>
  <c r="R1534" i="33"/>
  <c r="R1535" i="33"/>
  <c r="R1536" i="33"/>
  <c r="R1537" i="33"/>
  <c r="R1538" i="33"/>
  <c r="R1539" i="33"/>
  <c r="R1540" i="33"/>
  <c r="R1541" i="33"/>
  <c r="R1542" i="33"/>
  <c r="R1543" i="33"/>
  <c r="R1544" i="33"/>
  <c r="R1545" i="33"/>
  <c r="R1546" i="33"/>
  <c r="R1547" i="33"/>
  <c r="R1548" i="33"/>
  <c r="R1549" i="33"/>
  <c r="R1550" i="33"/>
  <c r="R1551" i="33"/>
  <c r="R1552" i="33"/>
  <c r="R1553" i="33"/>
  <c r="R1554" i="33"/>
  <c r="R1555" i="33"/>
  <c r="R1556" i="33"/>
  <c r="R1557" i="33"/>
  <c r="R1558" i="33"/>
  <c r="R1559" i="33"/>
  <c r="R1560" i="33"/>
  <c r="R1561" i="33"/>
  <c r="R1562" i="33"/>
  <c r="R1563" i="33"/>
  <c r="R1564" i="33"/>
  <c r="R1565" i="33"/>
  <c r="R1566" i="33"/>
  <c r="R1567" i="33"/>
  <c r="R1568" i="33"/>
  <c r="R1569" i="33"/>
  <c r="R1570" i="33"/>
  <c r="R1571" i="33"/>
  <c r="R1572" i="33"/>
  <c r="R1573" i="33"/>
  <c r="R1574" i="33"/>
  <c r="R1575" i="33"/>
  <c r="R1576" i="33"/>
  <c r="R1577" i="33"/>
  <c r="R1578" i="33"/>
  <c r="R1579" i="33"/>
  <c r="R1580" i="33"/>
  <c r="R1581" i="33"/>
  <c r="R1582" i="33"/>
  <c r="R1583" i="33"/>
  <c r="R1584" i="33"/>
  <c r="R1585" i="33"/>
  <c r="R1586" i="33"/>
  <c r="R1587" i="33"/>
  <c r="R1588" i="33"/>
  <c r="R1589" i="33"/>
  <c r="R1590" i="33"/>
  <c r="R1591" i="33"/>
  <c r="R1592" i="33"/>
  <c r="R1593" i="33"/>
  <c r="R1594" i="33"/>
  <c r="R1595" i="33"/>
  <c r="R1596" i="33"/>
  <c r="R1597" i="33"/>
  <c r="R1598" i="33"/>
  <c r="R1599" i="33"/>
  <c r="R1600" i="33"/>
  <c r="R1601" i="33"/>
  <c r="R1602" i="33"/>
  <c r="R1603" i="33"/>
  <c r="R1604" i="33"/>
  <c r="R1605" i="33"/>
  <c r="R1606" i="33"/>
  <c r="R1607" i="33"/>
  <c r="R1608" i="33"/>
  <c r="R1609" i="33"/>
  <c r="R1610" i="33"/>
  <c r="R1611" i="33"/>
  <c r="R1612" i="33"/>
  <c r="R1613" i="33"/>
  <c r="R1614" i="33"/>
  <c r="R1615" i="33"/>
  <c r="R1616" i="33"/>
  <c r="R1617" i="33"/>
  <c r="R1618" i="33"/>
  <c r="R1619" i="33"/>
  <c r="R1620" i="33"/>
  <c r="R1621" i="33"/>
  <c r="R1622" i="33"/>
  <c r="R1623" i="33"/>
  <c r="R1624" i="33"/>
  <c r="R1625" i="33"/>
  <c r="R1626" i="33"/>
  <c r="R1627" i="33"/>
  <c r="R1628" i="33"/>
  <c r="R1629" i="33"/>
  <c r="R1630" i="33"/>
  <c r="R1631" i="33"/>
  <c r="R1632" i="33"/>
  <c r="R1633" i="33"/>
  <c r="R1634" i="33"/>
  <c r="R1635" i="33"/>
  <c r="R1636" i="33"/>
  <c r="R1637" i="33"/>
  <c r="R1638" i="33"/>
  <c r="R1639" i="33"/>
  <c r="R1640" i="33"/>
  <c r="R1641" i="33"/>
  <c r="R1642" i="33"/>
  <c r="R1643" i="33"/>
  <c r="R1644" i="33"/>
  <c r="R1645" i="33"/>
  <c r="R1646" i="33"/>
  <c r="R1647" i="33"/>
  <c r="R1648" i="33"/>
  <c r="R1649" i="33"/>
  <c r="R1650" i="33"/>
  <c r="R1651" i="33"/>
  <c r="R1652" i="33"/>
  <c r="R1653" i="33"/>
  <c r="R1654" i="33"/>
  <c r="R1655" i="33"/>
  <c r="R1656" i="33"/>
  <c r="R1657" i="33"/>
  <c r="R1658" i="33"/>
  <c r="R1659" i="33"/>
  <c r="R1660" i="33"/>
  <c r="R1661" i="33"/>
  <c r="R1662" i="33"/>
  <c r="R1663" i="33"/>
  <c r="R1664" i="33"/>
  <c r="R1665" i="33"/>
  <c r="R1666" i="33"/>
  <c r="R1667" i="33"/>
  <c r="R1668" i="33"/>
  <c r="R1669" i="33"/>
  <c r="R1670" i="33"/>
  <c r="R1671" i="33"/>
  <c r="R1672" i="33"/>
  <c r="R1673" i="33"/>
  <c r="R1674" i="33"/>
  <c r="R1675" i="33"/>
  <c r="R1676" i="33"/>
  <c r="R1677" i="33"/>
  <c r="R1678" i="33"/>
  <c r="R1679" i="33"/>
  <c r="R1680" i="33"/>
  <c r="R1681" i="33"/>
  <c r="R1682" i="33"/>
  <c r="R1683" i="33"/>
  <c r="R1684" i="33"/>
  <c r="R1685" i="33"/>
  <c r="R1686" i="33"/>
  <c r="R1687" i="33"/>
  <c r="R1688" i="33"/>
  <c r="R1689" i="33"/>
  <c r="R1690" i="33"/>
  <c r="R1691" i="33"/>
  <c r="R1692" i="33"/>
  <c r="R1693" i="33"/>
  <c r="R1694" i="33"/>
  <c r="R1695" i="33"/>
  <c r="R1696" i="33"/>
  <c r="R1697" i="33"/>
  <c r="R1698" i="33"/>
  <c r="R1699" i="33"/>
  <c r="R1700" i="33"/>
  <c r="R1701" i="33"/>
  <c r="R1702" i="33"/>
  <c r="R1703" i="33"/>
  <c r="R1704" i="33"/>
  <c r="R1705" i="33"/>
  <c r="R1706" i="33"/>
  <c r="R1707" i="33"/>
  <c r="R1708" i="33"/>
  <c r="R1709" i="33"/>
  <c r="R1710" i="33"/>
  <c r="R1711" i="33"/>
  <c r="R1712" i="33"/>
  <c r="R1713" i="33"/>
  <c r="R1714" i="33"/>
  <c r="R1715" i="33"/>
  <c r="R1716" i="33"/>
  <c r="R1717" i="33"/>
  <c r="R1718" i="33"/>
  <c r="R1719" i="33"/>
  <c r="R1720" i="33"/>
  <c r="R1721" i="33"/>
  <c r="R1722" i="33"/>
  <c r="R1723" i="33"/>
  <c r="R1724" i="33"/>
  <c r="R1725" i="33"/>
  <c r="R1726" i="33"/>
  <c r="R1727" i="33"/>
  <c r="R1728" i="33"/>
  <c r="R1729" i="33"/>
  <c r="R1730" i="33"/>
  <c r="R1731" i="33"/>
  <c r="R1732" i="33"/>
  <c r="R1733" i="33"/>
  <c r="R1734" i="33"/>
  <c r="R1735" i="33"/>
  <c r="R1736" i="33"/>
  <c r="R1737" i="33"/>
  <c r="R1738" i="33"/>
  <c r="R1739" i="33"/>
  <c r="R1740" i="33"/>
  <c r="R1741" i="33"/>
  <c r="R1742" i="33"/>
  <c r="R1743" i="33"/>
  <c r="R1744" i="33"/>
  <c r="R1745" i="33"/>
  <c r="R1746" i="33"/>
  <c r="R1747" i="33"/>
  <c r="R1748" i="33"/>
  <c r="R1749" i="33"/>
  <c r="R1750" i="33"/>
  <c r="R1751" i="33"/>
  <c r="R1752" i="33"/>
  <c r="R1753" i="33"/>
  <c r="R1754" i="33"/>
  <c r="R1755" i="33"/>
  <c r="R1756" i="33"/>
  <c r="R1757" i="33"/>
  <c r="R1758" i="33"/>
  <c r="R1759" i="33"/>
  <c r="R1760" i="33"/>
  <c r="R1761" i="33"/>
  <c r="R1762" i="33"/>
  <c r="R1763" i="33"/>
  <c r="R1764" i="33"/>
  <c r="R1765" i="33"/>
  <c r="R1766" i="33"/>
  <c r="R1767" i="33"/>
  <c r="R1768" i="33"/>
  <c r="R1769" i="33"/>
  <c r="R1770" i="33"/>
  <c r="R1771" i="33"/>
  <c r="R1772" i="33"/>
  <c r="R1773" i="33"/>
  <c r="R1774" i="33"/>
  <c r="R1775" i="33"/>
  <c r="R1776" i="33"/>
  <c r="R1777" i="33"/>
  <c r="R1778" i="33"/>
  <c r="R1779" i="33"/>
  <c r="R1780" i="33"/>
  <c r="R1781" i="33"/>
  <c r="R1782" i="33"/>
  <c r="R1783" i="33"/>
  <c r="R1784" i="33"/>
  <c r="R1785" i="33"/>
  <c r="R1786" i="33"/>
  <c r="R1787" i="33"/>
  <c r="R1788" i="33"/>
  <c r="R1789" i="33"/>
  <c r="R1790" i="33"/>
  <c r="R1791" i="33"/>
  <c r="R1792" i="33"/>
  <c r="R1793" i="33"/>
  <c r="R1794" i="33"/>
  <c r="R1795" i="33"/>
  <c r="R1796" i="33"/>
  <c r="R1797" i="33"/>
  <c r="R1798" i="33"/>
  <c r="R1799" i="33"/>
  <c r="R1800" i="33"/>
  <c r="R1801" i="33"/>
  <c r="R1802" i="33"/>
  <c r="R1803" i="33"/>
  <c r="R1804" i="33"/>
  <c r="R1805" i="33"/>
  <c r="R1806" i="33"/>
  <c r="R1807" i="33"/>
  <c r="R1808" i="33"/>
  <c r="R1809" i="33"/>
  <c r="R1810" i="33"/>
  <c r="R1811" i="33"/>
  <c r="R1812" i="33"/>
  <c r="R1813" i="33"/>
  <c r="R1814" i="33"/>
  <c r="R1815" i="33"/>
  <c r="R1816" i="33"/>
  <c r="R1817" i="33"/>
  <c r="R1818" i="33"/>
  <c r="R1819" i="33"/>
  <c r="R1820" i="33"/>
  <c r="R1821" i="33"/>
  <c r="R1822" i="33"/>
  <c r="R1823" i="33"/>
  <c r="R1824" i="33"/>
  <c r="R1825" i="33"/>
  <c r="R1826" i="33"/>
  <c r="R1827" i="33"/>
  <c r="R1828" i="33"/>
  <c r="R1829" i="33"/>
  <c r="R1830" i="33"/>
  <c r="R1831" i="33"/>
  <c r="R1832" i="33"/>
  <c r="R1833" i="33"/>
  <c r="R1834" i="33"/>
  <c r="R1835" i="33"/>
  <c r="R1836" i="33"/>
  <c r="R1837" i="33"/>
  <c r="R1838" i="33"/>
  <c r="R1839" i="33"/>
  <c r="R1840" i="33"/>
  <c r="R1841" i="33"/>
  <c r="R1842" i="33"/>
  <c r="R1843" i="33"/>
  <c r="R1844" i="33"/>
  <c r="R1845" i="33"/>
  <c r="R1846" i="33"/>
  <c r="R1847" i="33"/>
  <c r="R1848" i="33"/>
  <c r="R1849" i="33"/>
  <c r="R1850" i="33"/>
  <c r="R1851" i="33"/>
  <c r="R1852" i="33"/>
  <c r="R1853" i="33"/>
  <c r="R1854" i="33"/>
  <c r="R1855" i="33"/>
  <c r="R1856" i="33"/>
  <c r="R1857" i="33"/>
  <c r="R1858" i="33"/>
  <c r="R1859" i="33"/>
  <c r="R1860" i="33"/>
  <c r="R1861" i="33"/>
  <c r="R1862" i="33"/>
  <c r="R1863" i="33"/>
  <c r="R1864" i="33"/>
  <c r="R1865" i="33"/>
  <c r="R1866" i="33"/>
  <c r="R1867" i="33"/>
  <c r="R1868" i="33"/>
  <c r="R1869" i="33"/>
  <c r="R1870" i="33"/>
  <c r="R1871" i="33"/>
  <c r="R1872" i="33"/>
  <c r="R1873" i="33"/>
  <c r="R1874" i="33"/>
  <c r="R1875" i="33"/>
  <c r="R1876" i="33"/>
  <c r="R1877" i="33"/>
  <c r="R1878" i="33"/>
  <c r="R1879" i="33"/>
  <c r="R1880" i="33"/>
  <c r="R1881" i="33"/>
  <c r="R1882" i="33"/>
  <c r="R1883" i="33"/>
  <c r="R1884" i="33"/>
  <c r="R1885" i="33"/>
  <c r="R1886" i="33"/>
  <c r="R1887" i="33"/>
  <c r="R1888" i="33"/>
  <c r="R1889" i="33"/>
  <c r="R1890" i="33"/>
  <c r="R1891" i="33"/>
  <c r="R1892" i="33"/>
  <c r="R1893" i="33"/>
  <c r="R1894" i="33"/>
  <c r="R1895" i="33"/>
  <c r="R1896" i="33"/>
  <c r="R1897" i="33"/>
  <c r="R1898" i="33"/>
  <c r="R1899" i="33"/>
  <c r="R1900" i="33"/>
  <c r="R1901" i="33"/>
  <c r="R1902" i="33"/>
  <c r="R1903" i="33"/>
  <c r="R1904" i="33"/>
  <c r="R1905" i="33"/>
  <c r="R1906" i="33"/>
  <c r="R1907" i="33"/>
  <c r="R1908" i="33"/>
  <c r="R1909" i="33"/>
  <c r="R1910" i="33"/>
  <c r="R1911" i="33"/>
  <c r="R1912" i="33"/>
  <c r="R1913" i="33"/>
  <c r="R1914" i="33"/>
  <c r="R1915" i="33"/>
  <c r="R1916" i="33"/>
  <c r="R1917" i="33"/>
  <c r="R1918" i="33"/>
  <c r="R1919" i="33"/>
  <c r="R1920" i="33"/>
  <c r="R1921" i="33"/>
  <c r="R1922" i="33"/>
  <c r="R1923" i="33"/>
  <c r="R1924" i="33"/>
  <c r="R1925" i="33"/>
  <c r="R1926" i="33"/>
  <c r="R1927" i="33"/>
  <c r="R1928" i="33"/>
  <c r="R1929" i="33"/>
  <c r="R1930" i="33"/>
  <c r="R1931" i="33"/>
  <c r="R1932" i="33"/>
  <c r="R1933" i="33"/>
  <c r="R1934" i="33"/>
  <c r="R1935" i="33"/>
  <c r="R1936" i="33"/>
  <c r="R1937" i="33"/>
  <c r="R1938" i="33"/>
  <c r="R1939" i="33"/>
  <c r="R1940" i="33"/>
  <c r="R1941" i="33"/>
  <c r="R1942" i="33"/>
  <c r="R1943" i="33"/>
  <c r="R1944" i="33"/>
  <c r="R1945" i="33"/>
  <c r="R1946" i="33"/>
  <c r="R1947" i="33"/>
  <c r="R1948" i="33"/>
  <c r="R1949" i="33"/>
  <c r="R1950" i="33"/>
  <c r="R1951" i="33"/>
  <c r="R1952" i="33"/>
  <c r="R1953" i="33"/>
  <c r="R1954" i="33"/>
  <c r="R1955" i="33"/>
  <c r="R1956" i="33"/>
  <c r="R1957" i="33"/>
  <c r="R1958" i="33"/>
  <c r="R1959" i="33"/>
  <c r="R1960" i="33"/>
  <c r="R1961" i="33"/>
  <c r="R1962" i="33"/>
  <c r="R1963" i="33"/>
  <c r="R1964" i="33"/>
  <c r="R1965" i="33"/>
  <c r="R1966" i="33"/>
  <c r="R1967" i="33"/>
  <c r="R1968" i="33"/>
  <c r="R1969" i="33"/>
  <c r="R1970" i="33"/>
  <c r="R1971" i="33"/>
  <c r="R1972" i="33"/>
  <c r="R1973" i="33"/>
  <c r="R1974" i="33"/>
  <c r="R1975" i="33"/>
  <c r="R1976" i="33"/>
  <c r="R1977" i="33"/>
  <c r="R1978" i="33"/>
  <c r="R1979" i="33"/>
  <c r="R1980" i="33"/>
  <c r="R1981" i="33"/>
  <c r="R1982" i="33"/>
  <c r="R1983" i="33"/>
  <c r="R1984" i="33"/>
  <c r="R1985" i="33"/>
  <c r="R1986" i="33"/>
  <c r="R1987" i="33"/>
  <c r="R1988" i="33"/>
  <c r="R1989" i="33"/>
  <c r="R1990" i="33"/>
  <c r="R1991" i="33"/>
  <c r="R1992" i="33"/>
  <c r="R1993" i="33"/>
  <c r="R1994" i="33"/>
  <c r="R1995" i="33"/>
  <c r="R1996" i="33"/>
  <c r="R1997" i="33"/>
  <c r="R1998" i="33"/>
  <c r="R1999" i="33"/>
  <c r="R2000" i="33"/>
  <c r="R2001" i="33"/>
  <c r="Q3" i="33"/>
  <c r="Q5" i="33"/>
  <c r="Q6" i="33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Q27" i="33"/>
  <c r="Q28" i="33"/>
  <c r="Q29" i="33"/>
  <c r="Q30" i="33"/>
  <c r="Q31" i="33"/>
  <c r="Q32" i="33"/>
  <c r="Q33" i="33"/>
  <c r="Q34" i="33"/>
  <c r="Q35" i="33"/>
  <c r="Q36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51" i="33"/>
  <c r="Q52" i="33"/>
  <c r="Q53" i="33"/>
  <c r="Q54" i="33"/>
  <c r="Q55" i="33"/>
  <c r="Q56" i="33"/>
  <c r="Q57" i="33"/>
  <c r="Q58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72" i="33"/>
  <c r="Q73" i="33"/>
  <c r="Q74" i="33"/>
  <c r="Q75" i="33"/>
  <c r="Q76" i="33"/>
  <c r="Q77" i="33"/>
  <c r="Q78" i="33"/>
  <c r="Q79" i="33"/>
  <c r="Q80" i="33"/>
  <c r="Q81" i="33"/>
  <c r="Q82" i="33"/>
  <c r="Q83" i="33"/>
  <c r="Q84" i="33"/>
  <c r="Q85" i="33"/>
  <c r="Q86" i="33"/>
  <c r="Q87" i="33"/>
  <c r="Q88" i="33"/>
  <c r="Q89" i="33"/>
  <c r="Q90" i="33"/>
  <c r="Q91" i="33"/>
  <c r="Q92" i="33"/>
  <c r="Q93" i="33"/>
  <c r="Q94" i="33"/>
  <c r="Q95" i="33"/>
  <c r="Q96" i="33"/>
  <c r="Q97" i="33"/>
  <c r="Q98" i="33"/>
  <c r="Q99" i="33"/>
  <c r="Q100" i="33"/>
  <c r="Q101" i="33"/>
  <c r="Q102" i="33"/>
  <c r="Q103" i="33"/>
  <c r="Q104" i="33"/>
  <c r="Q105" i="33"/>
  <c r="Q106" i="33"/>
  <c r="Q107" i="33"/>
  <c r="Q108" i="33"/>
  <c r="Q109" i="33"/>
  <c r="Q110" i="33"/>
  <c r="Q111" i="33"/>
  <c r="Q112" i="33"/>
  <c r="Q113" i="33"/>
  <c r="Q114" i="33"/>
  <c r="Q115" i="33"/>
  <c r="Q116" i="33"/>
  <c r="Q117" i="33"/>
  <c r="Q118" i="33"/>
  <c r="Q119" i="33"/>
  <c r="Q120" i="33"/>
  <c r="Q121" i="33"/>
  <c r="Q122" i="33"/>
  <c r="Q123" i="33"/>
  <c r="Q124" i="33"/>
  <c r="Q125" i="33"/>
  <c r="Q126" i="33"/>
  <c r="Q127" i="33"/>
  <c r="Q128" i="33"/>
  <c r="Q129" i="33"/>
  <c r="Q130" i="33"/>
  <c r="Q131" i="33"/>
  <c r="Q132" i="33"/>
  <c r="Q133" i="33"/>
  <c r="Q134" i="33"/>
  <c r="Q135" i="33"/>
  <c r="Q136" i="33"/>
  <c r="Q137" i="33"/>
  <c r="Q138" i="33"/>
  <c r="Q139" i="33"/>
  <c r="Q140" i="33"/>
  <c r="Q141" i="33"/>
  <c r="Q142" i="33"/>
  <c r="Q143" i="33"/>
  <c r="Q144" i="33"/>
  <c r="Q145" i="33"/>
  <c r="Q146" i="33"/>
  <c r="Q147" i="33"/>
  <c r="Q148" i="33"/>
  <c r="Q149" i="33"/>
  <c r="Q150" i="33"/>
  <c r="Q151" i="33"/>
  <c r="Q152" i="33"/>
  <c r="Q153" i="33"/>
  <c r="Q154" i="33"/>
  <c r="Q155" i="33"/>
  <c r="Q156" i="33"/>
  <c r="Q157" i="33"/>
  <c r="Q158" i="33"/>
  <c r="Q159" i="33"/>
  <c r="Q160" i="33"/>
  <c r="Q161" i="33"/>
  <c r="Q162" i="33"/>
  <c r="Q163" i="33"/>
  <c r="Q164" i="33"/>
  <c r="Q165" i="33"/>
  <c r="Q166" i="33"/>
  <c r="Q167" i="33"/>
  <c r="Q168" i="33"/>
  <c r="Q169" i="33"/>
  <c r="Q170" i="33"/>
  <c r="Q171" i="33"/>
  <c r="Q172" i="33"/>
  <c r="Q173" i="33"/>
  <c r="Q174" i="33"/>
  <c r="Q175" i="33"/>
  <c r="Q176" i="33"/>
  <c r="Q177" i="33"/>
  <c r="Q178" i="33"/>
  <c r="Q179" i="33"/>
  <c r="Q180" i="33"/>
  <c r="Q181" i="33"/>
  <c r="Q182" i="33"/>
  <c r="Q183" i="33"/>
  <c r="Q184" i="33"/>
  <c r="Q185" i="33"/>
  <c r="Q186" i="33"/>
  <c r="Q187" i="33"/>
  <c r="Q188" i="33"/>
  <c r="Q189" i="33"/>
  <c r="Q190" i="33"/>
  <c r="Q191" i="33"/>
  <c r="Q192" i="33"/>
  <c r="Q193" i="33"/>
  <c r="Q194" i="33"/>
  <c r="Q195" i="33"/>
  <c r="Q196" i="33"/>
  <c r="Q197" i="33"/>
  <c r="Q198" i="33"/>
  <c r="Q199" i="33"/>
  <c r="Q200" i="33"/>
  <c r="Q201" i="33"/>
  <c r="Q202" i="33"/>
  <c r="Q203" i="33"/>
  <c r="Q204" i="33"/>
  <c r="Q205" i="33"/>
  <c r="Q206" i="33"/>
  <c r="Q207" i="33"/>
  <c r="Q208" i="33"/>
  <c r="Q209" i="33"/>
  <c r="Q210" i="33"/>
  <c r="Q211" i="33"/>
  <c r="Q212" i="33"/>
  <c r="Q213" i="33"/>
  <c r="Q214" i="33"/>
  <c r="Q215" i="33"/>
  <c r="Q216" i="33"/>
  <c r="Q217" i="33"/>
  <c r="Q218" i="33"/>
  <c r="Q219" i="33"/>
  <c r="Q220" i="33"/>
  <c r="Q221" i="33"/>
  <c r="Q222" i="33"/>
  <c r="Q223" i="33"/>
  <c r="Q224" i="33"/>
  <c r="Q225" i="33"/>
  <c r="Q226" i="33"/>
  <c r="Q227" i="33"/>
  <c r="Q228" i="33"/>
  <c r="Q229" i="33"/>
  <c r="Q230" i="33"/>
  <c r="Q231" i="33"/>
  <c r="Q232" i="33"/>
  <c r="Q233" i="33"/>
  <c r="Q234" i="33"/>
  <c r="Q235" i="33"/>
  <c r="Q236" i="33"/>
  <c r="Q237" i="33"/>
  <c r="Q238" i="33"/>
  <c r="Q239" i="33"/>
  <c r="Q240" i="33"/>
  <c r="Q241" i="33"/>
  <c r="Q242" i="33"/>
  <c r="Q243" i="33"/>
  <c r="Q244" i="33"/>
  <c r="Q245" i="33"/>
  <c r="Q246" i="33"/>
  <c r="Q247" i="33"/>
  <c r="Q248" i="33"/>
  <c r="Q249" i="33"/>
  <c r="Q250" i="33"/>
  <c r="Q251" i="33"/>
  <c r="Q252" i="33"/>
  <c r="Q253" i="33"/>
  <c r="Q254" i="33"/>
  <c r="Q255" i="33"/>
  <c r="Q256" i="33"/>
  <c r="Q257" i="33"/>
  <c r="Q258" i="33"/>
  <c r="Q259" i="33"/>
  <c r="Q260" i="33"/>
  <c r="Q261" i="33"/>
  <c r="Q262" i="33"/>
  <c r="Q263" i="33"/>
  <c r="Q264" i="33"/>
  <c r="Q265" i="33"/>
  <c r="Q266" i="33"/>
  <c r="Q267" i="33"/>
  <c r="Q268" i="33"/>
  <c r="Q269" i="33"/>
  <c r="Q270" i="33"/>
  <c r="Q271" i="33"/>
  <c r="Q272" i="33"/>
  <c r="Q273" i="33"/>
  <c r="Q274" i="33"/>
  <c r="Q275" i="33"/>
  <c r="Q276" i="33"/>
  <c r="Q277" i="33"/>
  <c r="Q278" i="33"/>
  <c r="Q279" i="33"/>
  <c r="Q280" i="33"/>
  <c r="Q281" i="33"/>
  <c r="Q282" i="33"/>
  <c r="Q283" i="33"/>
  <c r="Q284" i="33"/>
  <c r="Q285" i="33"/>
  <c r="Q286" i="33"/>
  <c r="Q287" i="33"/>
  <c r="Q288" i="33"/>
  <c r="Q289" i="33"/>
  <c r="Q290" i="33"/>
  <c r="Q291" i="33"/>
  <c r="Q292" i="33"/>
  <c r="Q293" i="33"/>
  <c r="Q294" i="33"/>
  <c r="Q295" i="33"/>
  <c r="Q296" i="33"/>
  <c r="Q297" i="33"/>
  <c r="Q298" i="33"/>
  <c r="Q299" i="33"/>
  <c r="Q300" i="33"/>
  <c r="Q301" i="33"/>
  <c r="Q302" i="33"/>
  <c r="Q303" i="33"/>
  <c r="Q304" i="33"/>
  <c r="Q305" i="33"/>
  <c r="Q306" i="33"/>
  <c r="Q307" i="33"/>
  <c r="Q308" i="33"/>
  <c r="Q309" i="33"/>
  <c r="Q310" i="33"/>
  <c r="Q311" i="33"/>
  <c r="Q312" i="33"/>
  <c r="Q313" i="33"/>
  <c r="Q314" i="33"/>
  <c r="Q315" i="33"/>
  <c r="Q316" i="33"/>
  <c r="Q317" i="33"/>
  <c r="Q318" i="33"/>
  <c r="Q319" i="33"/>
  <c r="Q320" i="33"/>
  <c r="Q321" i="33"/>
  <c r="Q322" i="33"/>
  <c r="Q323" i="33"/>
  <c r="Q324" i="33"/>
  <c r="Q325" i="33"/>
  <c r="Q326" i="33"/>
  <c r="Q327" i="33"/>
  <c r="Q328" i="33"/>
  <c r="Q329" i="33"/>
  <c r="Q330" i="33"/>
  <c r="Q331" i="33"/>
  <c r="Q332" i="33"/>
  <c r="Q333" i="33"/>
  <c r="Q334" i="33"/>
  <c r="Q335" i="33"/>
  <c r="Q336" i="33"/>
  <c r="Q337" i="33"/>
  <c r="Q338" i="33"/>
  <c r="Q339" i="33"/>
  <c r="Q340" i="33"/>
  <c r="Q341" i="33"/>
  <c r="Q342" i="33"/>
  <c r="Q343" i="33"/>
  <c r="Q344" i="33"/>
  <c r="Q345" i="33"/>
  <c r="Q346" i="33"/>
  <c r="Q347" i="33"/>
  <c r="Q348" i="33"/>
  <c r="Q349" i="33"/>
  <c r="Q350" i="33"/>
  <c r="Q351" i="33"/>
  <c r="Q352" i="33"/>
  <c r="Q353" i="33"/>
  <c r="Q354" i="33"/>
  <c r="Q355" i="33"/>
  <c r="Q356" i="33"/>
  <c r="Q357" i="33"/>
  <c r="Q358" i="33"/>
  <c r="Q359" i="33"/>
  <c r="Q360" i="33"/>
  <c r="Q361" i="33"/>
  <c r="Q362" i="33"/>
  <c r="Q363" i="33"/>
  <c r="Q364" i="33"/>
  <c r="Q365" i="33"/>
  <c r="Q366" i="33"/>
  <c r="Q367" i="33"/>
  <c r="Q368" i="33"/>
  <c r="Q369" i="33"/>
  <c r="Q370" i="33"/>
  <c r="Q371" i="33"/>
  <c r="Q372" i="33"/>
  <c r="Q373" i="33"/>
  <c r="Q374" i="33"/>
  <c r="Q375" i="33"/>
  <c r="Q376" i="33"/>
  <c r="Q377" i="33"/>
  <c r="Q378" i="33"/>
  <c r="Q379" i="33"/>
  <c r="Q380" i="33"/>
  <c r="Q381" i="33"/>
  <c r="Q382" i="33"/>
  <c r="Q383" i="33"/>
  <c r="Q384" i="33"/>
  <c r="Q385" i="33"/>
  <c r="Q386" i="33"/>
  <c r="Q387" i="33"/>
  <c r="Q388" i="33"/>
  <c r="Q389" i="33"/>
  <c r="Q390" i="33"/>
  <c r="Q391" i="33"/>
  <c r="Q392" i="33"/>
  <c r="Q393" i="33"/>
  <c r="Q394" i="33"/>
  <c r="Q395" i="33"/>
  <c r="Q396" i="33"/>
  <c r="Q397" i="33"/>
  <c r="Q398" i="33"/>
  <c r="Q399" i="33"/>
  <c r="Q400" i="33"/>
  <c r="Q401" i="33"/>
  <c r="Q402" i="33"/>
  <c r="Q403" i="33"/>
  <c r="Q404" i="33"/>
  <c r="Q405" i="33"/>
  <c r="Q406" i="33"/>
  <c r="Q407" i="33"/>
  <c r="Q408" i="33"/>
  <c r="Q409" i="33"/>
  <c r="Q410" i="33"/>
  <c r="Q411" i="33"/>
  <c r="Q412" i="33"/>
  <c r="Q413" i="33"/>
  <c r="Q414" i="33"/>
  <c r="Q415" i="33"/>
  <c r="Q416" i="33"/>
  <c r="Q417" i="33"/>
  <c r="Q418" i="33"/>
  <c r="Q419" i="33"/>
  <c r="Q420" i="33"/>
  <c r="Q421" i="33"/>
  <c r="Q422" i="33"/>
  <c r="Q423" i="33"/>
  <c r="Q424" i="33"/>
  <c r="Q425" i="33"/>
  <c r="Q426" i="33"/>
  <c r="Q427" i="33"/>
  <c r="Q428" i="33"/>
  <c r="Q429" i="33"/>
  <c r="Q430" i="33"/>
  <c r="Q431" i="33"/>
  <c r="Q432" i="33"/>
  <c r="Q433" i="33"/>
  <c r="Q434" i="33"/>
  <c r="Q435" i="33"/>
  <c r="Q436" i="33"/>
  <c r="Q437" i="33"/>
  <c r="Q438" i="33"/>
  <c r="Q439" i="33"/>
  <c r="Q440" i="33"/>
  <c r="Q441" i="33"/>
  <c r="Q442" i="33"/>
  <c r="Q443" i="33"/>
  <c r="Q444" i="33"/>
  <c r="Q445" i="33"/>
  <c r="Q446" i="33"/>
  <c r="Q447" i="33"/>
  <c r="Q448" i="33"/>
  <c r="Q449" i="33"/>
  <c r="Q450" i="33"/>
  <c r="Q451" i="33"/>
  <c r="Q452" i="33"/>
  <c r="Q453" i="33"/>
  <c r="Q454" i="33"/>
  <c r="Q455" i="33"/>
  <c r="Q456" i="33"/>
  <c r="Q457" i="33"/>
  <c r="Q458" i="33"/>
  <c r="Q459" i="33"/>
  <c r="Q460" i="33"/>
  <c r="Q461" i="33"/>
  <c r="Q462" i="33"/>
  <c r="Q463" i="33"/>
  <c r="Q464" i="33"/>
  <c r="Q465" i="33"/>
  <c r="Q466" i="33"/>
  <c r="Q467" i="33"/>
  <c r="Q468" i="33"/>
  <c r="Q469" i="33"/>
  <c r="Q470" i="33"/>
  <c r="Q471" i="33"/>
  <c r="Q472" i="33"/>
  <c r="Q473" i="33"/>
  <c r="Q474" i="33"/>
  <c r="Q475" i="33"/>
  <c r="Q476" i="33"/>
  <c r="Q477" i="33"/>
  <c r="Q478" i="33"/>
  <c r="Q479" i="33"/>
  <c r="Q480" i="33"/>
  <c r="Q481" i="33"/>
  <c r="Q482" i="33"/>
  <c r="Q483" i="33"/>
  <c r="Q484" i="33"/>
  <c r="Q485" i="33"/>
  <c r="Q486" i="33"/>
  <c r="Q487" i="33"/>
  <c r="Q488" i="33"/>
  <c r="Q489" i="33"/>
  <c r="Q490" i="33"/>
  <c r="Q491" i="33"/>
  <c r="Q492" i="33"/>
  <c r="Q493" i="33"/>
  <c r="Q494" i="33"/>
  <c r="Q495" i="33"/>
  <c r="Q496" i="33"/>
  <c r="Q497" i="33"/>
  <c r="Q498" i="33"/>
  <c r="Q499" i="33"/>
  <c r="Q500" i="33"/>
  <c r="Q501" i="33"/>
  <c r="Q502" i="33"/>
  <c r="Q503" i="33"/>
  <c r="Q504" i="33"/>
  <c r="Q505" i="33"/>
  <c r="Q506" i="33"/>
  <c r="Q507" i="33"/>
  <c r="Q508" i="33"/>
  <c r="Q509" i="33"/>
  <c r="Q510" i="33"/>
  <c r="Q511" i="33"/>
  <c r="Q512" i="33"/>
  <c r="Q513" i="33"/>
  <c r="Q514" i="33"/>
  <c r="Q515" i="33"/>
  <c r="Q516" i="33"/>
  <c r="Q517" i="33"/>
  <c r="Q518" i="33"/>
  <c r="Q519" i="33"/>
  <c r="Q520" i="33"/>
  <c r="Q521" i="33"/>
  <c r="Q522" i="33"/>
  <c r="Q523" i="33"/>
  <c r="Q524" i="33"/>
  <c r="Q525" i="33"/>
  <c r="Q526" i="33"/>
  <c r="Q527" i="33"/>
  <c r="Q528" i="33"/>
  <c r="Q529" i="33"/>
  <c r="Q530" i="33"/>
  <c r="Q531" i="33"/>
  <c r="Q532" i="33"/>
  <c r="Q533" i="33"/>
  <c r="Q534" i="33"/>
  <c r="Q535" i="33"/>
  <c r="Q536" i="33"/>
  <c r="Q537" i="33"/>
  <c r="Q538" i="33"/>
  <c r="Q539" i="33"/>
  <c r="Q540" i="33"/>
  <c r="Q541" i="33"/>
  <c r="Q542" i="33"/>
  <c r="Q543" i="33"/>
  <c r="Q544" i="33"/>
  <c r="Q545" i="33"/>
  <c r="Q546" i="33"/>
  <c r="Q547" i="33"/>
  <c r="Q548" i="33"/>
  <c r="Q549" i="33"/>
  <c r="Q550" i="33"/>
  <c r="Q551" i="33"/>
  <c r="Q552" i="33"/>
  <c r="Q553" i="33"/>
  <c r="Q554" i="33"/>
  <c r="Q555" i="33"/>
  <c r="Q556" i="33"/>
  <c r="Q557" i="33"/>
  <c r="Q558" i="33"/>
  <c r="Q559" i="33"/>
  <c r="Q560" i="33"/>
  <c r="Q561" i="33"/>
  <c r="Q562" i="33"/>
  <c r="Q563" i="33"/>
  <c r="Q564" i="33"/>
  <c r="Q565" i="33"/>
  <c r="Q566" i="33"/>
  <c r="Q567" i="33"/>
  <c r="Q568" i="33"/>
  <c r="Q569" i="33"/>
  <c r="Q570" i="33"/>
  <c r="Q571" i="33"/>
  <c r="Q572" i="33"/>
  <c r="Q573" i="33"/>
  <c r="Q574" i="33"/>
  <c r="Q575" i="33"/>
  <c r="Q576" i="33"/>
  <c r="Q577" i="33"/>
  <c r="Q578" i="33"/>
  <c r="Q579" i="33"/>
  <c r="Q580" i="33"/>
  <c r="Q581" i="33"/>
  <c r="Q582" i="33"/>
  <c r="Q583" i="33"/>
  <c r="Q584" i="33"/>
  <c r="Q585" i="33"/>
  <c r="Q586" i="33"/>
  <c r="Q587" i="33"/>
  <c r="Q588" i="33"/>
  <c r="Q589" i="33"/>
  <c r="Q590" i="33"/>
  <c r="Q591" i="33"/>
  <c r="Q592" i="33"/>
  <c r="Q593" i="33"/>
  <c r="Q594" i="33"/>
  <c r="Q595" i="33"/>
  <c r="Q596" i="33"/>
  <c r="Q597" i="33"/>
  <c r="Q598" i="33"/>
  <c r="Q599" i="33"/>
  <c r="Q600" i="33"/>
  <c r="Q601" i="33"/>
  <c r="Q602" i="33"/>
  <c r="Q603" i="33"/>
  <c r="Q604" i="33"/>
  <c r="Q605" i="33"/>
  <c r="Q606" i="33"/>
  <c r="Q607" i="33"/>
  <c r="Q608" i="33"/>
  <c r="Q609" i="33"/>
  <c r="Q610" i="33"/>
  <c r="Q611" i="33"/>
  <c r="Q612" i="33"/>
  <c r="Q613" i="33"/>
  <c r="Q614" i="33"/>
  <c r="Q615" i="33"/>
  <c r="Q616" i="33"/>
  <c r="Q617" i="33"/>
  <c r="Q618" i="33"/>
  <c r="Q619" i="33"/>
  <c r="Q620" i="33"/>
  <c r="Q621" i="33"/>
  <c r="Q622" i="33"/>
  <c r="Q623" i="33"/>
  <c r="Q624" i="33"/>
  <c r="Q625" i="33"/>
  <c r="Q626" i="33"/>
  <c r="Q627" i="33"/>
  <c r="Q628" i="33"/>
  <c r="Q629" i="33"/>
  <c r="Q630" i="33"/>
  <c r="Q631" i="33"/>
  <c r="Q632" i="33"/>
  <c r="Q633" i="33"/>
  <c r="Q634" i="33"/>
  <c r="Q635" i="33"/>
  <c r="Q636" i="33"/>
  <c r="Q637" i="33"/>
  <c r="Q638" i="33"/>
  <c r="Q639" i="33"/>
  <c r="Q640" i="33"/>
  <c r="Q641" i="33"/>
  <c r="Q642" i="33"/>
  <c r="Q643" i="33"/>
  <c r="Q644" i="33"/>
  <c r="Q645" i="33"/>
  <c r="Q646" i="33"/>
  <c r="Q647" i="33"/>
  <c r="Q648" i="33"/>
  <c r="Q649" i="33"/>
  <c r="Q650" i="33"/>
  <c r="Q651" i="33"/>
  <c r="Q652" i="33"/>
  <c r="Q653" i="33"/>
  <c r="Q654" i="33"/>
  <c r="Q655" i="33"/>
  <c r="Q656" i="33"/>
  <c r="Q657" i="33"/>
  <c r="Q658" i="33"/>
  <c r="Q659" i="33"/>
  <c r="Q660" i="33"/>
  <c r="Q661" i="33"/>
  <c r="Q662" i="33"/>
  <c r="Q663" i="33"/>
  <c r="Q664" i="33"/>
  <c r="Q665" i="33"/>
  <c r="Q666" i="33"/>
  <c r="Q667" i="33"/>
  <c r="Q668" i="33"/>
  <c r="Q669" i="33"/>
  <c r="Q670" i="33"/>
  <c r="Q671" i="33"/>
  <c r="Q672" i="33"/>
  <c r="Q673" i="33"/>
  <c r="Q674" i="33"/>
  <c r="Q675" i="33"/>
  <c r="Q676" i="33"/>
  <c r="Q677" i="33"/>
  <c r="Q678" i="33"/>
  <c r="Q679" i="33"/>
  <c r="Q680" i="33"/>
  <c r="Q681" i="33"/>
  <c r="Q682" i="33"/>
  <c r="Q683" i="33"/>
  <c r="Q684" i="33"/>
  <c r="Q685" i="33"/>
  <c r="Q686" i="33"/>
  <c r="Q687" i="33"/>
  <c r="Q688" i="33"/>
  <c r="Q689" i="33"/>
  <c r="Q690" i="33"/>
  <c r="Q691" i="33"/>
  <c r="Q692" i="33"/>
  <c r="Q693" i="33"/>
  <c r="Q694" i="33"/>
  <c r="Q695" i="33"/>
  <c r="Q696" i="33"/>
  <c r="Q697" i="33"/>
  <c r="Q698" i="33"/>
  <c r="Q699" i="33"/>
  <c r="Q700" i="33"/>
  <c r="Q701" i="33"/>
  <c r="Q702" i="33"/>
  <c r="Q703" i="33"/>
  <c r="Q704" i="33"/>
  <c r="Q705" i="33"/>
  <c r="Q706" i="33"/>
  <c r="Q707" i="33"/>
  <c r="Q708" i="33"/>
  <c r="Q709" i="33"/>
  <c r="Q710" i="33"/>
  <c r="Q711" i="33"/>
  <c r="Q712" i="33"/>
  <c r="Q713" i="33"/>
  <c r="Q714" i="33"/>
  <c r="Q715" i="33"/>
  <c r="Q716" i="33"/>
  <c r="Q717" i="33"/>
  <c r="Q718" i="33"/>
  <c r="Q719" i="33"/>
  <c r="Q720" i="33"/>
  <c r="Q721" i="33"/>
  <c r="Q722" i="33"/>
  <c r="Q723" i="33"/>
  <c r="Q724" i="33"/>
  <c r="Q725" i="33"/>
  <c r="Q726" i="33"/>
  <c r="Q727" i="33"/>
  <c r="Q728" i="33"/>
  <c r="Q729" i="33"/>
  <c r="Q730" i="33"/>
  <c r="Q731" i="33"/>
  <c r="Q732" i="33"/>
  <c r="Q733" i="33"/>
  <c r="Q734" i="33"/>
  <c r="Q735" i="33"/>
  <c r="Q736" i="33"/>
  <c r="Q737" i="33"/>
  <c r="Q738" i="33"/>
  <c r="Q739" i="33"/>
  <c r="Q740" i="33"/>
  <c r="Q741" i="33"/>
  <c r="Q742" i="33"/>
  <c r="Q743" i="33"/>
  <c r="Q744" i="33"/>
  <c r="Q745" i="33"/>
  <c r="Q746" i="33"/>
  <c r="Q747" i="33"/>
  <c r="Q748" i="33"/>
  <c r="Q749" i="33"/>
  <c r="Q750" i="33"/>
  <c r="Q751" i="33"/>
  <c r="Q752" i="33"/>
  <c r="Q753" i="33"/>
  <c r="Q754" i="33"/>
  <c r="Q755" i="33"/>
  <c r="Q756" i="33"/>
  <c r="Q757" i="33"/>
  <c r="Q758" i="33"/>
  <c r="Q759" i="33"/>
  <c r="Q760" i="33"/>
  <c r="Q761" i="33"/>
  <c r="Q762" i="33"/>
  <c r="Q763" i="33"/>
  <c r="Q764" i="33"/>
  <c r="Q765" i="33"/>
  <c r="Q766" i="33"/>
  <c r="Q767" i="33"/>
  <c r="Q768" i="33"/>
  <c r="Q769" i="33"/>
  <c r="Q770" i="33"/>
  <c r="Q771" i="33"/>
  <c r="Q772" i="33"/>
  <c r="Q773" i="33"/>
  <c r="Q774" i="33"/>
  <c r="Q775" i="33"/>
  <c r="Q776" i="33"/>
  <c r="Q777" i="33"/>
  <c r="Q778" i="33"/>
  <c r="Q779" i="33"/>
  <c r="Q780" i="33"/>
  <c r="Q781" i="33"/>
  <c r="Q782" i="33"/>
  <c r="Q783" i="33"/>
  <c r="Q784" i="33"/>
  <c r="Q785" i="33"/>
  <c r="Q786" i="33"/>
  <c r="Q787" i="33"/>
  <c r="Q788" i="33"/>
  <c r="Q789" i="33"/>
  <c r="Q790" i="33"/>
  <c r="Q791" i="33"/>
  <c r="Q792" i="33"/>
  <c r="Q793" i="33"/>
  <c r="Q794" i="33"/>
  <c r="Q795" i="33"/>
  <c r="Q796" i="33"/>
  <c r="Q797" i="33"/>
  <c r="Q798" i="33"/>
  <c r="Q799" i="33"/>
  <c r="Q800" i="33"/>
  <c r="Q801" i="33"/>
  <c r="Q802" i="33"/>
  <c r="Q803" i="33"/>
  <c r="Q804" i="33"/>
  <c r="Q805" i="33"/>
  <c r="Q806" i="33"/>
  <c r="Q807" i="33"/>
  <c r="Q808" i="33"/>
  <c r="Q809" i="33"/>
  <c r="Q810" i="33"/>
  <c r="Q811" i="33"/>
  <c r="Q812" i="33"/>
  <c r="Q813" i="33"/>
  <c r="Q814" i="33"/>
  <c r="Q815" i="33"/>
  <c r="Q816" i="33"/>
  <c r="Q817" i="33"/>
  <c r="Q818" i="33"/>
  <c r="Q819" i="33"/>
  <c r="Q820" i="33"/>
  <c r="Q821" i="33"/>
  <c r="Q822" i="33"/>
  <c r="Q823" i="33"/>
  <c r="Q824" i="33"/>
  <c r="Q825" i="33"/>
  <c r="Q826" i="33"/>
  <c r="Q827" i="33"/>
  <c r="Q828" i="33"/>
  <c r="Q829" i="33"/>
  <c r="Q830" i="33"/>
  <c r="Q831" i="33"/>
  <c r="Q832" i="33"/>
  <c r="Q833" i="33"/>
  <c r="Q834" i="33"/>
  <c r="Q835" i="33"/>
  <c r="Q836" i="33"/>
  <c r="Q837" i="33"/>
  <c r="Q838" i="33"/>
  <c r="Q839" i="33"/>
  <c r="Q840" i="33"/>
  <c r="Q841" i="33"/>
  <c r="Q842" i="33"/>
  <c r="Q843" i="33"/>
  <c r="Q844" i="33"/>
  <c r="Q845" i="33"/>
  <c r="Q846" i="33"/>
  <c r="Q847" i="33"/>
  <c r="Q848" i="33"/>
  <c r="Q849" i="33"/>
  <c r="Q850" i="33"/>
  <c r="Q851" i="33"/>
  <c r="Q852" i="33"/>
  <c r="Q853" i="33"/>
  <c r="Q854" i="33"/>
  <c r="Q855" i="33"/>
  <c r="Q856" i="33"/>
  <c r="Q857" i="33"/>
  <c r="Q858" i="33"/>
  <c r="Q859" i="33"/>
  <c r="Q860" i="33"/>
  <c r="Q861" i="33"/>
  <c r="Q862" i="33"/>
  <c r="Q863" i="33"/>
  <c r="Q864" i="33"/>
  <c r="Q865" i="33"/>
  <c r="Q866" i="33"/>
  <c r="Q867" i="33"/>
  <c r="Q868" i="33"/>
  <c r="Q869" i="33"/>
  <c r="Q870" i="33"/>
  <c r="Q871" i="33"/>
  <c r="Q872" i="33"/>
  <c r="Q873" i="33"/>
  <c r="Q874" i="33"/>
  <c r="Q875" i="33"/>
  <c r="Q876" i="33"/>
  <c r="Q877" i="33"/>
  <c r="Q878" i="33"/>
  <c r="Q879" i="33"/>
  <c r="Q880" i="33"/>
  <c r="Q881" i="33"/>
  <c r="Q882" i="33"/>
  <c r="Q883" i="33"/>
  <c r="Q884" i="33"/>
  <c r="Q885" i="33"/>
  <c r="Q886" i="33"/>
  <c r="Q887" i="33"/>
  <c r="Q888" i="33"/>
  <c r="Q889" i="33"/>
  <c r="Q890" i="33"/>
  <c r="Q891" i="33"/>
  <c r="Q892" i="33"/>
  <c r="Q893" i="33"/>
  <c r="Q894" i="33"/>
  <c r="Q895" i="33"/>
  <c r="Q896" i="33"/>
  <c r="Q897" i="33"/>
  <c r="Q898" i="33"/>
  <c r="Q899" i="33"/>
  <c r="Q900" i="33"/>
  <c r="Q901" i="33"/>
  <c r="Q902" i="33"/>
  <c r="Q903" i="33"/>
  <c r="Q904" i="33"/>
  <c r="Q905" i="33"/>
  <c r="Q906" i="33"/>
  <c r="Q907" i="33"/>
  <c r="Q908" i="33"/>
  <c r="Q909" i="33"/>
  <c r="Q910" i="33"/>
  <c r="Q911" i="33"/>
  <c r="Q912" i="33"/>
  <c r="Q913" i="33"/>
  <c r="Q914" i="33"/>
  <c r="Q915" i="33"/>
  <c r="Q916" i="33"/>
  <c r="Q917" i="33"/>
  <c r="Q918" i="33"/>
  <c r="Q919" i="33"/>
  <c r="Q920" i="33"/>
  <c r="Q921" i="33"/>
  <c r="Q922" i="33"/>
  <c r="Q923" i="33"/>
  <c r="Q924" i="33"/>
  <c r="Q925" i="33"/>
  <c r="Q926" i="33"/>
  <c r="Q927" i="33"/>
  <c r="Q928" i="33"/>
  <c r="Q929" i="33"/>
  <c r="Q930" i="33"/>
  <c r="Q931" i="33"/>
  <c r="Q932" i="33"/>
  <c r="Q933" i="33"/>
  <c r="Q934" i="33"/>
  <c r="Q935" i="33"/>
  <c r="Q936" i="33"/>
  <c r="Q937" i="33"/>
  <c r="Q938" i="33"/>
  <c r="Q939" i="33"/>
  <c r="Q940" i="33"/>
  <c r="Q941" i="33"/>
  <c r="Q942" i="33"/>
  <c r="Q943" i="33"/>
  <c r="Q944" i="33"/>
  <c r="Q945" i="33"/>
  <c r="Q946" i="33"/>
  <c r="Q947" i="33"/>
  <c r="Q948" i="33"/>
  <c r="Q949" i="33"/>
  <c r="Q950" i="33"/>
  <c r="Q951" i="33"/>
  <c r="Q952" i="33"/>
  <c r="Q953" i="33"/>
  <c r="Q954" i="33"/>
  <c r="Q955" i="33"/>
  <c r="Q956" i="33"/>
  <c r="Q957" i="33"/>
  <c r="Q958" i="33"/>
  <c r="Q959" i="33"/>
  <c r="Q960" i="33"/>
  <c r="Q961" i="33"/>
  <c r="Q962" i="33"/>
  <c r="Q963" i="33"/>
  <c r="Q964" i="33"/>
  <c r="Q965" i="33"/>
  <c r="Q966" i="33"/>
  <c r="Q967" i="33"/>
  <c r="Q968" i="33"/>
  <c r="Q969" i="33"/>
  <c r="Q970" i="33"/>
  <c r="Q971" i="33"/>
  <c r="Q972" i="33"/>
  <c r="Q973" i="33"/>
  <c r="Q974" i="33"/>
  <c r="Q975" i="33"/>
  <c r="Q976" i="33"/>
  <c r="Q977" i="33"/>
  <c r="Q978" i="33"/>
  <c r="Q979" i="33"/>
  <c r="Q980" i="33"/>
  <c r="Q981" i="33"/>
  <c r="Q982" i="33"/>
  <c r="Q983" i="33"/>
  <c r="Q984" i="33"/>
  <c r="Q985" i="33"/>
  <c r="Q986" i="33"/>
  <c r="Q987" i="33"/>
  <c r="Q988" i="33"/>
  <c r="Q989" i="33"/>
  <c r="Q990" i="33"/>
  <c r="Q991" i="33"/>
  <c r="Q992" i="33"/>
  <c r="Q993" i="33"/>
  <c r="Q994" i="33"/>
  <c r="Q995" i="33"/>
  <c r="Q996" i="33"/>
  <c r="Q997" i="33"/>
  <c r="Q998" i="33"/>
  <c r="Q999" i="33"/>
  <c r="Q1000" i="33"/>
  <c r="Q1001" i="33"/>
  <c r="Q1002" i="33"/>
  <c r="Q1003" i="33"/>
  <c r="Q1004" i="33"/>
  <c r="Q1005" i="33"/>
  <c r="Q1006" i="33"/>
  <c r="Q1007" i="33"/>
  <c r="Q1008" i="33"/>
  <c r="Q1009" i="33"/>
  <c r="Q1010" i="33"/>
  <c r="Q1011" i="33"/>
  <c r="Q1012" i="33"/>
  <c r="Q1013" i="33"/>
  <c r="Q1014" i="33"/>
  <c r="Q1015" i="33"/>
  <c r="Q1016" i="33"/>
  <c r="Q1017" i="33"/>
  <c r="Q1018" i="33"/>
  <c r="Q1019" i="33"/>
  <c r="Q1020" i="33"/>
  <c r="Q1021" i="33"/>
  <c r="Q1022" i="33"/>
  <c r="Q1023" i="33"/>
  <c r="Q1024" i="33"/>
  <c r="Q1025" i="33"/>
  <c r="Q1026" i="33"/>
  <c r="Q1027" i="33"/>
  <c r="Q1028" i="33"/>
  <c r="Q1029" i="33"/>
  <c r="Q1030" i="33"/>
  <c r="Q1031" i="33"/>
  <c r="Q1032" i="33"/>
  <c r="Q1033" i="33"/>
  <c r="Q1034" i="33"/>
  <c r="Q1035" i="33"/>
  <c r="Q1036" i="33"/>
  <c r="Q1037" i="33"/>
  <c r="Q1038" i="33"/>
  <c r="Q1039" i="33"/>
  <c r="Q1040" i="33"/>
  <c r="Q1041" i="33"/>
  <c r="Q1042" i="33"/>
  <c r="Q1043" i="33"/>
  <c r="Q1044" i="33"/>
  <c r="Q1045" i="33"/>
  <c r="Q1046" i="33"/>
  <c r="Q1047" i="33"/>
  <c r="Q1048" i="33"/>
  <c r="Q1049" i="33"/>
  <c r="Q1050" i="33"/>
  <c r="Q1051" i="33"/>
  <c r="Q1052" i="33"/>
  <c r="Q1053" i="33"/>
  <c r="Q1054" i="33"/>
  <c r="Q1055" i="33"/>
  <c r="Q1056" i="33"/>
  <c r="Q1057" i="33"/>
  <c r="Q1058" i="33"/>
  <c r="Q1059" i="33"/>
  <c r="Q1060" i="33"/>
  <c r="Q1061" i="33"/>
  <c r="Q1062" i="33"/>
  <c r="Q1063" i="33"/>
  <c r="Q1064" i="33"/>
  <c r="Q1065" i="33"/>
  <c r="Q1066" i="33"/>
  <c r="Q1067" i="33"/>
  <c r="Q1068" i="33"/>
  <c r="Q1069" i="33"/>
  <c r="Q1070" i="33"/>
  <c r="Q1071" i="33"/>
  <c r="Q1072" i="33"/>
  <c r="Q1073" i="33"/>
  <c r="Q1074" i="33"/>
  <c r="Q1075" i="33"/>
  <c r="Q1076" i="33"/>
  <c r="Q1077" i="33"/>
  <c r="Q1078" i="33"/>
  <c r="Q1079" i="33"/>
  <c r="Q1080" i="33"/>
  <c r="Q1081" i="33"/>
  <c r="Q1082" i="33"/>
  <c r="Q1083" i="33"/>
  <c r="Q1084" i="33"/>
  <c r="Q1085" i="33"/>
  <c r="Q1086" i="33"/>
  <c r="Q1087" i="33"/>
  <c r="Q1088" i="33"/>
  <c r="Q1089" i="33"/>
  <c r="Q1090" i="33"/>
  <c r="Q1091" i="33"/>
  <c r="Q1092" i="33"/>
  <c r="Q1093" i="33"/>
  <c r="Q1094" i="33"/>
  <c r="Q1095" i="33"/>
  <c r="Q1096" i="33"/>
  <c r="Q1097" i="33"/>
  <c r="Q1098" i="33"/>
  <c r="Q1099" i="33"/>
  <c r="Q1100" i="33"/>
  <c r="Q1101" i="33"/>
  <c r="Q1102" i="33"/>
  <c r="Q1103" i="33"/>
  <c r="Q1104" i="33"/>
  <c r="Q1105" i="33"/>
  <c r="Q1106" i="33"/>
  <c r="Q1107" i="33"/>
  <c r="Q1108" i="33"/>
  <c r="Q1109" i="33"/>
  <c r="Q1110" i="33"/>
  <c r="Q1111" i="33"/>
  <c r="Q1112" i="33"/>
  <c r="Q1113" i="33"/>
  <c r="Q1114" i="33"/>
  <c r="Q1115" i="33"/>
  <c r="Q1116" i="33"/>
  <c r="Q1117" i="33"/>
  <c r="Q1118" i="33"/>
  <c r="Q1119" i="33"/>
  <c r="Q1120" i="33"/>
  <c r="Q1121" i="33"/>
  <c r="Q1122" i="33"/>
  <c r="Q1123" i="33"/>
  <c r="Q1124" i="33"/>
  <c r="Q1125" i="33"/>
  <c r="Q1126" i="33"/>
  <c r="Q1127" i="33"/>
  <c r="Q1128" i="33"/>
  <c r="Q1129" i="33"/>
  <c r="Q1130" i="33"/>
  <c r="Q1131" i="33"/>
  <c r="Q1132" i="33"/>
  <c r="Q1133" i="33"/>
  <c r="Q1134" i="33"/>
  <c r="Q1135" i="33"/>
  <c r="Q1136" i="33"/>
  <c r="Q1137" i="33"/>
  <c r="Q1138" i="33"/>
  <c r="Q1139" i="33"/>
  <c r="Q1140" i="33"/>
  <c r="Q1141" i="33"/>
  <c r="Q1142" i="33"/>
  <c r="Q1143" i="33"/>
  <c r="Q1144" i="33"/>
  <c r="Q1145" i="33"/>
  <c r="Q1146" i="33"/>
  <c r="Q1147" i="33"/>
  <c r="Q1148" i="33"/>
  <c r="Q1149" i="33"/>
  <c r="Q1150" i="33"/>
  <c r="Q1151" i="33"/>
  <c r="Q1152" i="33"/>
  <c r="Q1153" i="33"/>
  <c r="Q1154" i="33"/>
  <c r="Q1155" i="33"/>
  <c r="Q1156" i="33"/>
  <c r="Q1157" i="33"/>
  <c r="Q1158" i="33"/>
  <c r="Q1159" i="33"/>
  <c r="Q1160" i="33"/>
  <c r="Q1161" i="33"/>
  <c r="Q1162" i="33"/>
  <c r="Q1163" i="33"/>
  <c r="Q1164" i="33"/>
  <c r="Q1165" i="33"/>
  <c r="Q1166" i="33"/>
  <c r="Q1167" i="33"/>
  <c r="Q1168" i="33"/>
  <c r="Q1169" i="33"/>
  <c r="Q1170" i="33"/>
  <c r="Q1171" i="33"/>
  <c r="Q1172" i="33"/>
  <c r="Q1173" i="33"/>
  <c r="Q1174" i="33"/>
  <c r="Q1175" i="33"/>
  <c r="Q1176" i="33"/>
  <c r="Q1177" i="33"/>
  <c r="Q1178" i="33"/>
  <c r="Q1179" i="33"/>
  <c r="Q1180" i="33"/>
  <c r="Q1181" i="33"/>
  <c r="Q1182" i="33"/>
  <c r="Q1183" i="33"/>
  <c r="Q1184" i="33"/>
  <c r="Q1185" i="33"/>
  <c r="Q1186" i="33"/>
  <c r="Q1187" i="33"/>
  <c r="Q1188" i="33"/>
  <c r="Q1189" i="33"/>
  <c r="Q1190" i="33"/>
  <c r="Q1191" i="33"/>
  <c r="Q1192" i="33"/>
  <c r="Q1193" i="33"/>
  <c r="Q1194" i="33"/>
  <c r="Q1195" i="33"/>
  <c r="Q1196" i="33"/>
  <c r="Q1197" i="33"/>
  <c r="Q1198" i="33"/>
  <c r="Q1199" i="33"/>
  <c r="Q1200" i="33"/>
  <c r="Q1201" i="33"/>
  <c r="Q1202" i="33"/>
  <c r="Q1203" i="33"/>
  <c r="Q1204" i="33"/>
  <c r="Q1205" i="33"/>
  <c r="Q1206" i="33"/>
  <c r="Q1207" i="33"/>
  <c r="Q1208" i="33"/>
  <c r="Q1209" i="33"/>
  <c r="Q1210" i="33"/>
  <c r="Q1211" i="33"/>
  <c r="Q1212" i="33"/>
  <c r="Q1213" i="33"/>
  <c r="Q1214" i="33"/>
  <c r="Q1215" i="33"/>
  <c r="Q1216" i="33"/>
  <c r="Q1217" i="33"/>
  <c r="Q1218" i="33"/>
  <c r="Q1219" i="33"/>
  <c r="Q1220" i="33"/>
  <c r="Q1221" i="33"/>
  <c r="Q1222" i="33"/>
  <c r="Q1223" i="33"/>
  <c r="Q1224" i="33"/>
  <c r="Q1225" i="33"/>
  <c r="Q1226" i="33"/>
  <c r="Q1227" i="33"/>
  <c r="Q1228" i="33"/>
  <c r="Q1229" i="33"/>
  <c r="Q1230" i="33"/>
  <c r="Q1231" i="33"/>
  <c r="Q1232" i="33"/>
  <c r="Q1233" i="33"/>
  <c r="Q1234" i="33"/>
  <c r="Q1235" i="33"/>
  <c r="Q1236" i="33"/>
  <c r="Q1237" i="33"/>
  <c r="Q1238" i="33"/>
  <c r="Q1239" i="33"/>
  <c r="Q1240" i="33"/>
  <c r="Q1241" i="33"/>
  <c r="Q1242" i="33"/>
  <c r="Q1243" i="33"/>
  <c r="Q1244" i="33"/>
  <c r="Q1245" i="33"/>
  <c r="Q1246" i="33"/>
  <c r="Q1247" i="33"/>
  <c r="Q1248" i="33"/>
  <c r="Q1249" i="33"/>
  <c r="Q1250" i="33"/>
  <c r="Q1251" i="33"/>
  <c r="Q1252" i="33"/>
  <c r="Q1253" i="33"/>
  <c r="Q1254" i="33"/>
  <c r="Q1255" i="33"/>
  <c r="Q1256" i="33"/>
  <c r="Q1257" i="33"/>
  <c r="Q1258" i="33"/>
  <c r="Q1259" i="33"/>
  <c r="Q1260" i="33"/>
  <c r="Q1261" i="33"/>
  <c r="Q1262" i="33"/>
  <c r="Q1263" i="33"/>
  <c r="Q1264" i="33"/>
  <c r="Q1265" i="33"/>
  <c r="Q1266" i="33"/>
  <c r="Q1267" i="33"/>
  <c r="Q1268" i="33"/>
  <c r="Q1269" i="33"/>
  <c r="Q1270" i="33"/>
  <c r="Q1271" i="33"/>
  <c r="Q1272" i="33"/>
  <c r="Q1273" i="33"/>
  <c r="Q1274" i="33"/>
  <c r="Q1275" i="33"/>
  <c r="Q1276" i="33"/>
  <c r="Q1277" i="33"/>
  <c r="Q1278" i="33"/>
  <c r="Q1279" i="33"/>
  <c r="Q1280" i="33"/>
  <c r="Q1281" i="33"/>
  <c r="Q1282" i="33"/>
  <c r="Q1283" i="33"/>
  <c r="Q1284" i="33"/>
  <c r="Q1285" i="33"/>
  <c r="Q1286" i="33"/>
  <c r="Q1287" i="33"/>
  <c r="Q1288" i="33"/>
  <c r="Q1289" i="33"/>
  <c r="Q1290" i="33"/>
  <c r="Q1291" i="33"/>
  <c r="Q1292" i="33"/>
  <c r="Q1293" i="33"/>
  <c r="Q1294" i="33"/>
  <c r="Q1295" i="33"/>
  <c r="Q1296" i="33"/>
  <c r="Q1297" i="33"/>
  <c r="Q1298" i="33"/>
  <c r="Q1299" i="33"/>
  <c r="Q1300" i="33"/>
  <c r="Q1301" i="33"/>
  <c r="Q1302" i="33"/>
  <c r="Q1303" i="33"/>
  <c r="Q1304" i="33"/>
  <c r="Q1305" i="33"/>
  <c r="Q1306" i="33"/>
  <c r="Q1307" i="33"/>
  <c r="Q1308" i="33"/>
  <c r="Q1309" i="33"/>
  <c r="Q1310" i="33"/>
  <c r="Q1311" i="33"/>
  <c r="Q1312" i="33"/>
  <c r="Q1313" i="33"/>
  <c r="Q1314" i="33"/>
  <c r="Q1315" i="33"/>
  <c r="Q1316" i="33"/>
  <c r="Q1317" i="33"/>
  <c r="Q1318" i="33"/>
  <c r="Q1319" i="33"/>
  <c r="Q1320" i="33"/>
  <c r="Q1321" i="33"/>
  <c r="Q1322" i="33"/>
  <c r="Q1323" i="33"/>
  <c r="Q1324" i="33"/>
  <c r="Q1325" i="33"/>
  <c r="Q1326" i="33"/>
  <c r="Q1327" i="33"/>
  <c r="Q1328" i="33"/>
  <c r="Q1329" i="33"/>
  <c r="Q1330" i="33"/>
  <c r="Q1331" i="33"/>
  <c r="Q1332" i="33"/>
  <c r="Q1333" i="33"/>
  <c r="Q1334" i="33"/>
  <c r="Q1335" i="33"/>
  <c r="Q1336" i="33"/>
  <c r="Q1337" i="33"/>
  <c r="Q1338" i="33"/>
  <c r="Q1339" i="33"/>
  <c r="Q1340" i="33"/>
  <c r="Q1341" i="33"/>
  <c r="Q1342" i="33"/>
  <c r="Q1343" i="33"/>
  <c r="Q1344" i="33"/>
  <c r="Q1345" i="33"/>
  <c r="Q1346" i="33"/>
  <c r="Q1347" i="33"/>
  <c r="Q1348" i="33"/>
  <c r="Q1349" i="33"/>
  <c r="Q1350" i="33"/>
  <c r="Q1351" i="33"/>
  <c r="Q1352" i="33"/>
  <c r="Q1353" i="33"/>
  <c r="Q1354" i="33"/>
  <c r="Q1355" i="33"/>
  <c r="Q1356" i="33"/>
  <c r="Q1357" i="33"/>
  <c r="Q1358" i="33"/>
  <c r="Q1359" i="33"/>
  <c r="Q1360" i="33"/>
  <c r="Q1361" i="33"/>
  <c r="Q1362" i="33"/>
  <c r="Q1363" i="33"/>
  <c r="Q1364" i="33"/>
  <c r="Q1365" i="33"/>
  <c r="Q1366" i="33"/>
  <c r="Q1367" i="33"/>
  <c r="Q1368" i="33"/>
  <c r="Q1369" i="33"/>
  <c r="Q1370" i="33"/>
  <c r="Q1371" i="33"/>
  <c r="Q1372" i="33"/>
  <c r="Q1373" i="33"/>
  <c r="Q1374" i="33"/>
  <c r="Q1375" i="33"/>
  <c r="Q1376" i="33"/>
  <c r="Q1377" i="33"/>
  <c r="Q1378" i="33"/>
  <c r="Q1379" i="33"/>
  <c r="Q1380" i="33"/>
  <c r="Q1381" i="33"/>
  <c r="Q1382" i="33"/>
  <c r="Q1383" i="33"/>
  <c r="Q1384" i="33"/>
  <c r="Q1385" i="33"/>
  <c r="Q1386" i="33"/>
  <c r="Q1387" i="33"/>
  <c r="Q1388" i="33"/>
  <c r="Q1389" i="33"/>
  <c r="Q1390" i="33"/>
  <c r="Q1391" i="33"/>
  <c r="Q1392" i="33"/>
  <c r="Q1393" i="33"/>
  <c r="Q1394" i="33"/>
  <c r="Q1395" i="33"/>
  <c r="Q1396" i="33"/>
  <c r="Q1397" i="33"/>
  <c r="Q1398" i="33"/>
  <c r="Q1399" i="33"/>
  <c r="Q1400" i="33"/>
  <c r="Q1401" i="33"/>
  <c r="Q1402" i="33"/>
  <c r="Q1403" i="33"/>
  <c r="Q1404" i="33"/>
  <c r="Q1405" i="33"/>
  <c r="Q1406" i="33"/>
  <c r="Q1407" i="33"/>
  <c r="Q1408" i="33"/>
  <c r="Q1409" i="33"/>
  <c r="Q1410" i="33"/>
  <c r="Q1411" i="33"/>
  <c r="Q1412" i="33"/>
  <c r="Q1413" i="33"/>
  <c r="Q1414" i="33"/>
  <c r="Q1415" i="33"/>
  <c r="Q1416" i="33"/>
  <c r="Q1417" i="33"/>
  <c r="Q1418" i="33"/>
  <c r="Q1419" i="33"/>
  <c r="Q1420" i="33"/>
  <c r="Q1421" i="33"/>
  <c r="Q1422" i="33"/>
  <c r="Q1423" i="33"/>
  <c r="Q1424" i="33"/>
  <c r="Q1425" i="33"/>
  <c r="Q1426" i="33"/>
  <c r="Q1427" i="33"/>
  <c r="Q1428" i="33"/>
  <c r="Q1429" i="33"/>
  <c r="Q1430" i="33"/>
  <c r="Q1431" i="33"/>
  <c r="Q1432" i="33"/>
  <c r="Q1433" i="33"/>
  <c r="Q1434" i="33"/>
  <c r="Q1435" i="33"/>
  <c r="Q1436" i="33"/>
  <c r="Q1437" i="33"/>
  <c r="Q1438" i="33"/>
  <c r="Q1439" i="33"/>
  <c r="Q1440" i="33"/>
  <c r="Q1441" i="33"/>
  <c r="Q1442" i="33"/>
  <c r="Q1443" i="33"/>
  <c r="Q1444" i="33"/>
  <c r="Q1445" i="33"/>
  <c r="Q1446" i="33"/>
  <c r="Q1447" i="33"/>
  <c r="Q1448" i="33"/>
  <c r="Q1449" i="33"/>
  <c r="Q1450" i="33"/>
  <c r="Q1451" i="33"/>
  <c r="Q1452" i="33"/>
  <c r="Q1453" i="33"/>
  <c r="Q1454" i="33"/>
  <c r="Q1455" i="33"/>
  <c r="Q1456" i="33"/>
  <c r="Q1457" i="33"/>
  <c r="Q1458" i="33"/>
  <c r="Q1459" i="33"/>
  <c r="Q1460" i="33"/>
  <c r="Q1461" i="33"/>
  <c r="Q1462" i="33"/>
  <c r="Q1463" i="33"/>
  <c r="Q1464" i="33"/>
  <c r="Q1465" i="33"/>
  <c r="Q1466" i="33"/>
  <c r="Q1467" i="33"/>
  <c r="Q1468" i="33"/>
  <c r="Q1469" i="33"/>
  <c r="Q1470" i="33"/>
  <c r="Q1471" i="33"/>
  <c r="Q1472" i="33"/>
  <c r="Q1473" i="33"/>
  <c r="Q1474" i="33"/>
  <c r="Q1475" i="33"/>
  <c r="Q1476" i="33"/>
  <c r="Q1477" i="33"/>
  <c r="Q1478" i="33"/>
  <c r="Q1479" i="33"/>
  <c r="Q1480" i="33"/>
  <c r="Q1481" i="33"/>
  <c r="Q1482" i="33"/>
  <c r="Q1483" i="33"/>
  <c r="Q1484" i="33"/>
  <c r="Q1485" i="33"/>
  <c r="Q1486" i="33"/>
  <c r="Q1487" i="33"/>
  <c r="Q1488" i="33"/>
  <c r="Q1489" i="33"/>
  <c r="Q1490" i="33"/>
  <c r="Q1491" i="33"/>
  <c r="Q1492" i="33"/>
  <c r="Q1493" i="33"/>
  <c r="Q1494" i="33"/>
  <c r="Q1495" i="33"/>
  <c r="Q1496" i="33"/>
  <c r="Q1497" i="33"/>
  <c r="Q1498" i="33"/>
  <c r="Q1499" i="33"/>
  <c r="Q1500" i="33"/>
  <c r="Q1501" i="33"/>
  <c r="Q1502" i="33"/>
  <c r="Q1503" i="33"/>
  <c r="Q1504" i="33"/>
  <c r="Q1505" i="33"/>
  <c r="Q1506" i="33"/>
  <c r="Q1507" i="33"/>
  <c r="Q1508" i="33"/>
  <c r="Q1509" i="33"/>
  <c r="Q1510" i="33"/>
  <c r="Q1511" i="33"/>
  <c r="Q1512" i="33"/>
  <c r="Q1513" i="33"/>
  <c r="Q1514" i="33"/>
  <c r="Q1515" i="33"/>
  <c r="Q1516" i="33"/>
  <c r="Q1517" i="33"/>
  <c r="Q1518" i="33"/>
  <c r="Q1519" i="33"/>
  <c r="Q1520" i="33"/>
  <c r="Q1521" i="33"/>
  <c r="Q1522" i="33"/>
  <c r="Q1523" i="33"/>
  <c r="Q1524" i="33"/>
  <c r="Q1525" i="33"/>
  <c r="Q1526" i="33"/>
  <c r="Q1527" i="33"/>
  <c r="Q1528" i="33"/>
  <c r="Q1529" i="33"/>
  <c r="Q1530" i="33"/>
  <c r="Q1531" i="33"/>
  <c r="Q1532" i="33"/>
  <c r="Q1533" i="33"/>
  <c r="Q1534" i="33"/>
  <c r="Q1535" i="33"/>
  <c r="Q1536" i="33"/>
  <c r="Q1537" i="33"/>
  <c r="Q1538" i="33"/>
  <c r="Q1539" i="33"/>
  <c r="Q1540" i="33"/>
  <c r="Q1541" i="33"/>
  <c r="Q1542" i="33"/>
  <c r="Q1543" i="33"/>
  <c r="Q1544" i="33"/>
  <c r="Q1545" i="33"/>
  <c r="Q1546" i="33"/>
  <c r="Q1547" i="33"/>
  <c r="Q1548" i="33"/>
  <c r="Q1549" i="33"/>
  <c r="Q1550" i="33"/>
  <c r="Q1551" i="33"/>
  <c r="Q1552" i="33"/>
  <c r="Q1553" i="33"/>
  <c r="Q1554" i="33"/>
  <c r="Q1555" i="33"/>
  <c r="Q1556" i="33"/>
  <c r="Q1557" i="33"/>
  <c r="Q1558" i="33"/>
  <c r="Q1559" i="33"/>
  <c r="Q1560" i="33"/>
  <c r="Q1561" i="33"/>
  <c r="Q1562" i="33"/>
  <c r="Q1563" i="33"/>
  <c r="Q1564" i="33"/>
  <c r="Q1565" i="33"/>
  <c r="Q1566" i="33"/>
  <c r="Q1567" i="33"/>
  <c r="Q1568" i="33"/>
  <c r="Q1569" i="33"/>
  <c r="Q1570" i="33"/>
  <c r="Q1571" i="33"/>
  <c r="Q1572" i="33"/>
  <c r="Q1573" i="33"/>
  <c r="Q1574" i="33"/>
  <c r="Q1575" i="33"/>
  <c r="Q1576" i="33"/>
  <c r="Q1577" i="33"/>
  <c r="Q1578" i="33"/>
  <c r="Q1579" i="33"/>
  <c r="Q1580" i="33"/>
  <c r="Q1581" i="33"/>
  <c r="Q1582" i="33"/>
  <c r="Q1583" i="33"/>
  <c r="Q1584" i="33"/>
  <c r="Q1585" i="33"/>
  <c r="Q1586" i="33"/>
  <c r="Q1587" i="33"/>
  <c r="Q1588" i="33"/>
  <c r="Q1589" i="33"/>
  <c r="Q1590" i="33"/>
  <c r="Q1591" i="33"/>
  <c r="Q1592" i="33"/>
  <c r="Q1593" i="33"/>
  <c r="Q1594" i="33"/>
  <c r="Q1595" i="33"/>
  <c r="Q1596" i="33"/>
  <c r="Q1597" i="33"/>
  <c r="Q1598" i="33"/>
  <c r="Q1599" i="33"/>
  <c r="Q1600" i="33"/>
  <c r="Q1601" i="33"/>
  <c r="Q1602" i="33"/>
  <c r="Q1603" i="33"/>
  <c r="Q1604" i="33"/>
  <c r="Q1605" i="33"/>
  <c r="Q1606" i="33"/>
  <c r="Q1607" i="33"/>
  <c r="Q1608" i="33"/>
  <c r="Q1609" i="33"/>
  <c r="Q1610" i="33"/>
  <c r="Q1611" i="33"/>
  <c r="Q1612" i="33"/>
  <c r="Q1613" i="33"/>
  <c r="Q1614" i="33"/>
  <c r="Q1615" i="33"/>
  <c r="Q1616" i="33"/>
  <c r="Q1617" i="33"/>
  <c r="Q1618" i="33"/>
  <c r="Q1619" i="33"/>
  <c r="Q1620" i="33"/>
  <c r="Q1621" i="33"/>
  <c r="Q1622" i="33"/>
  <c r="Q1623" i="33"/>
  <c r="Q1624" i="33"/>
  <c r="Q1625" i="33"/>
  <c r="Q1626" i="33"/>
  <c r="Q1627" i="33"/>
  <c r="Q1628" i="33"/>
  <c r="Q1629" i="33"/>
  <c r="Q1630" i="33"/>
  <c r="Q1631" i="33"/>
  <c r="Q1632" i="33"/>
  <c r="Q1633" i="33"/>
  <c r="Q1634" i="33"/>
  <c r="Q1635" i="33"/>
  <c r="Q1636" i="33"/>
  <c r="Q1637" i="33"/>
  <c r="Q1638" i="33"/>
  <c r="Q1639" i="33"/>
  <c r="Q1640" i="33"/>
  <c r="Q1641" i="33"/>
  <c r="Q1642" i="33"/>
  <c r="Q1643" i="33"/>
  <c r="Q1644" i="33"/>
  <c r="Q1645" i="33"/>
  <c r="Q1646" i="33"/>
  <c r="Q1647" i="33"/>
  <c r="Q1648" i="33"/>
  <c r="Q1649" i="33"/>
  <c r="Q1650" i="33"/>
  <c r="Q1651" i="33"/>
  <c r="Q1652" i="33"/>
  <c r="Q1653" i="33"/>
  <c r="Q1654" i="33"/>
  <c r="Q1655" i="33"/>
  <c r="Q1656" i="33"/>
  <c r="Q1657" i="33"/>
  <c r="Q1658" i="33"/>
  <c r="Q1659" i="33"/>
  <c r="Q1660" i="33"/>
  <c r="Q1661" i="33"/>
  <c r="Q1662" i="33"/>
  <c r="Q1663" i="33"/>
  <c r="Q1664" i="33"/>
  <c r="Q1665" i="33"/>
  <c r="Q1666" i="33"/>
  <c r="Q1667" i="33"/>
  <c r="Q1668" i="33"/>
  <c r="Q1669" i="33"/>
  <c r="Q1670" i="33"/>
  <c r="Q1671" i="33"/>
  <c r="Q1672" i="33"/>
  <c r="Q1673" i="33"/>
  <c r="Q1674" i="33"/>
  <c r="Q1675" i="33"/>
  <c r="Q1676" i="33"/>
  <c r="Q1677" i="33"/>
  <c r="Q1678" i="33"/>
  <c r="Q1679" i="33"/>
  <c r="Q1680" i="33"/>
  <c r="Q1681" i="33"/>
  <c r="Q1682" i="33"/>
  <c r="Q1683" i="33"/>
  <c r="Q1684" i="33"/>
  <c r="Q1685" i="33"/>
  <c r="Q1686" i="33"/>
  <c r="Q1687" i="33"/>
  <c r="Q1688" i="33"/>
  <c r="Q1689" i="33"/>
  <c r="Q1690" i="33"/>
  <c r="Q1691" i="33"/>
  <c r="Q1692" i="33"/>
  <c r="Q1693" i="33"/>
  <c r="Q1694" i="33"/>
  <c r="Q1695" i="33"/>
  <c r="Q1696" i="33"/>
  <c r="Q1697" i="33"/>
  <c r="Q1698" i="33"/>
  <c r="Q1699" i="33"/>
  <c r="Q1700" i="33"/>
  <c r="Q1701" i="33"/>
  <c r="Q1702" i="33"/>
  <c r="Q1703" i="33"/>
  <c r="Q1704" i="33"/>
  <c r="Q1705" i="33"/>
  <c r="Q1706" i="33"/>
  <c r="Q1707" i="33"/>
  <c r="Q1708" i="33"/>
  <c r="Q1709" i="33"/>
  <c r="Q1710" i="33"/>
  <c r="Q1711" i="33"/>
  <c r="Q1712" i="33"/>
  <c r="Q1713" i="33"/>
  <c r="Q1714" i="33"/>
  <c r="Q1715" i="33"/>
  <c r="Q1716" i="33"/>
  <c r="Q1717" i="33"/>
  <c r="Q1718" i="33"/>
  <c r="Q1719" i="33"/>
  <c r="Q1720" i="33"/>
  <c r="Q1721" i="33"/>
  <c r="Q1722" i="33"/>
  <c r="Q1723" i="33"/>
  <c r="Q1724" i="33"/>
  <c r="Q1725" i="33"/>
  <c r="Q1726" i="33"/>
  <c r="Q1727" i="33"/>
  <c r="Q1728" i="33"/>
  <c r="Q1729" i="33"/>
  <c r="Q1730" i="33"/>
  <c r="Q1731" i="33"/>
  <c r="Q1732" i="33"/>
  <c r="Q1733" i="33"/>
  <c r="Q1734" i="33"/>
  <c r="Q1735" i="33"/>
  <c r="Q1736" i="33"/>
  <c r="Q1737" i="33"/>
  <c r="Q1738" i="33"/>
  <c r="Q1739" i="33"/>
  <c r="Q1740" i="33"/>
  <c r="Q1741" i="33"/>
  <c r="Q1742" i="33"/>
  <c r="Q1743" i="33"/>
  <c r="Q1744" i="33"/>
  <c r="Q1745" i="33"/>
  <c r="Q1746" i="33"/>
  <c r="Q1747" i="33"/>
  <c r="Q1748" i="33"/>
  <c r="Q1749" i="33"/>
  <c r="Q1750" i="33"/>
  <c r="Q1751" i="33"/>
  <c r="Q1752" i="33"/>
  <c r="Q1753" i="33"/>
  <c r="Q1754" i="33"/>
  <c r="Q1755" i="33"/>
  <c r="Q1756" i="33"/>
  <c r="Q1757" i="33"/>
  <c r="Q1758" i="33"/>
  <c r="Q1759" i="33"/>
  <c r="Q1760" i="33"/>
  <c r="Q1761" i="33"/>
  <c r="Q1762" i="33"/>
  <c r="Q1763" i="33"/>
  <c r="Q1764" i="33"/>
  <c r="Q1765" i="33"/>
  <c r="Q1766" i="33"/>
  <c r="Q1767" i="33"/>
  <c r="Q1768" i="33"/>
  <c r="Q1769" i="33"/>
  <c r="Q1770" i="33"/>
  <c r="Q1771" i="33"/>
  <c r="Q1772" i="33"/>
  <c r="Q1773" i="33"/>
  <c r="Q1774" i="33"/>
  <c r="Q1775" i="33"/>
  <c r="Q1776" i="33"/>
  <c r="Q1777" i="33"/>
  <c r="Q1778" i="33"/>
  <c r="Q1779" i="33"/>
  <c r="Q1780" i="33"/>
  <c r="Q1781" i="33"/>
  <c r="Q1782" i="33"/>
  <c r="Q1783" i="33"/>
  <c r="Q1784" i="33"/>
  <c r="Q1785" i="33"/>
  <c r="Q1786" i="33"/>
  <c r="Q1787" i="33"/>
  <c r="Q1788" i="33"/>
  <c r="Q1789" i="33"/>
  <c r="Q1790" i="33"/>
  <c r="Q1791" i="33"/>
  <c r="Q1792" i="33"/>
  <c r="Q1793" i="33"/>
  <c r="Q1794" i="33"/>
  <c r="Q1795" i="33"/>
  <c r="Q1796" i="33"/>
  <c r="Q1797" i="33"/>
  <c r="Q1798" i="33"/>
  <c r="Q1799" i="33"/>
  <c r="Q1800" i="33"/>
  <c r="Q1801" i="33"/>
  <c r="Q1802" i="33"/>
  <c r="Q1803" i="33"/>
  <c r="Q1804" i="33"/>
  <c r="Q1805" i="33"/>
  <c r="Q1806" i="33"/>
  <c r="Q1807" i="33"/>
  <c r="Q1808" i="33"/>
  <c r="Q1809" i="33"/>
  <c r="Q1810" i="33"/>
  <c r="Q1811" i="33"/>
  <c r="Q1812" i="33"/>
  <c r="Q1813" i="33"/>
  <c r="Q1814" i="33"/>
  <c r="Q1815" i="33"/>
  <c r="Q1816" i="33"/>
  <c r="Q1817" i="33"/>
  <c r="Q1818" i="33"/>
  <c r="Q1819" i="33"/>
  <c r="Q1820" i="33"/>
  <c r="Q1821" i="33"/>
  <c r="Q1822" i="33"/>
  <c r="Q1823" i="33"/>
  <c r="Q1824" i="33"/>
  <c r="Q1825" i="33"/>
  <c r="Q1826" i="33"/>
  <c r="Q1827" i="33"/>
  <c r="Q1828" i="33"/>
  <c r="Q1829" i="33"/>
  <c r="Q1830" i="33"/>
  <c r="Q1831" i="33"/>
  <c r="Q1832" i="33"/>
  <c r="Q1833" i="33"/>
  <c r="Q1834" i="33"/>
  <c r="Q1835" i="33"/>
  <c r="Q1836" i="33"/>
  <c r="Q1837" i="33"/>
  <c r="Q1838" i="33"/>
  <c r="Q1839" i="33"/>
  <c r="Q1840" i="33"/>
  <c r="Q1841" i="33"/>
  <c r="Q1842" i="33"/>
  <c r="Q1843" i="33"/>
  <c r="Q1844" i="33"/>
  <c r="Q1845" i="33"/>
  <c r="Q1846" i="33"/>
  <c r="Q1847" i="33"/>
  <c r="Q1848" i="33"/>
  <c r="Q1849" i="33"/>
  <c r="Q1850" i="33"/>
  <c r="Q1851" i="33"/>
  <c r="Q1852" i="33"/>
  <c r="Q1853" i="33"/>
  <c r="Q1854" i="33"/>
  <c r="Q1855" i="33"/>
  <c r="Q1856" i="33"/>
  <c r="Q1857" i="33"/>
  <c r="Q1858" i="33"/>
  <c r="Q1859" i="33"/>
  <c r="Q1860" i="33"/>
  <c r="Q1861" i="33"/>
  <c r="Q1862" i="33"/>
  <c r="Q1863" i="33"/>
  <c r="Q1864" i="33"/>
  <c r="Q1865" i="33"/>
  <c r="Q1866" i="33"/>
  <c r="Q1867" i="33"/>
  <c r="Q1868" i="33"/>
  <c r="Q1869" i="33"/>
  <c r="Q1870" i="33"/>
  <c r="Q1871" i="33"/>
  <c r="Q1872" i="33"/>
  <c r="Q1873" i="33"/>
  <c r="Q1874" i="33"/>
  <c r="Q1875" i="33"/>
  <c r="Q1876" i="33"/>
  <c r="Q1877" i="33"/>
  <c r="Q1878" i="33"/>
  <c r="Q1879" i="33"/>
  <c r="Q1880" i="33"/>
  <c r="Q1881" i="33"/>
  <c r="Q1882" i="33"/>
  <c r="Q1883" i="33"/>
  <c r="Q1884" i="33"/>
  <c r="Q1885" i="33"/>
  <c r="Q1886" i="33"/>
  <c r="Q1887" i="33"/>
  <c r="Q1888" i="33"/>
  <c r="Q1889" i="33"/>
  <c r="Q1890" i="33"/>
  <c r="Q1891" i="33"/>
  <c r="Q1892" i="33"/>
  <c r="Q1893" i="33"/>
  <c r="Q1894" i="33"/>
  <c r="Q1895" i="33"/>
  <c r="Q1896" i="33"/>
  <c r="Q1897" i="33"/>
  <c r="Q1898" i="33"/>
  <c r="Q1899" i="33"/>
  <c r="Q1900" i="33"/>
  <c r="Q1901" i="33"/>
  <c r="Q1902" i="33"/>
  <c r="Q1903" i="33"/>
  <c r="Q1904" i="33"/>
  <c r="Q1905" i="33"/>
  <c r="Q1906" i="33"/>
  <c r="Q1907" i="33"/>
  <c r="Q1908" i="33"/>
  <c r="Q1909" i="33"/>
  <c r="Q1910" i="33"/>
  <c r="Q1911" i="33"/>
  <c r="Q1912" i="33"/>
  <c r="Q1913" i="33"/>
  <c r="Q1914" i="33"/>
  <c r="Q1915" i="33"/>
  <c r="Q1916" i="33"/>
  <c r="Q1917" i="33"/>
  <c r="Q1918" i="33"/>
  <c r="Q1919" i="33"/>
  <c r="Q1920" i="33"/>
  <c r="Q1921" i="33"/>
  <c r="Q1922" i="33"/>
  <c r="Q1923" i="33"/>
  <c r="Q1924" i="33"/>
  <c r="Q1925" i="33"/>
  <c r="Q1926" i="33"/>
  <c r="Q1927" i="33"/>
  <c r="Q1928" i="33"/>
  <c r="Q1929" i="33"/>
  <c r="Q1930" i="33"/>
  <c r="Q1931" i="33"/>
  <c r="Q1932" i="33"/>
  <c r="Q1933" i="33"/>
  <c r="Q1934" i="33"/>
  <c r="Q1935" i="33"/>
  <c r="Q1936" i="33"/>
  <c r="Q1937" i="33"/>
  <c r="Q1938" i="33"/>
  <c r="Q1939" i="33"/>
  <c r="Q1940" i="33"/>
  <c r="Q1941" i="33"/>
  <c r="Q1942" i="33"/>
  <c r="Q1943" i="33"/>
  <c r="Q1944" i="33"/>
  <c r="Q1945" i="33"/>
  <c r="Q1946" i="33"/>
  <c r="Q1947" i="33"/>
  <c r="Q1948" i="33"/>
  <c r="Q1949" i="33"/>
  <c r="Q1950" i="33"/>
  <c r="Q1951" i="33"/>
  <c r="Q1952" i="33"/>
  <c r="Q1953" i="33"/>
  <c r="Q1954" i="33"/>
  <c r="Q1955" i="33"/>
  <c r="Q1956" i="33"/>
  <c r="Q1957" i="33"/>
  <c r="Q1958" i="33"/>
  <c r="Q1959" i="33"/>
  <c r="Q1960" i="33"/>
  <c r="Q1961" i="33"/>
  <c r="Q1962" i="33"/>
  <c r="Q1963" i="33"/>
  <c r="Q1964" i="33"/>
  <c r="Q1965" i="33"/>
  <c r="Q1966" i="33"/>
  <c r="Q1967" i="33"/>
  <c r="Q1968" i="33"/>
  <c r="Q1969" i="33"/>
  <c r="Q1970" i="33"/>
  <c r="Q1971" i="33"/>
  <c r="Q1972" i="33"/>
  <c r="Q1973" i="33"/>
  <c r="Q1974" i="33"/>
  <c r="Q1975" i="33"/>
  <c r="Q1976" i="33"/>
  <c r="Q1977" i="33"/>
  <c r="Q1978" i="33"/>
  <c r="Q1979" i="33"/>
  <c r="Q1980" i="33"/>
  <c r="Q1981" i="33"/>
  <c r="Q1982" i="33"/>
  <c r="Q1983" i="33"/>
  <c r="Q1984" i="33"/>
  <c r="Q1985" i="33"/>
  <c r="Q1986" i="33"/>
  <c r="Q1987" i="33"/>
  <c r="Q1988" i="33"/>
  <c r="Q1989" i="33"/>
  <c r="Q1990" i="33"/>
  <c r="Q1991" i="33"/>
  <c r="Q1992" i="33"/>
  <c r="Q1993" i="33"/>
  <c r="Q1994" i="33"/>
  <c r="Q1995" i="33"/>
  <c r="Q1996" i="33"/>
  <c r="Q1997" i="33"/>
  <c r="Q1998" i="33"/>
  <c r="Q1999" i="33"/>
  <c r="Q2000" i="33"/>
  <c r="Q2001" i="33"/>
  <c r="Q2" i="33" l="1"/>
  <c r="L5" i="33"/>
  <c r="R3" i="33" s="1"/>
  <c r="R1" i="33" s="1"/>
  <c r="A9" i="33" s="1"/>
  <c r="L6" i="33"/>
  <c r="Q4" i="33" s="1"/>
  <c r="G7" i="33"/>
  <c r="A7" i="33" s="1"/>
  <c r="F31" i="31"/>
  <c r="Q1" i="33" l="1"/>
  <c r="A11" i="33" s="1"/>
  <c r="G19" i="3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T5" i="18"/>
  <c r="AB14" i="18"/>
  <c r="R32" i="18"/>
  <c r="J32" i="18"/>
  <c r="Z32" i="18"/>
  <c r="P32" i="18"/>
  <c r="AA23" i="18"/>
  <c r="F32" i="18"/>
  <c r="G14" i="18"/>
  <c r="S32" i="18"/>
  <c r="S14" i="18"/>
  <c r="P14" i="18"/>
  <c r="T14" i="18"/>
  <c r="Z14" i="18"/>
  <c r="U32" i="18"/>
  <c r="Q5" i="18"/>
  <c r="AA32" i="18"/>
  <c r="H23" i="18"/>
  <c r="H32" i="18"/>
  <c r="I23" i="18"/>
  <c r="F5" i="18"/>
  <c r="I32" i="18"/>
  <c r="F23" i="18"/>
  <c r="Z23" i="18"/>
  <c r="R5" i="18"/>
  <c r="Q14" i="18"/>
  <c r="F14" i="18"/>
  <c r="G23" i="18"/>
  <c r="U14" i="18"/>
  <c r="Q32" i="18"/>
  <c r="J23" i="18"/>
  <c r="R14" i="18"/>
  <c r="G32" i="18"/>
  <c r="P5" i="18"/>
  <c r="T32" i="18"/>
  <c r="G5" i="18"/>
  <c r="S5" i="18"/>
  <c r="AA14" i="18"/>
  <c r="Z5" i="18"/>
  <c r="P23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14" i="18"/>
  <c r="K32" i="18"/>
  <c r="AB32" i="18"/>
  <c r="U5" i="18"/>
  <c r="AB23" i="18"/>
  <c r="AA5" i="18"/>
  <c r="H5" i="18"/>
  <c r="AC14" i="18"/>
  <c r="K23" i="18"/>
  <c r="V32" i="18"/>
  <c r="V14" i="18"/>
  <c r="Q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L23" i="18"/>
  <c r="AB5" i="18"/>
  <c r="L32" i="18"/>
  <c r="I5" i="18"/>
  <c r="I14" i="18"/>
  <c r="V5" i="18"/>
  <c r="R23" i="18"/>
  <c r="AD14" i="18"/>
  <c r="AC32" i="18"/>
  <c r="AD32" i="18" s="1"/>
  <c r="AC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J14" i="18"/>
  <c r="AD23" i="18"/>
  <c r="S23" i="18"/>
  <c r="AE14" i="18"/>
  <c r="AC5" i="18"/>
  <c r="AD5" i="18" s="1"/>
  <c r="J5" i="18"/>
  <c r="AE32" i="18"/>
  <c r="AF14" i="18"/>
  <c r="AF32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K14" i="18"/>
  <c r="AE5" i="18"/>
  <c r="AE23" i="18"/>
  <c r="T23" i="18"/>
  <c r="U23" i="18" s="1"/>
  <c r="K5" i="18"/>
  <c r="I3" i="1" l="1"/>
  <c r="AF5" i="18"/>
  <c r="L5" i="18"/>
  <c r="L14" i="18"/>
  <c r="AF23" i="18"/>
  <c r="V23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<sst xmlns="http://schemas.openxmlformats.org/spreadsheetml/2006/main" count="1600" uniqueCount="1093">
  <si>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</si>
  <si>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</si>
  <si>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</si>
  <si>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</si>
  <si>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</si>
  <si>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</si>
  <si>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</si>
  <si>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</si>
  <si>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</si>
  <si>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</si>
  <si>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</si>
  <si>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</si>
  <si>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</si>
  <si>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</si>
  <si>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</si>
  <si>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</si>
  <si>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</si>
  <si>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</si>
  <si>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</si>
  <si>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</si>
  <si>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</si>
  <si>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</si>
  <si>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</si>
  <si>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</si>
  <si>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</si>
  <si>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</si>
  <si>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</si>
  <si>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</si>
  <si>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</si>
  <si>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</si>
  <si>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</si>
  <si>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</si>
  <si>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</si>
  <si>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</si>
  <si>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</si>
  <si>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</si>
  <si>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</si>
  <si>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</si>
  <si>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</si>
  <si>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</si>
  <si>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</si>
  <si>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</si>
  <si>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</si>
  <si>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</si>
  <si>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</si>
  <si>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</si>
  <si>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</si>
  <si>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</si>
  <si>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</si>
  <si>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</si>
  <si>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</si>
  <si>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</si>
  <si>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</si>
  <si>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</si>
  <si>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</si>
  <si>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</si>
  <si>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</si>
  <si>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</si>
  <si>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</si>
  <si>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</si>
  <si>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</si>
  <si>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</si>
  <si>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</si>
  <si>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</si>
  <si>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</si>
  <si>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</si>
  <si>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</si>
  <si>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</si>
  <si>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</si>
  <si>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</si>
  <si>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</si>
  <si>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</si>
  <si>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</si>
  <si>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</si>
  <si>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</si>
  <si>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</si>
  <si>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</si>
  <si>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</si>
  <si>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</si>
  <si>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</si>
  <si>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</si>
  <si>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</si>
  <si>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</si>
  <si>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</si>
  <si>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</si>
  <si>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</si>
  <si>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</si>
  <si>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</si>
  <si>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</si>
  <si>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</si>
  <si>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</si>
  <si>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</si>
  <si>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</si>
  <si>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</si>
  <si>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</si>
  <si>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</si>
  <si>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</si>
  <si>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</si>
  <si>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</si>
  <si>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</si>
  <si>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</si>
  <si>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</si>
  <si>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</si>
  <si>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</si>
  <si>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</si>
  <si>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</si>
  <si>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</si>
  <si>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</si>
  <si>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</si>
  <si>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</si>
  <si>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</si>
  <si>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</si>
  <si>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</si>
  <si>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</si>
  <si>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</si>
  <si>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</si>
  <si>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</si>
  <si>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</si>
  <si>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</si>
  <si>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</si>
  <si>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</si>
  <si>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</si>
  <si>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</si>
  <si>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</si>
  <si>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</si>
  <si>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</si>
  <si>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</si>
  <si>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</si>
  <si>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</si>
  <si>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</si>
  <si>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</si>
  <si>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</si>
  <si>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</si>
  <si>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</si>
  <si>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</si>
  <si>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</si>
  <si>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</si>
  <si>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</si>
  <si>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</si>
  <si>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</si>
  <si>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</si>
  <si>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</si>
  <si>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</si>
  <si>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</si>
  <si>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</si>
  <si>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</si>
  <si>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</si>
  <si>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</si>
  <si>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</si>
  <si>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</si>
  <si>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</si>
  <si>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</si>
  <si>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</si>
  <si>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</si>
  <si>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</si>
  <si>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</si>
  <si>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</si>
  <si>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</si>
  <si>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</si>
  <si>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</si>
  <si>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</si>
  <si>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</si>
  <si>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</si>
  <si>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</si>
  <si>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</si>
  <si>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</si>
  <si>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</si>
  <si>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</si>
  <si>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</si>
  <si>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</si>
  <si>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</si>
  <si>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</si>
  <si>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</si>
  <si>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</si>
  <si>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</si>
  <si>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</si>
  <si>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</si>
  <si>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</si>
  <si>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</si>
  <si>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</si>
  <si>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</si>
  <si>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</si>
  <si>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</si>
  <si>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</si>
  <si>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</si>
  <si>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</si>
  <si>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</si>
  <si>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</si>
  <si>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</si>
  <si>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</si>
  <si>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</si>
  <si>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</si>
  <si>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</si>
  <si>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</si>
  <si>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</si>
  <si>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</si>
  <si>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</si>
  <si>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</si>
  <si>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</si>
  <si>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</si>
  <si>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</si>
  <si>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</si>
  <si>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</si>
  <si>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</si>
  <si>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</si>
  <si>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</si>
  <si>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</si>
  <si>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</si>
  <si>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</si>
  <si>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</si>
  <si>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</si>
  <si>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</si>
  <si>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</si>
  <si>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</si>
  <si>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</si>
  <si>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</si>
  <si>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</si>
  <si>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</si>
  <si>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</si>
  <si>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</si>
  <si>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</si>
  <si>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</si>
  <si>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</si>
  <si>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</si>
  <si>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</si>
  <si>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</si>
  <si>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</si>
  <si>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</si>
  <si>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</si>
  <si>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</si>
  <si>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</si>
  <si>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</si>
  <si>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</si>
  <si>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</si>
  <si>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</si>
  <si>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</si>
  <si>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</si>
  <si>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</si>
  <si>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</si>
  <si>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</si>
  <si>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</si>
  <si>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</si>
  <si>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</si>
  <si>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</si>
  <si>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</si>
  <si>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</si>
  <si>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</si>
  <si>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</si>
  <si>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</si>
  <si>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</si>
  <si>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</si>
  <si>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</si>
  <si>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</si>
  <si>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</si>
  <si>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</si>
  <si>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</si>
  <si>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</si>
  <si>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</si>
  <si>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</si>
  <si>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</si>
  <si>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</si>
  <si>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</si>
  <si>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</si>
  <si>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</si>
  <si>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</si>
  <si>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</si>
  <si>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</si>
  <si>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</si>
  <si>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</si>
  <si>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</si>
  <si>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</si>
  <si>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</si>
  <si>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</si>
  <si>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</si>
  <si>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</si>
  <si>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</si>
  <si>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</si>
  <si>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</si>
  <si>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</si>
  <si>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</si>
  <si>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</si>
  <si>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</si>
  <si>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</si>
  <si>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</si>
  <si>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</si>
  <si>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</si>
  <si>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</si>
  <si>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</si>
  <si>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</si>
  <si>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</si>
  <si>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</si>
  <si>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</si>
  <si>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</si>
  <si>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</si>
  <si>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</si>
  <si>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</si>
  <si>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</si>
  <si>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</si>
  <si>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</si>
  <si>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</si>
  <si>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</si>
  <si>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</si>
  <si>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</si>
  <si>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</si>
  <si>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</si>
  <si>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</si>
  <si>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</si>
  <si>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</si>
  <si>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</si>
  <si>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</si>
  <si>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</si>
  <si>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</si>
  <si>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</si>
  <si>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</si>
  <si>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</si>
  <si>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</si>
  <si>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</si>
  <si>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</si>
  <si>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</si>
  <si>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</si>
  <si>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</si>
  <si>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</si>
  <si>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</si>
  <si>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</si>
  <si>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</si>
  <si>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</si>
  <si>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</si>
  <si>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</si>
  <si>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</si>
  <si>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</si>
  <si>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</si>
  <si>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</si>
  <si>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</si>
  <si>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</si>
  <si>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</si>
  <si>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</si>
  <si>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</si>
  <si>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</si>
  <si>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</si>
  <si>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</si>
  <si>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</si>
  <si>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</si>
  <si>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</si>
  <si>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</si>
  <si>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</si>
  <si>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</si>
  <si>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</si>
  <si>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</si>
  <si>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</si>
  <si>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</si>
  <si>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</si>
  <si>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</si>
  <si>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</si>
  <si>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</si>
  <si>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</si>
  <si>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</si>
  <si>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</si>
  <si>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</si>
  <si>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</si>
  <si>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</si>
  <si>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</si>
  <si>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</si>
  <si>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</si>
  <si>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</si>
  <si>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</si>
  <si>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</si>
  <si>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</si>
  <si>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</si>
  <si>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</si>
  <si>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</si>
  <si>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</si>
  <si>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</si>
  <si>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</si>
  <si>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</si>
  <si>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</si>
  <si>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</si>
  <si>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</si>
  <si>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</si>
  <si>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</si>
  <si>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</si>
  <si>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</si>
  <si>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</si>
  <si>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</si>
  <si>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</si>
  <si>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</si>
  <si>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</si>
  <si>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</si>
  <si>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</si>
  <si>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</si>
  <si>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</si>
  <si>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</si>
  <si>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</si>
  <si>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</si>
  <si>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</si>
  <si>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</si>
  <si>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</si>
  <si>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</si>
  <si>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</si>
  <si>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</si>
  <si>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</si>
  <si>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</si>
  <si>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</si>
  <si>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</si>
  <si>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</si>
  <si>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</si>
  <si>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</si>
  <si>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</si>
  <si>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</si>
  <si>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</si>
  <si>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</si>
  <si>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</si>
  <si>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</si>
  <si>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</si>
  <si>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</si>
  <si>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</si>
  <si>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</si>
  <si>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</si>
  <si>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</si>
  <si>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</si>
  <si>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</si>
  <si>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</si>
  <si>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</si>
  <si>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</si>
  <si>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</si>
  <si>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</si>
  <si>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</si>
  <si>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</si>
  <si>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</si>
  <si>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</si>
  <si>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</si>
  <si>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</si>
  <si>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</si>
  <si>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</si>
  <si>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</si>
  <si>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</si>
  <si>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</si>
  <si>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</si>
  <si>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</si>
  <si>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</si>
  <si>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</si>
  <si>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</si>
  <si>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</si>
  <si>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</si>
  <si>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</si>
  <si>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</si>
  <si>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</si>
  <si>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</si>
  <si>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</si>
  <si>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</si>
  <si>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</si>
  <si>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</si>
  <si>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</si>
  <si>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</si>
  <si>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</si>
  <si>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</si>
  <si>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</si>
  <si>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</si>
  <si>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</si>
  <si>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</si>
  <si>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</si>
  <si>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</si>
  <si>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</si>
  <si>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</si>
  <si>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</si>
  <si>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</si>
  <si>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</si>
  <si>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</si>
  <si>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</si>
  <si>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</si>
  <si>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</si>
  <si>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</si>
  <si>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</si>
  <si>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</si>
  <si>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</si>
  <si>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</si>
  <si>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</si>
  <si>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</si>
  <si>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</si>
  <si>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</si>
  <si>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</si>
  <si>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</si>
  <si>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</si>
  <si>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</si>
  <si>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</si>
  <si>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</si>
  <si>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</si>
  <si>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</si>
  <si>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</si>
  <si>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</si>
  <si>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</si>
  <si>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</si>
  <si>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</si>
  <si>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</si>
  <si>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</si>
  <si>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</si>
  <si>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</si>
  <si>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</si>
  <si>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</si>
  <si>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</si>
  <si>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</si>
  <si>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</si>
  <si>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</si>
  <si>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</si>
  <si>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</si>
  <si>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</si>
  <si>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</si>
  <si>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</si>
  <si>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</si>
  <si>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</si>
  <si>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</si>
  <si>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</si>
  <si>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</si>
  <si>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</si>
  <si>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</si>
  <si>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</si>
  <si>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</si>
  <si>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</si>
  <si>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</si>
  <si>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</si>
  <si>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</si>
  <si>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</si>
  <si>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</si>
  <si>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</si>
  <si>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</si>
  <si>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</si>
  <si>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</si>
  <si>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</si>
  <si>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</si>
  <si>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</si>
  <si>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</si>
  <si>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</si>
  <si>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</si>
  <si>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</si>
  <si>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</si>
  <si>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</si>
  <si>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</si>
  <si>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</si>
  <si>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</si>
  <si>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</si>
  <si>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</si>
  <si>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</si>
  <si>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</si>
  <si>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</si>
  <si>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</si>
  <si>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</si>
  <si>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</si>
  <si>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</si>
  <si>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</si>
  <si>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</si>
  <si>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</si>
  <si>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</si>
  <si>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</si>
  <si>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</si>
  <si>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</si>
  <si>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</si>
  <si>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</si>
  <si>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</si>
  <si>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</si>
  <si>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</si>
  <si>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</si>
  <si>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</si>
  <si>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</si>
  <si>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</si>
  <si>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</si>
  <si>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</si>
  <si>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</si>
  <si>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</si>
  <si>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</si>
  <si>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</si>
  <si>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</si>
  <si>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</si>
  <si>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</si>
  <si>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</si>
  <si>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</si>
  <si>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</si>
  <si>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</si>
  <si>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</si>
  <si>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</si>
  <si>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</si>
  <si>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</si>
  <si>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</si>
  <si>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</si>
  <si>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</si>
  <si>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</si>
  <si>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</si>
  <si>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</si>
  <si>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</si>
  <si>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</si>
  <si>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</si>
  <si>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</si>
  <si>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</si>
  <si>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</si>
  <si>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</si>
  <si>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</si>
  <si>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</si>
  <si>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</si>
  <si>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</si>
  <si>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</si>
  <si>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</si>
  <si>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</si>
  <si>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</si>
  <si>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</si>
  <si>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</si>
  <si>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</si>
  <si>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</si>
  <si>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</si>
  <si>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</si>
  <si>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</si>
  <si>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</si>
  <si>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</si>
  <si>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</si>
  <si>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</si>
  <si>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</si>
  <si>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</si>
  <si>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</si>
  <si>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</si>
  <si>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</si>
  <si>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</si>
  <si>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</si>
  <si>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</si>
  <si>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</si>
  <si>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</si>
  <si>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</si>
  <si>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</si>
  <si>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</si>
  <si>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</si>
  <si>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</si>
  <si>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</si>
  <si>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</si>
  <si>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</si>
  <si>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</si>
  <si>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</si>
  <si>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</si>
  <si>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</si>
  <si>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</si>
  <si>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</si>
  <si>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</si>
  <si>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</si>
  <si>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</si>
  <si>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</si>
  <si>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</si>
  <si>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</si>
  <si>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</si>
  <si>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</si>
  <si>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</si>
  <si>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</si>
  <si>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</si>
  <si>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</si>
  <si>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</si>
  <si>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</si>
  <si>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</si>
  <si>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</si>
  <si>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</si>
  <si>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</si>
  <si>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</si>
  <si>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</si>
  <si>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</si>
  <si>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</si>
  <si>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</si>
  <si>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</si>
  <si>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</si>
  <si>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</si>
  <si>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</si>
  <si>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</si>
  <si>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</si>
  <si>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</si>
  <si>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</si>
  <si>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</si>
  <si>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</si>
  <si>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</si>
  <si>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</si>
  <si>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</si>
  <si>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</si>
  <si>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</si>
  <si>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</si>
  <si>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</si>
  <si>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</si>
  <si>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</si>
  <si>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</si>
  <si>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</si>
  <si>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</si>
  <si>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</si>
  <si>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</si>
  <si>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</si>
  <si>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</si>
  <si>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</si>
  <si>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</si>
  <si>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</si>
  <si>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</si>
  <si>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</si>
  <si>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</si>
  <si>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</si>
  <si>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</si>
  <si>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</si>
  <si>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</si>
  <si>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</si>
  <si>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</si>
  <si>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</si>
  <si>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</si>
  <si>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</si>
  <si>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</si>
  <si>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</si>
  <si>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</si>
  <si>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</si>
  <si>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</si>
  <si>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</si>
  <si>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</si>
  <si>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</si>
  <si>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</si>
  <si>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</si>
  <si>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</si>
  <si>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</si>
  <si>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</si>
  <si>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</si>
  <si>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</si>
  <si>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</si>
  <si>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</si>
  <si>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</si>
  <si>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</si>
  <si>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</si>
  <si>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</si>
  <si>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</si>
  <si>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</si>
  <si>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</si>
  <si>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</si>
  <si>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</si>
  <si>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</si>
  <si>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</si>
  <si>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</si>
  <si>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</si>
  <si>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</si>
  <si>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</si>
  <si>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</si>
  <si>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</si>
  <si>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</si>
  <si>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</si>
  <si>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</si>
  <si>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</si>
  <si>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</si>
  <si>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</si>
  <si>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</si>
  <si>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</si>
  <si>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</si>
  <si>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</si>
  <si>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</si>
  <si>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</si>
  <si>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</si>
  <si>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</si>
  <si>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</si>
  <si>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</si>
  <si>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</si>
  <si>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</si>
  <si>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</si>
  <si>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</si>
  <si>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</si>
  <si>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</si>
  <si>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</si>
  <si>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</si>
  <si>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</si>
  <si>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</si>
  <si>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</si>
  <si>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</si>
  <si>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</si>
  <si>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</si>
  <si>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</si>
  <si>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</si>
  <si>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</si>
  <si>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</si>
  <si>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</si>
  <si>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</si>
  <si>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</si>
  <si>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</si>
  <si>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</si>
  <si>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</si>
  <si>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</si>
  <si>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</si>
  <si>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</si>
  <si>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</si>
  <si>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</si>
  <si>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</si>
  <si>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</si>
  <si>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</si>
  <si>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</si>
  <si>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</si>
  <si>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</si>
  <si>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</si>
  <si>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</si>
  <si>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</si>
  <si>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</si>
  <si>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</si>
  <si>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</si>
  <si>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</si>
  <si>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</si>
  <si>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</si>
  <si>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</si>
  <si>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</si>
  <si>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</si>
  <si>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</si>
  <si>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</si>
  <si>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</si>
  <si>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</si>
  <si>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</si>
  <si>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</si>
  <si>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</si>
  <si>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</si>
  <si>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</si>
  <si>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</si>
  <si>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</si>
  <si>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</si>
  <si>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</si>
  <si>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</si>
  <si>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</si>
  <si>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</si>
  <si>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</si>
  <si>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</si>
  <si>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</si>
  <si>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</si>
  <si>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</si>
  <si>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</si>
  <si>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</si>
  <si>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</si>
  <si>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</si>
  <si>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</si>
  <si>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</si>
  <si>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</si>
  <si>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</si>
  <si>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</si>
  <si>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</si>
  <si>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</si>
  <si>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</si>
  <si>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</si>
  <si>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</si>
  <si>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</si>
  <si>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</si>
  <si>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</si>
  <si>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</si>
  <si>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</si>
  <si>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</si>
  <si>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</si>
  <si>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</si>
  <si>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</si>
  <si>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</si>
  <si>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</si>
  <si>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</si>
  <si>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</si>
  <si>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</si>
  <si>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</si>
  <si>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</si>
  <si>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</si>
  <si>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</si>
  <si>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</si>
  <si>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</si>
  <si>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</si>
  <si>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</si>
  <si>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</si>
  <si>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</si>
  <si>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</si>
  <si>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</si>
  <si>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</si>
  <si>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</si>
  <si>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</si>
  <si>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</si>
  <si>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</si>
  <si>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</si>
  <si>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</si>
  <si>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</si>
  <si>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</si>
  <si>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</si>
  <si>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</si>
  <si>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</si>
  <si>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</si>
  <si>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</si>
  <si>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</si>
  <si>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</si>
  <si>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</si>
  <si>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</si>
  <si>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</si>
  <si>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</si>
  <si>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</si>
  <si>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</si>
  <si>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</si>
  <si>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</si>
  <si>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</si>
  <si>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</si>
  <si>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</si>
  <si>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</si>
  <si>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</si>
  <si>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</si>
  <si>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</si>
  <si>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</si>
  <si>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</si>
  <si>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</si>
  <si>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</si>
  <si>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</si>
  <si>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</si>
  <si>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</si>
  <si>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</si>
  <si>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</si>
  <si>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</si>
  <si>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</si>
  <si>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</si>
  <si>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</si>
  <si>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</si>
  <si>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</si>
  <si>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</si>
  <si>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</si>
  <si>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</si>
  <si>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</si>
  <si>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</si>
  <si>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</si>
  <si>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</si>
  <si>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</si>
  <si>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</si>
  <si>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</si>
  <si>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</si>
  <si>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</si>
  <si>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</si>
  <si>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</si>
  <si>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</si>
  <si>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</si>
  <si>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</si>
  <si>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</si>
  <si>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</si>
  <si>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</si>
  <si>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</si>
  <si>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</si>
  <si>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</si>
  <si>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</si>
  <si>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</si>
  <si>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</si>
  <si>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</si>
  <si>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</si>
  <si>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</si>
  <si>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</si>
  <si>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</si>
  <si>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</si>
  <si>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</si>
  <si>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</si>
  <si>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</si>
  <si>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</si>
  <si>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</si>
  <si>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</si>
  <si>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</si>
  <si>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</si>
  <si>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</si>
  <si>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</si>
  <si>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</si>
  <si>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</si>
  <si>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</si>
  <si>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</si>
  <si>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</si>
  <si>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</si>
  <si>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</si>
  <si>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</si>
  <si>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</si>
  <si>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</si>
  <si>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</si>
  <si>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</si>
  <si>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</si>
  <si>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</si>
  <si>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</si>
  <si>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</si>
  <si>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</si>
  <si>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</si>
  <si>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</si>
  <si>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</si>
  <si>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</si>
  <si>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</si>
  <si>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</si>
  <si>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</si>
  <si>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</si>
  <si>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</si>
  <si>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</si>
  <si>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</si>
  <si>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</si>
  <si>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</si>
  <si>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</si>
  <si>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</si>
  <si>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</si>
  <si>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</si>
  <si>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</si>
  <si>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</si>
  <si>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</si>
  <si>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</si>
  <si>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توضیح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</si>
  <si>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</si>
  <si>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</si>
  <si>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</si>
  <si>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</si>
  <si>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</si>
  <si>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</si>
  <si>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</si>
  <si>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</si>
  <si>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</si>
  <si>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</si>
  <si>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</si>
  <si>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</si>
  <si>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</si>
  <si>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</si>
  <si>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</si>
  <si>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</si>
  <si>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</si>
  <si>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</si>
  <si>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</si>
  <si>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</si>
  <si>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</si>
  <si>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</si>
  <si>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</si>
  <si>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</si>
  <si>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</si>
  <si>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</si>
  <si>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</si>
  <si>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</si>
  <si>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</si>
  <si>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</si>
  <si>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</si>
  <si>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</si>
  <si>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</si>
  <si>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</si>
  <si>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</si>
  <si>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</si>
  <si>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</si>
  <si>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</si>
  <si>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</si>
  <si>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</si>
  <si>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</si>
  <si>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</si>
  <si>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</si>
  <si>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</si>
  <si>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</si>
  <si>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</si>
  <si>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</si>
  <si>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</si>
  <si>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</si>
  <si>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</si>
  <si>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</si>
  <si>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</si>
  <si>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</si>
  <si>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</si>
  <si>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</si>
  <si>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</si>
  <si>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</si>
  <si>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</si>
  <si>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</si>
  <si>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</si>
  <si>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</si>
  <si>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</si>
  <si>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</si>
  <si>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</si>
  <si>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</si>
  <si>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</si>
  <si>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</si>
  <si>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</si>
  <si>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</si>
  <si>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</si>
  <si>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</si>
  <si>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</si>
  <si>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</si>
  <si>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</si>
  <si>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</si>
  <si>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</si>
  <si>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</si>
  <si>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</si>
  <si>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</si>
  <si>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مسئول تراکنش</t>
  </si>
  <si>
    <t>درصد مشارکت</t>
  </si>
  <si>
    <t>بابت</t>
  </si>
  <si>
    <t>رسید تراکنش</t>
  </si>
  <si>
    <t>سهم مشارکت کننده</t>
  </si>
  <si>
    <t>سهم مشارکت فرد ۱</t>
  </si>
  <si>
    <t>سهم مشارکت فرد ۲</t>
  </si>
  <si>
    <t>لیست دریافت کنندگان مشترک</t>
  </si>
  <si>
    <t>لیست مالکان حساب مشترک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</si>
  <si>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</si>
  <si>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</si>
  <si>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</si>
  <si>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</si>
  <si>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</si>
  <si>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</si>
  <si>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</si>
  <si>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وضعیت تسویه حساب</t>
  </si>
  <si>
    <t>رسید تسویه حساب</t>
  </si>
  <si>
    <t>تسویه شد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</si>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</sst>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331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2" borderId="0" xfId="1" applyNumberFormat="1" applyFont="1" applyFill="1" applyAlignment="1" applyProtection="1">
      <alignment horizontal="center" vertical="center"/>
    </xf>
    <xf numFmtId="0" fontId="0" fillId="37" borderId="0" xfId="0" applyFont="1" applyFill="1" applyProtection="1">
      <protection locked="0"/>
    </xf>
    <xf numFmtId="49" fontId="8" fillId="18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/>
    </xf>
    <xf numFmtId="0" fontId="0" fillId="37" borderId="0" xfId="0" applyFont="1" applyFill="1" applyProtection="1"/>
    <xf numFmtId="170" fontId="0" fillId="35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13" fillId="17" borderId="0" xfId="1" applyFont="1" applyFill="1" applyAlignment="1" applyProtection="1">
      <alignment horizontal="center" vertical="center" wrapText="1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8" fillId="18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protection locked="0"/>
    </xf>
    <xf numFmtId="49" fontId="1" fillId="18" borderId="0" xfId="0" applyNumberFormat="1" applyFont="1" applyFill="1" applyAlignment="1" applyProtection="1">
      <alignment horizontal="right" vertical="center" readingOrder="2"/>
      <protection locked="0"/>
    </xf>
    <xf numFmtId="49" fontId="0" fillId="37" borderId="0" xfId="0" applyNumberFormat="1" applyFont="1" applyFill="1" applyAlignment="1" applyProtection="1">
      <protection locked="0"/>
    </xf>
    <xf numFmtId="0" fontId="0" fillId="37" borderId="0" xfId="0" applyFill="1" applyProtection="1">
      <protection locked="0"/>
    </xf>
    <xf numFmtId="0" fontId="32" fillId="37" borderId="0" xfId="0" applyFont="1" applyFill="1" applyProtection="1"/>
    <xf numFmtId="0" fontId="0" fillId="37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wrapText="1" readingOrder="2"/>
      <protection locked="0"/>
    </xf>
    <xf numFmtId="9" fontId="7" fillId="0" borderId="0" xfId="0" applyNumberFormat="1" applyFont="1" applyAlignment="1" applyProtection="1">
      <alignment horizontal="center" vertical="center" wrapText="1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9" fontId="0" fillId="0" borderId="0" xfId="0" applyNumberFormat="1" applyAlignment="1" applyProtection="1">
      <alignment horizontal="center" vertical="center" wrapText="1" readingOrder="2"/>
      <protection locked="0"/>
    </xf>
    <xf numFmtId="49" fontId="0" fillId="18" borderId="0" xfId="0" applyNumberFormat="1" applyFill="1" applyAlignment="1" applyProtection="1">
      <alignment horizontal="center" vertical="center" wrapText="1" readingOrder="2"/>
      <protection locked="0"/>
    </xf>
    <xf numFmtId="0" fontId="0" fillId="18" borderId="0" xfId="0" applyFill="1" applyAlignment="1" applyProtection="1">
      <alignment horizontal="center" vertical="center" wrapText="1" readingOrder="2"/>
      <protection locked="0"/>
    </xf>
    <xf numFmtId="9" fontId="0" fillId="18" borderId="0" xfId="0" applyNumberFormat="1" applyFill="1" applyAlignment="1" applyProtection="1">
      <alignment horizontal="center" vertical="center" wrapText="1" readingOrder="2"/>
      <protection locked="0"/>
    </xf>
    <xf numFmtId="170" fontId="0" fillId="18" borderId="0" xfId="0" applyNumberFormat="1" applyFill="1" applyAlignment="1" applyProtection="1">
      <alignment horizontal="center" vertical="center" readingOrder="2"/>
      <protection locked="0"/>
    </xf>
    <xf numFmtId="3" fontId="0" fillId="37" borderId="0" xfId="0" applyNumberFormat="1" applyFill="1" applyProtection="1">
      <protection locked="0"/>
    </xf>
    <xf numFmtId="49" fontId="0" fillId="37" borderId="0" xfId="0" applyNumberFormat="1" applyFill="1" applyProtection="1">
      <protection locked="0"/>
    </xf>
    <xf numFmtId="170" fontId="0" fillId="37" borderId="0" xfId="0" applyNumberFormat="1" applyFill="1" applyAlignment="1" applyProtection="1">
      <protection locked="0"/>
    </xf>
    <xf numFmtId="9" fontId="0" fillId="37" borderId="0" xfId="0" applyNumberFormat="1" applyFill="1" applyProtection="1">
      <protection locked="0"/>
    </xf>
    <xf numFmtId="49" fontId="0" fillId="37" borderId="0" xfId="0" quotePrefix="1" applyNumberFormat="1" applyFill="1" applyProtection="1">
      <protection locked="0"/>
    </xf>
    <xf numFmtId="170" fontId="0" fillId="0" borderId="0" xfId="0" applyNumberFormat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wrapText="1" readingOrder="2"/>
    </xf>
    <xf numFmtId="0" fontId="0" fillId="35" borderId="0" xfId="0" applyFont="1" applyFill="1" applyProtection="1">
      <protection locked="0"/>
    </xf>
    <xf numFmtId="0" fontId="0" fillId="35" borderId="0" xfId="0" applyFill="1" applyProtection="1">
      <protection locked="0"/>
    </xf>
    <xf numFmtId="0" fontId="0" fillId="35" borderId="0" xfId="0" applyFill="1" applyAlignment="1" applyProtection="1">
      <alignment horizontal="center" vertical="center" wrapText="1" readingOrder="2"/>
      <protection locked="0"/>
    </xf>
    <xf numFmtId="0" fontId="0" fillId="35" borderId="0" xfId="0" applyFill="1" applyProtection="1"/>
    <xf numFmtId="0" fontId="8" fillId="21" borderId="0" xfId="0" applyFont="1" applyFill="1" applyAlignment="1" applyProtection="1">
      <alignment horizontal="center" vertical="center" wrapText="1" readingOrder="2"/>
    </xf>
    <xf numFmtId="165" fontId="8" fillId="21" borderId="7" xfId="0" applyNumberFormat="1" applyFont="1" applyFill="1" applyBorder="1" applyAlignment="1" applyProtection="1">
      <alignment horizontal="center" vertical="center" wrapText="1" readingOrder="2"/>
    </xf>
    <xf numFmtId="0" fontId="8" fillId="31" borderId="0" xfId="0" applyFont="1" applyFill="1" applyAlignment="1" applyProtection="1">
      <alignment horizontal="center" vertical="center" wrapText="1" readingOrder="2"/>
    </xf>
    <xf numFmtId="165" fontId="8" fillId="31" borderId="7" xfId="0" applyNumberFormat="1" applyFont="1" applyFill="1" applyBorder="1" applyAlignment="1" applyProtection="1">
      <alignment horizontal="center" vertical="center" wrapText="1" readingOrder="2"/>
    </xf>
    <xf numFmtId="0" fontId="0" fillId="35" borderId="0" xfId="0" applyFill="1" applyAlignment="1" applyProtection="1">
      <alignment horizontal="center" vertical="center" wrapText="1" readingOrder="2"/>
    </xf>
    <xf numFmtId="165" fontId="8" fillId="31" borderId="0" xfId="0" applyNumberFormat="1" applyFont="1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289"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3" formatCode="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numFmt numFmtId="170" formatCode="#,##0;[Red]#,##0"/>
      <alignment horizontal="center" vertical="center" textRotation="0" wrapText="0" indent="0" justifyLastLine="0" shrinkToFit="0" readingOrder="2"/>
      <protection locked="1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3" formatCode="0%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  <sheetName val="Personal Accountant - For My V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288" dataDxfId="287">
  <autoFilter ref="A7:N507" xr:uid="{00000000-0009-0000-0100-000003000000}"/>
  <tableColumns count="14">
    <tableColumn id="1" xr3:uid="{00000000-0010-0000-0000-000001000000}" name="ردیف" dataDxfId="286"/>
    <tableColumn id="2" xr3:uid="{00000000-0010-0000-0000-000002000000}" name="افراد (اعضا)" dataDxfId="285"/>
    <tableColumn id="4" xr3:uid="{00000000-0010-0000-0000-000004000000}" name="تاریخ" dataDxfId="284"/>
    <tableColumn id="5" xr3:uid="{00000000-0010-0000-0000-000005000000}" name="عنوان" dataDxfId="283"/>
    <tableColumn id="14" xr3:uid="{00000000-0010-0000-0000-00000E000000}" name="تراکنش" dataDxfId="282"/>
    <tableColumn id="6" xr3:uid="{00000000-0010-0000-0000-000006000000}" name="گروه (درآمد/هزینه)" dataDxfId="281"/>
    <tableColumn id="7" xr3:uid="{00000000-0010-0000-0000-000007000000}" name="زیر گروه" dataDxfId="280"/>
    <tableColumn id="3" xr3:uid="{00000000-0010-0000-0000-000003000000}" name="روش تراکنش" dataDxfId="279"/>
    <tableColumn id="8" xr3:uid="{00000000-0010-0000-0000-000008000000}" name="مبلغ (ریال)" dataDxfId="278"/>
    <tableColumn id="9" xr3:uid="{00000000-0010-0000-0000-000009000000}" name="پرداخت کننده" dataDxfId="277"/>
    <tableColumn id="10" xr3:uid="{00000000-0010-0000-0000-00000A000000}" name="دریافت کننده" dataDxfId="276"/>
    <tableColumn id="11" xr3:uid="{00000000-0010-0000-0000-00000B000000}" name="مانده حساب‌ها" dataDxfId="275" dataCellStyle="Currency"/>
    <tableColumn id="12" xr3:uid="{00000000-0010-0000-0000-00000C000000}" name="نوع خرج" dataDxfId="274"/>
    <tableColumn id="13" xr3:uid="{00000000-0010-0000-0000-00000D000000}" name="شرح" dataDxfId="27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A14:A32" totalsRowShown="0" headerRowDxfId="272" dataDxfId="271">
  <autoFilter ref="A14:A32" xr:uid="{6AEC4E4F-D138-42A7-8625-32AF6446FB92}"/>
  <tableColumns count="1">
    <tableColumn id="1" xr3:uid="{93761557-8AAB-4CE7-978B-119DB8A02638}" name="جدول نوع بودجه" dataDxfId="27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J31" totalsRowCount="1" headerRowDxfId="269" dataDxfId="268" totalsRowDxfId="267">
  <autoFilter ref="D2:J30" xr:uid="{42DADA0B-0B6E-471B-8179-A8983A9B7F20}"/>
  <tableColumns count="7">
    <tableColumn id="7" xr3:uid="{46F43D95-9902-48AB-884C-F451DC2D7FAD}" name="نوع" dataDxfId="266" totalsRowDxfId="265"/>
    <tableColumn id="1" xr3:uid="{DD414367-F788-4733-BEA6-377AEC32C3FF}" name="عنوان" totalsRowLabel="مانده:" dataDxfId="264" totalsRowDxfId="263"/>
    <tableColumn id="2" xr3:uid="{F1FA2425-CBFB-4F05-8BD4-1DF8DC85BFF4}" name="مبلغ (ریال)" totalsRowFunction="sum" dataDxfId="262" totalsRowDxfId="261"/>
    <tableColumn id="6" xr3:uid="{89994E85-8B50-411A-87FD-D9E3D61DE5CD}" name="عملیات و تاریخ  مقرر " dataDxfId="260" totalsRowDxfId="259"/>
    <tableColumn id="3" xr3:uid="{5769A98B-C5B5-403D-BB77-C90472D5BF72}" name="توضیح" dataDxfId="258" totalsRowDxfId="257"/>
    <tableColumn id="9" xr3:uid="{CAB497DF-1678-41B3-8376-86B9A08D3445}" name="وضعیت عملیات" dataDxfId="256" totalsRowDxfId="255"/>
    <tableColumn id="5" xr3:uid="{182B9E66-EE1A-44DE-B4B4-F623AD05F6F8}" name="لینک رسید و تاریخ عملیات" dataDxfId="254" totalsRowDxfId="253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OperationStatusTable" displayName="OperationStatusTable" ref="A34:A42" totalsRowShown="0" headerRowDxfId="252" dataDxfId="251">
  <autoFilter ref="A34:A42" xr:uid="{D62D46A7-088F-4632-AE66-1F49CCF96D94}"/>
  <tableColumns count="1">
    <tableColumn id="1" xr3:uid="{1ADF3900-55E8-4A50-8909-96F1F42EB08A}" name="جدول وضعیت عملیات" dataDxfId="250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O7" totalsRowCount="1" headerRowDxfId="51" dataDxfId="49" totalsRowDxfId="50">
  <autoFilter ref="D1:O6" xr:uid="{2AED775E-0580-4586-9DD7-1307A295C19A}"/>
  <tableColumns count="12">
    <tableColumn id="1" xr3:uid="{C6B1C087-18D2-4286-906F-B33A7B1F3A07}" name="ردیف" totalsRowLabel="Total" dataDxfId="60" totalsRowDxfId="11"/>
    <tableColumn id="2" xr3:uid="{C66CC0FB-71CE-4604-9CCE-83F8274F9FDE}" name="تاریخ" dataDxfId="59" totalsRowDxfId="10"/>
    <tableColumn id="3" xr3:uid="{F65E6844-8F46-4532-A822-05752BCB35D3}" name="بابت" dataDxfId="58" totalsRowDxfId="9"/>
    <tableColumn id="4" xr3:uid="{44B522F5-C660-407E-B343-594A19F54E50}" name="مبلغ (ریال)" totalsRowFunction="sum" dataDxfId="57" totalsRowDxfId="8"/>
    <tableColumn id="5" xr3:uid="{981E60EF-5ABE-44B1-BAC8-AF37CEDEBBC1}" name="دریافت کننده" dataDxfId="56" totalsRowDxfId="7"/>
    <tableColumn id="6" xr3:uid="{01F8159F-C048-413D-A233-C70050BAA01C}" name="رسید تراکنش" dataDxfId="55" totalsRowDxfId="6"/>
    <tableColumn id="7" xr3:uid="{6D6AE7E3-0EAB-4119-B513-C3454729B63E}" name="مسئول تراکنش" dataDxfId="54" totalsRowDxfId="5"/>
    <tableColumn id="8" xr3:uid="{0A6B1C30-FD25-4517-800E-757C6754C042}" name="درصد مشارکت" dataDxfId="43" totalsRowDxfId="4"/>
    <tableColumn id="9" xr3:uid="{E732A4FB-F2DD-4941-81F5-03872D212104}" name="سهم مشارکت کننده" dataDxfId="41" totalsRowDxfId="3">
      <calculatedColumnFormula>CommonBillTable[[#This Row],[مبلغ (ریال)]]*CommonBillTable[[#This Row],[درصد مشارکت]]</calculatedColumnFormula>
    </tableColumn>
    <tableColumn id="10" xr3:uid="{F6261D04-1038-4842-A457-F97AEB8F91E1}" name="وضعیت تسویه حساب" dataDxfId="42" totalsRowDxfId="2"/>
    <tableColumn id="11" xr3:uid="{4A59BDE7-361F-4F64-83F8-922C614AD362}" name="رسید تسویه حساب" dataDxfId="53" totalsRowDxfId="1"/>
    <tableColumn id="12" xr3:uid="{E1A50250-48F8-4972-927C-843E1BF519D4}" name="شرح" dataDxfId="52" totalsRowDxfId="0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3D9455-15AE-4B8C-A7BA-0038F09F4A3C}" name="PonyStatusTable" displayName="PonyStatusTable" ref="A15:A18" totalsRowShown="0" headerRowDxfId="47" dataDxfId="46">
  <autoFilter ref="A15:A18" xr:uid="{853D9455-15AE-4B8C-A7BA-0038F09F4A3C}"/>
  <tableColumns count="1">
    <tableColumn id="1" xr3:uid="{F0424841-E5C6-4354-A9ED-D1605358F823}" name="وضعیت تسویه حساب" dataDxfId="4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7482B58-C2C5-4FDD-81DF-E21776CD81FB}" name="SubscriberAccountOwnersTable" displayName="SubscriberAccountOwnersTable" ref="A20:A22" totalsRowShown="0" headerRowDxfId="45" dataDxfId="36">
  <autoFilter ref="A20:A22" xr:uid="{D7482B58-C2C5-4FDD-81DF-E21776CD81FB}"/>
  <tableColumns count="1">
    <tableColumn id="1" xr3:uid="{E48E308C-70AE-458B-80AE-CB0AFB362D2A}" name="لیست مالکان حساب مشترک" dataDxfId="3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A24:A33" totalsRowShown="0" headerRowDxfId="44" dataDxfId="34">
  <autoFilter ref="A24:A33" xr:uid="{AF54F0D0-8574-41AA-9927-39DC6232EA3E}"/>
  <tableColumns count="1">
    <tableColumn id="1" xr3:uid="{33274848-D34F-4AB5-A6C4-C8CC15B46344}" name="لیست دریافت کنندگان مشترک" dataDxfId="3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249" dataDxfId="248">
  <autoFilter ref="A4:B12" xr:uid="{00000000-0009-0000-0100-00000A000000}"/>
  <tableColumns count="2">
    <tableColumn id="1" xr3:uid="{00000000-0010-0000-0100-000001000000}" name="کد گروه درآمدی" dataDxfId="247"/>
    <tableColumn id="2" xr3:uid="{00000000-0010-0000-0100-000002000000}" name="نام گروه درآمد" dataDxfId="246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45" dataDxfId="244">
  <autoFilter ref="F5:F6" xr:uid="{00000000-0009-0000-0100-00000B000000}"/>
  <tableColumns count="1">
    <tableColumn id="1" xr3:uid="{00000000-0010-0000-0200-000001000000}" name="دستمزد" dataDxfId="243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42" dataDxfId="241">
  <autoFilter ref="H5:H6" xr:uid="{00000000-0009-0000-0100-00000C000000}"/>
  <tableColumns count="1">
    <tableColumn id="1" xr3:uid="{00000000-0010-0000-0300-000001000000}" name="منفعت کسب" dataDxfId="2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39" dataDxfId="238">
  <autoFilter ref="J5:J6" xr:uid="{00000000-0009-0000-0100-00000D000000}"/>
  <tableColumns count="1">
    <tableColumn id="1" xr3:uid="{00000000-0010-0000-0400-000001000000}" name="سود سرمایه‌گذاری" dataDxfId="237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36" dataDxfId="235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34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233" dataDxfId="232">
  <autoFilter ref="N5:N6" xr:uid="{00000000-0009-0000-0100-000010000000}"/>
  <tableColumns count="1">
    <tableColumn id="1" xr3:uid="{00000000-0010-0000-0600-000001000000}" name="دریافت رهن و اجاره" dataDxfId="231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230" dataDxfId="229">
  <autoFilter ref="P5:P6" xr:uid="{00000000-0009-0000-0100-000011000000}"/>
  <tableColumns count="1">
    <tableColumn id="1" xr3:uid="{00000000-0010-0000-0700-000001000000}" name="دریافت وام" dataDxfId="228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227" dataDxfId="226">
  <autoFilter ref="R5:R6" xr:uid="{00000000-0009-0000-0100-000012000000}"/>
  <tableColumns count="1">
    <tableColumn id="1" xr3:uid="{00000000-0010-0000-0800-000001000000}" name="درآمد متفرقه" dataDxfId="225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24" dataDxfId="223">
  <autoFilter ref="D5:D6" xr:uid="{00000000-0009-0000-0100-00002A000000}"/>
  <tableColumns count="1">
    <tableColumn id="1" xr3:uid="{00000000-0010-0000-0900-000001000000}" name="حقوق" dataDxfId="22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221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220"/>
    <tableColumn id="2" xr3:uid="{00000000-0010-0000-0A00-000002000000}" name="نام گروه هزینه" dataDxfId="219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18" dataDxfId="217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21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215" dataDxfId="214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21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212" dataDxfId="211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210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209" dataDxfId="208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207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206" dataDxfId="205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04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03" dataDxfId="202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0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00" dataDxfId="199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19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197" dataDxfId="196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195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194" dataDxfId="193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192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191" dataDxfId="190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189"/>
  </tableColumns>
  <tableStyleInfo name="TableStyleMedium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188" dataDxfId="187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186"/>
  </tableColumns>
  <tableStyleInfo name="TableStyleMedium4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185" dataDxfId="184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183"/>
  </tableColumns>
  <tableStyleInfo name="TableStyleMedium3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182" dataDxfId="181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18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179" dataDxfId="178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177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176" dataDxfId="175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174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173" dataDxfId="172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171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170" dataDxfId="169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16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167" dataDxfId="166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165"/>
  </tableColumns>
  <tableStyleInfo name="TableStyleMedium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64" dataDxfId="163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62"/>
  </tableColumns>
  <tableStyleInfo name="TableStyleMedium4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61" dataDxfId="160">
  <autoFilter ref="AP4:AP8" xr:uid="{00000000-0009-0000-0100-000025000000}"/>
  <tableColumns count="1">
    <tableColumn id="1" xr3:uid="{00000000-0010-0000-1E00-000001000000}" name="مالیات" dataDxfId="15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58" dataDxfId="157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56"/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155" dataDxfId="154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153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152" dataDxfId="151">
  <autoFilter ref="AV4:AV11" xr:uid="{00000000-0009-0000-0100-000028000000}"/>
  <tableColumns count="1">
    <tableColumn id="1" xr3:uid="{00000000-0010-0000-2100-000001000000}" name="هدیه و کادو" dataDxfId="150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149" dataDxfId="148">
  <autoFilter ref="AX4:AX7" xr:uid="{00000000-0009-0000-0100-000029000000}"/>
  <tableColumns count="1">
    <tableColumn id="1" xr3:uid="{00000000-0010-0000-2200-000001000000}" name="یادگیری و توسعه فردی" dataDxfId="147"/>
  </tableColumns>
  <tableStyleInfo name="TableStyleMedium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46" dataDxfId="145">
  <autoFilter ref="D3:D18" xr:uid="{282954C5-616F-485C-A314-4D9D555112CE}"/>
  <tableColumns count="1">
    <tableColumn id="1" xr3:uid="{4F5516FC-A919-4D2F-9080-341CCE3046E2}" name="Accounts_Receivers_Payers" dataDxfId="144"/>
  </tableColumns>
  <tableStyleInfo name="TableStyleMedium1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43" dataDxfId="142">
  <autoFilter ref="D3:L4" xr:uid="{48C55AA4-F37D-4D99-BE2B-B1221861617E}"/>
  <tableColumns count="9">
    <tableColumn id="6" xr3:uid="{68E8881D-1F0D-41F5-8C5D-764D3CBD2FD0}" name="ID" dataDxfId="141"/>
    <tableColumn id="1" xr3:uid="{2F87ECEC-D557-47DE-89F2-D88E134F34F1}" name="افراد" dataDxfId="140"/>
    <tableColumn id="2" xr3:uid="{85475129-5B44-4EA7-938C-C7F633C408DC}" name="کد ملی" dataDxfId="139"/>
    <tableColumn id="3" xr3:uid="{AE0E4825-4DF9-4EF2-A007-8D15688BCB78}" name="شماره تماس" dataDxfId="138"/>
    <tableColumn id="4" xr3:uid="{6557281E-E601-4363-A5E8-D3F55F24CFFF}" name="آدرس ایمیل" dataDxfId="137" dataCellStyle="Hyperlink"/>
    <tableColumn id="5" xr3:uid="{7192D02E-A22E-46AF-B898-9ED00C2D1F34}" name="سایت اینترنتی" dataDxfId="136"/>
    <tableColumn id="7" xr3:uid="{31B3615E-F042-4B31-B668-D43C93A87FE5}" name="آدرس محل کار" dataDxfId="135"/>
    <tableColumn id="8" xr3:uid="{B916AA35-F910-4551-98CF-C16AFDBEFF70}" name="آدرس منزل" dataDxfId="134"/>
    <tableColumn id="9" xr3:uid="{8C252ACF-424E-4297-9478-B4372ACF1CCF}" name="توضیحات" dataDxfId="133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32" dataDxfId="131" totalsRowDxfId="130">
  <autoFilter ref="D8:R18" xr:uid="{274EC88A-4B54-49A7-9AA9-7C2621AB40BC}"/>
  <tableColumns count="15">
    <tableColumn id="1" xr3:uid="{B07A4647-B141-4519-A431-57834BEB4690}" name="ID" totalsRowLabel="Total" dataDxfId="129" totalsRowDxfId="128"/>
    <tableColumn id="2" xr3:uid="{9B0863B0-2E0D-40E3-80A5-53A7C80DB031}" name="نام حساب" dataDxfId="127" totalsRowDxfId="126"/>
    <tableColumn id="3" xr3:uid="{22E26951-650A-4DA8-83F7-7342252ADAF4}" name="شرح حساب" dataDxfId="125" totalsRowDxfId="124"/>
    <tableColumn id="4" xr3:uid="{0ACE1E7A-4205-4BD4-B95E-C67B9D28BA4E}" name="موجودی اولیه" totalsRowFunction="custom" dataDxfId="123" totalsRowDxfId="122">
      <totalsRowFormula>SUBTOTAL(109,FinancialAccountsTable[موجودی اولیه])-G14</totalsRowFormula>
    </tableColumn>
    <tableColumn id="9" xr3:uid="{9BF51EE3-668E-4C80-B6DB-2712CE69E2D3}" name="جمع پرداختی" totalsRowFunction="custom" dataDxfId="121" totalsRowDxfId="120">
      <totalsRowFormula>SUBTOTAL(109,FinancialAccountsTable[جمع پرداختی])-H14</totalsRowFormula>
    </tableColumn>
    <tableColumn id="11" xr3:uid="{8AE20E53-4327-42D3-8063-1F3B02795A7E}" name="جمع دریافتی" totalsRowFunction="custom" dataDxfId="119" totalsRowDxfId="118">
      <totalsRowFormula>SUBTOTAL(109,FinancialAccountsTable[جمع دریافتی])-I14</totalsRowFormula>
    </tableColumn>
    <tableColumn id="12" xr3:uid="{095FB686-98D1-4C04-AA7E-A329642F7292}" name="مانده" totalsRowFunction="custom" dataDxfId="117" totalsRowDxfId="116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15" totalsRowDxfId="114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13" totalsRowDxfId="112"/>
    <tableColumn id="18" xr3:uid="{CD505A3A-0F06-41B5-9C88-ACE7BBDC75B9}" name="نوع حساب" dataDxfId="111" totalsRowDxfId="110"/>
    <tableColumn id="10" xr3:uid="{AB3BD14A-860C-4744-B018-FC385AC6514C}" name="شماره حساب" dataDxfId="109" totalsRowDxfId="108"/>
    <tableColumn id="19" xr3:uid="{7E3F7BE6-EF70-4DB5-ACF8-A36DE0C80E5B}" name="شماره شبا" dataDxfId="107" totalsRowDxfId="106"/>
    <tableColumn id="14" xr3:uid="{5D0BD8D2-3C56-4B7E-AE34-770948467C25}" name="شماره کارت" dataDxfId="105" totalsRowDxfId="104"/>
    <tableColumn id="15" xr3:uid="{F0EA249A-426E-4668-B36E-75E5633920DC}" name="تاریخ انقضاء کارت" dataDxfId="103" totalsRowDxfId="102"/>
    <tableColumn id="16" xr3:uid="{CF2BE494-D0B5-4C01-8126-ED743F936578}" name="CVV2" dataDxfId="101" totalsRowDxfId="100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99" dataDxfId="98">
  <autoFilter ref="D3:D6" xr:uid="{00000000-0009-0000-0100-000002000000}"/>
  <tableColumns count="1">
    <tableColumn id="1" xr3:uid="{00000000-0010-0000-2700-000001000000}" name="نوع خرج" dataDxfId="97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96" dataDxfId="95">
  <autoFilter ref="F3:F7" xr:uid="{00000000-0009-0000-0100-000006000000}"/>
  <tableColumns count="1">
    <tableColumn id="1" xr3:uid="{00000000-0010-0000-2800-000001000000}" name="نوع تراکنش" dataDxfId="94"/>
  </tableColumns>
  <tableStyleInfo name="TableStyleMedium2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93" dataDxfId="92">
  <autoFilter ref="H3:H10" xr:uid="{00000000-0009-0000-0100-000009000000}"/>
  <tableColumns count="1">
    <tableColumn id="1" xr3:uid="{00000000-0010-0000-2900-000001000000}" name="روش تراکنش" dataDxfId="91"/>
  </tableColumns>
  <tableStyleInfo name="TableStyleMedium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90" dataDxfId="89">
  <autoFilter ref="M4:O14" xr:uid="{00000000-0009-0000-0100-00002C000000}"/>
  <tableColumns count="3">
    <tableColumn id="1" xr3:uid="{00000000-0010-0000-2A00-000001000000}" name="عنوان تعطیلات" dataDxfId="88"/>
    <tableColumn id="2" xr3:uid="{00000000-0010-0000-2A00-000002000000}" name="روز و ماه" dataDxfId="87"/>
    <tableColumn id="3" xr3:uid="{00000000-0010-0000-2A00-000003000000}" name="Date" dataDxfId="86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85" dataDxfId="84">
  <autoFilter ref="J4:K10" xr:uid="{00000000-0009-0000-0100-00002D000000}"/>
  <tableColumns count="2">
    <tableColumn id="1" xr3:uid="{00000000-0010-0000-2B00-000001000000}" name="ID" dataDxfId="83"/>
    <tableColumn id="2" xr3:uid="{00000000-0010-0000-2B00-000002000000}" name="شیوه نمایش تاریخ" dataDxfId="82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81" dataDxfId="80">
  <autoFilter ref="Q4:S224" xr:uid="{00000000-0009-0000-0100-00002E000000}"/>
  <tableColumns count="3">
    <tableColumn id="1" xr3:uid="{00000000-0010-0000-2C00-000001000000}" name="عنوان مناسبت" dataDxfId="79"/>
    <tableColumn id="2" xr3:uid="{00000000-0010-0000-2C00-000002000000}" name="روز و ماه" dataDxfId="78"/>
    <tableColumn id="3" xr3:uid="{00000000-0010-0000-2C00-000003000000}" name="Date" dataDxfId="77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76" dataDxfId="75">
  <autoFilter ref="U4:V24" xr:uid="{00000000-0009-0000-0100-00002F000000}"/>
  <tableColumns count="2">
    <tableColumn id="1" xr3:uid="{00000000-0010-0000-2D00-000001000000}" name="تعطیلات قمری" dataDxfId="74"/>
    <tableColumn id="2" xr3:uid="{00000000-0010-0000-2D00-000002000000}" name="Day and Month" dataDxfId="73"/>
  </tableColumns>
  <tableStyleInfo name="TableStyleMedium1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72" dataDxfId="71">
  <autoFilter ref="X4:Y63" xr:uid="{00000000-0009-0000-0100-000030000000}"/>
  <tableColumns count="2">
    <tableColumn id="1" xr3:uid="{00000000-0010-0000-2E00-000001000000}" name="مناسبت قمری" dataDxfId="70"/>
    <tableColumn id="2" xr3:uid="{00000000-0010-0000-2E00-000002000000}" name="Day and Month" dataDxfId="69"/>
  </tableColumns>
  <tableStyleInfo name="TableStyleMedium14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68" dataDxfId="67">
  <autoFilter ref="AA4:AB32" xr:uid="{00000000-0009-0000-0100-000031000000}"/>
  <tableColumns count="2">
    <tableColumn id="1" xr3:uid="{00000000-0010-0000-2F00-000001000000}" name="مناسبت میلادی" dataDxfId="66"/>
    <tableColumn id="2" xr3:uid="{00000000-0010-0000-2F00-000002000000}" name="Day and Month" dataDxfId="65"/>
  </tableColumns>
  <tableStyleInfo name="TableStyleMedium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64" dataDxfId="63">
  <autoFilter ref="J13:K41" xr:uid="{00000000-0009-0000-0100-000032000000}"/>
  <tableColumns count="2">
    <tableColumn id="1" xr3:uid="{00000000-0010-0000-3000-000001000000}" name="عملیات" dataDxfId="62"/>
    <tableColumn id="2" xr3:uid="{00000000-0010-0000-3000-000002000000}" name="Wage" dataDxfId="6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13" Type="http://schemas.openxmlformats.org/officeDocument/2006/relationships/table" Target="../tables/table29.xml"/><Relationship Id="rId18" Type="http://schemas.openxmlformats.org/officeDocument/2006/relationships/table" Target="../tables/table34.xml"/><Relationship Id="rId26" Type="http://schemas.openxmlformats.org/officeDocument/2006/relationships/table" Target="../tables/table42.xml"/><Relationship Id="rId3" Type="http://schemas.openxmlformats.org/officeDocument/2006/relationships/table" Target="../tables/table19.xml"/><Relationship Id="rId21" Type="http://schemas.openxmlformats.org/officeDocument/2006/relationships/table" Target="../tables/table37.xml"/><Relationship Id="rId7" Type="http://schemas.openxmlformats.org/officeDocument/2006/relationships/table" Target="../tables/table23.xml"/><Relationship Id="rId12" Type="http://schemas.openxmlformats.org/officeDocument/2006/relationships/table" Target="../tables/table28.xml"/><Relationship Id="rId17" Type="http://schemas.openxmlformats.org/officeDocument/2006/relationships/table" Target="../tables/table33.xml"/><Relationship Id="rId25" Type="http://schemas.openxmlformats.org/officeDocument/2006/relationships/table" Target="../tables/table41.xml"/><Relationship Id="rId2" Type="http://schemas.openxmlformats.org/officeDocument/2006/relationships/table" Target="../tables/table18.xml"/><Relationship Id="rId16" Type="http://schemas.openxmlformats.org/officeDocument/2006/relationships/table" Target="../tables/table32.xml"/><Relationship Id="rId20" Type="http://schemas.openxmlformats.org/officeDocument/2006/relationships/table" Target="../tables/table3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24" Type="http://schemas.openxmlformats.org/officeDocument/2006/relationships/table" Target="../tables/table40.xml"/><Relationship Id="rId5" Type="http://schemas.openxmlformats.org/officeDocument/2006/relationships/table" Target="../tables/table21.xml"/><Relationship Id="rId15" Type="http://schemas.openxmlformats.org/officeDocument/2006/relationships/table" Target="../tables/table31.xml"/><Relationship Id="rId23" Type="http://schemas.openxmlformats.org/officeDocument/2006/relationships/table" Target="../tables/table39.xml"/><Relationship Id="rId10" Type="http://schemas.openxmlformats.org/officeDocument/2006/relationships/table" Target="../tables/table26.xml"/><Relationship Id="rId19" Type="http://schemas.openxmlformats.org/officeDocument/2006/relationships/table" Target="../tables/table35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Relationship Id="rId14" Type="http://schemas.openxmlformats.org/officeDocument/2006/relationships/table" Target="../tables/table30.xml"/><Relationship Id="rId22" Type="http://schemas.openxmlformats.org/officeDocument/2006/relationships/table" Target="../tables/table3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5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2.xml"/><Relationship Id="rId3" Type="http://schemas.openxmlformats.org/officeDocument/2006/relationships/table" Target="../tables/table47.xml"/><Relationship Id="rId7" Type="http://schemas.openxmlformats.org/officeDocument/2006/relationships/table" Target="../tables/table51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0.xml"/><Relationship Id="rId11" Type="http://schemas.openxmlformats.org/officeDocument/2006/relationships/table" Target="../tables/table55.xml"/><Relationship Id="rId5" Type="http://schemas.openxmlformats.org/officeDocument/2006/relationships/table" Target="../tables/table49.xml"/><Relationship Id="rId10" Type="http://schemas.openxmlformats.org/officeDocument/2006/relationships/table" Target="../tables/table54.xml"/><Relationship Id="rId4" Type="http://schemas.openxmlformats.org/officeDocument/2006/relationships/table" Target="../tables/table48.xml"/><Relationship Id="rId9" Type="http://schemas.openxmlformats.org/officeDocument/2006/relationships/table" Target="../tables/table5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335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9" t="s">
        <v>8</v>
      </c>
    </row>
    <row r="28" spans="3:17" ht="18.75">
      <c r="C28" s="167" t="s">
        <v>98</v>
      </c>
      <c r="M28" t="e">
        <f>CL</f>
        <v>#NAME?</v>
      </c>
    </row>
    <row r="29" spans="3:17" ht="18.75">
      <c r="C29" s="160" t="s">
        <v>115</v>
      </c>
    </row>
    <row r="30" spans="3:17" ht="18.75">
      <c r="C30" s="165" t="s">
        <v>111</v>
      </c>
    </row>
    <row r="31" spans="3:17" ht="18.75">
      <c r="C31" s="163" t="s">
        <v>974</v>
      </c>
    </row>
    <row r="32" spans="3:17" ht="18.75">
      <c r="C32" s="146" t="s">
        <v>975</v>
      </c>
    </row>
    <row r="33" spans="3:3" ht="18.75">
      <c r="C33" s="164" t="s">
        <v>89</v>
      </c>
    </row>
    <row r="34" spans="3:3" ht="18.75">
      <c r="C34" s="165" t="s">
        <v>111</v>
      </c>
    </row>
    <row r="35" spans="3:3" ht="18.75">
      <c r="C35" s="166" t="s">
        <v>105</v>
      </c>
    </row>
    <row r="36" spans="3:3">
      <c r="C36" s="153"/>
    </row>
    <row r="37" spans="3:3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144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D8" sqref="D8"/>
    </sheetView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270" t="s">
        <v>144</v>
      </c>
      <c r="K3" s="270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410</v>
      </c>
      <c r="F5" s="125">
        <f ca="1">TODAY()</f>
        <v>44551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27" priority="1">
      <formula xml:space="preserve"> "" = $E8</formula>
    </cfRule>
    <cfRule type="expression" dxfId="26" priority="5">
      <formula xml:space="preserve"> "انتقال" = $E8</formula>
    </cfRule>
    <cfRule type="expression" dxfId="25" priority="6">
      <formula xml:space="preserve"> "پرداخت_هزینه" = $E8</formula>
    </cfRule>
    <cfRule type="expression" dxfId="24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337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274" t="s">
        <v>346</v>
      </c>
      <c r="E3" s="102"/>
      <c r="F3" s="272" t="s">
        <v>338</v>
      </c>
      <c r="G3" s="272"/>
      <c r="H3" s="272"/>
      <c r="I3" s="272"/>
      <c r="J3" s="272"/>
      <c r="K3" s="272"/>
      <c r="L3" s="272"/>
      <c r="M3" s="104"/>
      <c r="O3" s="102"/>
      <c r="P3" s="272" t="s">
        <v>347</v>
      </c>
      <c r="Q3" s="272"/>
      <c r="R3" s="272"/>
      <c r="S3" s="272"/>
      <c r="T3" s="272"/>
      <c r="U3" s="272"/>
      <c r="V3" s="272"/>
      <c r="W3" s="104"/>
      <c r="Y3" s="102"/>
      <c r="Z3" s="272" t="s">
        <v>350</v>
      </c>
      <c r="AA3" s="272"/>
      <c r="AB3" s="272"/>
      <c r="AC3" s="272"/>
      <c r="AD3" s="272"/>
      <c r="AE3" s="272"/>
      <c r="AF3" s="272"/>
      <c r="AG3" s="104"/>
    </row>
    <row r="4" spans="1:33" ht="24" customHeight="1" thickBot="1">
      <c r="A4" s="9" t="s">
        <v>8</v>
      </c>
      <c r="D4" s="274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>
      <c r="A5" s="35" t="s">
        <v>115</v>
      </c>
      <c r="D5" s="274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274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274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274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274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274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273" t="s">
        <v>348</v>
      </c>
      <c r="E12" s="106"/>
      <c r="F12" s="271" t="s">
        <v>349</v>
      </c>
      <c r="G12" s="271"/>
      <c r="H12" s="271"/>
      <c r="I12" s="271"/>
      <c r="J12" s="271"/>
      <c r="K12" s="271"/>
      <c r="L12" s="271"/>
      <c r="M12" s="107"/>
      <c r="O12" s="106"/>
      <c r="P12" s="271" t="s">
        <v>351</v>
      </c>
      <c r="Q12" s="271"/>
      <c r="R12" s="271"/>
      <c r="S12" s="271"/>
      <c r="T12" s="271"/>
      <c r="U12" s="271"/>
      <c r="V12" s="271"/>
      <c r="W12" s="107"/>
      <c r="Y12" s="106"/>
      <c r="Z12" s="271" t="s">
        <v>352</v>
      </c>
      <c r="AA12" s="271"/>
      <c r="AB12" s="271"/>
      <c r="AC12" s="271"/>
      <c r="AD12" s="271"/>
      <c r="AE12" s="271"/>
      <c r="AF12" s="271"/>
      <c r="AG12" s="107"/>
    </row>
    <row r="13" spans="1:33" ht="24" customHeight="1" thickBot="1">
      <c r="A13" s="15" t="s">
        <v>98</v>
      </c>
      <c r="D13" s="273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>
      <c r="A14" s="116" t="s">
        <v>99</v>
      </c>
      <c r="D14" s="273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273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273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273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273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273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278" t="s">
        <v>353</v>
      </c>
      <c r="E21" s="108"/>
      <c r="F21" s="275" t="s">
        <v>354</v>
      </c>
      <c r="G21" s="275"/>
      <c r="H21" s="275"/>
      <c r="I21" s="275"/>
      <c r="J21" s="275"/>
      <c r="K21" s="275"/>
      <c r="L21" s="275"/>
      <c r="M21" s="110"/>
      <c r="O21" s="108"/>
      <c r="P21" s="275" t="s">
        <v>355</v>
      </c>
      <c r="Q21" s="275"/>
      <c r="R21" s="275"/>
      <c r="S21" s="275"/>
      <c r="T21" s="275"/>
      <c r="U21" s="275"/>
      <c r="V21" s="275"/>
      <c r="W21" s="110"/>
      <c r="Y21" s="108"/>
      <c r="Z21" s="275" t="s">
        <v>355</v>
      </c>
      <c r="AA21" s="275"/>
      <c r="AB21" s="275"/>
      <c r="AC21" s="275"/>
      <c r="AD21" s="275"/>
      <c r="AE21" s="275"/>
      <c r="AF21" s="275"/>
      <c r="AG21" s="110"/>
    </row>
    <row r="22" spans="4:33" ht="21.75" thickBot="1">
      <c r="D22" s="278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>
      <c r="D23" s="278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278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278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278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278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278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276" t="s">
        <v>356</v>
      </c>
      <c r="E30" s="113"/>
      <c r="F30" s="277" t="s">
        <v>357</v>
      </c>
      <c r="G30" s="277"/>
      <c r="H30" s="277"/>
      <c r="I30" s="277"/>
      <c r="J30" s="277"/>
      <c r="K30" s="277"/>
      <c r="L30" s="277"/>
      <c r="M30" s="115"/>
      <c r="O30" s="113"/>
      <c r="P30" s="277" t="s">
        <v>358</v>
      </c>
      <c r="Q30" s="277"/>
      <c r="R30" s="277"/>
      <c r="S30" s="277"/>
      <c r="T30" s="277"/>
      <c r="U30" s="277"/>
      <c r="V30" s="277"/>
      <c r="W30" s="115"/>
      <c r="Y30" s="113"/>
      <c r="Z30" s="277" t="s">
        <v>359</v>
      </c>
      <c r="AA30" s="277"/>
      <c r="AB30" s="277"/>
      <c r="AC30" s="277"/>
      <c r="AD30" s="277"/>
      <c r="AE30" s="277"/>
      <c r="AF30" s="277"/>
      <c r="AG30" s="115"/>
    </row>
    <row r="31" spans="4:33" ht="21.75" thickBot="1">
      <c r="D31" s="276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>
      <c r="D32" s="276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276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276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276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276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276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2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J87"/>
  <sheetViews>
    <sheetView rightToLeft="1" zoomScaleNormal="100" workbookViewId="0">
      <selection activeCell="F6" sqref="F6"/>
    </sheetView>
  </sheetViews>
  <sheetFormatPr defaultRowHeight="15"/>
  <cols>
    <col min="1" max="1" width="29.7109375" style="187" customWidth="1"/>
    <col min="2" max="2" width="0.7109375" style="267" customWidth="1"/>
    <col min="3" max="3" width="4.5703125" style="266" customWidth="1"/>
    <col min="4" max="4" width="29.7109375" style="200" customWidth="1"/>
    <col min="5" max="5" width="36.5703125" style="200" customWidth="1"/>
    <col min="6" max="6" width="18.28515625" style="200" customWidth="1"/>
    <col min="7" max="7" width="23.5703125" style="200" customWidth="1"/>
    <col min="8" max="8" width="36.5703125" style="200" customWidth="1"/>
    <col min="9" max="10" width="18.28515625" style="200" customWidth="1"/>
    <col min="11" max="11" width="29.85546875" style="266" customWidth="1"/>
    <col min="12" max="12" width="36.7109375" style="266" customWidth="1"/>
    <col min="13" max="13" width="18.42578125" style="266" customWidth="1"/>
    <col min="14" max="14" width="23.5703125" style="266" customWidth="1"/>
    <col min="15" max="15" width="36.7109375" style="266" customWidth="1"/>
    <col min="16" max="16" width="18.42578125" style="266" customWidth="1"/>
    <col min="17" max="16384" width="9.140625" style="266"/>
  </cols>
  <sheetData>
    <row r="1" spans="1:10" ht="15.75">
      <c r="A1" s="265" t="s">
        <v>1061</v>
      </c>
      <c r="B1" s="187"/>
      <c r="D1" s="201" t="s">
        <v>999</v>
      </c>
      <c r="E1" s="294" t="s">
        <v>1062</v>
      </c>
      <c r="F1" s="293"/>
      <c r="G1" s="295"/>
      <c r="H1" s="295"/>
      <c r="I1" s="295"/>
      <c r="J1" s="295"/>
    </row>
    <row r="2" spans="1:10" ht="30">
      <c r="B2" s="187"/>
      <c r="D2" s="202" t="s">
        <v>983</v>
      </c>
      <c r="E2" s="202" t="s">
        <v>17</v>
      </c>
      <c r="F2" s="203" t="s">
        <v>2</v>
      </c>
      <c r="G2" s="202" t="s">
        <v>1009</v>
      </c>
      <c r="H2" s="202" t="s">
        <v>984</v>
      </c>
      <c r="I2" s="202" t="s">
        <v>1002</v>
      </c>
      <c r="J2" s="202" t="s">
        <v>997</v>
      </c>
    </row>
    <row r="3" spans="1:10" ht="18.75">
      <c r="A3" s="9" t="s">
        <v>8</v>
      </c>
      <c r="B3" s="187"/>
      <c r="D3" s="204" t="s">
        <v>990</v>
      </c>
      <c r="E3" s="204" t="s">
        <v>1000</v>
      </c>
      <c r="F3" s="205">
        <v>50000000</v>
      </c>
      <c r="G3" s="204" t="s">
        <v>1056</v>
      </c>
      <c r="H3" s="204"/>
      <c r="I3" s="204" t="s">
        <v>1057</v>
      </c>
      <c r="J3" s="206" t="s">
        <v>1051</v>
      </c>
    </row>
    <row r="4" spans="1:10" ht="19.5" thickBot="1">
      <c r="A4" s="197" t="s">
        <v>115</v>
      </c>
      <c r="B4" s="187"/>
      <c r="D4" s="207" t="s">
        <v>990</v>
      </c>
      <c r="E4" s="207" t="s">
        <v>1021</v>
      </c>
      <c r="F4" s="208"/>
      <c r="G4" s="207" t="s">
        <v>1056</v>
      </c>
      <c r="H4" s="207"/>
      <c r="I4" s="207"/>
      <c r="J4" s="209"/>
    </row>
    <row r="5" spans="1:10" ht="18.75">
      <c r="A5" s="10" t="s">
        <v>102</v>
      </c>
      <c r="B5" s="187"/>
      <c r="D5" s="210" t="s">
        <v>985</v>
      </c>
      <c r="E5" s="210" t="s">
        <v>1019</v>
      </c>
      <c r="F5" s="211"/>
      <c r="G5" s="212" t="s">
        <v>1011</v>
      </c>
      <c r="H5" s="210" t="s">
        <v>1020</v>
      </c>
      <c r="I5" s="213" t="s">
        <v>1059</v>
      </c>
      <c r="J5" s="214"/>
    </row>
    <row r="6" spans="1:10" ht="19.5" thickBot="1">
      <c r="A6" s="11" t="s">
        <v>103</v>
      </c>
      <c r="B6" s="187"/>
      <c r="D6" s="215" t="s">
        <v>985</v>
      </c>
      <c r="E6" s="216" t="s">
        <v>1018</v>
      </c>
      <c r="F6" s="217"/>
      <c r="G6" s="216" t="s">
        <v>1011</v>
      </c>
      <c r="H6" s="216"/>
      <c r="I6" s="216"/>
      <c r="J6" s="216"/>
    </row>
    <row r="7" spans="1:10" ht="19.5" thickBot="1">
      <c r="A7" s="33" t="s">
        <v>104</v>
      </c>
      <c r="B7" s="187"/>
      <c r="D7" s="218" t="s">
        <v>991</v>
      </c>
      <c r="E7" s="219" t="s">
        <v>1012</v>
      </c>
      <c r="F7" s="208"/>
      <c r="G7" s="207" t="s">
        <v>1056</v>
      </c>
      <c r="H7" s="218"/>
      <c r="I7" s="220"/>
      <c r="J7" s="221"/>
    </row>
    <row r="8" spans="1:10" ht="19.5" thickBot="1">
      <c r="A8" s="198" t="s">
        <v>110</v>
      </c>
      <c r="B8" s="187"/>
      <c r="D8" s="219" t="s">
        <v>992</v>
      </c>
      <c r="E8" s="219" t="s">
        <v>1013</v>
      </c>
      <c r="F8" s="222"/>
      <c r="G8" s="223" t="s">
        <v>1056</v>
      </c>
      <c r="H8" s="219"/>
      <c r="I8" s="224"/>
      <c r="J8" s="224"/>
    </row>
    <row r="9" spans="1:10" ht="18.75">
      <c r="A9" s="13" t="s">
        <v>89</v>
      </c>
      <c r="B9" s="187"/>
      <c r="D9" s="225" t="s">
        <v>994</v>
      </c>
      <c r="E9" s="225" t="s">
        <v>1014</v>
      </c>
      <c r="F9" s="226"/>
      <c r="G9" s="210" t="s">
        <v>1015</v>
      </c>
      <c r="H9" s="225"/>
      <c r="I9" s="213" t="s">
        <v>1058</v>
      </c>
      <c r="J9" s="227"/>
    </row>
    <row r="10" spans="1:10" ht="19.5" thickBot="1">
      <c r="A10" s="199" t="s">
        <v>7</v>
      </c>
      <c r="B10" s="187"/>
      <c r="D10" s="228" t="s">
        <v>994</v>
      </c>
      <c r="E10" s="228" t="s">
        <v>1033</v>
      </c>
      <c r="F10" s="205"/>
      <c r="G10" s="215" t="s">
        <v>1056</v>
      </c>
      <c r="H10" s="228"/>
      <c r="I10" s="215"/>
      <c r="J10" s="229"/>
    </row>
    <row r="11" spans="1:10" ht="19.5" thickBot="1">
      <c r="A11" s="14" t="s">
        <v>105</v>
      </c>
      <c r="B11" s="187"/>
      <c r="D11" s="230" t="s">
        <v>993</v>
      </c>
      <c r="E11" s="230" t="s">
        <v>1035</v>
      </c>
      <c r="F11" s="222"/>
      <c r="G11" s="223" t="s">
        <v>1056</v>
      </c>
      <c r="H11" s="230"/>
      <c r="I11" s="223"/>
      <c r="J11" s="231"/>
    </row>
    <row r="12" spans="1:10" ht="18.75">
      <c r="A12" s="15" t="s">
        <v>98</v>
      </c>
      <c r="B12" s="187"/>
      <c r="D12" s="225" t="s">
        <v>995</v>
      </c>
      <c r="E12" s="225" t="s">
        <v>1022</v>
      </c>
      <c r="F12" s="226"/>
      <c r="G12" s="232" t="s">
        <v>1056</v>
      </c>
      <c r="H12" s="225"/>
      <c r="I12" s="213"/>
      <c r="J12" s="227"/>
    </row>
    <row r="13" spans="1:10" ht="15.75" thickBot="1">
      <c r="B13" s="187"/>
      <c r="D13" s="228" t="s">
        <v>995</v>
      </c>
      <c r="E13" s="228" t="s">
        <v>1016</v>
      </c>
      <c r="F13" s="217"/>
      <c r="G13" s="233" t="s">
        <v>1017</v>
      </c>
      <c r="H13" s="228"/>
      <c r="I13" s="215" t="s">
        <v>1006</v>
      </c>
      <c r="J13" s="229"/>
    </row>
    <row r="14" spans="1:10" ht="30">
      <c r="A14" s="136" t="s">
        <v>1008</v>
      </c>
      <c r="D14" s="225" t="s">
        <v>1026</v>
      </c>
      <c r="E14" s="225" t="s">
        <v>1024</v>
      </c>
      <c r="F14" s="211"/>
      <c r="G14" s="232" t="s">
        <v>1056</v>
      </c>
      <c r="H14" s="225"/>
      <c r="I14" s="213"/>
      <c r="J14" s="227"/>
    </row>
    <row r="15" spans="1:10" ht="15.75" thickBot="1">
      <c r="A15" s="136" t="s">
        <v>990</v>
      </c>
      <c r="D15" s="228" t="s">
        <v>1026</v>
      </c>
      <c r="E15" s="228" t="s">
        <v>1023</v>
      </c>
      <c r="F15" s="217"/>
      <c r="G15" s="234" t="s">
        <v>1056</v>
      </c>
      <c r="H15" s="228"/>
      <c r="I15" s="215"/>
      <c r="J15" s="229"/>
    </row>
    <row r="16" spans="1:10" ht="30.75" thickBot="1">
      <c r="A16" s="136" t="s">
        <v>985</v>
      </c>
      <c r="D16" s="230" t="s">
        <v>1028</v>
      </c>
      <c r="E16" s="230" t="s">
        <v>1025</v>
      </c>
      <c r="F16" s="235"/>
      <c r="G16" s="236" t="s">
        <v>1056</v>
      </c>
      <c r="H16" s="230" t="s">
        <v>1030</v>
      </c>
      <c r="I16" s="215" t="s">
        <v>123</v>
      </c>
      <c r="J16" s="231"/>
    </row>
    <row r="17" spans="1:10" ht="15.75" thickBot="1">
      <c r="A17" s="136" t="s">
        <v>991</v>
      </c>
      <c r="D17" s="230" t="s">
        <v>1001</v>
      </c>
      <c r="E17" s="230" t="s">
        <v>1031</v>
      </c>
      <c r="F17" s="235"/>
      <c r="G17" s="237" t="s">
        <v>1056</v>
      </c>
      <c r="H17" s="230"/>
      <c r="I17" s="215"/>
      <c r="J17" s="231"/>
    </row>
    <row r="18" spans="1:10" ht="15.75" thickBot="1">
      <c r="A18" s="136" t="s">
        <v>992</v>
      </c>
      <c r="D18" s="238"/>
      <c r="E18" s="238"/>
      <c r="F18" s="239"/>
      <c r="G18" s="238"/>
      <c r="H18" s="238"/>
      <c r="I18" s="238"/>
      <c r="J18" s="238"/>
    </row>
    <row r="19" spans="1:10" ht="16.5" thickTop="1" thickBot="1">
      <c r="A19" s="136" t="s">
        <v>994</v>
      </c>
      <c r="D19" s="240" t="s">
        <v>986</v>
      </c>
      <c r="E19" s="240" t="s">
        <v>1032</v>
      </c>
      <c r="F19" s="241">
        <v>-45000000</v>
      </c>
      <c r="G19" s="240" t="s">
        <v>1037</v>
      </c>
      <c r="H19" s="240"/>
      <c r="I19" s="240" t="s">
        <v>1004</v>
      </c>
      <c r="J19" s="242"/>
    </row>
    <row r="20" spans="1:10" ht="15.75" thickBot="1">
      <c r="A20" s="136" t="s">
        <v>993</v>
      </c>
      <c r="D20" s="243" t="s">
        <v>988</v>
      </c>
      <c r="E20" s="243" t="s">
        <v>1036</v>
      </c>
      <c r="F20" s="244"/>
      <c r="G20" s="245" t="s">
        <v>1038</v>
      </c>
      <c r="H20" s="215"/>
      <c r="I20" s="215"/>
      <c r="J20" s="221"/>
    </row>
    <row r="21" spans="1:10" ht="30.75" thickBot="1">
      <c r="A21" s="136" t="s">
        <v>995</v>
      </c>
      <c r="D21" s="219" t="s">
        <v>1027</v>
      </c>
      <c r="E21" s="219" t="s">
        <v>1039</v>
      </c>
      <c r="F21" s="246"/>
      <c r="G21" s="219" t="s">
        <v>1038</v>
      </c>
      <c r="H21" s="219"/>
      <c r="I21" s="219" t="s">
        <v>123</v>
      </c>
      <c r="J21" s="247"/>
    </row>
    <row r="22" spans="1:10" ht="45.75" thickBot="1">
      <c r="A22" s="136" t="s">
        <v>1026</v>
      </c>
      <c r="D22" s="243" t="s">
        <v>1029</v>
      </c>
      <c r="E22" s="243" t="s">
        <v>1040</v>
      </c>
      <c r="F22" s="217"/>
      <c r="G22" s="219" t="s">
        <v>1038</v>
      </c>
      <c r="H22" s="215" t="s">
        <v>1041</v>
      </c>
      <c r="I22" s="215"/>
      <c r="J22" s="215"/>
    </row>
    <row r="23" spans="1:10">
      <c r="A23" s="136" t="s">
        <v>1028</v>
      </c>
      <c r="D23" s="248" t="s">
        <v>989</v>
      </c>
      <c r="E23" s="248" t="s">
        <v>1043</v>
      </c>
      <c r="F23" s="211"/>
      <c r="G23" s="218" t="s">
        <v>1044</v>
      </c>
      <c r="H23" s="213"/>
      <c r="I23" s="213" t="s">
        <v>1005</v>
      </c>
      <c r="J23" s="213"/>
    </row>
    <row r="24" spans="1:10" ht="30.75" thickBot="1">
      <c r="A24" s="268" t="s">
        <v>1001</v>
      </c>
      <c r="D24" s="243" t="s">
        <v>989</v>
      </c>
      <c r="E24" s="220" t="s">
        <v>1042</v>
      </c>
      <c r="F24" s="249"/>
      <c r="G24" s="250" t="s">
        <v>1044</v>
      </c>
      <c r="H24" s="243"/>
      <c r="I24" s="243"/>
      <c r="J24" s="221"/>
    </row>
    <row r="25" spans="1:10" ht="16.5" thickTop="1" thickBot="1">
      <c r="A25" s="136" t="s">
        <v>986</v>
      </c>
      <c r="D25" s="219" t="s">
        <v>996</v>
      </c>
      <c r="E25" s="219" t="s">
        <v>1043</v>
      </c>
      <c r="F25" s="251"/>
      <c r="G25" s="219" t="s">
        <v>1044</v>
      </c>
      <c r="H25" s="219"/>
      <c r="I25" s="219"/>
      <c r="J25" s="219"/>
    </row>
    <row r="26" spans="1:10" ht="15.75" thickBot="1">
      <c r="A26" s="136" t="s">
        <v>988</v>
      </c>
      <c r="D26" s="252" t="s">
        <v>1010</v>
      </c>
      <c r="E26" s="253" t="s">
        <v>1045</v>
      </c>
      <c r="F26" s="254"/>
      <c r="G26" s="253" t="s">
        <v>1046</v>
      </c>
      <c r="H26" s="253"/>
      <c r="I26" s="253"/>
      <c r="J26" s="255"/>
    </row>
    <row r="27" spans="1:10" ht="16.5" thickTop="1" thickBot="1">
      <c r="A27" s="136" t="s">
        <v>1027</v>
      </c>
      <c r="D27" s="256" t="s">
        <v>987</v>
      </c>
      <c r="E27" s="256" t="s">
        <v>1048</v>
      </c>
      <c r="F27" s="257"/>
      <c r="G27" s="256" t="s">
        <v>1050</v>
      </c>
      <c r="H27" s="256" t="s">
        <v>1049</v>
      </c>
      <c r="I27" s="256"/>
      <c r="J27" s="258"/>
    </row>
    <row r="28" spans="1:10" ht="15.75" thickBot="1">
      <c r="A28" s="136" t="s">
        <v>1029</v>
      </c>
      <c r="D28" s="215" t="s">
        <v>987</v>
      </c>
      <c r="E28" s="215" t="s">
        <v>1052</v>
      </c>
      <c r="F28" s="217"/>
      <c r="G28" s="215" t="s">
        <v>1050</v>
      </c>
      <c r="H28" s="215" t="s">
        <v>1053</v>
      </c>
      <c r="I28" s="215"/>
      <c r="J28" s="259"/>
    </row>
    <row r="29" spans="1:10" ht="15.75" thickBot="1">
      <c r="A29" s="136" t="s">
        <v>989</v>
      </c>
      <c r="D29" s="260" t="s">
        <v>987</v>
      </c>
      <c r="E29" s="260" t="s">
        <v>1054</v>
      </c>
      <c r="F29" s="261"/>
      <c r="G29" s="260" t="s">
        <v>1055</v>
      </c>
      <c r="H29" s="260"/>
      <c r="I29" s="260" t="s">
        <v>1007</v>
      </c>
      <c r="J29" s="260"/>
    </row>
    <row r="30" spans="1:10" ht="16.5" thickTop="1" thickBot="1">
      <c r="A30" s="136" t="s">
        <v>996</v>
      </c>
      <c r="D30" s="253" t="s">
        <v>987</v>
      </c>
      <c r="E30" s="253" t="s">
        <v>1034</v>
      </c>
      <c r="F30" s="254">
        <v>-5000000</v>
      </c>
      <c r="G30" s="253"/>
      <c r="H30" s="253" t="s">
        <v>1047</v>
      </c>
      <c r="I30" s="253"/>
      <c r="J30" s="253"/>
    </row>
    <row r="31" spans="1:10" ht="15.75" thickTop="1">
      <c r="A31" s="141" t="s">
        <v>1010</v>
      </c>
      <c r="D31" s="263"/>
      <c r="E31" s="262" t="s">
        <v>998</v>
      </c>
      <c r="F31" s="264">
        <f>SUBTOTAL(109,BudgetTable[مبلغ (ریال)])</f>
        <v>0</v>
      </c>
      <c r="G31" s="262"/>
      <c r="H31" s="262"/>
      <c r="I31" s="262"/>
      <c r="J31" s="263"/>
    </row>
    <row r="32" spans="1:10">
      <c r="A32" s="136" t="s">
        <v>987</v>
      </c>
    </row>
    <row r="34" spans="1:1">
      <c r="A34" s="136" t="s">
        <v>1003</v>
      </c>
    </row>
    <row r="35" spans="1:1">
      <c r="A35" s="136" t="s">
        <v>123</v>
      </c>
    </row>
    <row r="36" spans="1:1">
      <c r="A36" s="269" t="s">
        <v>1059</v>
      </c>
    </row>
    <row r="37" spans="1:1">
      <c r="A37" s="136" t="s">
        <v>1057</v>
      </c>
    </row>
    <row r="38" spans="1:1">
      <c r="A38" s="136" t="s">
        <v>1004</v>
      </c>
    </row>
    <row r="39" spans="1:1">
      <c r="A39" s="136" t="s">
        <v>1005</v>
      </c>
    </row>
    <row r="40" spans="1:1">
      <c r="A40" s="136" t="s">
        <v>1058</v>
      </c>
    </row>
    <row r="41" spans="1:1">
      <c r="A41" s="136" t="s">
        <v>1006</v>
      </c>
    </row>
    <row r="42" spans="1:1">
      <c r="A42" s="136" t="s">
        <v>1007</v>
      </c>
    </row>
    <row r="87" spans="1:1">
      <c r="A87" s="187" t="s">
        <v>123</v>
      </c>
    </row>
  </sheetData>
  <conditionalFormatting sqref="D3:J30">
    <cfRule type="expression" dxfId="22" priority="9">
      <formula xml:space="preserve"> "-" = $I3</formula>
    </cfRule>
    <cfRule type="expression" dxfId="21" priority="10">
      <formula xml:space="preserve"> "خریداری شد" = $I3</formula>
    </cfRule>
    <cfRule type="expression" dxfId="20" priority="11">
      <formula xml:space="preserve"> "صادر شد" = $I3</formula>
    </cfRule>
    <cfRule type="expression" dxfId="19" priority="12">
      <formula xml:space="preserve"> "پرداخت شد" = $I3</formula>
    </cfRule>
    <cfRule type="expression" dxfId="18" priority="13">
      <formula xml:space="preserve"> "به فروش رسید" = $I3</formula>
    </cfRule>
    <cfRule type="expression" dxfId="17" priority="14">
      <formula xml:space="preserve"> "باطل شد" = $I3</formula>
    </cfRule>
    <cfRule type="expression" dxfId="16" priority="15">
      <formula xml:space="preserve"> "----------" = $I3</formula>
    </cfRule>
    <cfRule type="expression" dxfId="15" priority="16">
      <formula xml:space="preserve"> "دریافت شد" = $I3</formula>
    </cfRule>
  </conditionalFormatting>
  <dataValidations disablePrompts="1" count="2">
    <dataValidation type="list" allowBlank="1" showInputMessage="1" showErrorMessage="1" sqref="I3:I30" xr:uid="{2401327C-5D6C-49CD-90E8-C2C36E90CFE1}">
      <formula1>$A$35:$A$42</formula1>
    </dataValidation>
    <dataValidation type="list" allowBlank="1" showInputMessage="1" showErrorMessage="1" sqref="D3:D30" xr:uid="{98D912E9-A278-4054-AD6F-DCB48BD2E3FE}">
      <formula1>$A$15:$A$32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J3" r:id="rId1" xr:uid="{26089A42-4AC1-4FE7-8261-4D386B07371B}"/>
  </hyperlinks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R2001"/>
  <sheetViews>
    <sheetView rightToLeft="1" tabSelected="1" zoomScaleNormal="100" workbookViewId="0"/>
  </sheetViews>
  <sheetFormatPr defaultRowHeight="15"/>
  <cols>
    <col min="1" max="1" width="29.7109375" style="187" customWidth="1"/>
    <col min="2" max="2" width="0.7109375" style="267" customWidth="1"/>
    <col min="3" max="3" width="4.5703125" style="266" customWidth="1"/>
    <col min="4" max="4" width="6.85546875" style="313" customWidth="1"/>
    <col min="5" max="5" width="18.28515625" style="314" customWidth="1"/>
    <col min="6" max="6" width="36.5703125" style="314" customWidth="1"/>
    <col min="7" max="7" width="18.28515625" style="315" customWidth="1"/>
    <col min="8" max="9" width="18.28515625" style="314" customWidth="1"/>
    <col min="10" max="10" width="18.28515625" style="296" customWidth="1"/>
    <col min="11" max="11" width="9.140625" style="316" customWidth="1"/>
    <col min="12" max="12" width="18.28515625" style="315" customWidth="1"/>
    <col min="13" max="13" width="19.140625" style="314" customWidth="1"/>
    <col min="14" max="14" width="18.28515625" style="314" customWidth="1"/>
    <col min="15" max="15" width="36.5703125" style="314" customWidth="1"/>
    <col min="16" max="16" width="4.5703125" style="297" customWidth="1"/>
    <col min="17" max="18" width="18.28515625" style="297" customWidth="1"/>
    <col min="19" max="25" width="18.28515625" style="298" customWidth="1"/>
    <col min="26" max="16384" width="9.140625" style="298"/>
  </cols>
  <sheetData>
    <row r="1" spans="1:18" ht="30">
      <c r="A1" s="265" t="s">
        <v>1060</v>
      </c>
      <c r="B1" s="187"/>
      <c r="D1" s="299" t="s">
        <v>1</v>
      </c>
      <c r="E1" s="300" t="s">
        <v>0</v>
      </c>
      <c r="F1" s="300" t="s">
        <v>1066</v>
      </c>
      <c r="G1" s="301" t="s">
        <v>2</v>
      </c>
      <c r="H1" s="300" t="s">
        <v>5</v>
      </c>
      <c r="I1" s="300" t="s">
        <v>1067</v>
      </c>
      <c r="J1" s="302" t="s">
        <v>1064</v>
      </c>
      <c r="K1" s="303" t="s">
        <v>1065</v>
      </c>
      <c r="L1" s="301" t="s">
        <v>1068</v>
      </c>
      <c r="M1" s="300" t="s">
        <v>1080</v>
      </c>
      <c r="N1" s="300" t="s">
        <v>1081</v>
      </c>
      <c r="O1" s="300" t="s">
        <v>40</v>
      </c>
      <c r="Q1" s="297">
        <f>SUM(Q2:Q2001)</f>
        <v>0</v>
      </c>
      <c r="R1" s="297">
        <f>SUM(R2:R2001)</f>
        <v>-200000</v>
      </c>
    </row>
    <row r="2" spans="1:18">
      <c r="B2" s="187"/>
      <c r="D2" s="304">
        <v>1</v>
      </c>
      <c r="E2" s="305" t="s">
        <v>1083</v>
      </c>
      <c r="F2" s="305" t="s">
        <v>1087</v>
      </c>
      <c r="G2" s="306">
        <v>6000000</v>
      </c>
      <c r="H2" s="305" t="s">
        <v>1089</v>
      </c>
      <c r="I2" s="305"/>
      <c r="J2" s="307" t="s">
        <v>1073</v>
      </c>
      <c r="K2" s="308">
        <v>0</v>
      </c>
      <c r="L2" s="318">
        <f>CommonBillTable[[#This Row],[مبلغ (ریال)]]*CommonBillTable[[#This Row],[درصد مشارکت]]</f>
        <v>0</v>
      </c>
      <c r="M2" s="305" t="s">
        <v>1059</v>
      </c>
      <c r="N2" s="305"/>
      <c r="O2" s="305"/>
      <c r="Q2" s="297">
        <f>IF($J4=$A$21,IF($M4=$A$16,$L4,0),0)</f>
        <v>0</v>
      </c>
      <c r="R2" s="297">
        <f>IF($J4=$A$22,IF($M4=$A$16,$L4,0),0)</f>
        <v>0</v>
      </c>
    </row>
    <row r="3" spans="1:18" ht="18.75">
      <c r="A3" s="9" t="s">
        <v>8</v>
      </c>
      <c r="B3" s="187"/>
      <c r="D3" s="304">
        <v>2</v>
      </c>
      <c r="E3" s="305" t="s">
        <v>1083</v>
      </c>
      <c r="F3" s="305" t="s">
        <v>1088</v>
      </c>
      <c r="G3" s="306">
        <v>6000000</v>
      </c>
      <c r="H3" s="305" t="s">
        <v>1089</v>
      </c>
      <c r="I3" s="305"/>
      <c r="J3" s="307" t="s">
        <v>1074</v>
      </c>
      <c r="K3" s="308">
        <v>0</v>
      </c>
      <c r="L3" s="318">
        <f>CommonBillTable[[#This Row],[مبلغ (ریال)]]*CommonBillTable[[#This Row],[درصد مشارکت]]</f>
        <v>0</v>
      </c>
      <c r="M3" s="305" t="s">
        <v>1059</v>
      </c>
      <c r="N3" s="305"/>
      <c r="O3" s="305"/>
      <c r="Q3" s="297">
        <f>IF($J5=$A$21,IF($M5=$A$16,$L5,0),0)</f>
        <v>0</v>
      </c>
      <c r="R3" s="297">
        <f>IF($J5=$A$22,IF($M5=$A$16,$L5,0),0)</f>
        <v>-200000</v>
      </c>
    </row>
    <row r="4" spans="1:18" ht="18.75">
      <c r="A4" s="197" t="s">
        <v>115</v>
      </c>
      <c r="B4" s="187"/>
      <c r="D4" s="304">
        <v>3</v>
      </c>
      <c r="E4" s="305" t="s">
        <v>1083</v>
      </c>
      <c r="F4" s="305" t="s">
        <v>1084</v>
      </c>
      <c r="G4" s="306">
        <v>-10000000</v>
      </c>
      <c r="H4" s="305" t="s">
        <v>1078</v>
      </c>
      <c r="I4" s="305"/>
      <c r="J4" s="307" t="s">
        <v>1073</v>
      </c>
      <c r="K4" s="308">
        <v>0.6</v>
      </c>
      <c r="L4" s="318">
        <f>CommonBillTable[[#This Row],[مبلغ (ریال)]]*CommonBillTable[[#This Row],[درصد مشارکت]]</f>
        <v>-6000000</v>
      </c>
      <c r="M4" s="305" t="s">
        <v>1082</v>
      </c>
      <c r="N4" s="305"/>
      <c r="O4" s="305"/>
      <c r="Q4" s="297">
        <f>IF($J6=$A$21,IF($M6=$A$16,$L6,0),0)</f>
        <v>0</v>
      </c>
      <c r="R4" s="297">
        <f>IF($J6=$A$22,IF($M6=$A$16,$L6,0),0)</f>
        <v>0</v>
      </c>
    </row>
    <row r="5" spans="1:18">
      <c r="A5" s="323"/>
      <c r="B5" s="187"/>
      <c r="D5" s="304">
        <v>4</v>
      </c>
      <c r="E5" s="305" t="s">
        <v>1083</v>
      </c>
      <c r="F5" s="305" t="s">
        <v>1085</v>
      </c>
      <c r="G5" s="306">
        <v>-1000000</v>
      </c>
      <c r="H5" s="305" t="s">
        <v>1077</v>
      </c>
      <c r="I5" s="305"/>
      <c r="J5" s="307" t="s">
        <v>1074</v>
      </c>
      <c r="K5" s="308">
        <v>0.2</v>
      </c>
      <c r="L5" s="318">
        <f>CommonBillTable[[#This Row],[مبلغ (ریال)]]*CommonBillTable[[#This Row],[درصد مشارکت]]</f>
        <v>-200000</v>
      </c>
      <c r="M5" s="305" t="s">
        <v>123</v>
      </c>
      <c r="N5" s="305"/>
      <c r="O5" s="305"/>
      <c r="Q5" s="297">
        <f>IF($J7=$A$21,IF($M7=$A$16,$L7,0),0)</f>
        <v>0</v>
      </c>
      <c r="R5" s="297">
        <f>IF($J7=$A$22,IF($M7=$A$16,$L7,0),0)</f>
        <v>0</v>
      </c>
    </row>
    <row r="6" spans="1:18" ht="15.75">
      <c r="A6" s="324" t="s">
        <v>1063</v>
      </c>
      <c r="B6" s="187"/>
      <c r="D6" s="304">
        <v>5</v>
      </c>
      <c r="E6" s="305" t="s">
        <v>1083</v>
      </c>
      <c r="F6" s="305" t="s">
        <v>1086</v>
      </c>
      <c r="G6" s="306">
        <v>-1000000</v>
      </c>
      <c r="H6" s="305" t="s">
        <v>1078</v>
      </c>
      <c r="I6" s="305"/>
      <c r="J6" s="307" t="s">
        <v>1073</v>
      </c>
      <c r="K6" s="308">
        <v>0.6</v>
      </c>
      <c r="L6" s="318">
        <f>CommonBillTable[[#This Row],[مبلغ (ریال)]]*CommonBillTable[[#This Row],[درصد مشارکت]]</f>
        <v>-600000</v>
      </c>
      <c r="M6" s="305" t="s">
        <v>1082</v>
      </c>
      <c r="N6" s="305"/>
      <c r="O6" s="305"/>
      <c r="Q6" s="297">
        <f>IF($J8=$A$21,IF($M8=$A$16,$L8,0),0)</f>
        <v>0</v>
      </c>
      <c r="R6" s="297">
        <f>IF($J8=$A$22,IF($M8=$A$16,$L8,0),0)</f>
        <v>0</v>
      </c>
    </row>
    <row r="7" spans="1:18" ht="16.5" thickBot="1">
      <c r="A7" s="325">
        <f>CommonBillTable[[#Totals],[مبلغ (ریال)]]</f>
        <v>0</v>
      </c>
      <c r="B7" s="187"/>
      <c r="D7" s="304" t="s">
        <v>145</v>
      </c>
      <c r="E7" s="309"/>
      <c r="F7" s="309"/>
      <c r="G7" s="306">
        <f>SUBTOTAL(109,CommonBillTable[مبلغ (ریال)])</f>
        <v>0</v>
      </c>
      <c r="H7" s="309"/>
      <c r="I7" s="309"/>
      <c r="J7" s="310"/>
      <c r="K7" s="311"/>
      <c r="L7" s="312"/>
      <c r="M7" s="309"/>
      <c r="N7" s="309"/>
      <c r="O7" s="309"/>
      <c r="Q7" s="297">
        <f>IF($J9=$A$21,IF($M9=$A$16,$L9,0),0)</f>
        <v>0</v>
      </c>
      <c r="R7" s="297">
        <f>IF($J9=$A$22,IF($M9=$A$16,$L9,0),0)</f>
        <v>0</v>
      </c>
    </row>
    <row r="8" spans="1:18" ht="16.5" thickTop="1">
      <c r="A8" s="326" t="s">
        <v>1069</v>
      </c>
      <c r="B8" s="187"/>
      <c r="Q8" s="297">
        <f>IF($J10=$A$21,IF($M10=$A$16,$L10,0),0)</f>
        <v>0</v>
      </c>
      <c r="R8" s="297">
        <f>IF($J10=$A$22,IF($M10=$A$16,$L10,0),0)</f>
        <v>0</v>
      </c>
    </row>
    <row r="9" spans="1:18" ht="16.5" thickBot="1">
      <c r="A9" s="327">
        <f>ABS($R$1)</f>
        <v>200000</v>
      </c>
      <c r="B9" s="187"/>
      <c r="Q9" s="297">
        <f>IF($J11=$A$21,IF($M11=$A$16,$L11,0),0)</f>
        <v>0</v>
      </c>
      <c r="R9" s="297">
        <f>IF($J11=$A$22,IF($M11=$A$16,$L11,0),0)</f>
        <v>0</v>
      </c>
    </row>
    <row r="10" spans="1:18" ht="16.5" thickTop="1">
      <c r="A10" s="326" t="s">
        <v>1070</v>
      </c>
      <c r="B10" s="187"/>
      <c r="Q10" s="297">
        <f>IF($J12=$A$21,IF($M12=$A$16,$L12,0),0)</f>
        <v>0</v>
      </c>
      <c r="R10" s="297">
        <f>IF($J12=$A$22,IF($M12=$A$16,$L12,0),0)</f>
        <v>0</v>
      </c>
    </row>
    <row r="11" spans="1:18" ht="15.75">
      <c r="A11" s="329">
        <f>ABS($Q$1)</f>
        <v>0</v>
      </c>
      <c r="B11" s="187"/>
      <c r="Q11" s="297">
        <f>IF($J13=$A$21,IF($M13=$A$16,$L13,0),0)</f>
        <v>0</v>
      </c>
      <c r="R11" s="297">
        <f>IF($J13=$A$22,IF($M13=$A$16,$L13,0),0)</f>
        <v>0</v>
      </c>
    </row>
    <row r="12" spans="1:18">
      <c r="B12" s="187"/>
      <c r="Q12" s="297">
        <f>IF($J14=$A$21,IF($M14=$A$16,$L14,0),0)</f>
        <v>0</v>
      </c>
      <c r="R12" s="297">
        <f>IF($J14=$A$22,IF($M14=$A$16,$L14,0),0)</f>
        <v>0</v>
      </c>
    </row>
    <row r="13" spans="1:18">
      <c r="B13" s="187"/>
      <c r="N13" s="317"/>
      <c r="Q13" s="297">
        <f>IF($J15=$A$21,IF($M15=$A$16,$L15,0),0)</f>
        <v>0</v>
      </c>
      <c r="R13" s="297">
        <f>IF($J15=$A$22,IF($M15=$A$16,$L15,0),0)</f>
        <v>0</v>
      </c>
    </row>
    <row r="14" spans="1:18">
      <c r="A14" s="328"/>
      <c r="Q14" s="297">
        <f>IF($J16=$A$21,IF($M16=$A$16,$L16,0),0)</f>
        <v>0</v>
      </c>
      <c r="R14" s="297">
        <f>IF($J16=$A$22,IF($M16=$A$16,$L16,0),0)</f>
        <v>0</v>
      </c>
    </row>
    <row r="15" spans="1:18">
      <c r="A15" s="319" t="s">
        <v>1080</v>
      </c>
      <c r="Q15" s="297">
        <f>IF($J17=$A$21,IF($M17=$A$16,$L17,0),0)</f>
        <v>0</v>
      </c>
      <c r="R15" s="297">
        <f>IF($J17=$A$22,IF($M17=$A$16,$L17,0),0)</f>
        <v>0</v>
      </c>
    </row>
    <row r="16" spans="1:18">
      <c r="A16" s="319" t="s">
        <v>123</v>
      </c>
      <c r="Q16" s="297">
        <f>IF($J18=$A$21,IF($M18=$A$16,$L18,0),0)</f>
        <v>0</v>
      </c>
      <c r="R16" s="297">
        <f>IF($J18=$A$22,IF($M18=$A$16,$L18,0),0)</f>
        <v>0</v>
      </c>
    </row>
    <row r="17" spans="1:18">
      <c r="A17" s="319" t="s">
        <v>1059</v>
      </c>
      <c r="Q17" s="297">
        <f>IF($J19=$A$21,IF($M19=$A$16,$L19,0),0)</f>
        <v>0</v>
      </c>
      <c r="R17" s="297">
        <f>IF($J19=$A$22,IF($M19=$A$16,$L19,0),0)</f>
        <v>0</v>
      </c>
    </row>
    <row r="18" spans="1:18">
      <c r="A18" s="319" t="s">
        <v>1082</v>
      </c>
      <c r="Q18" s="297">
        <f>IF($J20=$A$21,IF($M20=$A$16,$L20,0),0)</f>
        <v>0</v>
      </c>
      <c r="R18" s="297">
        <f>IF($J20=$A$22,IF($M20=$A$16,$L20,0),0)</f>
        <v>0</v>
      </c>
    </row>
    <row r="19" spans="1:18">
      <c r="A19" s="328"/>
      <c r="Q19" s="297">
        <f>IF($J21=$A$21,IF($M21=$A$16,$L21,0),0)</f>
        <v>0</v>
      </c>
      <c r="R19" s="297">
        <f>IF($J21=$A$22,IF($M21=$A$16,$L21,0),0)</f>
        <v>0</v>
      </c>
    </row>
    <row r="20" spans="1:18">
      <c r="A20" s="319" t="s">
        <v>1072</v>
      </c>
      <c r="Q20" s="297">
        <f>IF($J22=$A$21,IF($M22=$A$16,$L22,0),0)</f>
        <v>0</v>
      </c>
      <c r="R20" s="297">
        <f>IF($J22=$A$22,IF($M22=$A$16,$L22,0),0)</f>
        <v>0</v>
      </c>
    </row>
    <row r="21" spans="1:18">
      <c r="A21" s="307" t="s">
        <v>1073</v>
      </c>
      <c r="Q21" s="297">
        <f>IF($J23=$A$21,IF($M23=$A$16,$L23,0),0)</f>
        <v>0</v>
      </c>
      <c r="R21" s="297">
        <f>IF($J23=$A$22,IF($M23=$A$16,$L23,0),0)</f>
        <v>0</v>
      </c>
    </row>
    <row r="22" spans="1:18">
      <c r="A22" s="307" t="s">
        <v>1074</v>
      </c>
      <c r="Q22" s="297">
        <f>IF($J24=$A$21,IF($M24=$A$16,$L24,0),0)</f>
        <v>0</v>
      </c>
      <c r="R22" s="297">
        <f>IF($J24=$A$22,IF($M24=$A$16,$L24,0),0)</f>
        <v>0</v>
      </c>
    </row>
    <row r="23" spans="1:18">
      <c r="A23" s="328"/>
      <c r="Q23" s="297">
        <f>IF($J25=$A$21,IF($M25=$A$16,$L25,0),0)</f>
        <v>0</v>
      </c>
      <c r="R23" s="297">
        <f>IF($J25=$A$22,IF($M25=$A$16,$L25,0),0)</f>
        <v>0</v>
      </c>
    </row>
    <row r="24" spans="1:18">
      <c r="A24" s="319" t="s">
        <v>1071</v>
      </c>
      <c r="Q24" s="297">
        <f>IF($J26=$A$21,IF($M26=$A$16,$L26,0),0)</f>
        <v>0</v>
      </c>
      <c r="R24" s="297">
        <f>IF($J26=$A$22,IF($M26=$A$16,$L26,0),0)</f>
        <v>0</v>
      </c>
    </row>
    <row r="25" spans="1:18" ht="15.75" thickBot="1">
      <c r="A25" s="330" t="s">
        <v>1089</v>
      </c>
      <c r="Q25" s="297">
        <f>IF($J27=$A$21,IF($M27=$A$16,$L27,0),0)</f>
        <v>0</v>
      </c>
      <c r="R25" s="297">
        <f>IF($J27=$A$22,IF($M27=$A$16,$L27,0),0)</f>
        <v>0</v>
      </c>
    </row>
    <row r="26" spans="1:18" ht="15.75" thickTop="1">
      <c r="A26" s="307" t="s">
        <v>1075</v>
      </c>
      <c r="Q26" s="297">
        <f>IF($J28=$A$21,IF($M28=$A$16,$L28,0),0)</f>
        <v>0</v>
      </c>
      <c r="R26" s="297">
        <f>IF($J28=$A$22,IF($M28=$A$16,$L28,0),0)</f>
        <v>0</v>
      </c>
    </row>
    <row r="27" spans="1:18">
      <c r="A27" s="307" t="s">
        <v>1076</v>
      </c>
      <c r="Q27" s="297">
        <f>IF($J29=$A$21,IF($M29=$A$16,$L29,0),0)</f>
        <v>0</v>
      </c>
      <c r="R27" s="297">
        <f>IF($J29=$A$22,IF($M29=$A$16,$L29,0),0)</f>
        <v>0</v>
      </c>
    </row>
    <row r="28" spans="1:18">
      <c r="A28" s="307" t="s">
        <v>1077</v>
      </c>
      <c r="Q28" s="297">
        <f>IF($J30=$A$21,IF($M30=$A$16,$L30,0),0)</f>
        <v>0</v>
      </c>
      <c r="R28" s="297">
        <f>IF($J30=$A$22,IF($M30=$A$16,$L30,0),0)</f>
        <v>0</v>
      </c>
    </row>
    <row r="29" spans="1:18">
      <c r="A29" s="307" t="s">
        <v>1078</v>
      </c>
      <c r="Q29" s="297">
        <f>IF($J31=$A$21,IF($M31=$A$16,$L31,0),0)</f>
        <v>0</v>
      </c>
      <c r="R29" s="297">
        <f>IF($J31=$A$22,IF($M31=$A$16,$L31,0),0)</f>
        <v>0</v>
      </c>
    </row>
    <row r="30" spans="1:18">
      <c r="A30" s="307" t="s">
        <v>1079</v>
      </c>
      <c r="Q30" s="297">
        <f>IF($J32=$A$21,IF($M32=$A$16,$L32,0),0)</f>
        <v>0</v>
      </c>
      <c r="R30" s="297">
        <f>IF($J32=$A$22,IF($M32=$A$16,$L32,0),0)</f>
        <v>0</v>
      </c>
    </row>
    <row r="31" spans="1:18">
      <c r="A31" s="307" t="s">
        <v>1092</v>
      </c>
      <c r="Q31" s="297">
        <f>IF($J33=$A$21,IF($M33=$A$16,$L33,0),0)</f>
        <v>0</v>
      </c>
      <c r="R31" s="297">
        <f>IF($J33=$A$22,IF($M33=$A$16,$L33,0),0)</f>
        <v>0</v>
      </c>
    </row>
    <row r="32" spans="1:18">
      <c r="A32" s="307" t="s">
        <v>1091</v>
      </c>
      <c r="Q32" s="297">
        <f>IF($J34=$A$21,IF($M34=$A$16,$L34,0),0)</f>
        <v>0</v>
      </c>
      <c r="R32" s="297">
        <f>IF($J34=$A$22,IF($M34=$A$16,$L34,0),0)</f>
        <v>0</v>
      </c>
    </row>
    <row r="33" spans="1:18">
      <c r="A33" s="307" t="s">
        <v>1090</v>
      </c>
      <c r="Q33" s="297">
        <f>IF($J35=$A$21,IF($M35=$A$16,$L35,0),0)</f>
        <v>0</v>
      </c>
      <c r="R33" s="297">
        <f>IF($J35=$A$22,IF($M35=$A$16,$L35,0),0)</f>
        <v>0</v>
      </c>
    </row>
    <row r="34" spans="1:18">
      <c r="A34" s="322"/>
      <c r="Q34" s="297">
        <f>IF($J36=$A$21,IF($M36=$A$16,$L36,0),0)</f>
        <v>0</v>
      </c>
      <c r="R34" s="297">
        <f>IF($J36=$A$22,IF($M36=$A$16,$L36,0),0)</f>
        <v>0</v>
      </c>
    </row>
    <row r="35" spans="1:18">
      <c r="A35" s="322"/>
      <c r="Q35" s="297">
        <f>IF($J37=$A$21,IF($M37=$A$16,$L37,0),0)</f>
        <v>0</v>
      </c>
      <c r="R35" s="297">
        <f>IF($J37=$A$22,IF($M37=$A$16,$L37,0),0)</f>
        <v>0</v>
      </c>
    </row>
    <row r="36" spans="1:18">
      <c r="A36" s="321"/>
      <c r="Q36" s="297">
        <f>IF($J38=$A$21,IF($M38=$A$16,$L38,0),0)</f>
        <v>0</v>
      </c>
      <c r="R36" s="297">
        <f>IF($J38=$A$22,IF($M38=$A$16,$L38,0),0)</f>
        <v>0</v>
      </c>
    </row>
    <row r="37" spans="1:18">
      <c r="A37" s="321"/>
      <c r="Q37" s="297">
        <f>IF($J39=$A$21,IF($M39=$A$16,$L39,0),0)</f>
        <v>0</v>
      </c>
      <c r="R37" s="297">
        <f>IF($J39=$A$22,IF($M39=$A$16,$L39,0),0)</f>
        <v>0</v>
      </c>
    </row>
    <row r="38" spans="1:18">
      <c r="A38" s="321"/>
      <c r="Q38" s="297">
        <f>IF($J40=$A$21,IF($M40=$A$16,$L40,0),0)</f>
        <v>0</v>
      </c>
      <c r="R38" s="297">
        <f>IF($J40=$A$22,IF($M40=$A$16,$L40,0),0)</f>
        <v>0</v>
      </c>
    </row>
    <row r="39" spans="1:18">
      <c r="A39" s="321"/>
      <c r="Q39" s="297">
        <f>IF($J41=$A$21,IF($M41=$A$16,$L41,0),0)</f>
        <v>0</v>
      </c>
      <c r="R39" s="297">
        <f>IF($J41=$A$22,IF($M41=$A$16,$L41,0),0)</f>
        <v>0</v>
      </c>
    </row>
    <row r="40" spans="1:18">
      <c r="A40" s="321"/>
      <c r="Q40" s="297">
        <f>IF($J42=$A$21,IF($M42=$A$16,$L42,0),0)</f>
        <v>0</v>
      </c>
      <c r="R40" s="297">
        <f>IF($J42=$A$22,IF($M42=$A$16,$L42,0),0)</f>
        <v>0</v>
      </c>
    </row>
    <row r="41" spans="1:18">
      <c r="A41" s="321"/>
      <c r="Q41" s="297">
        <f>IF($J43=$A$21,IF($M43=$A$16,$L43,0),0)</f>
        <v>0</v>
      </c>
      <c r="R41" s="297">
        <f>IF($J43=$A$22,IF($M43=$A$16,$L43,0),0)</f>
        <v>0</v>
      </c>
    </row>
    <row r="42" spans="1:18">
      <c r="A42" s="321"/>
      <c r="Q42" s="297">
        <f>IF($J44=$A$21,IF($M44=$A$16,$L44,0),0)</f>
        <v>0</v>
      </c>
      <c r="R42" s="297">
        <f>IF($J44=$A$22,IF($M44=$A$16,$L44,0),0)</f>
        <v>0</v>
      </c>
    </row>
    <row r="43" spans="1:18">
      <c r="A43" s="321"/>
      <c r="Q43" s="297">
        <f>IF($J45=$A$21,IF($M45=$A$16,$L45,0),0)</f>
        <v>0</v>
      </c>
      <c r="R43" s="297">
        <f>IF($J45=$A$22,IF($M45=$A$16,$L45,0),0)</f>
        <v>0</v>
      </c>
    </row>
    <row r="44" spans="1:18">
      <c r="A44" s="321"/>
      <c r="Q44" s="297">
        <f>IF($J46=$A$21,IF($M46=$A$16,$L46,0),0)</f>
        <v>0</v>
      </c>
      <c r="R44" s="297">
        <f>IF($J46=$A$22,IF($M46=$A$16,$L46,0),0)</f>
        <v>0</v>
      </c>
    </row>
    <row r="45" spans="1:18">
      <c r="A45" s="321"/>
      <c r="Q45" s="297">
        <f>IF($J47=$A$21,IF($M47=$A$16,$L47,0),0)</f>
        <v>0</v>
      </c>
      <c r="R45" s="297">
        <f>IF($J47=$A$22,IF($M47=$A$16,$L47,0),0)</f>
        <v>0</v>
      </c>
    </row>
    <row r="46" spans="1:18">
      <c r="A46" s="321"/>
      <c r="Q46" s="297">
        <f>IF($J48=$A$21,IF($M48=$A$16,$L48,0),0)</f>
        <v>0</v>
      </c>
      <c r="R46" s="297">
        <f>IF($J48=$A$22,IF($M48=$A$16,$L48,0),0)</f>
        <v>0</v>
      </c>
    </row>
    <row r="47" spans="1:18">
      <c r="A47" s="320"/>
      <c r="Q47" s="297">
        <f>IF($J49=$A$21,IF($M49=$A$16,$L49,0),0)</f>
        <v>0</v>
      </c>
      <c r="R47" s="297">
        <f>IF($J49=$A$22,IF($M49=$A$16,$L49,0),0)</f>
        <v>0</v>
      </c>
    </row>
    <row r="48" spans="1:18">
      <c r="A48" s="320"/>
      <c r="Q48" s="297">
        <f>IF($J50=$A$21,IF($M50=$A$16,$L50,0),0)</f>
        <v>0</v>
      </c>
      <c r="R48" s="297">
        <f>IF($J50=$A$22,IF($M50=$A$16,$L50,0),0)</f>
        <v>0</v>
      </c>
    </row>
    <row r="49" spans="1:18">
      <c r="A49" s="320"/>
      <c r="Q49" s="297">
        <f>IF($J51=$A$21,IF($M51=$A$16,$L51,0),0)</f>
        <v>0</v>
      </c>
      <c r="R49" s="297">
        <f>IF($J51=$A$22,IF($M51=$A$16,$L51,0),0)</f>
        <v>0</v>
      </c>
    </row>
    <row r="50" spans="1:18">
      <c r="A50" s="320"/>
      <c r="Q50" s="297">
        <f>IF($J52=$A$21,IF($M52=$A$16,$L52,0),0)</f>
        <v>0</v>
      </c>
      <c r="R50" s="297">
        <f>IF($J52=$A$22,IF($M52=$A$16,$L52,0),0)</f>
        <v>0</v>
      </c>
    </row>
    <row r="51" spans="1:18">
      <c r="A51" s="320"/>
      <c r="Q51" s="297">
        <f>IF($J53=$A$21,IF($M53=$A$16,$L53,0),0)</f>
        <v>0</v>
      </c>
      <c r="R51" s="297">
        <f>IF($J53=$A$22,IF($M53=$A$16,$L53,0),0)</f>
        <v>0</v>
      </c>
    </row>
    <row r="52" spans="1:18">
      <c r="A52" s="320"/>
      <c r="Q52" s="297">
        <f>IF($J54=$A$21,IF($M54=$A$16,$L54,0),0)</f>
        <v>0</v>
      </c>
      <c r="R52" s="297">
        <f>IF($J54=$A$22,IF($M54=$A$16,$L54,0),0)</f>
        <v>0</v>
      </c>
    </row>
    <row r="53" spans="1:18">
      <c r="A53" s="320"/>
      <c r="Q53" s="297">
        <f>IF($J55=$A$21,IF($M55=$A$16,$L55,0),0)</f>
        <v>0</v>
      </c>
      <c r="R53" s="297">
        <f>IF($J55=$A$22,IF($M55=$A$16,$L55,0),0)</f>
        <v>0</v>
      </c>
    </row>
    <row r="54" spans="1:18">
      <c r="A54" s="320"/>
      <c r="Q54" s="297">
        <f>IF($J56=$A$21,IF($M56=$A$16,$L56,0),0)</f>
        <v>0</v>
      </c>
      <c r="R54" s="297">
        <f>IF($J56=$A$22,IF($M56=$A$16,$L56,0),0)</f>
        <v>0</v>
      </c>
    </row>
    <row r="55" spans="1:18">
      <c r="A55" s="320"/>
      <c r="Q55" s="297">
        <f>IF($J57=$A$21,IF($M57=$A$16,$L57,0),0)</f>
        <v>0</v>
      </c>
      <c r="R55" s="297">
        <f>IF($J57=$A$22,IF($M57=$A$16,$L57,0),0)</f>
        <v>0</v>
      </c>
    </row>
    <row r="56" spans="1:18">
      <c r="A56" s="320"/>
      <c r="Q56" s="297">
        <f>IF($J58=$A$21,IF($M58=$A$16,$L58,0),0)</f>
        <v>0</v>
      </c>
      <c r="R56" s="297">
        <f>IF($J58=$A$22,IF($M58=$A$16,$L58,0),0)</f>
        <v>0</v>
      </c>
    </row>
    <row r="57" spans="1:18">
      <c r="A57" s="320"/>
      <c r="Q57" s="297">
        <f>IF($J59=$A$21,IF($M59=$A$16,$L59,0),0)</f>
        <v>0</v>
      </c>
      <c r="R57" s="297">
        <f>IF($J59=$A$22,IF($M59=$A$16,$L59,0),0)</f>
        <v>0</v>
      </c>
    </row>
    <row r="58" spans="1:18">
      <c r="A58" s="320"/>
      <c r="Q58" s="297">
        <f>IF($J60=$A$21,IF($M60=$A$16,$L60,0),0)</f>
        <v>0</v>
      </c>
      <c r="R58" s="297">
        <f>IF($J60=$A$22,IF($M60=$A$16,$L60,0),0)</f>
        <v>0</v>
      </c>
    </row>
    <row r="59" spans="1:18">
      <c r="A59" s="320"/>
      <c r="Q59" s="297">
        <f>IF($J61=$A$21,IF($M61=$A$16,$L61,0),0)</f>
        <v>0</v>
      </c>
      <c r="R59" s="297">
        <f>IF($J61=$A$22,IF($M61=$A$16,$L61,0),0)</f>
        <v>0</v>
      </c>
    </row>
    <row r="60" spans="1:18">
      <c r="A60" s="320"/>
      <c r="Q60" s="297">
        <f>IF($J62=$A$21,IF($M62=$A$16,$L62,0),0)</f>
        <v>0</v>
      </c>
      <c r="R60" s="297">
        <f>IF($J62=$A$22,IF($M62=$A$16,$L62,0),0)</f>
        <v>0</v>
      </c>
    </row>
    <row r="61" spans="1:18">
      <c r="A61" s="320"/>
      <c r="Q61" s="297">
        <f>IF($J63=$A$21,IF($M63=$A$16,$L63,0),0)</f>
        <v>0</v>
      </c>
      <c r="R61" s="297">
        <f>IF($J63=$A$22,IF($M63=$A$16,$L63,0),0)</f>
        <v>0</v>
      </c>
    </row>
    <row r="62" spans="1:18">
      <c r="A62" s="320"/>
      <c r="Q62" s="297">
        <f>IF($J64=$A$21,IF($M64=$A$16,$L64,0),0)</f>
        <v>0</v>
      </c>
      <c r="R62" s="297">
        <f>IF($J64=$A$22,IF($M64=$A$16,$L64,0),0)</f>
        <v>0</v>
      </c>
    </row>
    <row r="63" spans="1:18">
      <c r="A63" s="320"/>
      <c r="Q63" s="297">
        <f>IF($J65=$A$21,IF($M65=$A$16,$L65,0),0)</f>
        <v>0</v>
      </c>
      <c r="R63" s="297">
        <f>IF($J65=$A$22,IF($M65=$A$16,$L65,0),0)</f>
        <v>0</v>
      </c>
    </row>
    <row r="64" spans="1:18">
      <c r="A64" s="320"/>
      <c r="Q64" s="297">
        <f>IF($J66=$A$21,IF($M66=$A$16,$L66,0),0)</f>
        <v>0</v>
      </c>
      <c r="R64" s="297">
        <f>IF($J66=$A$22,IF($M66=$A$16,$L66,0),0)</f>
        <v>0</v>
      </c>
    </row>
    <row r="65" spans="1:18">
      <c r="A65" s="320"/>
      <c r="Q65" s="297">
        <f>IF($J67=$A$21,IF($M67=$A$16,$L67,0),0)</f>
        <v>0</v>
      </c>
      <c r="R65" s="297">
        <f>IF($J67=$A$22,IF($M67=$A$16,$L67,0),0)</f>
        <v>0</v>
      </c>
    </row>
    <row r="66" spans="1:18">
      <c r="A66" s="320"/>
      <c r="Q66" s="297">
        <f>IF($J68=$A$21,IF($M68=$A$16,$L68,0),0)</f>
        <v>0</v>
      </c>
      <c r="R66" s="297">
        <f>IF($J68=$A$22,IF($M68=$A$16,$L68,0),0)</f>
        <v>0</v>
      </c>
    </row>
    <row r="67" spans="1:18">
      <c r="A67" s="320"/>
      <c r="Q67" s="297">
        <f>IF($J69=$A$21,IF($M69=$A$16,$L69,0),0)</f>
        <v>0</v>
      </c>
      <c r="R67" s="297">
        <f>IF($J69=$A$22,IF($M69=$A$16,$L69,0),0)</f>
        <v>0</v>
      </c>
    </row>
    <row r="68" spans="1:18">
      <c r="A68" s="320"/>
      <c r="Q68" s="297">
        <f>IF($J70=$A$21,IF($M70=$A$16,$L70,0),0)</f>
        <v>0</v>
      </c>
      <c r="R68" s="297">
        <f>IF($J70=$A$22,IF($M70=$A$16,$L70,0),0)</f>
        <v>0</v>
      </c>
    </row>
    <row r="69" spans="1:18">
      <c r="A69" s="320"/>
      <c r="Q69" s="297">
        <f>IF($J71=$A$21,IF($M71=$A$16,$L71,0),0)</f>
        <v>0</v>
      </c>
      <c r="R69" s="297">
        <f>IF($J71=$A$22,IF($M71=$A$16,$L71,0),0)</f>
        <v>0</v>
      </c>
    </row>
    <row r="70" spans="1:18">
      <c r="A70" s="320"/>
      <c r="Q70" s="297">
        <f>IF($J72=$A$21,IF($M72=$A$16,$L72,0),0)</f>
        <v>0</v>
      </c>
      <c r="R70" s="297">
        <f>IF($J72=$A$22,IF($M72=$A$16,$L72,0),0)</f>
        <v>0</v>
      </c>
    </row>
    <row r="71" spans="1:18">
      <c r="A71" s="320"/>
      <c r="Q71" s="297">
        <f>IF($J73=$A$21,IF($M73=$A$16,$L73,0),0)</f>
        <v>0</v>
      </c>
      <c r="R71" s="297">
        <f>IF($J73=$A$22,IF($M73=$A$16,$L73,0),0)</f>
        <v>0</v>
      </c>
    </row>
    <row r="72" spans="1:18">
      <c r="A72" s="320"/>
      <c r="Q72" s="297">
        <f>IF($J74=$A$21,IF($M74=$A$16,$L74,0),0)</f>
        <v>0</v>
      </c>
      <c r="R72" s="297">
        <f>IF($J74=$A$22,IF($M74=$A$16,$L74,0),0)</f>
        <v>0</v>
      </c>
    </row>
    <row r="73" spans="1:18">
      <c r="A73" s="320"/>
      <c r="Q73" s="297">
        <f>IF($J75=$A$21,IF($M75=$A$16,$L75,0),0)</f>
        <v>0</v>
      </c>
      <c r="R73" s="297">
        <f>IF($J75=$A$22,IF($M75=$A$16,$L75,0),0)</f>
        <v>0</v>
      </c>
    </row>
    <row r="74" spans="1:18">
      <c r="A74" s="320"/>
      <c r="Q74" s="297">
        <f>IF($J76=$A$21,IF($M76=$A$16,$L76,0),0)</f>
        <v>0</v>
      </c>
      <c r="R74" s="297">
        <f>IF($J76=$A$22,IF($M76=$A$16,$L76,0),0)</f>
        <v>0</v>
      </c>
    </row>
    <row r="75" spans="1:18">
      <c r="A75" s="320"/>
      <c r="Q75" s="297">
        <f>IF($J77=$A$21,IF($M77=$A$16,$L77,0),0)</f>
        <v>0</v>
      </c>
      <c r="R75" s="297">
        <f>IF($J77=$A$22,IF($M77=$A$16,$L77,0),0)</f>
        <v>0</v>
      </c>
    </row>
    <row r="76" spans="1:18">
      <c r="A76" s="320"/>
      <c r="Q76" s="297">
        <f>IF($J78=$A$21,IF($M78=$A$16,$L78,0),0)</f>
        <v>0</v>
      </c>
      <c r="R76" s="297">
        <f>IF($J78=$A$22,IF($M78=$A$16,$L78,0),0)</f>
        <v>0</v>
      </c>
    </row>
    <row r="77" spans="1:18">
      <c r="A77" s="320"/>
      <c r="Q77" s="297">
        <f>IF($J79=$A$21,IF($M79=$A$16,$L79,0),0)</f>
        <v>0</v>
      </c>
      <c r="R77" s="297">
        <f>IF($J79=$A$22,IF($M79=$A$16,$L79,0),0)</f>
        <v>0</v>
      </c>
    </row>
    <row r="78" spans="1:18">
      <c r="A78" s="320"/>
      <c r="Q78" s="297">
        <f>IF($J80=$A$21,IF($M80=$A$16,$L80,0),0)</f>
        <v>0</v>
      </c>
      <c r="R78" s="297">
        <f>IF($J80=$A$22,IF($M80=$A$16,$L80,0),0)</f>
        <v>0</v>
      </c>
    </row>
    <row r="79" spans="1:18">
      <c r="A79" s="320"/>
      <c r="Q79" s="297">
        <f>IF($J81=$A$21,IF($M81=$A$16,$L81,0),0)</f>
        <v>0</v>
      </c>
      <c r="R79" s="297">
        <f>IF($J81=$A$22,IF($M81=$A$16,$L81,0),0)</f>
        <v>0</v>
      </c>
    </row>
    <row r="80" spans="1:18">
      <c r="A80" s="320"/>
      <c r="Q80" s="297">
        <f>IF($J82=$A$21,IF($M82=$A$16,$L82,0),0)</f>
        <v>0</v>
      </c>
      <c r="R80" s="297">
        <f>IF($J82=$A$22,IF($M82=$A$16,$L82,0),0)</f>
        <v>0</v>
      </c>
    </row>
    <row r="81" spans="1:18">
      <c r="A81" s="320"/>
      <c r="Q81" s="297">
        <f>IF($J83=$A$21,IF($M83=$A$16,$L83,0),0)</f>
        <v>0</v>
      </c>
      <c r="R81" s="297">
        <f>IF($J83=$A$22,IF($M83=$A$16,$L83,0),0)</f>
        <v>0</v>
      </c>
    </row>
    <row r="82" spans="1:18">
      <c r="A82" s="320"/>
      <c r="Q82" s="297">
        <f>IF($J84=$A$21,IF($M84=$A$16,$L84,0),0)</f>
        <v>0</v>
      </c>
      <c r="R82" s="297">
        <f>IF($J84=$A$22,IF($M84=$A$16,$L84,0),0)</f>
        <v>0</v>
      </c>
    </row>
    <row r="83" spans="1:18">
      <c r="A83" s="320"/>
      <c r="Q83" s="297">
        <f>IF($J85=$A$21,IF($M85=$A$16,$L85,0),0)</f>
        <v>0</v>
      </c>
      <c r="R83" s="297">
        <f>IF($J85=$A$22,IF($M85=$A$16,$L85,0),0)</f>
        <v>0</v>
      </c>
    </row>
    <row r="84" spans="1:18">
      <c r="A84" s="320"/>
      <c r="Q84" s="297">
        <f>IF($J86=$A$21,IF($M86=$A$16,$L86,0),0)</f>
        <v>0</v>
      </c>
      <c r="R84" s="297">
        <f>IF($J86=$A$22,IF($M86=$A$16,$L86,0),0)</f>
        <v>0</v>
      </c>
    </row>
    <row r="85" spans="1:18">
      <c r="A85" s="320" t="s">
        <v>123</v>
      </c>
      <c r="Q85" s="297">
        <f>IF($J87=$A$21,IF($M87=$A$16,$L87,0),0)</f>
        <v>0</v>
      </c>
      <c r="R85" s="297">
        <f>IF($J87=$A$22,IF($M87=$A$16,$L87,0),0)</f>
        <v>0</v>
      </c>
    </row>
    <row r="86" spans="1:18">
      <c r="Q86" s="297">
        <f>IF($J88=$A$21,IF($M88=$A$16,$L88,0),0)</f>
        <v>0</v>
      </c>
      <c r="R86" s="297">
        <f>IF($J88=$A$22,IF($M88=$A$16,$L88,0),0)</f>
        <v>0</v>
      </c>
    </row>
    <row r="87" spans="1:18">
      <c r="Q87" s="297">
        <f>IF($J89=$A$21,IF($M89=$A$16,$L89,0),0)</f>
        <v>0</v>
      </c>
      <c r="R87" s="297">
        <f>IF($J89=$A$22,IF($M89=$A$16,$L89,0),0)</f>
        <v>0</v>
      </c>
    </row>
    <row r="88" spans="1:18">
      <c r="Q88" s="297">
        <f>IF($J90=$A$21,IF($M90=$A$16,$L90,0),0)</f>
        <v>0</v>
      </c>
      <c r="R88" s="297">
        <f>IF($J90=$A$22,IF($M90=$A$16,$L90,0),0)</f>
        <v>0</v>
      </c>
    </row>
    <row r="89" spans="1:18">
      <c r="Q89" s="297">
        <f>IF($J91=$A$21,IF($M91=$A$16,$L91,0),0)</f>
        <v>0</v>
      </c>
      <c r="R89" s="297">
        <f>IF($J91=$A$22,IF($M91=$A$16,$L91,0),0)</f>
        <v>0</v>
      </c>
    </row>
    <row r="90" spans="1:18">
      <c r="Q90" s="297">
        <f>IF($J92=$A$21,IF($M92=$A$16,$L92,0),0)</f>
        <v>0</v>
      </c>
      <c r="R90" s="297">
        <f>IF($J92=$A$22,IF($M92=$A$16,$L92,0),0)</f>
        <v>0</v>
      </c>
    </row>
    <row r="91" spans="1:18">
      <c r="Q91" s="297">
        <f>IF($J93=$A$21,IF($M93=$A$16,$L93,0),0)</f>
        <v>0</v>
      </c>
      <c r="R91" s="297">
        <f>IF($J93=$A$22,IF($M93=$A$16,$L93,0),0)</f>
        <v>0</v>
      </c>
    </row>
    <row r="92" spans="1:18">
      <c r="Q92" s="297">
        <f>IF($J94=$A$21,IF($M94=$A$16,$L94,0),0)</f>
        <v>0</v>
      </c>
      <c r="R92" s="297">
        <f>IF($J94=$A$22,IF($M94=$A$16,$L94,0),0)</f>
        <v>0</v>
      </c>
    </row>
    <row r="93" spans="1:18">
      <c r="Q93" s="297">
        <f>IF($J95=$A$21,IF($M95=$A$16,$L95,0),0)</f>
        <v>0</v>
      </c>
      <c r="R93" s="297">
        <f>IF($J95=$A$22,IF($M95=$A$16,$L95,0),0)</f>
        <v>0</v>
      </c>
    </row>
    <row r="94" spans="1:18">
      <c r="Q94" s="297">
        <f>IF($J96=$A$21,IF($M96=$A$16,$L96,0),0)</f>
        <v>0</v>
      </c>
      <c r="R94" s="297">
        <f>IF($J96=$A$22,IF($M96=$A$16,$L96,0),0)</f>
        <v>0</v>
      </c>
    </row>
    <row r="95" spans="1:18">
      <c r="Q95" s="297">
        <f>IF($J97=$A$21,IF($M97=$A$16,$L97,0),0)</f>
        <v>0</v>
      </c>
      <c r="R95" s="297">
        <f>IF($J97=$A$22,IF($M97=$A$16,$L97,0),0)</f>
        <v>0</v>
      </c>
    </row>
    <row r="96" spans="1:18">
      <c r="Q96" s="297">
        <f>IF($J98=$A$21,IF($M98=$A$16,$L98,0),0)</f>
        <v>0</v>
      </c>
      <c r="R96" s="297">
        <f>IF($J98=$A$22,IF($M98=$A$16,$L98,0),0)</f>
        <v>0</v>
      </c>
    </row>
    <row r="97" spans="17:18">
      <c r="Q97" s="297">
        <f>IF($J99=$A$21,IF($M99=$A$16,$L99,0),0)</f>
        <v>0</v>
      </c>
      <c r="R97" s="297">
        <f>IF($J99=$A$22,IF($M99=$A$16,$L99,0),0)</f>
        <v>0</v>
      </c>
    </row>
    <row r="98" spans="17:18">
      <c r="Q98" s="297">
        <f>IF($J100=$A$21,IF($M100=$A$16,$L100,0),0)</f>
        <v>0</v>
      </c>
      <c r="R98" s="297">
        <f>IF($J100=$A$22,IF($M100=$A$16,$L100,0),0)</f>
        <v>0</v>
      </c>
    </row>
    <row r="99" spans="17:18">
      <c r="Q99" s="297">
        <f>IF($J101=$A$21,IF($M101=$A$16,$L101,0),0)</f>
        <v>0</v>
      </c>
      <c r="R99" s="297">
        <f>IF($J101=$A$22,IF($M101=$A$16,$L101,0),0)</f>
        <v>0</v>
      </c>
    </row>
    <row r="100" spans="17:18">
      <c r="Q100" s="297">
        <f>IF($J102=$A$21,IF($M102=$A$16,$L102,0),0)</f>
        <v>0</v>
      </c>
      <c r="R100" s="297">
        <f>IF($J102=$A$22,IF($M102=$A$16,$L102,0),0)</f>
        <v>0</v>
      </c>
    </row>
    <row r="101" spans="17:18">
      <c r="Q101" s="297">
        <f>IF($J103=$A$21,IF($M103=$A$16,$L103,0),0)</f>
        <v>0</v>
      </c>
      <c r="R101" s="297">
        <f>IF($J103=$A$22,IF($M103=$A$16,$L103,0),0)</f>
        <v>0</v>
      </c>
    </row>
    <row r="102" spans="17:18">
      <c r="Q102" s="297">
        <f>IF($J104=$A$21,IF($M104=$A$16,$L104,0),0)</f>
        <v>0</v>
      </c>
      <c r="R102" s="297">
        <f>IF($J104=$A$22,IF($M104=$A$16,$L104,0),0)</f>
        <v>0</v>
      </c>
    </row>
    <row r="103" spans="17:18">
      <c r="Q103" s="297">
        <f>IF($J105=$A$21,IF($M105=$A$16,$L105,0),0)</f>
        <v>0</v>
      </c>
      <c r="R103" s="297">
        <f>IF($J105=$A$22,IF($M105=$A$16,$L105,0),0)</f>
        <v>0</v>
      </c>
    </row>
    <row r="104" spans="17:18">
      <c r="Q104" s="297">
        <f>IF($J106=$A$21,IF($M106=$A$16,$L106,0),0)</f>
        <v>0</v>
      </c>
      <c r="R104" s="297">
        <f>IF($J106=$A$22,IF($M106=$A$16,$L106,0),0)</f>
        <v>0</v>
      </c>
    </row>
    <row r="105" spans="17:18">
      <c r="Q105" s="297">
        <f>IF($J107=$A$21,IF($M107=$A$16,$L107,0),0)</f>
        <v>0</v>
      </c>
      <c r="R105" s="297">
        <f>IF($J107=$A$22,IF($M107=$A$16,$L107,0),0)</f>
        <v>0</v>
      </c>
    </row>
    <row r="106" spans="17:18">
      <c r="Q106" s="297">
        <f>IF($J108=$A$21,IF($M108=$A$16,$L108,0),0)</f>
        <v>0</v>
      </c>
      <c r="R106" s="297">
        <f>IF($J108=$A$22,IF($M108=$A$16,$L108,0),0)</f>
        <v>0</v>
      </c>
    </row>
    <row r="107" spans="17:18">
      <c r="Q107" s="297">
        <f>IF($J109=$A$21,IF($M109=$A$16,$L109,0),0)</f>
        <v>0</v>
      </c>
      <c r="R107" s="297">
        <f>IF($J109=$A$22,IF($M109=$A$16,$L109,0),0)</f>
        <v>0</v>
      </c>
    </row>
    <row r="108" spans="17:18">
      <c r="Q108" s="297">
        <f>IF($J110=$A$21,IF($M110=$A$16,$L110,0),0)</f>
        <v>0</v>
      </c>
      <c r="R108" s="297">
        <f>IF($J110=$A$22,IF($M110=$A$16,$L110,0),0)</f>
        <v>0</v>
      </c>
    </row>
    <row r="109" spans="17:18">
      <c r="Q109" s="297">
        <f>IF($J111=$A$21,IF($M111=$A$16,$L111,0),0)</f>
        <v>0</v>
      </c>
      <c r="R109" s="297">
        <f>IF($J111=$A$22,IF($M111=$A$16,$L111,0),0)</f>
        <v>0</v>
      </c>
    </row>
    <row r="110" spans="17:18">
      <c r="Q110" s="297">
        <f>IF($J112=$A$21,IF($M112=$A$16,$L112,0),0)</f>
        <v>0</v>
      </c>
      <c r="R110" s="297">
        <f>IF($J112=$A$22,IF($M112=$A$16,$L112,0),0)</f>
        <v>0</v>
      </c>
    </row>
    <row r="111" spans="17:18">
      <c r="Q111" s="297">
        <f>IF($J113=$A$21,IF($M113=$A$16,$L113,0),0)</f>
        <v>0</v>
      </c>
      <c r="R111" s="297">
        <f>IF($J113=$A$22,IF($M113=$A$16,$L113,0),0)</f>
        <v>0</v>
      </c>
    </row>
    <row r="112" spans="17:18">
      <c r="Q112" s="297">
        <f>IF($J114=$A$21,IF($M114=$A$16,$L114,0),0)</f>
        <v>0</v>
      </c>
      <c r="R112" s="297">
        <f>IF($J114=$A$22,IF($M114=$A$16,$L114,0),0)</f>
        <v>0</v>
      </c>
    </row>
    <row r="113" spans="17:18">
      <c r="Q113" s="297">
        <f>IF($J115=$A$21,IF($M115=$A$16,$L115,0),0)</f>
        <v>0</v>
      </c>
      <c r="R113" s="297">
        <f>IF($J115=$A$22,IF($M115=$A$16,$L115,0),0)</f>
        <v>0</v>
      </c>
    </row>
    <row r="114" spans="17:18">
      <c r="Q114" s="297">
        <f>IF($J116=$A$21,IF($M116=$A$16,$L116,0),0)</f>
        <v>0</v>
      </c>
      <c r="R114" s="297">
        <f>IF($J116=$A$22,IF($M116=$A$16,$L116,0),0)</f>
        <v>0</v>
      </c>
    </row>
    <row r="115" spans="17:18">
      <c r="Q115" s="297">
        <f>IF($J117=$A$21,IF($M117=$A$16,$L117,0),0)</f>
        <v>0</v>
      </c>
      <c r="R115" s="297">
        <f>IF($J117=$A$22,IF($M117=$A$16,$L117,0),0)</f>
        <v>0</v>
      </c>
    </row>
    <row r="116" spans="17:18">
      <c r="Q116" s="297">
        <f>IF($J118=$A$21,IF($M118=$A$16,$L118,0),0)</f>
        <v>0</v>
      </c>
      <c r="R116" s="297">
        <f>IF($J118=$A$22,IF($M118=$A$16,$L118,0),0)</f>
        <v>0</v>
      </c>
    </row>
    <row r="117" spans="17:18">
      <c r="Q117" s="297">
        <f>IF($J119=$A$21,IF($M119=$A$16,$L119,0),0)</f>
        <v>0</v>
      </c>
      <c r="R117" s="297">
        <f>IF($J119=$A$22,IF($M119=$A$16,$L119,0),0)</f>
        <v>0</v>
      </c>
    </row>
    <row r="118" spans="17:18">
      <c r="Q118" s="297">
        <f>IF($J120=$A$21,IF($M120=$A$16,$L120,0),0)</f>
        <v>0</v>
      </c>
      <c r="R118" s="297">
        <f>IF($J120=$A$22,IF($M120=$A$16,$L120,0),0)</f>
        <v>0</v>
      </c>
    </row>
    <row r="119" spans="17:18">
      <c r="Q119" s="297">
        <f>IF($J121=$A$21,IF($M121=$A$16,$L121,0),0)</f>
        <v>0</v>
      </c>
      <c r="R119" s="297">
        <f>IF($J121=$A$22,IF($M121=$A$16,$L121,0),0)</f>
        <v>0</v>
      </c>
    </row>
    <row r="120" spans="17:18">
      <c r="Q120" s="297">
        <f>IF($J122=$A$21,IF($M122=$A$16,$L122,0),0)</f>
        <v>0</v>
      </c>
      <c r="R120" s="297">
        <f>IF($J122=$A$22,IF($M122=$A$16,$L122,0),0)</f>
        <v>0</v>
      </c>
    </row>
    <row r="121" spans="17:18">
      <c r="Q121" s="297">
        <f>IF($J123=$A$21,IF($M123=$A$16,$L123,0),0)</f>
        <v>0</v>
      </c>
      <c r="R121" s="297">
        <f>IF($J123=$A$22,IF($M123=$A$16,$L123,0),0)</f>
        <v>0</v>
      </c>
    </row>
    <row r="122" spans="17:18">
      <c r="Q122" s="297">
        <f>IF($J124=$A$21,IF($M124=$A$16,$L124,0),0)</f>
        <v>0</v>
      </c>
      <c r="R122" s="297">
        <f>IF($J124=$A$22,IF($M124=$A$16,$L124,0),0)</f>
        <v>0</v>
      </c>
    </row>
    <row r="123" spans="17:18">
      <c r="Q123" s="297">
        <f>IF($J125=$A$21,IF($M125=$A$16,$L125,0),0)</f>
        <v>0</v>
      </c>
      <c r="R123" s="297">
        <f>IF($J125=$A$22,IF($M125=$A$16,$L125,0),0)</f>
        <v>0</v>
      </c>
    </row>
    <row r="124" spans="17:18">
      <c r="Q124" s="297">
        <f>IF($J126=$A$21,IF($M126=$A$16,$L126,0),0)</f>
        <v>0</v>
      </c>
      <c r="R124" s="297">
        <f>IF($J126=$A$22,IF($M126=$A$16,$L126,0),0)</f>
        <v>0</v>
      </c>
    </row>
    <row r="125" spans="17:18">
      <c r="Q125" s="297">
        <f>IF($J127=$A$21,IF($M127=$A$16,$L127,0),0)</f>
        <v>0</v>
      </c>
      <c r="R125" s="297">
        <f>IF($J127=$A$22,IF($M127=$A$16,$L127,0),0)</f>
        <v>0</v>
      </c>
    </row>
    <row r="126" spans="17:18">
      <c r="Q126" s="297">
        <f>IF($J128=$A$21,IF($M128=$A$16,$L128,0),0)</f>
        <v>0</v>
      </c>
      <c r="R126" s="297">
        <f>IF($J128=$A$22,IF($M128=$A$16,$L128,0),0)</f>
        <v>0</v>
      </c>
    </row>
    <row r="127" spans="17:18">
      <c r="Q127" s="297">
        <f>IF($J129=$A$21,IF($M129=$A$16,$L129,0),0)</f>
        <v>0</v>
      </c>
      <c r="R127" s="297">
        <f>IF($J129=$A$22,IF($M129=$A$16,$L129,0),0)</f>
        <v>0</v>
      </c>
    </row>
    <row r="128" spans="17:18">
      <c r="Q128" s="297">
        <f>IF($J130=$A$21,IF($M130=$A$16,$L130,0),0)</f>
        <v>0</v>
      </c>
      <c r="R128" s="297">
        <f>IF($J130=$A$22,IF($M130=$A$16,$L130,0),0)</f>
        <v>0</v>
      </c>
    </row>
    <row r="129" spans="17:18">
      <c r="Q129" s="297">
        <f>IF($J131=$A$21,IF($M131=$A$16,$L131,0),0)</f>
        <v>0</v>
      </c>
      <c r="R129" s="297">
        <f>IF($J131=$A$22,IF($M131=$A$16,$L131,0),0)</f>
        <v>0</v>
      </c>
    </row>
    <row r="130" spans="17:18">
      <c r="Q130" s="297">
        <f>IF($J132=$A$21,IF($M132=$A$16,$L132,0),0)</f>
        <v>0</v>
      </c>
      <c r="R130" s="297">
        <f>IF($J132=$A$22,IF($M132=$A$16,$L132,0),0)</f>
        <v>0</v>
      </c>
    </row>
    <row r="131" spans="17:18">
      <c r="Q131" s="297">
        <f>IF($J133=$A$21,IF($M133=$A$16,$L133,0),0)</f>
        <v>0</v>
      </c>
      <c r="R131" s="297">
        <f>IF($J133=$A$22,IF($M133=$A$16,$L133,0),0)</f>
        <v>0</v>
      </c>
    </row>
    <row r="132" spans="17:18">
      <c r="Q132" s="297">
        <f>IF($J134=$A$21,IF($M134=$A$16,$L134,0),0)</f>
        <v>0</v>
      </c>
      <c r="R132" s="297">
        <f>IF($J134=$A$22,IF($M134=$A$16,$L134,0),0)</f>
        <v>0</v>
      </c>
    </row>
    <row r="133" spans="17:18">
      <c r="Q133" s="297">
        <f>IF($J135=$A$21,IF($M135=$A$16,$L135,0),0)</f>
        <v>0</v>
      </c>
      <c r="R133" s="297">
        <f>IF($J135=$A$22,IF($M135=$A$16,$L135,0),0)</f>
        <v>0</v>
      </c>
    </row>
    <row r="134" spans="17:18">
      <c r="Q134" s="297">
        <f>IF($J136=$A$21,IF($M136=$A$16,$L136,0),0)</f>
        <v>0</v>
      </c>
      <c r="R134" s="297">
        <f>IF($J136=$A$22,IF($M136=$A$16,$L136,0),0)</f>
        <v>0</v>
      </c>
    </row>
    <row r="135" spans="17:18">
      <c r="Q135" s="297">
        <f>IF($J137=$A$21,IF($M137=$A$16,$L137,0),0)</f>
        <v>0</v>
      </c>
      <c r="R135" s="297">
        <f>IF($J137=$A$22,IF($M137=$A$16,$L137,0),0)</f>
        <v>0</v>
      </c>
    </row>
    <row r="136" spans="17:18">
      <c r="Q136" s="297">
        <f>IF($J138=$A$21,IF($M138=$A$16,$L138,0),0)</f>
        <v>0</v>
      </c>
      <c r="R136" s="297">
        <f>IF($J138=$A$22,IF($M138=$A$16,$L138,0),0)</f>
        <v>0</v>
      </c>
    </row>
    <row r="137" spans="17:18">
      <c r="Q137" s="297">
        <f>IF($J139=$A$21,IF($M139=$A$16,$L139,0),0)</f>
        <v>0</v>
      </c>
      <c r="R137" s="297">
        <f>IF($J139=$A$22,IF($M139=$A$16,$L139,0),0)</f>
        <v>0</v>
      </c>
    </row>
    <row r="138" spans="17:18">
      <c r="Q138" s="297">
        <f>IF($J140=$A$21,IF($M140=$A$16,$L140,0),0)</f>
        <v>0</v>
      </c>
      <c r="R138" s="297">
        <f>IF($J140=$A$22,IF($M140=$A$16,$L140,0),0)</f>
        <v>0</v>
      </c>
    </row>
    <row r="139" spans="17:18">
      <c r="Q139" s="297">
        <f>IF($J141=$A$21,IF($M141=$A$16,$L141,0),0)</f>
        <v>0</v>
      </c>
      <c r="R139" s="297">
        <f>IF($J141=$A$22,IF($M141=$A$16,$L141,0),0)</f>
        <v>0</v>
      </c>
    </row>
    <row r="140" spans="17:18">
      <c r="Q140" s="297">
        <f>IF($J142=$A$21,IF($M142=$A$16,$L142,0),0)</f>
        <v>0</v>
      </c>
      <c r="R140" s="297">
        <f>IF($J142=$A$22,IF($M142=$A$16,$L142,0),0)</f>
        <v>0</v>
      </c>
    </row>
    <row r="141" spans="17:18">
      <c r="Q141" s="297">
        <f>IF($J143=$A$21,IF($M143=$A$16,$L143,0),0)</f>
        <v>0</v>
      </c>
      <c r="R141" s="297">
        <f>IF($J143=$A$22,IF($M143=$A$16,$L143,0),0)</f>
        <v>0</v>
      </c>
    </row>
    <row r="142" spans="17:18">
      <c r="Q142" s="297">
        <f>IF($J144=$A$21,IF($M144=$A$16,$L144,0),0)</f>
        <v>0</v>
      </c>
      <c r="R142" s="297">
        <f>IF($J144=$A$22,IF($M144=$A$16,$L144,0),0)</f>
        <v>0</v>
      </c>
    </row>
    <row r="143" spans="17:18">
      <c r="Q143" s="297">
        <f>IF($J145=$A$21,IF($M145=$A$16,$L145,0),0)</f>
        <v>0</v>
      </c>
      <c r="R143" s="297">
        <f>IF($J145=$A$22,IF($M145=$A$16,$L145,0),0)</f>
        <v>0</v>
      </c>
    </row>
    <row r="144" spans="17:18">
      <c r="Q144" s="297">
        <f>IF($J146=$A$21,IF($M146=$A$16,$L146,0),0)</f>
        <v>0</v>
      </c>
      <c r="R144" s="297">
        <f>IF($J146=$A$22,IF($M146=$A$16,$L146,0),0)</f>
        <v>0</v>
      </c>
    </row>
    <row r="145" spans="17:18">
      <c r="Q145" s="297">
        <f>IF($J147=$A$21,IF($M147=$A$16,$L147,0),0)</f>
        <v>0</v>
      </c>
      <c r="R145" s="297">
        <f>IF($J147=$A$22,IF($M147=$A$16,$L147,0),0)</f>
        <v>0</v>
      </c>
    </row>
    <row r="146" spans="17:18">
      <c r="Q146" s="297">
        <f>IF($J148=$A$21,IF($M148=$A$16,$L148,0),0)</f>
        <v>0</v>
      </c>
      <c r="R146" s="297">
        <f>IF($J148=$A$22,IF($M148=$A$16,$L148,0),0)</f>
        <v>0</v>
      </c>
    </row>
    <row r="147" spans="17:18">
      <c r="Q147" s="297">
        <f>IF($J149=$A$21,IF($M149=$A$16,$L149,0),0)</f>
        <v>0</v>
      </c>
      <c r="R147" s="297">
        <f>IF($J149=$A$22,IF($M149=$A$16,$L149,0),0)</f>
        <v>0</v>
      </c>
    </row>
    <row r="148" spans="17:18">
      <c r="Q148" s="297">
        <f>IF($J150=$A$21,IF($M150=$A$16,$L150,0),0)</f>
        <v>0</v>
      </c>
      <c r="R148" s="297">
        <f>IF($J150=$A$22,IF($M150=$A$16,$L150,0),0)</f>
        <v>0</v>
      </c>
    </row>
    <row r="149" spans="17:18">
      <c r="Q149" s="297">
        <f>IF($J151=$A$21,IF($M151=$A$16,$L151,0),0)</f>
        <v>0</v>
      </c>
      <c r="R149" s="297">
        <f>IF($J151=$A$22,IF($M151=$A$16,$L151,0),0)</f>
        <v>0</v>
      </c>
    </row>
    <row r="150" spans="17:18">
      <c r="Q150" s="297">
        <f>IF($J152=$A$21,IF($M152=$A$16,$L152,0),0)</f>
        <v>0</v>
      </c>
      <c r="R150" s="297">
        <f>IF($J152=$A$22,IF($M152=$A$16,$L152,0),0)</f>
        <v>0</v>
      </c>
    </row>
    <row r="151" spans="17:18">
      <c r="Q151" s="297">
        <f>IF($J153=$A$21,IF($M153=$A$16,$L153,0),0)</f>
        <v>0</v>
      </c>
      <c r="R151" s="297">
        <f>IF($J153=$A$22,IF($M153=$A$16,$L153,0),0)</f>
        <v>0</v>
      </c>
    </row>
    <row r="152" spans="17:18">
      <c r="Q152" s="297">
        <f>IF($J154=$A$21,IF($M154=$A$16,$L154,0),0)</f>
        <v>0</v>
      </c>
      <c r="R152" s="297">
        <f>IF($J154=$A$22,IF($M154=$A$16,$L154,0),0)</f>
        <v>0</v>
      </c>
    </row>
    <row r="153" spans="17:18">
      <c r="Q153" s="297">
        <f>IF($J155=$A$21,IF($M155=$A$16,$L155,0),0)</f>
        <v>0</v>
      </c>
      <c r="R153" s="297">
        <f>IF($J155=$A$22,IF($M155=$A$16,$L155,0),0)</f>
        <v>0</v>
      </c>
    </row>
    <row r="154" spans="17:18">
      <c r="Q154" s="297">
        <f>IF($J156=$A$21,IF($M156=$A$16,$L156,0),0)</f>
        <v>0</v>
      </c>
      <c r="R154" s="297">
        <f>IF($J156=$A$22,IF($M156=$A$16,$L156,0),0)</f>
        <v>0</v>
      </c>
    </row>
    <row r="155" spans="17:18">
      <c r="Q155" s="297">
        <f>IF($J157=$A$21,IF($M157=$A$16,$L157,0),0)</f>
        <v>0</v>
      </c>
      <c r="R155" s="297">
        <f>IF($J157=$A$22,IF($M157=$A$16,$L157,0),0)</f>
        <v>0</v>
      </c>
    </row>
    <row r="156" spans="17:18">
      <c r="Q156" s="297">
        <f>IF($J158=$A$21,IF($M158=$A$16,$L158,0),0)</f>
        <v>0</v>
      </c>
      <c r="R156" s="297">
        <f>IF($J158=$A$22,IF($M158=$A$16,$L158,0),0)</f>
        <v>0</v>
      </c>
    </row>
    <row r="157" spans="17:18">
      <c r="Q157" s="297">
        <f>IF($J159=$A$21,IF($M159=$A$16,$L159,0),0)</f>
        <v>0</v>
      </c>
      <c r="R157" s="297">
        <f>IF($J159=$A$22,IF($M159=$A$16,$L159,0),0)</f>
        <v>0</v>
      </c>
    </row>
    <row r="158" spans="17:18">
      <c r="Q158" s="297">
        <f>IF($J160=$A$21,IF($M160=$A$16,$L160,0),0)</f>
        <v>0</v>
      </c>
      <c r="R158" s="297">
        <f>IF($J160=$A$22,IF($M160=$A$16,$L160,0),0)</f>
        <v>0</v>
      </c>
    </row>
    <row r="159" spans="17:18">
      <c r="Q159" s="297">
        <f>IF($J161=$A$21,IF($M161=$A$16,$L161,0),0)</f>
        <v>0</v>
      </c>
      <c r="R159" s="297">
        <f>IF($J161=$A$22,IF($M161=$A$16,$L161,0),0)</f>
        <v>0</v>
      </c>
    </row>
    <row r="160" spans="17:18">
      <c r="Q160" s="297">
        <f>IF($J162=$A$21,IF($M162=$A$16,$L162,0),0)</f>
        <v>0</v>
      </c>
      <c r="R160" s="297">
        <f>IF($J162=$A$22,IF($M162=$A$16,$L162,0),0)</f>
        <v>0</v>
      </c>
    </row>
    <row r="161" spans="17:18">
      <c r="Q161" s="297">
        <f>IF($J163=$A$21,IF($M163=$A$16,$L163,0),0)</f>
        <v>0</v>
      </c>
      <c r="R161" s="297">
        <f>IF($J163=$A$22,IF($M163=$A$16,$L163,0),0)</f>
        <v>0</v>
      </c>
    </row>
    <row r="162" spans="17:18">
      <c r="Q162" s="297">
        <f>IF($J164=$A$21,IF($M164=$A$16,$L164,0),0)</f>
        <v>0</v>
      </c>
      <c r="R162" s="297">
        <f>IF($J164=$A$22,IF($M164=$A$16,$L164,0),0)</f>
        <v>0</v>
      </c>
    </row>
    <row r="163" spans="17:18">
      <c r="Q163" s="297">
        <f>IF($J165=$A$21,IF($M165=$A$16,$L165,0),0)</f>
        <v>0</v>
      </c>
      <c r="R163" s="297">
        <f>IF($J165=$A$22,IF($M165=$A$16,$L165,0),0)</f>
        <v>0</v>
      </c>
    </row>
    <row r="164" spans="17:18">
      <c r="Q164" s="297">
        <f>IF($J166=$A$21,IF($M166=$A$16,$L166,0),0)</f>
        <v>0</v>
      </c>
      <c r="R164" s="297">
        <f>IF($J166=$A$22,IF($M166=$A$16,$L166,0),0)</f>
        <v>0</v>
      </c>
    </row>
    <row r="165" spans="17:18">
      <c r="Q165" s="297">
        <f>IF($J167=$A$21,IF($M167=$A$16,$L167,0),0)</f>
        <v>0</v>
      </c>
      <c r="R165" s="297">
        <f>IF($J167=$A$22,IF($M167=$A$16,$L167,0),0)</f>
        <v>0</v>
      </c>
    </row>
    <row r="166" spans="17:18">
      <c r="Q166" s="297">
        <f>IF($J168=$A$21,IF($M168=$A$16,$L168,0),0)</f>
        <v>0</v>
      </c>
      <c r="R166" s="297">
        <f>IF($J168=$A$22,IF($M168=$A$16,$L168,0),0)</f>
        <v>0</v>
      </c>
    </row>
    <row r="167" spans="17:18">
      <c r="Q167" s="297">
        <f>IF($J169=$A$21,IF($M169=$A$16,$L169,0),0)</f>
        <v>0</v>
      </c>
      <c r="R167" s="297">
        <f>IF($J169=$A$22,IF($M169=$A$16,$L169,0),0)</f>
        <v>0</v>
      </c>
    </row>
    <row r="168" spans="17:18">
      <c r="Q168" s="297">
        <f>IF($J170=$A$21,IF($M170=$A$16,$L170,0),0)</f>
        <v>0</v>
      </c>
      <c r="R168" s="297">
        <f>IF($J170=$A$22,IF($M170=$A$16,$L170,0),0)</f>
        <v>0</v>
      </c>
    </row>
    <row r="169" spans="17:18">
      <c r="Q169" s="297">
        <f>IF($J171=$A$21,IF($M171=$A$16,$L171,0),0)</f>
        <v>0</v>
      </c>
      <c r="R169" s="297">
        <f>IF($J171=$A$22,IF($M171=$A$16,$L171,0),0)</f>
        <v>0</v>
      </c>
    </row>
    <row r="170" spans="17:18">
      <c r="Q170" s="297">
        <f>IF($J172=$A$21,IF($M172=$A$16,$L172,0),0)</f>
        <v>0</v>
      </c>
      <c r="R170" s="297">
        <f>IF($J172=$A$22,IF($M172=$A$16,$L172,0),0)</f>
        <v>0</v>
      </c>
    </row>
    <row r="171" spans="17:18">
      <c r="Q171" s="297">
        <f>IF($J173=$A$21,IF($M173=$A$16,$L173,0),0)</f>
        <v>0</v>
      </c>
      <c r="R171" s="297">
        <f>IF($J173=$A$22,IF($M173=$A$16,$L173,0),0)</f>
        <v>0</v>
      </c>
    </row>
    <row r="172" spans="17:18">
      <c r="Q172" s="297">
        <f>IF($J174=$A$21,IF($M174=$A$16,$L174,0),0)</f>
        <v>0</v>
      </c>
      <c r="R172" s="297">
        <f>IF($J174=$A$22,IF($M174=$A$16,$L174,0),0)</f>
        <v>0</v>
      </c>
    </row>
    <row r="173" spans="17:18">
      <c r="Q173" s="297">
        <f>IF($J175=$A$21,IF($M175=$A$16,$L175,0),0)</f>
        <v>0</v>
      </c>
      <c r="R173" s="297">
        <f>IF($J175=$A$22,IF($M175=$A$16,$L175,0),0)</f>
        <v>0</v>
      </c>
    </row>
    <row r="174" spans="17:18">
      <c r="Q174" s="297">
        <f>IF($J176=$A$21,IF($M176=$A$16,$L176,0),0)</f>
        <v>0</v>
      </c>
      <c r="R174" s="297">
        <f>IF($J176=$A$22,IF($M176=$A$16,$L176,0),0)</f>
        <v>0</v>
      </c>
    </row>
    <row r="175" spans="17:18">
      <c r="Q175" s="297">
        <f>IF($J177=$A$21,IF($M177=$A$16,$L177,0),0)</f>
        <v>0</v>
      </c>
      <c r="R175" s="297">
        <f>IF($J177=$A$22,IF($M177=$A$16,$L177,0),0)</f>
        <v>0</v>
      </c>
    </row>
    <row r="176" spans="17:18">
      <c r="Q176" s="297">
        <f>IF($J178=$A$21,IF($M178=$A$16,$L178,0),0)</f>
        <v>0</v>
      </c>
      <c r="R176" s="297">
        <f>IF($J178=$A$22,IF($M178=$A$16,$L178,0),0)</f>
        <v>0</v>
      </c>
    </row>
    <row r="177" spans="17:18">
      <c r="Q177" s="297">
        <f>IF($J179=$A$21,IF($M179=$A$16,$L179,0),0)</f>
        <v>0</v>
      </c>
      <c r="R177" s="297">
        <f>IF($J179=$A$22,IF($M179=$A$16,$L179,0),0)</f>
        <v>0</v>
      </c>
    </row>
    <row r="178" spans="17:18">
      <c r="Q178" s="297">
        <f>IF($J180=$A$21,IF($M180=$A$16,$L180,0),0)</f>
        <v>0</v>
      </c>
      <c r="R178" s="297">
        <f>IF($J180=$A$22,IF($M180=$A$16,$L180,0),0)</f>
        <v>0</v>
      </c>
    </row>
    <row r="179" spans="17:18">
      <c r="Q179" s="297">
        <f>IF($J181=$A$21,IF($M181=$A$16,$L181,0),0)</f>
        <v>0</v>
      </c>
      <c r="R179" s="297">
        <f>IF($J181=$A$22,IF($M181=$A$16,$L181,0),0)</f>
        <v>0</v>
      </c>
    </row>
    <row r="180" spans="17:18">
      <c r="Q180" s="297">
        <f>IF($J182=$A$21,IF($M182=$A$16,$L182,0),0)</f>
        <v>0</v>
      </c>
      <c r="R180" s="297">
        <f>IF($J182=$A$22,IF($M182=$A$16,$L182,0),0)</f>
        <v>0</v>
      </c>
    </row>
    <row r="181" spans="17:18">
      <c r="Q181" s="297">
        <f>IF($J183=$A$21,IF($M183=$A$16,$L183,0),0)</f>
        <v>0</v>
      </c>
      <c r="R181" s="297">
        <f>IF($J183=$A$22,IF($M183=$A$16,$L183,0),0)</f>
        <v>0</v>
      </c>
    </row>
    <row r="182" spans="17:18">
      <c r="Q182" s="297">
        <f>IF($J184=$A$21,IF($M184=$A$16,$L184,0),0)</f>
        <v>0</v>
      </c>
      <c r="R182" s="297">
        <f>IF($J184=$A$22,IF($M184=$A$16,$L184,0),0)</f>
        <v>0</v>
      </c>
    </row>
    <row r="183" spans="17:18">
      <c r="Q183" s="297">
        <f>IF($J185=$A$21,IF($M185=$A$16,$L185,0),0)</f>
        <v>0</v>
      </c>
      <c r="R183" s="297">
        <f>IF($J185=$A$22,IF($M185=$A$16,$L185,0),0)</f>
        <v>0</v>
      </c>
    </row>
    <row r="184" spans="17:18">
      <c r="Q184" s="297">
        <f>IF($J186=$A$21,IF($M186=$A$16,$L186,0),0)</f>
        <v>0</v>
      </c>
      <c r="R184" s="297">
        <f>IF($J186=$A$22,IF($M186=$A$16,$L186,0),0)</f>
        <v>0</v>
      </c>
    </row>
    <row r="185" spans="17:18">
      <c r="Q185" s="297">
        <f>IF($J187=$A$21,IF($M187=$A$16,$L187,0),0)</f>
        <v>0</v>
      </c>
      <c r="R185" s="297">
        <f>IF($J187=$A$22,IF($M187=$A$16,$L187,0),0)</f>
        <v>0</v>
      </c>
    </row>
    <row r="186" spans="17:18">
      <c r="Q186" s="297">
        <f>IF($J188=$A$21,IF($M188=$A$16,$L188,0),0)</f>
        <v>0</v>
      </c>
      <c r="R186" s="297">
        <f>IF($J188=$A$22,IF($M188=$A$16,$L188,0),0)</f>
        <v>0</v>
      </c>
    </row>
    <row r="187" spans="17:18">
      <c r="Q187" s="297">
        <f>IF($J189=$A$21,IF($M189=$A$16,$L189,0),0)</f>
        <v>0</v>
      </c>
      <c r="R187" s="297">
        <f>IF($J189=$A$22,IF($M189=$A$16,$L189,0),0)</f>
        <v>0</v>
      </c>
    </row>
    <row r="188" spans="17:18">
      <c r="Q188" s="297">
        <f>IF($J190=$A$21,IF($M190=$A$16,$L190,0),0)</f>
        <v>0</v>
      </c>
      <c r="R188" s="297">
        <f>IF($J190=$A$22,IF($M190=$A$16,$L190,0),0)</f>
        <v>0</v>
      </c>
    </row>
    <row r="189" spans="17:18">
      <c r="Q189" s="297">
        <f>IF($J191=$A$21,IF($M191=$A$16,$L191,0),0)</f>
        <v>0</v>
      </c>
      <c r="R189" s="297">
        <f>IF($J191=$A$22,IF($M191=$A$16,$L191,0),0)</f>
        <v>0</v>
      </c>
    </row>
    <row r="190" spans="17:18">
      <c r="Q190" s="297">
        <f>IF($J192=$A$21,IF($M192=$A$16,$L192,0),0)</f>
        <v>0</v>
      </c>
      <c r="R190" s="297">
        <f>IF($J192=$A$22,IF($M192=$A$16,$L192,0),0)</f>
        <v>0</v>
      </c>
    </row>
    <row r="191" spans="17:18">
      <c r="Q191" s="297">
        <f>IF($J193=$A$21,IF($M193=$A$16,$L193,0),0)</f>
        <v>0</v>
      </c>
      <c r="R191" s="297">
        <f>IF($J193=$A$22,IF($M193=$A$16,$L193,0),0)</f>
        <v>0</v>
      </c>
    </row>
    <row r="192" spans="17:18">
      <c r="Q192" s="297">
        <f>IF($J194=$A$21,IF($M194=$A$16,$L194,0),0)</f>
        <v>0</v>
      </c>
      <c r="R192" s="297">
        <f>IF($J194=$A$22,IF($M194=$A$16,$L194,0),0)</f>
        <v>0</v>
      </c>
    </row>
    <row r="193" spans="17:18">
      <c r="Q193" s="297">
        <f>IF($J195=$A$21,IF($M195=$A$16,$L195,0),0)</f>
        <v>0</v>
      </c>
      <c r="R193" s="297">
        <f>IF($J195=$A$22,IF($M195=$A$16,$L195,0),0)</f>
        <v>0</v>
      </c>
    </row>
    <row r="194" spans="17:18">
      <c r="Q194" s="297">
        <f>IF($J196=$A$21,IF($M196=$A$16,$L196,0),0)</f>
        <v>0</v>
      </c>
      <c r="R194" s="297">
        <f>IF($J196=$A$22,IF($M196=$A$16,$L196,0),0)</f>
        <v>0</v>
      </c>
    </row>
    <row r="195" spans="17:18">
      <c r="Q195" s="297">
        <f>IF($J197=$A$21,IF($M197=$A$16,$L197,0),0)</f>
        <v>0</v>
      </c>
      <c r="R195" s="297">
        <f>IF($J197=$A$22,IF($M197=$A$16,$L197,0),0)</f>
        <v>0</v>
      </c>
    </row>
    <row r="196" spans="17:18">
      <c r="Q196" s="297">
        <f>IF($J198=$A$21,IF($M198=$A$16,$L198,0),0)</f>
        <v>0</v>
      </c>
      <c r="R196" s="297">
        <f>IF($J198=$A$22,IF($M198=$A$16,$L198,0),0)</f>
        <v>0</v>
      </c>
    </row>
    <row r="197" spans="17:18">
      <c r="Q197" s="297">
        <f>IF($J199=$A$21,IF($M199=$A$16,$L199,0),0)</f>
        <v>0</v>
      </c>
      <c r="R197" s="297">
        <f>IF($J199=$A$22,IF($M199=$A$16,$L199,0),0)</f>
        <v>0</v>
      </c>
    </row>
    <row r="198" spans="17:18">
      <c r="Q198" s="297">
        <f>IF($J200=$A$21,IF($M200=$A$16,$L200,0),0)</f>
        <v>0</v>
      </c>
      <c r="R198" s="297">
        <f>IF($J200=$A$22,IF($M200=$A$16,$L200,0),0)</f>
        <v>0</v>
      </c>
    </row>
    <row r="199" spans="17:18">
      <c r="Q199" s="297">
        <f>IF($J201=$A$21,IF($M201=$A$16,$L201,0),0)</f>
        <v>0</v>
      </c>
      <c r="R199" s="297">
        <f>IF($J201=$A$22,IF($M201=$A$16,$L201,0),0)</f>
        <v>0</v>
      </c>
    </row>
    <row r="200" spans="17:18">
      <c r="Q200" s="297">
        <f>IF($J202=$A$21,IF($M202=$A$16,$L202,0),0)</f>
        <v>0</v>
      </c>
      <c r="R200" s="297">
        <f>IF($J202=$A$22,IF($M202=$A$16,$L202,0),0)</f>
        <v>0</v>
      </c>
    </row>
    <row r="201" spans="17:18">
      <c r="Q201" s="297">
        <f>IF($J203=$A$21,IF($M203=$A$16,$L203,0),0)</f>
        <v>0</v>
      </c>
      <c r="R201" s="297">
        <f>IF($J203=$A$22,IF($M203=$A$16,$L203,0),0)</f>
        <v>0</v>
      </c>
    </row>
    <row r="202" spans="17:18">
      <c r="Q202" s="297">
        <f>IF($J204=$A$21,IF($M204=$A$16,$L204,0),0)</f>
        <v>0</v>
      </c>
      <c r="R202" s="297">
        <f>IF($J204=$A$22,IF($M204=$A$16,$L204,0),0)</f>
        <v>0</v>
      </c>
    </row>
    <row r="203" spans="17:18">
      <c r="Q203" s="297">
        <f>IF($J205=$A$21,IF($M205=$A$16,$L205,0),0)</f>
        <v>0</v>
      </c>
      <c r="R203" s="297">
        <f>IF($J205=$A$22,IF($M205=$A$16,$L205,0),0)</f>
        <v>0</v>
      </c>
    </row>
    <row r="204" spans="17:18">
      <c r="Q204" s="297">
        <f>IF($J206=$A$21,IF($M206=$A$16,$L206,0),0)</f>
        <v>0</v>
      </c>
      <c r="R204" s="297">
        <f>IF($J206=$A$22,IF($M206=$A$16,$L206,0),0)</f>
        <v>0</v>
      </c>
    </row>
    <row r="205" spans="17:18">
      <c r="Q205" s="297">
        <f>IF($J207=$A$21,IF($M207=$A$16,$L207,0),0)</f>
        <v>0</v>
      </c>
      <c r="R205" s="297">
        <f>IF($J207=$A$22,IF($M207=$A$16,$L207,0),0)</f>
        <v>0</v>
      </c>
    </row>
    <row r="206" spans="17:18">
      <c r="Q206" s="297">
        <f>IF($J208=$A$21,IF($M208=$A$16,$L208,0),0)</f>
        <v>0</v>
      </c>
      <c r="R206" s="297">
        <f>IF($J208=$A$22,IF($M208=$A$16,$L208,0),0)</f>
        <v>0</v>
      </c>
    </row>
    <row r="207" spans="17:18">
      <c r="Q207" s="297">
        <f>IF($J209=$A$21,IF($M209=$A$16,$L209,0),0)</f>
        <v>0</v>
      </c>
      <c r="R207" s="297">
        <f>IF($J209=$A$22,IF($M209=$A$16,$L209,0),0)</f>
        <v>0</v>
      </c>
    </row>
    <row r="208" spans="17:18">
      <c r="Q208" s="297">
        <f>IF($J210=$A$21,IF($M210=$A$16,$L210,0),0)</f>
        <v>0</v>
      </c>
      <c r="R208" s="297">
        <f>IF($J210=$A$22,IF($M210=$A$16,$L210,0),0)</f>
        <v>0</v>
      </c>
    </row>
    <row r="209" spans="17:18">
      <c r="Q209" s="297">
        <f>IF($J211=$A$21,IF($M211=$A$16,$L211,0),0)</f>
        <v>0</v>
      </c>
      <c r="R209" s="297">
        <f>IF($J211=$A$22,IF($M211=$A$16,$L211,0),0)</f>
        <v>0</v>
      </c>
    </row>
    <row r="210" spans="17:18">
      <c r="Q210" s="297">
        <f>IF($J212=$A$21,IF($M212=$A$16,$L212,0),0)</f>
        <v>0</v>
      </c>
      <c r="R210" s="297">
        <f>IF($J212=$A$22,IF($M212=$A$16,$L212,0),0)</f>
        <v>0</v>
      </c>
    </row>
    <row r="211" spans="17:18">
      <c r="Q211" s="297">
        <f>IF($J213=$A$21,IF($M213=$A$16,$L213,0),0)</f>
        <v>0</v>
      </c>
      <c r="R211" s="297">
        <f>IF($J213=$A$22,IF($M213=$A$16,$L213,0),0)</f>
        <v>0</v>
      </c>
    </row>
    <row r="212" spans="17:18">
      <c r="Q212" s="297">
        <f>IF($J214=$A$21,IF($M214=$A$16,$L214,0),0)</f>
        <v>0</v>
      </c>
      <c r="R212" s="297">
        <f>IF($J214=$A$22,IF($M214=$A$16,$L214,0),0)</f>
        <v>0</v>
      </c>
    </row>
    <row r="213" spans="17:18">
      <c r="Q213" s="297">
        <f>IF($J215=$A$21,IF($M215=$A$16,$L215,0),0)</f>
        <v>0</v>
      </c>
      <c r="R213" s="297">
        <f>IF($J215=$A$22,IF($M215=$A$16,$L215,0),0)</f>
        <v>0</v>
      </c>
    </row>
    <row r="214" spans="17:18">
      <c r="Q214" s="297">
        <f>IF($J216=$A$21,IF($M216=$A$16,$L216,0),0)</f>
        <v>0</v>
      </c>
      <c r="R214" s="297">
        <f>IF($J216=$A$22,IF($M216=$A$16,$L216,0),0)</f>
        <v>0</v>
      </c>
    </row>
    <row r="215" spans="17:18">
      <c r="Q215" s="297">
        <f>IF($J217=$A$21,IF($M217=$A$16,$L217,0),0)</f>
        <v>0</v>
      </c>
      <c r="R215" s="297">
        <f>IF($J217=$A$22,IF($M217=$A$16,$L217,0),0)</f>
        <v>0</v>
      </c>
    </row>
    <row r="216" spans="17:18">
      <c r="Q216" s="297">
        <f>IF($J218=$A$21,IF($M218=$A$16,$L218,0),0)</f>
        <v>0</v>
      </c>
      <c r="R216" s="297">
        <f>IF($J218=$A$22,IF($M218=$A$16,$L218,0),0)</f>
        <v>0</v>
      </c>
    </row>
    <row r="217" spans="17:18">
      <c r="Q217" s="297">
        <f>IF($J219=$A$21,IF($M219=$A$16,$L219,0),0)</f>
        <v>0</v>
      </c>
      <c r="R217" s="297">
        <f>IF($J219=$A$22,IF($M219=$A$16,$L219,0),0)</f>
        <v>0</v>
      </c>
    </row>
    <row r="218" spans="17:18">
      <c r="Q218" s="297">
        <f>IF($J220=$A$21,IF($M220=$A$16,$L220,0),0)</f>
        <v>0</v>
      </c>
      <c r="R218" s="297">
        <f>IF($J220=$A$22,IF($M220=$A$16,$L220,0),0)</f>
        <v>0</v>
      </c>
    </row>
    <row r="219" spans="17:18">
      <c r="Q219" s="297">
        <f>IF($J221=$A$21,IF($M221=$A$16,$L221,0),0)</f>
        <v>0</v>
      </c>
      <c r="R219" s="297">
        <f>IF($J221=$A$22,IF($M221=$A$16,$L221,0),0)</f>
        <v>0</v>
      </c>
    </row>
    <row r="220" spans="17:18">
      <c r="Q220" s="297">
        <f>IF($J222=$A$21,IF($M222=$A$16,$L222,0),0)</f>
        <v>0</v>
      </c>
      <c r="R220" s="297">
        <f>IF($J222=$A$22,IF($M222=$A$16,$L222,0),0)</f>
        <v>0</v>
      </c>
    </row>
    <row r="221" spans="17:18">
      <c r="Q221" s="297">
        <f>IF($J223=$A$21,IF($M223=$A$16,$L223,0),0)</f>
        <v>0</v>
      </c>
      <c r="R221" s="297">
        <f>IF($J223=$A$22,IF($M223=$A$16,$L223,0),0)</f>
        <v>0</v>
      </c>
    </row>
    <row r="222" spans="17:18">
      <c r="Q222" s="297">
        <f>IF($J224=$A$21,IF($M224=$A$16,$L224,0),0)</f>
        <v>0</v>
      </c>
      <c r="R222" s="297">
        <f>IF($J224=$A$22,IF($M224=$A$16,$L224,0),0)</f>
        <v>0</v>
      </c>
    </row>
    <row r="223" spans="17:18">
      <c r="Q223" s="297">
        <f>IF($J225=$A$21,IF($M225=$A$16,$L225,0),0)</f>
        <v>0</v>
      </c>
      <c r="R223" s="297">
        <f>IF($J225=$A$22,IF($M225=$A$16,$L225,0),0)</f>
        <v>0</v>
      </c>
    </row>
    <row r="224" spans="17:18">
      <c r="Q224" s="297">
        <f>IF($J226=$A$21,IF($M226=$A$16,$L226,0),0)</f>
        <v>0</v>
      </c>
      <c r="R224" s="297">
        <f>IF($J226=$A$22,IF($M226=$A$16,$L226,0),0)</f>
        <v>0</v>
      </c>
    </row>
    <row r="225" spans="17:18">
      <c r="Q225" s="297">
        <f>IF($J227=$A$21,IF($M227=$A$16,$L227,0),0)</f>
        <v>0</v>
      </c>
      <c r="R225" s="297">
        <f>IF($J227=$A$22,IF($M227=$A$16,$L227,0),0)</f>
        <v>0</v>
      </c>
    </row>
    <row r="226" spans="17:18">
      <c r="Q226" s="297">
        <f>IF($J228=$A$21,IF($M228=$A$16,$L228,0),0)</f>
        <v>0</v>
      </c>
      <c r="R226" s="297">
        <f>IF($J228=$A$22,IF($M228=$A$16,$L228,0),0)</f>
        <v>0</v>
      </c>
    </row>
    <row r="227" spans="17:18">
      <c r="Q227" s="297">
        <f>IF($J229=$A$21,IF($M229=$A$16,$L229,0),0)</f>
        <v>0</v>
      </c>
      <c r="R227" s="297">
        <f>IF($J229=$A$22,IF($M229=$A$16,$L229,0),0)</f>
        <v>0</v>
      </c>
    </row>
    <row r="228" spans="17:18">
      <c r="Q228" s="297">
        <f>IF($J230=$A$21,IF($M230=$A$16,$L230,0),0)</f>
        <v>0</v>
      </c>
      <c r="R228" s="297">
        <f>IF($J230=$A$22,IF($M230=$A$16,$L230,0),0)</f>
        <v>0</v>
      </c>
    </row>
    <row r="229" spans="17:18">
      <c r="Q229" s="297">
        <f>IF($J231=$A$21,IF($M231=$A$16,$L231,0),0)</f>
        <v>0</v>
      </c>
      <c r="R229" s="297">
        <f>IF($J231=$A$22,IF($M231=$A$16,$L231,0),0)</f>
        <v>0</v>
      </c>
    </row>
    <row r="230" spans="17:18">
      <c r="Q230" s="297">
        <f>IF($J232=$A$21,IF($M232=$A$16,$L232,0),0)</f>
        <v>0</v>
      </c>
      <c r="R230" s="297">
        <f>IF($J232=$A$22,IF($M232=$A$16,$L232,0),0)</f>
        <v>0</v>
      </c>
    </row>
    <row r="231" spans="17:18">
      <c r="Q231" s="297">
        <f>IF($J233=$A$21,IF($M233=$A$16,$L233,0),0)</f>
        <v>0</v>
      </c>
      <c r="R231" s="297">
        <f>IF($J233=$A$22,IF($M233=$A$16,$L233,0),0)</f>
        <v>0</v>
      </c>
    </row>
    <row r="232" spans="17:18">
      <c r="Q232" s="297">
        <f>IF($J234=$A$21,IF($M234=$A$16,$L234,0),0)</f>
        <v>0</v>
      </c>
      <c r="R232" s="297">
        <f>IF($J234=$A$22,IF($M234=$A$16,$L234,0),0)</f>
        <v>0</v>
      </c>
    </row>
    <row r="233" spans="17:18">
      <c r="Q233" s="297">
        <f>IF($J235=$A$21,IF($M235=$A$16,$L235,0),0)</f>
        <v>0</v>
      </c>
      <c r="R233" s="297">
        <f>IF($J235=$A$22,IF($M235=$A$16,$L235,0),0)</f>
        <v>0</v>
      </c>
    </row>
    <row r="234" spans="17:18">
      <c r="Q234" s="297">
        <f>IF($J236=$A$21,IF($M236=$A$16,$L236,0),0)</f>
        <v>0</v>
      </c>
      <c r="R234" s="297">
        <f>IF($J236=$A$22,IF($M236=$A$16,$L236,0),0)</f>
        <v>0</v>
      </c>
    </row>
    <row r="235" spans="17:18">
      <c r="Q235" s="297">
        <f>IF($J237=$A$21,IF($M237=$A$16,$L237,0),0)</f>
        <v>0</v>
      </c>
      <c r="R235" s="297">
        <f>IF($J237=$A$22,IF($M237=$A$16,$L237,0),0)</f>
        <v>0</v>
      </c>
    </row>
    <row r="236" spans="17:18">
      <c r="Q236" s="297">
        <f>IF($J238=$A$21,IF($M238=$A$16,$L238,0),0)</f>
        <v>0</v>
      </c>
      <c r="R236" s="297">
        <f>IF($J238=$A$22,IF($M238=$A$16,$L238,0),0)</f>
        <v>0</v>
      </c>
    </row>
    <row r="237" spans="17:18">
      <c r="Q237" s="297">
        <f>IF($J239=$A$21,IF($M239=$A$16,$L239,0),0)</f>
        <v>0</v>
      </c>
      <c r="R237" s="297">
        <f>IF($J239=$A$22,IF($M239=$A$16,$L239,0),0)</f>
        <v>0</v>
      </c>
    </row>
    <row r="238" spans="17:18">
      <c r="Q238" s="297">
        <f>IF($J240=$A$21,IF($M240=$A$16,$L240,0),0)</f>
        <v>0</v>
      </c>
      <c r="R238" s="297">
        <f>IF($J240=$A$22,IF($M240=$A$16,$L240,0),0)</f>
        <v>0</v>
      </c>
    </row>
    <row r="239" spans="17:18">
      <c r="Q239" s="297">
        <f>IF($J241=$A$21,IF($M241=$A$16,$L241,0),0)</f>
        <v>0</v>
      </c>
      <c r="R239" s="297">
        <f>IF($J241=$A$22,IF($M241=$A$16,$L241,0),0)</f>
        <v>0</v>
      </c>
    </row>
    <row r="240" spans="17:18">
      <c r="Q240" s="297">
        <f>IF($J242=$A$21,IF($M242=$A$16,$L242,0),0)</f>
        <v>0</v>
      </c>
      <c r="R240" s="297">
        <f>IF($J242=$A$22,IF($M242=$A$16,$L242,0),0)</f>
        <v>0</v>
      </c>
    </row>
    <row r="241" spans="17:18">
      <c r="Q241" s="297">
        <f>IF($J243=$A$21,IF($M243=$A$16,$L243,0),0)</f>
        <v>0</v>
      </c>
      <c r="R241" s="297">
        <f>IF($J243=$A$22,IF($M243=$A$16,$L243,0),0)</f>
        <v>0</v>
      </c>
    </row>
    <row r="242" spans="17:18">
      <c r="Q242" s="297">
        <f>IF($J244=$A$21,IF($M244=$A$16,$L244,0),0)</f>
        <v>0</v>
      </c>
      <c r="R242" s="297">
        <f>IF($J244=$A$22,IF($M244=$A$16,$L244,0),0)</f>
        <v>0</v>
      </c>
    </row>
    <row r="243" spans="17:18">
      <c r="Q243" s="297">
        <f>IF($J245=$A$21,IF($M245=$A$16,$L245,0),0)</f>
        <v>0</v>
      </c>
      <c r="R243" s="297">
        <f>IF($J245=$A$22,IF($M245=$A$16,$L245,0),0)</f>
        <v>0</v>
      </c>
    </row>
    <row r="244" spans="17:18">
      <c r="Q244" s="297">
        <f>IF($J246=$A$21,IF($M246=$A$16,$L246,0),0)</f>
        <v>0</v>
      </c>
      <c r="R244" s="297">
        <f>IF($J246=$A$22,IF($M246=$A$16,$L246,0),0)</f>
        <v>0</v>
      </c>
    </row>
    <row r="245" spans="17:18">
      <c r="Q245" s="297">
        <f>IF($J247=$A$21,IF($M247=$A$16,$L247,0),0)</f>
        <v>0</v>
      </c>
      <c r="R245" s="297">
        <f>IF($J247=$A$22,IF($M247=$A$16,$L247,0),0)</f>
        <v>0</v>
      </c>
    </row>
    <row r="246" spans="17:18">
      <c r="Q246" s="297">
        <f>IF($J248=$A$21,IF($M248=$A$16,$L248,0),0)</f>
        <v>0</v>
      </c>
      <c r="R246" s="297">
        <f>IF($J248=$A$22,IF($M248=$A$16,$L248,0),0)</f>
        <v>0</v>
      </c>
    </row>
    <row r="247" spans="17:18">
      <c r="Q247" s="297">
        <f>IF($J249=$A$21,IF($M249=$A$16,$L249,0),0)</f>
        <v>0</v>
      </c>
      <c r="R247" s="297">
        <f>IF($J249=$A$22,IF($M249=$A$16,$L249,0),0)</f>
        <v>0</v>
      </c>
    </row>
    <row r="248" spans="17:18">
      <c r="Q248" s="297">
        <f>IF($J250=$A$21,IF($M250=$A$16,$L250,0),0)</f>
        <v>0</v>
      </c>
      <c r="R248" s="297">
        <f>IF($J250=$A$22,IF($M250=$A$16,$L250,0),0)</f>
        <v>0</v>
      </c>
    </row>
    <row r="249" spans="17:18">
      <c r="Q249" s="297">
        <f>IF($J251=$A$21,IF($M251=$A$16,$L251,0),0)</f>
        <v>0</v>
      </c>
      <c r="R249" s="297">
        <f>IF($J251=$A$22,IF($M251=$A$16,$L251,0),0)</f>
        <v>0</v>
      </c>
    </row>
    <row r="250" spans="17:18">
      <c r="Q250" s="297">
        <f>IF($J252=$A$21,IF($M252=$A$16,$L252,0),0)</f>
        <v>0</v>
      </c>
      <c r="R250" s="297">
        <f>IF($J252=$A$22,IF($M252=$A$16,$L252,0),0)</f>
        <v>0</v>
      </c>
    </row>
    <row r="251" spans="17:18">
      <c r="Q251" s="297">
        <f>IF($J253=$A$21,IF($M253=$A$16,$L253,0),0)</f>
        <v>0</v>
      </c>
      <c r="R251" s="297">
        <f>IF($J253=$A$22,IF($M253=$A$16,$L253,0),0)</f>
        <v>0</v>
      </c>
    </row>
    <row r="252" spans="17:18">
      <c r="Q252" s="297">
        <f>IF($J254=$A$21,IF($M254=$A$16,$L254,0),0)</f>
        <v>0</v>
      </c>
      <c r="R252" s="297">
        <f>IF($J254=$A$22,IF($M254=$A$16,$L254,0),0)</f>
        <v>0</v>
      </c>
    </row>
    <row r="253" spans="17:18">
      <c r="Q253" s="297">
        <f>IF($J255=$A$21,IF($M255=$A$16,$L255,0),0)</f>
        <v>0</v>
      </c>
      <c r="R253" s="297">
        <f>IF($J255=$A$22,IF($M255=$A$16,$L255,0),0)</f>
        <v>0</v>
      </c>
    </row>
    <row r="254" spans="17:18">
      <c r="Q254" s="297">
        <f>IF($J256=$A$21,IF($M256=$A$16,$L256,0),0)</f>
        <v>0</v>
      </c>
      <c r="R254" s="297">
        <f>IF($J256=$A$22,IF($M256=$A$16,$L256,0),0)</f>
        <v>0</v>
      </c>
    </row>
    <row r="255" spans="17:18">
      <c r="Q255" s="297">
        <f>IF($J257=$A$21,IF($M257=$A$16,$L257,0),0)</f>
        <v>0</v>
      </c>
      <c r="R255" s="297">
        <f>IF($J257=$A$22,IF($M257=$A$16,$L257,0),0)</f>
        <v>0</v>
      </c>
    </row>
    <row r="256" spans="17:18">
      <c r="Q256" s="297">
        <f>IF($J258=$A$21,IF($M258=$A$16,$L258,0),0)</f>
        <v>0</v>
      </c>
      <c r="R256" s="297">
        <f>IF($J258=$A$22,IF($M258=$A$16,$L258,0),0)</f>
        <v>0</v>
      </c>
    </row>
    <row r="257" spans="17:18">
      <c r="Q257" s="297">
        <f>IF($J259=$A$21,IF($M259=$A$16,$L259,0),0)</f>
        <v>0</v>
      </c>
      <c r="R257" s="297">
        <f>IF($J259=$A$22,IF($M259=$A$16,$L259,0),0)</f>
        <v>0</v>
      </c>
    </row>
    <row r="258" spans="17:18">
      <c r="Q258" s="297">
        <f>IF($J260=$A$21,IF($M260=$A$16,$L260,0),0)</f>
        <v>0</v>
      </c>
      <c r="R258" s="297">
        <f>IF($J260=$A$22,IF($M260=$A$16,$L260,0),0)</f>
        <v>0</v>
      </c>
    </row>
    <row r="259" spans="17:18">
      <c r="Q259" s="297">
        <f>IF($J261=$A$21,IF($M261=$A$16,$L261,0),0)</f>
        <v>0</v>
      </c>
      <c r="R259" s="297">
        <f>IF($J261=$A$22,IF($M261=$A$16,$L261,0),0)</f>
        <v>0</v>
      </c>
    </row>
    <row r="260" spans="17:18">
      <c r="Q260" s="297">
        <f>IF($J262=$A$21,IF($M262=$A$16,$L262,0),0)</f>
        <v>0</v>
      </c>
      <c r="R260" s="297">
        <f>IF($J262=$A$22,IF($M262=$A$16,$L262,0),0)</f>
        <v>0</v>
      </c>
    </row>
    <row r="261" spans="17:18">
      <c r="Q261" s="297">
        <f>IF($J263=$A$21,IF($M263=$A$16,$L263,0),0)</f>
        <v>0</v>
      </c>
      <c r="R261" s="297">
        <f>IF($J263=$A$22,IF($M263=$A$16,$L263,0),0)</f>
        <v>0</v>
      </c>
    </row>
    <row r="262" spans="17:18">
      <c r="Q262" s="297">
        <f>IF($J264=$A$21,IF($M264=$A$16,$L264,0),0)</f>
        <v>0</v>
      </c>
      <c r="R262" s="297">
        <f>IF($J264=$A$22,IF($M264=$A$16,$L264,0),0)</f>
        <v>0</v>
      </c>
    </row>
    <row r="263" spans="17:18">
      <c r="Q263" s="297">
        <f>IF($J265=$A$21,IF($M265=$A$16,$L265,0),0)</f>
        <v>0</v>
      </c>
      <c r="R263" s="297">
        <f>IF($J265=$A$22,IF($M265=$A$16,$L265,0),0)</f>
        <v>0</v>
      </c>
    </row>
    <row r="264" spans="17:18">
      <c r="Q264" s="297">
        <f>IF($J266=$A$21,IF($M266=$A$16,$L266,0),0)</f>
        <v>0</v>
      </c>
      <c r="R264" s="297">
        <f>IF($J266=$A$22,IF($M266=$A$16,$L266,0),0)</f>
        <v>0</v>
      </c>
    </row>
    <row r="265" spans="17:18">
      <c r="Q265" s="297">
        <f>IF($J267=$A$21,IF($M267=$A$16,$L267,0),0)</f>
        <v>0</v>
      </c>
      <c r="R265" s="297">
        <f>IF($J267=$A$22,IF($M267=$A$16,$L267,0),0)</f>
        <v>0</v>
      </c>
    </row>
    <row r="266" spans="17:18">
      <c r="Q266" s="297">
        <f>IF($J268=$A$21,IF($M268=$A$16,$L268,0),0)</f>
        <v>0</v>
      </c>
      <c r="R266" s="297">
        <f>IF($J268=$A$22,IF($M268=$A$16,$L268,0),0)</f>
        <v>0</v>
      </c>
    </row>
    <row r="267" spans="17:18">
      <c r="Q267" s="297">
        <f>IF($J269=$A$21,IF($M269=$A$16,$L269,0),0)</f>
        <v>0</v>
      </c>
      <c r="R267" s="297">
        <f>IF($J269=$A$22,IF($M269=$A$16,$L269,0),0)</f>
        <v>0</v>
      </c>
    </row>
    <row r="268" spans="17:18">
      <c r="Q268" s="297">
        <f>IF($J270=$A$21,IF($M270=$A$16,$L270,0),0)</f>
        <v>0</v>
      </c>
      <c r="R268" s="297">
        <f>IF($J270=$A$22,IF($M270=$A$16,$L270,0),0)</f>
        <v>0</v>
      </c>
    </row>
    <row r="269" spans="17:18">
      <c r="Q269" s="297">
        <f>IF($J271=$A$21,IF($M271=$A$16,$L271,0),0)</f>
        <v>0</v>
      </c>
      <c r="R269" s="297">
        <f>IF($J271=$A$22,IF($M271=$A$16,$L271,0),0)</f>
        <v>0</v>
      </c>
    </row>
    <row r="270" spans="17:18">
      <c r="Q270" s="297">
        <f>IF($J272=$A$21,IF($M272=$A$16,$L272,0),0)</f>
        <v>0</v>
      </c>
      <c r="R270" s="297">
        <f>IF($J272=$A$22,IF($M272=$A$16,$L272,0),0)</f>
        <v>0</v>
      </c>
    </row>
    <row r="271" spans="17:18">
      <c r="Q271" s="297">
        <f>IF($J273=$A$21,IF($M273=$A$16,$L273,0),0)</f>
        <v>0</v>
      </c>
      <c r="R271" s="297">
        <f>IF($J273=$A$22,IF($M273=$A$16,$L273,0),0)</f>
        <v>0</v>
      </c>
    </row>
    <row r="272" spans="17:18">
      <c r="Q272" s="297">
        <f>IF($J274=$A$21,IF($M274=$A$16,$L274,0),0)</f>
        <v>0</v>
      </c>
      <c r="R272" s="297">
        <f>IF($J274=$A$22,IF($M274=$A$16,$L274,0),0)</f>
        <v>0</v>
      </c>
    </row>
    <row r="273" spans="17:18">
      <c r="Q273" s="297">
        <f>IF($J275=$A$21,IF($M275=$A$16,$L275,0),0)</f>
        <v>0</v>
      </c>
      <c r="R273" s="297">
        <f>IF($J275=$A$22,IF($M275=$A$16,$L275,0),0)</f>
        <v>0</v>
      </c>
    </row>
    <row r="274" spans="17:18">
      <c r="Q274" s="297">
        <f>IF($J276=$A$21,IF($M276=$A$16,$L276,0),0)</f>
        <v>0</v>
      </c>
      <c r="R274" s="297">
        <f>IF($J276=$A$22,IF($M276=$A$16,$L276,0),0)</f>
        <v>0</v>
      </c>
    </row>
    <row r="275" spans="17:18">
      <c r="Q275" s="297">
        <f>IF($J277=$A$21,IF($M277=$A$16,$L277,0),0)</f>
        <v>0</v>
      </c>
      <c r="R275" s="297">
        <f>IF($J277=$A$22,IF($M277=$A$16,$L277,0),0)</f>
        <v>0</v>
      </c>
    </row>
    <row r="276" spans="17:18">
      <c r="Q276" s="297">
        <f>IF($J278=$A$21,IF($M278=$A$16,$L278,0),0)</f>
        <v>0</v>
      </c>
      <c r="R276" s="297">
        <f>IF($J278=$A$22,IF($M278=$A$16,$L278,0),0)</f>
        <v>0</v>
      </c>
    </row>
    <row r="277" spans="17:18">
      <c r="Q277" s="297">
        <f>IF($J279=$A$21,IF($M279=$A$16,$L279,0),0)</f>
        <v>0</v>
      </c>
      <c r="R277" s="297">
        <f>IF($J279=$A$22,IF($M279=$A$16,$L279,0),0)</f>
        <v>0</v>
      </c>
    </row>
    <row r="278" spans="17:18">
      <c r="Q278" s="297">
        <f>IF($J280=$A$21,IF($M280=$A$16,$L280,0),0)</f>
        <v>0</v>
      </c>
      <c r="R278" s="297">
        <f>IF($J280=$A$22,IF($M280=$A$16,$L280,0),0)</f>
        <v>0</v>
      </c>
    </row>
    <row r="279" spans="17:18">
      <c r="Q279" s="297">
        <f>IF($J281=$A$21,IF($M281=$A$16,$L281,0),0)</f>
        <v>0</v>
      </c>
      <c r="R279" s="297">
        <f>IF($J281=$A$22,IF($M281=$A$16,$L281,0),0)</f>
        <v>0</v>
      </c>
    </row>
    <row r="280" spans="17:18">
      <c r="Q280" s="297">
        <f>IF($J282=$A$21,IF($M282=$A$16,$L282,0),0)</f>
        <v>0</v>
      </c>
      <c r="R280" s="297">
        <f>IF($J282=$A$22,IF($M282=$A$16,$L282,0),0)</f>
        <v>0</v>
      </c>
    </row>
    <row r="281" spans="17:18">
      <c r="Q281" s="297">
        <f>IF($J283=$A$21,IF($M283=$A$16,$L283,0),0)</f>
        <v>0</v>
      </c>
      <c r="R281" s="297">
        <f>IF($J283=$A$22,IF($M283=$A$16,$L283,0),0)</f>
        <v>0</v>
      </c>
    </row>
    <row r="282" spans="17:18">
      <c r="Q282" s="297">
        <f>IF($J284=$A$21,IF($M284=$A$16,$L284,0),0)</f>
        <v>0</v>
      </c>
      <c r="R282" s="297">
        <f>IF($J284=$A$22,IF($M284=$A$16,$L284,0),0)</f>
        <v>0</v>
      </c>
    </row>
    <row r="283" spans="17:18">
      <c r="Q283" s="297">
        <f>IF($J285=$A$21,IF($M285=$A$16,$L285,0),0)</f>
        <v>0</v>
      </c>
      <c r="R283" s="297">
        <f>IF($J285=$A$22,IF($M285=$A$16,$L285,0),0)</f>
        <v>0</v>
      </c>
    </row>
    <row r="284" spans="17:18">
      <c r="Q284" s="297">
        <f>IF($J286=$A$21,IF($M286=$A$16,$L286,0),0)</f>
        <v>0</v>
      </c>
      <c r="R284" s="297">
        <f>IF($J286=$A$22,IF($M286=$A$16,$L286,0),0)</f>
        <v>0</v>
      </c>
    </row>
    <row r="285" spans="17:18">
      <c r="Q285" s="297">
        <f>IF($J287=$A$21,IF($M287=$A$16,$L287,0),0)</f>
        <v>0</v>
      </c>
      <c r="R285" s="297">
        <f>IF($J287=$A$22,IF($M287=$A$16,$L287,0),0)</f>
        <v>0</v>
      </c>
    </row>
    <row r="286" spans="17:18">
      <c r="Q286" s="297">
        <f>IF($J288=$A$21,IF($M288=$A$16,$L288,0),0)</f>
        <v>0</v>
      </c>
      <c r="R286" s="297">
        <f>IF($J288=$A$22,IF($M288=$A$16,$L288,0),0)</f>
        <v>0</v>
      </c>
    </row>
    <row r="287" spans="17:18">
      <c r="Q287" s="297">
        <f>IF($J289=$A$21,IF($M289=$A$16,$L289,0),0)</f>
        <v>0</v>
      </c>
      <c r="R287" s="297">
        <f>IF($J289=$A$22,IF($M289=$A$16,$L289,0),0)</f>
        <v>0</v>
      </c>
    </row>
    <row r="288" spans="17:18">
      <c r="Q288" s="297">
        <f>IF($J290=$A$21,IF($M290=$A$16,$L290,0),0)</f>
        <v>0</v>
      </c>
      <c r="R288" s="297">
        <f>IF($J290=$A$22,IF($M290=$A$16,$L290,0),0)</f>
        <v>0</v>
      </c>
    </row>
    <row r="289" spans="17:18">
      <c r="Q289" s="297">
        <f>IF($J291=$A$21,IF($M291=$A$16,$L291,0),0)</f>
        <v>0</v>
      </c>
      <c r="R289" s="297">
        <f>IF($J291=$A$22,IF($M291=$A$16,$L291,0),0)</f>
        <v>0</v>
      </c>
    </row>
    <row r="290" spans="17:18">
      <c r="Q290" s="297">
        <f>IF($J292=$A$21,IF($M292=$A$16,$L292,0),0)</f>
        <v>0</v>
      </c>
      <c r="R290" s="297">
        <f>IF($J292=$A$22,IF($M292=$A$16,$L292,0),0)</f>
        <v>0</v>
      </c>
    </row>
    <row r="291" spans="17:18">
      <c r="Q291" s="297">
        <f>IF($J293=$A$21,IF($M293=$A$16,$L293,0),0)</f>
        <v>0</v>
      </c>
      <c r="R291" s="297">
        <f>IF($J293=$A$22,IF($M293=$A$16,$L293,0),0)</f>
        <v>0</v>
      </c>
    </row>
    <row r="292" spans="17:18">
      <c r="Q292" s="297">
        <f>IF($J294=$A$21,IF($M294=$A$16,$L294,0),0)</f>
        <v>0</v>
      </c>
      <c r="R292" s="297">
        <f>IF($J294=$A$22,IF($M294=$A$16,$L294,0),0)</f>
        <v>0</v>
      </c>
    </row>
    <row r="293" spans="17:18">
      <c r="Q293" s="297">
        <f>IF($J295=$A$21,IF($M295=$A$16,$L295,0),0)</f>
        <v>0</v>
      </c>
      <c r="R293" s="297">
        <f>IF($J295=$A$22,IF($M295=$A$16,$L295,0),0)</f>
        <v>0</v>
      </c>
    </row>
    <row r="294" spans="17:18">
      <c r="Q294" s="297">
        <f>IF($J296=$A$21,IF($M296=$A$16,$L296,0),0)</f>
        <v>0</v>
      </c>
      <c r="R294" s="297">
        <f>IF($J296=$A$22,IF($M296=$A$16,$L296,0),0)</f>
        <v>0</v>
      </c>
    </row>
    <row r="295" spans="17:18">
      <c r="Q295" s="297">
        <f>IF($J297=$A$21,IF($M297=$A$16,$L297,0),0)</f>
        <v>0</v>
      </c>
      <c r="R295" s="297">
        <f>IF($J297=$A$22,IF($M297=$A$16,$L297,0),0)</f>
        <v>0</v>
      </c>
    </row>
    <row r="296" spans="17:18">
      <c r="Q296" s="297">
        <f>IF($J298=$A$21,IF($M298=$A$16,$L298,0),0)</f>
        <v>0</v>
      </c>
      <c r="R296" s="297">
        <f>IF($J298=$A$22,IF($M298=$A$16,$L298,0),0)</f>
        <v>0</v>
      </c>
    </row>
    <row r="297" spans="17:18">
      <c r="Q297" s="297">
        <f>IF($J299=$A$21,IF($M299=$A$16,$L299,0),0)</f>
        <v>0</v>
      </c>
      <c r="R297" s="297">
        <f>IF($J299=$A$22,IF($M299=$A$16,$L299,0),0)</f>
        <v>0</v>
      </c>
    </row>
    <row r="298" spans="17:18">
      <c r="Q298" s="297">
        <f>IF($J300=$A$21,IF($M300=$A$16,$L300,0),0)</f>
        <v>0</v>
      </c>
      <c r="R298" s="297">
        <f>IF($J300=$A$22,IF($M300=$A$16,$L300,0),0)</f>
        <v>0</v>
      </c>
    </row>
    <row r="299" spans="17:18">
      <c r="Q299" s="297">
        <f>IF($J301=$A$21,IF($M301=$A$16,$L301,0),0)</f>
        <v>0</v>
      </c>
      <c r="R299" s="297">
        <f>IF($J301=$A$22,IF($M301=$A$16,$L301,0),0)</f>
        <v>0</v>
      </c>
    </row>
    <row r="300" spans="17:18">
      <c r="Q300" s="297">
        <f>IF($J302=$A$21,IF($M302=$A$16,$L302,0),0)</f>
        <v>0</v>
      </c>
      <c r="R300" s="297">
        <f>IF($J302=$A$22,IF($M302=$A$16,$L302,0),0)</f>
        <v>0</v>
      </c>
    </row>
    <row r="301" spans="17:18">
      <c r="Q301" s="297">
        <f>IF($J303=$A$21,IF($M303=$A$16,$L303,0),0)</f>
        <v>0</v>
      </c>
      <c r="R301" s="297">
        <f>IF($J303=$A$22,IF($M303=$A$16,$L303,0),0)</f>
        <v>0</v>
      </c>
    </row>
    <row r="302" spans="17:18">
      <c r="Q302" s="297">
        <f>IF($J304=$A$21,IF($M304=$A$16,$L304,0),0)</f>
        <v>0</v>
      </c>
      <c r="R302" s="297">
        <f>IF($J304=$A$22,IF($M304=$A$16,$L304,0),0)</f>
        <v>0</v>
      </c>
    </row>
    <row r="303" spans="17:18">
      <c r="Q303" s="297">
        <f>IF($J305=$A$21,IF($M305=$A$16,$L305,0),0)</f>
        <v>0</v>
      </c>
      <c r="R303" s="297">
        <f>IF($J305=$A$22,IF($M305=$A$16,$L305,0),0)</f>
        <v>0</v>
      </c>
    </row>
    <row r="304" spans="17:18">
      <c r="Q304" s="297">
        <f>IF($J306=$A$21,IF($M306=$A$16,$L306,0),0)</f>
        <v>0</v>
      </c>
      <c r="R304" s="297">
        <f>IF($J306=$A$22,IF($M306=$A$16,$L306,0),0)</f>
        <v>0</v>
      </c>
    </row>
    <row r="305" spans="17:18">
      <c r="Q305" s="297">
        <f>IF($J307=$A$21,IF($M307=$A$16,$L307,0),0)</f>
        <v>0</v>
      </c>
      <c r="R305" s="297">
        <f>IF($J307=$A$22,IF($M307=$A$16,$L307,0),0)</f>
        <v>0</v>
      </c>
    </row>
    <row r="306" spans="17:18">
      <c r="Q306" s="297">
        <f>IF($J308=$A$21,IF($M308=$A$16,$L308,0),0)</f>
        <v>0</v>
      </c>
      <c r="R306" s="297">
        <f>IF($J308=$A$22,IF($M308=$A$16,$L308,0),0)</f>
        <v>0</v>
      </c>
    </row>
    <row r="307" spans="17:18">
      <c r="Q307" s="297">
        <f>IF($J309=$A$21,IF($M309=$A$16,$L309,0),0)</f>
        <v>0</v>
      </c>
      <c r="R307" s="297">
        <f>IF($J309=$A$22,IF($M309=$A$16,$L309,0),0)</f>
        <v>0</v>
      </c>
    </row>
    <row r="308" spans="17:18">
      <c r="Q308" s="297">
        <f>IF($J310=$A$21,IF($M310=$A$16,$L310,0),0)</f>
        <v>0</v>
      </c>
      <c r="R308" s="297">
        <f>IF($J310=$A$22,IF($M310=$A$16,$L310,0),0)</f>
        <v>0</v>
      </c>
    </row>
    <row r="309" spans="17:18">
      <c r="Q309" s="297">
        <f>IF($J311=$A$21,IF($M311=$A$16,$L311,0),0)</f>
        <v>0</v>
      </c>
      <c r="R309" s="297">
        <f>IF($J311=$A$22,IF($M311=$A$16,$L311,0),0)</f>
        <v>0</v>
      </c>
    </row>
    <row r="310" spans="17:18">
      <c r="Q310" s="297">
        <f>IF($J312=$A$21,IF($M312=$A$16,$L312,0),0)</f>
        <v>0</v>
      </c>
      <c r="R310" s="297">
        <f>IF($J312=$A$22,IF($M312=$A$16,$L312,0),0)</f>
        <v>0</v>
      </c>
    </row>
    <row r="311" spans="17:18">
      <c r="Q311" s="297">
        <f>IF($J313=$A$21,IF($M313=$A$16,$L313,0),0)</f>
        <v>0</v>
      </c>
      <c r="R311" s="297">
        <f>IF($J313=$A$22,IF($M313=$A$16,$L313,0),0)</f>
        <v>0</v>
      </c>
    </row>
    <row r="312" spans="17:18">
      <c r="Q312" s="297">
        <f>IF($J314=$A$21,IF($M314=$A$16,$L314,0),0)</f>
        <v>0</v>
      </c>
      <c r="R312" s="297">
        <f>IF($J314=$A$22,IF($M314=$A$16,$L314,0),0)</f>
        <v>0</v>
      </c>
    </row>
    <row r="313" spans="17:18">
      <c r="Q313" s="297">
        <f>IF($J315=$A$21,IF($M315=$A$16,$L315,0),0)</f>
        <v>0</v>
      </c>
      <c r="R313" s="297">
        <f>IF($J315=$A$22,IF($M315=$A$16,$L315,0),0)</f>
        <v>0</v>
      </c>
    </row>
    <row r="314" spans="17:18">
      <c r="Q314" s="297">
        <f>IF($J316=$A$21,IF($M316=$A$16,$L316,0),0)</f>
        <v>0</v>
      </c>
      <c r="R314" s="297">
        <f>IF($J316=$A$22,IF($M316=$A$16,$L316,0),0)</f>
        <v>0</v>
      </c>
    </row>
    <row r="315" spans="17:18">
      <c r="Q315" s="297">
        <f>IF($J317=$A$21,IF($M317=$A$16,$L317,0),0)</f>
        <v>0</v>
      </c>
      <c r="R315" s="297">
        <f>IF($J317=$A$22,IF($M317=$A$16,$L317,0),0)</f>
        <v>0</v>
      </c>
    </row>
    <row r="316" spans="17:18">
      <c r="Q316" s="297">
        <f>IF($J318=$A$21,IF($M318=$A$16,$L318,0),0)</f>
        <v>0</v>
      </c>
      <c r="R316" s="297">
        <f>IF($J318=$A$22,IF($M318=$A$16,$L318,0),0)</f>
        <v>0</v>
      </c>
    </row>
    <row r="317" spans="17:18">
      <c r="Q317" s="297">
        <f>IF($J319=$A$21,IF($M319=$A$16,$L319,0),0)</f>
        <v>0</v>
      </c>
      <c r="R317" s="297">
        <f>IF($J319=$A$22,IF($M319=$A$16,$L319,0),0)</f>
        <v>0</v>
      </c>
    </row>
    <row r="318" spans="17:18">
      <c r="Q318" s="297">
        <f>IF($J320=$A$21,IF($M320=$A$16,$L320,0),0)</f>
        <v>0</v>
      </c>
      <c r="R318" s="297">
        <f>IF($J320=$A$22,IF($M320=$A$16,$L320,0),0)</f>
        <v>0</v>
      </c>
    </row>
    <row r="319" spans="17:18">
      <c r="Q319" s="297">
        <f>IF($J321=$A$21,IF($M321=$A$16,$L321,0),0)</f>
        <v>0</v>
      </c>
      <c r="R319" s="297">
        <f>IF($J321=$A$22,IF($M321=$A$16,$L321,0),0)</f>
        <v>0</v>
      </c>
    </row>
    <row r="320" spans="17:18">
      <c r="Q320" s="297">
        <f>IF($J322=$A$21,IF($M322=$A$16,$L322,0),0)</f>
        <v>0</v>
      </c>
      <c r="R320" s="297">
        <f>IF($J322=$A$22,IF($M322=$A$16,$L322,0),0)</f>
        <v>0</v>
      </c>
    </row>
    <row r="321" spans="17:18">
      <c r="Q321" s="297">
        <f>IF($J323=$A$21,IF($M323=$A$16,$L323,0),0)</f>
        <v>0</v>
      </c>
      <c r="R321" s="297">
        <f>IF($J323=$A$22,IF($M323=$A$16,$L323,0),0)</f>
        <v>0</v>
      </c>
    </row>
    <row r="322" spans="17:18">
      <c r="Q322" s="297">
        <f>IF($J324=$A$21,IF($M324=$A$16,$L324,0),0)</f>
        <v>0</v>
      </c>
      <c r="R322" s="297">
        <f>IF($J324=$A$22,IF($M324=$A$16,$L324,0),0)</f>
        <v>0</v>
      </c>
    </row>
    <row r="323" spans="17:18">
      <c r="Q323" s="297">
        <f>IF($J325=$A$21,IF($M325=$A$16,$L325,0),0)</f>
        <v>0</v>
      </c>
      <c r="R323" s="297">
        <f>IF($J325=$A$22,IF($M325=$A$16,$L325,0),0)</f>
        <v>0</v>
      </c>
    </row>
    <row r="324" spans="17:18">
      <c r="Q324" s="297">
        <f>IF($J326=$A$21,IF($M326=$A$16,$L326,0),0)</f>
        <v>0</v>
      </c>
      <c r="R324" s="297">
        <f>IF($J326=$A$22,IF($M326=$A$16,$L326,0),0)</f>
        <v>0</v>
      </c>
    </row>
    <row r="325" spans="17:18">
      <c r="Q325" s="297">
        <f>IF($J327=$A$21,IF($M327=$A$16,$L327,0),0)</f>
        <v>0</v>
      </c>
      <c r="R325" s="297">
        <f>IF($J327=$A$22,IF($M327=$A$16,$L327,0),0)</f>
        <v>0</v>
      </c>
    </row>
    <row r="326" spans="17:18">
      <c r="Q326" s="297">
        <f>IF($J328=$A$21,IF($M328=$A$16,$L328,0),0)</f>
        <v>0</v>
      </c>
      <c r="R326" s="297">
        <f>IF($J328=$A$22,IF($M328=$A$16,$L328,0),0)</f>
        <v>0</v>
      </c>
    </row>
    <row r="327" spans="17:18">
      <c r="Q327" s="297">
        <f>IF($J329=$A$21,IF($M329=$A$16,$L329,0),0)</f>
        <v>0</v>
      </c>
      <c r="R327" s="297">
        <f>IF($J329=$A$22,IF($M329=$A$16,$L329,0),0)</f>
        <v>0</v>
      </c>
    </row>
    <row r="328" spans="17:18">
      <c r="Q328" s="297">
        <f>IF($J330=$A$21,IF($M330=$A$16,$L330,0),0)</f>
        <v>0</v>
      </c>
      <c r="R328" s="297">
        <f>IF($J330=$A$22,IF($M330=$A$16,$L330,0),0)</f>
        <v>0</v>
      </c>
    </row>
    <row r="329" spans="17:18">
      <c r="Q329" s="297">
        <f>IF($J331=$A$21,IF($M331=$A$16,$L331,0),0)</f>
        <v>0</v>
      </c>
      <c r="R329" s="297">
        <f>IF($J331=$A$22,IF($M331=$A$16,$L331,0),0)</f>
        <v>0</v>
      </c>
    </row>
    <row r="330" spans="17:18">
      <c r="Q330" s="297">
        <f>IF($J332=$A$21,IF($M332=$A$16,$L332,0),0)</f>
        <v>0</v>
      </c>
      <c r="R330" s="297">
        <f>IF($J332=$A$22,IF($M332=$A$16,$L332,0),0)</f>
        <v>0</v>
      </c>
    </row>
    <row r="331" spans="17:18">
      <c r="Q331" s="297">
        <f>IF($J333=$A$21,IF($M333=$A$16,$L333,0),0)</f>
        <v>0</v>
      </c>
      <c r="R331" s="297">
        <f>IF($J333=$A$22,IF($M333=$A$16,$L333,0),0)</f>
        <v>0</v>
      </c>
    </row>
    <row r="332" spans="17:18">
      <c r="Q332" s="297">
        <f>IF($J334=$A$21,IF($M334=$A$16,$L334,0),0)</f>
        <v>0</v>
      </c>
      <c r="R332" s="297">
        <f>IF($J334=$A$22,IF($M334=$A$16,$L334,0),0)</f>
        <v>0</v>
      </c>
    </row>
    <row r="333" spans="17:18">
      <c r="Q333" s="297">
        <f>IF($J335=$A$21,IF($M335=$A$16,$L335,0),0)</f>
        <v>0</v>
      </c>
      <c r="R333" s="297">
        <f>IF($J335=$A$22,IF($M335=$A$16,$L335,0),0)</f>
        <v>0</v>
      </c>
    </row>
    <row r="334" spans="17:18">
      <c r="Q334" s="297">
        <f>IF($J336=$A$21,IF($M336=$A$16,$L336,0),0)</f>
        <v>0</v>
      </c>
      <c r="R334" s="297">
        <f>IF($J336=$A$22,IF($M336=$A$16,$L336,0),0)</f>
        <v>0</v>
      </c>
    </row>
    <row r="335" spans="17:18">
      <c r="Q335" s="297">
        <f>IF($J337=$A$21,IF($M337=$A$16,$L337,0),0)</f>
        <v>0</v>
      </c>
      <c r="R335" s="297">
        <f>IF($J337=$A$22,IF($M337=$A$16,$L337,0),0)</f>
        <v>0</v>
      </c>
    </row>
    <row r="336" spans="17:18">
      <c r="Q336" s="297">
        <f>IF($J338=$A$21,IF($M338=$A$16,$L338,0),0)</f>
        <v>0</v>
      </c>
      <c r="R336" s="297">
        <f>IF($J338=$A$22,IF($M338=$A$16,$L338,0),0)</f>
        <v>0</v>
      </c>
    </row>
    <row r="337" spans="17:18">
      <c r="Q337" s="297">
        <f>IF($J339=$A$21,IF($M339=$A$16,$L339,0),0)</f>
        <v>0</v>
      </c>
      <c r="R337" s="297">
        <f>IF($J339=$A$22,IF($M339=$A$16,$L339,0),0)</f>
        <v>0</v>
      </c>
    </row>
    <row r="338" spans="17:18">
      <c r="Q338" s="297">
        <f>IF($J340=$A$21,IF($M340=$A$16,$L340,0),0)</f>
        <v>0</v>
      </c>
      <c r="R338" s="297">
        <f>IF($J340=$A$22,IF($M340=$A$16,$L340,0),0)</f>
        <v>0</v>
      </c>
    </row>
    <row r="339" spans="17:18">
      <c r="Q339" s="297">
        <f>IF($J341=$A$21,IF($M341=$A$16,$L341,0),0)</f>
        <v>0</v>
      </c>
      <c r="R339" s="297">
        <f>IF($J341=$A$22,IF($M341=$A$16,$L341,0),0)</f>
        <v>0</v>
      </c>
    </row>
    <row r="340" spans="17:18">
      <c r="Q340" s="297">
        <f>IF($J342=$A$21,IF($M342=$A$16,$L342,0),0)</f>
        <v>0</v>
      </c>
      <c r="R340" s="297">
        <f>IF($J342=$A$22,IF($M342=$A$16,$L342,0),0)</f>
        <v>0</v>
      </c>
    </row>
    <row r="341" spans="17:18">
      <c r="Q341" s="297">
        <f>IF($J343=$A$21,IF($M343=$A$16,$L343,0),0)</f>
        <v>0</v>
      </c>
      <c r="R341" s="297">
        <f>IF($J343=$A$22,IF($M343=$A$16,$L343,0),0)</f>
        <v>0</v>
      </c>
    </row>
    <row r="342" spans="17:18">
      <c r="Q342" s="297">
        <f>IF($J344=$A$21,IF($M344=$A$16,$L344,0),0)</f>
        <v>0</v>
      </c>
      <c r="R342" s="297">
        <f>IF($J344=$A$22,IF($M344=$A$16,$L344,0),0)</f>
        <v>0</v>
      </c>
    </row>
    <row r="343" spans="17:18">
      <c r="Q343" s="297">
        <f>IF($J345=$A$21,IF($M345=$A$16,$L345,0),0)</f>
        <v>0</v>
      </c>
      <c r="R343" s="297">
        <f>IF($J345=$A$22,IF($M345=$A$16,$L345,0),0)</f>
        <v>0</v>
      </c>
    </row>
    <row r="344" spans="17:18">
      <c r="Q344" s="297">
        <f>IF($J346=$A$21,IF($M346=$A$16,$L346,0),0)</f>
        <v>0</v>
      </c>
      <c r="R344" s="297">
        <f>IF($J346=$A$22,IF($M346=$A$16,$L346,0),0)</f>
        <v>0</v>
      </c>
    </row>
    <row r="345" spans="17:18">
      <c r="Q345" s="297">
        <f>IF($J347=$A$21,IF($M347=$A$16,$L347,0),0)</f>
        <v>0</v>
      </c>
      <c r="R345" s="297">
        <f>IF($J347=$A$22,IF($M347=$A$16,$L347,0),0)</f>
        <v>0</v>
      </c>
    </row>
    <row r="346" spans="17:18">
      <c r="Q346" s="297">
        <f>IF($J348=$A$21,IF($M348=$A$16,$L348,0),0)</f>
        <v>0</v>
      </c>
      <c r="R346" s="297">
        <f>IF($J348=$A$22,IF($M348=$A$16,$L348,0),0)</f>
        <v>0</v>
      </c>
    </row>
    <row r="347" spans="17:18">
      <c r="Q347" s="297">
        <f>IF($J349=$A$21,IF($M349=$A$16,$L349,0),0)</f>
        <v>0</v>
      </c>
      <c r="R347" s="297">
        <f>IF($J349=$A$22,IF($M349=$A$16,$L349,0),0)</f>
        <v>0</v>
      </c>
    </row>
    <row r="348" spans="17:18">
      <c r="Q348" s="297">
        <f>IF($J350=$A$21,IF($M350=$A$16,$L350,0),0)</f>
        <v>0</v>
      </c>
      <c r="R348" s="297">
        <f>IF($J350=$A$22,IF($M350=$A$16,$L350,0),0)</f>
        <v>0</v>
      </c>
    </row>
    <row r="349" spans="17:18">
      <c r="Q349" s="297">
        <f>IF($J351=$A$21,IF($M351=$A$16,$L351,0),0)</f>
        <v>0</v>
      </c>
      <c r="R349" s="297">
        <f>IF($J351=$A$22,IF($M351=$A$16,$L351,0),0)</f>
        <v>0</v>
      </c>
    </row>
    <row r="350" spans="17:18">
      <c r="Q350" s="297">
        <f>IF($J352=$A$21,IF($M352=$A$16,$L352,0),0)</f>
        <v>0</v>
      </c>
      <c r="R350" s="297">
        <f>IF($J352=$A$22,IF($M352=$A$16,$L352,0),0)</f>
        <v>0</v>
      </c>
    </row>
    <row r="351" spans="17:18">
      <c r="Q351" s="297">
        <f>IF($J353=$A$21,IF($M353=$A$16,$L353,0),0)</f>
        <v>0</v>
      </c>
      <c r="R351" s="297">
        <f>IF($J353=$A$22,IF($M353=$A$16,$L353,0),0)</f>
        <v>0</v>
      </c>
    </row>
    <row r="352" spans="17:18">
      <c r="Q352" s="297">
        <f>IF($J354=$A$21,IF($M354=$A$16,$L354,0),0)</f>
        <v>0</v>
      </c>
      <c r="R352" s="297">
        <f>IF($J354=$A$22,IF($M354=$A$16,$L354,0),0)</f>
        <v>0</v>
      </c>
    </row>
    <row r="353" spans="17:18">
      <c r="Q353" s="297">
        <f>IF($J355=$A$21,IF($M355=$A$16,$L355,0),0)</f>
        <v>0</v>
      </c>
      <c r="R353" s="297">
        <f>IF($J355=$A$22,IF($M355=$A$16,$L355,0),0)</f>
        <v>0</v>
      </c>
    </row>
    <row r="354" spans="17:18">
      <c r="Q354" s="297">
        <f>IF($J356=$A$21,IF($M356=$A$16,$L356,0),0)</f>
        <v>0</v>
      </c>
      <c r="R354" s="297">
        <f>IF($J356=$A$22,IF($M356=$A$16,$L356,0),0)</f>
        <v>0</v>
      </c>
    </row>
    <row r="355" spans="17:18">
      <c r="Q355" s="297">
        <f>IF($J357=$A$21,IF($M357=$A$16,$L357,0),0)</f>
        <v>0</v>
      </c>
      <c r="R355" s="297">
        <f>IF($J357=$A$22,IF($M357=$A$16,$L357,0),0)</f>
        <v>0</v>
      </c>
    </row>
    <row r="356" spans="17:18">
      <c r="Q356" s="297">
        <f>IF($J358=$A$21,IF($M358=$A$16,$L358,0),0)</f>
        <v>0</v>
      </c>
      <c r="R356" s="297">
        <f>IF($J358=$A$22,IF($M358=$A$16,$L358,0),0)</f>
        <v>0</v>
      </c>
    </row>
    <row r="357" spans="17:18">
      <c r="Q357" s="297">
        <f>IF($J359=$A$21,IF($M359=$A$16,$L359,0),0)</f>
        <v>0</v>
      </c>
      <c r="R357" s="297">
        <f>IF($J359=$A$22,IF($M359=$A$16,$L359,0),0)</f>
        <v>0</v>
      </c>
    </row>
    <row r="358" spans="17:18">
      <c r="Q358" s="297">
        <f>IF($J360=$A$21,IF($M360=$A$16,$L360,0),0)</f>
        <v>0</v>
      </c>
      <c r="R358" s="297">
        <f>IF($J360=$A$22,IF($M360=$A$16,$L360,0),0)</f>
        <v>0</v>
      </c>
    </row>
    <row r="359" spans="17:18">
      <c r="Q359" s="297">
        <f>IF($J361=$A$21,IF($M361=$A$16,$L361,0),0)</f>
        <v>0</v>
      </c>
      <c r="R359" s="297">
        <f>IF($J361=$A$22,IF($M361=$A$16,$L361,0),0)</f>
        <v>0</v>
      </c>
    </row>
    <row r="360" spans="17:18">
      <c r="Q360" s="297">
        <f>IF($J362=$A$21,IF($M362=$A$16,$L362,0),0)</f>
        <v>0</v>
      </c>
      <c r="R360" s="297">
        <f>IF($J362=$A$22,IF($M362=$A$16,$L362,0),0)</f>
        <v>0</v>
      </c>
    </row>
    <row r="361" spans="17:18">
      <c r="Q361" s="297">
        <f>IF($J363=$A$21,IF($M363=$A$16,$L363,0),0)</f>
        <v>0</v>
      </c>
      <c r="R361" s="297">
        <f>IF($J363=$A$22,IF($M363=$A$16,$L363,0),0)</f>
        <v>0</v>
      </c>
    </row>
    <row r="362" spans="17:18">
      <c r="Q362" s="297">
        <f>IF($J364=$A$21,IF($M364=$A$16,$L364,0),0)</f>
        <v>0</v>
      </c>
      <c r="R362" s="297">
        <f>IF($J364=$A$22,IF($M364=$A$16,$L364,0),0)</f>
        <v>0</v>
      </c>
    </row>
    <row r="363" spans="17:18">
      <c r="Q363" s="297">
        <f>IF($J365=$A$21,IF($M365=$A$16,$L365,0),0)</f>
        <v>0</v>
      </c>
      <c r="R363" s="297">
        <f>IF($J365=$A$22,IF($M365=$A$16,$L365,0),0)</f>
        <v>0</v>
      </c>
    </row>
    <row r="364" spans="17:18">
      <c r="Q364" s="297">
        <f>IF($J366=$A$21,IF($M366=$A$16,$L366,0),0)</f>
        <v>0</v>
      </c>
      <c r="R364" s="297">
        <f>IF($J366=$A$22,IF($M366=$A$16,$L366,0),0)</f>
        <v>0</v>
      </c>
    </row>
    <row r="365" spans="17:18">
      <c r="Q365" s="297">
        <f>IF($J367=$A$21,IF($M367=$A$16,$L367,0),0)</f>
        <v>0</v>
      </c>
      <c r="R365" s="297">
        <f>IF($J367=$A$22,IF($M367=$A$16,$L367,0),0)</f>
        <v>0</v>
      </c>
    </row>
    <row r="366" spans="17:18">
      <c r="Q366" s="297">
        <f>IF($J368=$A$21,IF($M368=$A$16,$L368,0),0)</f>
        <v>0</v>
      </c>
      <c r="R366" s="297">
        <f>IF($J368=$A$22,IF($M368=$A$16,$L368,0),0)</f>
        <v>0</v>
      </c>
    </row>
    <row r="367" spans="17:18">
      <c r="Q367" s="297">
        <f>IF($J369=$A$21,IF($M369=$A$16,$L369,0),0)</f>
        <v>0</v>
      </c>
      <c r="R367" s="297">
        <f>IF($J369=$A$22,IF($M369=$A$16,$L369,0),0)</f>
        <v>0</v>
      </c>
    </row>
    <row r="368" spans="17:18">
      <c r="Q368" s="297">
        <f>IF($J370=$A$21,IF($M370=$A$16,$L370,0),0)</f>
        <v>0</v>
      </c>
      <c r="R368" s="297">
        <f>IF($J370=$A$22,IF($M370=$A$16,$L370,0),0)</f>
        <v>0</v>
      </c>
    </row>
    <row r="369" spans="17:18">
      <c r="Q369" s="297">
        <f>IF($J371=$A$21,IF($M371=$A$16,$L371,0),0)</f>
        <v>0</v>
      </c>
      <c r="R369" s="297">
        <f>IF($J371=$A$22,IF($M371=$A$16,$L371,0),0)</f>
        <v>0</v>
      </c>
    </row>
    <row r="370" spans="17:18">
      <c r="Q370" s="297">
        <f>IF($J372=$A$21,IF($M372=$A$16,$L372,0),0)</f>
        <v>0</v>
      </c>
      <c r="R370" s="297">
        <f>IF($J372=$A$22,IF($M372=$A$16,$L372,0),0)</f>
        <v>0</v>
      </c>
    </row>
    <row r="371" spans="17:18">
      <c r="Q371" s="297">
        <f>IF($J373=$A$21,IF($M373=$A$16,$L373,0),0)</f>
        <v>0</v>
      </c>
      <c r="R371" s="297">
        <f>IF($J373=$A$22,IF($M373=$A$16,$L373,0),0)</f>
        <v>0</v>
      </c>
    </row>
    <row r="372" spans="17:18">
      <c r="Q372" s="297">
        <f>IF($J374=$A$21,IF($M374=$A$16,$L374,0),0)</f>
        <v>0</v>
      </c>
      <c r="R372" s="297">
        <f>IF($J374=$A$22,IF($M374=$A$16,$L374,0),0)</f>
        <v>0</v>
      </c>
    </row>
    <row r="373" spans="17:18">
      <c r="Q373" s="297">
        <f>IF($J375=$A$21,IF($M375=$A$16,$L375,0),0)</f>
        <v>0</v>
      </c>
      <c r="R373" s="297">
        <f>IF($J375=$A$22,IF($M375=$A$16,$L375,0),0)</f>
        <v>0</v>
      </c>
    </row>
    <row r="374" spans="17:18">
      <c r="Q374" s="297">
        <f>IF($J376=$A$21,IF($M376=$A$16,$L376,0),0)</f>
        <v>0</v>
      </c>
      <c r="R374" s="297">
        <f>IF($J376=$A$22,IF($M376=$A$16,$L376,0),0)</f>
        <v>0</v>
      </c>
    </row>
    <row r="375" spans="17:18">
      <c r="Q375" s="297">
        <f>IF($J377=$A$21,IF($M377=$A$16,$L377,0),0)</f>
        <v>0</v>
      </c>
      <c r="R375" s="297">
        <f>IF($J377=$A$22,IF($M377=$A$16,$L377,0),0)</f>
        <v>0</v>
      </c>
    </row>
    <row r="376" spans="17:18">
      <c r="Q376" s="297">
        <f>IF($J378=$A$21,IF($M378=$A$16,$L378,0),0)</f>
        <v>0</v>
      </c>
      <c r="R376" s="297">
        <f>IF($J378=$A$22,IF($M378=$A$16,$L378,0),0)</f>
        <v>0</v>
      </c>
    </row>
    <row r="377" spans="17:18">
      <c r="Q377" s="297">
        <f>IF($J379=$A$21,IF($M379=$A$16,$L379,0),0)</f>
        <v>0</v>
      </c>
      <c r="R377" s="297">
        <f>IF($J379=$A$22,IF($M379=$A$16,$L379,0),0)</f>
        <v>0</v>
      </c>
    </row>
    <row r="378" spans="17:18">
      <c r="Q378" s="297">
        <f>IF($J380=$A$21,IF($M380=$A$16,$L380,0),0)</f>
        <v>0</v>
      </c>
      <c r="R378" s="297">
        <f>IF($J380=$A$22,IF($M380=$A$16,$L380,0),0)</f>
        <v>0</v>
      </c>
    </row>
    <row r="379" spans="17:18">
      <c r="Q379" s="297">
        <f>IF($J381=$A$21,IF($M381=$A$16,$L381,0),0)</f>
        <v>0</v>
      </c>
      <c r="R379" s="297">
        <f>IF($J381=$A$22,IF($M381=$A$16,$L381,0),0)</f>
        <v>0</v>
      </c>
    </row>
    <row r="380" spans="17:18">
      <c r="Q380" s="297">
        <f>IF($J382=$A$21,IF($M382=$A$16,$L382,0),0)</f>
        <v>0</v>
      </c>
      <c r="R380" s="297">
        <f>IF($J382=$A$22,IF($M382=$A$16,$L382,0),0)</f>
        <v>0</v>
      </c>
    </row>
    <row r="381" spans="17:18">
      <c r="Q381" s="297">
        <f>IF($J383=$A$21,IF($M383=$A$16,$L383,0),0)</f>
        <v>0</v>
      </c>
      <c r="R381" s="297">
        <f>IF($J383=$A$22,IF($M383=$A$16,$L383,0),0)</f>
        <v>0</v>
      </c>
    </row>
    <row r="382" spans="17:18">
      <c r="Q382" s="297">
        <f>IF($J384=$A$21,IF($M384=$A$16,$L384,0),0)</f>
        <v>0</v>
      </c>
      <c r="R382" s="297">
        <f>IF($J384=$A$22,IF($M384=$A$16,$L384,0),0)</f>
        <v>0</v>
      </c>
    </row>
    <row r="383" spans="17:18">
      <c r="Q383" s="297">
        <f>IF($J385=$A$21,IF($M385=$A$16,$L385,0),0)</f>
        <v>0</v>
      </c>
      <c r="R383" s="297">
        <f>IF($J385=$A$22,IF($M385=$A$16,$L385,0),0)</f>
        <v>0</v>
      </c>
    </row>
    <row r="384" spans="17:18">
      <c r="Q384" s="297">
        <f>IF($J386=$A$21,IF($M386=$A$16,$L386,0),0)</f>
        <v>0</v>
      </c>
      <c r="R384" s="297">
        <f>IF($J386=$A$22,IF($M386=$A$16,$L386,0),0)</f>
        <v>0</v>
      </c>
    </row>
    <row r="385" spans="17:18">
      <c r="Q385" s="297">
        <f>IF($J387=$A$21,IF($M387=$A$16,$L387,0),0)</f>
        <v>0</v>
      </c>
      <c r="R385" s="297">
        <f>IF($J387=$A$22,IF($M387=$A$16,$L387,0),0)</f>
        <v>0</v>
      </c>
    </row>
    <row r="386" spans="17:18">
      <c r="Q386" s="297">
        <f>IF($J388=$A$21,IF($M388=$A$16,$L388,0),0)</f>
        <v>0</v>
      </c>
      <c r="R386" s="297">
        <f>IF($J388=$A$22,IF($M388=$A$16,$L388,0),0)</f>
        <v>0</v>
      </c>
    </row>
    <row r="387" spans="17:18">
      <c r="Q387" s="297">
        <f>IF($J389=$A$21,IF($M389=$A$16,$L389,0),0)</f>
        <v>0</v>
      </c>
      <c r="R387" s="297">
        <f>IF($J389=$A$22,IF($M389=$A$16,$L389,0),0)</f>
        <v>0</v>
      </c>
    </row>
    <row r="388" spans="17:18">
      <c r="Q388" s="297">
        <f>IF($J390=$A$21,IF($M390=$A$16,$L390,0),0)</f>
        <v>0</v>
      </c>
      <c r="R388" s="297">
        <f>IF($J390=$A$22,IF($M390=$A$16,$L390,0),0)</f>
        <v>0</v>
      </c>
    </row>
    <row r="389" spans="17:18">
      <c r="Q389" s="297">
        <f>IF($J391=$A$21,IF($M391=$A$16,$L391,0),0)</f>
        <v>0</v>
      </c>
      <c r="R389" s="297">
        <f>IF($J391=$A$22,IF($M391=$A$16,$L391,0),0)</f>
        <v>0</v>
      </c>
    </row>
    <row r="390" spans="17:18">
      <c r="Q390" s="297">
        <f>IF($J392=$A$21,IF($M392=$A$16,$L392,0),0)</f>
        <v>0</v>
      </c>
      <c r="R390" s="297">
        <f>IF($J392=$A$22,IF($M392=$A$16,$L392,0),0)</f>
        <v>0</v>
      </c>
    </row>
    <row r="391" spans="17:18">
      <c r="Q391" s="297">
        <f>IF($J393=$A$21,IF($M393=$A$16,$L393,0),0)</f>
        <v>0</v>
      </c>
      <c r="R391" s="297">
        <f>IF($J393=$A$22,IF($M393=$A$16,$L393,0),0)</f>
        <v>0</v>
      </c>
    </row>
    <row r="392" spans="17:18">
      <c r="Q392" s="297">
        <f>IF($J394=$A$21,IF($M394=$A$16,$L394,0),0)</f>
        <v>0</v>
      </c>
      <c r="R392" s="297">
        <f>IF($J394=$A$22,IF($M394=$A$16,$L394,0),0)</f>
        <v>0</v>
      </c>
    </row>
    <row r="393" spans="17:18">
      <c r="Q393" s="297">
        <f>IF($J395=$A$21,IF($M395=$A$16,$L395,0),0)</f>
        <v>0</v>
      </c>
      <c r="R393" s="297">
        <f>IF($J395=$A$22,IF($M395=$A$16,$L395,0),0)</f>
        <v>0</v>
      </c>
    </row>
    <row r="394" spans="17:18">
      <c r="Q394" s="297">
        <f>IF($J396=$A$21,IF($M396=$A$16,$L396,0),0)</f>
        <v>0</v>
      </c>
      <c r="R394" s="297">
        <f>IF($J396=$A$22,IF($M396=$A$16,$L396,0),0)</f>
        <v>0</v>
      </c>
    </row>
    <row r="395" spans="17:18">
      <c r="Q395" s="297">
        <f>IF($J397=$A$21,IF($M397=$A$16,$L397,0),0)</f>
        <v>0</v>
      </c>
      <c r="R395" s="297">
        <f>IF($J397=$A$22,IF($M397=$A$16,$L397,0),0)</f>
        <v>0</v>
      </c>
    </row>
    <row r="396" spans="17:18">
      <c r="Q396" s="297">
        <f>IF($J398=$A$21,IF($M398=$A$16,$L398,0),0)</f>
        <v>0</v>
      </c>
      <c r="R396" s="297">
        <f>IF($J398=$A$22,IF($M398=$A$16,$L398,0),0)</f>
        <v>0</v>
      </c>
    </row>
    <row r="397" spans="17:18">
      <c r="Q397" s="297">
        <f>IF($J399=$A$21,IF($M399=$A$16,$L399,0),0)</f>
        <v>0</v>
      </c>
      <c r="R397" s="297">
        <f>IF($J399=$A$22,IF($M399=$A$16,$L399,0),0)</f>
        <v>0</v>
      </c>
    </row>
    <row r="398" spans="17:18">
      <c r="Q398" s="297">
        <f>IF($J400=$A$21,IF($M400=$A$16,$L400,0),0)</f>
        <v>0</v>
      </c>
      <c r="R398" s="297">
        <f>IF($J400=$A$22,IF($M400=$A$16,$L400,0),0)</f>
        <v>0</v>
      </c>
    </row>
    <row r="399" spans="17:18">
      <c r="Q399" s="297">
        <f>IF($J401=$A$21,IF($M401=$A$16,$L401,0),0)</f>
        <v>0</v>
      </c>
      <c r="R399" s="297">
        <f>IF($J401=$A$22,IF($M401=$A$16,$L401,0),0)</f>
        <v>0</v>
      </c>
    </row>
    <row r="400" spans="17:18">
      <c r="Q400" s="297">
        <f>IF($J402=$A$21,IF($M402=$A$16,$L402,0),0)</f>
        <v>0</v>
      </c>
      <c r="R400" s="297">
        <f>IF($J402=$A$22,IF($M402=$A$16,$L402,0),0)</f>
        <v>0</v>
      </c>
    </row>
    <row r="401" spans="17:18">
      <c r="Q401" s="297">
        <f>IF($J403=$A$21,IF($M403=$A$16,$L403,0),0)</f>
        <v>0</v>
      </c>
      <c r="R401" s="297">
        <f>IF($J403=$A$22,IF($M403=$A$16,$L403,0),0)</f>
        <v>0</v>
      </c>
    </row>
    <row r="402" spans="17:18">
      <c r="Q402" s="297">
        <f>IF($J404=$A$21,IF($M404=$A$16,$L404,0),0)</f>
        <v>0</v>
      </c>
      <c r="R402" s="297">
        <f>IF($J404=$A$22,IF($M404=$A$16,$L404,0),0)</f>
        <v>0</v>
      </c>
    </row>
    <row r="403" spans="17:18">
      <c r="Q403" s="297">
        <f>IF($J405=$A$21,IF($M405=$A$16,$L405,0),0)</f>
        <v>0</v>
      </c>
      <c r="R403" s="297">
        <f>IF($J405=$A$22,IF($M405=$A$16,$L405,0),0)</f>
        <v>0</v>
      </c>
    </row>
    <row r="404" spans="17:18">
      <c r="Q404" s="297">
        <f>IF($J406=$A$21,IF($M406=$A$16,$L406,0),0)</f>
        <v>0</v>
      </c>
      <c r="R404" s="297">
        <f>IF($J406=$A$22,IF($M406=$A$16,$L406,0),0)</f>
        <v>0</v>
      </c>
    </row>
    <row r="405" spans="17:18">
      <c r="Q405" s="297">
        <f>IF($J407=$A$21,IF($M407=$A$16,$L407,0),0)</f>
        <v>0</v>
      </c>
      <c r="R405" s="297">
        <f>IF($J407=$A$22,IF($M407=$A$16,$L407,0),0)</f>
        <v>0</v>
      </c>
    </row>
    <row r="406" spans="17:18">
      <c r="Q406" s="297">
        <f>IF($J408=$A$21,IF($M408=$A$16,$L408,0),0)</f>
        <v>0</v>
      </c>
      <c r="R406" s="297">
        <f>IF($J408=$A$22,IF($M408=$A$16,$L408,0),0)</f>
        <v>0</v>
      </c>
    </row>
    <row r="407" spans="17:18">
      <c r="Q407" s="297">
        <f>IF($J409=$A$21,IF($M409=$A$16,$L409,0),0)</f>
        <v>0</v>
      </c>
      <c r="R407" s="297">
        <f>IF($J409=$A$22,IF($M409=$A$16,$L409,0),0)</f>
        <v>0</v>
      </c>
    </row>
    <row r="408" spans="17:18">
      <c r="Q408" s="297">
        <f>IF($J410=$A$21,IF($M410=$A$16,$L410,0),0)</f>
        <v>0</v>
      </c>
      <c r="R408" s="297">
        <f>IF($J410=$A$22,IF($M410=$A$16,$L410,0),0)</f>
        <v>0</v>
      </c>
    </row>
    <row r="409" spans="17:18">
      <c r="Q409" s="297">
        <f>IF($J411=$A$21,IF($M411=$A$16,$L411,0),0)</f>
        <v>0</v>
      </c>
      <c r="R409" s="297">
        <f>IF($J411=$A$22,IF($M411=$A$16,$L411,0),0)</f>
        <v>0</v>
      </c>
    </row>
    <row r="410" spans="17:18">
      <c r="Q410" s="297">
        <f>IF($J412=$A$21,IF($M412=$A$16,$L412,0),0)</f>
        <v>0</v>
      </c>
      <c r="R410" s="297">
        <f>IF($J412=$A$22,IF($M412=$A$16,$L412,0),0)</f>
        <v>0</v>
      </c>
    </row>
    <row r="411" spans="17:18">
      <c r="Q411" s="297">
        <f>IF($J413=$A$21,IF($M413=$A$16,$L413,0),0)</f>
        <v>0</v>
      </c>
      <c r="R411" s="297">
        <f>IF($J413=$A$22,IF($M413=$A$16,$L413,0),0)</f>
        <v>0</v>
      </c>
    </row>
    <row r="412" spans="17:18">
      <c r="Q412" s="297">
        <f>IF($J414=$A$21,IF($M414=$A$16,$L414,0),0)</f>
        <v>0</v>
      </c>
      <c r="R412" s="297">
        <f>IF($J414=$A$22,IF($M414=$A$16,$L414,0),0)</f>
        <v>0</v>
      </c>
    </row>
    <row r="413" spans="17:18">
      <c r="Q413" s="297">
        <f>IF($J415=$A$21,IF($M415=$A$16,$L415,0),0)</f>
        <v>0</v>
      </c>
      <c r="R413" s="297">
        <f>IF($J415=$A$22,IF($M415=$A$16,$L415,0),0)</f>
        <v>0</v>
      </c>
    </row>
    <row r="414" spans="17:18">
      <c r="Q414" s="297">
        <f>IF($J416=$A$21,IF($M416=$A$16,$L416,0),0)</f>
        <v>0</v>
      </c>
      <c r="R414" s="297">
        <f>IF($J416=$A$22,IF($M416=$A$16,$L416,0),0)</f>
        <v>0</v>
      </c>
    </row>
    <row r="415" spans="17:18">
      <c r="Q415" s="297">
        <f>IF($J417=$A$21,IF($M417=$A$16,$L417,0),0)</f>
        <v>0</v>
      </c>
      <c r="R415" s="297">
        <f>IF($J417=$A$22,IF($M417=$A$16,$L417,0),0)</f>
        <v>0</v>
      </c>
    </row>
    <row r="416" spans="17:18">
      <c r="Q416" s="297">
        <f>IF($J418=$A$21,IF($M418=$A$16,$L418,0),0)</f>
        <v>0</v>
      </c>
      <c r="R416" s="297">
        <f>IF($J418=$A$22,IF($M418=$A$16,$L418,0),0)</f>
        <v>0</v>
      </c>
    </row>
    <row r="417" spans="17:18">
      <c r="Q417" s="297">
        <f>IF($J419=$A$21,IF($M419=$A$16,$L419,0),0)</f>
        <v>0</v>
      </c>
      <c r="R417" s="297">
        <f>IF($J419=$A$22,IF($M419=$A$16,$L419,0),0)</f>
        <v>0</v>
      </c>
    </row>
    <row r="418" spans="17:18">
      <c r="Q418" s="297">
        <f>IF($J420=$A$21,IF($M420=$A$16,$L420,0),0)</f>
        <v>0</v>
      </c>
      <c r="R418" s="297">
        <f>IF($J420=$A$22,IF($M420=$A$16,$L420,0),0)</f>
        <v>0</v>
      </c>
    </row>
    <row r="419" spans="17:18">
      <c r="Q419" s="297">
        <f>IF($J421=$A$21,IF($M421=$A$16,$L421,0),0)</f>
        <v>0</v>
      </c>
      <c r="R419" s="297">
        <f>IF($J421=$A$22,IF($M421=$A$16,$L421,0),0)</f>
        <v>0</v>
      </c>
    </row>
    <row r="420" spans="17:18">
      <c r="Q420" s="297">
        <f>IF($J422=$A$21,IF($M422=$A$16,$L422,0),0)</f>
        <v>0</v>
      </c>
      <c r="R420" s="297">
        <f>IF($J422=$A$22,IF($M422=$A$16,$L422,0),0)</f>
        <v>0</v>
      </c>
    </row>
    <row r="421" spans="17:18">
      <c r="Q421" s="297">
        <f>IF($J423=$A$21,IF($M423=$A$16,$L423,0),0)</f>
        <v>0</v>
      </c>
      <c r="R421" s="297">
        <f>IF($J423=$A$22,IF($M423=$A$16,$L423,0),0)</f>
        <v>0</v>
      </c>
    </row>
    <row r="422" spans="17:18">
      <c r="Q422" s="297">
        <f>IF($J424=$A$21,IF($M424=$A$16,$L424,0),0)</f>
        <v>0</v>
      </c>
      <c r="R422" s="297">
        <f>IF($J424=$A$22,IF($M424=$A$16,$L424,0),0)</f>
        <v>0</v>
      </c>
    </row>
    <row r="423" spans="17:18">
      <c r="Q423" s="297">
        <f>IF($J425=$A$21,IF($M425=$A$16,$L425,0),0)</f>
        <v>0</v>
      </c>
      <c r="R423" s="297">
        <f>IF($J425=$A$22,IF($M425=$A$16,$L425,0),0)</f>
        <v>0</v>
      </c>
    </row>
    <row r="424" spans="17:18">
      <c r="Q424" s="297">
        <f>IF($J426=$A$21,IF($M426=$A$16,$L426,0),0)</f>
        <v>0</v>
      </c>
      <c r="R424" s="297">
        <f>IF($J426=$A$22,IF($M426=$A$16,$L426,0),0)</f>
        <v>0</v>
      </c>
    </row>
    <row r="425" spans="17:18">
      <c r="Q425" s="297">
        <f>IF($J427=$A$21,IF($M427=$A$16,$L427,0),0)</f>
        <v>0</v>
      </c>
      <c r="R425" s="297">
        <f>IF($J427=$A$22,IF($M427=$A$16,$L427,0),0)</f>
        <v>0</v>
      </c>
    </row>
    <row r="426" spans="17:18">
      <c r="Q426" s="297">
        <f>IF($J428=$A$21,IF($M428=$A$16,$L428,0),0)</f>
        <v>0</v>
      </c>
      <c r="R426" s="297">
        <f>IF($J428=$A$22,IF($M428=$A$16,$L428,0),0)</f>
        <v>0</v>
      </c>
    </row>
    <row r="427" spans="17:18">
      <c r="Q427" s="297">
        <f>IF($J429=$A$21,IF($M429=$A$16,$L429,0),0)</f>
        <v>0</v>
      </c>
      <c r="R427" s="297">
        <f>IF($J429=$A$22,IF($M429=$A$16,$L429,0),0)</f>
        <v>0</v>
      </c>
    </row>
    <row r="428" spans="17:18">
      <c r="Q428" s="297">
        <f>IF($J430=$A$21,IF($M430=$A$16,$L430,0),0)</f>
        <v>0</v>
      </c>
      <c r="R428" s="297">
        <f>IF($J430=$A$22,IF($M430=$A$16,$L430,0),0)</f>
        <v>0</v>
      </c>
    </row>
    <row r="429" spans="17:18">
      <c r="Q429" s="297">
        <f>IF($J431=$A$21,IF($M431=$A$16,$L431,0),0)</f>
        <v>0</v>
      </c>
      <c r="R429" s="297">
        <f>IF($J431=$A$22,IF($M431=$A$16,$L431,0),0)</f>
        <v>0</v>
      </c>
    </row>
    <row r="430" spans="17:18">
      <c r="Q430" s="297">
        <f>IF($J432=$A$21,IF($M432=$A$16,$L432,0),0)</f>
        <v>0</v>
      </c>
      <c r="R430" s="297">
        <f>IF($J432=$A$22,IF($M432=$A$16,$L432,0),0)</f>
        <v>0</v>
      </c>
    </row>
    <row r="431" spans="17:18">
      <c r="Q431" s="297">
        <f>IF($J433=$A$21,IF($M433=$A$16,$L433,0),0)</f>
        <v>0</v>
      </c>
      <c r="R431" s="297">
        <f>IF($J433=$A$22,IF($M433=$A$16,$L433,0),0)</f>
        <v>0</v>
      </c>
    </row>
    <row r="432" spans="17:18">
      <c r="Q432" s="297">
        <f>IF($J434=$A$21,IF($M434=$A$16,$L434,0),0)</f>
        <v>0</v>
      </c>
      <c r="R432" s="297">
        <f>IF($J434=$A$22,IF($M434=$A$16,$L434,0),0)</f>
        <v>0</v>
      </c>
    </row>
    <row r="433" spans="17:18">
      <c r="Q433" s="297">
        <f>IF($J435=$A$21,IF($M435=$A$16,$L435,0),0)</f>
        <v>0</v>
      </c>
      <c r="R433" s="297">
        <f>IF($J435=$A$22,IF($M435=$A$16,$L435,0),0)</f>
        <v>0</v>
      </c>
    </row>
    <row r="434" spans="17:18">
      <c r="Q434" s="297">
        <f>IF($J436=$A$21,IF($M436=$A$16,$L436,0),0)</f>
        <v>0</v>
      </c>
      <c r="R434" s="297">
        <f>IF($J436=$A$22,IF($M436=$A$16,$L436,0),0)</f>
        <v>0</v>
      </c>
    </row>
    <row r="435" spans="17:18">
      <c r="Q435" s="297">
        <f>IF($J437=$A$21,IF($M437=$A$16,$L437,0),0)</f>
        <v>0</v>
      </c>
      <c r="R435" s="297">
        <f>IF($J437=$A$22,IF($M437=$A$16,$L437,0),0)</f>
        <v>0</v>
      </c>
    </row>
    <row r="436" spans="17:18">
      <c r="Q436" s="297">
        <f>IF($J438=$A$21,IF($M438=$A$16,$L438,0),0)</f>
        <v>0</v>
      </c>
      <c r="R436" s="297">
        <f>IF($J438=$A$22,IF($M438=$A$16,$L438,0),0)</f>
        <v>0</v>
      </c>
    </row>
    <row r="437" spans="17:18">
      <c r="Q437" s="297">
        <f>IF($J439=$A$21,IF($M439=$A$16,$L439,0),0)</f>
        <v>0</v>
      </c>
      <c r="R437" s="297">
        <f>IF($J439=$A$22,IF($M439=$A$16,$L439,0),0)</f>
        <v>0</v>
      </c>
    </row>
    <row r="438" spans="17:18">
      <c r="Q438" s="297">
        <f>IF($J440=$A$21,IF($M440=$A$16,$L440,0),0)</f>
        <v>0</v>
      </c>
      <c r="R438" s="297">
        <f>IF($J440=$A$22,IF($M440=$A$16,$L440,0),0)</f>
        <v>0</v>
      </c>
    </row>
    <row r="439" spans="17:18">
      <c r="Q439" s="297">
        <f>IF($J441=$A$21,IF($M441=$A$16,$L441,0),0)</f>
        <v>0</v>
      </c>
      <c r="R439" s="297">
        <f>IF($J441=$A$22,IF($M441=$A$16,$L441,0),0)</f>
        <v>0</v>
      </c>
    </row>
    <row r="440" spans="17:18">
      <c r="Q440" s="297">
        <f>IF($J442=$A$21,IF($M442=$A$16,$L442,0),0)</f>
        <v>0</v>
      </c>
      <c r="R440" s="297">
        <f>IF($J442=$A$22,IF($M442=$A$16,$L442,0),0)</f>
        <v>0</v>
      </c>
    </row>
    <row r="441" spans="17:18">
      <c r="Q441" s="297">
        <f>IF($J443=$A$21,IF($M443=$A$16,$L443,0),0)</f>
        <v>0</v>
      </c>
      <c r="R441" s="297">
        <f>IF($J443=$A$22,IF($M443=$A$16,$L443,0),0)</f>
        <v>0</v>
      </c>
    </row>
    <row r="442" spans="17:18">
      <c r="Q442" s="297">
        <f>IF($J444=$A$21,IF($M444=$A$16,$L444,0),0)</f>
        <v>0</v>
      </c>
      <c r="R442" s="297">
        <f>IF($J444=$A$22,IF($M444=$A$16,$L444,0),0)</f>
        <v>0</v>
      </c>
    </row>
    <row r="443" spans="17:18">
      <c r="Q443" s="297">
        <f>IF($J445=$A$21,IF($M445=$A$16,$L445,0),0)</f>
        <v>0</v>
      </c>
      <c r="R443" s="297">
        <f>IF($J445=$A$22,IF($M445=$A$16,$L445,0),0)</f>
        <v>0</v>
      </c>
    </row>
    <row r="444" spans="17:18">
      <c r="Q444" s="297">
        <f>IF($J446=$A$21,IF($M446=$A$16,$L446,0),0)</f>
        <v>0</v>
      </c>
      <c r="R444" s="297">
        <f>IF($J446=$A$22,IF($M446=$A$16,$L446,0),0)</f>
        <v>0</v>
      </c>
    </row>
    <row r="445" spans="17:18">
      <c r="Q445" s="297">
        <f>IF($J447=$A$21,IF($M447=$A$16,$L447,0),0)</f>
        <v>0</v>
      </c>
      <c r="R445" s="297">
        <f>IF($J447=$A$22,IF($M447=$A$16,$L447,0),0)</f>
        <v>0</v>
      </c>
    </row>
    <row r="446" spans="17:18">
      <c r="Q446" s="297">
        <f>IF($J448=$A$21,IF($M448=$A$16,$L448,0),0)</f>
        <v>0</v>
      </c>
      <c r="R446" s="297">
        <f>IF($J448=$A$22,IF($M448=$A$16,$L448,0),0)</f>
        <v>0</v>
      </c>
    </row>
    <row r="447" spans="17:18">
      <c r="Q447" s="297">
        <f>IF($J449=$A$21,IF($M449=$A$16,$L449,0),0)</f>
        <v>0</v>
      </c>
      <c r="R447" s="297">
        <f>IF($J449=$A$22,IF($M449=$A$16,$L449,0),0)</f>
        <v>0</v>
      </c>
    </row>
    <row r="448" spans="17:18">
      <c r="Q448" s="297">
        <f>IF($J450=$A$21,IF($M450=$A$16,$L450,0),0)</f>
        <v>0</v>
      </c>
      <c r="R448" s="297">
        <f>IF($J450=$A$22,IF($M450=$A$16,$L450,0),0)</f>
        <v>0</v>
      </c>
    </row>
    <row r="449" spans="17:18">
      <c r="Q449" s="297">
        <f>IF($J451=$A$21,IF($M451=$A$16,$L451,0),0)</f>
        <v>0</v>
      </c>
      <c r="R449" s="297">
        <f>IF($J451=$A$22,IF($M451=$A$16,$L451,0),0)</f>
        <v>0</v>
      </c>
    </row>
    <row r="450" spans="17:18">
      <c r="Q450" s="297">
        <f>IF($J452=$A$21,IF($M452=$A$16,$L452,0),0)</f>
        <v>0</v>
      </c>
      <c r="R450" s="297">
        <f>IF($J452=$A$22,IF($M452=$A$16,$L452,0),0)</f>
        <v>0</v>
      </c>
    </row>
    <row r="451" spans="17:18">
      <c r="Q451" s="297">
        <f>IF($J453=$A$21,IF($M453=$A$16,$L453,0),0)</f>
        <v>0</v>
      </c>
      <c r="R451" s="297">
        <f>IF($J453=$A$22,IF($M453=$A$16,$L453,0),0)</f>
        <v>0</v>
      </c>
    </row>
    <row r="452" spans="17:18">
      <c r="Q452" s="297">
        <f>IF($J454=$A$21,IF($M454=$A$16,$L454,0),0)</f>
        <v>0</v>
      </c>
      <c r="R452" s="297">
        <f>IF($J454=$A$22,IF($M454=$A$16,$L454,0),0)</f>
        <v>0</v>
      </c>
    </row>
    <row r="453" spans="17:18">
      <c r="Q453" s="297">
        <f>IF($J455=$A$21,IF($M455=$A$16,$L455,0),0)</f>
        <v>0</v>
      </c>
      <c r="R453" s="297">
        <f>IF($J455=$A$22,IF($M455=$A$16,$L455,0),0)</f>
        <v>0</v>
      </c>
    </row>
    <row r="454" spans="17:18">
      <c r="Q454" s="297">
        <f>IF($J456=$A$21,IF($M456=$A$16,$L456,0),0)</f>
        <v>0</v>
      </c>
      <c r="R454" s="297">
        <f>IF($J456=$A$22,IF($M456=$A$16,$L456,0),0)</f>
        <v>0</v>
      </c>
    </row>
    <row r="455" spans="17:18">
      <c r="Q455" s="297">
        <f>IF($J457=$A$21,IF($M457=$A$16,$L457,0),0)</f>
        <v>0</v>
      </c>
      <c r="R455" s="297">
        <f>IF($J457=$A$22,IF($M457=$A$16,$L457,0),0)</f>
        <v>0</v>
      </c>
    </row>
    <row r="456" spans="17:18">
      <c r="Q456" s="297">
        <f>IF($J458=$A$21,IF($M458=$A$16,$L458,0),0)</f>
        <v>0</v>
      </c>
      <c r="R456" s="297">
        <f>IF($J458=$A$22,IF($M458=$A$16,$L458,0),0)</f>
        <v>0</v>
      </c>
    </row>
    <row r="457" spans="17:18">
      <c r="Q457" s="297">
        <f>IF($J459=$A$21,IF($M459=$A$16,$L459,0),0)</f>
        <v>0</v>
      </c>
      <c r="R457" s="297">
        <f>IF($J459=$A$22,IF($M459=$A$16,$L459,0),0)</f>
        <v>0</v>
      </c>
    </row>
    <row r="458" spans="17:18">
      <c r="Q458" s="297">
        <f>IF($J460=$A$21,IF($M460=$A$16,$L460,0),0)</f>
        <v>0</v>
      </c>
      <c r="R458" s="297">
        <f>IF($J460=$A$22,IF($M460=$A$16,$L460,0),0)</f>
        <v>0</v>
      </c>
    </row>
    <row r="459" spans="17:18">
      <c r="Q459" s="297">
        <f>IF($J461=$A$21,IF($M461=$A$16,$L461,0),0)</f>
        <v>0</v>
      </c>
      <c r="R459" s="297">
        <f>IF($J461=$A$22,IF($M461=$A$16,$L461,0),0)</f>
        <v>0</v>
      </c>
    </row>
    <row r="460" spans="17:18">
      <c r="Q460" s="297">
        <f>IF($J462=$A$21,IF($M462=$A$16,$L462,0),0)</f>
        <v>0</v>
      </c>
      <c r="R460" s="297">
        <f>IF($J462=$A$22,IF($M462=$A$16,$L462,0),0)</f>
        <v>0</v>
      </c>
    </row>
    <row r="461" spans="17:18">
      <c r="Q461" s="297">
        <f>IF($J463=$A$21,IF($M463=$A$16,$L463,0),0)</f>
        <v>0</v>
      </c>
      <c r="R461" s="297">
        <f>IF($J463=$A$22,IF($M463=$A$16,$L463,0),0)</f>
        <v>0</v>
      </c>
    </row>
    <row r="462" spans="17:18">
      <c r="Q462" s="297">
        <f>IF($J464=$A$21,IF($M464=$A$16,$L464,0),0)</f>
        <v>0</v>
      </c>
      <c r="R462" s="297">
        <f>IF($J464=$A$22,IF($M464=$A$16,$L464,0),0)</f>
        <v>0</v>
      </c>
    </row>
    <row r="463" spans="17:18">
      <c r="Q463" s="297">
        <f>IF($J465=$A$21,IF($M465=$A$16,$L465,0),0)</f>
        <v>0</v>
      </c>
      <c r="R463" s="297">
        <f>IF($J465=$A$22,IF($M465=$A$16,$L465,0),0)</f>
        <v>0</v>
      </c>
    </row>
    <row r="464" spans="17:18">
      <c r="Q464" s="297">
        <f>IF($J466=$A$21,IF($M466=$A$16,$L466,0),0)</f>
        <v>0</v>
      </c>
      <c r="R464" s="297">
        <f>IF($J466=$A$22,IF($M466=$A$16,$L466,0),0)</f>
        <v>0</v>
      </c>
    </row>
    <row r="465" spans="17:18">
      <c r="Q465" s="297">
        <f>IF($J467=$A$21,IF($M467=$A$16,$L467,0),0)</f>
        <v>0</v>
      </c>
      <c r="R465" s="297">
        <f>IF($J467=$A$22,IF($M467=$A$16,$L467,0),0)</f>
        <v>0</v>
      </c>
    </row>
    <row r="466" spans="17:18">
      <c r="Q466" s="297">
        <f>IF($J468=$A$21,IF($M468=$A$16,$L468,0),0)</f>
        <v>0</v>
      </c>
      <c r="R466" s="297">
        <f>IF($J468=$A$22,IF($M468=$A$16,$L468,0),0)</f>
        <v>0</v>
      </c>
    </row>
    <row r="467" spans="17:18">
      <c r="Q467" s="297">
        <f>IF($J469=$A$21,IF($M469=$A$16,$L469,0),0)</f>
        <v>0</v>
      </c>
      <c r="R467" s="297">
        <f>IF($J469=$A$22,IF($M469=$A$16,$L469,0),0)</f>
        <v>0</v>
      </c>
    </row>
    <row r="468" spans="17:18">
      <c r="Q468" s="297">
        <f>IF($J470=$A$21,IF($M470=$A$16,$L470,0),0)</f>
        <v>0</v>
      </c>
      <c r="R468" s="297">
        <f>IF($J470=$A$22,IF($M470=$A$16,$L470,0),0)</f>
        <v>0</v>
      </c>
    </row>
    <row r="469" spans="17:18">
      <c r="Q469" s="297">
        <f>IF($J471=$A$21,IF($M471=$A$16,$L471,0),0)</f>
        <v>0</v>
      </c>
      <c r="R469" s="297">
        <f>IF($J471=$A$22,IF($M471=$A$16,$L471,0),0)</f>
        <v>0</v>
      </c>
    </row>
    <row r="470" spans="17:18">
      <c r="Q470" s="297">
        <f>IF($J472=$A$21,IF($M472=$A$16,$L472,0),0)</f>
        <v>0</v>
      </c>
      <c r="R470" s="297">
        <f>IF($J472=$A$22,IF($M472=$A$16,$L472,0),0)</f>
        <v>0</v>
      </c>
    </row>
    <row r="471" spans="17:18">
      <c r="Q471" s="297">
        <f>IF($J473=$A$21,IF($M473=$A$16,$L473,0),0)</f>
        <v>0</v>
      </c>
      <c r="R471" s="297">
        <f>IF($J473=$A$22,IF($M473=$A$16,$L473,0),0)</f>
        <v>0</v>
      </c>
    </row>
    <row r="472" spans="17:18">
      <c r="Q472" s="297">
        <f>IF($J474=$A$21,IF($M474=$A$16,$L474,0),0)</f>
        <v>0</v>
      </c>
      <c r="R472" s="297">
        <f>IF($J474=$A$22,IF($M474=$A$16,$L474,0),0)</f>
        <v>0</v>
      </c>
    </row>
    <row r="473" spans="17:18">
      <c r="Q473" s="297">
        <f>IF($J475=$A$21,IF($M475=$A$16,$L475,0),0)</f>
        <v>0</v>
      </c>
      <c r="R473" s="297">
        <f>IF($J475=$A$22,IF($M475=$A$16,$L475,0),0)</f>
        <v>0</v>
      </c>
    </row>
    <row r="474" spans="17:18">
      <c r="Q474" s="297">
        <f>IF($J476=$A$21,IF($M476=$A$16,$L476,0),0)</f>
        <v>0</v>
      </c>
      <c r="R474" s="297">
        <f>IF($J476=$A$22,IF($M476=$A$16,$L476,0),0)</f>
        <v>0</v>
      </c>
    </row>
    <row r="475" spans="17:18">
      <c r="Q475" s="297">
        <f>IF($J477=$A$21,IF($M477=$A$16,$L477,0),0)</f>
        <v>0</v>
      </c>
      <c r="R475" s="297">
        <f>IF($J477=$A$22,IF($M477=$A$16,$L477,0),0)</f>
        <v>0</v>
      </c>
    </row>
    <row r="476" spans="17:18">
      <c r="Q476" s="297">
        <f>IF($J478=$A$21,IF($M478=$A$16,$L478,0),0)</f>
        <v>0</v>
      </c>
      <c r="R476" s="297">
        <f>IF($J478=$A$22,IF($M478=$A$16,$L478,0),0)</f>
        <v>0</v>
      </c>
    </row>
    <row r="477" spans="17:18">
      <c r="Q477" s="297">
        <f>IF($J479=$A$21,IF($M479=$A$16,$L479,0),0)</f>
        <v>0</v>
      </c>
      <c r="R477" s="297">
        <f>IF($J479=$A$22,IF($M479=$A$16,$L479,0),0)</f>
        <v>0</v>
      </c>
    </row>
    <row r="478" spans="17:18">
      <c r="Q478" s="297">
        <f>IF($J480=$A$21,IF($M480=$A$16,$L480,0),0)</f>
        <v>0</v>
      </c>
      <c r="R478" s="297">
        <f>IF($J480=$A$22,IF($M480=$A$16,$L480,0),0)</f>
        <v>0</v>
      </c>
    </row>
    <row r="479" spans="17:18">
      <c r="Q479" s="297">
        <f>IF($J481=$A$21,IF($M481=$A$16,$L481,0),0)</f>
        <v>0</v>
      </c>
      <c r="R479" s="297">
        <f>IF($J481=$A$22,IF($M481=$A$16,$L481,0),0)</f>
        <v>0</v>
      </c>
    </row>
    <row r="480" spans="17:18">
      <c r="Q480" s="297">
        <f>IF($J482=$A$21,IF($M482=$A$16,$L482,0),0)</f>
        <v>0</v>
      </c>
      <c r="R480" s="297">
        <f>IF($J482=$A$22,IF($M482=$A$16,$L482,0),0)</f>
        <v>0</v>
      </c>
    </row>
    <row r="481" spans="17:18">
      <c r="Q481" s="297">
        <f>IF($J483=$A$21,IF($M483=$A$16,$L483,0),0)</f>
        <v>0</v>
      </c>
      <c r="R481" s="297">
        <f>IF($J483=$A$22,IF($M483=$A$16,$L483,0),0)</f>
        <v>0</v>
      </c>
    </row>
    <row r="482" spans="17:18">
      <c r="Q482" s="297">
        <f>IF($J484=$A$21,IF($M484=$A$16,$L484,0),0)</f>
        <v>0</v>
      </c>
      <c r="R482" s="297">
        <f>IF($J484=$A$22,IF($M484=$A$16,$L484,0),0)</f>
        <v>0</v>
      </c>
    </row>
    <row r="483" spans="17:18">
      <c r="Q483" s="297">
        <f>IF($J485=$A$21,IF($M485=$A$16,$L485,0),0)</f>
        <v>0</v>
      </c>
      <c r="R483" s="297">
        <f>IF($J485=$A$22,IF($M485=$A$16,$L485,0),0)</f>
        <v>0</v>
      </c>
    </row>
    <row r="484" spans="17:18">
      <c r="Q484" s="297">
        <f>IF($J486=$A$21,IF($M486=$A$16,$L486,0),0)</f>
        <v>0</v>
      </c>
      <c r="R484" s="297">
        <f>IF($J486=$A$22,IF($M486=$A$16,$L486,0),0)</f>
        <v>0</v>
      </c>
    </row>
    <row r="485" spans="17:18">
      <c r="Q485" s="297">
        <f>IF($J487=$A$21,IF($M487=$A$16,$L487,0),0)</f>
        <v>0</v>
      </c>
      <c r="R485" s="297">
        <f>IF($J487=$A$22,IF($M487=$A$16,$L487,0),0)</f>
        <v>0</v>
      </c>
    </row>
    <row r="486" spans="17:18">
      <c r="Q486" s="297">
        <f>IF($J488=$A$21,IF($M488=$A$16,$L488,0),0)</f>
        <v>0</v>
      </c>
      <c r="R486" s="297">
        <f>IF($J488=$A$22,IF($M488=$A$16,$L488,0),0)</f>
        <v>0</v>
      </c>
    </row>
    <row r="487" spans="17:18">
      <c r="Q487" s="297">
        <f>IF($J489=$A$21,IF($M489=$A$16,$L489,0),0)</f>
        <v>0</v>
      </c>
      <c r="R487" s="297">
        <f>IF($J489=$A$22,IF($M489=$A$16,$L489,0),0)</f>
        <v>0</v>
      </c>
    </row>
    <row r="488" spans="17:18">
      <c r="Q488" s="297">
        <f>IF($J490=$A$21,IF($M490=$A$16,$L490,0),0)</f>
        <v>0</v>
      </c>
      <c r="R488" s="297">
        <f>IF($J490=$A$22,IF($M490=$A$16,$L490,0),0)</f>
        <v>0</v>
      </c>
    </row>
    <row r="489" spans="17:18">
      <c r="Q489" s="297">
        <f>IF($J491=$A$21,IF($M491=$A$16,$L491,0),0)</f>
        <v>0</v>
      </c>
      <c r="R489" s="297">
        <f>IF($J491=$A$22,IF($M491=$A$16,$L491,0),0)</f>
        <v>0</v>
      </c>
    </row>
    <row r="490" spans="17:18">
      <c r="Q490" s="297">
        <f>IF($J492=$A$21,IF($M492=$A$16,$L492,0),0)</f>
        <v>0</v>
      </c>
      <c r="R490" s="297">
        <f>IF($J492=$A$22,IF($M492=$A$16,$L492,0),0)</f>
        <v>0</v>
      </c>
    </row>
    <row r="491" spans="17:18">
      <c r="Q491" s="297">
        <f>IF($J493=$A$21,IF($M493=$A$16,$L493,0),0)</f>
        <v>0</v>
      </c>
      <c r="R491" s="297">
        <f>IF($J493=$A$22,IF($M493=$A$16,$L493,0),0)</f>
        <v>0</v>
      </c>
    </row>
    <row r="492" spans="17:18">
      <c r="Q492" s="297">
        <f>IF($J494=$A$21,IF($M494=$A$16,$L494,0),0)</f>
        <v>0</v>
      </c>
      <c r="R492" s="297">
        <f>IF($J494=$A$22,IF($M494=$A$16,$L494,0),0)</f>
        <v>0</v>
      </c>
    </row>
    <row r="493" spans="17:18">
      <c r="Q493" s="297">
        <f>IF($J495=$A$21,IF($M495=$A$16,$L495,0),0)</f>
        <v>0</v>
      </c>
      <c r="R493" s="297">
        <f>IF($J495=$A$22,IF($M495=$A$16,$L495,0),0)</f>
        <v>0</v>
      </c>
    </row>
    <row r="494" spans="17:18">
      <c r="Q494" s="297">
        <f>IF($J496=$A$21,IF($M496=$A$16,$L496,0),0)</f>
        <v>0</v>
      </c>
      <c r="R494" s="297">
        <f>IF($J496=$A$22,IF($M496=$A$16,$L496,0),0)</f>
        <v>0</v>
      </c>
    </row>
    <row r="495" spans="17:18">
      <c r="Q495" s="297">
        <f>IF($J497=$A$21,IF($M497=$A$16,$L497,0),0)</f>
        <v>0</v>
      </c>
      <c r="R495" s="297">
        <f>IF($J497=$A$22,IF($M497=$A$16,$L497,0),0)</f>
        <v>0</v>
      </c>
    </row>
    <row r="496" spans="17:18">
      <c r="Q496" s="297">
        <f>IF($J498=$A$21,IF($M498=$A$16,$L498,0),0)</f>
        <v>0</v>
      </c>
      <c r="R496" s="297">
        <f>IF($J498=$A$22,IF($M498=$A$16,$L498,0),0)</f>
        <v>0</v>
      </c>
    </row>
    <row r="497" spans="17:18">
      <c r="Q497" s="297">
        <f>IF($J499=$A$21,IF($M499=$A$16,$L499,0),0)</f>
        <v>0</v>
      </c>
      <c r="R497" s="297">
        <f>IF($J499=$A$22,IF($M499=$A$16,$L499,0),0)</f>
        <v>0</v>
      </c>
    </row>
    <row r="498" spans="17:18">
      <c r="Q498" s="297">
        <f>IF($J500=$A$21,IF($M500=$A$16,$L500,0),0)</f>
        <v>0</v>
      </c>
      <c r="R498" s="297">
        <f>IF($J500=$A$22,IF($M500=$A$16,$L500,0),0)</f>
        <v>0</v>
      </c>
    </row>
    <row r="499" spans="17:18">
      <c r="Q499" s="297">
        <f>IF($J501=$A$21,IF($M501=$A$16,$L501,0),0)</f>
        <v>0</v>
      </c>
      <c r="R499" s="297">
        <f>IF($J501=$A$22,IF($M501=$A$16,$L501,0),0)</f>
        <v>0</v>
      </c>
    </row>
    <row r="500" spans="17:18">
      <c r="Q500" s="297">
        <f>IF($J502=$A$21,IF($M502=$A$16,$L502,0),0)</f>
        <v>0</v>
      </c>
      <c r="R500" s="297">
        <f>IF($J502=$A$22,IF($M502=$A$16,$L502,0),0)</f>
        <v>0</v>
      </c>
    </row>
    <row r="501" spans="17:18">
      <c r="Q501" s="297">
        <f>IF($J503=$A$21,IF($M503=$A$16,$L503,0),0)</f>
        <v>0</v>
      </c>
      <c r="R501" s="297">
        <f>IF($J503=$A$22,IF($M503=$A$16,$L503,0),0)</f>
        <v>0</v>
      </c>
    </row>
    <row r="502" spans="17:18">
      <c r="Q502" s="297">
        <f>IF($J504=$A$21,IF($M504=$A$16,$L504,0),0)</f>
        <v>0</v>
      </c>
      <c r="R502" s="297">
        <f>IF($J504=$A$22,IF($M504=$A$16,$L504,0),0)</f>
        <v>0</v>
      </c>
    </row>
    <row r="503" spans="17:18">
      <c r="Q503" s="297">
        <f>IF($J505=$A$21,IF($M505=$A$16,$L505,0),0)</f>
        <v>0</v>
      </c>
      <c r="R503" s="297">
        <f>IF($J505=$A$22,IF($M505=$A$16,$L505,0),0)</f>
        <v>0</v>
      </c>
    </row>
    <row r="504" spans="17:18">
      <c r="Q504" s="297">
        <f>IF($J506=$A$21,IF($M506=$A$16,$L506,0),0)</f>
        <v>0</v>
      </c>
      <c r="R504" s="297">
        <f>IF($J506=$A$22,IF($M506=$A$16,$L506,0),0)</f>
        <v>0</v>
      </c>
    </row>
    <row r="505" spans="17:18">
      <c r="Q505" s="297">
        <f>IF($J507=$A$21,IF($M507=$A$16,$L507,0),0)</f>
        <v>0</v>
      </c>
      <c r="R505" s="297">
        <f>IF($J507=$A$22,IF($M507=$A$16,$L507,0),0)</f>
        <v>0</v>
      </c>
    </row>
    <row r="506" spans="17:18">
      <c r="Q506" s="297">
        <f>IF($J508=$A$21,IF($M508=$A$16,$L508,0),0)</f>
        <v>0</v>
      </c>
      <c r="R506" s="297">
        <f>IF($J508=$A$22,IF($M508=$A$16,$L508,0),0)</f>
        <v>0</v>
      </c>
    </row>
    <row r="507" spans="17:18">
      <c r="Q507" s="297">
        <f>IF($J509=$A$21,IF($M509=$A$16,$L509,0),0)</f>
        <v>0</v>
      </c>
      <c r="R507" s="297">
        <f>IF($J509=$A$22,IF($M509=$A$16,$L509,0),0)</f>
        <v>0</v>
      </c>
    </row>
    <row r="508" spans="17:18">
      <c r="Q508" s="297">
        <f>IF($J510=$A$21,IF($M510=$A$16,$L510,0),0)</f>
        <v>0</v>
      </c>
      <c r="R508" s="297">
        <f>IF($J510=$A$22,IF($M510=$A$16,$L510,0),0)</f>
        <v>0</v>
      </c>
    </row>
    <row r="509" spans="17:18">
      <c r="Q509" s="297">
        <f>IF($J511=$A$21,IF($M511=$A$16,$L511,0),0)</f>
        <v>0</v>
      </c>
      <c r="R509" s="297">
        <f>IF($J511=$A$22,IF($M511=$A$16,$L511,0),0)</f>
        <v>0</v>
      </c>
    </row>
    <row r="510" spans="17:18">
      <c r="Q510" s="297">
        <f>IF($J512=$A$21,IF($M512=$A$16,$L512,0),0)</f>
        <v>0</v>
      </c>
      <c r="R510" s="297">
        <f>IF($J512=$A$22,IF($M512=$A$16,$L512,0),0)</f>
        <v>0</v>
      </c>
    </row>
    <row r="511" spans="17:18">
      <c r="Q511" s="297">
        <f>IF($J513=$A$21,IF($M513=$A$16,$L513,0),0)</f>
        <v>0</v>
      </c>
      <c r="R511" s="297">
        <f>IF($J513=$A$22,IF($M513=$A$16,$L513,0),0)</f>
        <v>0</v>
      </c>
    </row>
    <row r="512" spans="17:18">
      <c r="Q512" s="297">
        <f>IF($J514=$A$21,IF($M514=$A$16,$L514,0),0)</f>
        <v>0</v>
      </c>
      <c r="R512" s="297">
        <f>IF($J514=$A$22,IF($M514=$A$16,$L514,0),0)</f>
        <v>0</v>
      </c>
    </row>
    <row r="513" spans="17:18">
      <c r="Q513" s="297">
        <f>IF($J515=$A$21,IF($M515=$A$16,$L515,0),0)</f>
        <v>0</v>
      </c>
      <c r="R513" s="297">
        <f>IF($J515=$A$22,IF($M515=$A$16,$L515,0),0)</f>
        <v>0</v>
      </c>
    </row>
    <row r="514" spans="17:18">
      <c r="Q514" s="297">
        <f>IF($J516=$A$21,IF($M516=$A$16,$L516,0),0)</f>
        <v>0</v>
      </c>
      <c r="R514" s="297">
        <f>IF($J516=$A$22,IF($M516=$A$16,$L516,0),0)</f>
        <v>0</v>
      </c>
    </row>
    <row r="515" spans="17:18">
      <c r="Q515" s="297">
        <f>IF($J517=$A$21,IF($M517=$A$16,$L517,0),0)</f>
        <v>0</v>
      </c>
      <c r="R515" s="297">
        <f>IF($J517=$A$22,IF($M517=$A$16,$L517,0),0)</f>
        <v>0</v>
      </c>
    </row>
    <row r="516" spans="17:18">
      <c r="Q516" s="297">
        <f>IF($J518=$A$21,IF($M518=$A$16,$L518,0),0)</f>
        <v>0</v>
      </c>
      <c r="R516" s="297">
        <f>IF($J518=$A$22,IF($M518=$A$16,$L518,0),0)</f>
        <v>0</v>
      </c>
    </row>
    <row r="517" spans="17:18">
      <c r="Q517" s="297">
        <f>IF($J519=$A$21,IF($M519=$A$16,$L519,0),0)</f>
        <v>0</v>
      </c>
      <c r="R517" s="297">
        <f>IF($J519=$A$22,IF($M519=$A$16,$L519,0),0)</f>
        <v>0</v>
      </c>
    </row>
    <row r="518" spans="17:18">
      <c r="Q518" s="297">
        <f>IF($J520=$A$21,IF($M520=$A$16,$L520,0),0)</f>
        <v>0</v>
      </c>
      <c r="R518" s="297">
        <f>IF($J520=$A$22,IF($M520=$A$16,$L520,0),0)</f>
        <v>0</v>
      </c>
    </row>
    <row r="519" spans="17:18">
      <c r="Q519" s="297">
        <f>IF($J521=$A$21,IF($M521=$A$16,$L521,0),0)</f>
        <v>0</v>
      </c>
      <c r="R519" s="297">
        <f>IF($J521=$A$22,IF($M521=$A$16,$L521,0),0)</f>
        <v>0</v>
      </c>
    </row>
    <row r="520" spans="17:18">
      <c r="Q520" s="297">
        <f>IF($J522=$A$21,IF($M522=$A$16,$L522,0),0)</f>
        <v>0</v>
      </c>
      <c r="R520" s="297">
        <f>IF($J522=$A$22,IF($M522=$A$16,$L522,0),0)</f>
        <v>0</v>
      </c>
    </row>
    <row r="521" spans="17:18">
      <c r="Q521" s="297">
        <f>IF($J523=$A$21,IF($M523=$A$16,$L523,0),0)</f>
        <v>0</v>
      </c>
      <c r="R521" s="297">
        <f>IF($J523=$A$22,IF($M523=$A$16,$L523,0),0)</f>
        <v>0</v>
      </c>
    </row>
    <row r="522" spans="17:18">
      <c r="Q522" s="297">
        <f>IF($J524=$A$21,IF($M524=$A$16,$L524,0),0)</f>
        <v>0</v>
      </c>
      <c r="R522" s="297">
        <f>IF($J524=$A$22,IF($M524=$A$16,$L524,0),0)</f>
        <v>0</v>
      </c>
    </row>
    <row r="523" spans="17:18">
      <c r="Q523" s="297">
        <f>IF($J525=$A$21,IF($M525=$A$16,$L525,0),0)</f>
        <v>0</v>
      </c>
      <c r="R523" s="297">
        <f>IF($J525=$A$22,IF($M525=$A$16,$L525,0),0)</f>
        <v>0</v>
      </c>
    </row>
    <row r="524" spans="17:18">
      <c r="Q524" s="297">
        <f>IF($J526=$A$21,IF($M526=$A$16,$L526,0),0)</f>
        <v>0</v>
      </c>
      <c r="R524" s="297">
        <f>IF($J526=$A$22,IF($M526=$A$16,$L526,0),0)</f>
        <v>0</v>
      </c>
    </row>
    <row r="525" spans="17:18">
      <c r="Q525" s="297">
        <f>IF($J527=$A$21,IF($M527=$A$16,$L527,0),0)</f>
        <v>0</v>
      </c>
      <c r="R525" s="297">
        <f>IF($J527=$A$22,IF($M527=$A$16,$L527,0),0)</f>
        <v>0</v>
      </c>
    </row>
    <row r="526" spans="17:18">
      <c r="Q526" s="297">
        <f>IF($J528=$A$21,IF($M528=$A$16,$L528,0),0)</f>
        <v>0</v>
      </c>
      <c r="R526" s="297">
        <f>IF($J528=$A$22,IF($M528=$A$16,$L528,0),0)</f>
        <v>0</v>
      </c>
    </row>
    <row r="527" spans="17:18">
      <c r="Q527" s="297">
        <f>IF($J529=$A$21,IF($M529=$A$16,$L529,0),0)</f>
        <v>0</v>
      </c>
      <c r="R527" s="297">
        <f>IF($J529=$A$22,IF($M529=$A$16,$L529,0),0)</f>
        <v>0</v>
      </c>
    </row>
    <row r="528" spans="17:18">
      <c r="Q528" s="297">
        <f>IF($J530=$A$21,IF($M530=$A$16,$L530,0),0)</f>
        <v>0</v>
      </c>
      <c r="R528" s="297">
        <f>IF($J530=$A$22,IF($M530=$A$16,$L530,0),0)</f>
        <v>0</v>
      </c>
    </row>
    <row r="529" spans="17:18">
      <c r="Q529" s="297">
        <f>IF($J531=$A$21,IF($M531=$A$16,$L531,0),0)</f>
        <v>0</v>
      </c>
      <c r="R529" s="297">
        <f>IF($J531=$A$22,IF($M531=$A$16,$L531,0),0)</f>
        <v>0</v>
      </c>
    </row>
    <row r="530" spans="17:18">
      <c r="Q530" s="297">
        <f>IF($J532=$A$21,IF($M532=$A$16,$L532,0),0)</f>
        <v>0</v>
      </c>
      <c r="R530" s="297">
        <f>IF($J532=$A$22,IF($M532=$A$16,$L532,0),0)</f>
        <v>0</v>
      </c>
    </row>
    <row r="531" spans="17:18">
      <c r="Q531" s="297">
        <f>IF($J533=$A$21,IF($M533=$A$16,$L533,0),0)</f>
        <v>0</v>
      </c>
      <c r="R531" s="297">
        <f>IF($J533=$A$22,IF($M533=$A$16,$L533,0),0)</f>
        <v>0</v>
      </c>
    </row>
    <row r="532" spans="17:18">
      <c r="Q532" s="297">
        <f>IF($J534=$A$21,IF($M534=$A$16,$L534,0),0)</f>
        <v>0</v>
      </c>
      <c r="R532" s="297">
        <f>IF($J534=$A$22,IF($M534=$A$16,$L534,0),0)</f>
        <v>0</v>
      </c>
    </row>
    <row r="533" spans="17:18">
      <c r="Q533" s="297">
        <f>IF($J535=$A$21,IF($M535=$A$16,$L535,0),0)</f>
        <v>0</v>
      </c>
      <c r="R533" s="297">
        <f>IF($J535=$A$22,IF($M535=$A$16,$L535,0),0)</f>
        <v>0</v>
      </c>
    </row>
    <row r="534" spans="17:18">
      <c r="Q534" s="297">
        <f>IF($J536=$A$21,IF($M536=$A$16,$L536,0),0)</f>
        <v>0</v>
      </c>
      <c r="R534" s="297">
        <f>IF($J536=$A$22,IF($M536=$A$16,$L536,0),0)</f>
        <v>0</v>
      </c>
    </row>
    <row r="535" spans="17:18">
      <c r="Q535" s="297">
        <f>IF($J537=$A$21,IF($M537=$A$16,$L537,0),0)</f>
        <v>0</v>
      </c>
      <c r="R535" s="297">
        <f>IF($J537=$A$22,IF($M537=$A$16,$L537,0),0)</f>
        <v>0</v>
      </c>
    </row>
    <row r="536" spans="17:18">
      <c r="Q536" s="297">
        <f>IF($J538=$A$21,IF($M538=$A$16,$L538,0),0)</f>
        <v>0</v>
      </c>
      <c r="R536" s="297">
        <f>IF($J538=$A$22,IF($M538=$A$16,$L538,0),0)</f>
        <v>0</v>
      </c>
    </row>
    <row r="537" spans="17:18">
      <c r="Q537" s="297">
        <f>IF($J539=$A$21,IF($M539=$A$16,$L539,0),0)</f>
        <v>0</v>
      </c>
      <c r="R537" s="297">
        <f>IF($J539=$A$22,IF($M539=$A$16,$L539,0),0)</f>
        <v>0</v>
      </c>
    </row>
    <row r="538" spans="17:18">
      <c r="Q538" s="297">
        <f>IF($J540=$A$21,IF($M540=$A$16,$L540,0),0)</f>
        <v>0</v>
      </c>
      <c r="R538" s="297">
        <f>IF($J540=$A$22,IF($M540=$A$16,$L540,0),0)</f>
        <v>0</v>
      </c>
    </row>
    <row r="539" spans="17:18">
      <c r="Q539" s="297">
        <f>IF($J541=$A$21,IF($M541=$A$16,$L541,0),0)</f>
        <v>0</v>
      </c>
      <c r="R539" s="297">
        <f>IF($J541=$A$22,IF($M541=$A$16,$L541,0),0)</f>
        <v>0</v>
      </c>
    </row>
    <row r="540" spans="17:18">
      <c r="Q540" s="297">
        <f>IF($J542=$A$21,IF($M542=$A$16,$L542,0),0)</f>
        <v>0</v>
      </c>
      <c r="R540" s="297">
        <f>IF($J542=$A$22,IF($M542=$A$16,$L542,0),0)</f>
        <v>0</v>
      </c>
    </row>
    <row r="541" spans="17:18">
      <c r="Q541" s="297">
        <f>IF($J543=$A$21,IF($M543=$A$16,$L543,0),0)</f>
        <v>0</v>
      </c>
      <c r="R541" s="297">
        <f>IF($J543=$A$22,IF($M543=$A$16,$L543,0),0)</f>
        <v>0</v>
      </c>
    </row>
    <row r="542" spans="17:18">
      <c r="Q542" s="297">
        <f>IF($J544=$A$21,IF($M544=$A$16,$L544,0),0)</f>
        <v>0</v>
      </c>
      <c r="R542" s="297">
        <f>IF($J544=$A$22,IF($M544=$A$16,$L544,0),0)</f>
        <v>0</v>
      </c>
    </row>
    <row r="543" spans="17:18">
      <c r="Q543" s="297">
        <f>IF($J545=$A$21,IF($M545=$A$16,$L545,0),0)</f>
        <v>0</v>
      </c>
      <c r="R543" s="297">
        <f>IF($J545=$A$22,IF($M545=$A$16,$L545,0),0)</f>
        <v>0</v>
      </c>
    </row>
    <row r="544" spans="17:18">
      <c r="Q544" s="297">
        <f>IF($J546=$A$21,IF($M546=$A$16,$L546,0),0)</f>
        <v>0</v>
      </c>
      <c r="R544" s="297">
        <f>IF($J546=$A$22,IF($M546=$A$16,$L546,0),0)</f>
        <v>0</v>
      </c>
    </row>
    <row r="545" spans="17:18">
      <c r="Q545" s="297">
        <f>IF($J547=$A$21,IF($M547=$A$16,$L547,0),0)</f>
        <v>0</v>
      </c>
      <c r="R545" s="297">
        <f>IF($J547=$A$22,IF($M547=$A$16,$L547,0),0)</f>
        <v>0</v>
      </c>
    </row>
    <row r="546" spans="17:18">
      <c r="Q546" s="297">
        <f>IF($J548=$A$21,IF($M548=$A$16,$L548,0),0)</f>
        <v>0</v>
      </c>
      <c r="R546" s="297">
        <f>IF($J548=$A$22,IF($M548=$A$16,$L548,0),0)</f>
        <v>0</v>
      </c>
    </row>
    <row r="547" spans="17:18">
      <c r="Q547" s="297">
        <f>IF($J549=$A$21,IF($M549=$A$16,$L549,0),0)</f>
        <v>0</v>
      </c>
      <c r="R547" s="297">
        <f>IF($J549=$A$22,IF($M549=$A$16,$L549,0),0)</f>
        <v>0</v>
      </c>
    </row>
    <row r="548" spans="17:18">
      <c r="Q548" s="297">
        <f>IF($J550=$A$21,IF($M550=$A$16,$L550,0),0)</f>
        <v>0</v>
      </c>
      <c r="R548" s="297">
        <f>IF($J550=$A$22,IF($M550=$A$16,$L550,0),0)</f>
        <v>0</v>
      </c>
    </row>
    <row r="549" spans="17:18">
      <c r="Q549" s="297">
        <f>IF($J551=$A$21,IF($M551=$A$16,$L551,0),0)</f>
        <v>0</v>
      </c>
      <c r="R549" s="297">
        <f>IF($J551=$A$22,IF($M551=$A$16,$L551,0),0)</f>
        <v>0</v>
      </c>
    </row>
    <row r="550" spans="17:18">
      <c r="Q550" s="297">
        <f>IF($J552=$A$21,IF($M552=$A$16,$L552,0),0)</f>
        <v>0</v>
      </c>
      <c r="R550" s="297">
        <f>IF($J552=$A$22,IF($M552=$A$16,$L552,0),0)</f>
        <v>0</v>
      </c>
    </row>
    <row r="551" spans="17:18">
      <c r="Q551" s="297">
        <f>IF($J553=$A$21,IF($M553=$A$16,$L553,0),0)</f>
        <v>0</v>
      </c>
      <c r="R551" s="297">
        <f>IF($J553=$A$22,IF($M553=$A$16,$L553,0),0)</f>
        <v>0</v>
      </c>
    </row>
    <row r="552" spans="17:18">
      <c r="Q552" s="297">
        <f>IF($J554=$A$21,IF($M554=$A$16,$L554,0),0)</f>
        <v>0</v>
      </c>
      <c r="R552" s="297">
        <f>IF($J554=$A$22,IF($M554=$A$16,$L554,0),0)</f>
        <v>0</v>
      </c>
    </row>
    <row r="553" spans="17:18">
      <c r="Q553" s="297">
        <f>IF($J555=$A$21,IF($M555=$A$16,$L555,0),0)</f>
        <v>0</v>
      </c>
      <c r="R553" s="297">
        <f>IF($J555=$A$22,IF($M555=$A$16,$L555,0),0)</f>
        <v>0</v>
      </c>
    </row>
    <row r="554" spans="17:18">
      <c r="Q554" s="297">
        <f>IF($J556=$A$21,IF($M556=$A$16,$L556,0),0)</f>
        <v>0</v>
      </c>
      <c r="R554" s="297">
        <f>IF($J556=$A$22,IF($M556=$A$16,$L556,0),0)</f>
        <v>0</v>
      </c>
    </row>
    <row r="555" spans="17:18">
      <c r="Q555" s="297">
        <f>IF($J557=$A$21,IF($M557=$A$16,$L557,0),0)</f>
        <v>0</v>
      </c>
      <c r="R555" s="297">
        <f>IF($J557=$A$22,IF($M557=$A$16,$L557,0),0)</f>
        <v>0</v>
      </c>
    </row>
    <row r="556" spans="17:18">
      <c r="Q556" s="297">
        <f>IF($J558=$A$21,IF($M558=$A$16,$L558,0),0)</f>
        <v>0</v>
      </c>
      <c r="R556" s="297">
        <f>IF($J558=$A$22,IF($M558=$A$16,$L558,0),0)</f>
        <v>0</v>
      </c>
    </row>
    <row r="557" spans="17:18">
      <c r="Q557" s="297">
        <f>IF($J559=$A$21,IF($M559=$A$16,$L559,0),0)</f>
        <v>0</v>
      </c>
      <c r="R557" s="297">
        <f>IF($J559=$A$22,IF($M559=$A$16,$L559,0),0)</f>
        <v>0</v>
      </c>
    </row>
    <row r="558" spans="17:18">
      <c r="Q558" s="297">
        <f>IF($J560=$A$21,IF($M560=$A$16,$L560,0),0)</f>
        <v>0</v>
      </c>
      <c r="R558" s="297">
        <f>IF($J560=$A$22,IF($M560=$A$16,$L560,0),0)</f>
        <v>0</v>
      </c>
    </row>
    <row r="559" spans="17:18">
      <c r="Q559" s="297">
        <f>IF($J561=$A$21,IF($M561=$A$16,$L561,0),0)</f>
        <v>0</v>
      </c>
      <c r="R559" s="297">
        <f>IF($J561=$A$22,IF($M561=$A$16,$L561,0),0)</f>
        <v>0</v>
      </c>
    </row>
    <row r="560" spans="17:18">
      <c r="Q560" s="297">
        <f>IF($J562=$A$21,IF($M562=$A$16,$L562,0),0)</f>
        <v>0</v>
      </c>
      <c r="R560" s="297">
        <f>IF($J562=$A$22,IF($M562=$A$16,$L562,0),0)</f>
        <v>0</v>
      </c>
    </row>
    <row r="561" spans="17:18">
      <c r="Q561" s="297">
        <f>IF($J563=$A$21,IF($M563=$A$16,$L563,0),0)</f>
        <v>0</v>
      </c>
      <c r="R561" s="297">
        <f>IF($J563=$A$22,IF($M563=$A$16,$L563,0),0)</f>
        <v>0</v>
      </c>
    </row>
    <row r="562" spans="17:18">
      <c r="Q562" s="297">
        <f>IF($J564=$A$21,IF($M564=$A$16,$L564,0),0)</f>
        <v>0</v>
      </c>
      <c r="R562" s="297">
        <f>IF($J564=$A$22,IF($M564=$A$16,$L564,0),0)</f>
        <v>0</v>
      </c>
    </row>
    <row r="563" spans="17:18">
      <c r="Q563" s="297">
        <f>IF($J565=$A$21,IF($M565=$A$16,$L565,0),0)</f>
        <v>0</v>
      </c>
      <c r="R563" s="297">
        <f>IF($J565=$A$22,IF($M565=$A$16,$L565,0),0)</f>
        <v>0</v>
      </c>
    </row>
    <row r="564" spans="17:18">
      <c r="Q564" s="297">
        <f>IF($J566=$A$21,IF($M566=$A$16,$L566,0),0)</f>
        <v>0</v>
      </c>
      <c r="R564" s="297">
        <f>IF($J566=$A$22,IF($M566=$A$16,$L566,0),0)</f>
        <v>0</v>
      </c>
    </row>
    <row r="565" spans="17:18">
      <c r="Q565" s="297">
        <f>IF($J567=$A$21,IF($M567=$A$16,$L567,0),0)</f>
        <v>0</v>
      </c>
      <c r="R565" s="297">
        <f>IF($J567=$A$22,IF($M567=$A$16,$L567,0),0)</f>
        <v>0</v>
      </c>
    </row>
    <row r="566" spans="17:18">
      <c r="Q566" s="297">
        <f>IF($J568=$A$21,IF($M568=$A$16,$L568,0),0)</f>
        <v>0</v>
      </c>
      <c r="R566" s="297">
        <f>IF($J568=$A$22,IF($M568=$A$16,$L568,0),0)</f>
        <v>0</v>
      </c>
    </row>
    <row r="567" spans="17:18">
      <c r="Q567" s="297">
        <f>IF($J569=$A$21,IF($M569=$A$16,$L569,0),0)</f>
        <v>0</v>
      </c>
      <c r="R567" s="297">
        <f>IF($J569=$A$22,IF($M569=$A$16,$L569,0),0)</f>
        <v>0</v>
      </c>
    </row>
    <row r="568" spans="17:18">
      <c r="Q568" s="297">
        <f>IF($J570=$A$21,IF($M570=$A$16,$L570,0),0)</f>
        <v>0</v>
      </c>
      <c r="R568" s="297">
        <f>IF($J570=$A$22,IF($M570=$A$16,$L570,0),0)</f>
        <v>0</v>
      </c>
    </row>
    <row r="569" spans="17:18">
      <c r="Q569" s="297">
        <f>IF($J571=$A$21,IF($M571=$A$16,$L571,0),0)</f>
        <v>0</v>
      </c>
      <c r="R569" s="297">
        <f>IF($J571=$A$22,IF($M571=$A$16,$L571,0),0)</f>
        <v>0</v>
      </c>
    </row>
    <row r="570" spans="17:18">
      <c r="Q570" s="297">
        <f>IF($J572=$A$21,IF($M572=$A$16,$L572,0),0)</f>
        <v>0</v>
      </c>
      <c r="R570" s="297">
        <f>IF($J572=$A$22,IF($M572=$A$16,$L572,0),0)</f>
        <v>0</v>
      </c>
    </row>
    <row r="571" spans="17:18">
      <c r="Q571" s="297">
        <f>IF($J573=$A$21,IF($M573=$A$16,$L573,0),0)</f>
        <v>0</v>
      </c>
      <c r="R571" s="297">
        <f>IF($J573=$A$22,IF($M573=$A$16,$L573,0),0)</f>
        <v>0</v>
      </c>
    </row>
    <row r="572" spans="17:18">
      <c r="Q572" s="297">
        <f>IF($J574=$A$21,IF($M574=$A$16,$L574,0),0)</f>
        <v>0</v>
      </c>
      <c r="R572" s="297">
        <f>IF($J574=$A$22,IF($M574=$A$16,$L574,0),0)</f>
        <v>0</v>
      </c>
    </row>
    <row r="573" spans="17:18">
      <c r="Q573" s="297">
        <f>IF($J575=$A$21,IF($M575=$A$16,$L575,0),0)</f>
        <v>0</v>
      </c>
      <c r="R573" s="297">
        <f>IF($J575=$A$22,IF($M575=$A$16,$L575,0),0)</f>
        <v>0</v>
      </c>
    </row>
    <row r="574" spans="17:18">
      <c r="Q574" s="297">
        <f>IF($J576=$A$21,IF($M576=$A$16,$L576,0),0)</f>
        <v>0</v>
      </c>
      <c r="R574" s="297">
        <f>IF($J576=$A$22,IF($M576=$A$16,$L576,0),0)</f>
        <v>0</v>
      </c>
    </row>
    <row r="575" spans="17:18">
      <c r="Q575" s="297">
        <f>IF($J577=$A$21,IF($M577=$A$16,$L577,0),0)</f>
        <v>0</v>
      </c>
      <c r="R575" s="297">
        <f>IF($J577=$A$22,IF($M577=$A$16,$L577,0),0)</f>
        <v>0</v>
      </c>
    </row>
    <row r="576" spans="17:18">
      <c r="Q576" s="297">
        <f>IF($J578=$A$21,IF($M578=$A$16,$L578,0),0)</f>
        <v>0</v>
      </c>
      <c r="R576" s="297">
        <f>IF($J578=$A$22,IF($M578=$A$16,$L578,0),0)</f>
        <v>0</v>
      </c>
    </row>
    <row r="577" spans="17:18">
      <c r="Q577" s="297">
        <f>IF($J579=$A$21,IF($M579=$A$16,$L579,0),0)</f>
        <v>0</v>
      </c>
      <c r="R577" s="297">
        <f>IF($J579=$A$22,IF($M579=$A$16,$L579,0),0)</f>
        <v>0</v>
      </c>
    </row>
    <row r="578" spans="17:18">
      <c r="Q578" s="297">
        <f>IF($J580=$A$21,IF($M580=$A$16,$L580,0),0)</f>
        <v>0</v>
      </c>
      <c r="R578" s="297">
        <f>IF($J580=$A$22,IF($M580=$A$16,$L580,0),0)</f>
        <v>0</v>
      </c>
    </row>
    <row r="579" spans="17:18">
      <c r="Q579" s="297">
        <f>IF($J581=$A$21,IF($M581=$A$16,$L581,0),0)</f>
        <v>0</v>
      </c>
      <c r="R579" s="297">
        <f>IF($J581=$A$22,IF($M581=$A$16,$L581,0),0)</f>
        <v>0</v>
      </c>
    </row>
    <row r="580" spans="17:18">
      <c r="Q580" s="297">
        <f>IF($J582=$A$21,IF($M582=$A$16,$L582,0),0)</f>
        <v>0</v>
      </c>
      <c r="R580" s="297">
        <f>IF($J582=$A$22,IF($M582=$A$16,$L582,0),0)</f>
        <v>0</v>
      </c>
    </row>
    <row r="581" spans="17:18">
      <c r="Q581" s="297">
        <f>IF($J583=$A$21,IF($M583=$A$16,$L583,0),0)</f>
        <v>0</v>
      </c>
      <c r="R581" s="297">
        <f>IF($J583=$A$22,IF($M583=$A$16,$L583,0),0)</f>
        <v>0</v>
      </c>
    </row>
    <row r="582" spans="17:18">
      <c r="Q582" s="297">
        <f>IF($J584=$A$21,IF($M584=$A$16,$L584,0),0)</f>
        <v>0</v>
      </c>
      <c r="R582" s="297">
        <f>IF($J584=$A$22,IF($M584=$A$16,$L584,0),0)</f>
        <v>0</v>
      </c>
    </row>
    <row r="583" spans="17:18">
      <c r="Q583" s="297">
        <f>IF($J585=$A$21,IF($M585=$A$16,$L585,0),0)</f>
        <v>0</v>
      </c>
      <c r="R583" s="297">
        <f>IF($J585=$A$22,IF($M585=$A$16,$L585,0),0)</f>
        <v>0</v>
      </c>
    </row>
    <row r="584" spans="17:18">
      <c r="Q584" s="297">
        <f>IF($J586=$A$21,IF($M586=$A$16,$L586,0),0)</f>
        <v>0</v>
      </c>
      <c r="R584" s="297">
        <f>IF($J586=$A$22,IF($M586=$A$16,$L586,0),0)</f>
        <v>0</v>
      </c>
    </row>
    <row r="585" spans="17:18">
      <c r="Q585" s="297">
        <f>IF($J587=$A$21,IF($M587=$A$16,$L587,0),0)</f>
        <v>0</v>
      </c>
      <c r="R585" s="297">
        <f>IF($J587=$A$22,IF($M587=$A$16,$L587,0),0)</f>
        <v>0</v>
      </c>
    </row>
    <row r="586" spans="17:18">
      <c r="Q586" s="297">
        <f>IF($J588=$A$21,IF($M588=$A$16,$L588,0),0)</f>
        <v>0</v>
      </c>
      <c r="R586" s="297">
        <f>IF($J588=$A$22,IF($M588=$A$16,$L588,0),0)</f>
        <v>0</v>
      </c>
    </row>
    <row r="587" spans="17:18">
      <c r="Q587" s="297">
        <f>IF($J589=$A$21,IF($M589=$A$16,$L589,0),0)</f>
        <v>0</v>
      </c>
      <c r="R587" s="297">
        <f>IF($J589=$A$22,IF($M589=$A$16,$L589,0),0)</f>
        <v>0</v>
      </c>
    </row>
    <row r="588" spans="17:18">
      <c r="Q588" s="297">
        <f>IF($J590=$A$21,IF($M590=$A$16,$L590,0),0)</f>
        <v>0</v>
      </c>
      <c r="R588" s="297">
        <f>IF($J590=$A$22,IF($M590=$A$16,$L590,0),0)</f>
        <v>0</v>
      </c>
    </row>
    <row r="589" spans="17:18">
      <c r="Q589" s="297">
        <f>IF($J591=$A$21,IF($M591=$A$16,$L591,0),0)</f>
        <v>0</v>
      </c>
      <c r="R589" s="297">
        <f>IF($J591=$A$22,IF($M591=$A$16,$L591,0),0)</f>
        <v>0</v>
      </c>
    </row>
    <row r="590" spans="17:18">
      <c r="Q590" s="297">
        <f>IF($J592=$A$21,IF($M592=$A$16,$L592,0),0)</f>
        <v>0</v>
      </c>
      <c r="R590" s="297">
        <f>IF($J592=$A$22,IF($M592=$A$16,$L592,0),0)</f>
        <v>0</v>
      </c>
    </row>
    <row r="591" spans="17:18">
      <c r="Q591" s="297">
        <f>IF($J593=$A$21,IF($M593=$A$16,$L593,0),0)</f>
        <v>0</v>
      </c>
      <c r="R591" s="297">
        <f>IF($J593=$A$22,IF($M593=$A$16,$L593,0),0)</f>
        <v>0</v>
      </c>
    </row>
    <row r="592" spans="17:18">
      <c r="Q592" s="297">
        <f>IF($J594=$A$21,IF($M594=$A$16,$L594,0),0)</f>
        <v>0</v>
      </c>
      <c r="R592" s="297">
        <f>IF($J594=$A$22,IF($M594=$A$16,$L594,0),0)</f>
        <v>0</v>
      </c>
    </row>
    <row r="593" spans="17:18">
      <c r="Q593" s="297">
        <f>IF($J595=$A$21,IF($M595=$A$16,$L595,0),0)</f>
        <v>0</v>
      </c>
      <c r="R593" s="297">
        <f>IF($J595=$A$22,IF($M595=$A$16,$L595,0),0)</f>
        <v>0</v>
      </c>
    </row>
    <row r="594" spans="17:18">
      <c r="Q594" s="297">
        <f>IF($J596=$A$21,IF($M596=$A$16,$L596,0),0)</f>
        <v>0</v>
      </c>
      <c r="R594" s="297">
        <f>IF($J596=$A$22,IF($M596=$A$16,$L596,0),0)</f>
        <v>0</v>
      </c>
    </row>
    <row r="595" spans="17:18">
      <c r="Q595" s="297">
        <f>IF($J597=$A$21,IF($M597=$A$16,$L597,0),0)</f>
        <v>0</v>
      </c>
      <c r="R595" s="297">
        <f>IF($J597=$A$22,IF($M597=$A$16,$L597,0),0)</f>
        <v>0</v>
      </c>
    </row>
    <row r="596" spans="17:18">
      <c r="Q596" s="297">
        <f>IF($J598=$A$21,IF($M598=$A$16,$L598,0),0)</f>
        <v>0</v>
      </c>
      <c r="R596" s="297">
        <f>IF($J598=$A$22,IF($M598=$A$16,$L598,0),0)</f>
        <v>0</v>
      </c>
    </row>
    <row r="597" spans="17:18">
      <c r="Q597" s="297">
        <f>IF($J599=$A$21,IF($M599=$A$16,$L599,0),0)</f>
        <v>0</v>
      </c>
      <c r="R597" s="297">
        <f>IF($J599=$A$22,IF($M599=$A$16,$L599,0),0)</f>
        <v>0</v>
      </c>
    </row>
    <row r="598" spans="17:18">
      <c r="Q598" s="297">
        <f>IF($J600=$A$21,IF($M600=$A$16,$L600,0),0)</f>
        <v>0</v>
      </c>
      <c r="R598" s="297">
        <f>IF($J600=$A$22,IF($M600=$A$16,$L600,0),0)</f>
        <v>0</v>
      </c>
    </row>
    <row r="599" spans="17:18">
      <c r="Q599" s="297">
        <f>IF($J601=$A$21,IF($M601=$A$16,$L601,0),0)</f>
        <v>0</v>
      </c>
      <c r="R599" s="297">
        <f>IF($J601=$A$22,IF($M601=$A$16,$L601,0),0)</f>
        <v>0</v>
      </c>
    </row>
    <row r="600" spans="17:18">
      <c r="Q600" s="297">
        <f>IF($J602=$A$21,IF($M602=$A$16,$L602,0),0)</f>
        <v>0</v>
      </c>
      <c r="R600" s="297">
        <f>IF($J602=$A$22,IF($M602=$A$16,$L602,0),0)</f>
        <v>0</v>
      </c>
    </row>
    <row r="601" spans="17:18">
      <c r="Q601" s="297">
        <f>IF($J603=$A$21,IF($M603=$A$16,$L603,0),0)</f>
        <v>0</v>
      </c>
      <c r="R601" s="297">
        <f>IF($J603=$A$22,IF($M603=$A$16,$L603,0),0)</f>
        <v>0</v>
      </c>
    </row>
    <row r="602" spans="17:18">
      <c r="Q602" s="297">
        <f>IF($J604=$A$21,IF($M604=$A$16,$L604,0),0)</f>
        <v>0</v>
      </c>
      <c r="R602" s="297">
        <f>IF($J604=$A$22,IF($M604=$A$16,$L604,0),0)</f>
        <v>0</v>
      </c>
    </row>
    <row r="603" spans="17:18">
      <c r="Q603" s="297">
        <f>IF($J605=$A$21,IF($M605=$A$16,$L605,0),0)</f>
        <v>0</v>
      </c>
      <c r="R603" s="297">
        <f>IF($J605=$A$22,IF($M605=$A$16,$L605,0),0)</f>
        <v>0</v>
      </c>
    </row>
    <row r="604" spans="17:18">
      <c r="Q604" s="297">
        <f>IF($J606=$A$21,IF($M606=$A$16,$L606,0),0)</f>
        <v>0</v>
      </c>
      <c r="R604" s="297">
        <f>IF($J606=$A$22,IF($M606=$A$16,$L606,0),0)</f>
        <v>0</v>
      </c>
    </row>
    <row r="605" spans="17:18">
      <c r="Q605" s="297">
        <f>IF($J607=$A$21,IF($M607=$A$16,$L607,0),0)</f>
        <v>0</v>
      </c>
      <c r="R605" s="297">
        <f>IF($J607=$A$22,IF($M607=$A$16,$L607,0),0)</f>
        <v>0</v>
      </c>
    </row>
    <row r="606" spans="17:18">
      <c r="Q606" s="297">
        <f>IF($J608=$A$21,IF($M608=$A$16,$L608,0),0)</f>
        <v>0</v>
      </c>
      <c r="R606" s="297">
        <f>IF($J608=$A$22,IF($M608=$A$16,$L608,0),0)</f>
        <v>0</v>
      </c>
    </row>
    <row r="607" spans="17:18">
      <c r="Q607" s="297">
        <f>IF($J609=$A$21,IF($M609=$A$16,$L609,0),0)</f>
        <v>0</v>
      </c>
      <c r="R607" s="297">
        <f>IF($J609=$A$22,IF($M609=$A$16,$L609,0),0)</f>
        <v>0</v>
      </c>
    </row>
    <row r="608" spans="17:18">
      <c r="Q608" s="297">
        <f>IF($J610=$A$21,IF($M610=$A$16,$L610,0),0)</f>
        <v>0</v>
      </c>
      <c r="R608" s="297">
        <f>IF($J610=$A$22,IF($M610=$A$16,$L610,0),0)</f>
        <v>0</v>
      </c>
    </row>
    <row r="609" spans="17:18">
      <c r="Q609" s="297">
        <f>IF($J611=$A$21,IF($M611=$A$16,$L611,0),0)</f>
        <v>0</v>
      </c>
      <c r="R609" s="297">
        <f>IF($J611=$A$22,IF($M611=$A$16,$L611,0),0)</f>
        <v>0</v>
      </c>
    </row>
    <row r="610" spans="17:18">
      <c r="Q610" s="297">
        <f>IF($J612=$A$21,IF($M612=$A$16,$L612,0),0)</f>
        <v>0</v>
      </c>
      <c r="R610" s="297">
        <f>IF($J612=$A$22,IF($M612=$A$16,$L612,0),0)</f>
        <v>0</v>
      </c>
    </row>
    <row r="611" spans="17:18">
      <c r="Q611" s="297">
        <f>IF($J613=$A$21,IF($M613=$A$16,$L613,0),0)</f>
        <v>0</v>
      </c>
      <c r="R611" s="297">
        <f>IF($J613=$A$22,IF($M613=$A$16,$L613,0),0)</f>
        <v>0</v>
      </c>
    </row>
    <row r="612" spans="17:18">
      <c r="Q612" s="297">
        <f>IF($J614=$A$21,IF($M614=$A$16,$L614,0),0)</f>
        <v>0</v>
      </c>
      <c r="R612" s="297">
        <f>IF($J614=$A$22,IF($M614=$A$16,$L614,0),0)</f>
        <v>0</v>
      </c>
    </row>
    <row r="613" spans="17:18">
      <c r="Q613" s="297">
        <f>IF($J615=$A$21,IF($M615=$A$16,$L615,0),0)</f>
        <v>0</v>
      </c>
      <c r="R613" s="297">
        <f>IF($J615=$A$22,IF($M615=$A$16,$L615,0),0)</f>
        <v>0</v>
      </c>
    </row>
    <row r="614" spans="17:18">
      <c r="Q614" s="297">
        <f>IF($J616=$A$21,IF($M616=$A$16,$L616,0),0)</f>
        <v>0</v>
      </c>
      <c r="R614" s="297">
        <f>IF($J616=$A$22,IF($M616=$A$16,$L616,0),0)</f>
        <v>0</v>
      </c>
    </row>
    <row r="615" spans="17:18">
      <c r="Q615" s="297">
        <f>IF($J617=$A$21,IF($M617=$A$16,$L617,0),0)</f>
        <v>0</v>
      </c>
      <c r="R615" s="297">
        <f>IF($J617=$A$22,IF($M617=$A$16,$L617,0),0)</f>
        <v>0</v>
      </c>
    </row>
    <row r="616" spans="17:18">
      <c r="Q616" s="297">
        <f>IF($J618=$A$21,IF($M618=$A$16,$L618,0),0)</f>
        <v>0</v>
      </c>
      <c r="R616" s="297">
        <f>IF($J618=$A$22,IF($M618=$A$16,$L618,0),0)</f>
        <v>0</v>
      </c>
    </row>
    <row r="617" spans="17:18">
      <c r="Q617" s="297">
        <f>IF($J619=$A$21,IF($M619=$A$16,$L619,0),0)</f>
        <v>0</v>
      </c>
      <c r="R617" s="297">
        <f>IF($J619=$A$22,IF($M619=$A$16,$L619,0),0)</f>
        <v>0</v>
      </c>
    </row>
    <row r="618" spans="17:18">
      <c r="Q618" s="297">
        <f>IF($J620=$A$21,IF($M620=$A$16,$L620,0),0)</f>
        <v>0</v>
      </c>
      <c r="R618" s="297">
        <f>IF($J620=$A$22,IF($M620=$A$16,$L620,0),0)</f>
        <v>0</v>
      </c>
    </row>
    <row r="619" spans="17:18">
      <c r="Q619" s="297">
        <f>IF($J621=$A$21,IF($M621=$A$16,$L621,0),0)</f>
        <v>0</v>
      </c>
      <c r="R619" s="297">
        <f>IF($J621=$A$22,IF($M621=$A$16,$L621,0),0)</f>
        <v>0</v>
      </c>
    </row>
    <row r="620" spans="17:18">
      <c r="Q620" s="297">
        <f>IF($J622=$A$21,IF($M622=$A$16,$L622,0),0)</f>
        <v>0</v>
      </c>
      <c r="R620" s="297">
        <f>IF($J622=$A$22,IF($M622=$A$16,$L622,0),0)</f>
        <v>0</v>
      </c>
    </row>
    <row r="621" spans="17:18">
      <c r="Q621" s="297">
        <f>IF($J623=$A$21,IF($M623=$A$16,$L623,0),0)</f>
        <v>0</v>
      </c>
      <c r="R621" s="297">
        <f>IF($J623=$A$22,IF($M623=$A$16,$L623,0),0)</f>
        <v>0</v>
      </c>
    </row>
    <row r="622" spans="17:18">
      <c r="Q622" s="297">
        <f>IF($J624=$A$21,IF($M624=$A$16,$L624,0),0)</f>
        <v>0</v>
      </c>
      <c r="R622" s="297">
        <f>IF($J624=$A$22,IF($M624=$A$16,$L624,0),0)</f>
        <v>0</v>
      </c>
    </row>
    <row r="623" spans="17:18">
      <c r="Q623" s="297">
        <f>IF($J625=$A$21,IF($M625=$A$16,$L625,0),0)</f>
        <v>0</v>
      </c>
      <c r="R623" s="297">
        <f>IF($J625=$A$22,IF($M625=$A$16,$L625,0),0)</f>
        <v>0</v>
      </c>
    </row>
    <row r="624" spans="17:18">
      <c r="Q624" s="297">
        <f>IF($J626=$A$21,IF($M626=$A$16,$L626,0),0)</f>
        <v>0</v>
      </c>
      <c r="R624" s="297">
        <f>IF($J626=$A$22,IF($M626=$A$16,$L626,0),0)</f>
        <v>0</v>
      </c>
    </row>
    <row r="625" spans="17:18">
      <c r="Q625" s="297">
        <f>IF($J627=$A$21,IF($M627=$A$16,$L627,0),0)</f>
        <v>0</v>
      </c>
      <c r="R625" s="297">
        <f>IF($J627=$A$22,IF($M627=$A$16,$L627,0),0)</f>
        <v>0</v>
      </c>
    </row>
    <row r="626" spans="17:18">
      <c r="Q626" s="297">
        <f>IF($J628=$A$21,IF($M628=$A$16,$L628,0),0)</f>
        <v>0</v>
      </c>
      <c r="R626" s="297">
        <f>IF($J628=$A$22,IF($M628=$A$16,$L628,0),0)</f>
        <v>0</v>
      </c>
    </row>
    <row r="627" spans="17:18">
      <c r="Q627" s="297">
        <f>IF($J629=$A$21,IF($M629=$A$16,$L629,0),0)</f>
        <v>0</v>
      </c>
      <c r="R627" s="297">
        <f>IF($J629=$A$22,IF($M629=$A$16,$L629,0),0)</f>
        <v>0</v>
      </c>
    </row>
    <row r="628" spans="17:18">
      <c r="Q628" s="297">
        <f>IF($J630=$A$21,IF($M630=$A$16,$L630,0),0)</f>
        <v>0</v>
      </c>
      <c r="R628" s="297">
        <f>IF($J630=$A$22,IF($M630=$A$16,$L630,0),0)</f>
        <v>0</v>
      </c>
    </row>
    <row r="629" spans="17:18">
      <c r="Q629" s="297">
        <f>IF($J631=$A$21,IF($M631=$A$16,$L631,0),0)</f>
        <v>0</v>
      </c>
      <c r="R629" s="297">
        <f>IF($J631=$A$22,IF($M631=$A$16,$L631,0),0)</f>
        <v>0</v>
      </c>
    </row>
    <row r="630" spans="17:18">
      <c r="Q630" s="297">
        <f>IF($J632=$A$21,IF($M632=$A$16,$L632,0),0)</f>
        <v>0</v>
      </c>
      <c r="R630" s="297">
        <f>IF($J632=$A$22,IF($M632=$A$16,$L632,0),0)</f>
        <v>0</v>
      </c>
    </row>
    <row r="631" spans="17:18">
      <c r="Q631" s="297">
        <f>IF($J633=$A$21,IF($M633=$A$16,$L633,0),0)</f>
        <v>0</v>
      </c>
      <c r="R631" s="297">
        <f>IF($J633=$A$22,IF($M633=$A$16,$L633,0),0)</f>
        <v>0</v>
      </c>
    </row>
    <row r="632" spans="17:18">
      <c r="Q632" s="297">
        <f>IF($J634=$A$21,IF($M634=$A$16,$L634,0),0)</f>
        <v>0</v>
      </c>
      <c r="R632" s="297">
        <f>IF($J634=$A$22,IF($M634=$A$16,$L634,0),0)</f>
        <v>0</v>
      </c>
    </row>
    <row r="633" spans="17:18">
      <c r="Q633" s="297">
        <f>IF($J635=$A$21,IF($M635=$A$16,$L635,0),0)</f>
        <v>0</v>
      </c>
      <c r="R633" s="297">
        <f>IF($J635=$A$22,IF($M635=$A$16,$L635,0),0)</f>
        <v>0</v>
      </c>
    </row>
    <row r="634" spans="17:18">
      <c r="Q634" s="297">
        <f>IF($J636=$A$21,IF($M636=$A$16,$L636,0),0)</f>
        <v>0</v>
      </c>
      <c r="R634" s="297">
        <f>IF($J636=$A$22,IF($M636=$A$16,$L636,0),0)</f>
        <v>0</v>
      </c>
    </row>
    <row r="635" spans="17:18">
      <c r="Q635" s="297">
        <f>IF($J637=$A$21,IF($M637=$A$16,$L637,0),0)</f>
        <v>0</v>
      </c>
      <c r="R635" s="297">
        <f>IF($J637=$A$22,IF($M637=$A$16,$L637,0),0)</f>
        <v>0</v>
      </c>
    </row>
    <row r="636" spans="17:18">
      <c r="Q636" s="297">
        <f>IF($J638=$A$21,IF($M638=$A$16,$L638,0),0)</f>
        <v>0</v>
      </c>
      <c r="R636" s="297">
        <f>IF($J638=$A$22,IF($M638=$A$16,$L638,0),0)</f>
        <v>0</v>
      </c>
    </row>
    <row r="637" spans="17:18">
      <c r="Q637" s="297">
        <f>IF($J639=$A$21,IF($M639=$A$16,$L639,0),0)</f>
        <v>0</v>
      </c>
      <c r="R637" s="297">
        <f>IF($J639=$A$22,IF($M639=$A$16,$L639,0),0)</f>
        <v>0</v>
      </c>
    </row>
    <row r="638" spans="17:18">
      <c r="Q638" s="297">
        <f>IF($J640=$A$21,IF($M640=$A$16,$L640,0),0)</f>
        <v>0</v>
      </c>
      <c r="R638" s="297">
        <f>IF($J640=$A$22,IF($M640=$A$16,$L640,0),0)</f>
        <v>0</v>
      </c>
    </row>
    <row r="639" spans="17:18">
      <c r="Q639" s="297">
        <f>IF($J641=$A$21,IF($M641=$A$16,$L641,0),0)</f>
        <v>0</v>
      </c>
      <c r="R639" s="297">
        <f>IF($J641=$A$22,IF($M641=$A$16,$L641,0),0)</f>
        <v>0</v>
      </c>
    </row>
    <row r="640" spans="17:18">
      <c r="Q640" s="297">
        <f>IF($J642=$A$21,IF($M642=$A$16,$L642,0),0)</f>
        <v>0</v>
      </c>
      <c r="R640" s="297">
        <f>IF($J642=$A$22,IF($M642=$A$16,$L642,0),0)</f>
        <v>0</v>
      </c>
    </row>
    <row r="641" spans="17:18">
      <c r="Q641" s="297">
        <f>IF($J643=$A$21,IF($M643=$A$16,$L643,0),0)</f>
        <v>0</v>
      </c>
      <c r="R641" s="297">
        <f>IF($J643=$A$22,IF($M643=$A$16,$L643,0),0)</f>
        <v>0</v>
      </c>
    </row>
    <row r="642" spans="17:18">
      <c r="Q642" s="297">
        <f>IF($J644=$A$21,IF($M644=$A$16,$L644,0),0)</f>
        <v>0</v>
      </c>
      <c r="R642" s="297">
        <f>IF($J644=$A$22,IF($M644=$A$16,$L644,0),0)</f>
        <v>0</v>
      </c>
    </row>
    <row r="643" spans="17:18">
      <c r="Q643" s="297">
        <f>IF($J645=$A$21,IF($M645=$A$16,$L645,0),0)</f>
        <v>0</v>
      </c>
      <c r="R643" s="297">
        <f>IF($J645=$A$22,IF($M645=$A$16,$L645,0),0)</f>
        <v>0</v>
      </c>
    </row>
    <row r="644" spans="17:18">
      <c r="Q644" s="297">
        <f>IF($J646=$A$21,IF($M646=$A$16,$L646,0),0)</f>
        <v>0</v>
      </c>
      <c r="R644" s="297">
        <f>IF($J646=$A$22,IF($M646=$A$16,$L646,0),0)</f>
        <v>0</v>
      </c>
    </row>
    <row r="645" spans="17:18">
      <c r="Q645" s="297">
        <f>IF($J647=$A$21,IF($M647=$A$16,$L647,0),0)</f>
        <v>0</v>
      </c>
      <c r="R645" s="297">
        <f>IF($J647=$A$22,IF($M647=$A$16,$L647,0),0)</f>
        <v>0</v>
      </c>
    </row>
    <row r="646" spans="17:18">
      <c r="Q646" s="297">
        <f>IF($J648=$A$21,IF($M648=$A$16,$L648,0),0)</f>
        <v>0</v>
      </c>
      <c r="R646" s="297">
        <f>IF($J648=$A$22,IF($M648=$A$16,$L648,0),0)</f>
        <v>0</v>
      </c>
    </row>
    <row r="647" spans="17:18">
      <c r="Q647" s="297">
        <f>IF($J649=$A$21,IF($M649=$A$16,$L649,0),0)</f>
        <v>0</v>
      </c>
      <c r="R647" s="297">
        <f>IF($J649=$A$22,IF($M649=$A$16,$L649,0),0)</f>
        <v>0</v>
      </c>
    </row>
    <row r="648" spans="17:18">
      <c r="Q648" s="297">
        <f>IF($J650=$A$21,IF($M650=$A$16,$L650,0),0)</f>
        <v>0</v>
      </c>
      <c r="R648" s="297">
        <f>IF($J650=$A$22,IF($M650=$A$16,$L650,0),0)</f>
        <v>0</v>
      </c>
    </row>
    <row r="649" spans="17:18">
      <c r="Q649" s="297">
        <f>IF($J651=$A$21,IF($M651=$A$16,$L651,0),0)</f>
        <v>0</v>
      </c>
      <c r="R649" s="297">
        <f>IF($J651=$A$22,IF($M651=$A$16,$L651,0),0)</f>
        <v>0</v>
      </c>
    </row>
    <row r="650" spans="17:18">
      <c r="Q650" s="297">
        <f>IF($J652=$A$21,IF($M652=$A$16,$L652,0),0)</f>
        <v>0</v>
      </c>
      <c r="R650" s="297">
        <f>IF($J652=$A$22,IF($M652=$A$16,$L652,0),0)</f>
        <v>0</v>
      </c>
    </row>
    <row r="651" spans="17:18">
      <c r="Q651" s="297">
        <f>IF($J653=$A$21,IF($M653=$A$16,$L653,0),0)</f>
        <v>0</v>
      </c>
      <c r="R651" s="297">
        <f>IF($J653=$A$22,IF($M653=$A$16,$L653,0),0)</f>
        <v>0</v>
      </c>
    </row>
    <row r="652" spans="17:18">
      <c r="Q652" s="297">
        <f>IF($J654=$A$21,IF($M654=$A$16,$L654,0),0)</f>
        <v>0</v>
      </c>
      <c r="R652" s="297">
        <f>IF($J654=$A$22,IF($M654=$A$16,$L654,0),0)</f>
        <v>0</v>
      </c>
    </row>
    <row r="653" spans="17:18">
      <c r="Q653" s="297">
        <f>IF($J655=$A$21,IF($M655=$A$16,$L655,0),0)</f>
        <v>0</v>
      </c>
      <c r="R653" s="297">
        <f>IF($J655=$A$22,IF($M655=$A$16,$L655,0),0)</f>
        <v>0</v>
      </c>
    </row>
    <row r="654" spans="17:18">
      <c r="Q654" s="297">
        <f>IF($J656=$A$21,IF($M656=$A$16,$L656,0),0)</f>
        <v>0</v>
      </c>
      <c r="R654" s="297">
        <f>IF($J656=$A$22,IF($M656=$A$16,$L656,0),0)</f>
        <v>0</v>
      </c>
    </row>
    <row r="655" spans="17:18">
      <c r="Q655" s="297">
        <f>IF($J657=$A$21,IF($M657=$A$16,$L657,0),0)</f>
        <v>0</v>
      </c>
      <c r="R655" s="297">
        <f>IF($J657=$A$22,IF($M657=$A$16,$L657,0),0)</f>
        <v>0</v>
      </c>
    </row>
    <row r="656" spans="17:18">
      <c r="Q656" s="297">
        <f>IF($J658=$A$21,IF($M658=$A$16,$L658,0),0)</f>
        <v>0</v>
      </c>
      <c r="R656" s="297">
        <f>IF($J658=$A$22,IF($M658=$A$16,$L658,0),0)</f>
        <v>0</v>
      </c>
    </row>
    <row r="657" spans="17:18">
      <c r="Q657" s="297">
        <f>IF($J659=$A$21,IF($M659=$A$16,$L659,0),0)</f>
        <v>0</v>
      </c>
      <c r="R657" s="297">
        <f>IF($J659=$A$22,IF($M659=$A$16,$L659,0),0)</f>
        <v>0</v>
      </c>
    </row>
    <row r="658" spans="17:18">
      <c r="Q658" s="297">
        <f>IF($J660=$A$21,IF($M660=$A$16,$L660,0),0)</f>
        <v>0</v>
      </c>
      <c r="R658" s="297">
        <f>IF($J660=$A$22,IF($M660=$A$16,$L660,0),0)</f>
        <v>0</v>
      </c>
    </row>
    <row r="659" spans="17:18">
      <c r="Q659" s="297">
        <f>IF($J661=$A$21,IF($M661=$A$16,$L661,0),0)</f>
        <v>0</v>
      </c>
      <c r="R659" s="297">
        <f>IF($J661=$A$22,IF($M661=$A$16,$L661,0),0)</f>
        <v>0</v>
      </c>
    </row>
    <row r="660" spans="17:18">
      <c r="Q660" s="297">
        <f>IF($J662=$A$21,IF($M662=$A$16,$L662,0),0)</f>
        <v>0</v>
      </c>
      <c r="R660" s="297">
        <f>IF($J662=$A$22,IF($M662=$A$16,$L662,0),0)</f>
        <v>0</v>
      </c>
    </row>
    <row r="661" spans="17:18">
      <c r="Q661" s="297">
        <f>IF($J663=$A$21,IF($M663=$A$16,$L663,0),0)</f>
        <v>0</v>
      </c>
      <c r="R661" s="297">
        <f>IF($J663=$A$22,IF($M663=$A$16,$L663,0),0)</f>
        <v>0</v>
      </c>
    </row>
    <row r="662" spans="17:18">
      <c r="Q662" s="297">
        <f>IF($J664=$A$21,IF($M664=$A$16,$L664,0),0)</f>
        <v>0</v>
      </c>
      <c r="R662" s="297">
        <f>IF($J664=$A$22,IF($M664=$A$16,$L664,0),0)</f>
        <v>0</v>
      </c>
    </row>
    <row r="663" spans="17:18">
      <c r="Q663" s="297">
        <f>IF($J665=$A$21,IF($M665=$A$16,$L665,0),0)</f>
        <v>0</v>
      </c>
      <c r="R663" s="297">
        <f>IF($J665=$A$22,IF($M665=$A$16,$L665,0),0)</f>
        <v>0</v>
      </c>
    </row>
    <row r="664" spans="17:18">
      <c r="Q664" s="297">
        <f>IF($J666=$A$21,IF($M666=$A$16,$L666,0),0)</f>
        <v>0</v>
      </c>
      <c r="R664" s="297">
        <f>IF($J666=$A$22,IF($M666=$A$16,$L666,0),0)</f>
        <v>0</v>
      </c>
    </row>
    <row r="665" spans="17:18">
      <c r="Q665" s="297">
        <f>IF($J667=$A$21,IF($M667=$A$16,$L667,0),0)</f>
        <v>0</v>
      </c>
      <c r="R665" s="297">
        <f>IF($J667=$A$22,IF($M667=$A$16,$L667,0),0)</f>
        <v>0</v>
      </c>
    </row>
    <row r="666" spans="17:18">
      <c r="Q666" s="297">
        <f>IF($J668=$A$21,IF($M668=$A$16,$L668,0),0)</f>
        <v>0</v>
      </c>
      <c r="R666" s="297">
        <f>IF($J668=$A$22,IF($M668=$A$16,$L668,0),0)</f>
        <v>0</v>
      </c>
    </row>
    <row r="667" spans="17:18">
      <c r="Q667" s="297">
        <f>IF($J669=$A$21,IF($M669=$A$16,$L669,0),0)</f>
        <v>0</v>
      </c>
      <c r="R667" s="297">
        <f>IF($J669=$A$22,IF($M669=$A$16,$L669,0),0)</f>
        <v>0</v>
      </c>
    </row>
    <row r="668" spans="17:18">
      <c r="Q668" s="297">
        <f>IF($J670=$A$21,IF($M670=$A$16,$L670,0),0)</f>
        <v>0</v>
      </c>
      <c r="R668" s="297">
        <f>IF($J670=$A$22,IF($M670=$A$16,$L670,0),0)</f>
        <v>0</v>
      </c>
    </row>
    <row r="669" spans="17:18">
      <c r="Q669" s="297">
        <f>IF($J671=$A$21,IF($M671=$A$16,$L671,0),0)</f>
        <v>0</v>
      </c>
      <c r="R669" s="297">
        <f>IF($J671=$A$22,IF($M671=$A$16,$L671,0),0)</f>
        <v>0</v>
      </c>
    </row>
    <row r="670" spans="17:18">
      <c r="Q670" s="297">
        <f>IF($J672=$A$21,IF($M672=$A$16,$L672,0),0)</f>
        <v>0</v>
      </c>
      <c r="R670" s="297">
        <f>IF($J672=$A$22,IF($M672=$A$16,$L672,0),0)</f>
        <v>0</v>
      </c>
    </row>
    <row r="671" spans="17:18">
      <c r="Q671" s="297">
        <f>IF($J673=$A$21,IF($M673=$A$16,$L673,0),0)</f>
        <v>0</v>
      </c>
      <c r="R671" s="297">
        <f>IF($J673=$A$22,IF($M673=$A$16,$L673,0),0)</f>
        <v>0</v>
      </c>
    </row>
    <row r="672" spans="17:18">
      <c r="Q672" s="297">
        <f>IF($J674=$A$21,IF($M674=$A$16,$L674,0),0)</f>
        <v>0</v>
      </c>
      <c r="R672" s="297">
        <f>IF($J674=$A$22,IF($M674=$A$16,$L674,0),0)</f>
        <v>0</v>
      </c>
    </row>
    <row r="673" spans="17:18">
      <c r="Q673" s="297">
        <f>IF($J675=$A$21,IF($M675=$A$16,$L675,0),0)</f>
        <v>0</v>
      </c>
      <c r="R673" s="297">
        <f>IF($J675=$A$22,IF($M675=$A$16,$L675,0),0)</f>
        <v>0</v>
      </c>
    </row>
    <row r="674" spans="17:18">
      <c r="Q674" s="297">
        <f>IF($J676=$A$21,IF($M676=$A$16,$L676,0),0)</f>
        <v>0</v>
      </c>
      <c r="R674" s="297">
        <f>IF($J676=$A$22,IF($M676=$A$16,$L676,0),0)</f>
        <v>0</v>
      </c>
    </row>
    <row r="675" spans="17:18">
      <c r="Q675" s="297">
        <f>IF($J677=$A$21,IF($M677=$A$16,$L677,0),0)</f>
        <v>0</v>
      </c>
      <c r="R675" s="297">
        <f>IF($J677=$A$22,IF($M677=$A$16,$L677,0),0)</f>
        <v>0</v>
      </c>
    </row>
    <row r="676" spans="17:18">
      <c r="Q676" s="297">
        <f>IF($J678=$A$21,IF($M678=$A$16,$L678,0),0)</f>
        <v>0</v>
      </c>
      <c r="R676" s="297">
        <f>IF($J678=$A$22,IF($M678=$A$16,$L678,0),0)</f>
        <v>0</v>
      </c>
    </row>
    <row r="677" spans="17:18">
      <c r="Q677" s="297">
        <f>IF($J679=$A$21,IF($M679=$A$16,$L679,0),0)</f>
        <v>0</v>
      </c>
      <c r="R677" s="297">
        <f>IF($J679=$A$22,IF($M679=$A$16,$L679,0),0)</f>
        <v>0</v>
      </c>
    </row>
    <row r="678" spans="17:18">
      <c r="Q678" s="297">
        <f>IF($J680=$A$21,IF($M680=$A$16,$L680,0),0)</f>
        <v>0</v>
      </c>
      <c r="R678" s="297">
        <f>IF($J680=$A$22,IF($M680=$A$16,$L680,0),0)</f>
        <v>0</v>
      </c>
    </row>
    <row r="679" spans="17:18">
      <c r="Q679" s="297">
        <f>IF($J681=$A$21,IF($M681=$A$16,$L681,0),0)</f>
        <v>0</v>
      </c>
      <c r="R679" s="297">
        <f>IF($J681=$A$22,IF($M681=$A$16,$L681,0),0)</f>
        <v>0</v>
      </c>
    </row>
    <row r="680" spans="17:18">
      <c r="Q680" s="297">
        <f>IF($J682=$A$21,IF($M682=$A$16,$L682,0),0)</f>
        <v>0</v>
      </c>
      <c r="R680" s="297">
        <f>IF($J682=$A$22,IF($M682=$A$16,$L682,0),0)</f>
        <v>0</v>
      </c>
    </row>
    <row r="681" spans="17:18">
      <c r="Q681" s="297">
        <f>IF($J683=$A$21,IF($M683=$A$16,$L683,0),0)</f>
        <v>0</v>
      </c>
      <c r="R681" s="297">
        <f>IF($J683=$A$22,IF($M683=$A$16,$L683,0),0)</f>
        <v>0</v>
      </c>
    </row>
    <row r="682" spans="17:18">
      <c r="Q682" s="297">
        <f>IF($J684=$A$21,IF($M684=$A$16,$L684,0),0)</f>
        <v>0</v>
      </c>
      <c r="R682" s="297">
        <f>IF($J684=$A$22,IF($M684=$A$16,$L684,0),0)</f>
        <v>0</v>
      </c>
    </row>
    <row r="683" spans="17:18">
      <c r="Q683" s="297">
        <f>IF($J685=$A$21,IF($M685=$A$16,$L685,0),0)</f>
        <v>0</v>
      </c>
      <c r="R683" s="297">
        <f>IF($J685=$A$22,IF($M685=$A$16,$L685,0),0)</f>
        <v>0</v>
      </c>
    </row>
    <row r="684" spans="17:18">
      <c r="Q684" s="297">
        <f>IF($J686=$A$21,IF($M686=$A$16,$L686,0),0)</f>
        <v>0</v>
      </c>
      <c r="R684" s="297">
        <f>IF($J686=$A$22,IF($M686=$A$16,$L686,0),0)</f>
        <v>0</v>
      </c>
    </row>
    <row r="685" spans="17:18">
      <c r="Q685" s="297">
        <f>IF($J687=$A$21,IF($M687=$A$16,$L687,0),0)</f>
        <v>0</v>
      </c>
      <c r="R685" s="297">
        <f>IF($J687=$A$22,IF($M687=$A$16,$L687,0),0)</f>
        <v>0</v>
      </c>
    </row>
    <row r="686" spans="17:18">
      <c r="Q686" s="297">
        <f>IF($J688=$A$21,IF($M688=$A$16,$L688,0),0)</f>
        <v>0</v>
      </c>
      <c r="R686" s="297">
        <f>IF($J688=$A$22,IF($M688=$A$16,$L688,0),0)</f>
        <v>0</v>
      </c>
    </row>
    <row r="687" spans="17:18">
      <c r="Q687" s="297">
        <f>IF($J689=$A$21,IF($M689=$A$16,$L689,0),0)</f>
        <v>0</v>
      </c>
      <c r="R687" s="297">
        <f>IF($J689=$A$22,IF($M689=$A$16,$L689,0),0)</f>
        <v>0</v>
      </c>
    </row>
    <row r="688" spans="17:18">
      <c r="Q688" s="297">
        <f>IF($J690=$A$21,IF($M690=$A$16,$L690,0),0)</f>
        <v>0</v>
      </c>
      <c r="R688" s="297">
        <f>IF($J690=$A$22,IF($M690=$A$16,$L690,0),0)</f>
        <v>0</v>
      </c>
    </row>
    <row r="689" spans="17:18">
      <c r="Q689" s="297">
        <f>IF($J691=$A$21,IF($M691=$A$16,$L691,0),0)</f>
        <v>0</v>
      </c>
      <c r="R689" s="297">
        <f>IF($J691=$A$22,IF($M691=$A$16,$L691,0),0)</f>
        <v>0</v>
      </c>
    </row>
    <row r="690" spans="17:18">
      <c r="Q690" s="297">
        <f>IF($J692=$A$21,IF($M692=$A$16,$L692,0),0)</f>
        <v>0</v>
      </c>
      <c r="R690" s="297">
        <f>IF($J692=$A$22,IF($M692=$A$16,$L692,0),0)</f>
        <v>0</v>
      </c>
    </row>
    <row r="691" spans="17:18">
      <c r="Q691" s="297">
        <f>IF($J693=$A$21,IF($M693=$A$16,$L693,0),0)</f>
        <v>0</v>
      </c>
      <c r="R691" s="297">
        <f>IF($J693=$A$22,IF($M693=$A$16,$L693,0),0)</f>
        <v>0</v>
      </c>
    </row>
    <row r="692" spans="17:18">
      <c r="Q692" s="297">
        <f>IF($J694=$A$21,IF($M694=$A$16,$L694,0),0)</f>
        <v>0</v>
      </c>
      <c r="R692" s="297">
        <f>IF($J694=$A$22,IF($M694=$A$16,$L694,0),0)</f>
        <v>0</v>
      </c>
    </row>
    <row r="693" spans="17:18">
      <c r="Q693" s="297">
        <f>IF($J695=$A$21,IF($M695=$A$16,$L695,0),0)</f>
        <v>0</v>
      </c>
      <c r="R693" s="297">
        <f>IF($J695=$A$22,IF($M695=$A$16,$L695,0),0)</f>
        <v>0</v>
      </c>
    </row>
    <row r="694" spans="17:18">
      <c r="Q694" s="297">
        <f>IF($J696=$A$21,IF($M696=$A$16,$L696,0),0)</f>
        <v>0</v>
      </c>
      <c r="R694" s="297">
        <f>IF($J696=$A$22,IF($M696=$A$16,$L696,0),0)</f>
        <v>0</v>
      </c>
    </row>
    <row r="695" spans="17:18">
      <c r="Q695" s="297">
        <f>IF($J697=$A$21,IF($M697=$A$16,$L697,0),0)</f>
        <v>0</v>
      </c>
      <c r="R695" s="297">
        <f>IF($J697=$A$22,IF($M697=$A$16,$L697,0),0)</f>
        <v>0</v>
      </c>
    </row>
    <row r="696" spans="17:18">
      <c r="Q696" s="297">
        <f>IF($J698=$A$21,IF($M698=$A$16,$L698,0),0)</f>
        <v>0</v>
      </c>
      <c r="R696" s="297">
        <f>IF($J698=$A$22,IF($M698=$A$16,$L698,0),0)</f>
        <v>0</v>
      </c>
    </row>
    <row r="697" spans="17:18">
      <c r="Q697" s="297">
        <f>IF($J699=$A$21,IF($M699=$A$16,$L699,0),0)</f>
        <v>0</v>
      </c>
      <c r="R697" s="297">
        <f>IF($J699=$A$22,IF($M699=$A$16,$L699,0),0)</f>
        <v>0</v>
      </c>
    </row>
    <row r="698" spans="17:18">
      <c r="Q698" s="297">
        <f>IF($J700=$A$21,IF($M700=$A$16,$L700,0),0)</f>
        <v>0</v>
      </c>
      <c r="R698" s="297">
        <f>IF($J700=$A$22,IF($M700=$A$16,$L700,0),0)</f>
        <v>0</v>
      </c>
    </row>
    <row r="699" spans="17:18">
      <c r="Q699" s="297">
        <f>IF($J701=$A$21,IF($M701=$A$16,$L701,0),0)</f>
        <v>0</v>
      </c>
      <c r="R699" s="297">
        <f>IF($J701=$A$22,IF($M701=$A$16,$L701,0),0)</f>
        <v>0</v>
      </c>
    </row>
    <row r="700" spans="17:18">
      <c r="Q700" s="297">
        <f>IF($J702=$A$21,IF($M702=$A$16,$L702,0),0)</f>
        <v>0</v>
      </c>
      <c r="R700" s="297">
        <f>IF($J702=$A$22,IF($M702=$A$16,$L702,0),0)</f>
        <v>0</v>
      </c>
    </row>
    <row r="701" spans="17:18">
      <c r="Q701" s="297">
        <f>IF($J703=$A$21,IF($M703=$A$16,$L703,0),0)</f>
        <v>0</v>
      </c>
      <c r="R701" s="297">
        <f>IF($J703=$A$22,IF($M703=$A$16,$L703,0),0)</f>
        <v>0</v>
      </c>
    </row>
    <row r="702" spans="17:18">
      <c r="Q702" s="297">
        <f>IF($J704=$A$21,IF($M704=$A$16,$L704,0),0)</f>
        <v>0</v>
      </c>
      <c r="R702" s="297">
        <f>IF($J704=$A$22,IF($M704=$A$16,$L704,0),0)</f>
        <v>0</v>
      </c>
    </row>
    <row r="703" spans="17:18">
      <c r="Q703" s="297">
        <f>IF($J705=$A$21,IF($M705=$A$16,$L705,0),0)</f>
        <v>0</v>
      </c>
      <c r="R703" s="297">
        <f>IF($J705=$A$22,IF($M705=$A$16,$L705,0),0)</f>
        <v>0</v>
      </c>
    </row>
    <row r="704" spans="17:18">
      <c r="Q704" s="297">
        <f>IF($J706=$A$21,IF($M706=$A$16,$L706,0),0)</f>
        <v>0</v>
      </c>
      <c r="R704" s="297">
        <f>IF($J706=$A$22,IF($M706=$A$16,$L706,0),0)</f>
        <v>0</v>
      </c>
    </row>
    <row r="705" spans="17:18">
      <c r="Q705" s="297">
        <f>IF($J707=$A$21,IF($M707=$A$16,$L707,0),0)</f>
        <v>0</v>
      </c>
      <c r="R705" s="297">
        <f>IF($J707=$A$22,IF($M707=$A$16,$L707,0),0)</f>
        <v>0</v>
      </c>
    </row>
    <row r="706" spans="17:18">
      <c r="Q706" s="297">
        <f>IF($J708=$A$21,IF($M708=$A$16,$L708,0),0)</f>
        <v>0</v>
      </c>
      <c r="R706" s="297">
        <f>IF($J708=$A$22,IF($M708=$A$16,$L708,0),0)</f>
        <v>0</v>
      </c>
    </row>
    <row r="707" spans="17:18">
      <c r="Q707" s="297">
        <f>IF($J709=$A$21,IF($M709=$A$16,$L709,0),0)</f>
        <v>0</v>
      </c>
      <c r="R707" s="297">
        <f>IF($J709=$A$22,IF($M709=$A$16,$L709,0),0)</f>
        <v>0</v>
      </c>
    </row>
    <row r="708" spans="17:18">
      <c r="Q708" s="297">
        <f>IF($J710=$A$21,IF($M710=$A$16,$L710,0),0)</f>
        <v>0</v>
      </c>
      <c r="R708" s="297">
        <f>IF($J710=$A$22,IF($M710=$A$16,$L710,0),0)</f>
        <v>0</v>
      </c>
    </row>
    <row r="709" spans="17:18">
      <c r="Q709" s="297">
        <f>IF($J711=$A$21,IF($M711=$A$16,$L711,0),0)</f>
        <v>0</v>
      </c>
      <c r="R709" s="297">
        <f>IF($J711=$A$22,IF($M711=$A$16,$L711,0),0)</f>
        <v>0</v>
      </c>
    </row>
    <row r="710" spans="17:18">
      <c r="Q710" s="297">
        <f>IF($J712=$A$21,IF($M712=$A$16,$L712,0),0)</f>
        <v>0</v>
      </c>
      <c r="R710" s="297">
        <f>IF($J712=$A$22,IF($M712=$A$16,$L712,0),0)</f>
        <v>0</v>
      </c>
    </row>
    <row r="711" spans="17:18">
      <c r="Q711" s="297">
        <f>IF($J713=$A$21,IF($M713=$A$16,$L713,0),0)</f>
        <v>0</v>
      </c>
      <c r="R711" s="297">
        <f>IF($J713=$A$22,IF($M713=$A$16,$L713,0),0)</f>
        <v>0</v>
      </c>
    </row>
    <row r="712" spans="17:18">
      <c r="Q712" s="297">
        <f>IF($J714=$A$21,IF($M714=$A$16,$L714,0),0)</f>
        <v>0</v>
      </c>
      <c r="R712" s="297">
        <f>IF($J714=$A$22,IF($M714=$A$16,$L714,0),0)</f>
        <v>0</v>
      </c>
    </row>
    <row r="713" spans="17:18">
      <c r="Q713" s="297">
        <f>IF($J715=$A$21,IF($M715=$A$16,$L715,0),0)</f>
        <v>0</v>
      </c>
      <c r="R713" s="297">
        <f>IF($J715=$A$22,IF($M715=$A$16,$L715,0),0)</f>
        <v>0</v>
      </c>
    </row>
    <row r="714" spans="17:18">
      <c r="Q714" s="297">
        <f>IF($J716=$A$21,IF($M716=$A$16,$L716,0),0)</f>
        <v>0</v>
      </c>
      <c r="R714" s="297">
        <f>IF($J716=$A$22,IF($M716=$A$16,$L716,0),0)</f>
        <v>0</v>
      </c>
    </row>
    <row r="715" spans="17:18">
      <c r="Q715" s="297">
        <f>IF($J717=$A$21,IF($M717=$A$16,$L717,0),0)</f>
        <v>0</v>
      </c>
      <c r="R715" s="297">
        <f>IF($J717=$A$22,IF($M717=$A$16,$L717,0),0)</f>
        <v>0</v>
      </c>
    </row>
    <row r="716" spans="17:18">
      <c r="Q716" s="297">
        <f>IF($J718=$A$21,IF($M718=$A$16,$L718,0),0)</f>
        <v>0</v>
      </c>
      <c r="R716" s="297">
        <f>IF($J718=$A$22,IF($M718=$A$16,$L718,0),0)</f>
        <v>0</v>
      </c>
    </row>
    <row r="717" spans="17:18">
      <c r="Q717" s="297">
        <f>IF($J719=$A$21,IF($M719=$A$16,$L719,0),0)</f>
        <v>0</v>
      </c>
      <c r="R717" s="297">
        <f>IF($J719=$A$22,IF($M719=$A$16,$L719,0),0)</f>
        <v>0</v>
      </c>
    </row>
    <row r="718" spans="17:18">
      <c r="Q718" s="297">
        <f>IF($J720=$A$21,IF($M720=$A$16,$L720,0),0)</f>
        <v>0</v>
      </c>
      <c r="R718" s="297">
        <f>IF($J720=$A$22,IF($M720=$A$16,$L720,0),0)</f>
        <v>0</v>
      </c>
    </row>
    <row r="719" spans="17:18">
      <c r="Q719" s="297">
        <f>IF($J721=$A$21,IF($M721=$A$16,$L721,0),0)</f>
        <v>0</v>
      </c>
      <c r="R719" s="297">
        <f>IF($J721=$A$22,IF($M721=$A$16,$L721,0),0)</f>
        <v>0</v>
      </c>
    </row>
    <row r="720" spans="17:18">
      <c r="Q720" s="297">
        <f>IF($J722=$A$21,IF($M722=$A$16,$L722,0),0)</f>
        <v>0</v>
      </c>
      <c r="R720" s="297">
        <f>IF($J722=$A$22,IF($M722=$A$16,$L722,0),0)</f>
        <v>0</v>
      </c>
    </row>
    <row r="721" spans="17:18">
      <c r="Q721" s="297">
        <f>IF($J723=$A$21,IF($M723=$A$16,$L723,0),0)</f>
        <v>0</v>
      </c>
      <c r="R721" s="297">
        <f>IF($J723=$A$22,IF($M723=$A$16,$L723,0),0)</f>
        <v>0</v>
      </c>
    </row>
    <row r="722" spans="17:18">
      <c r="Q722" s="297">
        <f>IF($J724=$A$21,IF($M724=$A$16,$L724,0),0)</f>
        <v>0</v>
      </c>
      <c r="R722" s="297">
        <f>IF($J724=$A$22,IF($M724=$A$16,$L724,0),0)</f>
        <v>0</v>
      </c>
    </row>
    <row r="723" spans="17:18">
      <c r="Q723" s="297">
        <f>IF($J725=$A$21,IF($M725=$A$16,$L725,0),0)</f>
        <v>0</v>
      </c>
      <c r="R723" s="297">
        <f>IF($J725=$A$22,IF($M725=$A$16,$L725,0),0)</f>
        <v>0</v>
      </c>
    </row>
    <row r="724" spans="17:18">
      <c r="Q724" s="297">
        <f>IF($J726=$A$21,IF($M726=$A$16,$L726,0),0)</f>
        <v>0</v>
      </c>
      <c r="R724" s="297">
        <f>IF($J726=$A$22,IF($M726=$A$16,$L726,0),0)</f>
        <v>0</v>
      </c>
    </row>
    <row r="725" spans="17:18">
      <c r="Q725" s="297">
        <f>IF($J727=$A$21,IF($M727=$A$16,$L727,0),0)</f>
        <v>0</v>
      </c>
      <c r="R725" s="297">
        <f>IF($J727=$A$22,IF($M727=$A$16,$L727,0),0)</f>
        <v>0</v>
      </c>
    </row>
    <row r="726" spans="17:18">
      <c r="Q726" s="297">
        <f>IF($J728=$A$21,IF($M728=$A$16,$L728,0),0)</f>
        <v>0</v>
      </c>
      <c r="R726" s="297">
        <f>IF($J728=$A$22,IF($M728=$A$16,$L728,0),0)</f>
        <v>0</v>
      </c>
    </row>
    <row r="727" spans="17:18">
      <c r="Q727" s="297">
        <f>IF($J729=$A$21,IF($M729=$A$16,$L729,0),0)</f>
        <v>0</v>
      </c>
      <c r="R727" s="297">
        <f>IF($J729=$A$22,IF($M729=$A$16,$L729,0),0)</f>
        <v>0</v>
      </c>
    </row>
    <row r="728" spans="17:18">
      <c r="Q728" s="297">
        <f>IF($J730=$A$21,IF($M730=$A$16,$L730,0),0)</f>
        <v>0</v>
      </c>
      <c r="R728" s="297">
        <f>IF($J730=$A$22,IF($M730=$A$16,$L730,0),0)</f>
        <v>0</v>
      </c>
    </row>
    <row r="729" spans="17:18">
      <c r="Q729" s="297">
        <f>IF($J731=$A$21,IF($M731=$A$16,$L731,0),0)</f>
        <v>0</v>
      </c>
      <c r="R729" s="297">
        <f>IF($J731=$A$22,IF($M731=$A$16,$L731,0),0)</f>
        <v>0</v>
      </c>
    </row>
    <row r="730" spans="17:18">
      <c r="Q730" s="297">
        <f>IF($J732=$A$21,IF($M732=$A$16,$L732,0),0)</f>
        <v>0</v>
      </c>
      <c r="R730" s="297">
        <f>IF($J732=$A$22,IF($M732=$A$16,$L732,0),0)</f>
        <v>0</v>
      </c>
    </row>
    <row r="731" spans="17:18">
      <c r="Q731" s="297">
        <f>IF($J733=$A$21,IF($M733=$A$16,$L733,0),0)</f>
        <v>0</v>
      </c>
      <c r="R731" s="297">
        <f>IF($J733=$A$22,IF($M733=$A$16,$L733,0),0)</f>
        <v>0</v>
      </c>
    </row>
    <row r="732" spans="17:18">
      <c r="Q732" s="297">
        <f>IF($J734=$A$21,IF($M734=$A$16,$L734,0),0)</f>
        <v>0</v>
      </c>
      <c r="R732" s="297">
        <f>IF($J734=$A$22,IF($M734=$A$16,$L734,0),0)</f>
        <v>0</v>
      </c>
    </row>
    <row r="733" spans="17:18">
      <c r="Q733" s="297">
        <f>IF($J735=$A$21,IF($M735=$A$16,$L735,0),0)</f>
        <v>0</v>
      </c>
      <c r="R733" s="297">
        <f>IF($J735=$A$22,IF($M735=$A$16,$L735,0),0)</f>
        <v>0</v>
      </c>
    </row>
    <row r="734" spans="17:18">
      <c r="Q734" s="297">
        <f>IF($J736=$A$21,IF($M736=$A$16,$L736,0),0)</f>
        <v>0</v>
      </c>
      <c r="R734" s="297">
        <f>IF($J736=$A$22,IF($M736=$A$16,$L736,0),0)</f>
        <v>0</v>
      </c>
    </row>
    <row r="735" spans="17:18">
      <c r="Q735" s="297">
        <f>IF($J737=$A$21,IF($M737=$A$16,$L737,0),0)</f>
        <v>0</v>
      </c>
      <c r="R735" s="297">
        <f>IF($J737=$A$22,IF($M737=$A$16,$L737,0),0)</f>
        <v>0</v>
      </c>
    </row>
    <row r="736" spans="17:18">
      <c r="Q736" s="297">
        <f>IF($J738=$A$21,IF($M738=$A$16,$L738,0),0)</f>
        <v>0</v>
      </c>
      <c r="R736" s="297">
        <f>IF($J738=$A$22,IF($M738=$A$16,$L738,0),0)</f>
        <v>0</v>
      </c>
    </row>
    <row r="737" spans="17:18">
      <c r="Q737" s="297">
        <f>IF($J739=$A$21,IF($M739=$A$16,$L739,0),0)</f>
        <v>0</v>
      </c>
      <c r="R737" s="297">
        <f>IF($J739=$A$22,IF($M739=$A$16,$L739,0),0)</f>
        <v>0</v>
      </c>
    </row>
    <row r="738" spans="17:18">
      <c r="Q738" s="297">
        <f>IF($J740=$A$21,IF($M740=$A$16,$L740,0),0)</f>
        <v>0</v>
      </c>
      <c r="R738" s="297">
        <f>IF($J740=$A$22,IF($M740=$A$16,$L740,0),0)</f>
        <v>0</v>
      </c>
    </row>
    <row r="739" spans="17:18">
      <c r="Q739" s="297">
        <f>IF($J741=$A$21,IF($M741=$A$16,$L741,0),0)</f>
        <v>0</v>
      </c>
      <c r="R739" s="297">
        <f>IF($J741=$A$22,IF($M741=$A$16,$L741,0),0)</f>
        <v>0</v>
      </c>
    </row>
    <row r="740" spans="17:18">
      <c r="Q740" s="297">
        <f>IF($J742=$A$21,IF($M742=$A$16,$L742,0),0)</f>
        <v>0</v>
      </c>
      <c r="R740" s="297">
        <f>IF($J742=$A$22,IF($M742=$A$16,$L742,0),0)</f>
        <v>0</v>
      </c>
    </row>
    <row r="741" spans="17:18">
      <c r="Q741" s="297">
        <f>IF($J743=$A$21,IF($M743=$A$16,$L743,0),0)</f>
        <v>0</v>
      </c>
      <c r="R741" s="297">
        <f>IF($J743=$A$22,IF($M743=$A$16,$L743,0),0)</f>
        <v>0</v>
      </c>
    </row>
    <row r="742" spans="17:18">
      <c r="Q742" s="297">
        <f>IF($J744=$A$21,IF($M744=$A$16,$L744,0),0)</f>
        <v>0</v>
      </c>
      <c r="R742" s="297">
        <f>IF($J744=$A$22,IF($M744=$A$16,$L744,0),0)</f>
        <v>0</v>
      </c>
    </row>
    <row r="743" spans="17:18">
      <c r="Q743" s="297">
        <f>IF($J745=$A$21,IF($M745=$A$16,$L745,0),0)</f>
        <v>0</v>
      </c>
      <c r="R743" s="297">
        <f>IF($J745=$A$22,IF($M745=$A$16,$L745,0),0)</f>
        <v>0</v>
      </c>
    </row>
    <row r="744" spans="17:18">
      <c r="Q744" s="297">
        <f>IF($J746=$A$21,IF($M746=$A$16,$L746,0),0)</f>
        <v>0</v>
      </c>
      <c r="R744" s="297">
        <f>IF($J746=$A$22,IF($M746=$A$16,$L746,0),0)</f>
        <v>0</v>
      </c>
    </row>
    <row r="745" spans="17:18">
      <c r="Q745" s="297">
        <f>IF($J747=$A$21,IF($M747=$A$16,$L747,0),0)</f>
        <v>0</v>
      </c>
      <c r="R745" s="297">
        <f>IF($J747=$A$22,IF($M747=$A$16,$L747,0),0)</f>
        <v>0</v>
      </c>
    </row>
    <row r="746" spans="17:18">
      <c r="Q746" s="297">
        <f>IF($J748=$A$21,IF($M748=$A$16,$L748,0),0)</f>
        <v>0</v>
      </c>
      <c r="R746" s="297">
        <f>IF($J748=$A$22,IF($M748=$A$16,$L748,0),0)</f>
        <v>0</v>
      </c>
    </row>
    <row r="747" spans="17:18">
      <c r="Q747" s="297">
        <f>IF($J749=$A$21,IF($M749=$A$16,$L749,0),0)</f>
        <v>0</v>
      </c>
      <c r="R747" s="297">
        <f>IF($J749=$A$22,IF($M749=$A$16,$L749,0),0)</f>
        <v>0</v>
      </c>
    </row>
    <row r="748" spans="17:18">
      <c r="Q748" s="297">
        <f>IF($J750=$A$21,IF($M750=$A$16,$L750,0),0)</f>
        <v>0</v>
      </c>
      <c r="R748" s="297">
        <f>IF($J750=$A$22,IF($M750=$A$16,$L750,0),0)</f>
        <v>0</v>
      </c>
    </row>
    <row r="749" spans="17:18">
      <c r="Q749" s="297">
        <f>IF($J751=$A$21,IF($M751=$A$16,$L751,0),0)</f>
        <v>0</v>
      </c>
      <c r="R749" s="297">
        <f>IF($J751=$A$22,IF($M751=$A$16,$L751,0),0)</f>
        <v>0</v>
      </c>
    </row>
    <row r="750" spans="17:18">
      <c r="Q750" s="297">
        <f>IF($J752=$A$21,IF($M752=$A$16,$L752,0),0)</f>
        <v>0</v>
      </c>
      <c r="R750" s="297">
        <f>IF($J752=$A$22,IF($M752=$A$16,$L752,0),0)</f>
        <v>0</v>
      </c>
    </row>
    <row r="751" spans="17:18">
      <c r="Q751" s="297">
        <f>IF($J753=$A$21,IF($M753=$A$16,$L753,0),0)</f>
        <v>0</v>
      </c>
      <c r="R751" s="297">
        <f>IF($J753=$A$22,IF($M753=$A$16,$L753,0),0)</f>
        <v>0</v>
      </c>
    </row>
    <row r="752" spans="17:18">
      <c r="Q752" s="297">
        <f>IF($J754=$A$21,IF($M754=$A$16,$L754,0),0)</f>
        <v>0</v>
      </c>
      <c r="R752" s="297">
        <f>IF($J754=$A$22,IF($M754=$A$16,$L754,0),0)</f>
        <v>0</v>
      </c>
    </row>
    <row r="753" spans="17:18">
      <c r="Q753" s="297">
        <f>IF($J755=$A$21,IF($M755=$A$16,$L755,0),0)</f>
        <v>0</v>
      </c>
      <c r="R753" s="297">
        <f>IF($J755=$A$22,IF($M755=$A$16,$L755,0),0)</f>
        <v>0</v>
      </c>
    </row>
    <row r="754" spans="17:18">
      <c r="Q754" s="297">
        <f>IF($J756=$A$21,IF($M756=$A$16,$L756,0),0)</f>
        <v>0</v>
      </c>
      <c r="R754" s="297">
        <f>IF($J756=$A$22,IF($M756=$A$16,$L756,0),0)</f>
        <v>0</v>
      </c>
    </row>
    <row r="755" spans="17:18">
      <c r="Q755" s="297">
        <f>IF($J757=$A$21,IF($M757=$A$16,$L757,0),0)</f>
        <v>0</v>
      </c>
      <c r="R755" s="297">
        <f>IF($J757=$A$22,IF($M757=$A$16,$L757,0),0)</f>
        <v>0</v>
      </c>
    </row>
    <row r="756" spans="17:18">
      <c r="Q756" s="297">
        <f>IF($J758=$A$21,IF($M758=$A$16,$L758,0),0)</f>
        <v>0</v>
      </c>
      <c r="R756" s="297">
        <f>IF($J758=$A$22,IF($M758=$A$16,$L758,0),0)</f>
        <v>0</v>
      </c>
    </row>
    <row r="757" spans="17:18">
      <c r="Q757" s="297">
        <f>IF($J759=$A$21,IF($M759=$A$16,$L759,0),0)</f>
        <v>0</v>
      </c>
      <c r="R757" s="297">
        <f>IF($J759=$A$22,IF($M759=$A$16,$L759,0),0)</f>
        <v>0</v>
      </c>
    </row>
    <row r="758" spans="17:18">
      <c r="Q758" s="297">
        <f>IF($J760=$A$21,IF($M760=$A$16,$L760,0),0)</f>
        <v>0</v>
      </c>
      <c r="R758" s="297">
        <f>IF($J760=$A$22,IF($M760=$A$16,$L760,0),0)</f>
        <v>0</v>
      </c>
    </row>
    <row r="759" spans="17:18">
      <c r="Q759" s="297">
        <f>IF($J761=$A$21,IF($M761=$A$16,$L761,0),0)</f>
        <v>0</v>
      </c>
      <c r="R759" s="297">
        <f>IF($J761=$A$22,IF($M761=$A$16,$L761,0),0)</f>
        <v>0</v>
      </c>
    </row>
    <row r="760" spans="17:18">
      <c r="Q760" s="297">
        <f>IF($J762=$A$21,IF($M762=$A$16,$L762,0),0)</f>
        <v>0</v>
      </c>
      <c r="R760" s="297">
        <f>IF($J762=$A$22,IF($M762=$A$16,$L762,0),0)</f>
        <v>0</v>
      </c>
    </row>
    <row r="761" spans="17:18">
      <c r="Q761" s="297">
        <f>IF($J763=$A$21,IF($M763=$A$16,$L763,0),0)</f>
        <v>0</v>
      </c>
      <c r="R761" s="297">
        <f>IF($J763=$A$22,IF($M763=$A$16,$L763,0),0)</f>
        <v>0</v>
      </c>
    </row>
    <row r="762" spans="17:18">
      <c r="Q762" s="297">
        <f>IF($J764=$A$21,IF($M764=$A$16,$L764,0),0)</f>
        <v>0</v>
      </c>
      <c r="R762" s="297">
        <f>IF($J764=$A$22,IF($M764=$A$16,$L764,0),0)</f>
        <v>0</v>
      </c>
    </row>
    <row r="763" spans="17:18">
      <c r="Q763" s="297">
        <f>IF($J765=$A$21,IF($M765=$A$16,$L765,0),0)</f>
        <v>0</v>
      </c>
      <c r="R763" s="297">
        <f>IF($J765=$A$22,IF($M765=$A$16,$L765,0),0)</f>
        <v>0</v>
      </c>
    </row>
    <row r="764" spans="17:18">
      <c r="Q764" s="297">
        <f>IF($J766=$A$21,IF($M766=$A$16,$L766,0),0)</f>
        <v>0</v>
      </c>
      <c r="R764" s="297">
        <f>IF($J766=$A$22,IF($M766=$A$16,$L766,0),0)</f>
        <v>0</v>
      </c>
    </row>
    <row r="765" spans="17:18">
      <c r="Q765" s="297">
        <f>IF($J767=$A$21,IF($M767=$A$16,$L767,0),0)</f>
        <v>0</v>
      </c>
      <c r="R765" s="297">
        <f>IF($J767=$A$22,IF($M767=$A$16,$L767,0),0)</f>
        <v>0</v>
      </c>
    </row>
    <row r="766" spans="17:18">
      <c r="Q766" s="297">
        <f>IF($J768=$A$21,IF($M768=$A$16,$L768,0),0)</f>
        <v>0</v>
      </c>
      <c r="R766" s="297">
        <f>IF($J768=$A$22,IF($M768=$A$16,$L768,0),0)</f>
        <v>0</v>
      </c>
    </row>
    <row r="767" spans="17:18">
      <c r="Q767" s="297">
        <f>IF($J769=$A$21,IF($M769=$A$16,$L769,0),0)</f>
        <v>0</v>
      </c>
      <c r="R767" s="297">
        <f>IF($J769=$A$22,IF($M769=$A$16,$L769,0),0)</f>
        <v>0</v>
      </c>
    </row>
    <row r="768" spans="17:18">
      <c r="Q768" s="297">
        <f>IF($J770=$A$21,IF($M770=$A$16,$L770,0),0)</f>
        <v>0</v>
      </c>
      <c r="R768" s="297">
        <f>IF($J770=$A$22,IF($M770=$A$16,$L770,0),0)</f>
        <v>0</v>
      </c>
    </row>
    <row r="769" spans="17:18">
      <c r="Q769" s="297">
        <f>IF($J771=$A$21,IF($M771=$A$16,$L771,0),0)</f>
        <v>0</v>
      </c>
      <c r="R769" s="297">
        <f>IF($J771=$A$22,IF($M771=$A$16,$L771,0),0)</f>
        <v>0</v>
      </c>
    </row>
    <row r="770" spans="17:18">
      <c r="Q770" s="297">
        <f>IF($J772=$A$21,IF($M772=$A$16,$L772,0),0)</f>
        <v>0</v>
      </c>
      <c r="R770" s="297">
        <f>IF($J772=$A$22,IF($M772=$A$16,$L772,0),0)</f>
        <v>0</v>
      </c>
    </row>
    <row r="771" spans="17:18">
      <c r="Q771" s="297">
        <f>IF($J773=$A$21,IF($M773=$A$16,$L773,0),0)</f>
        <v>0</v>
      </c>
      <c r="R771" s="297">
        <f>IF($J773=$A$22,IF($M773=$A$16,$L773,0),0)</f>
        <v>0</v>
      </c>
    </row>
    <row r="772" spans="17:18">
      <c r="Q772" s="297">
        <f>IF($J774=$A$21,IF($M774=$A$16,$L774,0),0)</f>
        <v>0</v>
      </c>
      <c r="R772" s="297">
        <f>IF($J774=$A$22,IF($M774=$A$16,$L774,0),0)</f>
        <v>0</v>
      </c>
    </row>
    <row r="773" spans="17:18">
      <c r="Q773" s="297">
        <f>IF($J775=$A$21,IF($M775=$A$16,$L775,0),0)</f>
        <v>0</v>
      </c>
      <c r="R773" s="297">
        <f>IF($J775=$A$22,IF($M775=$A$16,$L775,0),0)</f>
        <v>0</v>
      </c>
    </row>
    <row r="774" spans="17:18">
      <c r="Q774" s="297">
        <f>IF($J776=$A$21,IF($M776=$A$16,$L776,0),0)</f>
        <v>0</v>
      </c>
      <c r="R774" s="297">
        <f>IF($J776=$A$22,IF($M776=$A$16,$L776,0),0)</f>
        <v>0</v>
      </c>
    </row>
    <row r="775" spans="17:18">
      <c r="Q775" s="297">
        <f>IF($J777=$A$21,IF($M777=$A$16,$L777,0),0)</f>
        <v>0</v>
      </c>
      <c r="R775" s="297">
        <f>IF($J777=$A$22,IF($M777=$A$16,$L777,0),0)</f>
        <v>0</v>
      </c>
    </row>
    <row r="776" spans="17:18">
      <c r="Q776" s="297">
        <f>IF($J778=$A$21,IF($M778=$A$16,$L778,0),0)</f>
        <v>0</v>
      </c>
      <c r="R776" s="297">
        <f>IF($J778=$A$22,IF($M778=$A$16,$L778,0),0)</f>
        <v>0</v>
      </c>
    </row>
    <row r="777" spans="17:18">
      <c r="Q777" s="297">
        <f>IF($J779=$A$21,IF($M779=$A$16,$L779,0),0)</f>
        <v>0</v>
      </c>
      <c r="R777" s="297">
        <f>IF($J779=$A$22,IF($M779=$A$16,$L779,0),0)</f>
        <v>0</v>
      </c>
    </row>
    <row r="778" spans="17:18">
      <c r="Q778" s="297">
        <f>IF($J780=$A$21,IF($M780=$A$16,$L780,0),0)</f>
        <v>0</v>
      </c>
      <c r="R778" s="297">
        <f>IF($J780=$A$22,IF($M780=$A$16,$L780,0),0)</f>
        <v>0</v>
      </c>
    </row>
    <row r="779" spans="17:18">
      <c r="Q779" s="297">
        <f>IF($J781=$A$21,IF($M781=$A$16,$L781,0),0)</f>
        <v>0</v>
      </c>
      <c r="R779" s="297">
        <f>IF($J781=$A$22,IF($M781=$A$16,$L781,0),0)</f>
        <v>0</v>
      </c>
    </row>
    <row r="780" spans="17:18">
      <c r="Q780" s="297">
        <f>IF($J782=$A$21,IF($M782=$A$16,$L782,0),0)</f>
        <v>0</v>
      </c>
      <c r="R780" s="297">
        <f>IF($J782=$A$22,IF($M782=$A$16,$L782,0),0)</f>
        <v>0</v>
      </c>
    </row>
    <row r="781" spans="17:18">
      <c r="Q781" s="297">
        <f>IF($J783=$A$21,IF($M783=$A$16,$L783,0),0)</f>
        <v>0</v>
      </c>
      <c r="R781" s="297">
        <f>IF($J783=$A$22,IF($M783=$A$16,$L783,0),0)</f>
        <v>0</v>
      </c>
    </row>
    <row r="782" spans="17:18">
      <c r="Q782" s="297">
        <f>IF($J784=$A$21,IF($M784=$A$16,$L784,0),0)</f>
        <v>0</v>
      </c>
      <c r="R782" s="297">
        <f>IF($J784=$A$22,IF($M784=$A$16,$L784,0),0)</f>
        <v>0</v>
      </c>
    </row>
    <row r="783" spans="17:18">
      <c r="Q783" s="297">
        <f>IF($J785=$A$21,IF($M785=$A$16,$L785,0),0)</f>
        <v>0</v>
      </c>
      <c r="R783" s="297">
        <f>IF($J785=$A$22,IF($M785=$A$16,$L785,0),0)</f>
        <v>0</v>
      </c>
    </row>
    <row r="784" spans="17:18">
      <c r="Q784" s="297">
        <f>IF($J786=$A$21,IF($M786=$A$16,$L786,0),0)</f>
        <v>0</v>
      </c>
      <c r="R784" s="297">
        <f>IF($J786=$A$22,IF($M786=$A$16,$L786,0),0)</f>
        <v>0</v>
      </c>
    </row>
    <row r="785" spans="17:18">
      <c r="Q785" s="297">
        <f>IF($J787=$A$21,IF($M787=$A$16,$L787,0),0)</f>
        <v>0</v>
      </c>
      <c r="R785" s="297">
        <f>IF($J787=$A$22,IF($M787=$A$16,$L787,0),0)</f>
        <v>0</v>
      </c>
    </row>
    <row r="786" spans="17:18">
      <c r="Q786" s="297">
        <f>IF($J788=$A$21,IF($M788=$A$16,$L788,0),0)</f>
        <v>0</v>
      </c>
      <c r="R786" s="297">
        <f>IF($J788=$A$22,IF($M788=$A$16,$L788,0),0)</f>
        <v>0</v>
      </c>
    </row>
    <row r="787" spans="17:18">
      <c r="Q787" s="297">
        <f>IF($J789=$A$21,IF($M789=$A$16,$L789,0),0)</f>
        <v>0</v>
      </c>
      <c r="R787" s="297">
        <f>IF($J789=$A$22,IF($M789=$A$16,$L789,0),0)</f>
        <v>0</v>
      </c>
    </row>
    <row r="788" spans="17:18">
      <c r="Q788" s="297">
        <f>IF($J790=$A$21,IF($M790=$A$16,$L790,0),0)</f>
        <v>0</v>
      </c>
      <c r="R788" s="297">
        <f>IF($J790=$A$22,IF($M790=$A$16,$L790,0),0)</f>
        <v>0</v>
      </c>
    </row>
    <row r="789" spans="17:18">
      <c r="Q789" s="297">
        <f>IF($J791=$A$21,IF($M791=$A$16,$L791,0),0)</f>
        <v>0</v>
      </c>
      <c r="R789" s="297">
        <f>IF($J791=$A$22,IF($M791=$A$16,$L791,0),0)</f>
        <v>0</v>
      </c>
    </row>
    <row r="790" spans="17:18">
      <c r="Q790" s="297">
        <f>IF($J792=$A$21,IF($M792=$A$16,$L792,0),0)</f>
        <v>0</v>
      </c>
      <c r="R790" s="297">
        <f>IF($J792=$A$22,IF($M792=$A$16,$L792,0),0)</f>
        <v>0</v>
      </c>
    </row>
    <row r="791" spans="17:18">
      <c r="Q791" s="297">
        <f>IF($J793=$A$21,IF($M793=$A$16,$L793,0),0)</f>
        <v>0</v>
      </c>
      <c r="R791" s="297">
        <f>IF($J793=$A$22,IF($M793=$A$16,$L793,0),0)</f>
        <v>0</v>
      </c>
    </row>
    <row r="792" spans="17:18">
      <c r="Q792" s="297">
        <f>IF($J794=$A$21,IF($M794=$A$16,$L794,0),0)</f>
        <v>0</v>
      </c>
      <c r="R792" s="297">
        <f>IF($J794=$A$22,IF($M794=$A$16,$L794,0),0)</f>
        <v>0</v>
      </c>
    </row>
    <row r="793" spans="17:18">
      <c r="Q793" s="297">
        <f>IF($J795=$A$21,IF($M795=$A$16,$L795,0),0)</f>
        <v>0</v>
      </c>
      <c r="R793" s="297">
        <f>IF($J795=$A$22,IF($M795=$A$16,$L795,0),0)</f>
        <v>0</v>
      </c>
    </row>
    <row r="794" spans="17:18">
      <c r="Q794" s="297">
        <f>IF($J796=$A$21,IF($M796=$A$16,$L796,0),0)</f>
        <v>0</v>
      </c>
      <c r="R794" s="297">
        <f>IF($J796=$A$22,IF($M796=$A$16,$L796,0),0)</f>
        <v>0</v>
      </c>
    </row>
    <row r="795" spans="17:18">
      <c r="Q795" s="297">
        <f>IF($J797=$A$21,IF($M797=$A$16,$L797,0),0)</f>
        <v>0</v>
      </c>
      <c r="R795" s="297">
        <f>IF($J797=$A$22,IF($M797=$A$16,$L797,0),0)</f>
        <v>0</v>
      </c>
    </row>
    <row r="796" spans="17:18">
      <c r="Q796" s="297">
        <f>IF($J798=$A$21,IF($M798=$A$16,$L798,0),0)</f>
        <v>0</v>
      </c>
      <c r="R796" s="297">
        <f>IF($J798=$A$22,IF($M798=$A$16,$L798,0),0)</f>
        <v>0</v>
      </c>
    </row>
    <row r="797" spans="17:18">
      <c r="Q797" s="297">
        <f>IF($J799=$A$21,IF($M799=$A$16,$L799,0),0)</f>
        <v>0</v>
      </c>
      <c r="R797" s="297">
        <f>IF($J799=$A$22,IF($M799=$A$16,$L799,0),0)</f>
        <v>0</v>
      </c>
    </row>
    <row r="798" spans="17:18">
      <c r="Q798" s="297">
        <f>IF($J800=$A$21,IF($M800=$A$16,$L800,0),0)</f>
        <v>0</v>
      </c>
      <c r="R798" s="297">
        <f>IF($J800=$A$22,IF($M800=$A$16,$L800,0),0)</f>
        <v>0</v>
      </c>
    </row>
    <row r="799" spans="17:18">
      <c r="Q799" s="297">
        <f>IF($J801=$A$21,IF($M801=$A$16,$L801,0),0)</f>
        <v>0</v>
      </c>
      <c r="R799" s="297">
        <f>IF($J801=$A$22,IF($M801=$A$16,$L801,0),0)</f>
        <v>0</v>
      </c>
    </row>
    <row r="800" spans="17:18">
      <c r="Q800" s="297">
        <f>IF($J802=$A$21,IF($M802=$A$16,$L802,0),0)</f>
        <v>0</v>
      </c>
      <c r="R800" s="297">
        <f>IF($J802=$A$22,IF($M802=$A$16,$L802,0),0)</f>
        <v>0</v>
      </c>
    </row>
    <row r="801" spans="17:18">
      <c r="Q801" s="297">
        <f>IF($J803=$A$21,IF($M803=$A$16,$L803,0),0)</f>
        <v>0</v>
      </c>
      <c r="R801" s="297">
        <f>IF($J803=$A$22,IF($M803=$A$16,$L803,0),0)</f>
        <v>0</v>
      </c>
    </row>
    <row r="802" spans="17:18">
      <c r="Q802" s="297">
        <f>IF($J804=$A$21,IF($M804=$A$16,$L804,0),0)</f>
        <v>0</v>
      </c>
      <c r="R802" s="297">
        <f>IF($J804=$A$22,IF($M804=$A$16,$L804,0),0)</f>
        <v>0</v>
      </c>
    </row>
    <row r="803" spans="17:18">
      <c r="Q803" s="297">
        <f>IF($J805=$A$21,IF($M805=$A$16,$L805,0),0)</f>
        <v>0</v>
      </c>
      <c r="R803" s="297">
        <f>IF($J805=$A$22,IF($M805=$A$16,$L805,0),0)</f>
        <v>0</v>
      </c>
    </row>
    <row r="804" spans="17:18">
      <c r="Q804" s="297">
        <f>IF($J806=$A$21,IF($M806=$A$16,$L806,0),0)</f>
        <v>0</v>
      </c>
      <c r="R804" s="297">
        <f>IF($J806=$A$22,IF($M806=$A$16,$L806,0),0)</f>
        <v>0</v>
      </c>
    </row>
    <row r="805" spans="17:18">
      <c r="Q805" s="297">
        <f>IF($J807=$A$21,IF($M807=$A$16,$L807,0),0)</f>
        <v>0</v>
      </c>
      <c r="R805" s="297">
        <f>IF($J807=$A$22,IF($M807=$A$16,$L807,0),0)</f>
        <v>0</v>
      </c>
    </row>
    <row r="806" spans="17:18">
      <c r="Q806" s="297">
        <f>IF($J808=$A$21,IF($M808=$A$16,$L808,0),0)</f>
        <v>0</v>
      </c>
      <c r="R806" s="297">
        <f>IF($J808=$A$22,IF($M808=$A$16,$L808,0),0)</f>
        <v>0</v>
      </c>
    </row>
    <row r="807" spans="17:18">
      <c r="Q807" s="297">
        <f>IF($J809=$A$21,IF($M809=$A$16,$L809,0),0)</f>
        <v>0</v>
      </c>
      <c r="R807" s="297">
        <f>IF($J809=$A$22,IF($M809=$A$16,$L809,0),0)</f>
        <v>0</v>
      </c>
    </row>
    <row r="808" spans="17:18">
      <c r="Q808" s="297">
        <f>IF($J810=$A$21,IF($M810=$A$16,$L810,0),0)</f>
        <v>0</v>
      </c>
      <c r="R808" s="297">
        <f>IF($J810=$A$22,IF($M810=$A$16,$L810,0),0)</f>
        <v>0</v>
      </c>
    </row>
    <row r="809" spans="17:18">
      <c r="Q809" s="297">
        <f>IF($J811=$A$21,IF($M811=$A$16,$L811,0),0)</f>
        <v>0</v>
      </c>
      <c r="R809" s="297">
        <f>IF($J811=$A$22,IF($M811=$A$16,$L811,0),0)</f>
        <v>0</v>
      </c>
    </row>
    <row r="810" spans="17:18">
      <c r="Q810" s="297">
        <f>IF($J812=$A$21,IF($M812=$A$16,$L812,0),0)</f>
        <v>0</v>
      </c>
      <c r="R810" s="297">
        <f>IF($J812=$A$22,IF($M812=$A$16,$L812,0),0)</f>
        <v>0</v>
      </c>
    </row>
    <row r="811" spans="17:18">
      <c r="Q811" s="297">
        <f>IF($J813=$A$21,IF($M813=$A$16,$L813,0),0)</f>
        <v>0</v>
      </c>
      <c r="R811" s="297">
        <f>IF($J813=$A$22,IF($M813=$A$16,$L813,0),0)</f>
        <v>0</v>
      </c>
    </row>
    <row r="812" spans="17:18">
      <c r="Q812" s="297">
        <f>IF($J814=$A$21,IF($M814=$A$16,$L814,0),0)</f>
        <v>0</v>
      </c>
      <c r="R812" s="297">
        <f>IF($J814=$A$22,IF($M814=$A$16,$L814,0),0)</f>
        <v>0</v>
      </c>
    </row>
    <row r="813" spans="17:18">
      <c r="Q813" s="297">
        <f>IF($J815=$A$21,IF($M815=$A$16,$L815,0),0)</f>
        <v>0</v>
      </c>
      <c r="R813" s="297">
        <f>IF($J815=$A$22,IF($M815=$A$16,$L815,0),0)</f>
        <v>0</v>
      </c>
    </row>
    <row r="814" spans="17:18">
      <c r="Q814" s="297">
        <f>IF($J816=$A$21,IF($M816=$A$16,$L816,0),0)</f>
        <v>0</v>
      </c>
      <c r="R814" s="297">
        <f>IF($J816=$A$22,IF($M816=$A$16,$L816,0),0)</f>
        <v>0</v>
      </c>
    </row>
    <row r="815" spans="17:18">
      <c r="Q815" s="297">
        <f>IF($J817=$A$21,IF($M817=$A$16,$L817,0),0)</f>
        <v>0</v>
      </c>
      <c r="R815" s="297">
        <f>IF($J817=$A$22,IF($M817=$A$16,$L817,0),0)</f>
        <v>0</v>
      </c>
    </row>
    <row r="816" spans="17:18">
      <c r="Q816" s="297">
        <f>IF($J818=$A$21,IF($M818=$A$16,$L818,0),0)</f>
        <v>0</v>
      </c>
      <c r="R816" s="297">
        <f>IF($J818=$A$22,IF($M818=$A$16,$L818,0),0)</f>
        <v>0</v>
      </c>
    </row>
    <row r="817" spans="17:18">
      <c r="Q817" s="297">
        <f>IF($J819=$A$21,IF($M819=$A$16,$L819,0),0)</f>
        <v>0</v>
      </c>
      <c r="R817" s="297">
        <f>IF($J819=$A$22,IF($M819=$A$16,$L819,0),0)</f>
        <v>0</v>
      </c>
    </row>
    <row r="818" spans="17:18">
      <c r="Q818" s="297">
        <f>IF($J820=$A$21,IF($M820=$A$16,$L820,0),0)</f>
        <v>0</v>
      </c>
      <c r="R818" s="297">
        <f>IF($J820=$A$22,IF($M820=$A$16,$L820,0),0)</f>
        <v>0</v>
      </c>
    </row>
    <row r="819" spans="17:18">
      <c r="Q819" s="297">
        <f>IF($J821=$A$21,IF($M821=$A$16,$L821,0),0)</f>
        <v>0</v>
      </c>
      <c r="R819" s="297">
        <f>IF($J821=$A$22,IF($M821=$A$16,$L821,0),0)</f>
        <v>0</v>
      </c>
    </row>
    <row r="820" spans="17:18">
      <c r="Q820" s="297">
        <f>IF($J822=$A$21,IF($M822=$A$16,$L822,0),0)</f>
        <v>0</v>
      </c>
      <c r="R820" s="297">
        <f>IF($J822=$A$22,IF($M822=$A$16,$L822,0),0)</f>
        <v>0</v>
      </c>
    </row>
    <row r="821" spans="17:18">
      <c r="Q821" s="297">
        <f>IF($J823=$A$21,IF($M823=$A$16,$L823,0),0)</f>
        <v>0</v>
      </c>
      <c r="R821" s="297">
        <f>IF($J823=$A$22,IF($M823=$A$16,$L823,0),0)</f>
        <v>0</v>
      </c>
    </row>
    <row r="822" spans="17:18">
      <c r="Q822" s="297">
        <f>IF($J824=$A$21,IF($M824=$A$16,$L824,0),0)</f>
        <v>0</v>
      </c>
      <c r="R822" s="297">
        <f>IF($J824=$A$22,IF($M824=$A$16,$L824,0),0)</f>
        <v>0</v>
      </c>
    </row>
    <row r="823" spans="17:18">
      <c r="Q823" s="297">
        <f>IF($J825=$A$21,IF($M825=$A$16,$L825,0),0)</f>
        <v>0</v>
      </c>
      <c r="R823" s="297">
        <f>IF($J825=$A$22,IF($M825=$A$16,$L825,0),0)</f>
        <v>0</v>
      </c>
    </row>
    <row r="824" spans="17:18">
      <c r="Q824" s="297">
        <f>IF($J826=$A$21,IF($M826=$A$16,$L826,0),0)</f>
        <v>0</v>
      </c>
      <c r="R824" s="297">
        <f>IF($J826=$A$22,IF($M826=$A$16,$L826,0),0)</f>
        <v>0</v>
      </c>
    </row>
    <row r="825" spans="17:18">
      <c r="Q825" s="297">
        <f>IF($J827=$A$21,IF($M827=$A$16,$L827,0),0)</f>
        <v>0</v>
      </c>
      <c r="R825" s="297">
        <f>IF($J827=$A$22,IF($M827=$A$16,$L827,0),0)</f>
        <v>0</v>
      </c>
    </row>
    <row r="826" spans="17:18">
      <c r="Q826" s="297">
        <f>IF($J828=$A$21,IF($M828=$A$16,$L828,0),0)</f>
        <v>0</v>
      </c>
      <c r="R826" s="297">
        <f>IF($J828=$A$22,IF($M828=$A$16,$L828,0),0)</f>
        <v>0</v>
      </c>
    </row>
    <row r="827" spans="17:18">
      <c r="Q827" s="297">
        <f>IF($J829=$A$21,IF($M829=$A$16,$L829,0),0)</f>
        <v>0</v>
      </c>
      <c r="R827" s="297">
        <f>IF($J829=$A$22,IF($M829=$A$16,$L829,0),0)</f>
        <v>0</v>
      </c>
    </row>
    <row r="828" spans="17:18">
      <c r="Q828" s="297">
        <f>IF($J830=$A$21,IF($M830=$A$16,$L830,0),0)</f>
        <v>0</v>
      </c>
      <c r="R828" s="297">
        <f>IF($J830=$A$22,IF($M830=$A$16,$L830,0),0)</f>
        <v>0</v>
      </c>
    </row>
    <row r="829" spans="17:18">
      <c r="Q829" s="297">
        <f>IF($J831=$A$21,IF($M831=$A$16,$L831,0),0)</f>
        <v>0</v>
      </c>
      <c r="R829" s="297">
        <f>IF($J831=$A$22,IF($M831=$A$16,$L831,0),0)</f>
        <v>0</v>
      </c>
    </row>
    <row r="830" spans="17:18">
      <c r="Q830" s="297">
        <f>IF($J832=$A$21,IF($M832=$A$16,$L832,0),0)</f>
        <v>0</v>
      </c>
      <c r="R830" s="297">
        <f>IF($J832=$A$22,IF($M832=$A$16,$L832,0),0)</f>
        <v>0</v>
      </c>
    </row>
    <row r="831" spans="17:18">
      <c r="Q831" s="297">
        <f>IF($J833=$A$21,IF($M833=$A$16,$L833,0),0)</f>
        <v>0</v>
      </c>
      <c r="R831" s="297">
        <f>IF($J833=$A$22,IF($M833=$A$16,$L833,0),0)</f>
        <v>0</v>
      </c>
    </row>
    <row r="832" spans="17:18">
      <c r="Q832" s="297">
        <f>IF($J834=$A$21,IF($M834=$A$16,$L834,0),0)</f>
        <v>0</v>
      </c>
      <c r="R832" s="297">
        <f>IF($J834=$A$22,IF($M834=$A$16,$L834,0),0)</f>
        <v>0</v>
      </c>
    </row>
    <row r="833" spans="17:18">
      <c r="Q833" s="297">
        <f>IF($J835=$A$21,IF($M835=$A$16,$L835,0),0)</f>
        <v>0</v>
      </c>
      <c r="R833" s="297">
        <f>IF($J835=$A$22,IF($M835=$A$16,$L835,0),0)</f>
        <v>0</v>
      </c>
    </row>
    <row r="834" spans="17:18">
      <c r="Q834" s="297">
        <f>IF($J836=$A$21,IF($M836=$A$16,$L836,0),0)</f>
        <v>0</v>
      </c>
      <c r="R834" s="297">
        <f>IF($J836=$A$22,IF($M836=$A$16,$L836,0),0)</f>
        <v>0</v>
      </c>
    </row>
    <row r="835" spans="17:18">
      <c r="Q835" s="297">
        <f>IF($J837=$A$21,IF($M837=$A$16,$L837,0),0)</f>
        <v>0</v>
      </c>
      <c r="R835" s="297">
        <f>IF($J837=$A$22,IF($M837=$A$16,$L837,0),0)</f>
        <v>0</v>
      </c>
    </row>
    <row r="836" spans="17:18">
      <c r="Q836" s="297">
        <f>IF($J838=$A$21,IF($M838=$A$16,$L838,0),0)</f>
        <v>0</v>
      </c>
      <c r="R836" s="297">
        <f>IF($J838=$A$22,IF($M838=$A$16,$L838,0),0)</f>
        <v>0</v>
      </c>
    </row>
    <row r="837" spans="17:18">
      <c r="Q837" s="297">
        <f>IF($J839=$A$21,IF($M839=$A$16,$L839,0),0)</f>
        <v>0</v>
      </c>
      <c r="R837" s="297">
        <f>IF($J839=$A$22,IF($M839=$A$16,$L839,0),0)</f>
        <v>0</v>
      </c>
    </row>
    <row r="838" spans="17:18">
      <c r="Q838" s="297">
        <f>IF($J840=$A$21,IF($M840=$A$16,$L840,0),0)</f>
        <v>0</v>
      </c>
      <c r="R838" s="297">
        <f>IF($J840=$A$22,IF($M840=$A$16,$L840,0),0)</f>
        <v>0</v>
      </c>
    </row>
    <row r="839" spans="17:18">
      <c r="Q839" s="297">
        <f>IF($J841=$A$21,IF($M841=$A$16,$L841,0),0)</f>
        <v>0</v>
      </c>
      <c r="R839" s="297">
        <f>IF($J841=$A$22,IF($M841=$A$16,$L841,0),0)</f>
        <v>0</v>
      </c>
    </row>
    <row r="840" spans="17:18">
      <c r="Q840" s="297">
        <f>IF($J842=$A$21,IF($M842=$A$16,$L842,0),0)</f>
        <v>0</v>
      </c>
      <c r="R840" s="297">
        <f>IF($J842=$A$22,IF($M842=$A$16,$L842,0),0)</f>
        <v>0</v>
      </c>
    </row>
    <row r="841" spans="17:18">
      <c r="Q841" s="297">
        <f>IF($J843=$A$21,IF($M843=$A$16,$L843,0),0)</f>
        <v>0</v>
      </c>
      <c r="R841" s="297">
        <f>IF($J843=$A$22,IF($M843=$A$16,$L843,0),0)</f>
        <v>0</v>
      </c>
    </row>
    <row r="842" spans="17:18">
      <c r="Q842" s="297">
        <f>IF($J844=$A$21,IF($M844=$A$16,$L844,0),0)</f>
        <v>0</v>
      </c>
      <c r="R842" s="297">
        <f>IF($J844=$A$22,IF($M844=$A$16,$L844,0),0)</f>
        <v>0</v>
      </c>
    </row>
    <row r="843" spans="17:18">
      <c r="Q843" s="297">
        <f>IF($J845=$A$21,IF($M845=$A$16,$L845,0),0)</f>
        <v>0</v>
      </c>
      <c r="R843" s="297">
        <f>IF($J845=$A$22,IF($M845=$A$16,$L845,0),0)</f>
        <v>0</v>
      </c>
    </row>
    <row r="844" spans="17:18">
      <c r="Q844" s="297">
        <f>IF($J846=$A$21,IF($M846=$A$16,$L846,0),0)</f>
        <v>0</v>
      </c>
      <c r="R844" s="297">
        <f>IF($J846=$A$22,IF($M846=$A$16,$L846,0),0)</f>
        <v>0</v>
      </c>
    </row>
    <row r="845" spans="17:18">
      <c r="Q845" s="297">
        <f>IF($J847=$A$21,IF($M847=$A$16,$L847,0),0)</f>
        <v>0</v>
      </c>
      <c r="R845" s="297">
        <f>IF($J847=$A$22,IF($M847=$A$16,$L847,0),0)</f>
        <v>0</v>
      </c>
    </row>
    <row r="846" spans="17:18">
      <c r="Q846" s="297">
        <f>IF($J848=$A$21,IF($M848=$A$16,$L848,0),0)</f>
        <v>0</v>
      </c>
      <c r="R846" s="297">
        <f>IF($J848=$A$22,IF($M848=$A$16,$L848,0),0)</f>
        <v>0</v>
      </c>
    </row>
    <row r="847" spans="17:18">
      <c r="Q847" s="297">
        <f>IF($J849=$A$21,IF($M849=$A$16,$L849,0),0)</f>
        <v>0</v>
      </c>
      <c r="R847" s="297">
        <f>IF($J849=$A$22,IF($M849=$A$16,$L849,0),0)</f>
        <v>0</v>
      </c>
    </row>
    <row r="848" spans="17:18">
      <c r="Q848" s="297">
        <f>IF($J850=$A$21,IF($M850=$A$16,$L850,0),0)</f>
        <v>0</v>
      </c>
      <c r="R848" s="297">
        <f>IF($J850=$A$22,IF($M850=$A$16,$L850,0),0)</f>
        <v>0</v>
      </c>
    </row>
    <row r="849" spans="17:18">
      <c r="Q849" s="297">
        <f>IF($J851=$A$21,IF($M851=$A$16,$L851,0),0)</f>
        <v>0</v>
      </c>
      <c r="R849" s="297">
        <f>IF($J851=$A$22,IF($M851=$A$16,$L851,0),0)</f>
        <v>0</v>
      </c>
    </row>
    <row r="850" spans="17:18">
      <c r="Q850" s="297">
        <f>IF($J852=$A$21,IF($M852=$A$16,$L852,0),0)</f>
        <v>0</v>
      </c>
      <c r="R850" s="297">
        <f>IF($J852=$A$22,IF($M852=$A$16,$L852,0),0)</f>
        <v>0</v>
      </c>
    </row>
    <row r="851" spans="17:18">
      <c r="Q851" s="297">
        <f>IF($J853=$A$21,IF($M853=$A$16,$L853,0),0)</f>
        <v>0</v>
      </c>
      <c r="R851" s="297">
        <f>IF($J853=$A$22,IF($M853=$A$16,$L853,0),0)</f>
        <v>0</v>
      </c>
    </row>
    <row r="852" spans="17:18">
      <c r="Q852" s="297">
        <f>IF($J854=$A$21,IF($M854=$A$16,$L854,0),0)</f>
        <v>0</v>
      </c>
      <c r="R852" s="297">
        <f>IF($J854=$A$22,IF($M854=$A$16,$L854,0),0)</f>
        <v>0</v>
      </c>
    </row>
    <row r="853" spans="17:18">
      <c r="Q853" s="297">
        <f>IF($J855=$A$21,IF($M855=$A$16,$L855,0),0)</f>
        <v>0</v>
      </c>
      <c r="R853" s="297">
        <f>IF($J855=$A$22,IF($M855=$A$16,$L855,0),0)</f>
        <v>0</v>
      </c>
    </row>
    <row r="854" spans="17:18">
      <c r="Q854" s="297">
        <f>IF($J856=$A$21,IF($M856=$A$16,$L856,0),0)</f>
        <v>0</v>
      </c>
      <c r="R854" s="297">
        <f>IF($J856=$A$22,IF($M856=$A$16,$L856,0),0)</f>
        <v>0</v>
      </c>
    </row>
    <row r="855" spans="17:18">
      <c r="Q855" s="297">
        <f>IF($J857=$A$21,IF($M857=$A$16,$L857,0),0)</f>
        <v>0</v>
      </c>
      <c r="R855" s="297">
        <f>IF($J857=$A$22,IF($M857=$A$16,$L857,0),0)</f>
        <v>0</v>
      </c>
    </row>
    <row r="856" spans="17:18">
      <c r="Q856" s="297">
        <f>IF($J858=$A$21,IF($M858=$A$16,$L858,0),0)</f>
        <v>0</v>
      </c>
      <c r="R856" s="297">
        <f>IF($J858=$A$22,IF($M858=$A$16,$L858,0),0)</f>
        <v>0</v>
      </c>
    </row>
    <row r="857" spans="17:18">
      <c r="Q857" s="297">
        <f>IF($J859=$A$21,IF($M859=$A$16,$L859,0),0)</f>
        <v>0</v>
      </c>
      <c r="R857" s="297">
        <f>IF($J859=$A$22,IF($M859=$A$16,$L859,0),0)</f>
        <v>0</v>
      </c>
    </row>
    <row r="858" spans="17:18">
      <c r="Q858" s="297">
        <f>IF($J860=$A$21,IF($M860=$A$16,$L860,0),0)</f>
        <v>0</v>
      </c>
      <c r="R858" s="297">
        <f>IF($J860=$A$22,IF($M860=$A$16,$L860,0),0)</f>
        <v>0</v>
      </c>
    </row>
    <row r="859" spans="17:18">
      <c r="Q859" s="297">
        <f>IF($J861=$A$21,IF($M861=$A$16,$L861,0),0)</f>
        <v>0</v>
      </c>
      <c r="R859" s="297">
        <f>IF($J861=$A$22,IF($M861=$A$16,$L861,0),0)</f>
        <v>0</v>
      </c>
    </row>
    <row r="860" spans="17:18">
      <c r="Q860" s="297">
        <f>IF($J862=$A$21,IF($M862=$A$16,$L862,0),0)</f>
        <v>0</v>
      </c>
      <c r="R860" s="297">
        <f>IF($J862=$A$22,IF($M862=$A$16,$L862,0),0)</f>
        <v>0</v>
      </c>
    </row>
    <row r="861" spans="17:18">
      <c r="Q861" s="297">
        <f>IF($J863=$A$21,IF($M863=$A$16,$L863,0),0)</f>
        <v>0</v>
      </c>
      <c r="R861" s="297">
        <f>IF($J863=$A$22,IF($M863=$A$16,$L863,0),0)</f>
        <v>0</v>
      </c>
    </row>
    <row r="862" spans="17:18">
      <c r="Q862" s="297">
        <f>IF($J864=$A$21,IF($M864=$A$16,$L864,0),0)</f>
        <v>0</v>
      </c>
      <c r="R862" s="297">
        <f>IF($J864=$A$22,IF($M864=$A$16,$L864,0),0)</f>
        <v>0</v>
      </c>
    </row>
    <row r="863" spans="17:18">
      <c r="Q863" s="297">
        <f>IF($J865=$A$21,IF($M865=$A$16,$L865,0),0)</f>
        <v>0</v>
      </c>
      <c r="R863" s="297">
        <f>IF($J865=$A$22,IF($M865=$A$16,$L865,0),0)</f>
        <v>0</v>
      </c>
    </row>
    <row r="864" spans="17:18">
      <c r="Q864" s="297">
        <f>IF($J866=$A$21,IF($M866=$A$16,$L866,0),0)</f>
        <v>0</v>
      </c>
      <c r="R864" s="297">
        <f>IF($J866=$A$22,IF($M866=$A$16,$L866,0),0)</f>
        <v>0</v>
      </c>
    </row>
    <row r="865" spans="17:18">
      <c r="Q865" s="297">
        <f>IF($J867=$A$21,IF($M867=$A$16,$L867,0),0)</f>
        <v>0</v>
      </c>
      <c r="R865" s="297">
        <f>IF($J867=$A$22,IF($M867=$A$16,$L867,0),0)</f>
        <v>0</v>
      </c>
    </row>
    <row r="866" spans="17:18">
      <c r="Q866" s="297">
        <f>IF($J868=$A$21,IF($M868=$A$16,$L868,0),0)</f>
        <v>0</v>
      </c>
      <c r="R866" s="297">
        <f>IF($J868=$A$22,IF($M868=$A$16,$L868,0),0)</f>
        <v>0</v>
      </c>
    </row>
    <row r="867" spans="17:18">
      <c r="Q867" s="297">
        <f>IF($J869=$A$21,IF($M869=$A$16,$L869,0),0)</f>
        <v>0</v>
      </c>
      <c r="R867" s="297">
        <f>IF($J869=$A$22,IF($M869=$A$16,$L869,0),0)</f>
        <v>0</v>
      </c>
    </row>
    <row r="868" spans="17:18">
      <c r="Q868" s="297">
        <f>IF($J870=$A$21,IF($M870=$A$16,$L870,0),0)</f>
        <v>0</v>
      </c>
      <c r="R868" s="297">
        <f>IF($J870=$A$22,IF($M870=$A$16,$L870,0),0)</f>
        <v>0</v>
      </c>
    </row>
    <row r="869" spans="17:18">
      <c r="Q869" s="297">
        <f>IF($J871=$A$21,IF($M871=$A$16,$L871,0),0)</f>
        <v>0</v>
      </c>
      <c r="R869" s="297">
        <f>IF($J871=$A$22,IF($M871=$A$16,$L871,0),0)</f>
        <v>0</v>
      </c>
    </row>
    <row r="870" spans="17:18">
      <c r="Q870" s="297">
        <f>IF($J872=$A$21,IF($M872=$A$16,$L872,0),0)</f>
        <v>0</v>
      </c>
      <c r="R870" s="297">
        <f>IF($J872=$A$22,IF($M872=$A$16,$L872,0),0)</f>
        <v>0</v>
      </c>
    </row>
    <row r="871" spans="17:18">
      <c r="Q871" s="297">
        <f>IF($J873=$A$21,IF($M873=$A$16,$L873,0),0)</f>
        <v>0</v>
      </c>
      <c r="R871" s="297">
        <f>IF($J873=$A$22,IF($M873=$A$16,$L873,0),0)</f>
        <v>0</v>
      </c>
    </row>
    <row r="872" spans="17:18">
      <c r="Q872" s="297">
        <f>IF($J874=$A$21,IF($M874=$A$16,$L874,0),0)</f>
        <v>0</v>
      </c>
      <c r="R872" s="297">
        <f>IF($J874=$A$22,IF($M874=$A$16,$L874,0),0)</f>
        <v>0</v>
      </c>
    </row>
    <row r="873" spans="17:18">
      <c r="Q873" s="297">
        <f>IF($J875=$A$21,IF($M875=$A$16,$L875,0),0)</f>
        <v>0</v>
      </c>
      <c r="R873" s="297">
        <f>IF($J875=$A$22,IF($M875=$A$16,$L875,0),0)</f>
        <v>0</v>
      </c>
    </row>
    <row r="874" spans="17:18">
      <c r="Q874" s="297">
        <f>IF($J876=$A$21,IF($M876=$A$16,$L876,0),0)</f>
        <v>0</v>
      </c>
      <c r="R874" s="297">
        <f>IF($J876=$A$22,IF($M876=$A$16,$L876,0),0)</f>
        <v>0</v>
      </c>
    </row>
    <row r="875" spans="17:18">
      <c r="Q875" s="297">
        <f>IF($J877=$A$21,IF($M877=$A$16,$L877,0),0)</f>
        <v>0</v>
      </c>
      <c r="R875" s="297">
        <f>IF($J877=$A$22,IF($M877=$A$16,$L877,0),0)</f>
        <v>0</v>
      </c>
    </row>
    <row r="876" spans="17:18">
      <c r="Q876" s="297">
        <f>IF($J878=$A$21,IF($M878=$A$16,$L878,0),0)</f>
        <v>0</v>
      </c>
      <c r="R876" s="297">
        <f>IF($J878=$A$22,IF($M878=$A$16,$L878,0),0)</f>
        <v>0</v>
      </c>
    </row>
    <row r="877" spans="17:18">
      <c r="Q877" s="297">
        <f>IF($J879=$A$21,IF($M879=$A$16,$L879,0),0)</f>
        <v>0</v>
      </c>
      <c r="R877" s="297">
        <f>IF($J879=$A$22,IF($M879=$A$16,$L879,0),0)</f>
        <v>0</v>
      </c>
    </row>
    <row r="878" spans="17:18">
      <c r="Q878" s="297">
        <f>IF($J880=$A$21,IF($M880=$A$16,$L880,0),0)</f>
        <v>0</v>
      </c>
      <c r="R878" s="297">
        <f>IF($J880=$A$22,IF($M880=$A$16,$L880,0),0)</f>
        <v>0</v>
      </c>
    </row>
    <row r="879" spans="17:18">
      <c r="Q879" s="297">
        <f>IF($J881=$A$21,IF($M881=$A$16,$L881,0),0)</f>
        <v>0</v>
      </c>
      <c r="R879" s="297">
        <f>IF($J881=$A$22,IF($M881=$A$16,$L881,0),0)</f>
        <v>0</v>
      </c>
    </row>
    <row r="880" spans="17:18">
      <c r="Q880" s="297">
        <f>IF($J882=$A$21,IF($M882=$A$16,$L882,0),0)</f>
        <v>0</v>
      </c>
      <c r="R880" s="297">
        <f>IF($J882=$A$22,IF($M882=$A$16,$L882,0),0)</f>
        <v>0</v>
      </c>
    </row>
    <row r="881" spans="17:18">
      <c r="Q881" s="297">
        <f>IF($J883=$A$21,IF($M883=$A$16,$L883,0),0)</f>
        <v>0</v>
      </c>
      <c r="R881" s="297">
        <f>IF($J883=$A$22,IF($M883=$A$16,$L883,0),0)</f>
        <v>0</v>
      </c>
    </row>
    <row r="882" spans="17:18">
      <c r="Q882" s="297">
        <f>IF($J884=$A$21,IF($M884=$A$16,$L884,0),0)</f>
        <v>0</v>
      </c>
      <c r="R882" s="297">
        <f>IF($J884=$A$22,IF($M884=$A$16,$L884,0),0)</f>
        <v>0</v>
      </c>
    </row>
    <row r="883" spans="17:18">
      <c r="Q883" s="297">
        <f>IF($J885=$A$21,IF($M885=$A$16,$L885,0),0)</f>
        <v>0</v>
      </c>
      <c r="R883" s="297">
        <f>IF($J885=$A$22,IF($M885=$A$16,$L885,0),0)</f>
        <v>0</v>
      </c>
    </row>
    <row r="884" spans="17:18">
      <c r="Q884" s="297">
        <f>IF($J886=$A$21,IF($M886=$A$16,$L886,0),0)</f>
        <v>0</v>
      </c>
      <c r="R884" s="297">
        <f>IF($J886=$A$22,IF($M886=$A$16,$L886,0),0)</f>
        <v>0</v>
      </c>
    </row>
    <row r="885" spans="17:18">
      <c r="Q885" s="297">
        <f>IF($J887=$A$21,IF($M887=$A$16,$L887,0),0)</f>
        <v>0</v>
      </c>
      <c r="R885" s="297">
        <f>IF($J887=$A$22,IF($M887=$A$16,$L887,0),0)</f>
        <v>0</v>
      </c>
    </row>
    <row r="886" spans="17:18">
      <c r="Q886" s="297">
        <f>IF($J888=$A$21,IF($M888=$A$16,$L888,0),0)</f>
        <v>0</v>
      </c>
      <c r="R886" s="297">
        <f>IF($J888=$A$22,IF($M888=$A$16,$L888,0),0)</f>
        <v>0</v>
      </c>
    </row>
    <row r="887" spans="17:18">
      <c r="Q887" s="297">
        <f>IF($J889=$A$21,IF($M889=$A$16,$L889,0),0)</f>
        <v>0</v>
      </c>
      <c r="R887" s="297">
        <f>IF($J889=$A$22,IF($M889=$A$16,$L889,0),0)</f>
        <v>0</v>
      </c>
    </row>
    <row r="888" spans="17:18">
      <c r="Q888" s="297">
        <f>IF($J890=$A$21,IF($M890=$A$16,$L890,0),0)</f>
        <v>0</v>
      </c>
      <c r="R888" s="297">
        <f>IF($J890=$A$22,IF($M890=$A$16,$L890,0),0)</f>
        <v>0</v>
      </c>
    </row>
    <row r="889" spans="17:18">
      <c r="Q889" s="297">
        <f>IF($J891=$A$21,IF($M891=$A$16,$L891,0),0)</f>
        <v>0</v>
      </c>
      <c r="R889" s="297">
        <f>IF($J891=$A$22,IF($M891=$A$16,$L891,0),0)</f>
        <v>0</v>
      </c>
    </row>
    <row r="890" spans="17:18">
      <c r="Q890" s="297">
        <f>IF($J892=$A$21,IF($M892=$A$16,$L892,0),0)</f>
        <v>0</v>
      </c>
      <c r="R890" s="297">
        <f>IF($J892=$A$22,IF($M892=$A$16,$L892,0),0)</f>
        <v>0</v>
      </c>
    </row>
    <row r="891" spans="17:18">
      <c r="Q891" s="297">
        <f>IF($J893=$A$21,IF($M893=$A$16,$L893,0),0)</f>
        <v>0</v>
      </c>
      <c r="R891" s="297">
        <f>IF($J893=$A$22,IF($M893=$A$16,$L893,0),0)</f>
        <v>0</v>
      </c>
    </row>
    <row r="892" spans="17:18">
      <c r="Q892" s="297">
        <f>IF($J894=$A$21,IF($M894=$A$16,$L894,0),0)</f>
        <v>0</v>
      </c>
      <c r="R892" s="297">
        <f>IF($J894=$A$22,IF($M894=$A$16,$L894,0),0)</f>
        <v>0</v>
      </c>
    </row>
    <row r="893" spans="17:18">
      <c r="Q893" s="297">
        <f>IF($J895=$A$21,IF($M895=$A$16,$L895,0),0)</f>
        <v>0</v>
      </c>
      <c r="R893" s="297">
        <f>IF($J895=$A$22,IF($M895=$A$16,$L895,0),0)</f>
        <v>0</v>
      </c>
    </row>
    <row r="894" spans="17:18">
      <c r="Q894" s="297">
        <f>IF($J896=$A$21,IF($M896=$A$16,$L896,0),0)</f>
        <v>0</v>
      </c>
      <c r="R894" s="297">
        <f>IF($J896=$A$22,IF($M896=$A$16,$L896,0),0)</f>
        <v>0</v>
      </c>
    </row>
    <row r="895" spans="17:18">
      <c r="Q895" s="297">
        <f>IF($J897=$A$21,IF($M897=$A$16,$L897,0),0)</f>
        <v>0</v>
      </c>
      <c r="R895" s="297">
        <f>IF($J897=$A$22,IF($M897=$A$16,$L897,0),0)</f>
        <v>0</v>
      </c>
    </row>
    <row r="896" spans="17:18">
      <c r="Q896" s="297">
        <f>IF($J898=$A$21,IF($M898=$A$16,$L898,0),0)</f>
        <v>0</v>
      </c>
      <c r="R896" s="297">
        <f>IF($J898=$A$22,IF($M898=$A$16,$L898,0),0)</f>
        <v>0</v>
      </c>
    </row>
    <row r="897" spans="17:18">
      <c r="Q897" s="297">
        <f>IF($J899=$A$21,IF($M899=$A$16,$L899,0),0)</f>
        <v>0</v>
      </c>
      <c r="R897" s="297">
        <f>IF($J899=$A$22,IF($M899=$A$16,$L899,0),0)</f>
        <v>0</v>
      </c>
    </row>
    <row r="898" spans="17:18">
      <c r="Q898" s="297">
        <f>IF($J900=$A$21,IF($M900=$A$16,$L900,0),0)</f>
        <v>0</v>
      </c>
      <c r="R898" s="297">
        <f>IF($J900=$A$22,IF($M900=$A$16,$L900,0),0)</f>
        <v>0</v>
      </c>
    </row>
    <row r="899" spans="17:18">
      <c r="Q899" s="297">
        <f>IF($J901=$A$21,IF($M901=$A$16,$L901,0),0)</f>
        <v>0</v>
      </c>
      <c r="R899" s="297">
        <f>IF($J901=$A$22,IF($M901=$A$16,$L901,0),0)</f>
        <v>0</v>
      </c>
    </row>
    <row r="900" spans="17:18">
      <c r="Q900" s="297">
        <f>IF($J902=$A$21,IF($M902=$A$16,$L902,0),0)</f>
        <v>0</v>
      </c>
      <c r="R900" s="297">
        <f>IF($J902=$A$22,IF($M902=$A$16,$L902,0),0)</f>
        <v>0</v>
      </c>
    </row>
    <row r="901" spans="17:18">
      <c r="Q901" s="297">
        <f>IF($J903=$A$21,IF($M903=$A$16,$L903,0),0)</f>
        <v>0</v>
      </c>
      <c r="R901" s="297">
        <f>IF($J903=$A$22,IF($M903=$A$16,$L903,0),0)</f>
        <v>0</v>
      </c>
    </row>
    <row r="902" spans="17:18">
      <c r="Q902" s="297">
        <f>IF($J904=$A$21,IF($M904=$A$16,$L904,0),0)</f>
        <v>0</v>
      </c>
      <c r="R902" s="297">
        <f>IF($J904=$A$22,IF($M904=$A$16,$L904,0),0)</f>
        <v>0</v>
      </c>
    </row>
    <row r="903" spans="17:18">
      <c r="Q903" s="297">
        <f>IF($J905=$A$21,IF($M905=$A$16,$L905,0),0)</f>
        <v>0</v>
      </c>
      <c r="R903" s="297">
        <f>IF($J905=$A$22,IF($M905=$A$16,$L905,0),0)</f>
        <v>0</v>
      </c>
    </row>
    <row r="904" spans="17:18">
      <c r="Q904" s="297">
        <f>IF($J906=$A$21,IF($M906=$A$16,$L906,0),0)</f>
        <v>0</v>
      </c>
      <c r="R904" s="297">
        <f>IF($J906=$A$22,IF($M906=$A$16,$L906,0),0)</f>
        <v>0</v>
      </c>
    </row>
    <row r="905" spans="17:18">
      <c r="Q905" s="297">
        <f>IF($J907=$A$21,IF($M907=$A$16,$L907,0),0)</f>
        <v>0</v>
      </c>
      <c r="R905" s="297">
        <f>IF($J907=$A$22,IF($M907=$A$16,$L907,0),0)</f>
        <v>0</v>
      </c>
    </row>
    <row r="906" spans="17:18">
      <c r="Q906" s="297">
        <f>IF($J908=$A$21,IF($M908=$A$16,$L908,0),0)</f>
        <v>0</v>
      </c>
      <c r="R906" s="297">
        <f>IF($J908=$A$22,IF($M908=$A$16,$L908,0),0)</f>
        <v>0</v>
      </c>
    </row>
    <row r="907" spans="17:18">
      <c r="Q907" s="297">
        <f>IF($J909=$A$21,IF($M909=$A$16,$L909,0),0)</f>
        <v>0</v>
      </c>
      <c r="R907" s="297">
        <f>IF($J909=$A$22,IF($M909=$A$16,$L909,0),0)</f>
        <v>0</v>
      </c>
    </row>
    <row r="908" spans="17:18">
      <c r="Q908" s="297">
        <f>IF($J910=$A$21,IF($M910=$A$16,$L910,0),0)</f>
        <v>0</v>
      </c>
      <c r="R908" s="297">
        <f>IF($J910=$A$22,IF($M910=$A$16,$L910,0),0)</f>
        <v>0</v>
      </c>
    </row>
    <row r="909" spans="17:18">
      <c r="Q909" s="297">
        <f>IF($J911=$A$21,IF($M911=$A$16,$L911,0),0)</f>
        <v>0</v>
      </c>
      <c r="R909" s="297">
        <f>IF($J911=$A$22,IF($M911=$A$16,$L911,0),0)</f>
        <v>0</v>
      </c>
    </row>
    <row r="910" spans="17:18">
      <c r="Q910" s="297">
        <f>IF($J912=$A$21,IF($M912=$A$16,$L912,0),0)</f>
        <v>0</v>
      </c>
      <c r="R910" s="297">
        <f>IF($J912=$A$22,IF($M912=$A$16,$L912,0),0)</f>
        <v>0</v>
      </c>
    </row>
    <row r="911" spans="17:18">
      <c r="Q911" s="297">
        <f>IF($J913=$A$21,IF($M913=$A$16,$L913,0),0)</f>
        <v>0</v>
      </c>
      <c r="R911" s="297">
        <f>IF($J913=$A$22,IF($M913=$A$16,$L913,0),0)</f>
        <v>0</v>
      </c>
    </row>
    <row r="912" spans="17:18">
      <c r="Q912" s="297">
        <f>IF($J914=$A$21,IF($M914=$A$16,$L914,0),0)</f>
        <v>0</v>
      </c>
      <c r="R912" s="297">
        <f>IF($J914=$A$22,IF($M914=$A$16,$L914,0),0)</f>
        <v>0</v>
      </c>
    </row>
    <row r="913" spans="17:18">
      <c r="Q913" s="297">
        <f>IF($J915=$A$21,IF($M915=$A$16,$L915,0),0)</f>
        <v>0</v>
      </c>
      <c r="R913" s="297">
        <f>IF($J915=$A$22,IF($M915=$A$16,$L915,0),0)</f>
        <v>0</v>
      </c>
    </row>
    <row r="914" spans="17:18">
      <c r="Q914" s="297">
        <f>IF($J916=$A$21,IF($M916=$A$16,$L916,0),0)</f>
        <v>0</v>
      </c>
      <c r="R914" s="297">
        <f>IF($J916=$A$22,IF($M916=$A$16,$L916,0),0)</f>
        <v>0</v>
      </c>
    </row>
    <row r="915" spans="17:18">
      <c r="Q915" s="297">
        <f>IF($J917=$A$21,IF($M917=$A$16,$L917,0),0)</f>
        <v>0</v>
      </c>
      <c r="R915" s="297">
        <f>IF($J917=$A$22,IF($M917=$A$16,$L917,0),0)</f>
        <v>0</v>
      </c>
    </row>
    <row r="916" spans="17:18">
      <c r="Q916" s="297">
        <f>IF($J918=$A$21,IF($M918=$A$16,$L918,0),0)</f>
        <v>0</v>
      </c>
      <c r="R916" s="297">
        <f>IF($J918=$A$22,IF($M918=$A$16,$L918,0),0)</f>
        <v>0</v>
      </c>
    </row>
    <row r="917" spans="17:18">
      <c r="Q917" s="297">
        <f>IF($J919=$A$21,IF($M919=$A$16,$L919,0),0)</f>
        <v>0</v>
      </c>
      <c r="R917" s="297">
        <f>IF($J919=$A$22,IF($M919=$A$16,$L919,0),0)</f>
        <v>0</v>
      </c>
    </row>
    <row r="918" spans="17:18">
      <c r="Q918" s="297">
        <f>IF($J920=$A$21,IF($M920=$A$16,$L920,0),0)</f>
        <v>0</v>
      </c>
      <c r="R918" s="297">
        <f>IF($J920=$A$22,IF($M920=$A$16,$L920,0),0)</f>
        <v>0</v>
      </c>
    </row>
    <row r="919" spans="17:18">
      <c r="Q919" s="297">
        <f>IF($J921=$A$21,IF($M921=$A$16,$L921,0),0)</f>
        <v>0</v>
      </c>
      <c r="R919" s="297">
        <f>IF($J921=$A$22,IF($M921=$A$16,$L921,0),0)</f>
        <v>0</v>
      </c>
    </row>
    <row r="920" spans="17:18">
      <c r="Q920" s="297">
        <f>IF($J922=$A$21,IF($M922=$A$16,$L922,0),0)</f>
        <v>0</v>
      </c>
      <c r="R920" s="297">
        <f>IF($J922=$A$22,IF($M922=$A$16,$L922,0),0)</f>
        <v>0</v>
      </c>
    </row>
    <row r="921" spans="17:18">
      <c r="Q921" s="297">
        <f>IF($J923=$A$21,IF($M923=$A$16,$L923,0),0)</f>
        <v>0</v>
      </c>
      <c r="R921" s="297">
        <f>IF($J923=$A$22,IF($M923=$A$16,$L923,0),0)</f>
        <v>0</v>
      </c>
    </row>
    <row r="922" spans="17:18">
      <c r="Q922" s="297">
        <f>IF($J924=$A$21,IF($M924=$A$16,$L924,0),0)</f>
        <v>0</v>
      </c>
      <c r="R922" s="297">
        <f>IF($J924=$A$22,IF($M924=$A$16,$L924,0),0)</f>
        <v>0</v>
      </c>
    </row>
    <row r="923" spans="17:18">
      <c r="Q923" s="297">
        <f>IF($J925=$A$21,IF($M925=$A$16,$L925,0),0)</f>
        <v>0</v>
      </c>
      <c r="R923" s="297">
        <f>IF($J925=$A$22,IF($M925=$A$16,$L925,0),0)</f>
        <v>0</v>
      </c>
    </row>
    <row r="924" spans="17:18">
      <c r="Q924" s="297">
        <f>IF($J926=$A$21,IF($M926=$A$16,$L926,0),0)</f>
        <v>0</v>
      </c>
      <c r="R924" s="297">
        <f>IF($J926=$A$22,IF($M926=$A$16,$L926,0),0)</f>
        <v>0</v>
      </c>
    </row>
    <row r="925" spans="17:18">
      <c r="Q925" s="297">
        <f>IF($J927=$A$21,IF($M927=$A$16,$L927,0),0)</f>
        <v>0</v>
      </c>
      <c r="R925" s="297">
        <f>IF($J927=$A$22,IF($M927=$A$16,$L927,0),0)</f>
        <v>0</v>
      </c>
    </row>
    <row r="926" spans="17:18">
      <c r="Q926" s="297">
        <f>IF($J928=$A$21,IF($M928=$A$16,$L928,0),0)</f>
        <v>0</v>
      </c>
      <c r="R926" s="297">
        <f>IF($J928=$A$22,IF($M928=$A$16,$L928,0),0)</f>
        <v>0</v>
      </c>
    </row>
    <row r="927" spans="17:18">
      <c r="Q927" s="297">
        <f>IF($J929=$A$21,IF($M929=$A$16,$L929,0),0)</f>
        <v>0</v>
      </c>
      <c r="R927" s="297">
        <f>IF($J929=$A$22,IF($M929=$A$16,$L929,0),0)</f>
        <v>0</v>
      </c>
    </row>
    <row r="928" spans="17:18">
      <c r="Q928" s="297">
        <f>IF($J930=$A$21,IF($M930=$A$16,$L930,0),0)</f>
        <v>0</v>
      </c>
      <c r="R928" s="297">
        <f>IF($J930=$A$22,IF($M930=$A$16,$L930,0),0)</f>
        <v>0</v>
      </c>
    </row>
    <row r="929" spans="17:18">
      <c r="Q929" s="297">
        <f>IF($J931=$A$21,IF($M931=$A$16,$L931,0),0)</f>
        <v>0</v>
      </c>
      <c r="R929" s="297">
        <f>IF($J931=$A$22,IF($M931=$A$16,$L931,0),0)</f>
        <v>0</v>
      </c>
    </row>
    <row r="930" spans="17:18">
      <c r="Q930" s="297">
        <f>IF($J932=$A$21,IF($M932=$A$16,$L932,0),0)</f>
        <v>0</v>
      </c>
      <c r="R930" s="297">
        <f>IF($J932=$A$22,IF($M932=$A$16,$L932,0),0)</f>
        <v>0</v>
      </c>
    </row>
    <row r="931" spans="17:18">
      <c r="Q931" s="297">
        <f>IF($J933=$A$21,IF($M933=$A$16,$L933,0),0)</f>
        <v>0</v>
      </c>
      <c r="R931" s="297">
        <f>IF($J933=$A$22,IF($M933=$A$16,$L933,0),0)</f>
        <v>0</v>
      </c>
    </row>
    <row r="932" spans="17:18">
      <c r="Q932" s="297">
        <f>IF($J934=$A$21,IF($M934=$A$16,$L934,0),0)</f>
        <v>0</v>
      </c>
      <c r="R932" s="297">
        <f>IF($J934=$A$22,IF($M934=$A$16,$L934,0),0)</f>
        <v>0</v>
      </c>
    </row>
    <row r="933" spans="17:18">
      <c r="Q933" s="297">
        <f>IF($J935=$A$21,IF($M935=$A$16,$L935,0),0)</f>
        <v>0</v>
      </c>
      <c r="R933" s="297">
        <f>IF($J935=$A$22,IF($M935=$A$16,$L935,0),0)</f>
        <v>0</v>
      </c>
    </row>
    <row r="934" spans="17:18">
      <c r="Q934" s="297">
        <f>IF($J936=$A$21,IF($M936=$A$16,$L936,0),0)</f>
        <v>0</v>
      </c>
      <c r="R934" s="297">
        <f>IF($J936=$A$22,IF($M936=$A$16,$L936,0),0)</f>
        <v>0</v>
      </c>
    </row>
    <row r="935" spans="17:18">
      <c r="Q935" s="297">
        <f>IF($J937=$A$21,IF($M937=$A$16,$L937,0),0)</f>
        <v>0</v>
      </c>
      <c r="R935" s="297">
        <f>IF($J937=$A$22,IF($M937=$A$16,$L937,0),0)</f>
        <v>0</v>
      </c>
    </row>
    <row r="936" spans="17:18">
      <c r="Q936" s="297">
        <f>IF($J938=$A$21,IF($M938=$A$16,$L938,0),0)</f>
        <v>0</v>
      </c>
      <c r="R936" s="297">
        <f>IF($J938=$A$22,IF($M938=$A$16,$L938,0),0)</f>
        <v>0</v>
      </c>
    </row>
    <row r="937" spans="17:18">
      <c r="Q937" s="297">
        <f>IF($J939=$A$21,IF($M939=$A$16,$L939,0),0)</f>
        <v>0</v>
      </c>
      <c r="R937" s="297">
        <f>IF($J939=$A$22,IF($M939=$A$16,$L939,0),0)</f>
        <v>0</v>
      </c>
    </row>
    <row r="938" spans="17:18">
      <c r="Q938" s="297">
        <f>IF($J940=$A$21,IF($M940=$A$16,$L940,0),0)</f>
        <v>0</v>
      </c>
      <c r="R938" s="297">
        <f>IF($J940=$A$22,IF($M940=$A$16,$L940,0),0)</f>
        <v>0</v>
      </c>
    </row>
    <row r="939" spans="17:18">
      <c r="Q939" s="297">
        <f>IF($J941=$A$21,IF($M941=$A$16,$L941,0),0)</f>
        <v>0</v>
      </c>
      <c r="R939" s="297">
        <f>IF($J941=$A$22,IF($M941=$A$16,$L941,0),0)</f>
        <v>0</v>
      </c>
    </row>
    <row r="940" spans="17:18">
      <c r="Q940" s="297">
        <f>IF($J942=$A$21,IF($M942=$A$16,$L942,0),0)</f>
        <v>0</v>
      </c>
      <c r="R940" s="297">
        <f>IF($J942=$A$22,IF($M942=$A$16,$L942,0),0)</f>
        <v>0</v>
      </c>
    </row>
    <row r="941" spans="17:18">
      <c r="Q941" s="297">
        <f>IF($J943=$A$21,IF($M943=$A$16,$L943,0),0)</f>
        <v>0</v>
      </c>
      <c r="R941" s="297">
        <f>IF($J943=$A$22,IF($M943=$A$16,$L943,0),0)</f>
        <v>0</v>
      </c>
    </row>
    <row r="942" spans="17:18">
      <c r="Q942" s="297">
        <f>IF($J944=$A$21,IF($M944=$A$16,$L944,0),0)</f>
        <v>0</v>
      </c>
      <c r="R942" s="297">
        <f>IF($J944=$A$22,IF($M944=$A$16,$L944,0),0)</f>
        <v>0</v>
      </c>
    </row>
    <row r="943" spans="17:18">
      <c r="Q943" s="297">
        <f>IF($J945=$A$21,IF($M945=$A$16,$L945,0),0)</f>
        <v>0</v>
      </c>
      <c r="R943" s="297">
        <f>IF($J945=$A$22,IF($M945=$A$16,$L945,0),0)</f>
        <v>0</v>
      </c>
    </row>
    <row r="944" spans="17:18">
      <c r="Q944" s="297">
        <f>IF($J946=$A$21,IF($M946=$A$16,$L946,0),0)</f>
        <v>0</v>
      </c>
      <c r="R944" s="297">
        <f>IF($J946=$A$22,IF($M946=$A$16,$L946,0),0)</f>
        <v>0</v>
      </c>
    </row>
    <row r="945" spans="17:18">
      <c r="Q945" s="297">
        <f>IF($J947=$A$21,IF($M947=$A$16,$L947,0),0)</f>
        <v>0</v>
      </c>
      <c r="R945" s="297">
        <f>IF($J947=$A$22,IF($M947=$A$16,$L947,0),0)</f>
        <v>0</v>
      </c>
    </row>
    <row r="946" spans="17:18">
      <c r="Q946" s="297">
        <f>IF($J948=$A$21,IF($M948=$A$16,$L948,0),0)</f>
        <v>0</v>
      </c>
      <c r="R946" s="297">
        <f>IF($J948=$A$22,IF($M948=$A$16,$L948,0),0)</f>
        <v>0</v>
      </c>
    </row>
    <row r="947" spans="17:18">
      <c r="Q947" s="297">
        <f>IF($J949=$A$21,IF($M949=$A$16,$L949,0),0)</f>
        <v>0</v>
      </c>
      <c r="R947" s="297">
        <f>IF($J949=$A$22,IF($M949=$A$16,$L949,0),0)</f>
        <v>0</v>
      </c>
    </row>
    <row r="948" spans="17:18">
      <c r="Q948" s="297">
        <f>IF($J950=$A$21,IF($M950=$A$16,$L950,0),0)</f>
        <v>0</v>
      </c>
      <c r="R948" s="297">
        <f>IF($J950=$A$22,IF($M950=$A$16,$L950,0),0)</f>
        <v>0</v>
      </c>
    </row>
    <row r="949" spans="17:18">
      <c r="Q949" s="297">
        <f>IF($J951=$A$21,IF($M951=$A$16,$L951,0),0)</f>
        <v>0</v>
      </c>
      <c r="R949" s="297">
        <f>IF($J951=$A$22,IF($M951=$A$16,$L951,0),0)</f>
        <v>0</v>
      </c>
    </row>
    <row r="950" spans="17:18">
      <c r="Q950" s="297">
        <f>IF($J952=$A$21,IF($M952=$A$16,$L952,0),0)</f>
        <v>0</v>
      </c>
      <c r="R950" s="297">
        <f>IF($J952=$A$22,IF($M952=$A$16,$L952,0),0)</f>
        <v>0</v>
      </c>
    </row>
    <row r="951" spans="17:18">
      <c r="Q951" s="297">
        <f>IF($J953=$A$21,IF($M953=$A$16,$L953,0),0)</f>
        <v>0</v>
      </c>
      <c r="R951" s="297">
        <f>IF($J953=$A$22,IF($M953=$A$16,$L953,0),0)</f>
        <v>0</v>
      </c>
    </row>
    <row r="952" spans="17:18">
      <c r="Q952" s="297">
        <f>IF($J954=$A$21,IF($M954=$A$16,$L954,0),0)</f>
        <v>0</v>
      </c>
      <c r="R952" s="297">
        <f>IF($J954=$A$22,IF($M954=$A$16,$L954,0),0)</f>
        <v>0</v>
      </c>
    </row>
    <row r="953" spans="17:18">
      <c r="Q953" s="297">
        <f>IF($J955=$A$21,IF($M955=$A$16,$L955,0),0)</f>
        <v>0</v>
      </c>
      <c r="R953" s="297">
        <f>IF($J955=$A$22,IF($M955=$A$16,$L955,0),0)</f>
        <v>0</v>
      </c>
    </row>
    <row r="954" spans="17:18">
      <c r="Q954" s="297">
        <f>IF($J956=$A$21,IF($M956=$A$16,$L956,0),0)</f>
        <v>0</v>
      </c>
      <c r="R954" s="297">
        <f>IF($J956=$A$22,IF($M956=$A$16,$L956,0),0)</f>
        <v>0</v>
      </c>
    </row>
    <row r="955" spans="17:18">
      <c r="Q955" s="297">
        <f>IF($J957=$A$21,IF($M957=$A$16,$L957,0),0)</f>
        <v>0</v>
      </c>
      <c r="R955" s="297">
        <f>IF($J957=$A$22,IF($M957=$A$16,$L957,0),0)</f>
        <v>0</v>
      </c>
    </row>
    <row r="956" spans="17:18">
      <c r="Q956" s="297">
        <f>IF($J958=$A$21,IF($M958=$A$16,$L958,0),0)</f>
        <v>0</v>
      </c>
      <c r="R956" s="297">
        <f>IF($J958=$A$22,IF($M958=$A$16,$L958,0),0)</f>
        <v>0</v>
      </c>
    </row>
    <row r="957" spans="17:18">
      <c r="Q957" s="297">
        <f>IF($J959=$A$21,IF($M959=$A$16,$L959,0),0)</f>
        <v>0</v>
      </c>
      <c r="R957" s="297">
        <f>IF($J959=$A$22,IF($M959=$A$16,$L959,0),0)</f>
        <v>0</v>
      </c>
    </row>
    <row r="958" spans="17:18">
      <c r="Q958" s="297">
        <f>IF($J960=$A$21,IF($M960=$A$16,$L960,0),0)</f>
        <v>0</v>
      </c>
      <c r="R958" s="297">
        <f>IF($J960=$A$22,IF($M960=$A$16,$L960,0),0)</f>
        <v>0</v>
      </c>
    </row>
    <row r="959" spans="17:18">
      <c r="Q959" s="297">
        <f>IF($J961=$A$21,IF($M961=$A$16,$L961,0),0)</f>
        <v>0</v>
      </c>
      <c r="R959" s="297">
        <f>IF($J961=$A$22,IF($M961=$A$16,$L961,0),0)</f>
        <v>0</v>
      </c>
    </row>
    <row r="960" spans="17:18">
      <c r="Q960" s="297">
        <f>IF($J962=$A$21,IF($M962=$A$16,$L962,0),0)</f>
        <v>0</v>
      </c>
      <c r="R960" s="297">
        <f>IF($J962=$A$22,IF($M962=$A$16,$L962,0),0)</f>
        <v>0</v>
      </c>
    </row>
    <row r="961" spans="17:18">
      <c r="Q961" s="297">
        <f>IF($J963=$A$21,IF($M963=$A$16,$L963,0),0)</f>
        <v>0</v>
      </c>
      <c r="R961" s="297">
        <f>IF($J963=$A$22,IF($M963=$A$16,$L963,0),0)</f>
        <v>0</v>
      </c>
    </row>
    <row r="962" spans="17:18">
      <c r="Q962" s="297">
        <f>IF($J964=$A$21,IF($M964=$A$16,$L964,0),0)</f>
        <v>0</v>
      </c>
      <c r="R962" s="297">
        <f>IF($J964=$A$22,IF($M964=$A$16,$L964,0),0)</f>
        <v>0</v>
      </c>
    </row>
    <row r="963" spans="17:18">
      <c r="Q963" s="297">
        <f>IF($J965=$A$21,IF($M965=$A$16,$L965,0),0)</f>
        <v>0</v>
      </c>
      <c r="R963" s="297">
        <f>IF($J965=$A$22,IF($M965=$A$16,$L965,0),0)</f>
        <v>0</v>
      </c>
    </row>
    <row r="964" spans="17:18">
      <c r="Q964" s="297">
        <f>IF($J966=$A$21,IF($M966=$A$16,$L966,0),0)</f>
        <v>0</v>
      </c>
      <c r="R964" s="297">
        <f>IF($J966=$A$22,IF($M966=$A$16,$L966,0),0)</f>
        <v>0</v>
      </c>
    </row>
    <row r="965" spans="17:18">
      <c r="Q965" s="297">
        <f>IF($J967=$A$21,IF($M967=$A$16,$L967,0),0)</f>
        <v>0</v>
      </c>
      <c r="R965" s="297">
        <f>IF($J967=$A$22,IF($M967=$A$16,$L967,0),0)</f>
        <v>0</v>
      </c>
    </row>
    <row r="966" spans="17:18">
      <c r="Q966" s="297">
        <f>IF($J968=$A$21,IF($M968=$A$16,$L968,0),0)</f>
        <v>0</v>
      </c>
      <c r="R966" s="297">
        <f>IF($J968=$A$22,IF($M968=$A$16,$L968,0),0)</f>
        <v>0</v>
      </c>
    </row>
    <row r="967" spans="17:18">
      <c r="Q967" s="297">
        <f>IF($J969=$A$21,IF($M969=$A$16,$L969,0),0)</f>
        <v>0</v>
      </c>
      <c r="R967" s="297">
        <f>IF($J969=$A$22,IF($M969=$A$16,$L969,0),0)</f>
        <v>0</v>
      </c>
    </row>
    <row r="968" spans="17:18">
      <c r="Q968" s="297">
        <f>IF($J970=$A$21,IF($M970=$A$16,$L970,0),0)</f>
        <v>0</v>
      </c>
      <c r="R968" s="297">
        <f>IF($J970=$A$22,IF($M970=$A$16,$L970,0),0)</f>
        <v>0</v>
      </c>
    </row>
    <row r="969" spans="17:18">
      <c r="Q969" s="297">
        <f>IF($J971=$A$21,IF($M971=$A$16,$L971,0),0)</f>
        <v>0</v>
      </c>
      <c r="R969" s="297">
        <f>IF($J971=$A$22,IF($M971=$A$16,$L971,0),0)</f>
        <v>0</v>
      </c>
    </row>
    <row r="970" spans="17:18">
      <c r="Q970" s="297">
        <f>IF($J972=$A$21,IF($M972=$A$16,$L972,0),0)</f>
        <v>0</v>
      </c>
      <c r="R970" s="297">
        <f>IF($J972=$A$22,IF($M972=$A$16,$L972,0),0)</f>
        <v>0</v>
      </c>
    </row>
    <row r="971" spans="17:18">
      <c r="Q971" s="297">
        <f>IF($J973=$A$21,IF($M973=$A$16,$L973,0),0)</f>
        <v>0</v>
      </c>
      <c r="R971" s="297">
        <f>IF($J973=$A$22,IF($M973=$A$16,$L973,0),0)</f>
        <v>0</v>
      </c>
    </row>
    <row r="972" spans="17:18">
      <c r="Q972" s="297">
        <f>IF($J974=$A$21,IF($M974=$A$16,$L974,0),0)</f>
        <v>0</v>
      </c>
      <c r="R972" s="297">
        <f>IF($J974=$A$22,IF($M974=$A$16,$L974,0),0)</f>
        <v>0</v>
      </c>
    </row>
    <row r="973" spans="17:18">
      <c r="Q973" s="297">
        <f>IF($J975=$A$21,IF($M975=$A$16,$L975,0),0)</f>
        <v>0</v>
      </c>
      <c r="R973" s="297">
        <f>IF($J975=$A$22,IF($M975=$A$16,$L975,0),0)</f>
        <v>0</v>
      </c>
    </row>
    <row r="974" spans="17:18">
      <c r="Q974" s="297">
        <f>IF($J976=$A$21,IF($M976=$A$16,$L976,0),0)</f>
        <v>0</v>
      </c>
      <c r="R974" s="297">
        <f>IF($J976=$A$22,IF($M976=$A$16,$L976,0),0)</f>
        <v>0</v>
      </c>
    </row>
    <row r="975" spans="17:18">
      <c r="Q975" s="297">
        <f>IF($J977=$A$21,IF($M977=$A$16,$L977,0),0)</f>
        <v>0</v>
      </c>
      <c r="R975" s="297">
        <f>IF($J977=$A$22,IF($M977=$A$16,$L977,0),0)</f>
        <v>0</v>
      </c>
    </row>
    <row r="976" spans="17:18">
      <c r="Q976" s="297">
        <f>IF($J978=$A$21,IF($M978=$A$16,$L978,0),0)</f>
        <v>0</v>
      </c>
      <c r="R976" s="297">
        <f>IF($J978=$A$22,IF($M978=$A$16,$L978,0),0)</f>
        <v>0</v>
      </c>
    </row>
    <row r="977" spans="17:18">
      <c r="Q977" s="297">
        <f>IF($J979=$A$21,IF($M979=$A$16,$L979,0),0)</f>
        <v>0</v>
      </c>
      <c r="R977" s="297">
        <f>IF($J979=$A$22,IF($M979=$A$16,$L979,0),0)</f>
        <v>0</v>
      </c>
    </row>
    <row r="978" spans="17:18">
      <c r="Q978" s="297">
        <f>IF($J980=$A$21,IF($M980=$A$16,$L980,0),0)</f>
        <v>0</v>
      </c>
      <c r="R978" s="297">
        <f>IF($J980=$A$22,IF($M980=$A$16,$L980,0),0)</f>
        <v>0</v>
      </c>
    </row>
    <row r="979" spans="17:18">
      <c r="Q979" s="297">
        <f>IF($J981=$A$21,IF($M981=$A$16,$L981,0),0)</f>
        <v>0</v>
      </c>
      <c r="R979" s="297">
        <f>IF($J981=$A$22,IF($M981=$A$16,$L981,0),0)</f>
        <v>0</v>
      </c>
    </row>
    <row r="980" spans="17:18">
      <c r="Q980" s="297">
        <f>IF($J982=$A$21,IF($M982=$A$16,$L982,0),0)</f>
        <v>0</v>
      </c>
      <c r="R980" s="297">
        <f>IF($J982=$A$22,IF($M982=$A$16,$L982,0),0)</f>
        <v>0</v>
      </c>
    </row>
    <row r="981" spans="17:18">
      <c r="Q981" s="297">
        <f>IF($J983=$A$21,IF($M983=$A$16,$L983,0),0)</f>
        <v>0</v>
      </c>
      <c r="R981" s="297">
        <f>IF($J983=$A$22,IF($M983=$A$16,$L983,0),0)</f>
        <v>0</v>
      </c>
    </row>
    <row r="982" spans="17:18">
      <c r="Q982" s="297">
        <f>IF($J984=$A$21,IF($M984=$A$16,$L984,0),0)</f>
        <v>0</v>
      </c>
      <c r="R982" s="297">
        <f>IF($J984=$A$22,IF($M984=$A$16,$L984,0),0)</f>
        <v>0</v>
      </c>
    </row>
    <row r="983" spans="17:18">
      <c r="Q983" s="297">
        <f>IF($J985=$A$21,IF($M985=$A$16,$L985,0),0)</f>
        <v>0</v>
      </c>
      <c r="R983" s="297">
        <f>IF($J985=$A$22,IF($M985=$A$16,$L985,0),0)</f>
        <v>0</v>
      </c>
    </row>
    <row r="984" spans="17:18">
      <c r="Q984" s="297">
        <f>IF($J986=$A$21,IF($M986=$A$16,$L986,0),0)</f>
        <v>0</v>
      </c>
      <c r="R984" s="297">
        <f>IF($J986=$A$22,IF($M986=$A$16,$L986,0),0)</f>
        <v>0</v>
      </c>
    </row>
    <row r="985" spans="17:18">
      <c r="Q985" s="297">
        <f>IF($J987=$A$21,IF($M987=$A$16,$L987,0),0)</f>
        <v>0</v>
      </c>
      <c r="R985" s="297">
        <f>IF($J987=$A$22,IF($M987=$A$16,$L987,0),0)</f>
        <v>0</v>
      </c>
    </row>
    <row r="986" spans="17:18">
      <c r="Q986" s="297">
        <f>IF($J988=$A$21,IF($M988=$A$16,$L988,0),0)</f>
        <v>0</v>
      </c>
      <c r="R986" s="297">
        <f>IF($J988=$A$22,IF($M988=$A$16,$L988,0),0)</f>
        <v>0</v>
      </c>
    </row>
    <row r="987" spans="17:18">
      <c r="Q987" s="297">
        <f>IF($J989=$A$21,IF($M989=$A$16,$L989,0),0)</f>
        <v>0</v>
      </c>
      <c r="R987" s="297">
        <f>IF($J989=$A$22,IF($M989=$A$16,$L989,0),0)</f>
        <v>0</v>
      </c>
    </row>
    <row r="988" spans="17:18">
      <c r="Q988" s="297">
        <f>IF($J990=$A$21,IF($M990=$A$16,$L990,0),0)</f>
        <v>0</v>
      </c>
      <c r="R988" s="297">
        <f>IF($J990=$A$22,IF($M990=$A$16,$L990,0),0)</f>
        <v>0</v>
      </c>
    </row>
    <row r="989" spans="17:18">
      <c r="Q989" s="297">
        <f>IF($J991=$A$21,IF($M991=$A$16,$L991,0),0)</f>
        <v>0</v>
      </c>
      <c r="R989" s="297">
        <f>IF($J991=$A$22,IF($M991=$A$16,$L991,0),0)</f>
        <v>0</v>
      </c>
    </row>
    <row r="990" spans="17:18">
      <c r="Q990" s="297">
        <f>IF($J992=$A$21,IF($M992=$A$16,$L992,0),0)</f>
        <v>0</v>
      </c>
      <c r="R990" s="297">
        <f>IF($J992=$A$22,IF($M992=$A$16,$L992,0),0)</f>
        <v>0</v>
      </c>
    </row>
    <row r="991" spans="17:18">
      <c r="Q991" s="297">
        <f>IF($J993=$A$21,IF($M993=$A$16,$L993,0),0)</f>
        <v>0</v>
      </c>
      <c r="R991" s="297">
        <f>IF($J993=$A$22,IF($M993=$A$16,$L993,0),0)</f>
        <v>0</v>
      </c>
    </row>
    <row r="992" spans="17:18">
      <c r="Q992" s="297">
        <f>IF($J994=$A$21,IF($M994=$A$16,$L994,0),0)</f>
        <v>0</v>
      </c>
      <c r="R992" s="297">
        <f>IF($J994=$A$22,IF($M994=$A$16,$L994,0),0)</f>
        <v>0</v>
      </c>
    </row>
    <row r="993" spans="17:18">
      <c r="Q993" s="297">
        <f>IF($J995=$A$21,IF($M995=$A$16,$L995,0),0)</f>
        <v>0</v>
      </c>
      <c r="R993" s="297">
        <f>IF($J995=$A$22,IF($M995=$A$16,$L995,0),0)</f>
        <v>0</v>
      </c>
    </row>
    <row r="994" spans="17:18">
      <c r="Q994" s="297">
        <f>IF($J996=$A$21,IF($M996=$A$16,$L996,0),0)</f>
        <v>0</v>
      </c>
      <c r="R994" s="297">
        <f>IF($J996=$A$22,IF($M996=$A$16,$L996,0),0)</f>
        <v>0</v>
      </c>
    </row>
    <row r="995" spans="17:18">
      <c r="Q995" s="297">
        <f>IF($J997=$A$21,IF($M997=$A$16,$L997,0),0)</f>
        <v>0</v>
      </c>
      <c r="R995" s="297">
        <f>IF($J997=$A$22,IF($M997=$A$16,$L997,0),0)</f>
        <v>0</v>
      </c>
    </row>
    <row r="996" spans="17:18">
      <c r="Q996" s="297">
        <f>IF($J998=$A$21,IF($M998=$A$16,$L998,0),0)</f>
        <v>0</v>
      </c>
      <c r="R996" s="297">
        <f>IF($J998=$A$22,IF($M998=$A$16,$L998,0),0)</f>
        <v>0</v>
      </c>
    </row>
    <row r="997" spans="17:18">
      <c r="Q997" s="297">
        <f>IF($J999=$A$21,IF($M999=$A$16,$L999,0),0)</f>
        <v>0</v>
      </c>
      <c r="R997" s="297">
        <f>IF($J999=$A$22,IF($M999=$A$16,$L999,0),0)</f>
        <v>0</v>
      </c>
    </row>
    <row r="998" spans="17:18">
      <c r="Q998" s="297">
        <f>IF($J1000=$A$21,IF($M1000=$A$16,$L1000,0),0)</f>
        <v>0</v>
      </c>
      <c r="R998" s="297">
        <f>IF($J1000=$A$22,IF($M1000=$A$16,$L1000,0),0)</f>
        <v>0</v>
      </c>
    </row>
    <row r="999" spans="17:18">
      <c r="Q999" s="297">
        <f>IF($J1001=$A$21,IF($M1001=$A$16,$L1001,0),0)</f>
        <v>0</v>
      </c>
      <c r="R999" s="297">
        <f>IF($J1001=$A$22,IF($M1001=$A$16,$L1001,0),0)</f>
        <v>0</v>
      </c>
    </row>
    <row r="1000" spans="17:18">
      <c r="Q1000" s="297">
        <f>IF($J1002=$A$21,IF($M1002=$A$16,$L1002,0),0)</f>
        <v>0</v>
      </c>
      <c r="R1000" s="297">
        <f>IF($J1002=$A$22,IF($M1002=$A$16,$L1002,0),0)</f>
        <v>0</v>
      </c>
    </row>
    <row r="1001" spans="17:18">
      <c r="Q1001" s="297">
        <f>IF($J1003=$A$21,IF($M1003=$A$16,$L1003,0),0)</f>
        <v>0</v>
      </c>
      <c r="R1001" s="297">
        <f>IF($J1003=$A$22,IF($M1003=$A$16,$L1003,0),0)</f>
        <v>0</v>
      </c>
    </row>
    <row r="1002" spans="17:18">
      <c r="Q1002" s="297">
        <f>IF($J1004=$A$21,IF($M1004=$A$16,$L1004,0),0)</f>
        <v>0</v>
      </c>
      <c r="R1002" s="297">
        <f>IF($J1004=$A$22,IF($M1004=$A$16,$L1004,0),0)</f>
        <v>0</v>
      </c>
    </row>
    <row r="1003" spans="17:18">
      <c r="Q1003" s="297">
        <f>IF($J1005=$A$21,IF($M1005=$A$16,$L1005,0),0)</f>
        <v>0</v>
      </c>
      <c r="R1003" s="297">
        <f>IF($J1005=$A$22,IF($M1005=$A$16,$L1005,0),0)</f>
        <v>0</v>
      </c>
    </row>
    <row r="1004" spans="17:18">
      <c r="Q1004" s="297">
        <f>IF($J1006=$A$21,IF($M1006=$A$16,$L1006,0),0)</f>
        <v>0</v>
      </c>
      <c r="R1004" s="297">
        <f>IF($J1006=$A$22,IF($M1006=$A$16,$L1006,0),0)</f>
        <v>0</v>
      </c>
    </row>
    <row r="1005" spans="17:18">
      <c r="Q1005" s="297">
        <f>IF($J1007=$A$21,IF($M1007=$A$16,$L1007,0),0)</f>
        <v>0</v>
      </c>
      <c r="R1005" s="297">
        <f>IF($J1007=$A$22,IF($M1007=$A$16,$L1007,0),0)</f>
        <v>0</v>
      </c>
    </row>
    <row r="1006" spans="17:18">
      <c r="Q1006" s="297">
        <f>IF($J1008=$A$21,IF($M1008=$A$16,$L1008,0),0)</f>
        <v>0</v>
      </c>
      <c r="R1006" s="297">
        <f>IF($J1008=$A$22,IF($M1008=$A$16,$L1008,0),0)</f>
        <v>0</v>
      </c>
    </row>
    <row r="1007" spans="17:18">
      <c r="Q1007" s="297">
        <f>IF($J1009=$A$21,IF($M1009=$A$16,$L1009,0),0)</f>
        <v>0</v>
      </c>
      <c r="R1007" s="297">
        <f>IF($J1009=$A$22,IF($M1009=$A$16,$L1009,0),0)</f>
        <v>0</v>
      </c>
    </row>
    <row r="1008" spans="17:18">
      <c r="Q1008" s="297">
        <f>IF($J1010=$A$21,IF($M1010=$A$16,$L1010,0),0)</f>
        <v>0</v>
      </c>
      <c r="R1008" s="297">
        <f>IF($J1010=$A$22,IF($M1010=$A$16,$L1010,0),0)</f>
        <v>0</v>
      </c>
    </row>
    <row r="1009" spans="17:18">
      <c r="Q1009" s="297">
        <f>IF($J1011=$A$21,IF($M1011=$A$16,$L1011,0),0)</f>
        <v>0</v>
      </c>
      <c r="R1009" s="297">
        <f>IF($J1011=$A$22,IF($M1011=$A$16,$L1011,0),0)</f>
        <v>0</v>
      </c>
    </row>
    <row r="1010" spans="17:18">
      <c r="Q1010" s="297">
        <f>IF($J1012=$A$21,IF($M1012=$A$16,$L1012,0),0)</f>
        <v>0</v>
      </c>
      <c r="R1010" s="297">
        <f>IF($J1012=$A$22,IF($M1012=$A$16,$L1012,0),0)</f>
        <v>0</v>
      </c>
    </row>
    <row r="1011" spans="17:18">
      <c r="Q1011" s="297">
        <f>IF($J1013=$A$21,IF($M1013=$A$16,$L1013,0),0)</f>
        <v>0</v>
      </c>
      <c r="R1011" s="297">
        <f>IF($J1013=$A$22,IF($M1013=$A$16,$L1013,0),0)</f>
        <v>0</v>
      </c>
    </row>
    <row r="1012" spans="17:18">
      <c r="Q1012" s="297">
        <f>IF($J1014=$A$21,IF($M1014=$A$16,$L1014,0),0)</f>
        <v>0</v>
      </c>
      <c r="R1012" s="297">
        <f>IF($J1014=$A$22,IF($M1014=$A$16,$L1014,0),0)</f>
        <v>0</v>
      </c>
    </row>
    <row r="1013" spans="17:18">
      <c r="Q1013" s="297">
        <f>IF($J1015=$A$21,IF($M1015=$A$16,$L1015,0),0)</f>
        <v>0</v>
      </c>
      <c r="R1013" s="297">
        <f>IF($J1015=$A$22,IF($M1015=$A$16,$L1015,0),0)</f>
        <v>0</v>
      </c>
    </row>
    <row r="1014" spans="17:18">
      <c r="Q1014" s="297">
        <f>IF($J1016=$A$21,IF($M1016=$A$16,$L1016,0),0)</f>
        <v>0</v>
      </c>
      <c r="R1014" s="297">
        <f>IF($J1016=$A$22,IF($M1016=$A$16,$L1016,0),0)</f>
        <v>0</v>
      </c>
    </row>
    <row r="1015" spans="17:18">
      <c r="Q1015" s="297">
        <f>IF($J1017=$A$21,IF($M1017=$A$16,$L1017,0),0)</f>
        <v>0</v>
      </c>
      <c r="R1015" s="297">
        <f>IF($J1017=$A$22,IF($M1017=$A$16,$L1017,0),0)</f>
        <v>0</v>
      </c>
    </row>
    <row r="1016" spans="17:18">
      <c r="Q1016" s="297">
        <f>IF($J1018=$A$21,IF($M1018=$A$16,$L1018,0),0)</f>
        <v>0</v>
      </c>
      <c r="R1016" s="297">
        <f>IF($J1018=$A$22,IF($M1018=$A$16,$L1018,0),0)</f>
        <v>0</v>
      </c>
    </row>
    <row r="1017" spans="17:18">
      <c r="Q1017" s="297">
        <f>IF($J1019=$A$21,IF($M1019=$A$16,$L1019,0),0)</f>
        <v>0</v>
      </c>
      <c r="R1017" s="297">
        <f>IF($J1019=$A$22,IF($M1019=$A$16,$L1019,0),0)</f>
        <v>0</v>
      </c>
    </row>
    <row r="1018" spans="17:18">
      <c r="Q1018" s="297">
        <f>IF($J1020=$A$21,IF($M1020=$A$16,$L1020,0),0)</f>
        <v>0</v>
      </c>
      <c r="R1018" s="297">
        <f>IF($J1020=$A$22,IF($M1020=$A$16,$L1020,0),0)</f>
        <v>0</v>
      </c>
    </row>
    <row r="1019" spans="17:18">
      <c r="Q1019" s="297">
        <f>IF($J1021=$A$21,IF($M1021=$A$16,$L1021,0),0)</f>
        <v>0</v>
      </c>
      <c r="R1019" s="297">
        <f>IF($J1021=$A$22,IF($M1021=$A$16,$L1021,0),0)</f>
        <v>0</v>
      </c>
    </row>
    <row r="1020" spans="17:18">
      <c r="Q1020" s="297">
        <f>IF($J1022=$A$21,IF($M1022=$A$16,$L1022,0),0)</f>
        <v>0</v>
      </c>
      <c r="R1020" s="297">
        <f>IF($J1022=$A$22,IF($M1022=$A$16,$L1022,0),0)</f>
        <v>0</v>
      </c>
    </row>
    <row r="1021" spans="17:18">
      <c r="Q1021" s="297">
        <f>IF($J1023=$A$21,IF($M1023=$A$16,$L1023,0),0)</f>
        <v>0</v>
      </c>
      <c r="R1021" s="297">
        <f>IF($J1023=$A$22,IF($M1023=$A$16,$L1023,0),0)</f>
        <v>0</v>
      </c>
    </row>
    <row r="1022" spans="17:18">
      <c r="Q1022" s="297">
        <f>IF($J1024=$A$21,IF($M1024=$A$16,$L1024,0),0)</f>
        <v>0</v>
      </c>
      <c r="R1022" s="297">
        <f>IF($J1024=$A$22,IF($M1024=$A$16,$L1024,0),0)</f>
        <v>0</v>
      </c>
    </row>
    <row r="1023" spans="17:18">
      <c r="Q1023" s="297">
        <f>IF($J1025=$A$21,IF($M1025=$A$16,$L1025,0),0)</f>
        <v>0</v>
      </c>
      <c r="R1023" s="297">
        <f>IF($J1025=$A$22,IF($M1025=$A$16,$L1025,0),0)</f>
        <v>0</v>
      </c>
    </row>
    <row r="1024" spans="17:18">
      <c r="Q1024" s="297">
        <f>IF($J1026=$A$21,IF($M1026=$A$16,$L1026,0),0)</f>
        <v>0</v>
      </c>
      <c r="R1024" s="297">
        <f>IF($J1026=$A$22,IF($M1026=$A$16,$L1026,0),0)</f>
        <v>0</v>
      </c>
    </row>
    <row r="1025" spans="17:18">
      <c r="Q1025" s="297">
        <f>IF($J1027=$A$21,IF($M1027=$A$16,$L1027,0),0)</f>
        <v>0</v>
      </c>
      <c r="R1025" s="297">
        <f>IF($J1027=$A$22,IF($M1027=$A$16,$L1027,0),0)</f>
        <v>0</v>
      </c>
    </row>
    <row r="1026" spans="17:18">
      <c r="Q1026" s="297">
        <f>IF($J1028=$A$21,IF($M1028=$A$16,$L1028,0),0)</f>
        <v>0</v>
      </c>
      <c r="R1026" s="297">
        <f>IF($J1028=$A$22,IF($M1028=$A$16,$L1028,0),0)</f>
        <v>0</v>
      </c>
    </row>
    <row r="1027" spans="17:18">
      <c r="Q1027" s="297">
        <f>IF($J1029=$A$21,IF($M1029=$A$16,$L1029,0),0)</f>
        <v>0</v>
      </c>
      <c r="R1027" s="297">
        <f>IF($J1029=$A$22,IF($M1029=$A$16,$L1029,0),0)</f>
        <v>0</v>
      </c>
    </row>
    <row r="1028" spans="17:18">
      <c r="Q1028" s="297">
        <f>IF($J1030=$A$21,IF($M1030=$A$16,$L1030,0),0)</f>
        <v>0</v>
      </c>
      <c r="R1028" s="297">
        <f>IF($J1030=$A$22,IF($M1030=$A$16,$L1030,0),0)</f>
        <v>0</v>
      </c>
    </row>
    <row r="1029" spans="17:18">
      <c r="Q1029" s="297">
        <f>IF($J1031=$A$21,IF($M1031=$A$16,$L1031,0),0)</f>
        <v>0</v>
      </c>
      <c r="R1029" s="297">
        <f>IF($J1031=$A$22,IF($M1031=$A$16,$L1031,0),0)</f>
        <v>0</v>
      </c>
    </row>
    <row r="1030" spans="17:18">
      <c r="Q1030" s="297">
        <f>IF($J1032=$A$21,IF($M1032=$A$16,$L1032,0),0)</f>
        <v>0</v>
      </c>
      <c r="R1030" s="297">
        <f>IF($J1032=$A$22,IF($M1032=$A$16,$L1032,0),0)</f>
        <v>0</v>
      </c>
    </row>
    <row r="1031" spans="17:18">
      <c r="Q1031" s="297">
        <f>IF($J1033=$A$21,IF($M1033=$A$16,$L1033,0),0)</f>
        <v>0</v>
      </c>
      <c r="R1031" s="297">
        <f>IF($J1033=$A$22,IF($M1033=$A$16,$L1033,0),0)</f>
        <v>0</v>
      </c>
    </row>
    <row r="1032" spans="17:18">
      <c r="Q1032" s="297">
        <f>IF($J1034=$A$21,IF($M1034=$A$16,$L1034,0),0)</f>
        <v>0</v>
      </c>
      <c r="R1032" s="297">
        <f>IF($J1034=$A$22,IF($M1034=$A$16,$L1034,0),0)</f>
        <v>0</v>
      </c>
    </row>
    <row r="1033" spans="17:18">
      <c r="Q1033" s="297">
        <f>IF($J1035=$A$21,IF($M1035=$A$16,$L1035,0),0)</f>
        <v>0</v>
      </c>
      <c r="R1033" s="297">
        <f>IF($J1035=$A$22,IF($M1035=$A$16,$L1035,0),0)</f>
        <v>0</v>
      </c>
    </row>
    <row r="1034" spans="17:18">
      <c r="Q1034" s="297">
        <f>IF($J1036=$A$21,IF($M1036=$A$16,$L1036,0),0)</f>
        <v>0</v>
      </c>
      <c r="R1034" s="297">
        <f>IF($J1036=$A$22,IF($M1036=$A$16,$L1036,0),0)</f>
        <v>0</v>
      </c>
    </row>
    <row r="1035" spans="17:18">
      <c r="Q1035" s="297">
        <f>IF($J1037=$A$21,IF($M1037=$A$16,$L1037,0),0)</f>
        <v>0</v>
      </c>
      <c r="R1035" s="297">
        <f>IF($J1037=$A$22,IF($M1037=$A$16,$L1037,0),0)</f>
        <v>0</v>
      </c>
    </row>
    <row r="1036" spans="17:18">
      <c r="Q1036" s="297">
        <f>IF($J1038=$A$21,IF($M1038=$A$16,$L1038,0),0)</f>
        <v>0</v>
      </c>
      <c r="R1036" s="297">
        <f>IF($J1038=$A$22,IF($M1038=$A$16,$L1038,0),0)</f>
        <v>0</v>
      </c>
    </row>
    <row r="1037" spans="17:18">
      <c r="Q1037" s="297">
        <f>IF($J1039=$A$21,IF($M1039=$A$16,$L1039,0),0)</f>
        <v>0</v>
      </c>
      <c r="R1037" s="297">
        <f>IF($J1039=$A$22,IF($M1039=$A$16,$L1039,0),0)</f>
        <v>0</v>
      </c>
    </row>
    <row r="1038" spans="17:18">
      <c r="Q1038" s="297">
        <f>IF($J1040=$A$21,IF($M1040=$A$16,$L1040,0),0)</f>
        <v>0</v>
      </c>
      <c r="R1038" s="297">
        <f>IF($J1040=$A$22,IF($M1040=$A$16,$L1040,0),0)</f>
        <v>0</v>
      </c>
    </row>
    <row r="1039" spans="17:18">
      <c r="Q1039" s="297">
        <f>IF($J1041=$A$21,IF($M1041=$A$16,$L1041,0),0)</f>
        <v>0</v>
      </c>
      <c r="R1039" s="297">
        <f>IF($J1041=$A$22,IF($M1041=$A$16,$L1041,0),0)</f>
        <v>0</v>
      </c>
    </row>
    <row r="1040" spans="17:18">
      <c r="Q1040" s="297">
        <f>IF($J1042=$A$21,IF($M1042=$A$16,$L1042,0),0)</f>
        <v>0</v>
      </c>
      <c r="R1040" s="297">
        <f>IF($J1042=$A$22,IF($M1042=$A$16,$L1042,0),0)</f>
        <v>0</v>
      </c>
    </row>
    <row r="1041" spans="17:18">
      <c r="Q1041" s="297">
        <f>IF($J1043=$A$21,IF($M1043=$A$16,$L1043,0),0)</f>
        <v>0</v>
      </c>
      <c r="R1041" s="297">
        <f>IF($J1043=$A$22,IF($M1043=$A$16,$L1043,0),0)</f>
        <v>0</v>
      </c>
    </row>
    <row r="1042" spans="17:18">
      <c r="Q1042" s="297">
        <f>IF($J1044=$A$21,IF($M1044=$A$16,$L1044,0),0)</f>
        <v>0</v>
      </c>
      <c r="R1042" s="297">
        <f>IF($J1044=$A$22,IF($M1044=$A$16,$L1044,0),0)</f>
        <v>0</v>
      </c>
    </row>
    <row r="1043" spans="17:18">
      <c r="Q1043" s="297">
        <f>IF($J1045=$A$21,IF($M1045=$A$16,$L1045,0),0)</f>
        <v>0</v>
      </c>
      <c r="R1043" s="297">
        <f>IF($J1045=$A$22,IF($M1045=$A$16,$L1045,0),0)</f>
        <v>0</v>
      </c>
    </row>
    <row r="1044" spans="17:18">
      <c r="Q1044" s="297">
        <f>IF($J1046=$A$21,IF($M1046=$A$16,$L1046,0),0)</f>
        <v>0</v>
      </c>
      <c r="R1044" s="297">
        <f>IF($J1046=$A$22,IF($M1046=$A$16,$L1046,0),0)</f>
        <v>0</v>
      </c>
    </row>
    <row r="1045" spans="17:18">
      <c r="Q1045" s="297">
        <f>IF($J1047=$A$21,IF($M1047=$A$16,$L1047,0),0)</f>
        <v>0</v>
      </c>
      <c r="R1045" s="297">
        <f>IF($J1047=$A$22,IF($M1047=$A$16,$L1047,0),0)</f>
        <v>0</v>
      </c>
    </row>
    <row r="1046" spans="17:18">
      <c r="Q1046" s="297">
        <f>IF($J1048=$A$21,IF($M1048=$A$16,$L1048,0),0)</f>
        <v>0</v>
      </c>
      <c r="R1046" s="297">
        <f>IF($J1048=$A$22,IF($M1048=$A$16,$L1048,0),0)</f>
        <v>0</v>
      </c>
    </row>
    <row r="1047" spans="17:18">
      <c r="Q1047" s="297">
        <f>IF($J1049=$A$21,IF($M1049=$A$16,$L1049,0),0)</f>
        <v>0</v>
      </c>
      <c r="R1047" s="297">
        <f>IF($J1049=$A$22,IF($M1049=$A$16,$L1049,0),0)</f>
        <v>0</v>
      </c>
    </row>
    <row r="1048" spans="17:18">
      <c r="Q1048" s="297">
        <f>IF($J1050=$A$21,IF($M1050=$A$16,$L1050,0),0)</f>
        <v>0</v>
      </c>
      <c r="R1048" s="297">
        <f>IF($J1050=$A$22,IF($M1050=$A$16,$L1050,0),0)</f>
        <v>0</v>
      </c>
    </row>
    <row r="1049" spans="17:18">
      <c r="Q1049" s="297">
        <f>IF($J1051=$A$21,IF($M1051=$A$16,$L1051,0),0)</f>
        <v>0</v>
      </c>
      <c r="R1049" s="297">
        <f>IF($J1051=$A$22,IF($M1051=$A$16,$L1051,0),0)</f>
        <v>0</v>
      </c>
    </row>
    <row r="1050" spans="17:18">
      <c r="Q1050" s="297">
        <f>IF($J1052=$A$21,IF($M1052=$A$16,$L1052,0),0)</f>
        <v>0</v>
      </c>
      <c r="R1050" s="297">
        <f>IF($J1052=$A$22,IF($M1052=$A$16,$L1052,0),0)</f>
        <v>0</v>
      </c>
    </row>
    <row r="1051" spans="17:18">
      <c r="Q1051" s="297">
        <f>IF($J1053=$A$21,IF($M1053=$A$16,$L1053,0),0)</f>
        <v>0</v>
      </c>
      <c r="R1051" s="297">
        <f>IF($J1053=$A$22,IF($M1053=$A$16,$L1053,0),0)</f>
        <v>0</v>
      </c>
    </row>
    <row r="1052" spans="17:18">
      <c r="Q1052" s="297">
        <f>IF($J1054=$A$21,IF($M1054=$A$16,$L1054,0),0)</f>
        <v>0</v>
      </c>
      <c r="R1052" s="297">
        <f>IF($J1054=$A$22,IF($M1054=$A$16,$L1054,0),0)</f>
        <v>0</v>
      </c>
    </row>
    <row r="1053" spans="17:18">
      <c r="Q1053" s="297">
        <f>IF($J1055=$A$21,IF($M1055=$A$16,$L1055,0),0)</f>
        <v>0</v>
      </c>
      <c r="R1053" s="297">
        <f>IF($J1055=$A$22,IF($M1055=$A$16,$L1055,0),0)</f>
        <v>0</v>
      </c>
    </row>
    <row r="1054" spans="17:18">
      <c r="Q1054" s="297">
        <f>IF($J1056=$A$21,IF($M1056=$A$16,$L1056,0),0)</f>
        <v>0</v>
      </c>
      <c r="R1054" s="297">
        <f>IF($J1056=$A$22,IF($M1056=$A$16,$L1056,0),0)</f>
        <v>0</v>
      </c>
    </row>
    <row r="1055" spans="17:18">
      <c r="Q1055" s="297">
        <f>IF($J1057=$A$21,IF($M1057=$A$16,$L1057,0),0)</f>
        <v>0</v>
      </c>
      <c r="R1055" s="297">
        <f>IF($J1057=$A$22,IF($M1057=$A$16,$L1057,0),0)</f>
        <v>0</v>
      </c>
    </row>
    <row r="1056" spans="17:18">
      <c r="Q1056" s="297">
        <f>IF($J1058=$A$21,IF($M1058=$A$16,$L1058,0),0)</f>
        <v>0</v>
      </c>
      <c r="R1056" s="297">
        <f>IF($J1058=$A$22,IF($M1058=$A$16,$L1058,0),0)</f>
        <v>0</v>
      </c>
    </row>
    <row r="1057" spans="17:18">
      <c r="Q1057" s="297">
        <f>IF($J1059=$A$21,IF($M1059=$A$16,$L1059,0),0)</f>
        <v>0</v>
      </c>
      <c r="R1057" s="297">
        <f>IF($J1059=$A$22,IF($M1059=$A$16,$L1059,0),0)</f>
        <v>0</v>
      </c>
    </row>
    <row r="1058" spans="17:18">
      <c r="Q1058" s="297">
        <f>IF($J1060=$A$21,IF($M1060=$A$16,$L1060,0),0)</f>
        <v>0</v>
      </c>
      <c r="R1058" s="297">
        <f>IF($J1060=$A$22,IF($M1060=$A$16,$L1060,0),0)</f>
        <v>0</v>
      </c>
    </row>
    <row r="1059" spans="17:18">
      <c r="Q1059" s="297">
        <f>IF($J1061=$A$21,IF($M1061=$A$16,$L1061,0),0)</f>
        <v>0</v>
      </c>
      <c r="R1059" s="297">
        <f>IF($J1061=$A$22,IF($M1061=$A$16,$L1061,0),0)</f>
        <v>0</v>
      </c>
    </row>
    <row r="1060" spans="17:18">
      <c r="Q1060" s="297">
        <f>IF($J1062=$A$21,IF($M1062=$A$16,$L1062,0),0)</f>
        <v>0</v>
      </c>
      <c r="R1060" s="297">
        <f>IF($J1062=$A$22,IF($M1062=$A$16,$L1062,0),0)</f>
        <v>0</v>
      </c>
    </row>
    <row r="1061" spans="17:18">
      <c r="Q1061" s="297">
        <f>IF($J1063=$A$21,IF($M1063=$A$16,$L1063,0),0)</f>
        <v>0</v>
      </c>
      <c r="R1061" s="297">
        <f>IF($J1063=$A$22,IF($M1063=$A$16,$L1063,0),0)</f>
        <v>0</v>
      </c>
    </row>
    <row r="1062" spans="17:18">
      <c r="Q1062" s="297">
        <f>IF($J1064=$A$21,IF($M1064=$A$16,$L1064,0),0)</f>
        <v>0</v>
      </c>
      <c r="R1062" s="297">
        <f>IF($J1064=$A$22,IF($M1064=$A$16,$L1064,0),0)</f>
        <v>0</v>
      </c>
    </row>
    <row r="1063" spans="17:18">
      <c r="Q1063" s="297">
        <f>IF($J1065=$A$21,IF($M1065=$A$16,$L1065,0),0)</f>
        <v>0</v>
      </c>
      <c r="R1063" s="297">
        <f>IF($J1065=$A$22,IF($M1065=$A$16,$L1065,0),0)</f>
        <v>0</v>
      </c>
    </row>
    <row r="1064" spans="17:18">
      <c r="Q1064" s="297">
        <f>IF($J1066=$A$21,IF($M1066=$A$16,$L1066,0),0)</f>
        <v>0</v>
      </c>
      <c r="R1064" s="297">
        <f>IF($J1066=$A$22,IF($M1066=$A$16,$L1066,0),0)</f>
        <v>0</v>
      </c>
    </row>
    <row r="1065" spans="17:18">
      <c r="Q1065" s="297">
        <f>IF($J1067=$A$21,IF($M1067=$A$16,$L1067,0),0)</f>
        <v>0</v>
      </c>
      <c r="R1065" s="297">
        <f>IF($J1067=$A$22,IF($M1067=$A$16,$L1067,0),0)</f>
        <v>0</v>
      </c>
    </row>
    <row r="1066" spans="17:18">
      <c r="Q1066" s="297">
        <f>IF($J1068=$A$21,IF($M1068=$A$16,$L1068,0),0)</f>
        <v>0</v>
      </c>
      <c r="R1066" s="297">
        <f>IF($J1068=$A$22,IF($M1068=$A$16,$L1068,0),0)</f>
        <v>0</v>
      </c>
    </row>
    <row r="1067" spans="17:18">
      <c r="Q1067" s="297">
        <f>IF($J1069=$A$21,IF($M1069=$A$16,$L1069,0),0)</f>
        <v>0</v>
      </c>
      <c r="R1067" s="297">
        <f>IF($J1069=$A$22,IF($M1069=$A$16,$L1069,0),0)</f>
        <v>0</v>
      </c>
    </row>
    <row r="1068" spans="17:18">
      <c r="Q1068" s="297">
        <f>IF($J1070=$A$21,IF($M1070=$A$16,$L1070,0),0)</f>
        <v>0</v>
      </c>
      <c r="R1068" s="297">
        <f>IF($J1070=$A$22,IF($M1070=$A$16,$L1070,0),0)</f>
        <v>0</v>
      </c>
    </row>
    <row r="1069" spans="17:18">
      <c r="Q1069" s="297">
        <f>IF($J1071=$A$21,IF($M1071=$A$16,$L1071,0),0)</f>
        <v>0</v>
      </c>
      <c r="R1069" s="297">
        <f>IF($J1071=$A$22,IF($M1071=$A$16,$L1071,0),0)</f>
        <v>0</v>
      </c>
    </row>
    <row r="1070" spans="17:18">
      <c r="Q1070" s="297">
        <f>IF($J1072=$A$21,IF($M1072=$A$16,$L1072,0),0)</f>
        <v>0</v>
      </c>
      <c r="R1070" s="297">
        <f>IF($J1072=$A$22,IF($M1072=$A$16,$L1072,0),0)</f>
        <v>0</v>
      </c>
    </row>
    <row r="1071" spans="17:18">
      <c r="Q1071" s="297">
        <f>IF($J1073=$A$21,IF($M1073=$A$16,$L1073,0),0)</f>
        <v>0</v>
      </c>
      <c r="R1071" s="297">
        <f>IF($J1073=$A$22,IF($M1073=$A$16,$L1073,0),0)</f>
        <v>0</v>
      </c>
    </row>
    <row r="1072" spans="17:18">
      <c r="Q1072" s="297">
        <f>IF($J1074=$A$21,IF($M1074=$A$16,$L1074,0),0)</f>
        <v>0</v>
      </c>
      <c r="R1072" s="297">
        <f>IF($J1074=$A$22,IF($M1074=$A$16,$L1074,0),0)</f>
        <v>0</v>
      </c>
    </row>
    <row r="1073" spans="17:18">
      <c r="Q1073" s="297">
        <f>IF($J1075=$A$21,IF($M1075=$A$16,$L1075,0),0)</f>
        <v>0</v>
      </c>
      <c r="R1073" s="297">
        <f>IF($J1075=$A$22,IF($M1075=$A$16,$L1075,0),0)</f>
        <v>0</v>
      </c>
    </row>
    <row r="1074" spans="17:18">
      <c r="Q1074" s="297">
        <f>IF($J1076=$A$21,IF($M1076=$A$16,$L1076,0),0)</f>
        <v>0</v>
      </c>
      <c r="R1074" s="297">
        <f>IF($J1076=$A$22,IF($M1076=$A$16,$L1076,0),0)</f>
        <v>0</v>
      </c>
    </row>
    <row r="1075" spans="17:18">
      <c r="Q1075" s="297">
        <f>IF($J1077=$A$21,IF($M1077=$A$16,$L1077,0),0)</f>
        <v>0</v>
      </c>
      <c r="R1075" s="297">
        <f>IF($J1077=$A$22,IF($M1077=$A$16,$L1077,0),0)</f>
        <v>0</v>
      </c>
    </row>
    <row r="1076" spans="17:18">
      <c r="Q1076" s="297">
        <f>IF($J1078=$A$21,IF($M1078=$A$16,$L1078,0),0)</f>
        <v>0</v>
      </c>
      <c r="R1076" s="297">
        <f>IF($J1078=$A$22,IF($M1078=$A$16,$L1078,0),0)</f>
        <v>0</v>
      </c>
    </row>
    <row r="1077" spans="17:18">
      <c r="Q1077" s="297">
        <f>IF($J1079=$A$21,IF($M1079=$A$16,$L1079,0),0)</f>
        <v>0</v>
      </c>
      <c r="R1077" s="297">
        <f>IF($J1079=$A$22,IF($M1079=$A$16,$L1079,0),0)</f>
        <v>0</v>
      </c>
    </row>
    <row r="1078" spans="17:18">
      <c r="Q1078" s="297">
        <f>IF($J1080=$A$21,IF($M1080=$A$16,$L1080,0),0)</f>
        <v>0</v>
      </c>
      <c r="R1078" s="297">
        <f>IF($J1080=$A$22,IF($M1080=$A$16,$L1080,0),0)</f>
        <v>0</v>
      </c>
    </row>
    <row r="1079" spans="17:18">
      <c r="Q1079" s="297">
        <f>IF($J1081=$A$21,IF($M1081=$A$16,$L1081,0),0)</f>
        <v>0</v>
      </c>
      <c r="R1079" s="297">
        <f>IF($J1081=$A$22,IF($M1081=$A$16,$L1081,0),0)</f>
        <v>0</v>
      </c>
    </row>
    <row r="1080" spans="17:18">
      <c r="Q1080" s="297">
        <f>IF($J1082=$A$21,IF($M1082=$A$16,$L1082,0),0)</f>
        <v>0</v>
      </c>
      <c r="R1080" s="297">
        <f>IF($J1082=$A$22,IF($M1082=$A$16,$L1082,0),0)</f>
        <v>0</v>
      </c>
    </row>
    <row r="1081" spans="17:18">
      <c r="Q1081" s="297">
        <f>IF($J1083=$A$21,IF($M1083=$A$16,$L1083,0),0)</f>
        <v>0</v>
      </c>
      <c r="R1081" s="297">
        <f>IF($J1083=$A$22,IF($M1083=$A$16,$L1083,0),0)</f>
        <v>0</v>
      </c>
    </row>
    <row r="1082" spans="17:18">
      <c r="Q1082" s="297">
        <f>IF($J1084=$A$21,IF($M1084=$A$16,$L1084,0),0)</f>
        <v>0</v>
      </c>
      <c r="R1082" s="297">
        <f>IF($J1084=$A$22,IF($M1084=$A$16,$L1084,0),0)</f>
        <v>0</v>
      </c>
    </row>
    <row r="1083" spans="17:18">
      <c r="Q1083" s="297">
        <f>IF($J1085=$A$21,IF($M1085=$A$16,$L1085,0),0)</f>
        <v>0</v>
      </c>
      <c r="R1083" s="297">
        <f>IF($J1085=$A$22,IF($M1085=$A$16,$L1085,0),0)</f>
        <v>0</v>
      </c>
    </row>
    <row r="1084" spans="17:18">
      <c r="Q1084" s="297">
        <f>IF($J1086=$A$21,IF($M1086=$A$16,$L1086,0),0)</f>
        <v>0</v>
      </c>
      <c r="R1084" s="297">
        <f>IF($J1086=$A$22,IF($M1086=$A$16,$L1086,0),0)</f>
        <v>0</v>
      </c>
    </row>
    <row r="1085" spans="17:18">
      <c r="Q1085" s="297">
        <f>IF($J1087=$A$21,IF($M1087=$A$16,$L1087,0),0)</f>
        <v>0</v>
      </c>
      <c r="R1085" s="297">
        <f>IF($J1087=$A$22,IF($M1087=$A$16,$L1087,0),0)</f>
        <v>0</v>
      </c>
    </row>
    <row r="1086" spans="17:18">
      <c r="Q1086" s="297">
        <f>IF($J1088=$A$21,IF($M1088=$A$16,$L1088,0),0)</f>
        <v>0</v>
      </c>
      <c r="R1086" s="297">
        <f>IF($J1088=$A$22,IF($M1088=$A$16,$L1088,0),0)</f>
        <v>0</v>
      </c>
    </row>
    <row r="1087" spans="17:18">
      <c r="Q1087" s="297">
        <f>IF($J1089=$A$21,IF($M1089=$A$16,$L1089,0),0)</f>
        <v>0</v>
      </c>
      <c r="R1087" s="297">
        <f>IF($J1089=$A$22,IF($M1089=$A$16,$L1089,0),0)</f>
        <v>0</v>
      </c>
    </row>
    <row r="1088" spans="17:18">
      <c r="Q1088" s="297">
        <f>IF($J1090=$A$21,IF($M1090=$A$16,$L1090,0),0)</f>
        <v>0</v>
      </c>
      <c r="R1088" s="297">
        <f>IF($J1090=$A$22,IF($M1090=$A$16,$L1090,0),0)</f>
        <v>0</v>
      </c>
    </row>
    <row r="1089" spans="17:18">
      <c r="Q1089" s="297">
        <f>IF($J1091=$A$21,IF($M1091=$A$16,$L1091,0),0)</f>
        <v>0</v>
      </c>
      <c r="R1089" s="297">
        <f>IF($J1091=$A$22,IF($M1091=$A$16,$L1091,0),0)</f>
        <v>0</v>
      </c>
    </row>
    <row r="1090" spans="17:18">
      <c r="Q1090" s="297">
        <f>IF($J1092=$A$21,IF($M1092=$A$16,$L1092,0),0)</f>
        <v>0</v>
      </c>
      <c r="R1090" s="297">
        <f>IF($J1092=$A$22,IF($M1092=$A$16,$L1092,0),0)</f>
        <v>0</v>
      </c>
    </row>
    <row r="1091" spans="17:18">
      <c r="Q1091" s="297">
        <f>IF($J1093=$A$21,IF($M1093=$A$16,$L1093,0),0)</f>
        <v>0</v>
      </c>
      <c r="R1091" s="297">
        <f>IF($J1093=$A$22,IF($M1093=$A$16,$L1093,0),0)</f>
        <v>0</v>
      </c>
    </row>
    <row r="1092" spans="17:18">
      <c r="Q1092" s="297">
        <f>IF($J1094=$A$21,IF($M1094=$A$16,$L1094,0),0)</f>
        <v>0</v>
      </c>
      <c r="R1092" s="297">
        <f>IF($J1094=$A$22,IF($M1094=$A$16,$L1094,0),0)</f>
        <v>0</v>
      </c>
    </row>
    <row r="1093" spans="17:18">
      <c r="Q1093" s="297">
        <f>IF($J1095=$A$21,IF($M1095=$A$16,$L1095,0),0)</f>
        <v>0</v>
      </c>
      <c r="R1093" s="297">
        <f>IF($J1095=$A$22,IF($M1095=$A$16,$L1095,0),0)</f>
        <v>0</v>
      </c>
    </row>
    <row r="1094" spans="17:18">
      <c r="Q1094" s="297">
        <f>IF($J1096=$A$21,IF($M1096=$A$16,$L1096,0),0)</f>
        <v>0</v>
      </c>
      <c r="R1094" s="297">
        <f>IF($J1096=$A$22,IF($M1096=$A$16,$L1096,0),0)</f>
        <v>0</v>
      </c>
    </row>
    <row r="1095" spans="17:18">
      <c r="Q1095" s="297">
        <f>IF($J1097=$A$21,IF($M1097=$A$16,$L1097,0),0)</f>
        <v>0</v>
      </c>
      <c r="R1095" s="297">
        <f>IF($J1097=$A$22,IF($M1097=$A$16,$L1097,0),0)</f>
        <v>0</v>
      </c>
    </row>
    <row r="1096" spans="17:18">
      <c r="Q1096" s="297">
        <f>IF($J1098=$A$21,IF($M1098=$A$16,$L1098,0),0)</f>
        <v>0</v>
      </c>
      <c r="R1096" s="297">
        <f>IF($J1098=$A$22,IF($M1098=$A$16,$L1098,0),0)</f>
        <v>0</v>
      </c>
    </row>
    <row r="1097" spans="17:18">
      <c r="Q1097" s="297">
        <f>IF($J1099=$A$21,IF($M1099=$A$16,$L1099,0),0)</f>
        <v>0</v>
      </c>
      <c r="R1097" s="297">
        <f>IF($J1099=$A$22,IF($M1099=$A$16,$L1099,0),0)</f>
        <v>0</v>
      </c>
    </row>
    <row r="1098" spans="17:18">
      <c r="Q1098" s="297">
        <f>IF($J1100=$A$21,IF($M1100=$A$16,$L1100,0),0)</f>
        <v>0</v>
      </c>
      <c r="R1098" s="297">
        <f>IF($J1100=$A$22,IF($M1100=$A$16,$L1100,0),0)</f>
        <v>0</v>
      </c>
    </row>
    <row r="1099" spans="17:18">
      <c r="Q1099" s="297">
        <f>IF($J1101=$A$21,IF($M1101=$A$16,$L1101,0),0)</f>
        <v>0</v>
      </c>
      <c r="R1099" s="297">
        <f>IF($J1101=$A$22,IF($M1101=$A$16,$L1101,0),0)</f>
        <v>0</v>
      </c>
    </row>
    <row r="1100" spans="17:18">
      <c r="Q1100" s="297">
        <f>IF($J1102=$A$21,IF($M1102=$A$16,$L1102,0),0)</f>
        <v>0</v>
      </c>
      <c r="R1100" s="297">
        <f>IF($J1102=$A$22,IF($M1102=$A$16,$L1102,0),0)</f>
        <v>0</v>
      </c>
    </row>
    <row r="1101" spans="17:18">
      <c r="Q1101" s="297">
        <f>IF($J1103=$A$21,IF($M1103=$A$16,$L1103,0),0)</f>
        <v>0</v>
      </c>
      <c r="R1101" s="297">
        <f>IF($J1103=$A$22,IF($M1103=$A$16,$L1103,0),0)</f>
        <v>0</v>
      </c>
    </row>
    <row r="1102" spans="17:18">
      <c r="Q1102" s="297">
        <f>IF($J1104=$A$21,IF($M1104=$A$16,$L1104,0),0)</f>
        <v>0</v>
      </c>
      <c r="R1102" s="297">
        <f>IF($J1104=$A$22,IF($M1104=$A$16,$L1104,0),0)</f>
        <v>0</v>
      </c>
    </row>
    <row r="1103" spans="17:18">
      <c r="Q1103" s="297">
        <f>IF($J1105=$A$21,IF($M1105=$A$16,$L1105,0),0)</f>
        <v>0</v>
      </c>
      <c r="R1103" s="297">
        <f>IF($J1105=$A$22,IF($M1105=$A$16,$L1105,0),0)</f>
        <v>0</v>
      </c>
    </row>
    <row r="1104" spans="17:18">
      <c r="Q1104" s="297">
        <f>IF($J1106=$A$21,IF($M1106=$A$16,$L1106,0),0)</f>
        <v>0</v>
      </c>
      <c r="R1104" s="297">
        <f>IF($J1106=$A$22,IF($M1106=$A$16,$L1106,0),0)</f>
        <v>0</v>
      </c>
    </row>
    <row r="1105" spans="17:18">
      <c r="Q1105" s="297">
        <f>IF($J1107=$A$21,IF($M1107=$A$16,$L1107,0),0)</f>
        <v>0</v>
      </c>
      <c r="R1105" s="297">
        <f>IF($J1107=$A$22,IF($M1107=$A$16,$L1107,0),0)</f>
        <v>0</v>
      </c>
    </row>
    <row r="1106" spans="17:18">
      <c r="Q1106" s="297">
        <f>IF($J1108=$A$21,IF($M1108=$A$16,$L1108,0),0)</f>
        <v>0</v>
      </c>
      <c r="R1106" s="297">
        <f>IF($J1108=$A$22,IF($M1108=$A$16,$L1108,0),0)</f>
        <v>0</v>
      </c>
    </row>
    <row r="1107" spans="17:18">
      <c r="Q1107" s="297">
        <f>IF($J1109=$A$21,IF($M1109=$A$16,$L1109,0),0)</f>
        <v>0</v>
      </c>
      <c r="R1107" s="297">
        <f>IF($J1109=$A$22,IF($M1109=$A$16,$L1109,0),0)</f>
        <v>0</v>
      </c>
    </row>
    <row r="1108" spans="17:18">
      <c r="Q1108" s="297">
        <f>IF($J1110=$A$21,IF($M1110=$A$16,$L1110,0),0)</f>
        <v>0</v>
      </c>
      <c r="R1108" s="297">
        <f>IF($J1110=$A$22,IF($M1110=$A$16,$L1110,0),0)</f>
        <v>0</v>
      </c>
    </row>
    <row r="1109" spans="17:18">
      <c r="Q1109" s="297">
        <f>IF($J1111=$A$21,IF($M1111=$A$16,$L1111,0),0)</f>
        <v>0</v>
      </c>
      <c r="R1109" s="297">
        <f>IF($J1111=$A$22,IF($M1111=$A$16,$L1111,0),0)</f>
        <v>0</v>
      </c>
    </row>
    <row r="1110" spans="17:18">
      <c r="Q1110" s="297">
        <f>IF($J1112=$A$21,IF($M1112=$A$16,$L1112,0),0)</f>
        <v>0</v>
      </c>
      <c r="R1110" s="297">
        <f>IF($J1112=$A$22,IF($M1112=$A$16,$L1112,0),0)</f>
        <v>0</v>
      </c>
    </row>
    <row r="1111" spans="17:18">
      <c r="Q1111" s="297">
        <f>IF($J1113=$A$21,IF($M1113=$A$16,$L1113,0),0)</f>
        <v>0</v>
      </c>
      <c r="R1111" s="297">
        <f>IF($J1113=$A$22,IF($M1113=$A$16,$L1113,0),0)</f>
        <v>0</v>
      </c>
    </row>
    <row r="1112" spans="17:18">
      <c r="Q1112" s="297">
        <f>IF($J1114=$A$21,IF($M1114=$A$16,$L1114,0),0)</f>
        <v>0</v>
      </c>
      <c r="R1112" s="297">
        <f>IF($J1114=$A$22,IF($M1114=$A$16,$L1114,0),0)</f>
        <v>0</v>
      </c>
    </row>
    <row r="1113" spans="17:18">
      <c r="Q1113" s="297">
        <f>IF($J1115=$A$21,IF($M1115=$A$16,$L1115,0),0)</f>
        <v>0</v>
      </c>
      <c r="R1113" s="297">
        <f>IF($J1115=$A$22,IF($M1115=$A$16,$L1115,0),0)</f>
        <v>0</v>
      </c>
    </row>
    <row r="1114" spans="17:18">
      <c r="Q1114" s="297">
        <f>IF($J1116=$A$21,IF($M1116=$A$16,$L1116,0),0)</f>
        <v>0</v>
      </c>
      <c r="R1114" s="297">
        <f>IF($J1116=$A$22,IF($M1116=$A$16,$L1116,0),0)</f>
        <v>0</v>
      </c>
    </row>
    <row r="1115" spans="17:18">
      <c r="Q1115" s="297">
        <f>IF($J1117=$A$21,IF($M1117=$A$16,$L1117,0),0)</f>
        <v>0</v>
      </c>
      <c r="R1115" s="297">
        <f>IF($J1117=$A$22,IF($M1117=$A$16,$L1117,0),0)</f>
        <v>0</v>
      </c>
    </row>
    <row r="1116" spans="17:18">
      <c r="Q1116" s="297">
        <f>IF($J1118=$A$21,IF($M1118=$A$16,$L1118,0),0)</f>
        <v>0</v>
      </c>
      <c r="R1116" s="297">
        <f>IF($J1118=$A$22,IF($M1118=$A$16,$L1118,0),0)</f>
        <v>0</v>
      </c>
    </row>
    <row r="1117" spans="17:18">
      <c r="Q1117" s="297">
        <f>IF($J1119=$A$21,IF($M1119=$A$16,$L1119,0),0)</f>
        <v>0</v>
      </c>
      <c r="R1117" s="297">
        <f>IF($J1119=$A$22,IF($M1119=$A$16,$L1119,0),0)</f>
        <v>0</v>
      </c>
    </row>
    <row r="1118" spans="17:18">
      <c r="Q1118" s="297">
        <f>IF($J1120=$A$21,IF($M1120=$A$16,$L1120,0),0)</f>
        <v>0</v>
      </c>
      <c r="R1118" s="297">
        <f>IF($J1120=$A$22,IF($M1120=$A$16,$L1120,0),0)</f>
        <v>0</v>
      </c>
    </row>
    <row r="1119" spans="17:18">
      <c r="Q1119" s="297">
        <f>IF($J1121=$A$21,IF($M1121=$A$16,$L1121,0),0)</f>
        <v>0</v>
      </c>
      <c r="R1119" s="297">
        <f>IF($J1121=$A$22,IF($M1121=$A$16,$L1121,0),0)</f>
        <v>0</v>
      </c>
    </row>
    <row r="1120" spans="17:18">
      <c r="Q1120" s="297">
        <f>IF($J1122=$A$21,IF($M1122=$A$16,$L1122,0),0)</f>
        <v>0</v>
      </c>
      <c r="R1120" s="297">
        <f>IF($J1122=$A$22,IF($M1122=$A$16,$L1122,0),0)</f>
        <v>0</v>
      </c>
    </row>
    <row r="1121" spans="17:18">
      <c r="Q1121" s="297">
        <f>IF($J1123=$A$21,IF($M1123=$A$16,$L1123,0),0)</f>
        <v>0</v>
      </c>
      <c r="R1121" s="297">
        <f>IF($J1123=$A$22,IF($M1123=$A$16,$L1123,0),0)</f>
        <v>0</v>
      </c>
    </row>
    <row r="1122" spans="17:18">
      <c r="Q1122" s="297">
        <f>IF($J1124=$A$21,IF($M1124=$A$16,$L1124,0),0)</f>
        <v>0</v>
      </c>
      <c r="R1122" s="297">
        <f>IF($J1124=$A$22,IF($M1124=$A$16,$L1124,0),0)</f>
        <v>0</v>
      </c>
    </row>
    <row r="1123" spans="17:18">
      <c r="Q1123" s="297">
        <f>IF($J1125=$A$21,IF($M1125=$A$16,$L1125,0),0)</f>
        <v>0</v>
      </c>
      <c r="R1123" s="297">
        <f>IF($J1125=$A$22,IF($M1125=$A$16,$L1125,0),0)</f>
        <v>0</v>
      </c>
    </row>
    <row r="1124" spans="17:18">
      <c r="Q1124" s="297">
        <f>IF($J1126=$A$21,IF($M1126=$A$16,$L1126,0),0)</f>
        <v>0</v>
      </c>
      <c r="R1124" s="297">
        <f>IF($J1126=$A$22,IF($M1126=$A$16,$L1126,0),0)</f>
        <v>0</v>
      </c>
    </row>
    <row r="1125" spans="17:18">
      <c r="Q1125" s="297">
        <f>IF($J1127=$A$21,IF($M1127=$A$16,$L1127,0),0)</f>
        <v>0</v>
      </c>
      <c r="R1125" s="297">
        <f>IF($J1127=$A$22,IF($M1127=$A$16,$L1127,0),0)</f>
        <v>0</v>
      </c>
    </row>
    <row r="1126" spans="17:18">
      <c r="Q1126" s="297">
        <f>IF($J1128=$A$21,IF($M1128=$A$16,$L1128,0),0)</f>
        <v>0</v>
      </c>
      <c r="R1126" s="297">
        <f>IF($J1128=$A$22,IF($M1128=$A$16,$L1128,0),0)</f>
        <v>0</v>
      </c>
    </row>
    <row r="1127" spans="17:18">
      <c r="Q1127" s="297">
        <f>IF($J1129=$A$21,IF($M1129=$A$16,$L1129,0),0)</f>
        <v>0</v>
      </c>
      <c r="R1127" s="297">
        <f>IF($J1129=$A$22,IF($M1129=$A$16,$L1129,0),0)</f>
        <v>0</v>
      </c>
    </row>
    <row r="1128" spans="17:18">
      <c r="Q1128" s="297">
        <f>IF($J1130=$A$21,IF($M1130=$A$16,$L1130,0),0)</f>
        <v>0</v>
      </c>
      <c r="R1128" s="297">
        <f>IF($J1130=$A$22,IF($M1130=$A$16,$L1130,0),0)</f>
        <v>0</v>
      </c>
    </row>
    <row r="1129" spans="17:18">
      <c r="Q1129" s="297">
        <f>IF($J1131=$A$21,IF($M1131=$A$16,$L1131,0),0)</f>
        <v>0</v>
      </c>
      <c r="R1129" s="297">
        <f>IF($J1131=$A$22,IF($M1131=$A$16,$L1131,0),0)</f>
        <v>0</v>
      </c>
    </row>
    <row r="1130" spans="17:18">
      <c r="Q1130" s="297">
        <f>IF($J1132=$A$21,IF($M1132=$A$16,$L1132,0),0)</f>
        <v>0</v>
      </c>
      <c r="R1130" s="297">
        <f>IF($J1132=$A$22,IF($M1132=$A$16,$L1132,0),0)</f>
        <v>0</v>
      </c>
    </row>
    <row r="1131" spans="17:18">
      <c r="Q1131" s="297">
        <f>IF($J1133=$A$21,IF($M1133=$A$16,$L1133,0),0)</f>
        <v>0</v>
      </c>
      <c r="R1131" s="297">
        <f>IF($J1133=$A$22,IF($M1133=$A$16,$L1133,0),0)</f>
        <v>0</v>
      </c>
    </row>
    <row r="1132" spans="17:18">
      <c r="Q1132" s="297">
        <f>IF($J1134=$A$21,IF($M1134=$A$16,$L1134,0),0)</f>
        <v>0</v>
      </c>
      <c r="R1132" s="297">
        <f>IF($J1134=$A$22,IF($M1134=$A$16,$L1134,0),0)</f>
        <v>0</v>
      </c>
    </row>
    <row r="1133" spans="17:18">
      <c r="Q1133" s="297">
        <f>IF($J1135=$A$21,IF($M1135=$A$16,$L1135,0),0)</f>
        <v>0</v>
      </c>
      <c r="R1133" s="297">
        <f>IF($J1135=$A$22,IF($M1135=$A$16,$L1135,0),0)</f>
        <v>0</v>
      </c>
    </row>
    <row r="1134" spans="17:18">
      <c r="Q1134" s="297">
        <f>IF($J1136=$A$21,IF($M1136=$A$16,$L1136,0),0)</f>
        <v>0</v>
      </c>
      <c r="R1134" s="297">
        <f>IF($J1136=$A$22,IF($M1136=$A$16,$L1136,0),0)</f>
        <v>0</v>
      </c>
    </row>
    <row r="1135" spans="17:18">
      <c r="Q1135" s="297">
        <f>IF($J1137=$A$21,IF($M1137=$A$16,$L1137,0),0)</f>
        <v>0</v>
      </c>
      <c r="R1135" s="297">
        <f>IF($J1137=$A$22,IF($M1137=$A$16,$L1137,0),0)</f>
        <v>0</v>
      </c>
    </row>
    <row r="1136" spans="17:18">
      <c r="Q1136" s="297">
        <f>IF($J1138=$A$21,IF($M1138=$A$16,$L1138,0),0)</f>
        <v>0</v>
      </c>
      <c r="R1136" s="297">
        <f>IF($J1138=$A$22,IF($M1138=$A$16,$L1138,0),0)</f>
        <v>0</v>
      </c>
    </row>
    <row r="1137" spans="17:18">
      <c r="Q1137" s="297">
        <f>IF($J1139=$A$21,IF($M1139=$A$16,$L1139,0),0)</f>
        <v>0</v>
      </c>
      <c r="R1137" s="297">
        <f>IF($J1139=$A$22,IF($M1139=$A$16,$L1139,0),0)</f>
        <v>0</v>
      </c>
    </row>
    <row r="1138" spans="17:18">
      <c r="Q1138" s="297">
        <f>IF($J1140=$A$21,IF($M1140=$A$16,$L1140,0),0)</f>
        <v>0</v>
      </c>
      <c r="R1138" s="297">
        <f>IF($J1140=$A$22,IF($M1140=$A$16,$L1140,0),0)</f>
        <v>0</v>
      </c>
    </row>
    <row r="1139" spans="17:18">
      <c r="Q1139" s="297">
        <f>IF($J1141=$A$21,IF($M1141=$A$16,$L1141,0),0)</f>
        <v>0</v>
      </c>
      <c r="R1139" s="297">
        <f>IF($J1141=$A$22,IF($M1141=$A$16,$L1141,0),0)</f>
        <v>0</v>
      </c>
    </row>
    <row r="1140" spans="17:18">
      <c r="Q1140" s="297">
        <f>IF($J1142=$A$21,IF($M1142=$A$16,$L1142,0),0)</f>
        <v>0</v>
      </c>
      <c r="R1140" s="297">
        <f>IF($J1142=$A$22,IF($M1142=$A$16,$L1142,0),0)</f>
        <v>0</v>
      </c>
    </row>
    <row r="1141" spans="17:18">
      <c r="Q1141" s="297">
        <f>IF($J1143=$A$21,IF($M1143=$A$16,$L1143,0),0)</f>
        <v>0</v>
      </c>
      <c r="R1141" s="297">
        <f>IF($J1143=$A$22,IF($M1143=$A$16,$L1143,0),0)</f>
        <v>0</v>
      </c>
    </row>
    <row r="1142" spans="17:18">
      <c r="Q1142" s="297">
        <f>IF($J1144=$A$21,IF($M1144=$A$16,$L1144,0),0)</f>
        <v>0</v>
      </c>
      <c r="R1142" s="297">
        <f>IF($J1144=$A$22,IF($M1144=$A$16,$L1144,0),0)</f>
        <v>0</v>
      </c>
    </row>
    <row r="1143" spans="17:18">
      <c r="Q1143" s="297">
        <f>IF($J1145=$A$21,IF($M1145=$A$16,$L1145,0),0)</f>
        <v>0</v>
      </c>
      <c r="R1143" s="297">
        <f>IF($J1145=$A$22,IF($M1145=$A$16,$L1145,0),0)</f>
        <v>0</v>
      </c>
    </row>
    <row r="1144" spans="17:18">
      <c r="Q1144" s="297">
        <f>IF($J1146=$A$21,IF($M1146=$A$16,$L1146,0),0)</f>
        <v>0</v>
      </c>
      <c r="R1144" s="297">
        <f>IF($J1146=$A$22,IF($M1146=$A$16,$L1146,0),0)</f>
        <v>0</v>
      </c>
    </row>
    <row r="1145" spans="17:18">
      <c r="Q1145" s="297">
        <f>IF($J1147=$A$21,IF($M1147=$A$16,$L1147,0),0)</f>
        <v>0</v>
      </c>
      <c r="R1145" s="297">
        <f>IF($J1147=$A$22,IF($M1147=$A$16,$L1147,0),0)</f>
        <v>0</v>
      </c>
    </row>
    <row r="1146" spans="17:18">
      <c r="Q1146" s="297">
        <f>IF($J1148=$A$21,IF($M1148=$A$16,$L1148,0),0)</f>
        <v>0</v>
      </c>
      <c r="R1146" s="297">
        <f>IF($J1148=$A$22,IF($M1148=$A$16,$L1148,0),0)</f>
        <v>0</v>
      </c>
    </row>
    <row r="1147" spans="17:18">
      <c r="Q1147" s="297">
        <f>IF($J1149=$A$21,IF($M1149=$A$16,$L1149,0),0)</f>
        <v>0</v>
      </c>
      <c r="R1147" s="297">
        <f>IF($J1149=$A$22,IF($M1149=$A$16,$L1149,0),0)</f>
        <v>0</v>
      </c>
    </row>
    <row r="1148" spans="17:18">
      <c r="Q1148" s="297">
        <f>IF($J1150=$A$21,IF($M1150=$A$16,$L1150,0),0)</f>
        <v>0</v>
      </c>
      <c r="R1148" s="297">
        <f>IF($J1150=$A$22,IF($M1150=$A$16,$L1150,0),0)</f>
        <v>0</v>
      </c>
    </row>
    <row r="1149" spans="17:18">
      <c r="Q1149" s="297">
        <f>IF($J1151=$A$21,IF($M1151=$A$16,$L1151,0),0)</f>
        <v>0</v>
      </c>
      <c r="R1149" s="297">
        <f>IF($J1151=$A$22,IF($M1151=$A$16,$L1151,0),0)</f>
        <v>0</v>
      </c>
    </row>
    <row r="1150" spans="17:18">
      <c r="Q1150" s="297">
        <f>IF($J1152=$A$21,IF($M1152=$A$16,$L1152,0),0)</f>
        <v>0</v>
      </c>
      <c r="R1150" s="297">
        <f>IF($J1152=$A$22,IF($M1152=$A$16,$L1152,0),0)</f>
        <v>0</v>
      </c>
    </row>
    <row r="1151" spans="17:18">
      <c r="Q1151" s="297">
        <f>IF($J1153=$A$21,IF($M1153=$A$16,$L1153,0),0)</f>
        <v>0</v>
      </c>
      <c r="R1151" s="297">
        <f>IF($J1153=$A$22,IF($M1153=$A$16,$L1153,0),0)</f>
        <v>0</v>
      </c>
    </row>
    <row r="1152" spans="17:18">
      <c r="Q1152" s="297">
        <f>IF($J1154=$A$21,IF($M1154=$A$16,$L1154,0),0)</f>
        <v>0</v>
      </c>
      <c r="R1152" s="297">
        <f>IF($J1154=$A$22,IF($M1154=$A$16,$L1154,0),0)</f>
        <v>0</v>
      </c>
    </row>
    <row r="1153" spans="17:18">
      <c r="Q1153" s="297">
        <f>IF($J1155=$A$21,IF($M1155=$A$16,$L1155,0),0)</f>
        <v>0</v>
      </c>
      <c r="R1153" s="297">
        <f>IF($J1155=$A$22,IF($M1155=$A$16,$L1155,0),0)</f>
        <v>0</v>
      </c>
    </row>
    <row r="1154" spans="17:18">
      <c r="Q1154" s="297">
        <f>IF($J1156=$A$21,IF($M1156=$A$16,$L1156,0),0)</f>
        <v>0</v>
      </c>
      <c r="R1154" s="297">
        <f>IF($J1156=$A$22,IF($M1156=$A$16,$L1156,0),0)</f>
        <v>0</v>
      </c>
    </row>
    <row r="1155" spans="17:18">
      <c r="Q1155" s="297">
        <f>IF($J1157=$A$21,IF($M1157=$A$16,$L1157,0),0)</f>
        <v>0</v>
      </c>
      <c r="R1155" s="297">
        <f>IF($J1157=$A$22,IF($M1157=$A$16,$L1157,0),0)</f>
        <v>0</v>
      </c>
    </row>
    <row r="1156" spans="17:18">
      <c r="Q1156" s="297">
        <f>IF($J1158=$A$21,IF($M1158=$A$16,$L1158,0),0)</f>
        <v>0</v>
      </c>
      <c r="R1156" s="297">
        <f>IF($J1158=$A$22,IF($M1158=$A$16,$L1158,0),0)</f>
        <v>0</v>
      </c>
    </row>
    <row r="1157" spans="17:18">
      <c r="Q1157" s="297">
        <f>IF($J1159=$A$21,IF($M1159=$A$16,$L1159,0),0)</f>
        <v>0</v>
      </c>
      <c r="R1157" s="297">
        <f>IF($J1159=$A$22,IF($M1159=$A$16,$L1159,0),0)</f>
        <v>0</v>
      </c>
    </row>
    <row r="1158" spans="17:18">
      <c r="Q1158" s="297">
        <f>IF($J1160=$A$21,IF($M1160=$A$16,$L1160,0),0)</f>
        <v>0</v>
      </c>
      <c r="R1158" s="297">
        <f>IF($J1160=$A$22,IF($M1160=$A$16,$L1160,0),0)</f>
        <v>0</v>
      </c>
    </row>
    <row r="1159" spans="17:18">
      <c r="Q1159" s="297">
        <f>IF($J1161=$A$21,IF($M1161=$A$16,$L1161,0),0)</f>
        <v>0</v>
      </c>
      <c r="R1159" s="297">
        <f>IF($J1161=$A$22,IF($M1161=$A$16,$L1161,0),0)</f>
        <v>0</v>
      </c>
    </row>
    <row r="1160" spans="17:18">
      <c r="Q1160" s="297">
        <f>IF($J1162=$A$21,IF($M1162=$A$16,$L1162,0),0)</f>
        <v>0</v>
      </c>
      <c r="R1160" s="297">
        <f>IF($J1162=$A$22,IF($M1162=$A$16,$L1162,0),0)</f>
        <v>0</v>
      </c>
    </row>
    <row r="1161" spans="17:18">
      <c r="Q1161" s="297">
        <f>IF($J1163=$A$21,IF($M1163=$A$16,$L1163,0),0)</f>
        <v>0</v>
      </c>
      <c r="R1161" s="297">
        <f>IF($J1163=$A$22,IF($M1163=$A$16,$L1163,0),0)</f>
        <v>0</v>
      </c>
    </row>
    <row r="1162" spans="17:18">
      <c r="Q1162" s="297">
        <f>IF($J1164=$A$21,IF($M1164=$A$16,$L1164,0),0)</f>
        <v>0</v>
      </c>
      <c r="R1162" s="297">
        <f>IF($J1164=$A$22,IF($M1164=$A$16,$L1164,0),0)</f>
        <v>0</v>
      </c>
    </row>
    <row r="1163" spans="17:18">
      <c r="Q1163" s="297">
        <f>IF($J1165=$A$21,IF($M1165=$A$16,$L1165,0),0)</f>
        <v>0</v>
      </c>
      <c r="R1163" s="297">
        <f>IF($J1165=$A$22,IF($M1165=$A$16,$L1165,0),0)</f>
        <v>0</v>
      </c>
    </row>
    <row r="1164" spans="17:18">
      <c r="Q1164" s="297">
        <f>IF($J1166=$A$21,IF($M1166=$A$16,$L1166,0),0)</f>
        <v>0</v>
      </c>
      <c r="R1164" s="297">
        <f>IF($J1166=$A$22,IF($M1166=$A$16,$L1166,0),0)</f>
        <v>0</v>
      </c>
    </row>
    <row r="1165" spans="17:18">
      <c r="Q1165" s="297">
        <f>IF($J1167=$A$21,IF($M1167=$A$16,$L1167,0),0)</f>
        <v>0</v>
      </c>
      <c r="R1165" s="297">
        <f>IF($J1167=$A$22,IF($M1167=$A$16,$L1167,0),0)</f>
        <v>0</v>
      </c>
    </row>
    <row r="1166" spans="17:18">
      <c r="Q1166" s="297">
        <f>IF($J1168=$A$21,IF($M1168=$A$16,$L1168,0),0)</f>
        <v>0</v>
      </c>
      <c r="R1166" s="297">
        <f>IF($J1168=$A$22,IF($M1168=$A$16,$L1168,0),0)</f>
        <v>0</v>
      </c>
    </row>
    <row r="1167" spans="17:18">
      <c r="Q1167" s="297">
        <f>IF($J1169=$A$21,IF($M1169=$A$16,$L1169,0),0)</f>
        <v>0</v>
      </c>
      <c r="R1167" s="297">
        <f>IF($J1169=$A$22,IF($M1169=$A$16,$L1169,0),0)</f>
        <v>0</v>
      </c>
    </row>
    <row r="1168" spans="17:18">
      <c r="Q1168" s="297">
        <f>IF($J1170=$A$21,IF($M1170=$A$16,$L1170,0),0)</f>
        <v>0</v>
      </c>
      <c r="R1168" s="297">
        <f>IF($J1170=$A$22,IF($M1170=$A$16,$L1170,0),0)</f>
        <v>0</v>
      </c>
    </row>
    <row r="1169" spans="17:18">
      <c r="Q1169" s="297">
        <f>IF($J1171=$A$21,IF($M1171=$A$16,$L1171,0),0)</f>
        <v>0</v>
      </c>
      <c r="R1169" s="297">
        <f>IF($J1171=$A$22,IF($M1171=$A$16,$L1171,0),0)</f>
        <v>0</v>
      </c>
    </row>
    <row r="1170" spans="17:18">
      <c r="Q1170" s="297">
        <f>IF($J1172=$A$21,IF($M1172=$A$16,$L1172,0),0)</f>
        <v>0</v>
      </c>
      <c r="R1170" s="297">
        <f>IF($J1172=$A$22,IF($M1172=$A$16,$L1172,0),0)</f>
        <v>0</v>
      </c>
    </row>
    <row r="1171" spans="17:18">
      <c r="Q1171" s="297">
        <f>IF($J1173=$A$21,IF($M1173=$A$16,$L1173,0),0)</f>
        <v>0</v>
      </c>
      <c r="R1171" s="297">
        <f>IF($J1173=$A$22,IF($M1173=$A$16,$L1173,0),0)</f>
        <v>0</v>
      </c>
    </row>
    <row r="1172" spans="17:18">
      <c r="Q1172" s="297">
        <f>IF($J1174=$A$21,IF($M1174=$A$16,$L1174,0),0)</f>
        <v>0</v>
      </c>
      <c r="R1172" s="297">
        <f>IF($J1174=$A$22,IF($M1174=$A$16,$L1174,0),0)</f>
        <v>0</v>
      </c>
    </row>
    <row r="1173" spans="17:18">
      <c r="Q1173" s="297">
        <f>IF($J1175=$A$21,IF($M1175=$A$16,$L1175,0),0)</f>
        <v>0</v>
      </c>
      <c r="R1173" s="297">
        <f>IF($J1175=$A$22,IF($M1175=$A$16,$L1175,0),0)</f>
        <v>0</v>
      </c>
    </row>
    <row r="1174" spans="17:18">
      <c r="Q1174" s="297">
        <f>IF($J1176=$A$21,IF($M1176=$A$16,$L1176,0),0)</f>
        <v>0</v>
      </c>
      <c r="R1174" s="297">
        <f>IF($J1176=$A$22,IF($M1176=$A$16,$L1176,0),0)</f>
        <v>0</v>
      </c>
    </row>
    <row r="1175" spans="17:18">
      <c r="Q1175" s="297">
        <f>IF($J1177=$A$21,IF($M1177=$A$16,$L1177,0),0)</f>
        <v>0</v>
      </c>
      <c r="R1175" s="297">
        <f>IF($J1177=$A$22,IF($M1177=$A$16,$L1177,0),0)</f>
        <v>0</v>
      </c>
    </row>
    <row r="1176" spans="17:18">
      <c r="Q1176" s="297">
        <f>IF($J1178=$A$21,IF($M1178=$A$16,$L1178,0),0)</f>
        <v>0</v>
      </c>
      <c r="R1176" s="297">
        <f>IF($J1178=$A$22,IF($M1178=$A$16,$L1178,0),0)</f>
        <v>0</v>
      </c>
    </row>
    <row r="1177" spans="17:18">
      <c r="Q1177" s="297">
        <f>IF($J1179=$A$21,IF($M1179=$A$16,$L1179,0),0)</f>
        <v>0</v>
      </c>
      <c r="R1177" s="297">
        <f>IF($J1179=$A$22,IF($M1179=$A$16,$L1179,0),0)</f>
        <v>0</v>
      </c>
    </row>
    <row r="1178" spans="17:18">
      <c r="Q1178" s="297">
        <f>IF($J1180=$A$21,IF($M1180=$A$16,$L1180,0),0)</f>
        <v>0</v>
      </c>
      <c r="R1178" s="297">
        <f>IF($J1180=$A$22,IF($M1180=$A$16,$L1180,0),0)</f>
        <v>0</v>
      </c>
    </row>
    <row r="1179" spans="17:18">
      <c r="Q1179" s="297">
        <f>IF($J1181=$A$21,IF($M1181=$A$16,$L1181,0),0)</f>
        <v>0</v>
      </c>
      <c r="R1179" s="297">
        <f>IF($J1181=$A$22,IF($M1181=$A$16,$L1181,0),0)</f>
        <v>0</v>
      </c>
    </row>
    <row r="1180" spans="17:18">
      <c r="Q1180" s="297">
        <f>IF($J1182=$A$21,IF($M1182=$A$16,$L1182,0),0)</f>
        <v>0</v>
      </c>
      <c r="R1180" s="297">
        <f>IF($J1182=$A$22,IF($M1182=$A$16,$L1182,0),0)</f>
        <v>0</v>
      </c>
    </row>
    <row r="1181" spans="17:18">
      <c r="Q1181" s="297">
        <f>IF($J1183=$A$21,IF($M1183=$A$16,$L1183,0),0)</f>
        <v>0</v>
      </c>
      <c r="R1181" s="297">
        <f>IF($J1183=$A$22,IF($M1183=$A$16,$L1183,0),0)</f>
        <v>0</v>
      </c>
    </row>
    <row r="1182" spans="17:18">
      <c r="Q1182" s="297">
        <f>IF($J1184=$A$21,IF($M1184=$A$16,$L1184,0),0)</f>
        <v>0</v>
      </c>
      <c r="R1182" s="297">
        <f>IF($J1184=$A$22,IF($M1184=$A$16,$L1184,0),0)</f>
        <v>0</v>
      </c>
    </row>
    <row r="1183" spans="17:18">
      <c r="Q1183" s="297">
        <f>IF($J1185=$A$21,IF($M1185=$A$16,$L1185,0),0)</f>
        <v>0</v>
      </c>
      <c r="R1183" s="297">
        <f>IF($J1185=$A$22,IF($M1185=$A$16,$L1185,0),0)</f>
        <v>0</v>
      </c>
    </row>
    <row r="1184" spans="17:18">
      <c r="Q1184" s="297">
        <f>IF($J1186=$A$21,IF($M1186=$A$16,$L1186,0),0)</f>
        <v>0</v>
      </c>
      <c r="R1184" s="297">
        <f>IF($J1186=$A$22,IF($M1186=$A$16,$L1186,0),0)</f>
        <v>0</v>
      </c>
    </row>
    <row r="1185" spans="17:18">
      <c r="Q1185" s="297">
        <f>IF($J1187=$A$21,IF($M1187=$A$16,$L1187,0),0)</f>
        <v>0</v>
      </c>
      <c r="R1185" s="297">
        <f>IF($J1187=$A$22,IF($M1187=$A$16,$L1187,0),0)</f>
        <v>0</v>
      </c>
    </row>
    <row r="1186" spans="17:18">
      <c r="Q1186" s="297">
        <f>IF($J1188=$A$21,IF($M1188=$A$16,$L1188,0),0)</f>
        <v>0</v>
      </c>
      <c r="R1186" s="297">
        <f>IF($J1188=$A$22,IF($M1188=$A$16,$L1188,0),0)</f>
        <v>0</v>
      </c>
    </row>
    <row r="1187" spans="17:18">
      <c r="Q1187" s="297">
        <f>IF($J1189=$A$21,IF($M1189=$A$16,$L1189,0),0)</f>
        <v>0</v>
      </c>
      <c r="R1187" s="297">
        <f>IF($J1189=$A$22,IF($M1189=$A$16,$L1189,0),0)</f>
        <v>0</v>
      </c>
    </row>
    <row r="1188" spans="17:18">
      <c r="Q1188" s="297">
        <f>IF($J1190=$A$21,IF($M1190=$A$16,$L1190,0),0)</f>
        <v>0</v>
      </c>
      <c r="R1188" s="297">
        <f>IF($J1190=$A$22,IF($M1190=$A$16,$L1190,0),0)</f>
        <v>0</v>
      </c>
    </row>
    <row r="1189" spans="17:18">
      <c r="Q1189" s="297">
        <f>IF($J1191=$A$21,IF($M1191=$A$16,$L1191,0),0)</f>
        <v>0</v>
      </c>
      <c r="R1189" s="297">
        <f>IF($J1191=$A$22,IF($M1191=$A$16,$L1191,0),0)</f>
        <v>0</v>
      </c>
    </row>
    <row r="1190" spans="17:18">
      <c r="Q1190" s="297">
        <f>IF($J1192=$A$21,IF($M1192=$A$16,$L1192,0),0)</f>
        <v>0</v>
      </c>
      <c r="R1190" s="297">
        <f>IF($J1192=$A$22,IF($M1192=$A$16,$L1192,0),0)</f>
        <v>0</v>
      </c>
    </row>
    <row r="1191" spans="17:18">
      <c r="Q1191" s="297">
        <f>IF($J1193=$A$21,IF($M1193=$A$16,$L1193,0),0)</f>
        <v>0</v>
      </c>
      <c r="R1191" s="297">
        <f>IF($J1193=$A$22,IF($M1193=$A$16,$L1193,0),0)</f>
        <v>0</v>
      </c>
    </row>
    <row r="1192" spans="17:18">
      <c r="Q1192" s="297">
        <f>IF($J1194=$A$21,IF($M1194=$A$16,$L1194,0),0)</f>
        <v>0</v>
      </c>
      <c r="R1192" s="297">
        <f>IF($J1194=$A$22,IF($M1194=$A$16,$L1194,0),0)</f>
        <v>0</v>
      </c>
    </row>
    <row r="1193" spans="17:18">
      <c r="Q1193" s="297">
        <f>IF($J1195=$A$21,IF($M1195=$A$16,$L1195,0),0)</f>
        <v>0</v>
      </c>
      <c r="R1193" s="297">
        <f>IF($J1195=$A$22,IF($M1195=$A$16,$L1195,0),0)</f>
        <v>0</v>
      </c>
    </row>
    <row r="1194" spans="17:18">
      <c r="Q1194" s="297">
        <f>IF($J1196=$A$21,IF($M1196=$A$16,$L1196,0),0)</f>
        <v>0</v>
      </c>
      <c r="R1194" s="297">
        <f>IF($J1196=$A$22,IF($M1196=$A$16,$L1196,0),0)</f>
        <v>0</v>
      </c>
    </row>
    <row r="1195" spans="17:18">
      <c r="Q1195" s="297">
        <f>IF($J1197=$A$21,IF($M1197=$A$16,$L1197,0),0)</f>
        <v>0</v>
      </c>
      <c r="R1195" s="297">
        <f>IF($J1197=$A$22,IF($M1197=$A$16,$L1197,0),0)</f>
        <v>0</v>
      </c>
    </row>
    <row r="1196" spans="17:18">
      <c r="Q1196" s="297">
        <f>IF($J1198=$A$21,IF($M1198=$A$16,$L1198,0),0)</f>
        <v>0</v>
      </c>
      <c r="R1196" s="297">
        <f>IF($J1198=$A$22,IF($M1198=$A$16,$L1198,0),0)</f>
        <v>0</v>
      </c>
    </row>
    <row r="1197" spans="17:18">
      <c r="Q1197" s="297">
        <f>IF($J1199=$A$21,IF($M1199=$A$16,$L1199,0),0)</f>
        <v>0</v>
      </c>
      <c r="R1197" s="297">
        <f>IF($J1199=$A$22,IF($M1199=$A$16,$L1199,0),0)</f>
        <v>0</v>
      </c>
    </row>
    <row r="1198" spans="17:18">
      <c r="Q1198" s="297">
        <f>IF($J1200=$A$21,IF($M1200=$A$16,$L1200,0),0)</f>
        <v>0</v>
      </c>
      <c r="R1198" s="297">
        <f>IF($J1200=$A$22,IF($M1200=$A$16,$L1200,0),0)</f>
        <v>0</v>
      </c>
    </row>
    <row r="1199" spans="17:18">
      <c r="Q1199" s="297">
        <f>IF($J1201=$A$21,IF($M1201=$A$16,$L1201,0),0)</f>
        <v>0</v>
      </c>
      <c r="R1199" s="297">
        <f>IF($J1201=$A$22,IF($M1201=$A$16,$L1201,0),0)</f>
        <v>0</v>
      </c>
    </row>
    <row r="1200" spans="17:18">
      <c r="Q1200" s="297">
        <f>IF($J1202=$A$21,IF($M1202=$A$16,$L1202,0),0)</f>
        <v>0</v>
      </c>
      <c r="R1200" s="297">
        <f>IF($J1202=$A$22,IF($M1202=$A$16,$L1202,0),0)</f>
        <v>0</v>
      </c>
    </row>
    <row r="1201" spans="17:18">
      <c r="Q1201" s="297">
        <f>IF($J1203=$A$21,IF($M1203=$A$16,$L1203,0),0)</f>
        <v>0</v>
      </c>
      <c r="R1201" s="297">
        <f>IF($J1203=$A$22,IF($M1203=$A$16,$L1203,0),0)</f>
        <v>0</v>
      </c>
    </row>
    <row r="1202" spans="17:18">
      <c r="Q1202" s="297">
        <f>IF($J1204=$A$21,IF($M1204=$A$16,$L1204,0),0)</f>
        <v>0</v>
      </c>
      <c r="R1202" s="297">
        <f>IF($J1204=$A$22,IF($M1204=$A$16,$L1204,0),0)</f>
        <v>0</v>
      </c>
    </row>
    <row r="1203" spans="17:18">
      <c r="Q1203" s="297">
        <f>IF($J1205=$A$21,IF($M1205=$A$16,$L1205,0),0)</f>
        <v>0</v>
      </c>
      <c r="R1203" s="297">
        <f>IF($J1205=$A$22,IF($M1205=$A$16,$L1205,0),0)</f>
        <v>0</v>
      </c>
    </row>
    <row r="1204" spans="17:18">
      <c r="Q1204" s="297">
        <f>IF($J1206=$A$21,IF($M1206=$A$16,$L1206,0),0)</f>
        <v>0</v>
      </c>
      <c r="R1204" s="297">
        <f>IF($J1206=$A$22,IF($M1206=$A$16,$L1206,0),0)</f>
        <v>0</v>
      </c>
    </row>
    <row r="1205" spans="17:18">
      <c r="Q1205" s="297">
        <f>IF($J1207=$A$21,IF($M1207=$A$16,$L1207,0),0)</f>
        <v>0</v>
      </c>
      <c r="R1205" s="297">
        <f>IF($J1207=$A$22,IF($M1207=$A$16,$L1207,0),0)</f>
        <v>0</v>
      </c>
    </row>
    <row r="1206" spans="17:18">
      <c r="Q1206" s="297">
        <f>IF($J1208=$A$21,IF($M1208=$A$16,$L1208,0),0)</f>
        <v>0</v>
      </c>
      <c r="R1206" s="297">
        <f>IF($J1208=$A$22,IF($M1208=$A$16,$L1208,0),0)</f>
        <v>0</v>
      </c>
    </row>
    <row r="1207" spans="17:18">
      <c r="Q1207" s="297">
        <f>IF($J1209=$A$21,IF($M1209=$A$16,$L1209,0),0)</f>
        <v>0</v>
      </c>
      <c r="R1207" s="297">
        <f>IF($J1209=$A$22,IF($M1209=$A$16,$L1209,0),0)</f>
        <v>0</v>
      </c>
    </row>
    <row r="1208" spans="17:18">
      <c r="Q1208" s="297">
        <f>IF($J1210=$A$21,IF($M1210=$A$16,$L1210,0),0)</f>
        <v>0</v>
      </c>
      <c r="R1208" s="297">
        <f>IF($J1210=$A$22,IF($M1210=$A$16,$L1210,0),0)</f>
        <v>0</v>
      </c>
    </row>
    <row r="1209" spans="17:18">
      <c r="Q1209" s="297">
        <f>IF($J1211=$A$21,IF($M1211=$A$16,$L1211,0),0)</f>
        <v>0</v>
      </c>
      <c r="R1209" s="297">
        <f>IF($J1211=$A$22,IF($M1211=$A$16,$L1211,0),0)</f>
        <v>0</v>
      </c>
    </row>
    <row r="1210" spans="17:18">
      <c r="Q1210" s="297">
        <f>IF($J1212=$A$21,IF($M1212=$A$16,$L1212,0),0)</f>
        <v>0</v>
      </c>
      <c r="R1210" s="297">
        <f>IF($J1212=$A$22,IF($M1212=$A$16,$L1212,0),0)</f>
        <v>0</v>
      </c>
    </row>
    <row r="1211" spans="17:18">
      <c r="Q1211" s="297">
        <f>IF($J1213=$A$21,IF($M1213=$A$16,$L1213,0),0)</f>
        <v>0</v>
      </c>
      <c r="R1211" s="297">
        <f>IF($J1213=$A$22,IF($M1213=$A$16,$L1213,0),0)</f>
        <v>0</v>
      </c>
    </row>
    <row r="1212" spans="17:18">
      <c r="Q1212" s="297">
        <f>IF($J1214=$A$21,IF($M1214=$A$16,$L1214,0),0)</f>
        <v>0</v>
      </c>
      <c r="R1212" s="297">
        <f>IF($J1214=$A$22,IF($M1214=$A$16,$L1214,0),0)</f>
        <v>0</v>
      </c>
    </row>
    <row r="1213" spans="17:18">
      <c r="Q1213" s="297">
        <f>IF($J1215=$A$21,IF($M1215=$A$16,$L1215,0),0)</f>
        <v>0</v>
      </c>
      <c r="R1213" s="297">
        <f>IF($J1215=$A$22,IF($M1215=$A$16,$L1215,0),0)</f>
        <v>0</v>
      </c>
    </row>
    <row r="1214" spans="17:18">
      <c r="Q1214" s="297">
        <f>IF($J1216=$A$21,IF($M1216=$A$16,$L1216,0),0)</f>
        <v>0</v>
      </c>
      <c r="R1214" s="297">
        <f>IF($J1216=$A$22,IF($M1216=$A$16,$L1216,0),0)</f>
        <v>0</v>
      </c>
    </row>
    <row r="1215" spans="17:18">
      <c r="Q1215" s="297">
        <f>IF($J1217=$A$21,IF($M1217=$A$16,$L1217,0),0)</f>
        <v>0</v>
      </c>
      <c r="R1215" s="297">
        <f>IF($J1217=$A$22,IF($M1217=$A$16,$L1217,0),0)</f>
        <v>0</v>
      </c>
    </row>
    <row r="1216" spans="17:18">
      <c r="Q1216" s="297">
        <f>IF($J1218=$A$21,IF($M1218=$A$16,$L1218,0),0)</f>
        <v>0</v>
      </c>
      <c r="R1216" s="297">
        <f>IF($J1218=$A$22,IF($M1218=$A$16,$L1218,0),0)</f>
        <v>0</v>
      </c>
    </row>
    <row r="1217" spans="17:18">
      <c r="Q1217" s="297">
        <f>IF($J1219=$A$21,IF($M1219=$A$16,$L1219,0),0)</f>
        <v>0</v>
      </c>
      <c r="R1217" s="297">
        <f>IF($J1219=$A$22,IF($M1219=$A$16,$L1219,0),0)</f>
        <v>0</v>
      </c>
    </row>
    <row r="1218" spans="17:18">
      <c r="Q1218" s="297">
        <f>IF($J1220=$A$21,IF($M1220=$A$16,$L1220,0),0)</f>
        <v>0</v>
      </c>
      <c r="R1218" s="297">
        <f>IF($J1220=$A$22,IF($M1220=$A$16,$L1220,0),0)</f>
        <v>0</v>
      </c>
    </row>
    <row r="1219" spans="17:18">
      <c r="Q1219" s="297">
        <f>IF($J1221=$A$21,IF($M1221=$A$16,$L1221,0),0)</f>
        <v>0</v>
      </c>
      <c r="R1219" s="297">
        <f>IF($J1221=$A$22,IF($M1221=$A$16,$L1221,0),0)</f>
        <v>0</v>
      </c>
    </row>
    <row r="1220" spans="17:18">
      <c r="Q1220" s="297">
        <f>IF($J1222=$A$21,IF($M1222=$A$16,$L1222,0),0)</f>
        <v>0</v>
      </c>
      <c r="R1220" s="297">
        <f>IF($J1222=$A$22,IF($M1222=$A$16,$L1222,0),0)</f>
        <v>0</v>
      </c>
    </row>
    <row r="1221" spans="17:18">
      <c r="Q1221" s="297">
        <f>IF($J1223=$A$21,IF($M1223=$A$16,$L1223,0),0)</f>
        <v>0</v>
      </c>
      <c r="R1221" s="297">
        <f>IF($J1223=$A$22,IF($M1223=$A$16,$L1223,0),0)</f>
        <v>0</v>
      </c>
    </row>
    <row r="1222" spans="17:18">
      <c r="Q1222" s="297">
        <f>IF($J1224=$A$21,IF($M1224=$A$16,$L1224,0),0)</f>
        <v>0</v>
      </c>
      <c r="R1222" s="297">
        <f>IF($J1224=$A$22,IF($M1224=$A$16,$L1224,0),0)</f>
        <v>0</v>
      </c>
    </row>
    <row r="1223" spans="17:18">
      <c r="Q1223" s="297">
        <f>IF($J1225=$A$21,IF($M1225=$A$16,$L1225,0),0)</f>
        <v>0</v>
      </c>
      <c r="R1223" s="297">
        <f>IF($J1225=$A$22,IF($M1225=$A$16,$L1225,0),0)</f>
        <v>0</v>
      </c>
    </row>
    <row r="1224" spans="17:18">
      <c r="Q1224" s="297">
        <f>IF($J1226=$A$21,IF($M1226=$A$16,$L1226,0),0)</f>
        <v>0</v>
      </c>
      <c r="R1224" s="297">
        <f>IF($J1226=$A$22,IF($M1226=$A$16,$L1226,0),0)</f>
        <v>0</v>
      </c>
    </row>
    <row r="1225" spans="17:18">
      <c r="Q1225" s="297">
        <f>IF($J1227=$A$21,IF($M1227=$A$16,$L1227,0),0)</f>
        <v>0</v>
      </c>
      <c r="R1225" s="297">
        <f>IF($J1227=$A$22,IF($M1227=$A$16,$L1227,0),0)</f>
        <v>0</v>
      </c>
    </row>
    <row r="1226" spans="17:18">
      <c r="Q1226" s="297">
        <f>IF($J1228=$A$21,IF($M1228=$A$16,$L1228,0),0)</f>
        <v>0</v>
      </c>
      <c r="R1226" s="297">
        <f>IF($J1228=$A$22,IF($M1228=$A$16,$L1228,0),0)</f>
        <v>0</v>
      </c>
    </row>
    <row r="1227" spans="17:18">
      <c r="Q1227" s="297">
        <f>IF($J1229=$A$21,IF($M1229=$A$16,$L1229,0),0)</f>
        <v>0</v>
      </c>
      <c r="R1227" s="297">
        <f>IF($J1229=$A$22,IF($M1229=$A$16,$L1229,0),0)</f>
        <v>0</v>
      </c>
    </row>
    <row r="1228" spans="17:18">
      <c r="Q1228" s="297">
        <f>IF($J1230=$A$21,IF($M1230=$A$16,$L1230,0),0)</f>
        <v>0</v>
      </c>
      <c r="R1228" s="297">
        <f>IF($J1230=$A$22,IF($M1230=$A$16,$L1230,0),0)</f>
        <v>0</v>
      </c>
    </row>
    <row r="1229" spans="17:18">
      <c r="Q1229" s="297">
        <f>IF($J1231=$A$21,IF($M1231=$A$16,$L1231,0),0)</f>
        <v>0</v>
      </c>
      <c r="R1229" s="297">
        <f>IF($J1231=$A$22,IF($M1231=$A$16,$L1231,0),0)</f>
        <v>0</v>
      </c>
    </row>
    <row r="1230" spans="17:18">
      <c r="Q1230" s="297">
        <f>IF($J1232=$A$21,IF($M1232=$A$16,$L1232,0),0)</f>
        <v>0</v>
      </c>
      <c r="R1230" s="297">
        <f>IF($J1232=$A$22,IF($M1232=$A$16,$L1232,0),0)</f>
        <v>0</v>
      </c>
    </row>
    <row r="1231" spans="17:18">
      <c r="Q1231" s="297">
        <f>IF($J1233=$A$21,IF($M1233=$A$16,$L1233,0),0)</f>
        <v>0</v>
      </c>
      <c r="R1231" s="297">
        <f>IF($J1233=$A$22,IF($M1233=$A$16,$L1233,0),0)</f>
        <v>0</v>
      </c>
    </row>
    <row r="1232" spans="17:18">
      <c r="Q1232" s="297">
        <f>IF($J1234=$A$21,IF($M1234=$A$16,$L1234,0),0)</f>
        <v>0</v>
      </c>
      <c r="R1232" s="297">
        <f>IF($J1234=$A$22,IF($M1234=$A$16,$L1234,0),0)</f>
        <v>0</v>
      </c>
    </row>
    <row r="1233" spans="17:18">
      <c r="Q1233" s="297">
        <f>IF($J1235=$A$21,IF($M1235=$A$16,$L1235,0),0)</f>
        <v>0</v>
      </c>
      <c r="R1233" s="297">
        <f>IF($J1235=$A$22,IF($M1235=$A$16,$L1235,0),0)</f>
        <v>0</v>
      </c>
    </row>
    <row r="1234" spans="17:18">
      <c r="Q1234" s="297">
        <f>IF($J1236=$A$21,IF($M1236=$A$16,$L1236,0),0)</f>
        <v>0</v>
      </c>
      <c r="R1234" s="297">
        <f>IF($J1236=$A$22,IF($M1236=$A$16,$L1236,0),0)</f>
        <v>0</v>
      </c>
    </row>
    <row r="1235" spans="17:18">
      <c r="Q1235" s="297">
        <f>IF($J1237=$A$21,IF($M1237=$A$16,$L1237,0),0)</f>
        <v>0</v>
      </c>
      <c r="R1235" s="297">
        <f>IF($J1237=$A$22,IF($M1237=$A$16,$L1237,0),0)</f>
        <v>0</v>
      </c>
    </row>
    <row r="1236" spans="17:18">
      <c r="Q1236" s="297">
        <f>IF($J1238=$A$21,IF($M1238=$A$16,$L1238,0),0)</f>
        <v>0</v>
      </c>
      <c r="R1236" s="297">
        <f>IF($J1238=$A$22,IF($M1238=$A$16,$L1238,0),0)</f>
        <v>0</v>
      </c>
    </row>
    <row r="1237" spans="17:18">
      <c r="Q1237" s="297">
        <f>IF($J1239=$A$21,IF($M1239=$A$16,$L1239,0),0)</f>
        <v>0</v>
      </c>
      <c r="R1237" s="297">
        <f>IF($J1239=$A$22,IF($M1239=$A$16,$L1239,0),0)</f>
        <v>0</v>
      </c>
    </row>
    <row r="1238" spans="17:18">
      <c r="Q1238" s="297">
        <f>IF($J1240=$A$21,IF($M1240=$A$16,$L1240,0),0)</f>
        <v>0</v>
      </c>
      <c r="R1238" s="297">
        <f>IF($J1240=$A$22,IF($M1240=$A$16,$L1240,0),0)</f>
        <v>0</v>
      </c>
    </row>
    <row r="1239" spans="17:18">
      <c r="Q1239" s="297">
        <f>IF($J1241=$A$21,IF($M1241=$A$16,$L1241,0),0)</f>
        <v>0</v>
      </c>
      <c r="R1239" s="297">
        <f>IF($J1241=$A$22,IF($M1241=$A$16,$L1241,0),0)</f>
        <v>0</v>
      </c>
    </row>
    <row r="1240" spans="17:18">
      <c r="Q1240" s="297">
        <f>IF($J1242=$A$21,IF($M1242=$A$16,$L1242,0),0)</f>
        <v>0</v>
      </c>
      <c r="R1240" s="297">
        <f>IF($J1242=$A$22,IF($M1242=$A$16,$L1242,0),0)</f>
        <v>0</v>
      </c>
    </row>
    <row r="1241" spans="17:18">
      <c r="Q1241" s="297">
        <f>IF($J1243=$A$21,IF($M1243=$A$16,$L1243,0),0)</f>
        <v>0</v>
      </c>
      <c r="R1241" s="297">
        <f>IF($J1243=$A$22,IF($M1243=$A$16,$L1243,0),0)</f>
        <v>0</v>
      </c>
    </row>
    <row r="1242" spans="17:18">
      <c r="Q1242" s="297">
        <f>IF($J1244=$A$21,IF($M1244=$A$16,$L1244,0),0)</f>
        <v>0</v>
      </c>
      <c r="R1242" s="297">
        <f>IF($J1244=$A$22,IF($M1244=$A$16,$L1244,0),0)</f>
        <v>0</v>
      </c>
    </row>
    <row r="1243" spans="17:18">
      <c r="Q1243" s="297">
        <f>IF($J1245=$A$21,IF($M1245=$A$16,$L1245,0),0)</f>
        <v>0</v>
      </c>
      <c r="R1243" s="297">
        <f>IF($J1245=$A$22,IF($M1245=$A$16,$L1245,0),0)</f>
        <v>0</v>
      </c>
    </row>
    <row r="1244" spans="17:18">
      <c r="Q1244" s="297">
        <f>IF($J1246=$A$21,IF($M1246=$A$16,$L1246,0),0)</f>
        <v>0</v>
      </c>
      <c r="R1244" s="297">
        <f>IF($J1246=$A$22,IF($M1246=$A$16,$L1246,0),0)</f>
        <v>0</v>
      </c>
    </row>
    <row r="1245" spans="17:18">
      <c r="Q1245" s="297">
        <f>IF($J1247=$A$21,IF($M1247=$A$16,$L1247,0),0)</f>
        <v>0</v>
      </c>
      <c r="R1245" s="297">
        <f>IF($J1247=$A$22,IF($M1247=$A$16,$L1247,0),0)</f>
        <v>0</v>
      </c>
    </row>
    <row r="1246" spans="17:18">
      <c r="Q1246" s="297">
        <f>IF($J1248=$A$21,IF($M1248=$A$16,$L1248,0),0)</f>
        <v>0</v>
      </c>
      <c r="R1246" s="297">
        <f>IF($J1248=$A$22,IF($M1248=$A$16,$L1248,0),0)</f>
        <v>0</v>
      </c>
    </row>
    <row r="1247" spans="17:18">
      <c r="Q1247" s="297">
        <f>IF($J1249=$A$21,IF($M1249=$A$16,$L1249,0),0)</f>
        <v>0</v>
      </c>
      <c r="R1247" s="297">
        <f>IF($J1249=$A$22,IF($M1249=$A$16,$L1249,0),0)</f>
        <v>0</v>
      </c>
    </row>
    <row r="1248" spans="17:18">
      <c r="Q1248" s="297">
        <f>IF($J1250=$A$21,IF($M1250=$A$16,$L1250,0),0)</f>
        <v>0</v>
      </c>
      <c r="R1248" s="297">
        <f>IF($J1250=$A$22,IF($M1250=$A$16,$L1250,0),0)</f>
        <v>0</v>
      </c>
    </row>
    <row r="1249" spans="17:18">
      <c r="Q1249" s="297">
        <f>IF($J1251=$A$21,IF($M1251=$A$16,$L1251,0),0)</f>
        <v>0</v>
      </c>
      <c r="R1249" s="297">
        <f>IF($J1251=$A$22,IF($M1251=$A$16,$L1251,0),0)</f>
        <v>0</v>
      </c>
    </row>
    <row r="1250" spans="17:18">
      <c r="Q1250" s="297">
        <f>IF($J1252=$A$21,IF($M1252=$A$16,$L1252,0),0)</f>
        <v>0</v>
      </c>
      <c r="R1250" s="297">
        <f>IF($J1252=$A$22,IF($M1252=$A$16,$L1252,0),0)</f>
        <v>0</v>
      </c>
    </row>
    <row r="1251" spans="17:18">
      <c r="Q1251" s="297">
        <f>IF($J1253=$A$21,IF($M1253=$A$16,$L1253,0),0)</f>
        <v>0</v>
      </c>
      <c r="R1251" s="297">
        <f>IF($J1253=$A$22,IF($M1253=$A$16,$L1253,0),0)</f>
        <v>0</v>
      </c>
    </row>
    <row r="1252" spans="17:18">
      <c r="Q1252" s="297">
        <f>IF($J1254=$A$21,IF($M1254=$A$16,$L1254,0),0)</f>
        <v>0</v>
      </c>
      <c r="R1252" s="297">
        <f>IF($J1254=$A$22,IF($M1254=$A$16,$L1254,0),0)</f>
        <v>0</v>
      </c>
    </row>
    <row r="1253" spans="17:18">
      <c r="Q1253" s="297">
        <f>IF($J1255=$A$21,IF($M1255=$A$16,$L1255,0),0)</f>
        <v>0</v>
      </c>
      <c r="R1253" s="297">
        <f>IF($J1255=$A$22,IF($M1255=$A$16,$L1255,0),0)</f>
        <v>0</v>
      </c>
    </row>
    <row r="1254" spans="17:18">
      <c r="Q1254" s="297">
        <f>IF($J1256=$A$21,IF($M1256=$A$16,$L1256,0),0)</f>
        <v>0</v>
      </c>
      <c r="R1254" s="297">
        <f>IF($J1256=$A$22,IF($M1256=$A$16,$L1256,0),0)</f>
        <v>0</v>
      </c>
    </row>
    <row r="1255" spans="17:18">
      <c r="Q1255" s="297">
        <f>IF($J1257=$A$21,IF($M1257=$A$16,$L1257,0),0)</f>
        <v>0</v>
      </c>
      <c r="R1255" s="297">
        <f>IF($J1257=$A$22,IF($M1257=$A$16,$L1257,0),0)</f>
        <v>0</v>
      </c>
    </row>
    <row r="1256" spans="17:18">
      <c r="Q1256" s="297">
        <f>IF($J1258=$A$21,IF($M1258=$A$16,$L1258,0),0)</f>
        <v>0</v>
      </c>
      <c r="R1256" s="297">
        <f>IF($J1258=$A$22,IF($M1258=$A$16,$L1258,0),0)</f>
        <v>0</v>
      </c>
    </row>
    <row r="1257" spans="17:18">
      <c r="Q1257" s="297">
        <f>IF($J1259=$A$21,IF($M1259=$A$16,$L1259,0),0)</f>
        <v>0</v>
      </c>
      <c r="R1257" s="297">
        <f>IF($J1259=$A$22,IF($M1259=$A$16,$L1259,0),0)</f>
        <v>0</v>
      </c>
    </row>
    <row r="1258" spans="17:18">
      <c r="Q1258" s="297">
        <f>IF($J1260=$A$21,IF($M1260=$A$16,$L1260,0),0)</f>
        <v>0</v>
      </c>
      <c r="R1258" s="297">
        <f>IF($J1260=$A$22,IF($M1260=$A$16,$L1260,0),0)</f>
        <v>0</v>
      </c>
    </row>
    <row r="1259" spans="17:18">
      <c r="Q1259" s="297">
        <f>IF($J1261=$A$21,IF($M1261=$A$16,$L1261,0),0)</f>
        <v>0</v>
      </c>
      <c r="R1259" s="297">
        <f>IF($J1261=$A$22,IF($M1261=$A$16,$L1261,0),0)</f>
        <v>0</v>
      </c>
    </row>
    <row r="1260" spans="17:18">
      <c r="Q1260" s="297">
        <f>IF($J1262=$A$21,IF($M1262=$A$16,$L1262,0),0)</f>
        <v>0</v>
      </c>
      <c r="R1260" s="297">
        <f>IF($J1262=$A$22,IF($M1262=$A$16,$L1262,0),0)</f>
        <v>0</v>
      </c>
    </row>
    <row r="1261" spans="17:18">
      <c r="Q1261" s="297">
        <f>IF($J1263=$A$21,IF($M1263=$A$16,$L1263,0),0)</f>
        <v>0</v>
      </c>
      <c r="R1261" s="297">
        <f>IF($J1263=$A$22,IF($M1263=$A$16,$L1263,0),0)</f>
        <v>0</v>
      </c>
    </row>
    <row r="1262" spans="17:18">
      <c r="Q1262" s="297">
        <f>IF($J1264=$A$21,IF($M1264=$A$16,$L1264,0),0)</f>
        <v>0</v>
      </c>
      <c r="R1262" s="297">
        <f>IF($J1264=$A$22,IF($M1264=$A$16,$L1264,0),0)</f>
        <v>0</v>
      </c>
    </row>
    <row r="1263" spans="17:18">
      <c r="Q1263" s="297">
        <f>IF($J1265=$A$21,IF($M1265=$A$16,$L1265,0),0)</f>
        <v>0</v>
      </c>
      <c r="R1263" s="297">
        <f>IF($J1265=$A$22,IF($M1265=$A$16,$L1265,0),0)</f>
        <v>0</v>
      </c>
    </row>
    <row r="1264" spans="17:18">
      <c r="Q1264" s="297">
        <f>IF($J1266=$A$21,IF($M1266=$A$16,$L1266,0),0)</f>
        <v>0</v>
      </c>
      <c r="R1264" s="297">
        <f>IF($J1266=$A$22,IF($M1266=$A$16,$L1266,0),0)</f>
        <v>0</v>
      </c>
    </row>
    <row r="1265" spans="17:18">
      <c r="Q1265" s="297">
        <f>IF($J1267=$A$21,IF($M1267=$A$16,$L1267,0),0)</f>
        <v>0</v>
      </c>
      <c r="R1265" s="297">
        <f>IF($J1267=$A$22,IF($M1267=$A$16,$L1267,0),0)</f>
        <v>0</v>
      </c>
    </row>
    <row r="1266" spans="17:18">
      <c r="Q1266" s="297">
        <f>IF($J1268=$A$21,IF($M1268=$A$16,$L1268,0),0)</f>
        <v>0</v>
      </c>
      <c r="R1266" s="297">
        <f>IF($J1268=$A$22,IF($M1268=$A$16,$L1268,0),0)</f>
        <v>0</v>
      </c>
    </row>
    <row r="1267" spans="17:18">
      <c r="Q1267" s="297">
        <f>IF($J1269=$A$21,IF($M1269=$A$16,$L1269,0),0)</f>
        <v>0</v>
      </c>
      <c r="R1267" s="297">
        <f>IF($J1269=$A$22,IF($M1269=$A$16,$L1269,0),0)</f>
        <v>0</v>
      </c>
    </row>
    <row r="1268" spans="17:18">
      <c r="Q1268" s="297">
        <f>IF($J1270=$A$21,IF($M1270=$A$16,$L1270,0),0)</f>
        <v>0</v>
      </c>
      <c r="R1268" s="297">
        <f>IF($J1270=$A$22,IF($M1270=$A$16,$L1270,0),0)</f>
        <v>0</v>
      </c>
    </row>
    <row r="1269" spans="17:18">
      <c r="Q1269" s="297">
        <f>IF($J1271=$A$21,IF($M1271=$A$16,$L1271,0),0)</f>
        <v>0</v>
      </c>
      <c r="R1269" s="297">
        <f>IF($J1271=$A$22,IF($M1271=$A$16,$L1271,0),0)</f>
        <v>0</v>
      </c>
    </row>
    <row r="1270" spans="17:18">
      <c r="Q1270" s="297">
        <f>IF($J1272=$A$21,IF($M1272=$A$16,$L1272,0),0)</f>
        <v>0</v>
      </c>
      <c r="R1270" s="297">
        <f>IF($J1272=$A$22,IF($M1272=$A$16,$L1272,0),0)</f>
        <v>0</v>
      </c>
    </row>
    <row r="1271" spans="17:18">
      <c r="Q1271" s="297">
        <f>IF($J1273=$A$21,IF($M1273=$A$16,$L1273,0),0)</f>
        <v>0</v>
      </c>
      <c r="R1271" s="297">
        <f>IF($J1273=$A$22,IF($M1273=$A$16,$L1273,0),0)</f>
        <v>0</v>
      </c>
    </row>
    <row r="1272" spans="17:18">
      <c r="Q1272" s="297">
        <f>IF($J1274=$A$21,IF($M1274=$A$16,$L1274,0),0)</f>
        <v>0</v>
      </c>
      <c r="R1272" s="297">
        <f>IF($J1274=$A$22,IF($M1274=$A$16,$L1274,0),0)</f>
        <v>0</v>
      </c>
    </row>
    <row r="1273" spans="17:18">
      <c r="Q1273" s="297">
        <f>IF($J1275=$A$21,IF($M1275=$A$16,$L1275,0),0)</f>
        <v>0</v>
      </c>
      <c r="R1273" s="297">
        <f>IF($J1275=$A$22,IF($M1275=$A$16,$L1275,0),0)</f>
        <v>0</v>
      </c>
    </row>
    <row r="1274" spans="17:18">
      <c r="Q1274" s="297">
        <f>IF($J1276=$A$21,IF($M1276=$A$16,$L1276,0),0)</f>
        <v>0</v>
      </c>
      <c r="R1274" s="297">
        <f>IF($J1276=$A$22,IF($M1276=$A$16,$L1276,0),0)</f>
        <v>0</v>
      </c>
    </row>
    <row r="1275" spans="17:18">
      <c r="Q1275" s="297">
        <f>IF($J1277=$A$21,IF($M1277=$A$16,$L1277,0),0)</f>
        <v>0</v>
      </c>
      <c r="R1275" s="297">
        <f>IF($J1277=$A$22,IF($M1277=$A$16,$L1277,0),0)</f>
        <v>0</v>
      </c>
    </row>
    <row r="1276" spans="17:18">
      <c r="Q1276" s="297">
        <f>IF($J1278=$A$21,IF($M1278=$A$16,$L1278,0),0)</f>
        <v>0</v>
      </c>
      <c r="R1276" s="297">
        <f>IF($J1278=$A$22,IF($M1278=$A$16,$L1278,0),0)</f>
        <v>0</v>
      </c>
    </row>
    <row r="1277" spans="17:18">
      <c r="Q1277" s="297">
        <f>IF($J1279=$A$21,IF($M1279=$A$16,$L1279,0),0)</f>
        <v>0</v>
      </c>
      <c r="R1277" s="297">
        <f>IF($J1279=$A$22,IF($M1279=$A$16,$L1279,0),0)</f>
        <v>0</v>
      </c>
    </row>
    <row r="1278" spans="17:18">
      <c r="Q1278" s="297">
        <f>IF($J1280=$A$21,IF($M1280=$A$16,$L1280,0),0)</f>
        <v>0</v>
      </c>
      <c r="R1278" s="297">
        <f>IF($J1280=$A$22,IF($M1280=$A$16,$L1280,0),0)</f>
        <v>0</v>
      </c>
    </row>
    <row r="1279" spans="17:18">
      <c r="Q1279" s="297">
        <f>IF($J1281=$A$21,IF($M1281=$A$16,$L1281,0),0)</f>
        <v>0</v>
      </c>
      <c r="R1279" s="297">
        <f>IF($J1281=$A$22,IF($M1281=$A$16,$L1281,0),0)</f>
        <v>0</v>
      </c>
    </row>
    <row r="1280" spans="17:18">
      <c r="Q1280" s="297">
        <f>IF($J1282=$A$21,IF($M1282=$A$16,$L1282,0),0)</f>
        <v>0</v>
      </c>
      <c r="R1280" s="297">
        <f>IF($J1282=$A$22,IF($M1282=$A$16,$L1282,0),0)</f>
        <v>0</v>
      </c>
    </row>
    <row r="1281" spans="17:18">
      <c r="Q1281" s="297">
        <f>IF($J1283=$A$21,IF($M1283=$A$16,$L1283,0),0)</f>
        <v>0</v>
      </c>
      <c r="R1281" s="297">
        <f>IF($J1283=$A$22,IF($M1283=$A$16,$L1283,0),0)</f>
        <v>0</v>
      </c>
    </row>
    <row r="1282" spans="17:18">
      <c r="Q1282" s="297">
        <f>IF($J1284=$A$21,IF($M1284=$A$16,$L1284,0),0)</f>
        <v>0</v>
      </c>
      <c r="R1282" s="297">
        <f>IF($J1284=$A$22,IF($M1284=$A$16,$L1284,0),0)</f>
        <v>0</v>
      </c>
    </row>
    <row r="1283" spans="17:18">
      <c r="Q1283" s="297">
        <f>IF($J1285=$A$21,IF($M1285=$A$16,$L1285,0),0)</f>
        <v>0</v>
      </c>
      <c r="R1283" s="297">
        <f>IF($J1285=$A$22,IF($M1285=$A$16,$L1285,0),0)</f>
        <v>0</v>
      </c>
    </row>
    <row r="1284" spans="17:18">
      <c r="Q1284" s="297">
        <f>IF($J1286=$A$21,IF($M1286=$A$16,$L1286,0),0)</f>
        <v>0</v>
      </c>
      <c r="R1284" s="297">
        <f>IF($J1286=$A$22,IF($M1286=$A$16,$L1286,0),0)</f>
        <v>0</v>
      </c>
    </row>
    <row r="1285" spans="17:18">
      <c r="Q1285" s="297">
        <f>IF($J1287=$A$21,IF($M1287=$A$16,$L1287,0),0)</f>
        <v>0</v>
      </c>
      <c r="R1285" s="297">
        <f>IF($J1287=$A$22,IF($M1287=$A$16,$L1287,0),0)</f>
        <v>0</v>
      </c>
    </row>
    <row r="1286" spans="17:18">
      <c r="Q1286" s="297">
        <f>IF($J1288=$A$21,IF($M1288=$A$16,$L1288,0),0)</f>
        <v>0</v>
      </c>
      <c r="R1286" s="297">
        <f>IF($J1288=$A$22,IF($M1288=$A$16,$L1288,0),0)</f>
        <v>0</v>
      </c>
    </row>
    <row r="1287" spans="17:18">
      <c r="Q1287" s="297">
        <f>IF($J1289=$A$21,IF($M1289=$A$16,$L1289,0),0)</f>
        <v>0</v>
      </c>
      <c r="R1287" s="297">
        <f>IF($J1289=$A$22,IF($M1289=$A$16,$L1289,0),0)</f>
        <v>0</v>
      </c>
    </row>
    <row r="1288" spans="17:18">
      <c r="Q1288" s="297">
        <f>IF($J1290=$A$21,IF($M1290=$A$16,$L1290,0),0)</f>
        <v>0</v>
      </c>
      <c r="R1288" s="297">
        <f>IF($J1290=$A$22,IF($M1290=$A$16,$L1290,0),0)</f>
        <v>0</v>
      </c>
    </row>
    <row r="1289" spans="17:18">
      <c r="Q1289" s="297">
        <f>IF($J1291=$A$21,IF($M1291=$A$16,$L1291,0),0)</f>
        <v>0</v>
      </c>
      <c r="R1289" s="297">
        <f>IF($J1291=$A$22,IF($M1291=$A$16,$L1291,0),0)</f>
        <v>0</v>
      </c>
    </row>
    <row r="1290" spans="17:18">
      <c r="Q1290" s="297">
        <f>IF($J1292=$A$21,IF($M1292=$A$16,$L1292,0),0)</f>
        <v>0</v>
      </c>
      <c r="R1290" s="297">
        <f>IF($J1292=$A$22,IF($M1292=$A$16,$L1292,0),0)</f>
        <v>0</v>
      </c>
    </row>
    <row r="1291" spans="17:18">
      <c r="Q1291" s="297">
        <f>IF($J1293=$A$21,IF($M1293=$A$16,$L1293,0),0)</f>
        <v>0</v>
      </c>
      <c r="R1291" s="297">
        <f>IF($J1293=$A$22,IF($M1293=$A$16,$L1293,0),0)</f>
        <v>0</v>
      </c>
    </row>
    <row r="1292" spans="17:18">
      <c r="Q1292" s="297">
        <f>IF($J1294=$A$21,IF($M1294=$A$16,$L1294,0),0)</f>
        <v>0</v>
      </c>
      <c r="R1292" s="297">
        <f>IF($J1294=$A$22,IF($M1294=$A$16,$L1294,0),0)</f>
        <v>0</v>
      </c>
    </row>
    <row r="1293" spans="17:18">
      <c r="Q1293" s="297">
        <f>IF($J1295=$A$21,IF($M1295=$A$16,$L1295,0),0)</f>
        <v>0</v>
      </c>
      <c r="R1293" s="297">
        <f>IF($J1295=$A$22,IF($M1295=$A$16,$L1295,0),0)</f>
        <v>0</v>
      </c>
    </row>
    <row r="1294" spans="17:18">
      <c r="Q1294" s="297">
        <f>IF($J1296=$A$21,IF($M1296=$A$16,$L1296,0),0)</f>
        <v>0</v>
      </c>
      <c r="R1294" s="297">
        <f>IF($J1296=$A$22,IF($M1296=$A$16,$L1296,0),0)</f>
        <v>0</v>
      </c>
    </row>
    <row r="1295" spans="17:18">
      <c r="Q1295" s="297">
        <f>IF($J1297=$A$21,IF($M1297=$A$16,$L1297,0),0)</f>
        <v>0</v>
      </c>
      <c r="R1295" s="297">
        <f>IF($J1297=$A$22,IF($M1297=$A$16,$L1297,0),0)</f>
        <v>0</v>
      </c>
    </row>
    <row r="1296" spans="17:18">
      <c r="Q1296" s="297">
        <f>IF($J1298=$A$21,IF($M1298=$A$16,$L1298,0),0)</f>
        <v>0</v>
      </c>
      <c r="R1296" s="297">
        <f>IF($J1298=$A$22,IF($M1298=$A$16,$L1298,0),0)</f>
        <v>0</v>
      </c>
    </row>
    <row r="1297" spans="17:18">
      <c r="Q1297" s="297">
        <f>IF($J1299=$A$21,IF($M1299=$A$16,$L1299,0),0)</f>
        <v>0</v>
      </c>
      <c r="R1297" s="297">
        <f>IF($J1299=$A$22,IF($M1299=$A$16,$L1299,0),0)</f>
        <v>0</v>
      </c>
    </row>
    <row r="1298" spans="17:18">
      <c r="Q1298" s="297">
        <f>IF($J1300=$A$21,IF($M1300=$A$16,$L1300,0),0)</f>
        <v>0</v>
      </c>
      <c r="R1298" s="297">
        <f>IF($J1300=$A$22,IF($M1300=$A$16,$L1300,0),0)</f>
        <v>0</v>
      </c>
    </row>
    <row r="1299" spans="17:18">
      <c r="Q1299" s="297">
        <f>IF($J1301=$A$21,IF($M1301=$A$16,$L1301,0),0)</f>
        <v>0</v>
      </c>
      <c r="R1299" s="297">
        <f>IF($J1301=$A$22,IF($M1301=$A$16,$L1301,0),0)</f>
        <v>0</v>
      </c>
    </row>
    <row r="1300" spans="17:18">
      <c r="Q1300" s="297">
        <f>IF($J1302=$A$21,IF($M1302=$A$16,$L1302,0),0)</f>
        <v>0</v>
      </c>
      <c r="R1300" s="297">
        <f>IF($J1302=$A$22,IF($M1302=$A$16,$L1302,0),0)</f>
        <v>0</v>
      </c>
    </row>
    <row r="1301" spans="17:18">
      <c r="Q1301" s="297">
        <f>IF($J1303=$A$21,IF($M1303=$A$16,$L1303,0),0)</f>
        <v>0</v>
      </c>
      <c r="R1301" s="297">
        <f>IF($J1303=$A$22,IF($M1303=$A$16,$L1303,0),0)</f>
        <v>0</v>
      </c>
    </row>
    <row r="1302" spans="17:18">
      <c r="Q1302" s="297">
        <f>IF($J1304=$A$21,IF($M1304=$A$16,$L1304,0),0)</f>
        <v>0</v>
      </c>
      <c r="R1302" s="297">
        <f>IF($J1304=$A$22,IF($M1304=$A$16,$L1304,0),0)</f>
        <v>0</v>
      </c>
    </row>
    <row r="1303" spans="17:18">
      <c r="Q1303" s="297">
        <f>IF($J1305=$A$21,IF($M1305=$A$16,$L1305,0),0)</f>
        <v>0</v>
      </c>
      <c r="R1303" s="297">
        <f>IF($J1305=$A$22,IF($M1305=$A$16,$L1305,0),0)</f>
        <v>0</v>
      </c>
    </row>
    <row r="1304" spans="17:18">
      <c r="Q1304" s="297">
        <f>IF($J1306=$A$21,IF($M1306=$A$16,$L1306,0),0)</f>
        <v>0</v>
      </c>
      <c r="R1304" s="297">
        <f>IF($J1306=$A$22,IF($M1306=$A$16,$L1306,0),0)</f>
        <v>0</v>
      </c>
    </row>
    <row r="1305" spans="17:18">
      <c r="Q1305" s="297">
        <f>IF($J1307=$A$21,IF($M1307=$A$16,$L1307,0),0)</f>
        <v>0</v>
      </c>
      <c r="R1305" s="297">
        <f>IF($J1307=$A$22,IF($M1307=$A$16,$L1307,0),0)</f>
        <v>0</v>
      </c>
    </row>
    <row r="1306" spans="17:18">
      <c r="Q1306" s="297">
        <f>IF($J1308=$A$21,IF($M1308=$A$16,$L1308,0),0)</f>
        <v>0</v>
      </c>
      <c r="R1306" s="297">
        <f>IF($J1308=$A$22,IF($M1308=$A$16,$L1308,0),0)</f>
        <v>0</v>
      </c>
    </row>
    <row r="1307" spans="17:18">
      <c r="Q1307" s="297">
        <f>IF($J1309=$A$21,IF($M1309=$A$16,$L1309,0),0)</f>
        <v>0</v>
      </c>
      <c r="R1307" s="297">
        <f>IF($J1309=$A$22,IF($M1309=$A$16,$L1309,0),0)</f>
        <v>0</v>
      </c>
    </row>
    <row r="1308" spans="17:18">
      <c r="Q1308" s="297">
        <f>IF($J1310=$A$21,IF($M1310=$A$16,$L1310,0),0)</f>
        <v>0</v>
      </c>
      <c r="R1308" s="297">
        <f>IF($J1310=$A$22,IF($M1310=$A$16,$L1310,0),0)</f>
        <v>0</v>
      </c>
    </row>
    <row r="1309" spans="17:18">
      <c r="Q1309" s="297">
        <f>IF($J1311=$A$21,IF($M1311=$A$16,$L1311,0),0)</f>
        <v>0</v>
      </c>
      <c r="R1309" s="297">
        <f>IF($J1311=$A$22,IF($M1311=$A$16,$L1311,0),0)</f>
        <v>0</v>
      </c>
    </row>
    <row r="1310" spans="17:18">
      <c r="Q1310" s="297">
        <f>IF($J1312=$A$21,IF($M1312=$A$16,$L1312,0),0)</f>
        <v>0</v>
      </c>
      <c r="R1310" s="297">
        <f>IF($J1312=$A$22,IF($M1312=$A$16,$L1312,0),0)</f>
        <v>0</v>
      </c>
    </row>
    <row r="1311" spans="17:18">
      <c r="Q1311" s="297">
        <f>IF($J1313=$A$21,IF($M1313=$A$16,$L1313,0),0)</f>
        <v>0</v>
      </c>
      <c r="R1311" s="297">
        <f>IF($J1313=$A$22,IF($M1313=$A$16,$L1313,0),0)</f>
        <v>0</v>
      </c>
    </row>
    <row r="1312" spans="17:18">
      <c r="Q1312" s="297">
        <f>IF($J1314=$A$21,IF($M1314=$A$16,$L1314,0),0)</f>
        <v>0</v>
      </c>
      <c r="R1312" s="297">
        <f>IF($J1314=$A$22,IF($M1314=$A$16,$L1314,0),0)</f>
        <v>0</v>
      </c>
    </row>
    <row r="1313" spans="17:18">
      <c r="Q1313" s="297">
        <f>IF($J1315=$A$21,IF($M1315=$A$16,$L1315,0),0)</f>
        <v>0</v>
      </c>
      <c r="R1313" s="297">
        <f>IF($J1315=$A$22,IF($M1315=$A$16,$L1315,0),0)</f>
        <v>0</v>
      </c>
    </row>
    <row r="1314" spans="17:18">
      <c r="Q1314" s="297">
        <f>IF($J1316=$A$21,IF($M1316=$A$16,$L1316,0),0)</f>
        <v>0</v>
      </c>
      <c r="R1314" s="297">
        <f>IF($J1316=$A$22,IF($M1316=$A$16,$L1316,0),0)</f>
        <v>0</v>
      </c>
    </row>
    <row r="1315" spans="17:18">
      <c r="Q1315" s="297">
        <f>IF($J1317=$A$21,IF($M1317=$A$16,$L1317,0),0)</f>
        <v>0</v>
      </c>
      <c r="R1315" s="297">
        <f>IF($J1317=$A$22,IF($M1317=$A$16,$L1317,0),0)</f>
        <v>0</v>
      </c>
    </row>
    <row r="1316" spans="17:18">
      <c r="Q1316" s="297">
        <f>IF($J1318=$A$21,IF($M1318=$A$16,$L1318,0),0)</f>
        <v>0</v>
      </c>
      <c r="R1316" s="297">
        <f>IF($J1318=$A$22,IF($M1318=$A$16,$L1318,0),0)</f>
        <v>0</v>
      </c>
    </row>
    <row r="1317" spans="17:18">
      <c r="Q1317" s="297">
        <f>IF($J1319=$A$21,IF($M1319=$A$16,$L1319,0),0)</f>
        <v>0</v>
      </c>
      <c r="R1317" s="297">
        <f>IF($J1319=$A$22,IF($M1319=$A$16,$L1319,0),0)</f>
        <v>0</v>
      </c>
    </row>
    <row r="1318" spans="17:18">
      <c r="Q1318" s="297">
        <f>IF($J1320=$A$21,IF($M1320=$A$16,$L1320,0),0)</f>
        <v>0</v>
      </c>
      <c r="R1318" s="297">
        <f>IF($J1320=$A$22,IF($M1320=$A$16,$L1320,0),0)</f>
        <v>0</v>
      </c>
    </row>
    <row r="1319" spans="17:18">
      <c r="Q1319" s="297">
        <f>IF($J1321=$A$21,IF($M1321=$A$16,$L1321,0),0)</f>
        <v>0</v>
      </c>
      <c r="R1319" s="297">
        <f>IF($J1321=$A$22,IF($M1321=$A$16,$L1321,0),0)</f>
        <v>0</v>
      </c>
    </row>
    <row r="1320" spans="17:18">
      <c r="Q1320" s="297">
        <f>IF($J1322=$A$21,IF($M1322=$A$16,$L1322,0),0)</f>
        <v>0</v>
      </c>
      <c r="R1320" s="297">
        <f>IF($J1322=$A$22,IF($M1322=$A$16,$L1322,0),0)</f>
        <v>0</v>
      </c>
    </row>
    <row r="1321" spans="17:18">
      <c r="Q1321" s="297">
        <f>IF($J1323=$A$21,IF($M1323=$A$16,$L1323,0),0)</f>
        <v>0</v>
      </c>
      <c r="R1321" s="297">
        <f>IF($J1323=$A$22,IF($M1323=$A$16,$L1323,0),0)</f>
        <v>0</v>
      </c>
    </row>
    <row r="1322" spans="17:18">
      <c r="Q1322" s="297">
        <f>IF($J1324=$A$21,IF($M1324=$A$16,$L1324,0),0)</f>
        <v>0</v>
      </c>
      <c r="R1322" s="297">
        <f>IF($J1324=$A$22,IF($M1324=$A$16,$L1324,0),0)</f>
        <v>0</v>
      </c>
    </row>
    <row r="1323" spans="17:18">
      <c r="Q1323" s="297">
        <f>IF($J1325=$A$21,IF($M1325=$A$16,$L1325,0),0)</f>
        <v>0</v>
      </c>
      <c r="R1323" s="297">
        <f>IF($J1325=$A$22,IF($M1325=$A$16,$L1325,0),0)</f>
        <v>0</v>
      </c>
    </row>
    <row r="1324" spans="17:18">
      <c r="Q1324" s="297">
        <f>IF($J1326=$A$21,IF($M1326=$A$16,$L1326,0),0)</f>
        <v>0</v>
      </c>
      <c r="R1324" s="297">
        <f>IF($J1326=$A$22,IF($M1326=$A$16,$L1326,0),0)</f>
        <v>0</v>
      </c>
    </row>
    <row r="1325" spans="17:18">
      <c r="Q1325" s="297">
        <f>IF($J1327=$A$21,IF($M1327=$A$16,$L1327,0),0)</f>
        <v>0</v>
      </c>
      <c r="R1325" s="297">
        <f>IF($J1327=$A$22,IF($M1327=$A$16,$L1327,0),0)</f>
        <v>0</v>
      </c>
    </row>
    <row r="1326" spans="17:18">
      <c r="Q1326" s="297">
        <f>IF($J1328=$A$21,IF($M1328=$A$16,$L1328,0),0)</f>
        <v>0</v>
      </c>
      <c r="R1326" s="297">
        <f>IF($J1328=$A$22,IF($M1328=$A$16,$L1328,0),0)</f>
        <v>0</v>
      </c>
    </row>
    <row r="1327" spans="17:18">
      <c r="Q1327" s="297">
        <f>IF($J1329=$A$21,IF($M1329=$A$16,$L1329,0),0)</f>
        <v>0</v>
      </c>
      <c r="R1327" s="297">
        <f>IF($J1329=$A$22,IF($M1329=$A$16,$L1329,0),0)</f>
        <v>0</v>
      </c>
    </row>
    <row r="1328" spans="17:18">
      <c r="Q1328" s="297">
        <f>IF($J1330=$A$21,IF($M1330=$A$16,$L1330,0),0)</f>
        <v>0</v>
      </c>
      <c r="R1328" s="297">
        <f>IF($J1330=$A$22,IF($M1330=$A$16,$L1330,0),0)</f>
        <v>0</v>
      </c>
    </row>
    <row r="1329" spans="17:18">
      <c r="Q1329" s="297">
        <f>IF($J1331=$A$21,IF($M1331=$A$16,$L1331,0),0)</f>
        <v>0</v>
      </c>
      <c r="R1329" s="297">
        <f>IF($J1331=$A$22,IF($M1331=$A$16,$L1331,0),0)</f>
        <v>0</v>
      </c>
    </row>
    <row r="1330" spans="17:18">
      <c r="Q1330" s="297">
        <f>IF($J1332=$A$21,IF($M1332=$A$16,$L1332,0),0)</f>
        <v>0</v>
      </c>
      <c r="R1330" s="297">
        <f>IF($J1332=$A$22,IF($M1332=$A$16,$L1332,0),0)</f>
        <v>0</v>
      </c>
    </row>
    <row r="1331" spans="17:18">
      <c r="Q1331" s="297">
        <f>IF($J1333=$A$21,IF($M1333=$A$16,$L1333,0),0)</f>
        <v>0</v>
      </c>
      <c r="R1331" s="297">
        <f>IF($J1333=$A$22,IF($M1333=$A$16,$L1333,0),0)</f>
        <v>0</v>
      </c>
    </row>
    <row r="1332" spans="17:18">
      <c r="Q1332" s="297">
        <f>IF($J1334=$A$21,IF($M1334=$A$16,$L1334,0),0)</f>
        <v>0</v>
      </c>
      <c r="R1332" s="297">
        <f>IF($J1334=$A$22,IF($M1334=$A$16,$L1334,0),0)</f>
        <v>0</v>
      </c>
    </row>
    <row r="1333" spans="17:18">
      <c r="Q1333" s="297">
        <f>IF($J1335=$A$21,IF($M1335=$A$16,$L1335,0),0)</f>
        <v>0</v>
      </c>
      <c r="R1333" s="297">
        <f>IF($J1335=$A$22,IF($M1335=$A$16,$L1335,0),0)</f>
        <v>0</v>
      </c>
    </row>
    <row r="1334" spans="17:18">
      <c r="Q1334" s="297">
        <f>IF($J1336=$A$21,IF($M1336=$A$16,$L1336,0),0)</f>
        <v>0</v>
      </c>
      <c r="R1334" s="297">
        <f>IF($J1336=$A$22,IF($M1336=$A$16,$L1336,0),0)</f>
        <v>0</v>
      </c>
    </row>
    <row r="1335" spans="17:18">
      <c r="Q1335" s="297">
        <f>IF($J1337=$A$21,IF($M1337=$A$16,$L1337,0),0)</f>
        <v>0</v>
      </c>
      <c r="R1335" s="297">
        <f>IF($J1337=$A$22,IF($M1337=$A$16,$L1337,0),0)</f>
        <v>0</v>
      </c>
    </row>
    <row r="1336" spans="17:18">
      <c r="Q1336" s="297">
        <f>IF($J1338=$A$21,IF($M1338=$A$16,$L1338,0),0)</f>
        <v>0</v>
      </c>
      <c r="R1336" s="297">
        <f>IF($J1338=$A$22,IF($M1338=$A$16,$L1338,0),0)</f>
        <v>0</v>
      </c>
    </row>
    <row r="1337" spans="17:18">
      <c r="Q1337" s="297">
        <f>IF($J1339=$A$21,IF($M1339=$A$16,$L1339,0),0)</f>
        <v>0</v>
      </c>
      <c r="R1337" s="297">
        <f>IF($J1339=$A$22,IF($M1339=$A$16,$L1339,0),0)</f>
        <v>0</v>
      </c>
    </row>
    <row r="1338" spans="17:18">
      <c r="Q1338" s="297">
        <f>IF($J1340=$A$21,IF($M1340=$A$16,$L1340,0),0)</f>
        <v>0</v>
      </c>
      <c r="R1338" s="297">
        <f>IF($J1340=$A$22,IF($M1340=$A$16,$L1340,0),0)</f>
        <v>0</v>
      </c>
    </row>
    <row r="1339" spans="17:18">
      <c r="Q1339" s="297">
        <f>IF($J1341=$A$21,IF($M1341=$A$16,$L1341,0),0)</f>
        <v>0</v>
      </c>
      <c r="R1339" s="297">
        <f>IF($J1341=$A$22,IF($M1341=$A$16,$L1341,0),0)</f>
        <v>0</v>
      </c>
    </row>
    <row r="1340" spans="17:18">
      <c r="Q1340" s="297">
        <f>IF($J1342=$A$21,IF($M1342=$A$16,$L1342,0),0)</f>
        <v>0</v>
      </c>
      <c r="R1340" s="297">
        <f>IF($J1342=$A$22,IF($M1342=$A$16,$L1342,0),0)</f>
        <v>0</v>
      </c>
    </row>
    <row r="1341" spans="17:18">
      <c r="Q1341" s="297">
        <f>IF($J1343=$A$21,IF($M1343=$A$16,$L1343,0),0)</f>
        <v>0</v>
      </c>
      <c r="R1341" s="297">
        <f>IF($J1343=$A$22,IF($M1343=$A$16,$L1343,0),0)</f>
        <v>0</v>
      </c>
    </row>
    <row r="1342" spans="17:18">
      <c r="Q1342" s="297">
        <f>IF($J1344=$A$21,IF($M1344=$A$16,$L1344,0),0)</f>
        <v>0</v>
      </c>
      <c r="R1342" s="297">
        <f>IF($J1344=$A$22,IF($M1344=$A$16,$L1344,0),0)</f>
        <v>0</v>
      </c>
    </row>
    <row r="1343" spans="17:18">
      <c r="Q1343" s="297">
        <f>IF($J1345=$A$21,IF($M1345=$A$16,$L1345,0),0)</f>
        <v>0</v>
      </c>
      <c r="R1343" s="297">
        <f>IF($J1345=$A$22,IF($M1345=$A$16,$L1345,0),0)</f>
        <v>0</v>
      </c>
    </row>
    <row r="1344" spans="17:18">
      <c r="Q1344" s="297">
        <f>IF($J1346=$A$21,IF($M1346=$A$16,$L1346,0),0)</f>
        <v>0</v>
      </c>
      <c r="R1344" s="297">
        <f>IF($J1346=$A$22,IF($M1346=$A$16,$L1346,0),0)</f>
        <v>0</v>
      </c>
    </row>
    <row r="1345" spans="17:18">
      <c r="Q1345" s="297">
        <f>IF($J1347=$A$21,IF($M1347=$A$16,$L1347,0),0)</f>
        <v>0</v>
      </c>
      <c r="R1345" s="297">
        <f>IF($J1347=$A$22,IF($M1347=$A$16,$L1347,0),0)</f>
        <v>0</v>
      </c>
    </row>
    <row r="1346" spans="17:18">
      <c r="Q1346" s="297">
        <f>IF($J1348=$A$21,IF($M1348=$A$16,$L1348,0),0)</f>
        <v>0</v>
      </c>
      <c r="R1346" s="297">
        <f>IF($J1348=$A$22,IF($M1348=$A$16,$L1348,0),0)</f>
        <v>0</v>
      </c>
    </row>
    <row r="1347" spans="17:18">
      <c r="Q1347" s="297">
        <f>IF($J1349=$A$21,IF($M1349=$A$16,$L1349,0),0)</f>
        <v>0</v>
      </c>
      <c r="R1347" s="297">
        <f>IF($J1349=$A$22,IF($M1349=$A$16,$L1349,0),0)</f>
        <v>0</v>
      </c>
    </row>
    <row r="1348" spans="17:18">
      <c r="Q1348" s="297">
        <f>IF($J1350=$A$21,IF($M1350=$A$16,$L1350,0),0)</f>
        <v>0</v>
      </c>
      <c r="R1348" s="297">
        <f>IF($J1350=$A$22,IF($M1350=$A$16,$L1350,0),0)</f>
        <v>0</v>
      </c>
    </row>
    <row r="1349" spans="17:18">
      <c r="Q1349" s="297">
        <f>IF($J1351=$A$21,IF($M1351=$A$16,$L1351,0),0)</f>
        <v>0</v>
      </c>
      <c r="R1349" s="297">
        <f>IF($J1351=$A$22,IF($M1351=$A$16,$L1351,0),0)</f>
        <v>0</v>
      </c>
    </row>
    <row r="1350" spans="17:18">
      <c r="Q1350" s="297">
        <f>IF($J1352=$A$21,IF($M1352=$A$16,$L1352,0),0)</f>
        <v>0</v>
      </c>
      <c r="R1350" s="297">
        <f>IF($J1352=$A$22,IF($M1352=$A$16,$L1352,0),0)</f>
        <v>0</v>
      </c>
    </row>
    <row r="1351" spans="17:18">
      <c r="Q1351" s="297">
        <f>IF($J1353=$A$21,IF($M1353=$A$16,$L1353,0),0)</f>
        <v>0</v>
      </c>
      <c r="R1351" s="297">
        <f>IF($J1353=$A$22,IF($M1353=$A$16,$L1353,0),0)</f>
        <v>0</v>
      </c>
    </row>
    <row r="1352" spans="17:18">
      <c r="Q1352" s="297">
        <f>IF($J1354=$A$21,IF($M1354=$A$16,$L1354,0),0)</f>
        <v>0</v>
      </c>
      <c r="R1352" s="297">
        <f>IF($J1354=$A$22,IF($M1354=$A$16,$L1354,0),0)</f>
        <v>0</v>
      </c>
    </row>
    <row r="1353" spans="17:18">
      <c r="Q1353" s="297">
        <f>IF($J1355=$A$21,IF($M1355=$A$16,$L1355,0),0)</f>
        <v>0</v>
      </c>
      <c r="R1353" s="297">
        <f>IF($J1355=$A$22,IF($M1355=$A$16,$L1355,0),0)</f>
        <v>0</v>
      </c>
    </row>
    <row r="1354" spans="17:18">
      <c r="Q1354" s="297">
        <f>IF($J1356=$A$21,IF($M1356=$A$16,$L1356,0),0)</f>
        <v>0</v>
      </c>
      <c r="R1354" s="297">
        <f>IF($J1356=$A$22,IF($M1356=$A$16,$L1356,0),0)</f>
        <v>0</v>
      </c>
    </row>
    <row r="1355" spans="17:18">
      <c r="Q1355" s="297">
        <f>IF($J1357=$A$21,IF($M1357=$A$16,$L1357,0),0)</f>
        <v>0</v>
      </c>
      <c r="R1355" s="297">
        <f>IF($J1357=$A$22,IF($M1357=$A$16,$L1357,0),0)</f>
        <v>0</v>
      </c>
    </row>
    <row r="1356" spans="17:18">
      <c r="Q1356" s="297">
        <f>IF($J1358=$A$21,IF($M1358=$A$16,$L1358,0),0)</f>
        <v>0</v>
      </c>
      <c r="R1356" s="297">
        <f>IF($J1358=$A$22,IF($M1358=$A$16,$L1358,0),0)</f>
        <v>0</v>
      </c>
    </row>
    <row r="1357" spans="17:18">
      <c r="Q1357" s="297">
        <f>IF($J1359=$A$21,IF($M1359=$A$16,$L1359,0),0)</f>
        <v>0</v>
      </c>
      <c r="R1357" s="297">
        <f>IF($J1359=$A$22,IF($M1359=$A$16,$L1359,0),0)</f>
        <v>0</v>
      </c>
    </row>
    <row r="1358" spans="17:18">
      <c r="Q1358" s="297">
        <f>IF($J1360=$A$21,IF($M1360=$A$16,$L1360,0),0)</f>
        <v>0</v>
      </c>
      <c r="R1358" s="297">
        <f>IF($J1360=$A$22,IF($M1360=$A$16,$L1360,0),0)</f>
        <v>0</v>
      </c>
    </row>
    <row r="1359" spans="17:18">
      <c r="Q1359" s="297">
        <f>IF($J1361=$A$21,IF($M1361=$A$16,$L1361,0),0)</f>
        <v>0</v>
      </c>
      <c r="R1359" s="297">
        <f>IF($J1361=$A$22,IF($M1361=$A$16,$L1361,0),0)</f>
        <v>0</v>
      </c>
    </row>
    <row r="1360" spans="17:18">
      <c r="Q1360" s="297">
        <f>IF($J1362=$A$21,IF($M1362=$A$16,$L1362,0),0)</f>
        <v>0</v>
      </c>
      <c r="R1360" s="297">
        <f>IF($J1362=$A$22,IF($M1362=$A$16,$L1362,0),0)</f>
        <v>0</v>
      </c>
    </row>
    <row r="1361" spans="17:18">
      <c r="Q1361" s="297">
        <f>IF($J1363=$A$21,IF($M1363=$A$16,$L1363,0),0)</f>
        <v>0</v>
      </c>
      <c r="R1361" s="297">
        <f>IF($J1363=$A$22,IF($M1363=$A$16,$L1363,0),0)</f>
        <v>0</v>
      </c>
    </row>
    <row r="1362" spans="17:18">
      <c r="Q1362" s="297">
        <f>IF($J1364=$A$21,IF($M1364=$A$16,$L1364,0),0)</f>
        <v>0</v>
      </c>
      <c r="R1362" s="297">
        <f>IF($J1364=$A$22,IF($M1364=$A$16,$L1364,0),0)</f>
        <v>0</v>
      </c>
    </row>
    <row r="1363" spans="17:18">
      <c r="Q1363" s="297">
        <f>IF($J1365=$A$21,IF($M1365=$A$16,$L1365,0),0)</f>
        <v>0</v>
      </c>
      <c r="R1363" s="297">
        <f>IF($J1365=$A$22,IF($M1365=$A$16,$L1365,0),0)</f>
        <v>0</v>
      </c>
    </row>
    <row r="1364" spans="17:18">
      <c r="Q1364" s="297">
        <f>IF($J1366=$A$21,IF($M1366=$A$16,$L1366,0),0)</f>
        <v>0</v>
      </c>
      <c r="R1364" s="297">
        <f>IF($J1366=$A$22,IF($M1366=$A$16,$L1366,0),0)</f>
        <v>0</v>
      </c>
    </row>
    <row r="1365" spans="17:18">
      <c r="Q1365" s="297">
        <f>IF($J1367=$A$21,IF($M1367=$A$16,$L1367,0),0)</f>
        <v>0</v>
      </c>
      <c r="R1365" s="297">
        <f>IF($J1367=$A$22,IF($M1367=$A$16,$L1367,0),0)</f>
        <v>0</v>
      </c>
    </row>
    <row r="1366" spans="17:18">
      <c r="Q1366" s="297">
        <f>IF($J1368=$A$21,IF($M1368=$A$16,$L1368,0),0)</f>
        <v>0</v>
      </c>
      <c r="R1366" s="297">
        <f>IF($J1368=$A$22,IF($M1368=$A$16,$L1368,0),0)</f>
        <v>0</v>
      </c>
    </row>
    <row r="1367" spans="17:18">
      <c r="Q1367" s="297">
        <f>IF($J1369=$A$21,IF($M1369=$A$16,$L1369,0),0)</f>
        <v>0</v>
      </c>
      <c r="R1367" s="297">
        <f>IF($J1369=$A$22,IF($M1369=$A$16,$L1369,0),0)</f>
        <v>0</v>
      </c>
    </row>
    <row r="1368" spans="17:18">
      <c r="Q1368" s="297">
        <f>IF($J1370=$A$21,IF($M1370=$A$16,$L1370,0),0)</f>
        <v>0</v>
      </c>
      <c r="R1368" s="297">
        <f>IF($J1370=$A$22,IF($M1370=$A$16,$L1370,0),0)</f>
        <v>0</v>
      </c>
    </row>
    <row r="1369" spans="17:18">
      <c r="Q1369" s="297">
        <f>IF($J1371=$A$21,IF($M1371=$A$16,$L1371,0),0)</f>
        <v>0</v>
      </c>
      <c r="R1369" s="297">
        <f>IF($J1371=$A$22,IF($M1371=$A$16,$L1371,0),0)</f>
        <v>0</v>
      </c>
    </row>
    <row r="1370" spans="17:18">
      <c r="Q1370" s="297">
        <f>IF($J1372=$A$21,IF($M1372=$A$16,$L1372,0),0)</f>
        <v>0</v>
      </c>
      <c r="R1370" s="297">
        <f>IF($J1372=$A$22,IF($M1372=$A$16,$L1372,0),0)</f>
        <v>0</v>
      </c>
    </row>
    <row r="1371" spans="17:18">
      <c r="Q1371" s="297">
        <f>IF($J1373=$A$21,IF($M1373=$A$16,$L1373,0),0)</f>
        <v>0</v>
      </c>
      <c r="R1371" s="297">
        <f>IF($J1373=$A$22,IF($M1373=$A$16,$L1373,0),0)</f>
        <v>0</v>
      </c>
    </row>
    <row r="1372" spans="17:18">
      <c r="Q1372" s="297">
        <f>IF($J1374=$A$21,IF($M1374=$A$16,$L1374,0),0)</f>
        <v>0</v>
      </c>
      <c r="R1372" s="297">
        <f>IF($J1374=$A$22,IF($M1374=$A$16,$L1374,0),0)</f>
        <v>0</v>
      </c>
    </row>
    <row r="1373" spans="17:18">
      <c r="Q1373" s="297">
        <f>IF($J1375=$A$21,IF($M1375=$A$16,$L1375,0),0)</f>
        <v>0</v>
      </c>
      <c r="R1373" s="297">
        <f>IF($J1375=$A$22,IF($M1375=$A$16,$L1375,0),0)</f>
        <v>0</v>
      </c>
    </row>
    <row r="1374" spans="17:18">
      <c r="Q1374" s="297">
        <f>IF($J1376=$A$21,IF($M1376=$A$16,$L1376,0),0)</f>
        <v>0</v>
      </c>
      <c r="R1374" s="297">
        <f>IF($J1376=$A$22,IF($M1376=$A$16,$L1376,0),0)</f>
        <v>0</v>
      </c>
    </row>
    <row r="1375" spans="17:18">
      <c r="Q1375" s="297">
        <f>IF($J1377=$A$21,IF($M1377=$A$16,$L1377,0),0)</f>
        <v>0</v>
      </c>
      <c r="R1375" s="297">
        <f>IF($J1377=$A$22,IF($M1377=$A$16,$L1377,0),0)</f>
        <v>0</v>
      </c>
    </row>
    <row r="1376" spans="17:18">
      <c r="Q1376" s="297">
        <f>IF($J1378=$A$21,IF($M1378=$A$16,$L1378,0),0)</f>
        <v>0</v>
      </c>
      <c r="R1376" s="297">
        <f>IF($J1378=$A$22,IF($M1378=$A$16,$L1378,0),0)</f>
        <v>0</v>
      </c>
    </row>
    <row r="1377" spans="17:18">
      <c r="Q1377" s="297">
        <f>IF($J1379=$A$21,IF($M1379=$A$16,$L1379,0),0)</f>
        <v>0</v>
      </c>
      <c r="R1377" s="297">
        <f>IF($J1379=$A$22,IF($M1379=$A$16,$L1379,0),0)</f>
        <v>0</v>
      </c>
    </row>
    <row r="1378" spans="17:18">
      <c r="Q1378" s="297">
        <f>IF($J1380=$A$21,IF($M1380=$A$16,$L1380,0),0)</f>
        <v>0</v>
      </c>
      <c r="R1378" s="297">
        <f>IF($J1380=$A$22,IF($M1380=$A$16,$L1380,0),0)</f>
        <v>0</v>
      </c>
    </row>
    <row r="1379" spans="17:18">
      <c r="Q1379" s="297">
        <f>IF($J1381=$A$21,IF($M1381=$A$16,$L1381,0),0)</f>
        <v>0</v>
      </c>
      <c r="R1379" s="297">
        <f>IF($J1381=$A$22,IF($M1381=$A$16,$L1381,0),0)</f>
        <v>0</v>
      </c>
    </row>
    <row r="1380" spans="17:18">
      <c r="Q1380" s="297">
        <f>IF($J1382=$A$21,IF($M1382=$A$16,$L1382,0),0)</f>
        <v>0</v>
      </c>
      <c r="R1380" s="297">
        <f>IF($J1382=$A$22,IF($M1382=$A$16,$L1382,0),0)</f>
        <v>0</v>
      </c>
    </row>
    <row r="1381" spans="17:18">
      <c r="Q1381" s="297">
        <f>IF($J1383=$A$21,IF($M1383=$A$16,$L1383,0),0)</f>
        <v>0</v>
      </c>
      <c r="R1381" s="297">
        <f>IF($J1383=$A$22,IF($M1383=$A$16,$L1383,0),0)</f>
        <v>0</v>
      </c>
    </row>
    <row r="1382" spans="17:18">
      <c r="Q1382" s="297">
        <f>IF($J1384=$A$21,IF($M1384=$A$16,$L1384,0),0)</f>
        <v>0</v>
      </c>
      <c r="R1382" s="297">
        <f>IF($J1384=$A$22,IF($M1384=$A$16,$L1384,0),0)</f>
        <v>0</v>
      </c>
    </row>
    <row r="1383" spans="17:18">
      <c r="Q1383" s="297">
        <f>IF($J1385=$A$21,IF($M1385=$A$16,$L1385,0),0)</f>
        <v>0</v>
      </c>
      <c r="R1383" s="297">
        <f>IF($J1385=$A$22,IF($M1385=$A$16,$L1385,0),0)</f>
        <v>0</v>
      </c>
    </row>
    <row r="1384" spans="17:18">
      <c r="Q1384" s="297">
        <f>IF($J1386=$A$21,IF($M1386=$A$16,$L1386,0),0)</f>
        <v>0</v>
      </c>
      <c r="R1384" s="297">
        <f>IF($J1386=$A$22,IF($M1386=$A$16,$L1386,0),0)</f>
        <v>0</v>
      </c>
    </row>
    <row r="1385" spans="17:18">
      <c r="Q1385" s="297">
        <f>IF($J1387=$A$21,IF($M1387=$A$16,$L1387,0),0)</f>
        <v>0</v>
      </c>
      <c r="R1385" s="297">
        <f>IF($J1387=$A$22,IF($M1387=$A$16,$L1387,0),0)</f>
        <v>0</v>
      </c>
    </row>
    <row r="1386" spans="17:18">
      <c r="Q1386" s="297">
        <f>IF($J1388=$A$21,IF($M1388=$A$16,$L1388,0),0)</f>
        <v>0</v>
      </c>
      <c r="R1386" s="297">
        <f>IF($J1388=$A$22,IF($M1388=$A$16,$L1388,0),0)</f>
        <v>0</v>
      </c>
    </row>
    <row r="1387" spans="17:18">
      <c r="Q1387" s="297">
        <f>IF($J1389=$A$21,IF($M1389=$A$16,$L1389,0),0)</f>
        <v>0</v>
      </c>
      <c r="R1387" s="297">
        <f>IF($J1389=$A$22,IF($M1389=$A$16,$L1389,0),0)</f>
        <v>0</v>
      </c>
    </row>
    <row r="1388" spans="17:18">
      <c r="Q1388" s="297">
        <f>IF($J1390=$A$21,IF($M1390=$A$16,$L1390,0),0)</f>
        <v>0</v>
      </c>
      <c r="R1388" s="297">
        <f>IF($J1390=$A$22,IF($M1390=$A$16,$L1390,0),0)</f>
        <v>0</v>
      </c>
    </row>
    <row r="1389" spans="17:18">
      <c r="Q1389" s="297">
        <f>IF($J1391=$A$21,IF($M1391=$A$16,$L1391,0),0)</f>
        <v>0</v>
      </c>
      <c r="R1389" s="297">
        <f>IF($J1391=$A$22,IF($M1391=$A$16,$L1391,0),0)</f>
        <v>0</v>
      </c>
    </row>
    <row r="1390" spans="17:18">
      <c r="Q1390" s="297">
        <f>IF($J1392=$A$21,IF($M1392=$A$16,$L1392,0),0)</f>
        <v>0</v>
      </c>
      <c r="R1390" s="297">
        <f>IF($J1392=$A$22,IF($M1392=$A$16,$L1392,0),0)</f>
        <v>0</v>
      </c>
    </row>
    <row r="1391" spans="17:18">
      <c r="Q1391" s="297">
        <f>IF($J1393=$A$21,IF($M1393=$A$16,$L1393,0),0)</f>
        <v>0</v>
      </c>
      <c r="R1391" s="297">
        <f>IF($J1393=$A$22,IF($M1393=$A$16,$L1393,0),0)</f>
        <v>0</v>
      </c>
    </row>
    <row r="1392" spans="17:18">
      <c r="Q1392" s="297">
        <f>IF($J1394=$A$21,IF($M1394=$A$16,$L1394,0),0)</f>
        <v>0</v>
      </c>
      <c r="R1392" s="297">
        <f>IF($J1394=$A$22,IF($M1394=$A$16,$L1394,0),0)</f>
        <v>0</v>
      </c>
    </row>
    <row r="1393" spans="17:18">
      <c r="Q1393" s="297">
        <f>IF($J1395=$A$21,IF($M1395=$A$16,$L1395,0),0)</f>
        <v>0</v>
      </c>
      <c r="R1393" s="297">
        <f>IF($J1395=$A$22,IF($M1395=$A$16,$L1395,0),0)</f>
        <v>0</v>
      </c>
    </row>
    <row r="1394" spans="17:18">
      <c r="Q1394" s="297">
        <f>IF($J1396=$A$21,IF($M1396=$A$16,$L1396,0),0)</f>
        <v>0</v>
      </c>
      <c r="R1394" s="297">
        <f>IF($J1396=$A$22,IF($M1396=$A$16,$L1396,0),0)</f>
        <v>0</v>
      </c>
    </row>
    <row r="1395" spans="17:18">
      <c r="Q1395" s="297">
        <f>IF($J1397=$A$21,IF($M1397=$A$16,$L1397,0),0)</f>
        <v>0</v>
      </c>
      <c r="R1395" s="297">
        <f>IF($J1397=$A$22,IF($M1397=$A$16,$L1397,0),0)</f>
        <v>0</v>
      </c>
    </row>
    <row r="1396" spans="17:18">
      <c r="Q1396" s="297">
        <f>IF($J1398=$A$21,IF($M1398=$A$16,$L1398,0),0)</f>
        <v>0</v>
      </c>
      <c r="R1396" s="297">
        <f>IF($J1398=$A$22,IF($M1398=$A$16,$L1398,0),0)</f>
        <v>0</v>
      </c>
    </row>
    <row r="1397" spans="17:18">
      <c r="Q1397" s="297">
        <f>IF($J1399=$A$21,IF($M1399=$A$16,$L1399,0),0)</f>
        <v>0</v>
      </c>
      <c r="R1397" s="297">
        <f>IF($J1399=$A$22,IF($M1399=$A$16,$L1399,0),0)</f>
        <v>0</v>
      </c>
    </row>
    <row r="1398" spans="17:18">
      <c r="Q1398" s="297">
        <f>IF($J1400=$A$21,IF($M1400=$A$16,$L1400,0),0)</f>
        <v>0</v>
      </c>
      <c r="R1398" s="297">
        <f>IF($J1400=$A$22,IF($M1400=$A$16,$L1400,0),0)</f>
        <v>0</v>
      </c>
    </row>
    <row r="1399" spans="17:18">
      <c r="Q1399" s="297">
        <f>IF($J1401=$A$21,IF($M1401=$A$16,$L1401,0),0)</f>
        <v>0</v>
      </c>
      <c r="R1399" s="297">
        <f>IF($J1401=$A$22,IF($M1401=$A$16,$L1401,0),0)</f>
        <v>0</v>
      </c>
    </row>
    <row r="1400" spans="17:18">
      <c r="Q1400" s="297">
        <f>IF($J1402=$A$21,IF($M1402=$A$16,$L1402,0),0)</f>
        <v>0</v>
      </c>
      <c r="R1400" s="297">
        <f>IF($J1402=$A$22,IF($M1402=$A$16,$L1402,0),0)</f>
        <v>0</v>
      </c>
    </row>
    <row r="1401" spans="17:18">
      <c r="Q1401" s="297">
        <f>IF($J1403=$A$21,IF($M1403=$A$16,$L1403,0),0)</f>
        <v>0</v>
      </c>
      <c r="R1401" s="297">
        <f>IF($J1403=$A$22,IF($M1403=$A$16,$L1403,0),0)</f>
        <v>0</v>
      </c>
    </row>
    <row r="1402" spans="17:18">
      <c r="Q1402" s="297">
        <f>IF($J1404=$A$21,IF($M1404=$A$16,$L1404,0),0)</f>
        <v>0</v>
      </c>
      <c r="R1402" s="297">
        <f>IF($J1404=$A$22,IF($M1404=$A$16,$L1404,0),0)</f>
        <v>0</v>
      </c>
    </row>
    <row r="1403" spans="17:18">
      <c r="Q1403" s="297">
        <f>IF($J1405=$A$21,IF($M1405=$A$16,$L1405,0),0)</f>
        <v>0</v>
      </c>
      <c r="R1403" s="297">
        <f>IF($J1405=$A$22,IF($M1405=$A$16,$L1405,0),0)</f>
        <v>0</v>
      </c>
    </row>
    <row r="1404" spans="17:18">
      <c r="Q1404" s="297">
        <f>IF($J1406=$A$21,IF($M1406=$A$16,$L1406,0),0)</f>
        <v>0</v>
      </c>
      <c r="R1404" s="297">
        <f>IF($J1406=$A$22,IF($M1406=$A$16,$L1406,0),0)</f>
        <v>0</v>
      </c>
    </row>
    <row r="1405" spans="17:18">
      <c r="Q1405" s="297">
        <f>IF($J1407=$A$21,IF($M1407=$A$16,$L1407,0),0)</f>
        <v>0</v>
      </c>
      <c r="R1405" s="297">
        <f>IF($J1407=$A$22,IF($M1407=$A$16,$L1407,0),0)</f>
        <v>0</v>
      </c>
    </row>
    <row r="1406" spans="17:18">
      <c r="Q1406" s="297">
        <f>IF($J1408=$A$21,IF($M1408=$A$16,$L1408,0),0)</f>
        <v>0</v>
      </c>
      <c r="R1406" s="297">
        <f>IF($J1408=$A$22,IF($M1408=$A$16,$L1408,0),0)</f>
        <v>0</v>
      </c>
    </row>
    <row r="1407" spans="17:18">
      <c r="Q1407" s="297">
        <f>IF($J1409=$A$21,IF($M1409=$A$16,$L1409,0),0)</f>
        <v>0</v>
      </c>
      <c r="R1407" s="297">
        <f>IF($J1409=$A$22,IF($M1409=$A$16,$L1409,0),0)</f>
        <v>0</v>
      </c>
    </row>
    <row r="1408" spans="17:18">
      <c r="Q1408" s="297">
        <f>IF($J1410=$A$21,IF($M1410=$A$16,$L1410,0),0)</f>
        <v>0</v>
      </c>
      <c r="R1408" s="297">
        <f>IF($J1410=$A$22,IF($M1410=$A$16,$L1410,0),0)</f>
        <v>0</v>
      </c>
    </row>
    <row r="1409" spans="17:18">
      <c r="Q1409" s="297">
        <f>IF($J1411=$A$21,IF($M1411=$A$16,$L1411,0),0)</f>
        <v>0</v>
      </c>
      <c r="R1409" s="297">
        <f>IF($J1411=$A$22,IF($M1411=$A$16,$L1411,0),0)</f>
        <v>0</v>
      </c>
    </row>
    <row r="1410" spans="17:18">
      <c r="Q1410" s="297">
        <f>IF($J1412=$A$21,IF($M1412=$A$16,$L1412,0),0)</f>
        <v>0</v>
      </c>
      <c r="R1410" s="297">
        <f>IF($J1412=$A$22,IF($M1412=$A$16,$L1412,0),0)</f>
        <v>0</v>
      </c>
    </row>
    <row r="1411" spans="17:18">
      <c r="Q1411" s="297">
        <f>IF($J1413=$A$21,IF($M1413=$A$16,$L1413,0),0)</f>
        <v>0</v>
      </c>
      <c r="R1411" s="297">
        <f>IF($J1413=$A$22,IF($M1413=$A$16,$L1413,0),0)</f>
        <v>0</v>
      </c>
    </row>
    <row r="1412" spans="17:18">
      <c r="Q1412" s="297">
        <f>IF($J1414=$A$21,IF($M1414=$A$16,$L1414,0),0)</f>
        <v>0</v>
      </c>
      <c r="R1412" s="297">
        <f>IF($J1414=$A$22,IF($M1414=$A$16,$L1414,0),0)</f>
        <v>0</v>
      </c>
    </row>
    <row r="1413" spans="17:18">
      <c r="Q1413" s="297">
        <f>IF($J1415=$A$21,IF($M1415=$A$16,$L1415,0),0)</f>
        <v>0</v>
      </c>
      <c r="R1413" s="297">
        <f>IF($J1415=$A$22,IF($M1415=$A$16,$L1415,0),0)</f>
        <v>0</v>
      </c>
    </row>
    <row r="1414" spans="17:18">
      <c r="Q1414" s="297">
        <f>IF($J1416=$A$21,IF($M1416=$A$16,$L1416,0),0)</f>
        <v>0</v>
      </c>
      <c r="R1414" s="297">
        <f>IF($J1416=$A$22,IF($M1416=$A$16,$L1416,0),0)</f>
        <v>0</v>
      </c>
    </row>
    <row r="1415" spans="17:18">
      <c r="Q1415" s="297">
        <f>IF($J1417=$A$21,IF($M1417=$A$16,$L1417,0),0)</f>
        <v>0</v>
      </c>
      <c r="R1415" s="297">
        <f>IF($J1417=$A$22,IF($M1417=$A$16,$L1417,0),0)</f>
        <v>0</v>
      </c>
    </row>
    <row r="1416" spans="17:18">
      <c r="Q1416" s="297">
        <f>IF($J1418=$A$21,IF($M1418=$A$16,$L1418,0),0)</f>
        <v>0</v>
      </c>
      <c r="R1416" s="297">
        <f>IF($J1418=$A$22,IF($M1418=$A$16,$L1418,0),0)</f>
        <v>0</v>
      </c>
    </row>
    <row r="1417" spans="17:18">
      <c r="Q1417" s="297">
        <f>IF($J1419=$A$21,IF($M1419=$A$16,$L1419,0),0)</f>
        <v>0</v>
      </c>
      <c r="R1417" s="297">
        <f>IF($J1419=$A$22,IF($M1419=$A$16,$L1419,0),0)</f>
        <v>0</v>
      </c>
    </row>
    <row r="1418" spans="17:18">
      <c r="Q1418" s="297">
        <f>IF($J1420=$A$21,IF($M1420=$A$16,$L1420,0),0)</f>
        <v>0</v>
      </c>
      <c r="R1418" s="297">
        <f>IF($J1420=$A$22,IF($M1420=$A$16,$L1420,0),0)</f>
        <v>0</v>
      </c>
    </row>
    <row r="1419" spans="17:18">
      <c r="Q1419" s="297">
        <f>IF($J1421=$A$21,IF($M1421=$A$16,$L1421,0),0)</f>
        <v>0</v>
      </c>
      <c r="R1419" s="297">
        <f>IF($J1421=$A$22,IF($M1421=$A$16,$L1421,0),0)</f>
        <v>0</v>
      </c>
    </row>
    <row r="1420" spans="17:18">
      <c r="Q1420" s="297">
        <f>IF($J1422=$A$21,IF($M1422=$A$16,$L1422,0),0)</f>
        <v>0</v>
      </c>
      <c r="R1420" s="297">
        <f>IF($J1422=$A$22,IF($M1422=$A$16,$L1422,0),0)</f>
        <v>0</v>
      </c>
    </row>
    <row r="1421" spans="17:18">
      <c r="Q1421" s="297">
        <f>IF($J1423=$A$21,IF($M1423=$A$16,$L1423,0),0)</f>
        <v>0</v>
      </c>
      <c r="R1421" s="297">
        <f>IF($J1423=$A$22,IF($M1423=$A$16,$L1423,0),0)</f>
        <v>0</v>
      </c>
    </row>
    <row r="1422" spans="17:18">
      <c r="Q1422" s="297">
        <f>IF($J1424=$A$21,IF($M1424=$A$16,$L1424,0),0)</f>
        <v>0</v>
      </c>
      <c r="R1422" s="297">
        <f>IF($J1424=$A$22,IF($M1424=$A$16,$L1424,0),0)</f>
        <v>0</v>
      </c>
    </row>
    <row r="1423" spans="17:18">
      <c r="Q1423" s="297">
        <f>IF($J1425=$A$21,IF($M1425=$A$16,$L1425,0),0)</f>
        <v>0</v>
      </c>
      <c r="R1423" s="297">
        <f>IF($J1425=$A$22,IF($M1425=$A$16,$L1425,0),0)</f>
        <v>0</v>
      </c>
    </row>
    <row r="1424" spans="17:18">
      <c r="Q1424" s="297">
        <f>IF($J1426=$A$21,IF($M1426=$A$16,$L1426,0),0)</f>
        <v>0</v>
      </c>
      <c r="R1424" s="297">
        <f>IF($J1426=$A$22,IF($M1426=$A$16,$L1426,0),0)</f>
        <v>0</v>
      </c>
    </row>
    <row r="1425" spans="17:18">
      <c r="Q1425" s="297">
        <f>IF($J1427=$A$21,IF($M1427=$A$16,$L1427,0),0)</f>
        <v>0</v>
      </c>
      <c r="R1425" s="297">
        <f>IF($J1427=$A$22,IF($M1427=$A$16,$L1427,0),0)</f>
        <v>0</v>
      </c>
    </row>
    <row r="1426" spans="17:18">
      <c r="Q1426" s="297">
        <f>IF($J1428=$A$21,IF($M1428=$A$16,$L1428,0),0)</f>
        <v>0</v>
      </c>
      <c r="R1426" s="297">
        <f>IF($J1428=$A$22,IF($M1428=$A$16,$L1428,0),0)</f>
        <v>0</v>
      </c>
    </row>
    <row r="1427" spans="17:18">
      <c r="Q1427" s="297">
        <f>IF($J1429=$A$21,IF($M1429=$A$16,$L1429,0),0)</f>
        <v>0</v>
      </c>
      <c r="R1427" s="297">
        <f>IF($J1429=$A$22,IF($M1429=$A$16,$L1429,0),0)</f>
        <v>0</v>
      </c>
    </row>
    <row r="1428" spans="17:18">
      <c r="Q1428" s="297">
        <f>IF($J1430=$A$21,IF($M1430=$A$16,$L1430,0),0)</f>
        <v>0</v>
      </c>
      <c r="R1428" s="297">
        <f>IF($J1430=$A$22,IF($M1430=$A$16,$L1430,0),0)</f>
        <v>0</v>
      </c>
    </row>
    <row r="1429" spans="17:18">
      <c r="Q1429" s="297">
        <f>IF($J1431=$A$21,IF($M1431=$A$16,$L1431,0),0)</f>
        <v>0</v>
      </c>
      <c r="R1429" s="297">
        <f>IF($J1431=$A$22,IF($M1431=$A$16,$L1431,0),0)</f>
        <v>0</v>
      </c>
    </row>
    <row r="1430" spans="17:18">
      <c r="Q1430" s="297">
        <f>IF($J1432=$A$21,IF($M1432=$A$16,$L1432,0),0)</f>
        <v>0</v>
      </c>
      <c r="R1430" s="297">
        <f>IF($J1432=$A$22,IF($M1432=$A$16,$L1432,0),0)</f>
        <v>0</v>
      </c>
    </row>
    <row r="1431" spans="17:18">
      <c r="Q1431" s="297">
        <f>IF($J1433=$A$21,IF($M1433=$A$16,$L1433,0),0)</f>
        <v>0</v>
      </c>
      <c r="R1431" s="297">
        <f>IF($J1433=$A$22,IF($M1433=$A$16,$L1433,0),0)</f>
        <v>0</v>
      </c>
    </row>
    <row r="1432" spans="17:18">
      <c r="Q1432" s="297">
        <f>IF($J1434=$A$21,IF($M1434=$A$16,$L1434,0),0)</f>
        <v>0</v>
      </c>
      <c r="R1432" s="297">
        <f>IF($J1434=$A$22,IF($M1434=$A$16,$L1434,0),0)</f>
        <v>0</v>
      </c>
    </row>
    <row r="1433" spans="17:18">
      <c r="Q1433" s="297">
        <f>IF($J1435=$A$21,IF($M1435=$A$16,$L1435,0),0)</f>
        <v>0</v>
      </c>
      <c r="R1433" s="297">
        <f>IF($J1435=$A$22,IF($M1435=$A$16,$L1435,0),0)</f>
        <v>0</v>
      </c>
    </row>
    <row r="1434" spans="17:18">
      <c r="Q1434" s="297">
        <f>IF($J1436=$A$21,IF($M1436=$A$16,$L1436,0),0)</f>
        <v>0</v>
      </c>
      <c r="R1434" s="297">
        <f>IF($J1436=$A$22,IF($M1436=$A$16,$L1436,0),0)</f>
        <v>0</v>
      </c>
    </row>
    <row r="1435" spans="17:18">
      <c r="Q1435" s="297">
        <f>IF($J1437=$A$21,IF($M1437=$A$16,$L1437,0),0)</f>
        <v>0</v>
      </c>
      <c r="R1435" s="297">
        <f>IF($J1437=$A$22,IF($M1437=$A$16,$L1437,0),0)</f>
        <v>0</v>
      </c>
    </row>
    <row r="1436" spans="17:18">
      <c r="Q1436" s="297">
        <f>IF($J1438=$A$21,IF($M1438=$A$16,$L1438,0),0)</f>
        <v>0</v>
      </c>
      <c r="R1436" s="297">
        <f>IF($J1438=$A$22,IF($M1438=$A$16,$L1438,0),0)</f>
        <v>0</v>
      </c>
    </row>
    <row r="1437" spans="17:18">
      <c r="Q1437" s="297">
        <f>IF($J1439=$A$21,IF($M1439=$A$16,$L1439,0),0)</f>
        <v>0</v>
      </c>
      <c r="R1437" s="297">
        <f>IF($J1439=$A$22,IF($M1439=$A$16,$L1439,0),0)</f>
        <v>0</v>
      </c>
    </row>
    <row r="1438" spans="17:18">
      <c r="Q1438" s="297">
        <f>IF($J1440=$A$21,IF($M1440=$A$16,$L1440,0),0)</f>
        <v>0</v>
      </c>
      <c r="R1438" s="297">
        <f>IF($J1440=$A$22,IF($M1440=$A$16,$L1440,0),0)</f>
        <v>0</v>
      </c>
    </row>
    <row r="1439" spans="17:18">
      <c r="Q1439" s="297">
        <f>IF($J1441=$A$21,IF($M1441=$A$16,$L1441,0),0)</f>
        <v>0</v>
      </c>
      <c r="R1439" s="297">
        <f>IF($J1441=$A$22,IF($M1441=$A$16,$L1441,0),0)</f>
        <v>0</v>
      </c>
    </row>
    <row r="1440" spans="17:18">
      <c r="Q1440" s="297">
        <f>IF($J1442=$A$21,IF($M1442=$A$16,$L1442,0),0)</f>
        <v>0</v>
      </c>
      <c r="R1440" s="297">
        <f>IF($J1442=$A$22,IF($M1442=$A$16,$L1442,0),0)</f>
        <v>0</v>
      </c>
    </row>
    <row r="1441" spans="17:18">
      <c r="Q1441" s="297">
        <f>IF($J1443=$A$21,IF($M1443=$A$16,$L1443,0),0)</f>
        <v>0</v>
      </c>
      <c r="R1441" s="297">
        <f>IF($J1443=$A$22,IF($M1443=$A$16,$L1443,0),0)</f>
        <v>0</v>
      </c>
    </row>
    <row r="1442" spans="17:18">
      <c r="Q1442" s="297">
        <f>IF($J1444=$A$21,IF($M1444=$A$16,$L1444,0),0)</f>
        <v>0</v>
      </c>
      <c r="R1442" s="297">
        <f>IF($J1444=$A$22,IF($M1444=$A$16,$L1444,0),0)</f>
        <v>0</v>
      </c>
    </row>
    <row r="1443" spans="17:18">
      <c r="Q1443" s="297">
        <f>IF($J1445=$A$21,IF($M1445=$A$16,$L1445,0),0)</f>
        <v>0</v>
      </c>
      <c r="R1443" s="297">
        <f>IF($J1445=$A$22,IF($M1445=$A$16,$L1445,0),0)</f>
        <v>0</v>
      </c>
    </row>
    <row r="1444" spans="17:18">
      <c r="Q1444" s="297">
        <f>IF($J1446=$A$21,IF($M1446=$A$16,$L1446,0),0)</f>
        <v>0</v>
      </c>
      <c r="R1444" s="297">
        <f>IF($J1446=$A$22,IF($M1446=$A$16,$L1446,0),0)</f>
        <v>0</v>
      </c>
    </row>
    <row r="1445" spans="17:18">
      <c r="Q1445" s="297">
        <f>IF($J1447=$A$21,IF($M1447=$A$16,$L1447,0),0)</f>
        <v>0</v>
      </c>
      <c r="R1445" s="297">
        <f>IF($J1447=$A$22,IF($M1447=$A$16,$L1447,0),0)</f>
        <v>0</v>
      </c>
    </row>
    <row r="1446" spans="17:18">
      <c r="Q1446" s="297">
        <f>IF($J1448=$A$21,IF($M1448=$A$16,$L1448,0),0)</f>
        <v>0</v>
      </c>
      <c r="R1446" s="297">
        <f>IF($J1448=$A$22,IF($M1448=$A$16,$L1448,0),0)</f>
        <v>0</v>
      </c>
    </row>
    <row r="1447" spans="17:18">
      <c r="Q1447" s="297">
        <f>IF($J1449=$A$21,IF($M1449=$A$16,$L1449,0),0)</f>
        <v>0</v>
      </c>
      <c r="R1447" s="297">
        <f>IF($J1449=$A$22,IF($M1449=$A$16,$L1449,0),0)</f>
        <v>0</v>
      </c>
    </row>
    <row r="1448" spans="17:18">
      <c r="Q1448" s="297">
        <f>IF($J1450=$A$21,IF($M1450=$A$16,$L1450,0),0)</f>
        <v>0</v>
      </c>
      <c r="R1448" s="297">
        <f>IF($J1450=$A$22,IF($M1450=$A$16,$L1450,0),0)</f>
        <v>0</v>
      </c>
    </row>
    <row r="1449" spans="17:18">
      <c r="Q1449" s="297">
        <f>IF($J1451=$A$21,IF($M1451=$A$16,$L1451,0),0)</f>
        <v>0</v>
      </c>
      <c r="R1449" s="297">
        <f>IF($J1451=$A$22,IF($M1451=$A$16,$L1451,0),0)</f>
        <v>0</v>
      </c>
    </row>
    <row r="1450" spans="17:18">
      <c r="Q1450" s="297">
        <f>IF($J1452=$A$21,IF($M1452=$A$16,$L1452,0),0)</f>
        <v>0</v>
      </c>
      <c r="R1450" s="297">
        <f>IF($J1452=$A$22,IF($M1452=$A$16,$L1452,0),0)</f>
        <v>0</v>
      </c>
    </row>
    <row r="1451" spans="17:18">
      <c r="Q1451" s="297">
        <f>IF($J1453=$A$21,IF($M1453=$A$16,$L1453,0),0)</f>
        <v>0</v>
      </c>
      <c r="R1451" s="297">
        <f>IF($J1453=$A$22,IF($M1453=$A$16,$L1453,0),0)</f>
        <v>0</v>
      </c>
    </row>
    <row r="1452" spans="17:18">
      <c r="Q1452" s="297">
        <f>IF($J1454=$A$21,IF($M1454=$A$16,$L1454,0),0)</f>
        <v>0</v>
      </c>
      <c r="R1452" s="297">
        <f>IF($J1454=$A$22,IF($M1454=$A$16,$L1454,0),0)</f>
        <v>0</v>
      </c>
    </row>
    <row r="1453" spans="17:18">
      <c r="Q1453" s="297">
        <f>IF($J1455=$A$21,IF($M1455=$A$16,$L1455,0),0)</f>
        <v>0</v>
      </c>
      <c r="R1453" s="297">
        <f>IF($J1455=$A$22,IF($M1455=$A$16,$L1455,0),0)</f>
        <v>0</v>
      </c>
    </row>
    <row r="1454" spans="17:18">
      <c r="Q1454" s="297">
        <f>IF($J1456=$A$21,IF($M1456=$A$16,$L1456,0),0)</f>
        <v>0</v>
      </c>
      <c r="R1454" s="297">
        <f>IF($J1456=$A$22,IF($M1456=$A$16,$L1456,0),0)</f>
        <v>0</v>
      </c>
    </row>
    <row r="1455" spans="17:18">
      <c r="Q1455" s="297">
        <f>IF($J1457=$A$21,IF($M1457=$A$16,$L1457,0),0)</f>
        <v>0</v>
      </c>
      <c r="R1455" s="297">
        <f>IF($J1457=$A$22,IF($M1457=$A$16,$L1457,0),0)</f>
        <v>0</v>
      </c>
    </row>
    <row r="1456" spans="17:18">
      <c r="Q1456" s="297">
        <f>IF($J1458=$A$21,IF($M1458=$A$16,$L1458,0),0)</f>
        <v>0</v>
      </c>
      <c r="R1456" s="297">
        <f>IF($J1458=$A$22,IF($M1458=$A$16,$L1458,0),0)</f>
        <v>0</v>
      </c>
    </row>
    <row r="1457" spans="17:18">
      <c r="Q1457" s="297">
        <f>IF($J1459=$A$21,IF($M1459=$A$16,$L1459,0),0)</f>
        <v>0</v>
      </c>
      <c r="R1457" s="297">
        <f>IF($J1459=$A$22,IF($M1459=$A$16,$L1459,0),0)</f>
        <v>0</v>
      </c>
    </row>
    <row r="1458" spans="17:18">
      <c r="Q1458" s="297">
        <f>IF($J1460=$A$21,IF($M1460=$A$16,$L1460,0),0)</f>
        <v>0</v>
      </c>
      <c r="R1458" s="297">
        <f>IF($J1460=$A$22,IF($M1460=$A$16,$L1460,0),0)</f>
        <v>0</v>
      </c>
    </row>
    <row r="1459" spans="17:18">
      <c r="Q1459" s="297">
        <f>IF($J1461=$A$21,IF($M1461=$A$16,$L1461,0),0)</f>
        <v>0</v>
      </c>
      <c r="R1459" s="297">
        <f>IF($J1461=$A$22,IF($M1461=$A$16,$L1461,0),0)</f>
        <v>0</v>
      </c>
    </row>
    <row r="1460" spans="17:18">
      <c r="Q1460" s="297">
        <f>IF($J1462=$A$21,IF($M1462=$A$16,$L1462,0),0)</f>
        <v>0</v>
      </c>
      <c r="R1460" s="297">
        <f>IF($J1462=$A$22,IF($M1462=$A$16,$L1462,0),0)</f>
        <v>0</v>
      </c>
    </row>
    <row r="1461" spans="17:18">
      <c r="Q1461" s="297">
        <f>IF($J1463=$A$21,IF($M1463=$A$16,$L1463,0),0)</f>
        <v>0</v>
      </c>
      <c r="R1461" s="297">
        <f>IF($J1463=$A$22,IF($M1463=$A$16,$L1463,0),0)</f>
        <v>0</v>
      </c>
    </row>
    <row r="1462" spans="17:18">
      <c r="Q1462" s="297">
        <f>IF($J1464=$A$21,IF($M1464=$A$16,$L1464,0),0)</f>
        <v>0</v>
      </c>
      <c r="R1462" s="297">
        <f>IF($J1464=$A$22,IF($M1464=$A$16,$L1464,0),0)</f>
        <v>0</v>
      </c>
    </row>
    <row r="1463" spans="17:18">
      <c r="Q1463" s="297">
        <f>IF($J1465=$A$21,IF($M1465=$A$16,$L1465,0),0)</f>
        <v>0</v>
      </c>
      <c r="R1463" s="297">
        <f>IF($J1465=$A$22,IF($M1465=$A$16,$L1465,0),0)</f>
        <v>0</v>
      </c>
    </row>
    <row r="1464" spans="17:18">
      <c r="Q1464" s="297">
        <f>IF($J1466=$A$21,IF($M1466=$A$16,$L1466,0),0)</f>
        <v>0</v>
      </c>
      <c r="R1464" s="297">
        <f>IF($J1466=$A$22,IF($M1466=$A$16,$L1466,0),0)</f>
        <v>0</v>
      </c>
    </row>
    <row r="1465" spans="17:18">
      <c r="Q1465" s="297">
        <f>IF($J1467=$A$21,IF($M1467=$A$16,$L1467,0),0)</f>
        <v>0</v>
      </c>
      <c r="R1465" s="297">
        <f>IF($J1467=$A$22,IF($M1467=$A$16,$L1467,0),0)</f>
        <v>0</v>
      </c>
    </row>
    <row r="1466" spans="17:18">
      <c r="Q1466" s="297">
        <f>IF($J1468=$A$21,IF($M1468=$A$16,$L1468,0),0)</f>
        <v>0</v>
      </c>
      <c r="R1466" s="297">
        <f>IF($J1468=$A$22,IF($M1468=$A$16,$L1468,0),0)</f>
        <v>0</v>
      </c>
    </row>
    <row r="1467" spans="17:18">
      <c r="Q1467" s="297">
        <f>IF($J1469=$A$21,IF($M1469=$A$16,$L1469,0),0)</f>
        <v>0</v>
      </c>
      <c r="R1467" s="297">
        <f>IF($J1469=$A$22,IF($M1469=$A$16,$L1469,0),0)</f>
        <v>0</v>
      </c>
    </row>
    <row r="1468" spans="17:18">
      <c r="Q1468" s="297">
        <f>IF($J1470=$A$21,IF($M1470=$A$16,$L1470,0),0)</f>
        <v>0</v>
      </c>
      <c r="R1468" s="297">
        <f>IF($J1470=$A$22,IF($M1470=$A$16,$L1470,0),0)</f>
        <v>0</v>
      </c>
    </row>
    <row r="1469" spans="17:18">
      <c r="Q1469" s="297">
        <f>IF($J1471=$A$21,IF($M1471=$A$16,$L1471,0),0)</f>
        <v>0</v>
      </c>
      <c r="R1469" s="297">
        <f>IF($J1471=$A$22,IF($M1471=$A$16,$L1471,0),0)</f>
        <v>0</v>
      </c>
    </row>
    <row r="1470" spans="17:18">
      <c r="Q1470" s="297">
        <f>IF($J1472=$A$21,IF($M1472=$A$16,$L1472,0),0)</f>
        <v>0</v>
      </c>
      <c r="R1470" s="297">
        <f>IF($J1472=$A$22,IF($M1472=$A$16,$L1472,0),0)</f>
        <v>0</v>
      </c>
    </row>
    <row r="1471" spans="17:18">
      <c r="Q1471" s="297">
        <f>IF($J1473=$A$21,IF($M1473=$A$16,$L1473,0),0)</f>
        <v>0</v>
      </c>
      <c r="R1471" s="297">
        <f>IF($J1473=$A$22,IF($M1473=$A$16,$L1473,0),0)</f>
        <v>0</v>
      </c>
    </row>
    <row r="1472" spans="17:18">
      <c r="Q1472" s="297">
        <f>IF($J1474=$A$21,IF($M1474=$A$16,$L1474,0),0)</f>
        <v>0</v>
      </c>
      <c r="R1472" s="297">
        <f>IF($J1474=$A$22,IF($M1474=$A$16,$L1474,0),0)</f>
        <v>0</v>
      </c>
    </row>
    <row r="1473" spans="17:18">
      <c r="Q1473" s="297">
        <f>IF($J1475=$A$21,IF($M1475=$A$16,$L1475,0),0)</f>
        <v>0</v>
      </c>
      <c r="R1473" s="297">
        <f>IF($J1475=$A$22,IF($M1475=$A$16,$L1475,0),0)</f>
        <v>0</v>
      </c>
    </row>
    <row r="1474" spans="17:18">
      <c r="Q1474" s="297">
        <f>IF($J1476=$A$21,IF($M1476=$A$16,$L1476,0),0)</f>
        <v>0</v>
      </c>
      <c r="R1474" s="297">
        <f>IF($J1476=$A$22,IF($M1476=$A$16,$L1476,0),0)</f>
        <v>0</v>
      </c>
    </row>
    <row r="1475" spans="17:18">
      <c r="Q1475" s="297">
        <f>IF($J1477=$A$21,IF($M1477=$A$16,$L1477,0),0)</f>
        <v>0</v>
      </c>
      <c r="R1475" s="297">
        <f>IF($J1477=$A$22,IF($M1477=$A$16,$L1477,0),0)</f>
        <v>0</v>
      </c>
    </row>
    <row r="1476" spans="17:18">
      <c r="Q1476" s="297">
        <f>IF($J1478=$A$21,IF($M1478=$A$16,$L1478,0),0)</f>
        <v>0</v>
      </c>
      <c r="R1476" s="297">
        <f>IF($J1478=$A$22,IF($M1478=$A$16,$L1478,0),0)</f>
        <v>0</v>
      </c>
    </row>
    <row r="1477" spans="17:18">
      <c r="Q1477" s="297">
        <f>IF($J1479=$A$21,IF($M1479=$A$16,$L1479,0),0)</f>
        <v>0</v>
      </c>
      <c r="R1477" s="297">
        <f>IF($J1479=$A$22,IF($M1479=$A$16,$L1479,0),0)</f>
        <v>0</v>
      </c>
    </row>
    <row r="1478" spans="17:18">
      <c r="Q1478" s="297">
        <f>IF($J1480=$A$21,IF($M1480=$A$16,$L1480,0),0)</f>
        <v>0</v>
      </c>
      <c r="R1478" s="297">
        <f>IF($J1480=$A$22,IF($M1480=$A$16,$L1480,0),0)</f>
        <v>0</v>
      </c>
    </row>
    <row r="1479" spans="17:18">
      <c r="Q1479" s="297">
        <f>IF($J1481=$A$21,IF($M1481=$A$16,$L1481,0),0)</f>
        <v>0</v>
      </c>
      <c r="R1479" s="297">
        <f>IF($J1481=$A$22,IF($M1481=$A$16,$L1481,0),0)</f>
        <v>0</v>
      </c>
    </row>
    <row r="1480" spans="17:18">
      <c r="Q1480" s="297">
        <f>IF($J1482=$A$21,IF($M1482=$A$16,$L1482,0),0)</f>
        <v>0</v>
      </c>
      <c r="R1480" s="297">
        <f>IF($J1482=$A$22,IF($M1482=$A$16,$L1482,0),0)</f>
        <v>0</v>
      </c>
    </row>
    <row r="1481" spans="17:18">
      <c r="Q1481" s="297">
        <f>IF($J1483=$A$21,IF($M1483=$A$16,$L1483,0),0)</f>
        <v>0</v>
      </c>
      <c r="R1481" s="297">
        <f>IF($J1483=$A$22,IF($M1483=$A$16,$L1483,0),0)</f>
        <v>0</v>
      </c>
    </row>
    <row r="1482" spans="17:18">
      <c r="Q1482" s="297">
        <f>IF($J1484=$A$21,IF($M1484=$A$16,$L1484,0),0)</f>
        <v>0</v>
      </c>
      <c r="R1482" s="297">
        <f>IF($J1484=$A$22,IF($M1484=$A$16,$L1484,0),0)</f>
        <v>0</v>
      </c>
    </row>
    <row r="1483" spans="17:18">
      <c r="Q1483" s="297">
        <f>IF($J1485=$A$21,IF($M1485=$A$16,$L1485,0),0)</f>
        <v>0</v>
      </c>
      <c r="R1483" s="297">
        <f>IF($J1485=$A$22,IF($M1485=$A$16,$L1485,0),0)</f>
        <v>0</v>
      </c>
    </row>
    <row r="1484" spans="17:18">
      <c r="Q1484" s="297">
        <f>IF($J1486=$A$21,IF($M1486=$A$16,$L1486,0),0)</f>
        <v>0</v>
      </c>
      <c r="R1484" s="297">
        <f>IF($J1486=$A$22,IF($M1486=$A$16,$L1486,0),0)</f>
        <v>0</v>
      </c>
    </row>
    <row r="1485" spans="17:18">
      <c r="Q1485" s="297">
        <f>IF($J1487=$A$21,IF($M1487=$A$16,$L1487,0),0)</f>
        <v>0</v>
      </c>
      <c r="R1485" s="297">
        <f>IF($J1487=$A$22,IF($M1487=$A$16,$L1487,0),0)</f>
        <v>0</v>
      </c>
    </row>
    <row r="1486" spans="17:18">
      <c r="Q1486" s="297">
        <f>IF($J1488=$A$21,IF($M1488=$A$16,$L1488,0),0)</f>
        <v>0</v>
      </c>
      <c r="R1486" s="297">
        <f>IF($J1488=$A$22,IF($M1488=$A$16,$L1488,0),0)</f>
        <v>0</v>
      </c>
    </row>
    <row r="1487" spans="17:18">
      <c r="Q1487" s="297">
        <f>IF($J1489=$A$21,IF($M1489=$A$16,$L1489,0),0)</f>
        <v>0</v>
      </c>
      <c r="R1487" s="297">
        <f>IF($J1489=$A$22,IF($M1489=$A$16,$L1489,0),0)</f>
        <v>0</v>
      </c>
    </row>
    <row r="1488" spans="17:18">
      <c r="Q1488" s="297">
        <f>IF($J1490=$A$21,IF($M1490=$A$16,$L1490,0),0)</f>
        <v>0</v>
      </c>
      <c r="R1488" s="297">
        <f>IF($J1490=$A$22,IF($M1490=$A$16,$L1490,0),0)</f>
        <v>0</v>
      </c>
    </row>
    <row r="1489" spans="17:18">
      <c r="Q1489" s="297">
        <f>IF($J1491=$A$21,IF($M1491=$A$16,$L1491,0),0)</f>
        <v>0</v>
      </c>
      <c r="R1489" s="297">
        <f>IF($J1491=$A$22,IF($M1491=$A$16,$L1491,0),0)</f>
        <v>0</v>
      </c>
    </row>
    <row r="1490" spans="17:18">
      <c r="Q1490" s="297">
        <f>IF($J1492=$A$21,IF($M1492=$A$16,$L1492,0),0)</f>
        <v>0</v>
      </c>
      <c r="R1490" s="297">
        <f>IF($J1492=$A$22,IF($M1492=$A$16,$L1492,0),0)</f>
        <v>0</v>
      </c>
    </row>
    <row r="1491" spans="17:18">
      <c r="Q1491" s="297">
        <f>IF($J1493=$A$21,IF($M1493=$A$16,$L1493,0),0)</f>
        <v>0</v>
      </c>
      <c r="R1491" s="297">
        <f>IF($J1493=$A$22,IF($M1493=$A$16,$L1493,0),0)</f>
        <v>0</v>
      </c>
    </row>
    <row r="1492" spans="17:18">
      <c r="Q1492" s="297">
        <f>IF($J1494=$A$21,IF($M1494=$A$16,$L1494,0),0)</f>
        <v>0</v>
      </c>
      <c r="R1492" s="297">
        <f>IF($J1494=$A$22,IF($M1494=$A$16,$L1494,0),0)</f>
        <v>0</v>
      </c>
    </row>
    <row r="1493" spans="17:18">
      <c r="Q1493" s="297">
        <f>IF($J1495=$A$21,IF($M1495=$A$16,$L1495,0),0)</f>
        <v>0</v>
      </c>
      <c r="R1493" s="297">
        <f>IF($J1495=$A$22,IF($M1495=$A$16,$L1495,0),0)</f>
        <v>0</v>
      </c>
    </row>
    <row r="1494" spans="17:18">
      <c r="Q1494" s="297">
        <f>IF($J1496=$A$21,IF($M1496=$A$16,$L1496,0),0)</f>
        <v>0</v>
      </c>
      <c r="R1494" s="297">
        <f>IF($J1496=$A$22,IF($M1496=$A$16,$L1496,0),0)</f>
        <v>0</v>
      </c>
    </row>
    <row r="1495" spans="17:18">
      <c r="Q1495" s="297">
        <f>IF($J1497=$A$21,IF($M1497=$A$16,$L1497,0),0)</f>
        <v>0</v>
      </c>
      <c r="R1495" s="297">
        <f>IF($J1497=$A$22,IF($M1497=$A$16,$L1497,0),0)</f>
        <v>0</v>
      </c>
    </row>
    <row r="1496" spans="17:18">
      <c r="Q1496" s="297">
        <f>IF($J1498=$A$21,IF($M1498=$A$16,$L1498,0),0)</f>
        <v>0</v>
      </c>
      <c r="R1496" s="297">
        <f>IF($J1498=$A$22,IF($M1498=$A$16,$L1498,0),0)</f>
        <v>0</v>
      </c>
    </row>
    <row r="1497" spans="17:18">
      <c r="Q1497" s="297">
        <f>IF($J1499=$A$21,IF($M1499=$A$16,$L1499,0),0)</f>
        <v>0</v>
      </c>
      <c r="R1497" s="297">
        <f>IF($J1499=$A$22,IF($M1499=$A$16,$L1499,0),0)</f>
        <v>0</v>
      </c>
    </row>
    <row r="1498" spans="17:18">
      <c r="Q1498" s="297">
        <f>IF($J1500=$A$21,IF($M1500=$A$16,$L1500,0),0)</f>
        <v>0</v>
      </c>
      <c r="R1498" s="297">
        <f>IF($J1500=$A$22,IF($M1500=$A$16,$L1500,0),0)</f>
        <v>0</v>
      </c>
    </row>
    <row r="1499" spans="17:18">
      <c r="Q1499" s="297">
        <f>IF($J1501=$A$21,IF($M1501=$A$16,$L1501,0),0)</f>
        <v>0</v>
      </c>
      <c r="R1499" s="297">
        <f>IF($J1501=$A$22,IF($M1501=$A$16,$L1501,0),0)</f>
        <v>0</v>
      </c>
    </row>
    <row r="1500" spans="17:18">
      <c r="Q1500" s="297">
        <f>IF($J1502=$A$21,IF($M1502=$A$16,$L1502,0),0)</f>
        <v>0</v>
      </c>
      <c r="R1500" s="297">
        <f>IF($J1502=$A$22,IF($M1502=$A$16,$L1502,0),0)</f>
        <v>0</v>
      </c>
    </row>
    <row r="1501" spans="17:18">
      <c r="Q1501" s="297">
        <f>IF($J1503=$A$21,IF($M1503=$A$16,$L1503,0),0)</f>
        <v>0</v>
      </c>
      <c r="R1501" s="297">
        <f>IF($J1503=$A$22,IF($M1503=$A$16,$L1503,0),0)</f>
        <v>0</v>
      </c>
    </row>
    <row r="1502" spans="17:18">
      <c r="Q1502" s="297">
        <f>IF($J1504=$A$21,IF($M1504=$A$16,$L1504,0),0)</f>
        <v>0</v>
      </c>
      <c r="R1502" s="297">
        <f>IF($J1504=$A$22,IF($M1504=$A$16,$L1504,0),0)</f>
        <v>0</v>
      </c>
    </row>
    <row r="1503" spans="17:18">
      <c r="Q1503" s="297">
        <f>IF($J1505=$A$21,IF($M1505=$A$16,$L1505,0),0)</f>
        <v>0</v>
      </c>
      <c r="R1503" s="297">
        <f>IF($J1505=$A$22,IF($M1505=$A$16,$L1505,0),0)</f>
        <v>0</v>
      </c>
    </row>
    <row r="1504" spans="17:18">
      <c r="Q1504" s="297">
        <f>IF($J1506=$A$21,IF($M1506=$A$16,$L1506,0),0)</f>
        <v>0</v>
      </c>
      <c r="R1504" s="297">
        <f>IF($J1506=$A$22,IF($M1506=$A$16,$L1506,0),0)</f>
        <v>0</v>
      </c>
    </row>
    <row r="1505" spans="17:18">
      <c r="Q1505" s="297">
        <f>IF($J1507=$A$21,IF($M1507=$A$16,$L1507,0),0)</f>
        <v>0</v>
      </c>
      <c r="R1505" s="297">
        <f>IF($J1507=$A$22,IF($M1507=$A$16,$L1507,0),0)</f>
        <v>0</v>
      </c>
    </row>
    <row r="1506" spans="17:18">
      <c r="Q1506" s="297">
        <f>IF($J1508=$A$21,IF($M1508=$A$16,$L1508,0),0)</f>
        <v>0</v>
      </c>
      <c r="R1506" s="297">
        <f>IF($J1508=$A$22,IF($M1508=$A$16,$L1508,0),0)</f>
        <v>0</v>
      </c>
    </row>
    <row r="1507" spans="17:18">
      <c r="Q1507" s="297">
        <f>IF($J1509=$A$21,IF($M1509=$A$16,$L1509,0),0)</f>
        <v>0</v>
      </c>
      <c r="R1507" s="297">
        <f>IF($J1509=$A$22,IF($M1509=$A$16,$L1509,0),0)</f>
        <v>0</v>
      </c>
    </row>
    <row r="1508" spans="17:18">
      <c r="Q1508" s="297">
        <f>IF($J1510=$A$21,IF($M1510=$A$16,$L1510,0),0)</f>
        <v>0</v>
      </c>
      <c r="R1508" s="297">
        <f>IF($J1510=$A$22,IF($M1510=$A$16,$L1510,0),0)</f>
        <v>0</v>
      </c>
    </row>
    <row r="1509" spans="17:18">
      <c r="Q1509" s="297">
        <f>IF($J1511=$A$21,IF($M1511=$A$16,$L1511,0),0)</f>
        <v>0</v>
      </c>
      <c r="R1509" s="297">
        <f>IF($J1511=$A$22,IF($M1511=$A$16,$L1511,0),0)</f>
        <v>0</v>
      </c>
    </row>
    <row r="1510" spans="17:18">
      <c r="Q1510" s="297">
        <f>IF($J1512=$A$21,IF($M1512=$A$16,$L1512,0),0)</f>
        <v>0</v>
      </c>
      <c r="R1510" s="297">
        <f>IF($J1512=$A$22,IF($M1512=$A$16,$L1512,0),0)</f>
        <v>0</v>
      </c>
    </row>
    <row r="1511" spans="17:18">
      <c r="Q1511" s="297">
        <f>IF($J1513=$A$21,IF($M1513=$A$16,$L1513,0),0)</f>
        <v>0</v>
      </c>
      <c r="R1511" s="297">
        <f>IF($J1513=$A$22,IF($M1513=$A$16,$L1513,0),0)</f>
        <v>0</v>
      </c>
    </row>
    <row r="1512" spans="17:18">
      <c r="Q1512" s="297">
        <f>IF($J1514=$A$21,IF($M1514=$A$16,$L1514,0),0)</f>
        <v>0</v>
      </c>
      <c r="R1512" s="297">
        <f>IF($J1514=$A$22,IF($M1514=$A$16,$L1514,0),0)</f>
        <v>0</v>
      </c>
    </row>
    <row r="1513" spans="17:18">
      <c r="Q1513" s="297">
        <f>IF($J1515=$A$21,IF($M1515=$A$16,$L1515,0),0)</f>
        <v>0</v>
      </c>
      <c r="R1513" s="297">
        <f>IF($J1515=$A$22,IF($M1515=$A$16,$L1515,0),0)</f>
        <v>0</v>
      </c>
    </row>
    <row r="1514" spans="17:18">
      <c r="Q1514" s="297">
        <f>IF($J1516=$A$21,IF($M1516=$A$16,$L1516,0),0)</f>
        <v>0</v>
      </c>
      <c r="R1514" s="297">
        <f>IF($J1516=$A$22,IF($M1516=$A$16,$L1516,0),0)</f>
        <v>0</v>
      </c>
    </row>
    <row r="1515" spans="17:18">
      <c r="Q1515" s="297">
        <f>IF($J1517=$A$21,IF($M1517=$A$16,$L1517,0),0)</f>
        <v>0</v>
      </c>
      <c r="R1515" s="297">
        <f>IF($J1517=$A$22,IF($M1517=$A$16,$L1517,0),0)</f>
        <v>0</v>
      </c>
    </row>
    <row r="1516" spans="17:18">
      <c r="Q1516" s="297">
        <f>IF($J1518=$A$21,IF($M1518=$A$16,$L1518,0),0)</f>
        <v>0</v>
      </c>
      <c r="R1516" s="297">
        <f>IF($J1518=$A$22,IF($M1518=$A$16,$L1518,0),0)</f>
        <v>0</v>
      </c>
    </row>
    <row r="1517" spans="17:18">
      <c r="Q1517" s="297">
        <f>IF($J1519=$A$21,IF($M1519=$A$16,$L1519,0),0)</f>
        <v>0</v>
      </c>
      <c r="R1517" s="297">
        <f>IF($J1519=$A$22,IF($M1519=$A$16,$L1519,0),0)</f>
        <v>0</v>
      </c>
    </row>
    <row r="1518" spans="17:18">
      <c r="Q1518" s="297">
        <f>IF($J1520=$A$21,IF($M1520=$A$16,$L1520,0),0)</f>
        <v>0</v>
      </c>
      <c r="R1518" s="297">
        <f>IF($J1520=$A$22,IF($M1520=$A$16,$L1520,0),0)</f>
        <v>0</v>
      </c>
    </row>
    <row r="1519" spans="17:18">
      <c r="Q1519" s="297">
        <f>IF($J1521=$A$21,IF($M1521=$A$16,$L1521,0),0)</f>
        <v>0</v>
      </c>
      <c r="R1519" s="297">
        <f>IF($J1521=$A$22,IF($M1521=$A$16,$L1521,0),0)</f>
        <v>0</v>
      </c>
    </row>
    <row r="1520" spans="17:18">
      <c r="Q1520" s="297">
        <f>IF($J1522=$A$21,IF($M1522=$A$16,$L1522,0),0)</f>
        <v>0</v>
      </c>
      <c r="R1520" s="297">
        <f>IF($J1522=$A$22,IF($M1522=$A$16,$L1522,0),0)</f>
        <v>0</v>
      </c>
    </row>
    <row r="1521" spans="17:18">
      <c r="Q1521" s="297">
        <f>IF($J1523=$A$21,IF($M1523=$A$16,$L1523,0),0)</f>
        <v>0</v>
      </c>
      <c r="R1521" s="297">
        <f>IF($J1523=$A$22,IF($M1523=$A$16,$L1523,0),0)</f>
        <v>0</v>
      </c>
    </row>
    <row r="1522" spans="17:18">
      <c r="Q1522" s="297">
        <f>IF($J1524=$A$21,IF($M1524=$A$16,$L1524,0),0)</f>
        <v>0</v>
      </c>
      <c r="R1522" s="297">
        <f>IF($J1524=$A$22,IF($M1524=$A$16,$L1524,0),0)</f>
        <v>0</v>
      </c>
    </row>
    <row r="1523" spans="17:18">
      <c r="Q1523" s="297">
        <f>IF($J1525=$A$21,IF($M1525=$A$16,$L1525,0),0)</f>
        <v>0</v>
      </c>
      <c r="R1523" s="297">
        <f>IF($J1525=$A$22,IF($M1525=$A$16,$L1525,0),0)</f>
        <v>0</v>
      </c>
    </row>
    <row r="1524" spans="17:18">
      <c r="Q1524" s="297">
        <f>IF($J1526=$A$21,IF($M1526=$A$16,$L1526,0),0)</f>
        <v>0</v>
      </c>
      <c r="R1524" s="297">
        <f>IF($J1526=$A$22,IF($M1526=$A$16,$L1526,0),0)</f>
        <v>0</v>
      </c>
    </row>
    <row r="1525" spans="17:18">
      <c r="Q1525" s="297">
        <f>IF($J1527=$A$21,IF($M1527=$A$16,$L1527,0),0)</f>
        <v>0</v>
      </c>
      <c r="R1525" s="297">
        <f>IF($J1527=$A$22,IF($M1527=$A$16,$L1527,0),0)</f>
        <v>0</v>
      </c>
    </row>
    <row r="1526" spans="17:18">
      <c r="Q1526" s="297">
        <f>IF($J1528=$A$21,IF($M1528=$A$16,$L1528,0),0)</f>
        <v>0</v>
      </c>
      <c r="R1526" s="297">
        <f>IF($J1528=$A$22,IF($M1528=$A$16,$L1528,0),0)</f>
        <v>0</v>
      </c>
    </row>
    <row r="1527" spans="17:18">
      <c r="Q1527" s="297">
        <f>IF($J1529=$A$21,IF($M1529=$A$16,$L1529,0),0)</f>
        <v>0</v>
      </c>
      <c r="R1527" s="297">
        <f>IF($J1529=$A$22,IF($M1529=$A$16,$L1529,0),0)</f>
        <v>0</v>
      </c>
    </row>
    <row r="1528" spans="17:18">
      <c r="Q1528" s="297">
        <f>IF($J1530=$A$21,IF($M1530=$A$16,$L1530,0),0)</f>
        <v>0</v>
      </c>
      <c r="R1528" s="297">
        <f>IF($J1530=$A$22,IF($M1530=$A$16,$L1530,0),0)</f>
        <v>0</v>
      </c>
    </row>
    <row r="1529" spans="17:18">
      <c r="Q1529" s="297">
        <f>IF($J1531=$A$21,IF($M1531=$A$16,$L1531,0),0)</f>
        <v>0</v>
      </c>
      <c r="R1529" s="297">
        <f>IF($J1531=$A$22,IF($M1531=$A$16,$L1531,0),0)</f>
        <v>0</v>
      </c>
    </row>
    <row r="1530" spans="17:18">
      <c r="Q1530" s="297">
        <f>IF($J1532=$A$21,IF($M1532=$A$16,$L1532,0),0)</f>
        <v>0</v>
      </c>
      <c r="R1530" s="297">
        <f>IF($J1532=$A$22,IF($M1532=$A$16,$L1532,0),0)</f>
        <v>0</v>
      </c>
    </row>
    <row r="1531" spans="17:18">
      <c r="Q1531" s="297">
        <f>IF($J1533=$A$21,IF($M1533=$A$16,$L1533,0),0)</f>
        <v>0</v>
      </c>
      <c r="R1531" s="297">
        <f>IF($J1533=$A$22,IF($M1533=$A$16,$L1533,0),0)</f>
        <v>0</v>
      </c>
    </row>
    <row r="1532" spans="17:18">
      <c r="Q1532" s="297">
        <f>IF($J1534=$A$21,IF($M1534=$A$16,$L1534,0),0)</f>
        <v>0</v>
      </c>
      <c r="R1532" s="297">
        <f>IF($J1534=$A$22,IF($M1534=$A$16,$L1534,0),0)</f>
        <v>0</v>
      </c>
    </row>
    <row r="1533" spans="17:18">
      <c r="Q1533" s="297">
        <f>IF($J1535=$A$21,IF($M1535=$A$16,$L1535,0),0)</f>
        <v>0</v>
      </c>
      <c r="R1533" s="297">
        <f>IF($J1535=$A$22,IF($M1535=$A$16,$L1535,0),0)</f>
        <v>0</v>
      </c>
    </row>
    <row r="1534" spans="17:18">
      <c r="Q1534" s="297">
        <f>IF($J1536=$A$21,IF($M1536=$A$16,$L1536,0),0)</f>
        <v>0</v>
      </c>
      <c r="R1534" s="297">
        <f>IF($J1536=$A$22,IF($M1536=$A$16,$L1536,0),0)</f>
        <v>0</v>
      </c>
    </row>
    <row r="1535" spans="17:18">
      <c r="Q1535" s="297">
        <f>IF($J1537=$A$21,IF($M1537=$A$16,$L1537,0),0)</f>
        <v>0</v>
      </c>
      <c r="R1535" s="297">
        <f>IF($J1537=$A$22,IF($M1537=$A$16,$L1537,0),0)</f>
        <v>0</v>
      </c>
    </row>
    <row r="1536" spans="17:18">
      <c r="Q1536" s="297">
        <f>IF($J1538=$A$21,IF($M1538=$A$16,$L1538,0),0)</f>
        <v>0</v>
      </c>
      <c r="R1536" s="297">
        <f>IF($J1538=$A$22,IF($M1538=$A$16,$L1538,0),0)</f>
        <v>0</v>
      </c>
    </row>
    <row r="1537" spans="17:18">
      <c r="Q1537" s="297">
        <f>IF($J1539=$A$21,IF($M1539=$A$16,$L1539,0),0)</f>
        <v>0</v>
      </c>
      <c r="R1537" s="297">
        <f>IF($J1539=$A$22,IF($M1539=$A$16,$L1539,0),0)</f>
        <v>0</v>
      </c>
    </row>
    <row r="1538" spans="17:18">
      <c r="Q1538" s="297">
        <f>IF($J1540=$A$21,IF($M1540=$A$16,$L1540,0),0)</f>
        <v>0</v>
      </c>
      <c r="R1538" s="297">
        <f>IF($J1540=$A$22,IF($M1540=$A$16,$L1540,0),0)</f>
        <v>0</v>
      </c>
    </row>
    <row r="1539" spans="17:18">
      <c r="Q1539" s="297">
        <f>IF($J1541=$A$21,IF($M1541=$A$16,$L1541,0),0)</f>
        <v>0</v>
      </c>
      <c r="R1539" s="297">
        <f>IF($J1541=$A$22,IF($M1541=$A$16,$L1541,0),0)</f>
        <v>0</v>
      </c>
    </row>
    <row r="1540" spans="17:18">
      <c r="Q1540" s="297">
        <f>IF($J1542=$A$21,IF($M1542=$A$16,$L1542,0),0)</f>
        <v>0</v>
      </c>
      <c r="R1540" s="297">
        <f>IF($J1542=$A$22,IF($M1542=$A$16,$L1542,0),0)</f>
        <v>0</v>
      </c>
    </row>
    <row r="1541" spans="17:18">
      <c r="Q1541" s="297">
        <f>IF($J1543=$A$21,IF($M1543=$A$16,$L1543,0),0)</f>
        <v>0</v>
      </c>
      <c r="R1541" s="297">
        <f>IF($J1543=$A$22,IF($M1543=$A$16,$L1543,0),0)</f>
        <v>0</v>
      </c>
    </row>
    <row r="1542" spans="17:18">
      <c r="Q1542" s="297">
        <f>IF($J1544=$A$21,IF($M1544=$A$16,$L1544,0),0)</f>
        <v>0</v>
      </c>
      <c r="R1542" s="297">
        <f>IF($J1544=$A$22,IF($M1544=$A$16,$L1544,0),0)</f>
        <v>0</v>
      </c>
    </row>
    <row r="1543" spans="17:18">
      <c r="Q1543" s="297">
        <f>IF($J1545=$A$21,IF($M1545=$A$16,$L1545,0),0)</f>
        <v>0</v>
      </c>
      <c r="R1543" s="297">
        <f>IF($J1545=$A$22,IF($M1545=$A$16,$L1545,0),0)</f>
        <v>0</v>
      </c>
    </row>
    <row r="1544" spans="17:18">
      <c r="Q1544" s="297">
        <f>IF($J1546=$A$21,IF($M1546=$A$16,$L1546,0),0)</f>
        <v>0</v>
      </c>
      <c r="R1544" s="297">
        <f>IF($J1546=$A$22,IF($M1546=$A$16,$L1546,0),0)</f>
        <v>0</v>
      </c>
    </row>
    <row r="1545" spans="17:18">
      <c r="Q1545" s="297">
        <f>IF($J1547=$A$21,IF($M1547=$A$16,$L1547,0),0)</f>
        <v>0</v>
      </c>
      <c r="R1545" s="297">
        <f>IF($J1547=$A$22,IF($M1547=$A$16,$L1547,0),0)</f>
        <v>0</v>
      </c>
    </row>
    <row r="1546" spans="17:18">
      <c r="Q1546" s="297">
        <f>IF($J1548=$A$21,IF($M1548=$A$16,$L1548,0),0)</f>
        <v>0</v>
      </c>
      <c r="R1546" s="297">
        <f>IF($J1548=$A$22,IF($M1548=$A$16,$L1548,0),0)</f>
        <v>0</v>
      </c>
    </row>
    <row r="1547" spans="17:18">
      <c r="Q1547" s="297">
        <f>IF($J1549=$A$21,IF($M1549=$A$16,$L1549,0),0)</f>
        <v>0</v>
      </c>
      <c r="R1547" s="297">
        <f>IF($J1549=$A$22,IF($M1549=$A$16,$L1549,0),0)</f>
        <v>0</v>
      </c>
    </row>
    <row r="1548" spans="17:18">
      <c r="Q1548" s="297">
        <f>IF($J1550=$A$21,IF($M1550=$A$16,$L1550,0),0)</f>
        <v>0</v>
      </c>
      <c r="R1548" s="297">
        <f>IF($J1550=$A$22,IF($M1550=$A$16,$L1550,0),0)</f>
        <v>0</v>
      </c>
    </row>
    <row r="1549" spans="17:18">
      <c r="Q1549" s="297">
        <f>IF($J1551=$A$21,IF($M1551=$A$16,$L1551,0),0)</f>
        <v>0</v>
      </c>
      <c r="R1549" s="297">
        <f>IF($J1551=$A$22,IF($M1551=$A$16,$L1551,0),0)</f>
        <v>0</v>
      </c>
    </row>
    <row r="1550" spans="17:18">
      <c r="Q1550" s="297">
        <f>IF($J1552=$A$21,IF($M1552=$A$16,$L1552,0),0)</f>
        <v>0</v>
      </c>
      <c r="R1550" s="297">
        <f>IF($J1552=$A$22,IF($M1552=$A$16,$L1552,0),0)</f>
        <v>0</v>
      </c>
    </row>
    <row r="1551" spans="17:18">
      <c r="Q1551" s="297">
        <f>IF($J1553=$A$21,IF($M1553=$A$16,$L1553,0),0)</f>
        <v>0</v>
      </c>
      <c r="R1551" s="297">
        <f>IF($J1553=$A$22,IF($M1553=$A$16,$L1553,0),0)</f>
        <v>0</v>
      </c>
    </row>
    <row r="1552" spans="17:18">
      <c r="Q1552" s="297">
        <f>IF($J1554=$A$21,IF($M1554=$A$16,$L1554,0),0)</f>
        <v>0</v>
      </c>
      <c r="R1552" s="297">
        <f>IF($J1554=$A$22,IF($M1554=$A$16,$L1554,0),0)</f>
        <v>0</v>
      </c>
    </row>
    <row r="1553" spans="17:18">
      <c r="Q1553" s="297">
        <f>IF($J1555=$A$21,IF($M1555=$A$16,$L1555,0),0)</f>
        <v>0</v>
      </c>
      <c r="R1553" s="297">
        <f>IF($J1555=$A$22,IF($M1555=$A$16,$L1555,0),0)</f>
        <v>0</v>
      </c>
    </row>
    <row r="1554" spans="17:18">
      <c r="Q1554" s="297">
        <f>IF($J1556=$A$21,IF($M1556=$A$16,$L1556,0),0)</f>
        <v>0</v>
      </c>
      <c r="R1554" s="297">
        <f>IF($J1556=$A$22,IF($M1556=$A$16,$L1556,0),0)</f>
        <v>0</v>
      </c>
    </row>
    <row r="1555" spans="17:18">
      <c r="Q1555" s="297">
        <f>IF($J1557=$A$21,IF($M1557=$A$16,$L1557,0),0)</f>
        <v>0</v>
      </c>
      <c r="R1555" s="297">
        <f>IF($J1557=$A$22,IF($M1557=$A$16,$L1557,0),0)</f>
        <v>0</v>
      </c>
    </row>
    <row r="1556" spans="17:18">
      <c r="Q1556" s="297">
        <f>IF($J1558=$A$21,IF($M1558=$A$16,$L1558,0),0)</f>
        <v>0</v>
      </c>
      <c r="R1556" s="297">
        <f>IF($J1558=$A$22,IF($M1558=$A$16,$L1558,0),0)</f>
        <v>0</v>
      </c>
    </row>
    <row r="1557" spans="17:18">
      <c r="Q1557" s="297">
        <f>IF($J1559=$A$21,IF($M1559=$A$16,$L1559,0),0)</f>
        <v>0</v>
      </c>
      <c r="R1557" s="297">
        <f>IF($J1559=$A$22,IF($M1559=$A$16,$L1559,0),0)</f>
        <v>0</v>
      </c>
    </row>
    <row r="1558" spans="17:18">
      <c r="Q1558" s="297">
        <f>IF($J1560=$A$21,IF($M1560=$A$16,$L1560,0),0)</f>
        <v>0</v>
      </c>
      <c r="R1558" s="297">
        <f>IF($J1560=$A$22,IF($M1560=$A$16,$L1560,0),0)</f>
        <v>0</v>
      </c>
    </row>
    <row r="1559" spans="17:18">
      <c r="Q1559" s="297">
        <f>IF($J1561=$A$21,IF($M1561=$A$16,$L1561,0),0)</f>
        <v>0</v>
      </c>
      <c r="R1559" s="297">
        <f>IF($J1561=$A$22,IF($M1561=$A$16,$L1561,0),0)</f>
        <v>0</v>
      </c>
    </row>
    <row r="1560" spans="17:18">
      <c r="Q1560" s="297">
        <f>IF($J1562=$A$21,IF($M1562=$A$16,$L1562,0),0)</f>
        <v>0</v>
      </c>
      <c r="R1560" s="297">
        <f>IF($J1562=$A$22,IF($M1562=$A$16,$L1562,0),0)</f>
        <v>0</v>
      </c>
    </row>
    <row r="1561" spans="17:18">
      <c r="Q1561" s="297">
        <f>IF($J1563=$A$21,IF($M1563=$A$16,$L1563,0),0)</f>
        <v>0</v>
      </c>
      <c r="R1561" s="297">
        <f>IF($J1563=$A$22,IF($M1563=$A$16,$L1563,0),0)</f>
        <v>0</v>
      </c>
    </row>
    <row r="1562" spans="17:18">
      <c r="Q1562" s="297">
        <f>IF($J1564=$A$21,IF($M1564=$A$16,$L1564,0),0)</f>
        <v>0</v>
      </c>
      <c r="R1562" s="297">
        <f>IF($J1564=$A$22,IF($M1564=$A$16,$L1564,0),0)</f>
        <v>0</v>
      </c>
    </row>
    <row r="1563" spans="17:18">
      <c r="Q1563" s="297">
        <f>IF($J1565=$A$21,IF($M1565=$A$16,$L1565,0),0)</f>
        <v>0</v>
      </c>
      <c r="R1563" s="297">
        <f>IF($J1565=$A$22,IF($M1565=$A$16,$L1565,0),0)</f>
        <v>0</v>
      </c>
    </row>
    <row r="1564" spans="17:18">
      <c r="Q1564" s="297">
        <f>IF($J1566=$A$21,IF($M1566=$A$16,$L1566,0),0)</f>
        <v>0</v>
      </c>
      <c r="R1564" s="297">
        <f>IF($J1566=$A$22,IF($M1566=$A$16,$L1566,0),0)</f>
        <v>0</v>
      </c>
    </row>
    <row r="1565" spans="17:18">
      <c r="Q1565" s="297">
        <f>IF($J1567=$A$21,IF($M1567=$A$16,$L1567,0),0)</f>
        <v>0</v>
      </c>
      <c r="R1565" s="297">
        <f>IF($J1567=$A$22,IF($M1567=$A$16,$L1567,0),0)</f>
        <v>0</v>
      </c>
    </row>
    <row r="1566" spans="17:18">
      <c r="Q1566" s="297">
        <f>IF($J1568=$A$21,IF($M1568=$A$16,$L1568,0),0)</f>
        <v>0</v>
      </c>
      <c r="R1566" s="297">
        <f>IF($J1568=$A$22,IF($M1568=$A$16,$L1568,0),0)</f>
        <v>0</v>
      </c>
    </row>
    <row r="1567" spans="17:18">
      <c r="Q1567" s="297">
        <f>IF($J1569=$A$21,IF($M1569=$A$16,$L1569,0),0)</f>
        <v>0</v>
      </c>
      <c r="R1567" s="297">
        <f>IF($J1569=$A$22,IF($M1569=$A$16,$L1569,0),0)</f>
        <v>0</v>
      </c>
    </row>
    <row r="1568" spans="17:18">
      <c r="Q1568" s="297">
        <f>IF($J1570=$A$21,IF($M1570=$A$16,$L1570,0),0)</f>
        <v>0</v>
      </c>
      <c r="R1568" s="297">
        <f>IF($J1570=$A$22,IF($M1570=$A$16,$L1570,0),0)</f>
        <v>0</v>
      </c>
    </row>
    <row r="1569" spans="17:18">
      <c r="Q1569" s="297">
        <f>IF($J1571=$A$21,IF($M1571=$A$16,$L1571,0),0)</f>
        <v>0</v>
      </c>
      <c r="R1569" s="297">
        <f>IF($J1571=$A$22,IF($M1571=$A$16,$L1571,0),0)</f>
        <v>0</v>
      </c>
    </row>
    <row r="1570" spans="17:18">
      <c r="Q1570" s="297">
        <f>IF($J1572=$A$21,IF($M1572=$A$16,$L1572,0),0)</f>
        <v>0</v>
      </c>
      <c r="R1570" s="297">
        <f>IF($J1572=$A$22,IF($M1572=$A$16,$L1572,0),0)</f>
        <v>0</v>
      </c>
    </row>
    <row r="1571" spans="17:18">
      <c r="Q1571" s="297">
        <f>IF($J1573=$A$21,IF($M1573=$A$16,$L1573,0),0)</f>
        <v>0</v>
      </c>
      <c r="R1571" s="297">
        <f>IF($J1573=$A$22,IF($M1573=$A$16,$L1573,0),0)</f>
        <v>0</v>
      </c>
    </row>
    <row r="1572" spans="17:18">
      <c r="Q1572" s="297">
        <f>IF($J1574=$A$21,IF($M1574=$A$16,$L1574,0),0)</f>
        <v>0</v>
      </c>
      <c r="R1572" s="297">
        <f>IF($J1574=$A$22,IF($M1574=$A$16,$L1574,0),0)</f>
        <v>0</v>
      </c>
    </row>
    <row r="1573" spans="17:18">
      <c r="Q1573" s="297">
        <f>IF($J1575=$A$21,IF($M1575=$A$16,$L1575,0),0)</f>
        <v>0</v>
      </c>
      <c r="R1573" s="297">
        <f>IF($J1575=$A$22,IF($M1575=$A$16,$L1575,0),0)</f>
        <v>0</v>
      </c>
    </row>
    <row r="1574" spans="17:18">
      <c r="Q1574" s="297">
        <f>IF($J1576=$A$21,IF($M1576=$A$16,$L1576,0),0)</f>
        <v>0</v>
      </c>
      <c r="R1574" s="297">
        <f>IF($J1576=$A$22,IF($M1576=$A$16,$L1576,0),0)</f>
        <v>0</v>
      </c>
    </row>
    <row r="1575" spans="17:18">
      <c r="Q1575" s="297">
        <f>IF($J1577=$A$21,IF($M1577=$A$16,$L1577,0),0)</f>
        <v>0</v>
      </c>
      <c r="R1575" s="297">
        <f>IF($J1577=$A$22,IF($M1577=$A$16,$L1577,0),0)</f>
        <v>0</v>
      </c>
    </row>
    <row r="1576" spans="17:18">
      <c r="Q1576" s="297">
        <f>IF($J1578=$A$21,IF($M1578=$A$16,$L1578,0),0)</f>
        <v>0</v>
      </c>
      <c r="R1576" s="297">
        <f>IF($J1578=$A$22,IF($M1578=$A$16,$L1578,0),0)</f>
        <v>0</v>
      </c>
    </row>
    <row r="1577" spans="17:18">
      <c r="Q1577" s="297">
        <f>IF($J1579=$A$21,IF($M1579=$A$16,$L1579,0),0)</f>
        <v>0</v>
      </c>
      <c r="R1577" s="297">
        <f>IF($J1579=$A$22,IF($M1579=$A$16,$L1579,0),0)</f>
        <v>0</v>
      </c>
    </row>
    <row r="1578" spans="17:18">
      <c r="Q1578" s="297">
        <f>IF($J1580=$A$21,IF($M1580=$A$16,$L1580,0),0)</f>
        <v>0</v>
      </c>
      <c r="R1578" s="297">
        <f>IF($J1580=$A$22,IF($M1580=$A$16,$L1580,0),0)</f>
        <v>0</v>
      </c>
    </row>
    <row r="1579" spans="17:18">
      <c r="Q1579" s="297">
        <f>IF($J1581=$A$21,IF($M1581=$A$16,$L1581,0),0)</f>
        <v>0</v>
      </c>
      <c r="R1579" s="297">
        <f>IF($J1581=$A$22,IF($M1581=$A$16,$L1581,0),0)</f>
        <v>0</v>
      </c>
    </row>
    <row r="1580" spans="17:18">
      <c r="Q1580" s="297">
        <f>IF($J1582=$A$21,IF($M1582=$A$16,$L1582,0),0)</f>
        <v>0</v>
      </c>
      <c r="R1580" s="297">
        <f>IF($J1582=$A$22,IF($M1582=$A$16,$L1582,0),0)</f>
        <v>0</v>
      </c>
    </row>
    <row r="1581" spans="17:18">
      <c r="Q1581" s="297">
        <f>IF($J1583=$A$21,IF($M1583=$A$16,$L1583,0),0)</f>
        <v>0</v>
      </c>
      <c r="R1581" s="297">
        <f>IF($J1583=$A$22,IF($M1583=$A$16,$L1583,0),0)</f>
        <v>0</v>
      </c>
    </row>
    <row r="1582" spans="17:18">
      <c r="Q1582" s="297">
        <f>IF($J1584=$A$21,IF($M1584=$A$16,$L1584,0),0)</f>
        <v>0</v>
      </c>
      <c r="R1582" s="297">
        <f>IF($J1584=$A$22,IF($M1584=$A$16,$L1584,0),0)</f>
        <v>0</v>
      </c>
    </row>
    <row r="1583" spans="17:18">
      <c r="Q1583" s="297">
        <f>IF($J1585=$A$21,IF($M1585=$A$16,$L1585,0),0)</f>
        <v>0</v>
      </c>
      <c r="R1583" s="297">
        <f>IF($J1585=$A$22,IF($M1585=$A$16,$L1585,0),0)</f>
        <v>0</v>
      </c>
    </row>
    <row r="1584" spans="17:18">
      <c r="Q1584" s="297">
        <f>IF($J1586=$A$21,IF($M1586=$A$16,$L1586,0),0)</f>
        <v>0</v>
      </c>
      <c r="R1584" s="297">
        <f>IF($J1586=$A$22,IF($M1586=$A$16,$L1586,0),0)</f>
        <v>0</v>
      </c>
    </row>
    <row r="1585" spans="17:18">
      <c r="Q1585" s="297">
        <f>IF($J1587=$A$21,IF($M1587=$A$16,$L1587,0),0)</f>
        <v>0</v>
      </c>
      <c r="R1585" s="297">
        <f>IF($J1587=$A$22,IF($M1587=$A$16,$L1587,0),0)</f>
        <v>0</v>
      </c>
    </row>
    <row r="1586" spans="17:18">
      <c r="Q1586" s="297">
        <f>IF($J1588=$A$21,IF($M1588=$A$16,$L1588,0),0)</f>
        <v>0</v>
      </c>
      <c r="R1586" s="297">
        <f>IF($J1588=$A$22,IF($M1588=$A$16,$L1588,0),0)</f>
        <v>0</v>
      </c>
    </row>
    <row r="1587" spans="17:18">
      <c r="Q1587" s="297">
        <f>IF($J1589=$A$21,IF($M1589=$A$16,$L1589,0),0)</f>
        <v>0</v>
      </c>
      <c r="R1587" s="297">
        <f>IF($J1589=$A$22,IF($M1589=$A$16,$L1589,0),0)</f>
        <v>0</v>
      </c>
    </row>
    <row r="1588" spans="17:18">
      <c r="Q1588" s="297">
        <f>IF($J1590=$A$21,IF($M1590=$A$16,$L1590,0),0)</f>
        <v>0</v>
      </c>
      <c r="R1588" s="297">
        <f>IF($J1590=$A$22,IF($M1590=$A$16,$L1590,0),0)</f>
        <v>0</v>
      </c>
    </row>
    <row r="1589" spans="17:18">
      <c r="Q1589" s="297">
        <f>IF($J1591=$A$21,IF($M1591=$A$16,$L1591,0),0)</f>
        <v>0</v>
      </c>
      <c r="R1589" s="297">
        <f>IF($J1591=$A$22,IF($M1591=$A$16,$L1591,0),0)</f>
        <v>0</v>
      </c>
    </row>
    <row r="1590" spans="17:18">
      <c r="Q1590" s="297">
        <f>IF($J1592=$A$21,IF($M1592=$A$16,$L1592,0),0)</f>
        <v>0</v>
      </c>
      <c r="R1590" s="297">
        <f>IF($J1592=$A$22,IF($M1592=$A$16,$L1592,0),0)</f>
        <v>0</v>
      </c>
    </row>
    <row r="1591" spans="17:18">
      <c r="Q1591" s="297">
        <f>IF($J1593=$A$21,IF($M1593=$A$16,$L1593,0),0)</f>
        <v>0</v>
      </c>
      <c r="R1591" s="297">
        <f>IF($J1593=$A$22,IF($M1593=$A$16,$L1593,0),0)</f>
        <v>0</v>
      </c>
    </row>
    <row r="1592" spans="17:18">
      <c r="Q1592" s="297">
        <f>IF($J1594=$A$21,IF($M1594=$A$16,$L1594,0),0)</f>
        <v>0</v>
      </c>
      <c r="R1592" s="297">
        <f>IF($J1594=$A$22,IF($M1594=$A$16,$L1594,0),0)</f>
        <v>0</v>
      </c>
    </row>
    <row r="1593" spans="17:18">
      <c r="Q1593" s="297">
        <f>IF($J1595=$A$21,IF($M1595=$A$16,$L1595,0),0)</f>
        <v>0</v>
      </c>
      <c r="R1593" s="297">
        <f>IF($J1595=$A$22,IF($M1595=$A$16,$L1595,0),0)</f>
        <v>0</v>
      </c>
    </row>
    <row r="1594" spans="17:18">
      <c r="Q1594" s="297">
        <f>IF($J1596=$A$21,IF($M1596=$A$16,$L1596,0),0)</f>
        <v>0</v>
      </c>
      <c r="R1594" s="297">
        <f>IF($J1596=$A$22,IF($M1596=$A$16,$L1596,0),0)</f>
        <v>0</v>
      </c>
    </row>
    <row r="1595" spans="17:18">
      <c r="Q1595" s="297">
        <f>IF($J1597=$A$21,IF($M1597=$A$16,$L1597,0),0)</f>
        <v>0</v>
      </c>
      <c r="R1595" s="297">
        <f>IF($J1597=$A$22,IF($M1597=$A$16,$L1597,0),0)</f>
        <v>0</v>
      </c>
    </row>
    <row r="1596" spans="17:18">
      <c r="Q1596" s="297">
        <f>IF($J1598=$A$21,IF($M1598=$A$16,$L1598,0),0)</f>
        <v>0</v>
      </c>
      <c r="R1596" s="297">
        <f>IF($J1598=$A$22,IF($M1598=$A$16,$L1598,0),0)</f>
        <v>0</v>
      </c>
    </row>
    <row r="1597" spans="17:18">
      <c r="Q1597" s="297">
        <f>IF($J1599=$A$21,IF($M1599=$A$16,$L1599,0),0)</f>
        <v>0</v>
      </c>
      <c r="R1597" s="297">
        <f>IF($J1599=$A$22,IF($M1599=$A$16,$L1599,0),0)</f>
        <v>0</v>
      </c>
    </row>
    <row r="1598" spans="17:18">
      <c r="Q1598" s="297">
        <f>IF($J1600=$A$21,IF($M1600=$A$16,$L1600,0),0)</f>
        <v>0</v>
      </c>
      <c r="R1598" s="297">
        <f>IF($J1600=$A$22,IF($M1600=$A$16,$L1600,0),0)</f>
        <v>0</v>
      </c>
    </row>
    <row r="1599" spans="17:18">
      <c r="Q1599" s="297">
        <f>IF($J1601=$A$21,IF($M1601=$A$16,$L1601,0),0)</f>
        <v>0</v>
      </c>
      <c r="R1599" s="297">
        <f>IF($J1601=$A$22,IF($M1601=$A$16,$L1601,0),0)</f>
        <v>0</v>
      </c>
    </row>
    <row r="1600" spans="17:18">
      <c r="Q1600" s="297">
        <f>IF($J1602=$A$21,IF($M1602=$A$16,$L1602,0),0)</f>
        <v>0</v>
      </c>
      <c r="R1600" s="297">
        <f>IF($J1602=$A$22,IF($M1602=$A$16,$L1602,0),0)</f>
        <v>0</v>
      </c>
    </row>
    <row r="1601" spans="17:18">
      <c r="Q1601" s="297">
        <f>IF($J1603=$A$21,IF($M1603=$A$16,$L1603,0),0)</f>
        <v>0</v>
      </c>
      <c r="R1601" s="297">
        <f>IF($J1603=$A$22,IF($M1603=$A$16,$L1603,0),0)</f>
        <v>0</v>
      </c>
    </row>
    <row r="1602" spans="17:18">
      <c r="Q1602" s="297">
        <f>IF($J1604=$A$21,IF($M1604=$A$16,$L1604,0),0)</f>
        <v>0</v>
      </c>
      <c r="R1602" s="297">
        <f>IF($J1604=$A$22,IF($M1604=$A$16,$L1604,0),0)</f>
        <v>0</v>
      </c>
    </row>
    <row r="1603" spans="17:18">
      <c r="Q1603" s="297">
        <f>IF($J1605=$A$21,IF($M1605=$A$16,$L1605,0),0)</f>
        <v>0</v>
      </c>
      <c r="R1603" s="297">
        <f>IF($J1605=$A$22,IF($M1605=$A$16,$L1605,0),0)</f>
        <v>0</v>
      </c>
    </row>
    <row r="1604" spans="17:18">
      <c r="Q1604" s="297">
        <f>IF($J1606=$A$21,IF($M1606=$A$16,$L1606,0),0)</f>
        <v>0</v>
      </c>
      <c r="R1604" s="297">
        <f>IF($J1606=$A$22,IF($M1606=$A$16,$L1606,0),0)</f>
        <v>0</v>
      </c>
    </row>
    <row r="1605" spans="17:18">
      <c r="Q1605" s="297">
        <f>IF($J1607=$A$21,IF($M1607=$A$16,$L1607,0),0)</f>
        <v>0</v>
      </c>
      <c r="R1605" s="297">
        <f>IF($J1607=$A$22,IF($M1607=$A$16,$L1607,0),0)</f>
        <v>0</v>
      </c>
    </row>
    <row r="1606" spans="17:18">
      <c r="Q1606" s="297">
        <f>IF($J1608=$A$21,IF($M1608=$A$16,$L1608,0),0)</f>
        <v>0</v>
      </c>
      <c r="R1606" s="297">
        <f>IF($J1608=$A$22,IF($M1608=$A$16,$L1608,0),0)</f>
        <v>0</v>
      </c>
    </row>
    <row r="1607" spans="17:18">
      <c r="Q1607" s="297">
        <f>IF($J1609=$A$21,IF($M1609=$A$16,$L1609,0),0)</f>
        <v>0</v>
      </c>
      <c r="R1607" s="297">
        <f>IF($J1609=$A$22,IF($M1609=$A$16,$L1609,0),0)</f>
        <v>0</v>
      </c>
    </row>
    <row r="1608" spans="17:18">
      <c r="Q1608" s="297">
        <f>IF($J1610=$A$21,IF($M1610=$A$16,$L1610,0),0)</f>
        <v>0</v>
      </c>
      <c r="R1608" s="297">
        <f>IF($J1610=$A$22,IF($M1610=$A$16,$L1610,0),0)</f>
        <v>0</v>
      </c>
    </row>
    <row r="1609" spans="17:18">
      <c r="Q1609" s="297">
        <f>IF($J1611=$A$21,IF($M1611=$A$16,$L1611,0),0)</f>
        <v>0</v>
      </c>
      <c r="R1609" s="297">
        <f>IF($J1611=$A$22,IF($M1611=$A$16,$L1611,0),0)</f>
        <v>0</v>
      </c>
    </row>
    <row r="1610" spans="17:18">
      <c r="Q1610" s="297">
        <f>IF($J1612=$A$21,IF($M1612=$A$16,$L1612,0),0)</f>
        <v>0</v>
      </c>
      <c r="R1610" s="297">
        <f>IF($J1612=$A$22,IF($M1612=$A$16,$L1612,0),0)</f>
        <v>0</v>
      </c>
    </row>
    <row r="1611" spans="17:18">
      <c r="Q1611" s="297">
        <f>IF($J1613=$A$21,IF($M1613=$A$16,$L1613,0),0)</f>
        <v>0</v>
      </c>
      <c r="R1611" s="297">
        <f>IF($J1613=$A$22,IF($M1613=$A$16,$L1613,0),0)</f>
        <v>0</v>
      </c>
    </row>
    <row r="1612" spans="17:18">
      <c r="Q1612" s="297">
        <f>IF($J1614=$A$21,IF($M1614=$A$16,$L1614,0),0)</f>
        <v>0</v>
      </c>
      <c r="R1612" s="297">
        <f>IF($J1614=$A$22,IF($M1614=$A$16,$L1614,0),0)</f>
        <v>0</v>
      </c>
    </row>
    <row r="1613" spans="17:18">
      <c r="Q1613" s="297">
        <f>IF($J1615=$A$21,IF($M1615=$A$16,$L1615,0),0)</f>
        <v>0</v>
      </c>
      <c r="R1613" s="297">
        <f>IF($J1615=$A$22,IF($M1615=$A$16,$L1615,0),0)</f>
        <v>0</v>
      </c>
    </row>
    <row r="1614" spans="17:18">
      <c r="Q1614" s="297">
        <f>IF($J1616=$A$21,IF($M1616=$A$16,$L1616,0),0)</f>
        <v>0</v>
      </c>
      <c r="R1614" s="297">
        <f>IF($J1616=$A$22,IF($M1616=$A$16,$L1616,0),0)</f>
        <v>0</v>
      </c>
    </row>
    <row r="1615" spans="17:18">
      <c r="Q1615" s="297">
        <f>IF($J1617=$A$21,IF($M1617=$A$16,$L1617,0),0)</f>
        <v>0</v>
      </c>
      <c r="R1615" s="297">
        <f>IF($J1617=$A$22,IF($M1617=$A$16,$L1617,0),0)</f>
        <v>0</v>
      </c>
    </row>
    <row r="1616" spans="17:18">
      <c r="Q1616" s="297">
        <f>IF($J1618=$A$21,IF($M1618=$A$16,$L1618,0),0)</f>
        <v>0</v>
      </c>
      <c r="R1616" s="297">
        <f>IF($J1618=$A$22,IF($M1618=$A$16,$L1618,0),0)</f>
        <v>0</v>
      </c>
    </row>
    <row r="1617" spans="17:18">
      <c r="Q1617" s="297">
        <f>IF($J1619=$A$21,IF($M1619=$A$16,$L1619,0),0)</f>
        <v>0</v>
      </c>
      <c r="R1617" s="297">
        <f>IF($J1619=$A$22,IF($M1619=$A$16,$L1619,0),0)</f>
        <v>0</v>
      </c>
    </row>
    <row r="1618" spans="17:18">
      <c r="Q1618" s="297">
        <f>IF($J1620=$A$21,IF($M1620=$A$16,$L1620,0),0)</f>
        <v>0</v>
      </c>
      <c r="R1618" s="297">
        <f>IF($J1620=$A$22,IF($M1620=$A$16,$L1620,0),0)</f>
        <v>0</v>
      </c>
    </row>
    <row r="1619" spans="17:18">
      <c r="Q1619" s="297">
        <f>IF($J1621=$A$21,IF($M1621=$A$16,$L1621,0),0)</f>
        <v>0</v>
      </c>
      <c r="R1619" s="297">
        <f>IF($J1621=$A$22,IF($M1621=$A$16,$L1621,0),0)</f>
        <v>0</v>
      </c>
    </row>
    <row r="1620" spans="17:18">
      <c r="Q1620" s="297">
        <f>IF($J1622=$A$21,IF($M1622=$A$16,$L1622,0),0)</f>
        <v>0</v>
      </c>
      <c r="R1620" s="297">
        <f>IF($J1622=$A$22,IF($M1622=$A$16,$L1622,0),0)</f>
        <v>0</v>
      </c>
    </row>
    <row r="1621" spans="17:18">
      <c r="Q1621" s="297">
        <f>IF($J1623=$A$21,IF($M1623=$A$16,$L1623,0),0)</f>
        <v>0</v>
      </c>
      <c r="R1621" s="297">
        <f>IF($J1623=$A$22,IF($M1623=$A$16,$L1623,0),0)</f>
        <v>0</v>
      </c>
    </row>
    <row r="1622" spans="17:18">
      <c r="Q1622" s="297">
        <f>IF($J1624=$A$21,IF($M1624=$A$16,$L1624,0),0)</f>
        <v>0</v>
      </c>
      <c r="R1622" s="297">
        <f>IF($J1624=$A$22,IF($M1624=$A$16,$L1624,0),0)</f>
        <v>0</v>
      </c>
    </row>
    <row r="1623" spans="17:18">
      <c r="Q1623" s="297">
        <f>IF($J1625=$A$21,IF($M1625=$A$16,$L1625,0),0)</f>
        <v>0</v>
      </c>
      <c r="R1623" s="297">
        <f>IF($J1625=$A$22,IF($M1625=$A$16,$L1625,0),0)</f>
        <v>0</v>
      </c>
    </row>
    <row r="1624" spans="17:18">
      <c r="Q1624" s="297">
        <f>IF($J1626=$A$21,IF($M1626=$A$16,$L1626,0),0)</f>
        <v>0</v>
      </c>
      <c r="R1624" s="297">
        <f>IF($J1626=$A$22,IF($M1626=$A$16,$L1626,0),0)</f>
        <v>0</v>
      </c>
    </row>
    <row r="1625" spans="17:18">
      <c r="Q1625" s="297">
        <f>IF($J1627=$A$21,IF($M1627=$A$16,$L1627,0),0)</f>
        <v>0</v>
      </c>
      <c r="R1625" s="297">
        <f>IF($J1627=$A$22,IF($M1627=$A$16,$L1627,0),0)</f>
        <v>0</v>
      </c>
    </row>
    <row r="1626" spans="17:18">
      <c r="Q1626" s="297">
        <f>IF($J1628=$A$21,IF($M1628=$A$16,$L1628,0),0)</f>
        <v>0</v>
      </c>
      <c r="R1626" s="297">
        <f>IF($J1628=$A$22,IF($M1628=$A$16,$L1628,0),0)</f>
        <v>0</v>
      </c>
    </row>
    <row r="1627" spans="17:18">
      <c r="Q1627" s="297">
        <f>IF($J1629=$A$21,IF($M1629=$A$16,$L1629,0),0)</f>
        <v>0</v>
      </c>
      <c r="R1627" s="297">
        <f>IF($J1629=$A$22,IF($M1629=$A$16,$L1629,0),0)</f>
        <v>0</v>
      </c>
    </row>
    <row r="1628" spans="17:18">
      <c r="Q1628" s="297">
        <f>IF($J1630=$A$21,IF($M1630=$A$16,$L1630,0),0)</f>
        <v>0</v>
      </c>
      <c r="R1628" s="297">
        <f>IF($J1630=$A$22,IF($M1630=$A$16,$L1630,0),0)</f>
        <v>0</v>
      </c>
    </row>
    <row r="1629" spans="17:18">
      <c r="Q1629" s="297">
        <f>IF($J1631=$A$21,IF($M1631=$A$16,$L1631,0),0)</f>
        <v>0</v>
      </c>
      <c r="R1629" s="297">
        <f>IF($J1631=$A$22,IF($M1631=$A$16,$L1631,0),0)</f>
        <v>0</v>
      </c>
    </row>
    <row r="1630" spans="17:18">
      <c r="Q1630" s="297">
        <f>IF($J1632=$A$21,IF($M1632=$A$16,$L1632,0),0)</f>
        <v>0</v>
      </c>
      <c r="R1630" s="297">
        <f>IF($J1632=$A$22,IF($M1632=$A$16,$L1632,0),0)</f>
        <v>0</v>
      </c>
    </row>
    <row r="1631" spans="17:18">
      <c r="Q1631" s="297">
        <f>IF($J1633=$A$21,IF($M1633=$A$16,$L1633,0),0)</f>
        <v>0</v>
      </c>
      <c r="R1631" s="297">
        <f>IF($J1633=$A$22,IF($M1633=$A$16,$L1633,0),0)</f>
        <v>0</v>
      </c>
    </row>
    <row r="1632" spans="17:18">
      <c r="Q1632" s="297">
        <f>IF($J1634=$A$21,IF($M1634=$A$16,$L1634,0),0)</f>
        <v>0</v>
      </c>
      <c r="R1632" s="297">
        <f>IF($J1634=$A$22,IF($M1634=$A$16,$L1634,0),0)</f>
        <v>0</v>
      </c>
    </row>
    <row r="1633" spans="17:18">
      <c r="Q1633" s="297">
        <f>IF($J1635=$A$21,IF($M1635=$A$16,$L1635,0),0)</f>
        <v>0</v>
      </c>
      <c r="R1633" s="297">
        <f>IF($J1635=$A$22,IF($M1635=$A$16,$L1635,0),0)</f>
        <v>0</v>
      </c>
    </row>
    <row r="1634" spans="17:18">
      <c r="Q1634" s="297">
        <f>IF($J1636=$A$21,IF($M1636=$A$16,$L1636,0),0)</f>
        <v>0</v>
      </c>
      <c r="R1634" s="297">
        <f>IF($J1636=$A$22,IF($M1636=$A$16,$L1636,0),0)</f>
        <v>0</v>
      </c>
    </row>
    <row r="1635" spans="17:18">
      <c r="Q1635" s="297">
        <f>IF($J1637=$A$21,IF($M1637=$A$16,$L1637,0),0)</f>
        <v>0</v>
      </c>
      <c r="R1635" s="297">
        <f>IF($J1637=$A$22,IF($M1637=$A$16,$L1637,0),0)</f>
        <v>0</v>
      </c>
    </row>
    <row r="1636" spans="17:18">
      <c r="Q1636" s="297">
        <f>IF($J1638=$A$21,IF($M1638=$A$16,$L1638,0),0)</f>
        <v>0</v>
      </c>
      <c r="R1636" s="297">
        <f>IF($J1638=$A$22,IF($M1638=$A$16,$L1638,0),0)</f>
        <v>0</v>
      </c>
    </row>
    <row r="1637" spans="17:18">
      <c r="Q1637" s="297">
        <f>IF($J1639=$A$21,IF($M1639=$A$16,$L1639,0),0)</f>
        <v>0</v>
      </c>
      <c r="R1637" s="297">
        <f>IF($J1639=$A$22,IF($M1639=$A$16,$L1639,0),0)</f>
        <v>0</v>
      </c>
    </row>
    <row r="1638" spans="17:18">
      <c r="Q1638" s="297">
        <f>IF($J1640=$A$21,IF($M1640=$A$16,$L1640,0),0)</f>
        <v>0</v>
      </c>
      <c r="R1638" s="297">
        <f>IF($J1640=$A$22,IF($M1640=$A$16,$L1640,0),0)</f>
        <v>0</v>
      </c>
    </row>
    <row r="1639" spans="17:18">
      <c r="Q1639" s="297">
        <f>IF($J1641=$A$21,IF($M1641=$A$16,$L1641,0),0)</f>
        <v>0</v>
      </c>
      <c r="R1639" s="297">
        <f>IF($J1641=$A$22,IF($M1641=$A$16,$L1641,0),0)</f>
        <v>0</v>
      </c>
    </row>
    <row r="1640" spans="17:18">
      <c r="Q1640" s="297">
        <f>IF($J1642=$A$21,IF($M1642=$A$16,$L1642,0),0)</f>
        <v>0</v>
      </c>
      <c r="R1640" s="297">
        <f>IF($J1642=$A$22,IF($M1642=$A$16,$L1642,0),0)</f>
        <v>0</v>
      </c>
    </row>
    <row r="1641" spans="17:18">
      <c r="Q1641" s="297">
        <f>IF($J1643=$A$21,IF($M1643=$A$16,$L1643,0),0)</f>
        <v>0</v>
      </c>
      <c r="R1641" s="297">
        <f>IF($J1643=$A$22,IF($M1643=$A$16,$L1643,0),0)</f>
        <v>0</v>
      </c>
    </row>
    <row r="1642" spans="17:18">
      <c r="Q1642" s="297">
        <f>IF($J1644=$A$21,IF($M1644=$A$16,$L1644,0),0)</f>
        <v>0</v>
      </c>
      <c r="R1642" s="297">
        <f>IF($J1644=$A$22,IF($M1644=$A$16,$L1644,0),0)</f>
        <v>0</v>
      </c>
    </row>
    <row r="1643" spans="17:18">
      <c r="Q1643" s="297">
        <f>IF($J1645=$A$21,IF($M1645=$A$16,$L1645,0),0)</f>
        <v>0</v>
      </c>
      <c r="R1643" s="297">
        <f>IF($J1645=$A$22,IF($M1645=$A$16,$L1645,0),0)</f>
        <v>0</v>
      </c>
    </row>
    <row r="1644" spans="17:18">
      <c r="Q1644" s="297">
        <f>IF($J1646=$A$21,IF($M1646=$A$16,$L1646,0),0)</f>
        <v>0</v>
      </c>
      <c r="R1644" s="297">
        <f>IF($J1646=$A$22,IF($M1646=$A$16,$L1646,0),0)</f>
        <v>0</v>
      </c>
    </row>
    <row r="1645" spans="17:18">
      <c r="Q1645" s="297">
        <f>IF($J1647=$A$21,IF($M1647=$A$16,$L1647,0),0)</f>
        <v>0</v>
      </c>
      <c r="R1645" s="297">
        <f>IF($J1647=$A$22,IF($M1647=$A$16,$L1647,0),0)</f>
        <v>0</v>
      </c>
    </row>
    <row r="1646" spans="17:18">
      <c r="Q1646" s="297">
        <f>IF($J1648=$A$21,IF($M1648=$A$16,$L1648,0),0)</f>
        <v>0</v>
      </c>
      <c r="R1646" s="297">
        <f>IF($J1648=$A$22,IF($M1648=$A$16,$L1648,0),0)</f>
        <v>0</v>
      </c>
    </row>
    <row r="1647" spans="17:18">
      <c r="Q1647" s="297">
        <f>IF($J1649=$A$21,IF($M1649=$A$16,$L1649,0),0)</f>
        <v>0</v>
      </c>
      <c r="R1647" s="297">
        <f>IF($J1649=$A$22,IF($M1649=$A$16,$L1649,0),0)</f>
        <v>0</v>
      </c>
    </row>
    <row r="1648" spans="17:18">
      <c r="Q1648" s="297">
        <f>IF($J1650=$A$21,IF($M1650=$A$16,$L1650,0),0)</f>
        <v>0</v>
      </c>
      <c r="R1648" s="297">
        <f>IF($J1650=$A$22,IF($M1650=$A$16,$L1650,0),0)</f>
        <v>0</v>
      </c>
    </row>
    <row r="1649" spans="17:18">
      <c r="Q1649" s="297">
        <f>IF($J1651=$A$21,IF($M1651=$A$16,$L1651,0),0)</f>
        <v>0</v>
      </c>
      <c r="R1649" s="297">
        <f>IF($J1651=$A$22,IF($M1651=$A$16,$L1651,0),0)</f>
        <v>0</v>
      </c>
    </row>
    <row r="1650" spans="17:18">
      <c r="Q1650" s="297">
        <f>IF($J1652=$A$21,IF($M1652=$A$16,$L1652,0),0)</f>
        <v>0</v>
      </c>
      <c r="R1650" s="297">
        <f>IF($J1652=$A$22,IF($M1652=$A$16,$L1652,0),0)</f>
        <v>0</v>
      </c>
    </row>
    <row r="1651" spans="17:18">
      <c r="Q1651" s="297">
        <f>IF($J1653=$A$21,IF($M1653=$A$16,$L1653,0),0)</f>
        <v>0</v>
      </c>
      <c r="R1651" s="297">
        <f>IF($J1653=$A$22,IF($M1653=$A$16,$L1653,0),0)</f>
        <v>0</v>
      </c>
    </row>
    <row r="1652" spans="17:18">
      <c r="Q1652" s="297">
        <f>IF($J1654=$A$21,IF($M1654=$A$16,$L1654,0),0)</f>
        <v>0</v>
      </c>
      <c r="R1652" s="297">
        <f>IF($J1654=$A$22,IF($M1654=$A$16,$L1654,0),0)</f>
        <v>0</v>
      </c>
    </row>
    <row r="1653" spans="17:18">
      <c r="Q1653" s="297">
        <f>IF($J1655=$A$21,IF($M1655=$A$16,$L1655,0),0)</f>
        <v>0</v>
      </c>
      <c r="R1653" s="297">
        <f>IF($J1655=$A$22,IF($M1655=$A$16,$L1655,0),0)</f>
        <v>0</v>
      </c>
    </row>
    <row r="1654" spans="17:18">
      <c r="Q1654" s="297">
        <f>IF($J1656=$A$21,IF($M1656=$A$16,$L1656,0),0)</f>
        <v>0</v>
      </c>
      <c r="R1654" s="297">
        <f>IF($J1656=$A$22,IF($M1656=$A$16,$L1656,0),0)</f>
        <v>0</v>
      </c>
    </row>
    <row r="1655" spans="17:18">
      <c r="Q1655" s="297">
        <f>IF($J1657=$A$21,IF($M1657=$A$16,$L1657,0),0)</f>
        <v>0</v>
      </c>
      <c r="R1655" s="297">
        <f>IF($J1657=$A$22,IF($M1657=$A$16,$L1657,0),0)</f>
        <v>0</v>
      </c>
    </row>
    <row r="1656" spans="17:18">
      <c r="Q1656" s="297">
        <f>IF($J1658=$A$21,IF($M1658=$A$16,$L1658,0),0)</f>
        <v>0</v>
      </c>
      <c r="R1656" s="297">
        <f>IF($J1658=$A$22,IF($M1658=$A$16,$L1658,0),0)</f>
        <v>0</v>
      </c>
    </row>
    <row r="1657" spans="17:18">
      <c r="Q1657" s="297">
        <f>IF($J1659=$A$21,IF($M1659=$A$16,$L1659,0),0)</f>
        <v>0</v>
      </c>
      <c r="R1657" s="297">
        <f>IF($J1659=$A$22,IF($M1659=$A$16,$L1659,0),0)</f>
        <v>0</v>
      </c>
    </row>
    <row r="1658" spans="17:18">
      <c r="Q1658" s="297">
        <f>IF($J1660=$A$21,IF($M1660=$A$16,$L1660,0),0)</f>
        <v>0</v>
      </c>
      <c r="R1658" s="297">
        <f>IF($J1660=$A$22,IF($M1660=$A$16,$L1660,0),0)</f>
        <v>0</v>
      </c>
    </row>
    <row r="1659" spans="17:18">
      <c r="Q1659" s="297">
        <f>IF($J1661=$A$21,IF($M1661=$A$16,$L1661,0),0)</f>
        <v>0</v>
      </c>
      <c r="R1659" s="297">
        <f>IF($J1661=$A$22,IF($M1661=$A$16,$L1661,0),0)</f>
        <v>0</v>
      </c>
    </row>
    <row r="1660" spans="17:18">
      <c r="Q1660" s="297">
        <f>IF($J1662=$A$21,IF($M1662=$A$16,$L1662,0),0)</f>
        <v>0</v>
      </c>
      <c r="R1660" s="297">
        <f>IF($J1662=$A$22,IF($M1662=$A$16,$L1662,0),0)</f>
        <v>0</v>
      </c>
    </row>
    <row r="1661" spans="17:18">
      <c r="Q1661" s="297">
        <f>IF($J1663=$A$21,IF($M1663=$A$16,$L1663,0),0)</f>
        <v>0</v>
      </c>
      <c r="R1661" s="297">
        <f>IF($J1663=$A$22,IF($M1663=$A$16,$L1663,0),0)</f>
        <v>0</v>
      </c>
    </row>
    <row r="1662" spans="17:18">
      <c r="Q1662" s="297">
        <f>IF($J1664=$A$21,IF($M1664=$A$16,$L1664,0),0)</f>
        <v>0</v>
      </c>
      <c r="R1662" s="297">
        <f>IF($J1664=$A$22,IF($M1664=$A$16,$L1664,0),0)</f>
        <v>0</v>
      </c>
    </row>
    <row r="1663" spans="17:18">
      <c r="Q1663" s="297">
        <f>IF($J1665=$A$21,IF($M1665=$A$16,$L1665,0),0)</f>
        <v>0</v>
      </c>
      <c r="R1663" s="297">
        <f>IF($J1665=$A$22,IF($M1665=$A$16,$L1665,0),0)</f>
        <v>0</v>
      </c>
    </row>
    <row r="1664" spans="17:18">
      <c r="Q1664" s="297">
        <f>IF($J1666=$A$21,IF($M1666=$A$16,$L1666,0),0)</f>
        <v>0</v>
      </c>
      <c r="R1664" s="297">
        <f>IF($J1666=$A$22,IF($M1666=$A$16,$L1666,0),0)</f>
        <v>0</v>
      </c>
    </row>
    <row r="1665" spans="17:18">
      <c r="Q1665" s="297">
        <f>IF($J1667=$A$21,IF($M1667=$A$16,$L1667,0),0)</f>
        <v>0</v>
      </c>
      <c r="R1665" s="297">
        <f>IF($J1667=$A$22,IF($M1667=$A$16,$L1667,0),0)</f>
        <v>0</v>
      </c>
    </row>
    <row r="1666" spans="17:18">
      <c r="Q1666" s="297">
        <f>IF($J1668=$A$21,IF($M1668=$A$16,$L1668,0),0)</f>
        <v>0</v>
      </c>
      <c r="R1666" s="297">
        <f>IF($J1668=$A$22,IF($M1668=$A$16,$L1668,0),0)</f>
        <v>0</v>
      </c>
    </row>
    <row r="1667" spans="17:18">
      <c r="Q1667" s="297">
        <f>IF($J1669=$A$21,IF($M1669=$A$16,$L1669,0),0)</f>
        <v>0</v>
      </c>
      <c r="R1667" s="297">
        <f>IF($J1669=$A$22,IF($M1669=$A$16,$L1669,0),0)</f>
        <v>0</v>
      </c>
    </row>
    <row r="1668" spans="17:18">
      <c r="Q1668" s="297">
        <f>IF($J1670=$A$21,IF($M1670=$A$16,$L1670,0),0)</f>
        <v>0</v>
      </c>
      <c r="R1668" s="297">
        <f>IF($J1670=$A$22,IF($M1670=$A$16,$L1670,0),0)</f>
        <v>0</v>
      </c>
    </row>
    <row r="1669" spans="17:18">
      <c r="Q1669" s="297">
        <f>IF($J1671=$A$21,IF($M1671=$A$16,$L1671,0),0)</f>
        <v>0</v>
      </c>
      <c r="R1669" s="297">
        <f>IF($J1671=$A$22,IF($M1671=$A$16,$L1671,0),0)</f>
        <v>0</v>
      </c>
    </row>
    <row r="1670" spans="17:18">
      <c r="Q1670" s="297">
        <f>IF($J1672=$A$21,IF($M1672=$A$16,$L1672,0),0)</f>
        <v>0</v>
      </c>
      <c r="R1670" s="297">
        <f>IF($J1672=$A$22,IF($M1672=$A$16,$L1672,0),0)</f>
        <v>0</v>
      </c>
    </row>
    <row r="1671" spans="17:18">
      <c r="Q1671" s="297">
        <f>IF($J1673=$A$21,IF($M1673=$A$16,$L1673,0),0)</f>
        <v>0</v>
      </c>
      <c r="R1671" s="297">
        <f>IF($J1673=$A$22,IF($M1673=$A$16,$L1673,0),0)</f>
        <v>0</v>
      </c>
    </row>
    <row r="1672" spans="17:18">
      <c r="Q1672" s="297">
        <f>IF($J1674=$A$21,IF($M1674=$A$16,$L1674,0),0)</f>
        <v>0</v>
      </c>
      <c r="R1672" s="297">
        <f>IF($J1674=$A$22,IF($M1674=$A$16,$L1674,0),0)</f>
        <v>0</v>
      </c>
    </row>
    <row r="1673" spans="17:18">
      <c r="Q1673" s="297">
        <f>IF($J1675=$A$21,IF($M1675=$A$16,$L1675,0),0)</f>
        <v>0</v>
      </c>
      <c r="R1673" s="297">
        <f>IF($J1675=$A$22,IF($M1675=$A$16,$L1675,0),0)</f>
        <v>0</v>
      </c>
    </row>
    <row r="1674" spans="17:18">
      <c r="Q1674" s="297">
        <f>IF($J1676=$A$21,IF($M1676=$A$16,$L1676,0),0)</f>
        <v>0</v>
      </c>
      <c r="R1674" s="297">
        <f>IF($J1676=$A$22,IF($M1676=$A$16,$L1676,0),0)</f>
        <v>0</v>
      </c>
    </row>
    <row r="1675" spans="17:18">
      <c r="Q1675" s="297">
        <f>IF($J1677=$A$21,IF($M1677=$A$16,$L1677,0),0)</f>
        <v>0</v>
      </c>
      <c r="R1675" s="297">
        <f>IF($J1677=$A$22,IF($M1677=$A$16,$L1677,0),0)</f>
        <v>0</v>
      </c>
    </row>
    <row r="1676" spans="17:18">
      <c r="Q1676" s="297">
        <f>IF($J1678=$A$21,IF($M1678=$A$16,$L1678,0),0)</f>
        <v>0</v>
      </c>
      <c r="R1676" s="297">
        <f>IF($J1678=$A$22,IF($M1678=$A$16,$L1678,0),0)</f>
        <v>0</v>
      </c>
    </row>
    <row r="1677" spans="17:18">
      <c r="Q1677" s="297">
        <f>IF($J1679=$A$21,IF($M1679=$A$16,$L1679,0),0)</f>
        <v>0</v>
      </c>
      <c r="R1677" s="297">
        <f>IF($J1679=$A$22,IF($M1679=$A$16,$L1679,0),0)</f>
        <v>0</v>
      </c>
    </row>
    <row r="1678" spans="17:18">
      <c r="Q1678" s="297">
        <f>IF($J1680=$A$21,IF($M1680=$A$16,$L1680,0),0)</f>
        <v>0</v>
      </c>
      <c r="R1678" s="297">
        <f>IF($J1680=$A$22,IF($M1680=$A$16,$L1680,0),0)</f>
        <v>0</v>
      </c>
    </row>
    <row r="1679" spans="17:18">
      <c r="Q1679" s="297">
        <f>IF($J1681=$A$21,IF($M1681=$A$16,$L1681,0),0)</f>
        <v>0</v>
      </c>
      <c r="R1679" s="297">
        <f>IF($J1681=$A$22,IF($M1681=$A$16,$L1681,0),0)</f>
        <v>0</v>
      </c>
    </row>
    <row r="1680" spans="17:18">
      <c r="Q1680" s="297">
        <f>IF($J1682=$A$21,IF($M1682=$A$16,$L1682,0),0)</f>
        <v>0</v>
      </c>
      <c r="R1680" s="297">
        <f>IF($J1682=$A$22,IF($M1682=$A$16,$L1682,0),0)</f>
        <v>0</v>
      </c>
    </row>
    <row r="1681" spans="17:18">
      <c r="Q1681" s="297">
        <f>IF($J1683=$A$21,IF($M1683=$A$16,$L1683,0),0)</f>
        <v>0</v>
      </c>
      <c r="R1681" s="297">
        <f>IF($J1683=$A$22,IF($M1683=$A$16,$L1683,0),0)</f>
        <v>0</v>
      </c>
    </row>
    <row r="1682" spans="17:18">
      <c r="Q1682" s="297">
        <f>IF($J1684=$A$21,IF($M1684=$A$16,$L1684,0),0)</f>
        <v>0</v>
      </c>
      <c r="R1682" s="297">
        <f>IF($J1684=$A$22,IF($M1684=$A$16,$L1684,0),0)</f>
        <v>0</v>
      </c>
    </row>
    <row r="1683" spans="17:18">
      <c r="Q1683" s="297">
        <f>IF($J1685=$A$21,IF($M1685=$A$16,$L1685,0),0)</f>
        <v>0</v>
      </c>
      <c r="R1683" s="297">
        <f>IF($J1685=$A$22,IF($M1685=$A$16,$L1685,0),0)</f>
        <v>0</v>
      </c>
    </row>
    <row r="1684" spans="17:18">
      <c r="Q1684" s="297">
        <f>IF($J1686=$A$21,IF($M1686=$A$16,$L1686,0),0)</f>
        <v>0</v>
      </c>
      <c r="R1684" s="297">
        <f>IF($J1686=$A$22,IF($M1686=$A$16,$L1686,0),0)</f>
        <v>0</v>
      </c>
    </row>
    <row r="1685" spans="17:18">
      <c r="Q1685" s="297">
        <f>IF($J1687=$A$21,IF($M1687=$A$16,$L1687,0),0)</f>
        <v>0</v>
      </c>
      <c r="R1685" s="297">
        <f>IF($J1687=$A$22,IF($M1687=$A$16,$L1687,0),0)</f>
        <v>0</v>
      </c>
    </row>
    <row r="1686" spans="17:18">
      <c r="Q1686" s="297">
        <f>IF($J1688=$A$21,IF($M1688=$A$16,$L1688,0),0)</f>
        <v>0</v>
      </c>
      <c r="R1686" s="297">
        <f>IF($J1688=$A$22,IF($M1688=$A$16,$L1688,0),0)</f>
        <v>0</v>
      </c>
    </row>
    <row r="1687" spans="17:18">
      <c r="Q1687" s="297">
        <f>IF($J1689=$A$21,IF($M1689=$A$16,$L1689,0),0)</f>
        <v>0</v>
      </c>
      <c r="R1687" s="297">
        <f>IF($J1689=$A$22,IF($M1689=$A$16,$L1689,0),0)</f>
        <v>0</v>
      </c>
    </row>
    <row r="1688" spans="17:18">
      <c r="Q1688" s="297">
        <f>IF($J1690=$A$21,IF($M1690=$A$16,$L1690,0),0)</f>
        <v>0</v>
      </c>
      <c r="R1688" s="297">
        <f>IF($J1690=$A$22,IF($M1690=$A$16,$L1690,0),0)</f>
        <v>0</v>
      </c>
    </row>
    <row r="1689" spans="17:18">
      <c r="Q1689" s="297">
        <f>IF($J1691=$A$21,IF($M1691=$A$16,$L1691,0),0)</f>
        <v>0</v>
      </c>
      <c r="R1689" s="297">
        <f>IF($J1691=$A$22,IF($M1691=$A$16,$L1691,0),0)</f>
        <v>0</v>
      </c>
    </row>
    <row r="1690" spans="17:18">
      <c r="Q1690" s="297">
        <f>IF($J1692=$A$21,IF($M1692=$A$16,$L1692,0),0)</f>
        <v>0</v>
      </c>
      <c r="R1690" s="297">
        <f>IF($J1692=$A$22,IF($M1692=$A$16,$L1692,0),0)</f>
        <v>0</v>
      </c>
    </row>
    <row r="1691" spans="17:18">
      <c r="Q1691" s="297">
        <f>IF($J1693=$A$21,IF($M1693=$A$16,$L1693,0),0)</f>
        <v>0</v>
      </c>
      <c r="R1691" s="297">
        <f>IF($J1693=$A$22,IF($M1693=$A$16,$L1693,0),0)</f>
        <v>0</v>
      </c>
    </row>
    <row r="1692" spans="17:18">
      <c r="Q1692" s="297">
        <f>IF($J1694=$A$21,IF($M1694=$A$16,$L1694,0),0)</f>
        <v>0</v>
      </c>
      <c r="R1692" s="297">
        <f>IF($J1694=$A$22,IF($M1694=$A$16,$L1694,0),0)</f>
        <v>0</v>
      </c>
    </row>
    <row r="1693" spans="17:18">
      <c r="Q1693" s="297">
        <f>IF($J1695=$A$21,IF($M1695=$A$16,$L1695,0),0)</f>
        <v>0</v>
      </c>
      <c r="R1693" s="297">
        <f>IF($J1695=$A$22,IF($M1695=$A$16,$L1695,0),0)</f>
        <v>0</v>
      </c>
    </row>
    <row r="1694" spans="17:18">
      <c r="Q1694" s="297">
        <f>IF($J1696=$A$21,IF($M1696=$A$16,$L1696,0),0)</f>
        <v>0</v>
      </c>
      <c r="R1694" s="297">
        <f>IF($J1696=$A$22,IF($M1696=$A$16,$L1696,0),0)</f>
        <v>0</v>
      </c>
    </row>
    <row r="1695" spans="17:18">
      <c r="Q1695" s="297">
        <f>IF($J1697=$A$21,IF($M1697=$A$16,$L1697,0),0)</f>
        <v>0</v>
      </c>
      <c r="R1695" s="297">
        <f>IF($J1697=$A$22,IF($M1697=$A$16,$L1697,0),0)</f>
        <v>0</v>
      </c>
    </row>
    <row r="1696" spans="17:18">
      <c r="Q1696" s="297">
        <f>IF($J1698=$A$21,IF($M1698=$A$16,$L1698,0),0)</f>
        <v>0</v>
      </c>
      <c r="R1696" s="297">
        <f>IF($J1698=$A$22,IF($M1698=$A$16,$L1698,0),0)</f>
        <v>0</v>
      </c>
    </row>
    <row r="1697" spans="17:18">
      <c r="Q1697" s="297">
        <f>IF($J1699=$A$21,IF($M1699=$A$16,$L1699,0),0)</f>
        <v>0</v>
      </c>
      <c r="R1697" s="297">
        <f>IF($J1699=$A$22,IF($M1699=$A$16,$L1699,0),0)</f>
        <v>0</v>
      </c>
    </row>
    <row r="1698" spans="17:18">
      <c r="Q1698" s="297">
        <f>IF($J1700=$A$21,IF($M1700=$A$16,$L1700,0),0)</f>
        <v>0</v>
      </c>
      <c r="R1698" s="297">
        <f>IF($J1700=$A$22,IF($M1700=$A$16,$L1700,0),0)</f>
        <v>0</v>
      </c>
    </row>
    <row r="1699" spans="17:18">
      <c r="Q1699" s="297">
        <f>IF($J1701=$A$21,IF($M1701=$A$16,$L1701,0),0)</f>
        <v>0</v>
      </c>
      <c r="R1699" s="297">
        <f>IF($J1701=$A$22,IF($M1701=$A$16,$L1701,0),0)</f>
        <v>0</v>
      </c>
    </row>
    <row r="1700" spans="17:18">
      <c r="Q1700" s="297">
        <f>IF($J1702=$A$21,IF($M1702=$A$16,$L1702,0),0)</f>
        <v>0</v>
      </c>
      <c r="R1700" s="297">
        <f>IF($J1702=$A$22,IF($M1702=$A$16,$L1702,0),0)</f>
        <v>0</v>
      </c>
    </row>
    <row r="1701" spans="17:18">
      <c r="Q1701" s="297">
        <f>IF($J1703=$A$21,IF($M1703=$A$16,$L1703,0),0)</f>
        <v>0</v>
      </c>
      <c r="R1701" s="297">
        <f>IF($J1703=$A$22,IF($M1703=$A$16,$L1703,0),0)</f>
        <v>0</v>
      </c>
    </row>
    <row r="1702" spans="17:18">
      <c r="Q1702" s="297">
        <f>IF($J1704=$A$21,IF($M1704=$A$16,$L1704,0),0)</f>
        <v>0</v>
      </c>
      <c r="R1702" s="297">
        <f>IF($J1704=$A$22,IF($M1704=$A$16,$L1704,0),0)</f>
        <v>0</v>
      </c>
    </row>
    <row r="1703" spans="17:18">
      <c r="Q1703" s="297">
        <f>IF($J1705=$A$21,IF($M1705=$A$16,$L1705,0),0)</f>
        <v>0</v>
      </c>
      <c r="R1703" s="297">
        <f>IF($J1705=$A$22,IF($M1705=$A$16,$L1705,0),0)</f>
        <v>0</v>
      </c>
    </row>
    <row r="1704" spans="17:18">
      <c r="Q1704" s="297">
        <f>IF($J1706=$A$21,IF($M1706=$A$16,$L1706,0),0)</f>
        <v>0</v>
      </c>
      <c r="R1704" s="297">
        <f>IF($J1706=$A$22,IF($M1706=$A$16,$L1706,0),0)</f>
        <v>0</v>
      </c>
    </row>
    <row r="1705" spans="17:18">
      <c r="Q1705" s="297">
        <f>IF($J1707=$A$21,IF($M1707=$A$16,$L1707,0),0)</f>
        <v>0</v>
      </c>
      <c r="R1705" s="297">
        <f>IF($J1707=$A$22,IF($M1707=$A$16,$L1707,0),0)</f>
        <v>0</v>
      </c>
    </row>
    <row r="1706" spans="17:18">
      <c r="Q1706" s="297">
        <f>IF($J1708=$A$21,IF($M1708=$A$16,$L1708,0),0)</f>
        <v>0</v>
      </c>
      <c r="R1706" s="297">
        <f>IF($J1708=$A$22,IF($M1708=$A$16,$L1708,0),0)</f>
        <v>0</v>
      </c>
    </row>
    <row r="1707" spans="17:18">
      <c r="Q1707" s="297">
        <f>IF($J1709=$A$21,IF($M1709=$A$16,$L1709,0),0)</f>
        <v>0</v>
      </c>
      <c r="R1707" s="297">
        <f>IF($J1709=$A$22,IF($M1709=$A$16,$L1709,0),0)</f>
        <v>0</v>
      </c>
    </row>
    <row r="1708" spans="17:18">
      <c r="Q1708" s="297">
        <f>IF($J1710=$A$21,IF($M1710=$A$16,$L1710,0),0)</f>
        <v>0</v>
      </c>
      <c r="R1708" s="297">
        <f>IF($J1710=$A$22,IF($M1710=$A$16,$L1710,0),0)</f>
        <v>0</v>
      </c>
    </row>
    <row r="1709" spans="17:18">
      <c r="Q1709" s="297">
        <f>IF($J1711=$A$21,IF($M1711=$A$16,$L1711,0),0)</f>
        <v>0</v>
      </c>
      <c r="R1709" s="297">
        <f>IF($J1711=$A$22,IF($M1711=$A$16,$L1711,0),0)</f>
        <v>0</v>
      </c>
    </row>
    <row r="1710" spans="17:18">
      <c r="Q1710" s="297">
        <f>IF($J1712=$A$21,IF($M1712=$A$16,$L1712,0),0)</f>
        <v>0</v>
      </c>
      <c r="R1710" s="297">
        <f>IF($J1712=$A$22,IF($M1712=$A$16,$L1712,0),0)</f>
        <v>0</v>
      </c>
    </row>
    <row r="1711" spans="17:18">
      <c r="Q1711" s="297">
        <f>IF($J1713=$A$21,IF($M1713=$A$16,$L1713,0),0)</f>
        <v>0</v>
      </c>
      <c r="R1711" s="297">
        <f>IF($J1713=$A$22,IF($M1713=$A$16,$L1713,0),0)</f>
        <v>0</v>
      </c>
    </row>
    <row r="1712" spans="17:18">
      <c r="Q1712" s="297">
        <f>IF($J1714=$A$21,IF($M1714=$A$16,$L1714,0),0)</f>
        <v>0</v>
      </c>
      <c r="R1712" s="297">
        <f>IF($J1714=$A$22,IF($M1714=$A$16,$L1714,0),0)</f>
        <v>0</v>
      </c>
    </row>
    <row r="1713" spans="17:18">
      <c r="Q1713" s="297">
        <f>IF($J1715=$A$21,IF($M1715=$A$16,$L1715,0),0)</f>
        <v>0</v>
      </c>
      <c r="R1713" s="297">
        <f>IF($J1715=$A$22,IF($M1715=$A$16,$L1715,0),0)</f>
        <v>0</v>
      </c>
    </row>
    <row r="1714" spans="17:18">
      <c r="Q1714" s="297">
        <f>IF($J1716=$A$21,IF($M1716=$A$16,$L1716,0),0)</f>
        <v>0</v>
      </c>
      <c r="R1714" s="297">
        <f>IF($J1716=$A$22,IF($M1716=$A$16,$L1716,0),0)</f>
        <v>0</v>
      </c>
    </row>
    <row r="1715" spans="17:18">
      <c r="Q1715" s="297">
        <f>IF($J1717=$A$21,IF($M1717=$A$16,$L1717,0),0)</f>
        <v>0</v>
      </c>
      <c r="R1715" s="297">
        <f>IF($J1717=$A$22,IF($M1717=$A$16,$L1717,0),0)</f>
        <v>0</v>
      </c>
    </row>
    <row r="1716" spans="17:18">
      <c r="Q1716" s="297">
        <f>IF($J1718=$A$21,IF($M1718=$A$16,$L1718,0),0)</f>
        <v>0</v>
      </c>
      <c r="R1716" s="297">
        <f>IF($J1718=$A$22,IF($M1718=$A$16,$L1718,0),0)</f>
        <v>0</v>
      </c>
    </row>
    <row r="1717" spans="17:18">
      <c r="Q1717" s="297">
        <f>IF($J1719=$A$21,IF($M1719=$A$16,$L1719,0),0)</f>
        <v>0</v>
      </c>
      <c r="R1717" s="297">
        <f>IF($J1719=$A$22,IF($M1719=$A$16,$L1719,0),0)</f>
        <v>0</v>
      </c>
    </row>
    <row r="1718" spans="17:18">
      <c r="Q1718" s="297">
        <f>IF($J1720=$A$21,IF($M1720=$A$16,$L1720,0),0)</f>
        <v>0</v>
      </c>
      <c r="R1718" s="297">
        <f>IF($J1720=$A$22,IF($M1720=$A$16,$L1720,0),0)</f>
        <v>0</v>
      </c>
    </row>
    <row r="1719" spans="17:18">
      <c r="Q1719" s="297">
        <f>IF($J1721=$A$21,IF($M1721=$A$16,$L1721,0),0)</f>
        <v>0</v>
      </c>
      <c r="R1719" s="297">
        <f>IF($J1721=$A$22,IF($M1721=$A$16,$L1721,0),0)</f>
        <v>0</v>
      </c>
    </row>
    <row r="1720" spans="17:18">
      <c r="Q1720" s="297">
        <f>IF($J1722=$A$21,IF($M1722=$A$16,$L1722,0),0)</f>
        <v>0</v>
      </c>
      <c r="R1720" s="297">
        <f>IF($J1722=$A$22,IF($M1722=$A$16,$L1722,0),0)</f>
        <v>0</v>
      </c>
    </row>
    <row r="1721" spans="17:18">
      <c r="Q1721" s="297">
        <f>IF($J1723=$A$21,IF($M1723=$A$16,$L1723,0),0)</f>
        <v>0</v>
      </c>
      <c r="R1721" s="297">
        <f>IF($J1723=$A$22,IF($M1723=$A$16,$L1723,0),0)</f>
        <v>0</v>
      </c>
    </row>
    <row r="1722" spans="17:18">
      <c r="Q1722" s="297">
        <f>IF($J1724=$A$21,IF($M1724=$A$16,$L1724,0),0)</f>
        <v>0</v>
      </c>
      <c r="R1722" s="297">
        <f>IF($J1724=$A$22,IF($M1724=$A$16,$L1724,0),0)</f>
        <v>0</v>
      </c>
    </row>
    <row r="1723" spans="17:18">
      <c r="Q1723" s="297">
        <f>IF($J1725=$A$21,IF($M1725=$A$16,$L1725,0),0)</f>
        <v>0</v>
      </c>
      <c r="R1723" s="297">
        <f>IF($J1725=$A$22,IF($M1725=$A$16,$L1725,0),0)</f>
        <v>0</v>
      </c>
    </row>
    <row r="1724" spans="17:18">
      <c r="Q1724" s="297">
        <f>IF($J1726=$A$21,IF($M1726=$A$16,$L1726,0),0)</f>
        <v>0</v>
      </c>
      <c r="R1724" s="297">
        <f>IF($J1726=$A$22,IF($M1726=$A$16,$L1726,0),0)</f>
        <v>0</v>
      </c>
    </row>
    <row r="1725" spans="17:18">
      <c r="Q1725" s="297">
        <f>IF($J1727=$A$21,IF($M1727=$A$16,$L1727,0),0)</f>
        <v>0</v>
      </c>
      <c r="R1725" s="297">
        <f>IF($J1727=$A$22,IF($M1727=$A$16,$L1727,0),0)</f>
        <v>0</v>
      </c>
    </row>
    <row r="1726" spans="17:18">
      <c r="Q1726" s="297">
        <f>IF($J1728=$A$21,IF($M1728=$A$16,$L1728,0),0)</f>
        <v>0</v>
      </c>
      <c r="R1726" s="297">
        <f>IF($J1728=$A$22,IF($M1728=$A$16,$L1728,0),0)</f>
        <v>0</v>
      </c>
    </row>
    <row r="1727" spans="17:18">
      <c r="Q1727" s="297">
        <f>IF($J1729=$A$21,IF($M1729=$A$16,$L1729,0),0)</f>
        <v>0</v>
      </c>
      <c r="R1727" s="297">
        <f>IF($J1729=$A$22,IF($M1729=$A$16,$L1729,0),0)</f>
        <v>0</v>
      </c>
    </row>
    <row r="1728" spans="17:18">
      <c r="Q1728" s="297">
        <f>IF($J1730=$A$21,IF($M1730=$A$16,$L1730,0),0)</f>
        <v>0</v>
      </c>
      <c r="R1728" s="297">
        <f>IF($J1730=$A$22,IF($M1730=$A$16,$L1730,0),0)</f>
        <v>0</v>
      </c>
    </row>
    <row r="1729" spans="17:18">
      <c r="Q1729" s="297">
        <f>IF($J1731=$A$21,IF($M1731=$A$16,$L1731,0),0)</f>
        <v>0</v>
      </c>
      <c r="R1729" s="297">
        <f>IF($J1731=$A$22,IF($M1731=$A$16,$L1731,0),0)</f>
        <v>0</v>
      </c>
    </row>
    <row r="1730" spans="17:18">
      <c r="Q1730" s="297">
        <f>IF($J1732=$A$21,IF($M1732=$A$16,$L1732,0),0)</f>
        <v>0</v>
      </c>
      <c r="R1730" s="297">
        <f>IF($J1732=$A$22,IF($M1732=$A$16,$L1732,0),0)</f>
        <v>0</v>
      </c>
    </row>
    <row r="1731" spans="17:18">
      <c r="Q1731" s="297">
        <f>IF($J1733=$A$21,IF($M1733=$A$16,$L1733,0),0)</f>
        <v>0</v>
      </c>
      <c r="R1731" s="297">
        <f>IF($J1733=$A$22,IF($M1733=$A$16,$L1733,0),0)</f>
        <v>0</v>
      </c>
    </row>
    <row r="1732" spans="17:18">
      <c r="Q1732" s="297">
        <f>IF($J1734=$A$21,IF($M1734=$A$16,$L1734,0),0)</f>
        <v>0</v>
      </c>
      <c r="R1732" s="297">
        <f>IF($J1734=$A$22,IF($M1734=$A$16,$L1734,0),0)</f>
        <v>0</v>
      </c>
    </row>
    <row r="1733" spans="17:18">
      <c r="Q1733" s="297">
        <f>IF($J1735=$A$21,IF($M1735=$A$16,$L1735,0),0)</f>
        <v>0</v>
      </c>
      <c r="R1733" s="297">
        <f>IF($J1735=$A$22,IF($M1735=$A$16,$L1735,0),0)</f>
        <v>0</v>
      </c>
    </row>
    <row r="1734" spans="17:18">
      <c r="Q1734" s="297">
        <f>IF($J1736=$A$21,IF($M1736=$A$16,$L1736,0),0)</f>
        <v>0</v>
      </c>
      <c r="R1734" s="297">
        <f>IF($J1736=$A$22,IF($M1736=$A$16,$L1736,0),0)</f>
        <v>0</v>
      </c>
    </row>
    <row r="1735" spans="17:18">
      <c r="Q1735" s="297">
        <f>IF($J1737=$A$21,IF($M1737=$A$16,$L1737,0),0)</f>
        <v>0</v>
      </c>
      <c r="R1735" s="297">
        <f>IF($J1737=$A$22,IF($M1737=$A$16,$L1737,0),0)</f>
        <v>0</v>
      </c>
    </row>
    <row r="1736" spans="17:18">
      <c r="Q1736" s="297">
        <f>IF($J1738=$A$21,IF($M1738=$A$16,$L1738,0),0)</f>
        <v>0</v>
      </c>
      <c r="R1736" s="297">
        <f>IF($J1738=$A$22,IF($M1738=$A$16,$L1738,0),0)</f>
        <v>0</v>
      </c>
    </row>
    <row r="1737" spans="17:18">
      <c r="Q1737" s="297">
        <f>IF($J1739=$A$21,IF($M1739=$A$16,$L1739,0),0)</f>
        <v>0</v>
      </c>
      <c r="R1737" s="297">
        <f>IF($J1739=$A$22,IF($M1739=$A$16,$L1739,0),0)</f>
        <v>0</v>
      </c>
    </row>
    <row r="1738" spans="17:18">
      <c r="Q1738" s="297">
        <f>IF($J1740=$A$21,IF($M1740=$A$16,$L1740,0),0)</f>
        <v>0</v>
      </c>
      <c r="R1738" s="297">
        <f>IF($J1740=$A$22,IF($M1740=$A$16,$L1740,0),0)</f>
        <v>0</v>
      </c>
    </row>
    <row r="1739" spans="17:18">
      <c r="Q1739" s="297">
        <f>IF($J1741=$A$21,IF($M1741=$A$16,$L1741,0),0)</f>
        <v>0</v>
      </c>
      <c r="R1739" s="297">
        <f>IF($J1741=$A$22,IF($M1741=$A$16,$L1741,0),0)</f>
        <v>0</v>
      </c>
    </row>
    <row r="1740" spans="17:18">
      <c r="Q1740" s="297">
        <f>IF($J1742=$A$21,IF($M1742=$A$16,$L1742,0),0)</f>
        <v>0</v>
      </c>
      <c r="R1740" s="297">
        <f>IF($J1742=$A$22,IF($M1742=$A$16,$L1742,0),0)</f>
        <v>0</v>
      </c>
    </row>
    <row r="1741" spans="17:18">
      <c r="Q1741" s="297">
        <f>IF($J1743=$A$21,IF($M1743=$A$16,$L1743,0),0)</f>
        <v>0</v>
      </c>
      <c r="R1741" s="297">
        <f>IF($J1743=$A$22,IF($M1743=$A$16,$L1743,0),0)</f>
        <v>0</v>
      </c>
    </row>
    <row r="1742" spans="17:18">
      <c r="Q1742" s="297">
        <f>IF($J1744=$A$21,IF($M1744=$A$16,$L1744,0),0)</f>
        <v>0</v>
      </c>
      <c r="R1742" s="297">
        <f>IF($J1744=$A$22,IF($M1744=$A$16,$L1744,0),0)</f>
        <v>0</v>
      </c>
    </row>
    <row r="1743" spans="17:18">
      <c r="Q1743" s="297">
        <f>IF($J1745=$A$21,IF($M1745=$A$16,$L1745,0),0)</f>
        <v>0</v>
      </c>
      <c r="R1743" s="297">
        <f>IF($J1745=$A$22,IF($M1745=$A$16,$L1745,0),0)</f>
        <v>0</v>
      </c>
    </row>
    <row r="1744" spans="17:18">
      <c r="Q1744" s="297">
        <f>IF($J1746=$A$21,IF($M1746=$A$16,$L1746,0),0)</f>
        <v>0</v>
      </c>
      <c r="R1744" s="297">
        <f>IF($J1746=$A$22,IF($M1746=$A$16,$L1746,0),0)</f>
        <v>0</v>
      </c>
    </row>
    <row r="1745" spans="17:18">
      <c r="Q1745" s="297">
        <f>IF($J1747=$A$21,IF($M1747=$A$16,$L1747,0),0)</f>
        <v>0</v>
      </c>
      <c r="R1745" s="297">
        <f>IF($J1747=$A$22,IF($M1747=$A$16,$L1747,0),0)</f>
        <v>0</v>
      </c>
    </row>
    <row r="1746" spans="17:18">
      <c r="Q1746" s="297">
        <f>IF($J1748=$A$21,IF($M1748=$A$16,$L1748,0),0)</f>
        <v>0</v>
      </c>
      <c r="R1746" s="297">
        <f>IF($J1748=$A$22,IF($M1748=$A$16,$L1748,0),0)</f>
        <v>0</v>
      </c>
    </row>
    <row r="1747" spans="17:18">
      <c r="Q1747" s="297">
        <f>IF($J1749=$A$21,IF($M1749=$A$16,$L1749,0),0)</f>
        <v>0</v>
      </c>
      <c r="R1747" s="297">
        <f>IF($J1749=$A$22,IF($M1749=$A$16,$L1749,0),0)</f>
        <v>0</v>
      </c>
    </row>
    <row r="1748" spans="17:18">
      <c r="Q1748" s="297">
        <f>IF($J1750=$A$21,IF($M1750=$A$16,$L1750,0),0)</f>
        <v>0</v>
      </c>
      <c r="R1748" s="297">
        <f>IF($J1750=$A$22,IF($M1750=$A$16,$L1750,0),0)</f>
        <v>0</v>
      </c>
    </row>
    <row r="1749" spans="17:18">
      <c r="Q1749" s="297">
        <f>IF($J1751=$A$21,IF($M1751=$A$16,$L1751,0),0)</f>
        <v>0</v>
      </c>
      <c r="R1749" s="297">
        <f>IF($J1751=$A$22,IF($M1751=$A$16,$L1751,0),0)</f>
        <v>0</v>
      </c>
    </row>
    <row r="1750" spans="17:18">
      <c r="Q1750" s="297">
        <f>IF($J1752=$A$21,IF($M1752=$A$16,$L1752,0),0)</f>
        <v>0</v>
      </c>
      <c r="R1750" s="297">
        <f>IF($J1752=$A$22,IF($M1752=$A$16,$L1752,0),0)</f>
        <v>0</v>
      </c>
    </row>
    <row r="1751" spans="17:18">
      <c r="Q1751" s="297">
        <f>IF($J1753=$A$21,IF($M1753=$A$16,$L1753,0),0)</f>
        <v>0</v>
      </c>
      <c r="R1751" s="297">
        <f>IF($J1753=$A$22,IF($M1753=$A$16,$L1753,0),0)</f>
        <v>0</v>
      </c>
    </row>
    <row r="1752" spans="17:18">
      <c r="Q1752" s="297">
        <f>IF($J1754=$A$21,IF($M1754=$A$16,$L1754,0),0)</f>
        <v>0</v>
      </c>
      <c r="R1752" s="297">
        <f>IF($J1754=$A$22,IF($M1754=$A$16,$L1754,0),0)</f>
        <v>0</v>
      </c>
    </row>
    <row r="1753" spans="17:18">
      <c r="Q1753" s="297">
        <f>IF($J1755=$A$21,IF($M1755=$A$16,$L1755,0),0)</f>
        <v>0</v>
      </c>
      <c r="R1753" s="297">
        <f>IF($J1755=$A$22,IF($M1755=$A$16,$L1755,0),0)</f>
        <v>0</v>
      </c>
    </row>
    <row r="1754" spans="17:18">
      <c r="Q1754" s="297">
        <f>IF($J1756=$A$21,IF($M1756=$A$16,$L1756,0),0)</f>
        <v>0</v>
      </c>
      <c r="R1754" s="297">
        <f>IF($J1756=$A$22,IF($M1756=$A$16,$L1756,0),0)</f>
        <v>0</v>
      </c>
    </row>
    <row r="1755" spans="17:18">
      <c r="Q1755" s="297">
        <f>IF($J1757=$A$21,IF($M1757=$A$16,$L1757,0),0)</f>
        <v>0</v>
      </c>
      <c r="R1755" s="297">
        <f>IF($J1757=$A$22,IF($M1757=$A$16,$L1757,0),0)</f>
        <v>0</v>
      </c>
    </row>
    <row r="1756" spans="17:18">
      <c r="Q1756" s="297">
        <f>IF($J1758=$A$21,IF($M1758=$A$16,$L1758,0),0)</f>
        <v>0</v>
      </c>
      <c r="R1756" s="297">
        <f>IF($J1758=$A$22,IF($M1758=$A$16,$L1758,0),0)</f>
        <v>0</v>
      </c>
    </row>
    <row r="1757" spans="17:18">
      <c r="Q1757" s="297">
        <f>IF($J1759=$A$21,IF($M1759=$A$16,$L1759,0),0)</f>
        <v>0</v>
      </c>
      <c r="R1757" s="297">
        <f>IF($J1759=$A$22,IF($M1759=$A$16,$L1759,0),0)</f>
        <v>0</v>
      </c>
    </row>
    <row r="1758" spans="17:18">
      <c r="Q1758" s="297">
        <f>IF($J1760=$A$21,IF($M1760=$A$16,$L1760,0),0)</f>
        <v>0</v>
      </c>
      <c r="R1758" s="297">
        <f>IF($J1760=$A$22,IF($M1760=$A$16,$L1760,0),0)</f>
        <v>0</v>
      </c>
    </row>
    <row r="1759" spans="17:18">
      <c r="Q1759" s="297">
        <f>IF($J1761=$A$21,IF($M1761=$A$16,$L1761,0),0)</f>
        <v>0</v>
      </c>
      <c r="R1759" s="297">
        <f>IF($J1761=$A$22,IF($M1761=$A$16,$L1761,0),0)</f>
        <v>0</v>
      </c>
    </row>
    <row r="1760" spans="17:18">
      <c r="Q1760" s="297">
        <f>IF($J1762=$A$21,IF($M1762=$A$16,$L1762,0),0)</f>
        <v>0</v>
      </c>
      <c r="R1760" s="297">
        <f>IF($J1762=$A$22,IF($M1762=$A$16,$L1762,0),0)</f>
        <v>0</v>
      </c>
    </row>
    <row r="1761" spans="17:18">
      <c r="Q1761" s="297">
        <f>IF($J1763=$A$21,IF($M1763=$A$16,$L1763,0),0)</f>
        <v>0</v>
      </c>
      <c r="R1761" s="297">
        <f>IF($J1763=$A$22,IF($M1763=$A$16,$L1763,0),0)</f>
        <v>0</v>
      </c>
    </row>
    <row r="1762" spans="17:18">
      <c r="Q1762" s="297">
        <f>IF($J1764=$A$21,IF($M1764=$A$16,$L1764,0),0)</f>
        <v>0</v>
      </c>
      <c r="R1762" s="297">
        <f>IF($J1764=$A$22,IF($M1764=$A$16,$L1764,0),0)</f>
        <v>0</v>
      </c>
    </row>
    <row r="1763" spans="17:18">
      <c r="Q1763" s="297">
        <f>IF($J1765=$A$21,IF($M1765=$A$16,$L1765,0),0)</f>
        <v>0</v>
      </c>
      <c r="R1763" s="297">
        <f>IF($J1765=$A$22,IF($M1765=$A$16,$L1765,0),0)</f>
        <v>0</v>
      </c>
    </row>
    <row r="1764" spans="17:18">
      <c r="Q1764" s="297">
        <f>IF($J1766=$A$21,IF($M1766=$A$16,$L1766,0),0)</f>
        <v>0</v>
      </c>
      <c r="R1764" s="297">
        <f>IF($J1766=$A$22,IF($M1766=$A$16,$L1766,0),0)</f>
        <v>0</v>
      </c>
    </row>
    <row r="1765" spans="17:18">
      <c r="Q1765" s="297">
        <f>IF($J1767=$A$21,IF($M1767=$A$16,$L1767,0),0)</f>
        <v>0</v>
      </c>
      <c r="R1765" s="297">
        <f>IF($J1767=$A$22,IF($M1767=$A$16,$L1767,0),0)</f>
        <v>0</v>
      </c>
    </row>
    <row r="1766" spans="17:18">
      <c r="Q1766" s="297">
        <f>IF($J1768=$A$21,IF($M1768=$A$16,$L1768,0),0)</f>
        <v>0</v>
      </c>
      <c r="R1766" s="297">
        <f>IF($J1768=$A$22,IF($M1768=$A$16,$L1768,0),0)</f>
        <v>0</v>
      </c>
    </row>
    <row r="1767" spans="17:18">
      <c r="Q1767" s="297">
        <f>IF($J1769=$A$21,IF($M1769=$A$16,$L1769,0),0)</f>
        <v>0</v>
      </c>
      <c r="R1767" s="297">
        <f>IF($J1769=$A$22,IF($M1769=$A$16,$L1769,0),0)</f>
        <v>0</v>
      </c>
    </row>
    <row r="1768" spans="17:18">
      <c r="Q1768" s="297">
        <f>IF($J1770=$A$21,IF($M1770=$A$16,$L1770,0),0)</f>
        <v>0</v>
      </c>
      <c r="R1768" s="297">
        <f>IF($J1770=$A$22,IF($M1770=$A$16,$L1770,0),0)</f>
        <v>0</v>
      </c>
    </row>
    <row r="1769" spans="17:18">
      <c r="Q1769" s="297">
        <f>IF($J1771=$A$21,IF($M1771=$A$16,$L1771,0),0)</f>
        <v>0</v>
      </c>
      <c r="R1769" s="297">
        <f>IF($J1771=$A$22,IF($M1771=$A$16,$L1771,0),0)</f>
        <v>0</v>
      </c>
    </row>
    <row r="1770" spans="17:18">
      <c r="Q1770" s="297">
        <f>IF($J1772=$A$21,IF($M1772=$A$16,$L1772,0),0)</f>
        <v>0</v>
      </c>
      <c r="R1770" s="297">
        <f>IF($J1772=$A$22,IF($M1772=$A$16,$L1772,0),0)</f>
        <v>0</v>
      </c>
    </row>
    <row r="1771" spans="17:18">
      <c r="Q1771" s="297">
        <f>IF($J1773=$A$21,IF($M1773=$A$16,$L1773,0),0)</f>
        <v>0</v>
      </c>
      <c r="R1771" s="297">
        <f>IF($J1773=$A$22,IF($M1773=$A$16,$L1773,0),0)</f>
        <v>0</v>
      </c>
    </row>
    <row r="1772" spans="17:18">
      <c r="Q1772" s="297">
        <f>IF($J1774=$A$21,IF($M1774=$A$16,$L1774,0),0)</f>
        <v>0</v>
      </c>
      <c r="R1772" s="297">
        <f>IF($J1774=$A$22,IF($M1774=$A$16,$L1774,0),0)</f>
        <v>0</v>
      </c>
    </row>
    <row r="1773" spans="17:18">
      <c r="Q1773" s="297">
        <f>IF($J1775=$A$21,IF($M1775=$A$16,$L1775,0),0)</f>
        <v>0</v>
      </c>
      <c r="R1773" s="297">
        <f>IF($J1775=$A$22,IF($M1775=$A$16,$L1775,0),0)</f>
        <v>0</v>
      </c>
    </row>
    <row r="1774" spans="17:18">
      <c r="Q1774" s="297">
        <f>IF($J1776=$A$21,IF($M1776=$A$16,$L1776,0),0)</f>
        <v>0</v>
      </c>
      <c r="R1774" s="297">
        <f>IF($J1776=$A$22,IF($M1776=$A$16,$L1776,0),0)</f>
        <v>0</v>
      </c>
    </row>
    <row r="1775" spans="17:18">
      <c r="Q1775" s="297">
        <f>IF($J1777=$A$21,IF($M1777=$A$16,$L1777,0),0)</f>
        <v>0</v>
      </c>
      <c r="R1775" s="297">
        <f>IF($J1777=$A$22,IF($M1777=$A$16,$L1777,0),0)</f>
        <v>0</v>
      </c>
    </row>
    <row r="1776" spans="17:18">
      <c r="Q1776" s="297">
        <f>IF($J1778=$A$21,IF($M1778=$A$16,$L1778,0),0)</f>
        <v>0</v>
      </c>
      <c r="R1776" s="297">
        <f>IF($J1778=$A$22,IF($M1778=$A$16,$L1778,0),0)</f>
        <v>0</v>
      </c>
    </row>
    <row r="1777" spans="17:18">
      <c r="Q1777" s="297">
        <f>IF($J1779=$A$21,IF($M1779=$A$16,$L1779,0),0)</f>
        <v>0</v>
      </c>
      <c r="R1777" s="297">
        <f>IF($J1779=$A$22,IF($M1779=$A$16,$L1779,0),0)</f>
        <v>0</v>
      </c>
    </row>
    <row r="1778" spans="17:18">
      <c r="Q1778" s="297">
        <f>IF($J1780=$A$21,IF($M1780=$A$16,$L1780,0),0)</f>
        <v>0</v>
      </c>
      <c r="R1778" s="297">
        <f>IF($J1780=$A$22,IF($M1780=$A$16,$L1780,0),0)</f>
        <v>0</v>
      </c>
    </row>
    <row r="1779" spans="17:18">
      <c r="Q1779" s="297">
        <f>IF($J1781=$A$21,IF($M1781=$A$16,$L1781,0),0)</f>
        <v>0</v>
      </c>
      <c r="R1779" s="297">
        <f>IF($J1781=$A$22,IF($M1781=$A$16,$L1781,0),0)</f>
        <v>0</v>
      </c>
    </row>
    <row r="1780" spans="17:18">
      <c r="Q1780" s="297">
        <f>IF($J1782=$A$21,IF($M1782=$A$16,$L1782,0),0)</f>
        <v>0</v>
      </c>
      <c r="R1780" s="297">
        <f>IF($J1782=$A$22,IF($M1782=$A$16,$L1782,0),0)</f>
        <v>0</v>
      </c>
    </row>
    <row r="1781" spans="17:18">
      <c r="Q1781" s="297">
        <f>IF($J1783=$A$21,IF($M1783=$A$16,$L1783,0),0)</f>
        <v>0</v>
      </c>
      <c r="R1781" s="297">
        <f>IF($J1783=$A$22,IF($M1783=$A$16,$L1783,0),0)</f>
        <v>0</v>
      </c>
    </row>
    <row r="1782" spans="17:18">
      <c r="Q1782" s="297">
        <f>IF($J1784=$A$21,IF($M1784=$A$16,$L1784,0),0)</f>
        <v>0</v>
      </c>
      <c r="R1782" s="297">
        <f>IF($J1784=$A$22,IF($M1784=$A$16,$L1784,0),0)</f>
        <v>0</v>
      </c>
    </row>
    <row r="1783" spans="17:18">
      <c r="Q1783" s="297">
        <f>IF($J1785=$A$21,IF($M1785=$A$16,$L1785,0),0)</f>
        <v>0</v>
      </c>
      <c r="R1783" s="297">
        <f>IF($J1785=$A$22,IF($M1785=$A$16,$L1785,0),0)</f>
        <v>0</v>
      </c>
    </row>
    <row r="1784" spans="17:18">
      <c r="Q1784" s="297">
        <f>IF($J1786=$A$21,IF($M1786=$A$16,$L1786,0),0)</f>
        <v>0</v>
      </c>
      <c r="R1784" s="297">
        <f>IF($J1786=$A$22,IF($M1786=$A$16,$L1786,0),0)</f>
        <v>0</v>
      </c>
    </row>
    <row r="1785" spans="17:18">
      <c r="Q1785" s="297">
        <f>IF($J1787=$A$21,IF($M1787=$A$16,$L1787,0),0)</f>
        <v>0</v>
      </c>
      <c r="R1785" s="297">
        <f>IF($J1787=$A$22,IF($M1787=$A$16,$L1787,0),0)</f>
        <v>0</v>
      </c>
    </row>
    <row r="1786" spans="17:18">
      <c r="Q1786" s="297">
        <f>IF($J1788=$A$21,IF($M1788=$A$16,$L1788,0),0)</f>
        <v>0</v>
      </c>
      <c r="R1786" s="297">
        <f>IF($J1788=$A$22,IF($M1788=$A$16,$L1788,0),0)</f>
        <v>0</v>
      </c>
    </row>
    <row r="1787" spans="17:18">
      <c r="Q1787" s="297">
        <f>IF($J1789=$A$21,IF($M1789=$A$16,$L1789,0),0)</f>
        <v>0</v>
      </c>
      <c r="R1787" s="297">
        <f>IF($J1789=$A$22,IF($M1789=$A$16,$L1789,0),0)</f>
        <v>0</v>
      </c>
    </row>
    <row r="1788" spans="17:18">
      <c r="Q1788" s="297">
        <f>IF($J1790=$A$21,IF($M1790=$A$16,$L1790,0),0)</f>
        <v>0</v>
      </c>
      <c r="R1788" s="297">
        <f>IF($J1790=$A$22,IF($M1790=$A$16,$L1790,0),0)</f>
        <v>0</v>
      </c>
    </row>
    <row r="1789" spans="17:18">
      <c r="Q1789" s="297">
        <f>IF($J1791=$A$21,IF($M1791=$A$16,$L1791,0),0)</f>
        <v>0</v>
      </c>
      <c r="R1789" s="297">
        <f>IF($J1791=$A$22,IF($M1791=$A$16,$L1791,0),0)</f>
        <v>0</v>
      </c>
    </row>
    <row r="1790" spans="17:18">
      <c r="Q1790" s="297">
        <f>IF($J1792=$A$21,IF($M1792=$A$16,$L1792,0),0)</f>
        <v>0</v>
      </c>
      <c r="R1790" s="297">
        <f>IF($J1792=$A$22,IF($M1792=$A$16,$L1792,0),0)</f>
        <v>0</v>
      </c>
    </row>
    <row r="1791" spans="17:18">
      <c r="Q1791" s="297">
        <f>IF($J1793=$A$21,IF($M1793=$A$16,$L1793,0),0)</f>
        <v>0</v>
      </c>
      <c r="R1791" s="297">
        <f>IF($J1793=$A$22,IF($M1793=$A$16,$L1793,0),0)</f>
        <v>0</v>
      </c>
    </row>
    <row r="1792" spans="17:18">
      <c r="Q1792" s="297">
        <f>IF($J1794=$A$21,IF($M1794=$A$16,$L1794,0),0)</f>
        <v>0</v>
      </c>
      <c r="R1792" s="297">
        <f>IF($J1794=$A$22,IF($M1794=$A$16,$L1794,0),0)</f>
        <v>0</v>
      </c>
    </row>
    <row r="1793" spans="17:18">
      <c r="Q1793" s="297">
        <f>IF($J1795=$A$21,IF($M1795=$A$16,$L1795,0),0)</f>
        <v>0</v>
      </c>
      <c r="R1793" s="297">
        <f>IF($J1795=$A$22,IF($M1795=$A$16,$L1795,0),0)</f>
        <v>0</v>
      </c>
    </row>
    <row r="1794" spans="17:18">
      <c r="Q1794" s="297">
        <f>IF($J1796=$A$21,IF($M1796=$A$16,$L1796,0),0)</f>
        <v>0</v>
      </c>
      <c r="R1794" s="297">
        <f>IF($J1796=$A$22,IF($M1796=$A$16,$L1796,0),0)</f>
        <v>0</v>
      </c>
    </row>
    <row r="1795" spans="17:18">
      <c r="Q1795" s="297">
        <f>IF($J1797=$A$21,IF($M1797=$A$16,$L1797,0),0)</f>
        <v>0</v>
      </c>
      <c r="R1795" s="297">
        <f>IF($J1797=$A$22,IF($M1797=$A$16,$L1797,0),0)</f>
        <v>0</v>
      </c>
    </row>
    <row r="1796" spans="17:18">
      <c r="Q1796" s="297">
        <f>IF($J1798=$A$21,IF($M1798=$A$16,$L1798,0),0)</f>
        <v>0</v>
      </c>
      <c r="R1796" s="297">
        <f>IF($J1798=$A$22,IF($M1798=$A$16,$L1798,0),0)</f>
        <v>0</v>
      </c>
    </row>
    <row r="1797" spans="17:18">
      <c r="Q1797" s="297">
        <f>IF($J1799=$A$21,IF($M1799=$A$16,$L1799,0),0)</f>
        <v>0</v>
      </c>
      <c r="R1797" s="297">
        <f>IF($J1799=$A$22,IF($M1799=$A$16,$L1799,0),0)</f>
        <v>0</v>
      </c>
    </row>
    <row r="1798" spans="17:18">
      <c r="Q1798" s="297">
        <f>IF($J1800=$A$21,IF($M1800=$A$16,$L1800,0),0)</f>
        <v>0</v>
      </c>
      <c r="R1798" s="297">
        <f>IF($J1800=$A$22,IF($M1800=$A$16,$L1800,0),0)</f>
        <v>0</v>
      </c>
    </row>
    <row r="1799" spans="17:18">
      <c r="Q1799" s="297">
        <f>IF($J1801=$A$21,IF($M1801=$A$16,$L1801,0),0)</f>
        <v>0</v>
      </c>
      <c r="R1799" s="297">
        <f>IF($J1801=$A$22,IF($M1801=$A$16,$L1801,0),0)</f>
        <v>0</v>
      </c>
    </row>
    <row r="1800" spans="17:18">
      <c r="Q1800" s="297">
        <f>IF($J1802=$A$21,IF($M1802=$A$16,$L1802,0),0)</f>
        <v>0</v>
      </c>
      <c r="R1800" s="297">
        <f>IF($J1802=$A$22,IF($M1802=$A$16,$L1802,0),0)</f>
        <v>0</v>
      </c>
    </row>
    <row r="1801" spans="17:18">
      <c r="Q1801" s="297">
        <f>IF($J1803=$A$21,IF($M1803=$A$16,$L1803,0),0)</f>
        <v>0</v>
      </c>
      <c r="R1801" s="297">
        <f>IF($J1803=$A$22,IF($M1803=$A$16,$L1803,0),0)</f>
        <v>0</v>
      </c>
    </row>
    <row r="1802" spans="17:18">
      <c r="Q1802" s="297">
        <f>IF($J1804=$A$21,IF($M1804=$A$16,$L1804,0),0)</f>
        <v>0</v>
      </c>
      <c r="R1802" s="297">
        <f>IF($J1804=$A$22,IF($M1804=$A$16,$L1804,0),0)</f>
        <v>0</v>
      </c>
    </row>
    <row r="1803" spans="17:18">
      <c r="Q1803" s="297">
        <f>IF($J1805=$A$21,IF($M1805=$A$16,$L1805,0),0)</f>
        <v>0</v>
      </c>
      <c r="R1803" s="297">
        <f>IF($J1805=$A$22,IF($M1805=$A$16,$L1805,0),0)</f>
        <v>0</v>
      </c>
    </row>
    <row r="1804" spans="17:18">
      <c r="Q1804" s="297">
        <f>IF($J1806=$A$21,IF($M1806=$A$16,$L1806,0),0)</f>
        <v>0</v>
      </c>
      <c r="R1804" s="297">
        <f>IF($J1806=$A$22,IF($M1806=$A$16,$L1806,0),0)</f>
        <v>0</v>
      </c>
    </row>
    <row r="1805" spans="17:18">
      <c r="Q1805" s="297">
        <f>IF($J1807=$A$21,IF($M1807=$A$16,$L1807,0),0)</f>
        <v>0</v>
      </c>
      <c r="R1805" s="297">
        <f>IF($J1807=$A$22,IF($M1807=$A$16,$L1807,0),0)</f>
        <v>0</v>
      </c>
    </row>
    <row r="1806" spans="17:18">
      <c r="Q1806" s="297">
        <f>IF($J1808=$A$21,IF($M1808=$A$16,$L1808,0),0)</f>
        <v>0</v>
      </c>
      <c r="R1806" s="297">
        <f>IF($J1808=$A$22,IF($M1808=$A$16,$L1808,0),0)</f>
        <v>0</v>
      </c>
    </row>
    <row r="1807" spans="17:18">
      <c r="Q1807" s="297">
        <f>IF($J1809=$A$21,IF($M1809=$A$16,$L1809,0),0)</f>
        <v>0</v>
      </c>
      <c r="R1807" s="297">
        <f>IF($J1809=$A$22,IF($M1809=$A$16,$L1809,0),0)</f>
        <v>0</v>
      </c>
    </row>
    <row r="1808" spans="17:18">
      <c r="Q1808" s="297">
        <f>IF($J1810=$A$21,IF($M1810=$A$16,$L1810,0),0)</f>
        <v>0</v>
      </c>
      <c r="R1808" s="297">
        <f>IF($J1810=$A$22,IF($M1810=$A$16,$L1810,0),0)</f>
        <v>0</v>
      </c>
    </row>
    <row r="1809" spans="17:18">
      <c r="Q1809" s="297">
        <f>IF($J1811=$A$21,IF($M1811=$A$16,$L1811,0),0)</f>
        <v>0</v>
      </c>
      <c r="R1809" s="297">
        <f>IF($J1811=$A$22,IF($M1811=$A$16,$L1811,0),0)</f>
        <v>0</v>
      </c>
    </row>
    <row r="1810" spans="17:18">
      <c r="Q1810" s="297">
        <f>IF($J1812=$A$21,IF($M1812=$A$16,$L1812,0),0)</f>
        <v>0</v>
      </c>
      <c r="R1810" s="297">
        <f>IF($J1812=$A$22,IF($M1812=$A$16,$L1812,0),0)</f>
        <v>0</v>
      </c>
    </row>
    <row r="1811" spans="17:18">
      <c r="Q1811" s="297">
        <f>IF($J1813=$A$21,IF($M1813=$A$16,$L1813,0),0)</f>
        <v>0</v>
      </c>
      <c r="R1811" s="297">
        <f>IF($J1813=$A$22,IF($M1813=$A$16,$L1813,0),0)</f>
        <v>0</v>
      </c>
    </row>
    <row r="1812" spans="17:18">
      <c r="Q1812" s="297">
        <f>IF($J1814=$A$21,IF($M1814=$A$16,$L1814,0),0)</f>
        <v>0</v>
      </c>
      <c r="R1812" s="297">
        <f>IF($J1814=$A$22,IF($M1814=$A$16,$L1814,0),0)</f>
        <v>0</v>
      </c>
    </row>
    <row r="1813" spans="17:18">
      <c r="Q1813" s="297">
        <f>IF($J1815=$A$21,IF($M1815=$A$16,$L1815,0),0)</f>
        <v>0</v>
      </c>
      <c r="R1813" s="297">
        <f>IF($J1815=$A$22,IF($M1815=$A$16,$L1815,0),0)</f>
        <v>0</v>
      </c>
    </row>
    <row r="1814" spans="17:18">
      <c r="Q1814" s="297">
        <f>IF($J1816=$A$21,IF($M1816=$A$16,$L1816,0),0)</f>
        <v>0</v>
      </c>
      <c r="R1814" s="297">
        <f>IF($J1816=$A$22,IF($M1816=$A$16,$L1816,0),0)</f>
        <v>0</v>
      </c>
    </row>
    <row r="1815" spans="17:18">
      <c r="Q1815" s="297">
        <f>IF($J1817=$A$21,IF($M1817=$A$16,$L1817,0),0)</f>
        <v>0</v>
      </c>
      <c r="R1815" s="297">
        <f>IF($J1817=$A$22,IF($M1817=$A$16,$L1817,0),0)</f>
        <v>0</v>
      </c>
    </row>
    <row r="1816" spans="17:18">
      <c r="Q1816" s="297">
        <f>IF($J1818=$A$21,IF($M1818=$A$16,$L1818,0),0)</f>
        <v>0</v>
      </c>
      <c r="R1816" s="297">
        <f>IF($J1818=$A$22,IF($M1818=$A$16,$L1818,0),0)</f>
        <v>0</v>
      </c>
    </row>
    <row r="1817" spans="17:18">
      <c r="Q1817" s="297">
        <f>IF($J1819=$A$21,IF($M1819=$A$16,$L1819,0),0)</f>
        <v>0</v>
      </c>
      <c r="R1817" s="297">
        <f>IF($J1819=$A$22,IF($M1819=$A$16,$L1819,0),0)</f>
        <v>0</v>
      </c>
    </row>
    <row r="1818" spans="17:18">
      <c r="Q1818" s="297">
        <f>IF($J1820=$A$21,IF($M1820=$A$16,$L1820,0),0)</f>
        <v>0</v>
      </c>
      <c r="R1818" s="297">
        <f>IF($J1820=$A$22,IF($M1820=$A$16,$L1820,0),0)</f>
        <v>0</v>
      </c>
    </row>
    <row r="1819" spans="17:18">
      <c r="Q1819" s="297">
        <f>IF($J1821=$A$21,IF($M1821=$A$16,$L1821,0),0)</f>
        <v>0</v>
      </c>
      <c r="R1819" s="297">
        <f>IF($J1821=$A$22,IF($M1821=$A$16,$L1821,0),0)</f>
        <v>0</v>
      </c>
    </row>
    <row r="1820" spans="17:18">
      <c r="Q1820" s="297">
        <f>IF($J1822=$A$21,IF($M1822=$A$16,$L1822,0),0)</f>
        <v>0</v>
      </c>
      <c r="R1820" s="297">
        <f>IF($J1822=$A$22,IF($M1822=$A$16,$L1822,0),0)</f>
        <v>0</v>
      </c>
    </row>
    <row r="1821" spans="17:18">
      <c r="Q1821" s="297">
        <f>IF($J1823=$A$21,IF($M1823=$A$16,$L1823,0),0)</f>
        <v>0</v>
      </c>
      <c r="R1821" s="297">
        <f>IF($J1823=$A$22,IF($M1823=$A$16,$L1823,0),0)</f>
        <v>0</v>
      </c>
    </row>
    <row r="1822" spans="17:18">
      <c r="Q1822" s="297">
        <f>IF($J1824=$A$21,IF($M1824=$A$16,$L1824,0),0)</f>
        <v>0</v>
      </c>
      <c r="R1822" s="297">
        <f>IF($J1824=$A$22,IF($M1824=$A$16,$L1824,0),0)</f>
        <v>0</v>
      </c>
    </row>
    <row r="1823" spans="17:18">
      <c r="Q1823" s="297">
        <f>IF($J1825=$A$21,IF($M1825=$A$16,$L1825,0),0)</f>
        <v>0</v>
      </c>
      <c r="R1823" s="297">
        <f>IF($J1825=$A$22,IF($M1825=$A$16,$L1825,0),0)</f>
        <v>0</v>
      </c>
    </row>
    <row r="1824" spans="17:18">
      <c r="Q1824" s="297">
        <f>IF($J1826=$A$21,IF($M1826=$A$16,$L1826,0),0)</f>
        <v>0</v>
      </c>
      <c r="R1824" s="297">
        <f>IF($J1826=$A$22,IF($M1826=$A$16,$L1826,0),0)</f>
        <v>0</v>
      </c>
    </row>
    <row r="1825" spans="17:18">
      <c r="Q1825" s="297">
        <f>IF($J1827=$A$21,IF($M1827=$A$16,$L1827,0),0)</f>
        <v>0</v>
      </c>
      <c r="R1825" s="297">
        <f>IF($J1827=$A$22,IF($M1827=$A$16,$L1827,0),0)</f>
        <v>0</v>
      </c>
    </row>
    <row r="1826" spans="17:18">
      <c r="Q1826" s="297">
        <f>IF($J1828=$A$21,IF($M1828=$A$16,$L1828,0),0)</f>
        <v>0</v>
      </c>
      <c r="R1826" s="297">
        <f>IF($J1828=$A$22,IF($M1828=$A$16,$L1828,0),0)</f>
        <v>0</v>
      </c>
    </row>
    <row r="1827" spans="17:18">
      <c r="Q1827" s="297">
        <f>IF($J1829=$A$21,IF($M1829=$A$16,$L1829,0),0)</f>
        <v>0</v>
      </c>
      <c r="R1827" s="297">
        <f>IF($J1829=$A$22,IF($M1829=$A$16,$L1829,0),0)</f>
        <v>0</v>
      </c>
    </row>
    <row r="1828" spans="17:18">
      <c r="Q1828" s="297">
        <f>IF($J1830=$A$21,IF($M1830=$A$16,$L1830,0),0)</f>
        <v>0</v>
      </c>
      <c r="R1828" s="297">
        <f>IF($J1830=$A$22,IF($M1830=$A$16,$L1830,0),0)</f>
        <v>0</v>
      </c>
    </row>
    <row r="1829" spans="17:18">
      <c r="Q1829" s="297">
        <f>IF($J1831=$A$21,IF($M1831=$A$16,$L1831,0),0)</f>
        <v>0</v>
      </c>
      <c r="R1829" s="297">
        <f>IF($J1831=$A$22,IF($M1831=$A$16,$L1831,0),0)</f>
        <v>0</v>
      </c>
    </row>
    <row r="1830" spans="17:18">
      <c r="Q1830" s="297">
        <f>IF($J1832=$A$21,IF($M1832=$A$16,$L1832,0),0)</f>
        <v>0</v>
      </c>
      <c r="R1830" s="297">
        <f>IF($J1832=$A$22,IF($M1832=$A$16,$L1832,0),0)</f>
        <v>0</v>
      </c>
    </row>
    <row r="1831" spans="17:18">
      <c r="Q1831" s="297">
        <f>IF($J1833=$A$21,IF($M1833=$A$16,$L1833,0),0)</f>
        <v>0</v>
      </c>
      <c r="R1831" s="297">
        <f>IF($J1833=$A$22,IF($M1833=$A$16,$L1833,0),0)</f>
        <v>0</v>
      </c>
    </row>
    <row r="1832" spans="17:18">
      <c r="Q1832" s="297">
        <f>IF($J1834=$A$21,IF($M1834=$A$16,$L1834,0),0)</f>
        <v>0</v>
      </c>
      <c r="R1832" s="297">
        <f>IF($J1834=$A$22,IF($M1834=$A$16,$L1834,0),0)</f>
        <v>0</v>
      </c>
    </row>
    <row r="1833" spans="17:18">
      <c r="Q1833" s="297">
        <f>IF($J1835=$A$21,IF($M1835=$A$16,$L1835,0),0)</f>
        <v>0</v>
      </c>
      <c r="R1833" s="297">
        <f>IF($J1835=$A$22,IF($M1835=$A$16,$L1835,0),0)</f>
        <v>0</v>
      </c>
    </row>
    <row r="1834" spans="17:18">
      <c r="Q1834" s="297">
        <f>IF($J1836=$A$21,IF($M1836=$A$16,$L1836,0),0)</f>
        <v>0</v>
      </c>
      <c r="R1834" s="297">
        <f>IF($J1836=$A$22,IF($M1836=$A$16,$L1836,0),0)</f>
        <v>0</v>
      </c>
    </row>
    <row r="1835" spans="17:18">
      <c r="Q1835" s="297">
        <f>IF($J1837=$A$21,IF($M1837=$A$16,$L1837,0),0)</f>
        <v>0</v>
      </c>
      <c r="R1835" s="297">
        <f>IF($J1837=$A$22,IF($M1837=$A$16,$L1837,0),0)</f>
        <v>0</v>
      </c>
    </row>
    <row r="1836" spans="17:18">
      <c r="Q1836" s="297">
        <f>IF($J1838=$A$21,IF($M1838=$A$16,$L1838,0),0)</f>
        <v>0</v>
      </c>
      <c r="R1836" s="297">
        <f>IF($J1838=$A$22,IF($M1838=$A$16,$L1838,0),0)</f>
        <v>0</v>
      </c>
    </row>
    <row r="1837" spans="17:18">
      <c r="Q1837" s="297">
        <f>IF($J1839=$A$21,IF($M1839=$A$16,$L1839,0),0)</f>
        <v>0</v>
      </c>
      <c r="R1837" s="297">
        <f>IF($J1839=$A$22,IF($M1839=$A$16,$L1839,0),0)</f>
        <v>0</v>
      </c>
    </row>
    <row r="1838" spans="17:18">
      <c r="Q1838" s="297">
        <f>IF($J1840=$A$21,IF($M1840=$A$16,$L1840,0),0)</f>
        <v>0</v>
      </c>
      <c r="R1838" s="297">
        <f>IF($J1840=$A$22,IF($M1840=$A$16,$L1840,0),0)</f>
        <v>0</v>
      </c>
    </row>
    <row r="1839" spans="17:18">
      <c r="Q1839" s="297">
        <f>IF($J1841=$A$21,IF($M1841=$A$16,$L1841,0),0)</f>
        <v>0</v>
      </c>
      <c r="R1839" s="297">
        <f>IF($J1841=$A$22,IF($M1841=$A$16,$L1841,0),0)</f>
        <v>0</v>
      </c>
    </row>
    <row r="1840" spans="17:18">
      <c r="Q1840" s="297">
        <f>IF($J1842=$A$21,IF($M1842=$A$16,$L1842,0),0)</f>
        <v>0</v>
      </c>
      <c r="R1840" s="297">
        <f>IF($J1842=$A$22,IF($M1842=$A$16,$L1842,0),0)</f>
        <v>0</v>
      </c>
    </row>
    <row r="1841" spans="17:18">
      <c r="Q1841" s="297">
        <f>IF($J1843=$A$21,IF($M1843=$A$16,$L1843,0),0)</f>
        <v>0</v>
      </c>
      <c r="R1841" s="297">
        <f>IF($J1843=$A$22,IF($M1843=$A$16,$L1843,0),0)</f>
        <v>0</v>
      </c>
    </row>
    <row r="1842" spans="17:18">
      <c r="Q1842" s="297">
        <f>IF($J1844=$A$21,IF($M1844=$A$16,$L1844,0),0)</f>
        <v>0</v>
      </c>
      <c r="R1842" s="297">
        <f>IF($J1844=$A$22,IF($M1844=$A$16,$L1844,0),0)</f>
        <v>0</v>
      </c>
    </row>
    <row r="1843" spans="17:18">
      <c r="Q1843" s="297">
        <f>IF($J1845=$A$21,IF($M1845=$A$16,$L1845,0),0)</f>
        <v>0</v>
      </c>
      <c r="R1843" s="297">
        <f>IF($J1845=$A$22,IF($M1845=$A$16,$L1845,0),0)</f>
        <v>0</v>
      </c>
    </row>
    <row r="1844" spans="17:18">
      <c r="Q1844" s="297">
        <f>IF($J1846=$A$21,IF($M1846=$A$16,$L1846,0),0)</f>
        <v>0</v>
      </c>
      <c r="R1844" s="297">
        <f>IF($J1846=$A$22,IF($M1846=$A$16,$L1846,0),0)</f>
        <v>0</v>
      </c>
    </row>
    <row r="1845" spans="17:18">
      <c r="Q1845" s="297">
        <f>IF($J1847=$A$21,IF($M1847=$A$16,$L1847,0),0)</f>
        <v>0</v>
      </c>
      <c r="R1845" s="297">
        <f>IF($J1847=$A$22,IF($M1847=$A$16,$L1847,0),0)</f>
        <v>0</v>
      </c>
    </row>
    <row r="1846" spans="17:18">
      <c r="Q1846" s="297">
        <f>IF($J1848=$A$21,IF($M1848=$A$16,$L1848,0),0)</f>
        <v>0</v>
      </c>
      <c r="R1846" s="297">
        <f>IF($J1848=$A$22,IF($M1848=$A$16,$L1848,0),0)</f>
        <v>0</v>
      </c>
    </row>
    <row r="1847" spans="17:18">
      <c r="Q1847" s="297">
        <f>IF($J1849=$A$21,IF($M1849=$A$16,$L1849,0),0)</f>
        <v>0</v>
      </c>
      <c r="R1847" s="297">
        <f>IF($J1849=$A$22,IF($M1849=$A$16,$L1849,0),0)</f>
        <v>0</v>
      </c>
    </row>
    <row r="1848" spans="17:18">
      <c r="Q1848" s="297">
        <f>IF($J1850=$A$21,IF($M1850=$A$16,$L1850,0),0)</f>
        <v>0</v>
      </c>
      <c r="R1848" s="297">
        <f>IF($J1850=$A$22,IF($M1850=$A$16,$L1850,0),0)</f>
        <v>0</v>
      </c>
    </row>
    <row r="1849" spans="17:18">
      <c r="Q1849" s="297">
        <f>IF($J1851=$A$21,IF($M1851=$A$16,$L1851,0),0)</f>
        <v>0</v>
      </c>
      <c r="R1849" s="297">
        <f>IF($J1851=$A$22,IF($M1851=$A$16,$L1851,0),0)</f>
        <v>0</v>
      </c>
    </row>
    <row r="1850" spans="17:18">
      <c r="Q1850" s="297">
        <f>IF($J1852=$A$21,IF($M1852=$A$16,$L1852,0),0)</f>
        <v>0</v>
      </c>
      <c r="R1850" s="297">
        <f>IF($J1852=$A$22,IF($M1852=$A$16,$L1852,0),0)</f>
        <v>0</v>
      </c>
    </row>
    <row r="1851" spans="17:18">
      <c r="Q1851" s="297">
        <f>IF($J1853=$A$21,IF($M1853=$A$16,$L1853,0),0)</f>
        <v>0</v>
      </c>
      <c r="R1851" s="297">
        <f>IF($J1853=$A$22,IF($M1853=$A$16,$L1853,0),0)</f>
        <v>0</v>
      </c>
    </row>
    <row r="1852" spans="17:18">
      <c r="Q1852" s="297">
        <f>IF($J1854=$A$21,IF($M1854=$A$16,$L1854,0),0)</f>
        <v>0</v>
      </c>
      <c r="R1852" s="297">
        <f>IF($J1854=$A$22,IF($M1854=$A$16,$L1854,0),0)</f>
        <v>0</v>
      </c>
    </row>
    <row r="1853" spans="17:18">
      <c r="Q1853" s="297">
        <f>IF($J1855=$A$21,IF($M1855=$A$16,$L1855,0),0)</f>
        <v>0</v>
      </c>
      <c r="R1853" s="297">
        <f>IF($J1855=$A$22,IF($M1855=$A$16,$L1855,0),0)</f>
        <v>0</v>
      </c>
    </row>
    <row r="1854" spans="17:18">
      <c r="Q1854" s="297">
        <f>IF($J1856=$A$21,IF($M1856=$A$16,$L1856,0),0)</f>
        <v>0</v>
      </c>
      <c r="R1854" s="297">
        <f>IF($J1856=$A$22,IF($M1856=$A$16,$L1856,0),0)</f>
        <v>0</v>
      </c>
    </row>
    <row r="1855" spans="17:18">
      <c r="Q1855" s="297">
        <f>IF($J1857=$A$21,IF($M1857=$A$16,$L1857,0),0)</f>
        <v>0</v>
      </c>
      <c r="R1855" s="297">
        <f>IF($J1857=$A$22,IF($M1857=$A$16,$L1857,0),0)</f>
        <v>0</v>
      </c>
    </row>
    <row r="1856" spans="17:18">
      <c r="Q1856" s="297">
        <f>IF($J1858=$A$21,IF($M1858=$A$16,$L1858,0),0)</f>
        <v>0</v>
      </c>
      <c r="R1856" s="297">
        <f>IF($J1858=$A$22,IF($M1858=$A$16,$L1858,0),0)</f>
        <v>0</v>
      </c>
    </row>
    <row r="1857" spans="17:18">
      <c r="Q1857" s="297">
        <f>IF($J1859=$A$21,IF($M1859=$A$16,$L1859,0),0)</f>
        <v>0</v>
      </c>
      <c r="R1857" s="297">
        <f>IF($J1859=$A$22,IF($M1859=$A$16,$L1859,0),0)</f>
        <v>0</v>
      </c>
    </row>
    <row r="1858" spans="17:18">
      <c r="Q1858" s="297">
        <f>IF($J1860=$A$21,IF($M1860=$A$16,$L1860,0),0)</f>
        <v>0</v>
      </c>
      <c r="R1858" s="297">
        <f>IF($J1860=$A$22,IF($M1860=$A$16,$L1860,0),0)</f>
        <v>0</v>
      </c>
    </row>
    <row r="1859" spans="17:18">
      <c r="Q1859" s="297">
        <f>IF($J1861=$A$21,IF($M1861=$A$16,$L1861,0),0)</f>
        <v>0</v>
      </c>
      <c r="R1859" s="297">
        <f>IF($J1861=$A$22,IF($M1861=$A$16,$L1861,0),0)</f>
        <v>0</v>
      </c>
    </row>
    <row r="1860" spans="17:18">
      <c r="Q1860" s="297">
        <f>IF($J1862=$A$21,IF($M1862=$A$16,$L1862,0),0)</f>
        <v>0</v>
      </c>
      <c r="R1860" s="297">
        <f>IF($J1862=$A$22,IF($M1862=$A$16,$L1862,0),0)</f>
        <v>0</v>
      </c>
    </row>
    <row r="1861" spans="17:18">
      <c r="Q1861" s="297">
        <f>IF($J1863=$A$21,IF($M1863=$A$16,$L1863,0),0)</f>
        <v>0</v>
      </c>
      <c r="R1861" s="297">
        <f>IF($J1863=$A$22,IF($M1863=$A$16,$L1863,0),0)</f>
        <v>0</v>
      </c>
    </row>
    <row r="1862" spans="17:18">
      <c r="Q1862" s="297">
        <f>IF($J1864=$A$21,IF($M1864=$A$16,$L1864,0),0)</f>
        <v>0</v>
      </c>
      <c r="R1862" s="297">
        <f>IF($J1864=$A$22,IF($M1864=$A$16,$L1864,0),0)</f>
        <v>0</v>
      </c>
    </row>
    <row r="1863" spans="17:18">
      <c r="Q1863" s="297">
        <f>IF($J1865=$A$21,IF($M1865=$A$16,$L1865,0),0)</f>
        <v>0</v>
      </c>
      <c r="R1863" s="297">
        <f>IF($J1865=$A$22,IF($M1865=$A$16,$L1865,0),0)</f>
        <v>0</v>
      </c>
    </row>
    <row r="1864" spans="17:18">
      <c r="Q1864" s="297">
        <f>IF($J1866=$A$21,IF($M1866=$A$16,$L1866,0),0)</f>
        <v>0</v>
      </c>
      <c r="R1864" s="297">
        <f>IF($J1866=$A$22,IF($M1866=$A$16,$L1866,0),0)</f>
        <v>0</v>
      </c>
    </row>
    <row r="1865" spans="17:18">
      <c r="Q1865" s="297">
        <f>IF($J1867=$A$21,IF($M1867=$A$16,$L1867,0),0)</f>
        <v>0</v>
      </c>
      <c r="R1865" s="297">
        <f>IF($J1867=$A$22,IF($M1867=$A$16,$L1867,0),0)</f>
        <v>0</v>
      </c>
    </row>
    <row r="1866" spans="17:18">
      <c r="Q1866" s="297">
        <f>IF($J1868=$A$21,IF($M1868=$A$16,$L1868,0),0)</f>
        <v>0</v>
      </c>
      <c r="R1866" s="297">
        <f>IF($J1868=$A$22,IF($M1868=$A$16,$L1868,0),0)</f>
        <v>0</v>
      </c>
    </row>
    <row r="1867" spans="17:18">
      <c r="Q1867" s="297">
        <f>IF($J1869=$A$21,IF($M1869=$A$16,$L1869,0),0)</f>
        <v>0</v>
      </c>
      <c r="R1867" s="297">
        <f>IF($J1869=$A$22,IF($M1869=$A$16,$L1869,0),0)</f>
        <v>0</v>
      </c>
    </row>
    <row r="1868" spans="17:18">
      <c r="Q1868" s="297">
        <f>IF($J1870=$A$21,IF($M1870=$A$16,$L1870,0),0)</f>
        <v>0</v>
      </c>
      <c r="R1868" s="297">
        <f>IF($J1870=$A$22,IF($M1870=$A$16,$L1870,0),0)</f>
        <v>0</v>
      </c>
    </row>
    <row r="1869" spans="17:18">
      <c r="Q1869" s="297">
        <f>IF($J1871=$A$21,IF($M1871=$A$16,$L1871,0),0)</f>
        <v>0</v>
      </c>
      <c r="R1869" s="297">
        <f>IF($J1871=$A$22,IF($M1871=$A$16,$L1871,0),0)</f>
        <v>0</v>
      </c>
    </row>
    <row r="1870" spans="17:18">
      <c r="Q1870" s="297">
        <f>IF($J1872=$A$21,IF($M1872=$A$16,$L1872,0),0)</f>
        <v>0</v>
      </c>
      <c r="R1870" s="297">
        <f>IF($J1872=$A$22,IF($M1872=$A$16,$L1872,0),0)</f>
        <v>0</v>
      </c>
    </row>
    <row r="1871" spans="17:18">
      <c r="Q1871" s="297">
        <f>IF($J1873=$A$21,IF($M1873=$A$16,$L1873,0),0)</f>
        <v>0</v>
      </c>
      <c r="R1871" s="297">
        <f>IF($J1873=$A$22,IF($M1873=$A$16,$L1873,0),0)</f>
        <v>0</v>
      </c>
    </row>
    <row r="1872" spans="17:18">
      <c r="Q1872" s="297">
        <f>IF($J1874=$A$21,IF($M1874=$A$16,$L1874,0),0)</f>
        <v>0</v>
      </c>
      <c r="R1872" s="297">
        <f>IF($J1874=$A$22,IF($M1874=$A$16,$L1874,0),0)</f>
        <v>0</v>
      </c>
    </row>
    <row r="1873" spans="17:18">
      <c r="Q1873" s="297">
        <f>IF($J1875=$A$21,IF($M1875=$A$16,$L1875,0),0)</f>
        <v>0</v>
      </c>
      <c r="R1873" s="297">
        <f>IF($J1875=$A$22,IF($M1875=$A$16,$L1875,0),0)</f>
        <v>0</v>
      </c>
    </row>
    <row r="1874" spans="17:18">
      <c r="Q1874" s="297">
        <f>IF($J1876=$A$21,IF($M1876=$A$16,$L1876,0),0)</f>
        <v>0</v>
      </c>
      <c r="R1874" s="297">
        <f>IF($J1876=$A$22,IF($M1876=$A$16,$L1876,0),0)</f>
        <v>0</v>
      </c>
    </row>
    <row r="1875" spans="17:18">
      <c r="Q1875" s="297">
        <f>IF($J1877=$A$21,IF($M1877=$A$16,$L1877,0),0)</f>
        <v>0</v>
      </c>
      <c r="R1875" s="297">
        <f>IF($J1877=$A$22,IF($M1877=$A$16,$L1877,0),0)</f>
        <v>0</v>
      </c>
    </row>
    <row r="1876" spans="17:18">
      <c r="Q1876" s="297">
        <f>IF($J1878=$A$21,IF($M1878=$A$16,$L1878,0),0)</f>
        <v>0</v>
      </c>
      <c r="R1876" s="297">
        <f>IF($J1878=$A$22,IF($M1878=$A$16,$L1878,0),0)</f>
        <v>0</v>
      </c>
    </row>
    <row r="1877" spans="17:18">
      <c r="Q1877" s="297">
        <f>IF($J1879=$A$21,IF($M1879=$A$16,$L1879,0),0)</f>
        <v>0</v>
      </c>
      <c r="R1877" s="297">
        <f>IF($J1879=$A$22,IF($M1879=$A$16,$L1879,0),0)</f>
        <v>0</v>
      </c>
    </row>
    <row r="1878" spans="17:18">
      <c r="Q1878" s="297">
        <f>IF($J1880=$A$21,IF($M1880=$A$16,$L1880,0),0)</f>
        <v>0</v>
      </c>
      <c r="R1878" s="297">
        <f>IF($J1880=$A$22,IF($M1880=$A$16,$L1880,0),0)</f>
        <v>0</v>
      </c>
    </row>
    <row r="1879" spans="17:18">
      <c r="Q1879" s="297">
        <f>IF($J1881=$A$21,IF($M1881=$A$16,$L1881,0),0)</f>
        <v>0</v>
      </c>
      <c r="R1879" s="297">
        <f>IF($J1881=$A$22,IF($M1881=$A$16,$L1881,0),0)</f>
        <v>0</v>
      </c>
    </row>
    <row r="1880" spans="17:18">
      <c r="Q1880" s="297">
        <f>IF($J1882=$A$21,IF($M1882=$A$16,$L1882,0),0)</f>
        <v>0</v>
      </c>
      <c r="R1880" s="297">
        <f>IF($J1882=$A$22,IF($M1882=$A$16,$L1882,0),0)</f>
        <v>0</v>
      </c>
    </row>
    <row r="1881" spans="17:18">
      <c r="Q1881" s="297">
        <f>IF($J1883=$A$21,IF($M1883=$A$16,$L1883,0),0)</f>
        <v>0</v>
      </c>
      <c r="R1881" s="297">
        <f>IF($J1883=$A$22,IF($M1883=$A$16,$L1883,0),0)</f>
        <v>0</v>
      </c>
    </row>
    <row r="1882" spans="17:18">
      <c r="Q1882" s="297">
        <f>IF($J1884=$A$21,IF($M1884=$A$16,$L1884,0),0)</f>
        <v>0</v>
      </c>
      <c r="R1882" s="297">
        <f>IF($J1884=$A$22,IF($M1884=$A$16,$L1884,0),0)</f>
        <v>0</v>
      </c>
    </row>
    <row r="1883" spans="17:18">
      <c r="Q1883" s="297">
        <f>IF($J1885=$A$21,IF($M1885=$A$16,$L1885,0),0)</f>
        <v>0</v>
      </c>
      <c r="R1883" s="297">
        <f>IF($J1885=$A$22,IF($M1885=$A$16,$L1885,0),0)</f>
        <v>0</v>
      </c>
    </row>
    <row r="1884" spans="17:18">
      <c r="Q1884" s="297">
        <f>IF($J1886=$A$21,IF($M1886=$A$16,$L1886,0),0)</f>
        <v>0</v>
      </c>
      <c r="R1884" s="297">
        <f>IF($J1886=$A$22,IF($M1886=$A$16,$L1886,0),0)</f>
        <v>0</v>
      </c>
    </row>
    <row r="1885" spans="17:18">
      <c r="Q1885" s="297">
        <f>IF($J1887=$A$21,IF($M1887=$A$16,$L1887,0),0)</f>
        <v>0</v>
      </c>
      <c r="R1885" s="297">
        <f>IF($J1887=$A$22,IF($M1887=$A$16,$L1887,0),0)</f>
        <v>0</v>
      </c>
    </row>
    <row r="1886" spans="17:18">
      <c r="Q1886" s="297">
        <f>IF($J1888=$A$21,IF($M1888=$A$16,$L1888,0),0)</f>
        <v>0</v>
      </c>
      <c r="R1886" s="297">
        <f>IF($J1888=$A$22,IF($M1888=$A$16,$L1888,0),0)</f>
        <v>0</v>
      </c>
    </row>
    <row r="1887" spans="17:18">
      <c r="Q1887" s="297">
        <f>IF($J1889=$A$21,IF($M1889=$A$16,$L1889,0),0)</f>
        <v>0</v>
      </c>
      <c r="R1887" s="297">
        <f>IF($J1889=$A$22,IF($M1889=$A$16,$L1889,0),0)</f>
        <v>0</v>
      </c>
    </row>
    <row r="1888" spans="17:18">
      <c r="Q1888" s="297">
        <f>IF($J1890=$A$21,IF($M1890=$A$16,$L1890,0),0)</f>
        <v>0</v>
      </c>
      <c r="R1888" s="297">
        <f>IF($J1890=$A$22,IF($M1890=$A$16,$L1890,0),0)</f>
        <v>0</v>
      </c>
    </row>
    <row r="1889" spans="17:18">
      <c r="Q1889" s="297">
        <f>IF($J1891=$A$21,IF($M1891=$A$16,$L1891,0),0)</f>
        <v>0</v>
      </c>
      <c r="R1889" s="297">
        <f>IF($J1891=$A$22,IF($M1891=$A$16,$L1891,0),0)</f>
        <v>0</v>
      </c>
    </row>
    <row r="1890" spans="17:18">
      <c r="Q1890" s="297">
        <f>IF($J1892=$A$21,IF($M1892=$A$16,$L1892,0),0)</f>
        <v>0</v>
      </c>
      <c r="R1890" s="297">
        <f>IF($J1892=$A$22,IF($M1892=$A$16,$L1892,0),0)</f>
        <v>0</v>
      </c>
    </row>
    <row r="1891" spans="17:18">
      <c r="Q1891" s="297">
        <f>IF($J1893=$A$21,IF($M1893=$A$16,$L1893,0),0)</f>
        <v>0</v>
      </c>
      <c r="R1891" s="297">
        <f>IF($J1893=$A$22,IF($M1893=$A$16,$L1893,0),0)</f>
        <v>0</v>
      </c>
    </row>
    <row r="1892" spans="17:18">
      <c r="Q1892" s="297">
        <f>IF($J1894=$A$21,IF($M1894=$A$16,$L1894,0),0)</f>
        <v>0</v>
      </c>
      <c r="R1892" s="297">
        <f>IF($J1894=$A$22,IF($M1894=$A$16,$L1894,0),0)</f>
        <v>0</v>
      </c>
    </row>
    <row r="1893" spans="17:18">
      <c r="Q1893" s="297">
        <f>IF($J1895=$A$21,IF($M1895=$A$16,$L1895,0),0)</f>
        <v>0</v>
      </c>
      <c r="R1893" s="297">
        <f>IF($J1895=$A$22,IF($M1895=$A$16,$L1895,0),0)</f>
        <v>0</v>
      </c>
    </row>
    <row r="1894" spans="17:18">
      <c r="Q1894" s="297">
        <f>IF($J1896=$A$21,IF($M1896=$A$16,$L1896,0),0)</f>
        <v>0</v>
      </c>
      <c r="R1894" s="297">
        <f>IF($J1896=$A$22,IF($M1896=$A$16,$L1896,0),0)</f>
        <v>0</v>
      </c>
    </row>
    <row r="1895" spans="17:18">
      <c r="Q1895" s="297">
        <f>IF($J1897=$A$21,IF($M1897=$A$16,$L1897,0),0)</f>
        <v>0</v>
      </c>
      <c r="R1895" s="297">
        <f>IF($J1897=$A$22,IF($M1897=$A$16,$L1897,0),0)</f>
        <v>0</v>
      </c>
    </row>
    <row r="1896" spans="17:18">
      <c r="Q1896" s="297">
        <f>IF($J1898=$A$21,IF($M1898=$A$16,$L1898,0),0)</f>
        <v>0</v>
      </c>
      <c r="R1896" s="297">
        <f>IF($J1898=$A$22,IF($M1898=$A$16,$L1898,0),0)</f>
        <v>0</v>
      </c>
    </row>
    <row r="1897" spans="17:18">
      <c r="Q1897" s="297">
        <f>IF($J1899=$A$21,IF($M1899=$A$16,$L1899,0),0)</f>
        <v>0</v>
      </c>
      <c r="R1897" s="297">
        <f>IF($J1899=$A$22,IF($M1899=$A$16,$L1899,0),0)</f>
        <v>0</v>
      </c>
    </row>
    <row r="1898" spans="17:18">
      <c r="Q1898" s="297">
        <f>IF($J1900=$A$21,IF($M1900=$A$16,$L1900,0),0)</f>
        <v>0</v>
      </c>
      <c r="R1898" s="297">
        <f>IF($J1900=$A$22,IF($M1900=$A$16,$L1900,0),0)</f>
        <v>0</v>
      </c>
    </row>
    <row r="1899" spans="17:18">
      <c r="Q1899" s="297">
        <f>IF($J1901=$A$21,IF($M1901=$A$16,$L1901,0),0)</f>
        <v>0</v>
      </c>
      <c r="R1899" s="297">
        <f>IF($J1901=$A$22,IF($M1901=$A$16,$L1901,0),0)</f>
        <v>0</v>
      </c>
    </row>
    <row r="1900" spans="17:18">
      <c r="Q1900" s="297">
        <f>IF($J1902=$A$21,IF($M1902=$A$16,$L1902,0),0)</f>
        <v>0</v>
      </c>
      <c r="R1900" s="297">
        <f>IF($J1902=$A$22,IF($M1902=$A$16,$L1902,0),0)</f>
        <v>0</v>
      </c>
    </row>
    <row r="1901" spans="17:18">
      <c r="Q1901" s="297">
        <f>IF($J1903=$A$21,IF($M1903=$A$16,$L1903,0),0)</f>
        <v>0</v>
      </c>
      <c r="R1901" s="297">
        <f>IF($J1903=$A$22,IF($M1903=$A$16,$L1903,0),0)</f>
        <v>0</v>
      </c>
    </row>
    <row r="1902" spans="17:18">
      <c r="Q1902" s="297">
        <f>IF($J1904=$A$21,IF($M1904=$A$16,$L1904,0),0)</f>
        <v>0</v>
      </c>
      <c r="R1902" s="297">
        <f>IF($J1904=$A$22,IF($M1904=$A$16,$L1904,0),0)</f>
        <v>0</v>
      </c>
    </row>
    <row r="1903" spans="17:18">
      <c r="Q1903" s="297">
        <f>IF($J1905=$A$21,IF($M1905=$A$16,$L1905,0),0)</f>
        <v>0</v>
      </c>
      <c r="R1903" s="297">
        <f>IF($J1905=$A$22,IF($M1905=$A$16,$L1905,0),0)</f>
        <v>0</v>
      </c>
    </row>
    <row r="1904" spans="17:18">
      <c r="Q1904" s="297">
        <f>IF($J1906=$A$21,IF($M1906=$A$16,$L1906,0),0)</f>
        <v>0</v>
      </c>
      <c r="R1904" s="297">
        <f>IF($J1906=$A$22,IF($M1906=$A$16,$L1906,0),0)</f>
        <v>0</v>
      </c>
    </row>
    <row r="1905" spans="17:18">
      <c r="Q1905" s="297">
        <f>IF($J1907=$A$21,IF($M1907=$A$16,$L1907,0),0)</f>
        <v>0</v>
      </c>
      <c r="R1905" s="297">
        <f>IF($J1907=$A$22,IF($M1907=$A$16,$L1907,0),0)</f>
        <v>0</v>
      </c>
    </row>
    <row r="1906" spans="17:18">
      <c r="Q1906" s="297">
        <f>IF($J1908=$A$21,IF($M1908=$A$16,$L1908,0),0)</f>
        <v>0</v>
      </c>
      <c r="R1906" s="297">
        <f>IF($J1908=$A$22,IF($M1908=$A$16,$L1908,0),0)</f>
        <v>0</v>
      </c>
    </row>
    <row r="1907" spans="17:18">
      <c r="Q1907" s="297">
        <f>IF($J1909=$A$21,IF($M1909=$A$16,$L1909,0),0)</f>
        <v>0</v>
      </c>
      <c r="R1907" s="297">
        <f>IF($J1909=$A$22,IF($M1909=$A$16,$L1909,0),0)</f>
        <v>0</v>
      </c>
    </row>
    <row r="1908" spans="17:18">
      <c r="Q1908" s="297">
        <f>IF($J1910=$A$21,IF($M1910=$A$16,$L1910,0),0)</f>
        <v>0</v>
      </c>
      <c r="R1908" s="297">
        <f>IF($J1910=$A$22,IF($M1910=$A$16,$L1910,0),0)</f>
        <v>0</v>
      </c>
    </row>
    <row r="1909" spans="17:18">
      <c r="Q1909" s="297">
        <f>IF($J1911=$A$21,IF($M1911=$A$16,$L1911,0),0)</f>
        <v>0</v>
      </c>
      <c r="R1909" s="297">
        <f>IF($J1911=$A$22,IF($M1911=$A$16,$L1911,0),0)</f>
        <v>0</v>
      </c>
    </row>
    <row r="1910" spans="17:18">
      <c r="Q1910" s="297">
        <f>IF($J1912=$A$21,IF($M1912=$A$16,$L1912,0),0)</f>
        <v>0</v>
      </c>
      <c r="R1910" s="297">
        <f>IF($J1912=$A$22,IF($M1912=$A$16,$L1912,0),0)</f>
        <v>0</v>
      </c>
    </row>
    <row r="1911" spans="17:18">
      <c r="Q1911" s="297">
        <f>IF($J1913=$A$21,IF($M1913=$A$16,$L1913,0),0)</f>
        <v>0</v>
      </c>
      <c r="R1911" s="297">
        <f>IF($J1913=$A$22,IF($M1913=$A$16,$L1913,0),0)</f>
        <v>0</v>
      </c>
    </row>
    <row r="1912" spans="17:18">
      <c r="Q1912" s="297">
        <f>IF($J1914=$A$21,IF($M1914=$A$16,$L1914,0),0)</f>
        <v>0</v>
      </c>
      <c r="R1912" s="297">
        <f>IF($J1914=$A$22,IF($M1914=$A$16,$L1914,0),0)</f>
        <v>0</v>
      </c>
    </row>
    <row r="1913" spans="17:18">
      <c r="Q1913" s="297">
        <f>IF($J1915=$A$21,IF($M1915=$A$16,$L1915,0),0)</f>
        <v>0</v>
      </c>
      <c r="R1913" s="297">
        <f>IF($J1915=$A$22,IF($M1915=$A$16,$L1915,0),0)</f>
        <v>0</v>
      </c>
    </row>
    <row r="1914" spans="17:18">
      <c r="Q1914" s="297">
        <f>IF($J1916=$A$21,IF($M1916=$A$16,$L1916,0),0)</f>
        <v>0</v>
      </c>
      <c r="R1914" s="297">
        <f>IF($J1916=$A$22,IF($M1916=$A$16,$L1916,0),0)</f>
        <v>0</v>
      </c>
    </row>
    <row r="1915" spans="17:18">
      <c r="Q1915" s="297">
        <f>IF($J1917=$A$21,IF($M1917=$A$16,$L1917,0),0)</f>
        <v>0</v>
      </c>
      <c r="R1915" s="297">
        <f>IF($J1917=$A$22,IF($M1917=$A$16,$L1917,0),0)</f>
        <v>0</v>
      </c>
    </row>
    <row r="1916" spans="17:18">
      <c r="Q1916" s="297">
        <f>IF($J1918=$A$21,IF($M1918=$A$16,$L1918,0),0)</f>
        <v>0</v>
      </c>
      <c r="R1916" s="297">
        <f>IF($J1918=$A$22,IF($M1918=$A$16,$L1918,0),0)</f>
        <v>0</v>
      </c>
    </row>
    <row r="1917" spans="17:18">
      <c r="Q1917" s="297">
        <f>IF($J1919=$A$21,IF($M1919=$A$16,$L1919,0),0)</f>
        <v>0</v>
      </c>
      <c r="R1917" s="297">
        <f>IF($J1919=$A$22,IF($M1919=$A$16,$L1919,0),0)</f>
        <v>0</v>
      </c>
    </row>
    <row r="1918" spans="17:18">
      <c r="Q1918" s="297">
        <f>IF($J1920=$A$21,IF($M1920=$A$16,$L1920,0),0)</f>
        <v>0</v>
      </c>
      <c r="R1918" s="297">
        <f>IF($J1920=$A$22,IF($M1920=$A$16,$L1920,0),0)</f>
        <v>0</v>
      </c>
    </row>
    <row r="1919" spans="17:18">
      <c r="Q1919" s="297">
        <f>IF($J1921=$A$21,IF($M1921=$A$16,$L1921,0),0)</f>
        <v>0</v>
      </c>
      <c r="R1919" s="297">
        <f>IF($J1921=$A$22,IF($M1921=$A$16,$L1921,0),0)</f>
        <v>0</v>
      </c>
    </row>
    <row r="1920" spans="17:18">
      <c r="Q1920" s="297">
        <f>IF($J1922=$A$21,IF($M1922=$A$16,$L1922,0),0)</f>
        <v>0</v>
      </c>
      <c r="R1920" s="297">
        <f>IF($J1922=$A$22,IF($M1922=$A$16,$L1922,0),0)</f>
        <v>0</v>
      </c>
    </row>
    <row r="1921" spans="17:18">
      <c r="Q1921" s="297">
        <f>IF($J1923=$A$21,IF($M1923=$A$16,$L1923,0),0)</f>
        <v>0</v>
      </c>
      <c r="R1921" s="297">
        <f>IF($J1923=$A$22,IF($M1923=$A$16,$L1923,0),0)</f>
        <v>0</v>
      </c>
    </row>
    <row r="1922" spans="17:18">
      <c r="Q1922" s="297">
        <f>IF($J1924=$A$21,IF($M1924=$A$16,$L1924,0),0)</f>
        <v>0</v>
      </c>
      <c r="R1922" s="297">
        <f>IF($J1924=$A$22,IF($M1924=$A$16,$L1924,0),0)</f>
        <v>0</v>
      </c>
    </row>
    <row r="1923" spans="17:18">
      <c r="Q1923" s="297">
        <f>IF($J1925=$A$21,IF($M1925=$A$16,$L1925,0),0)</f>
        <v>0</v>
      </c>
      <c r="R1923" s="297">
        <f>IF($J1925=$A$22,IF($M1925=$A$16,$L1925,0),0)</f>
        <v>0</v>
      </c>
    </row>
    <row r="1924" spans="17:18">
      <c r="Q1924" s="297">
        <f>IF($J1926=$A$21,IF($M1926=$A$16,$L1926,0),0)</f>
        <v>0</v>
      </c>
      <c r="R1924" s="297">
        <f>IF($J1926=$A$22,IF($M1926=$A$16,$L1926,0),0)</f>
        <v>0</v>
      </c>
    </row>
    <row r="1925" spans="17:18">
      <c r="Q1925" s="297">
        <f>IF($J1927=$A$21,IF($M1927=$A$16,$L1927,0),0)</f>
        <v>0</v>
      </c>
      <c r="R1925" s="297">
        <f>IF($J1927=$A$22,IF($M1927=$A$16,$L1927,0),0)</f>
        <v>0</v>
      </c>
    </row>
    <row r="1926" spans="17:18">
      <c r="Q1926" s="297">
        <f>IF($J1928=$A$21,IF($M1928=$A$16,$L1928,0),0)</f>
        <v>0</v>
      </c>
      <c r="R1926" s="297">
        <f>IF($J1928=$A$22,IF($M1928=$A$16,$L1928,0),0)</f>
        <v>0</v>
      </c>
    </row>
    <row r="1927" spans="17:18">
      <c r="Q1927" s="297">
        <f>IF($J1929=$A$21,IF($M1929=$A$16,$L1929,0),0)</f>
        <v>0</v>
      </c>
      <c r="R1927" s="297">
        <f>IF($J1929=$A$22,IF($M1929=$A$16,$L1929,0),0)</f>
        <v>0</v>
      </c>
    </row>
    <row r="1928" spans="17:18">
      <c r="Q1928" s="297">
        <f>IF($J1930=$A$21,IF($M1930=$A$16,$L1930,0),0)</f>
        <v>0</v>
      </c>
      <c r="R1928" s="297">
        <f>IF($J1930=$A$22,IF($M1930=$A$16,$L1930,0),0)</f>
        <v>0</v>
      </c>
    </row>
    <row r="1929" spans="17:18">
      <c r="Q1929" s="297">
        <f>IF($J1931=$A$21,IF($M1931=$A$16,$L1931,0),0)</f>
        <v>0</v>
      </c>
      <c r="R1929" s="297">
        <f>IF($J1931=$A$22,IF($M1931=$A$16,$L1931,0),0)</f>
        <v>0</v>
      </c>
    </row>
    <row r="1930" spans="17:18">
      <c r="Q1930" s="297">
        <f>IF($J1932=$A$21,IF($M1932=$A$16,$L1932,0),0)</f>
        <v>0</v>
      </c>
      <c r="R1930" s="297">
        <f>IF($J1932=$A$22,IF($M1932=$A$16,$L1932,0),0)</f>
        <v>0</v>
      </c>
    </row>
    <row r="1931" spans="17:18">
      <c r="Q1931" s="297">
        <f>IF($J1933=$A$21,IF($M1933=$A$16,$L1933,0),0)</f>
        <v>0</v>
      </c>
      <c r="R1931" s="297">
        <f>IF($J1933=$A$22,IF($M1933=$A$16,$L1933,0),0)</f>
        <v>0</v>
      </c>
    </row>
    <row r="1932" spans="17:18">
      <c r="Q1932" s="297">
        <f>IF($J1934=$A$21,IF($M1934=$A$16,$L1934,0),0)</f>
        <v>0</v>
      </c>
      <c r="R1932" s="297">
        <f>IF($J1934=$A$22,IF($M1934=$A$16,$L1934,0),0)</f>
        <v>0</v>
      </c>
    </row>
    <row r="1933" spans="17:18">
      <c r="Q1933" s="297">
        <f>IF($J1935=$A$21,IF($M1935=$A$16,$L1935,0),0)</f>
        <v>0</v>
      </c>
      <c r="R1933" s="297">
        <f>IF($J1935=$A$22,IF($M1935=$A$16,$L1935,0),0)</f>
        <v>0</v>
      </c>
    </row>
    <row r="1934" spans="17:18">
      <c r="Q1934" s="297">
        <f>IF($J1936=$A$21,IF($M1936=$A$16,$L1936,0),0)</f>
        <v>0</v>
      </c>
      <c r="R1934" s="297">
        <f>IF($J1936=$A$22,IF($M1936=$A$16,$L1936,0),0)</f>
        <v>0</v>
      </c>
    </row>
    <row r="1935" spans="17:18">
      <c r="Q1935" s="297">
        <f>IF($J1937=$A$21,IF($M1937=$A$16,$L1937,0),0)</f>
        <v>0</v>
      </c>
      <c r="R1935" s="297">
        <f>IF($J1937=$A$22,IF($M1937=$A$16,$L1937,0),0)</f>
        <v>0</v>
      </c>
    </row>
    <row r="1936" spans="17:18">
      <c r="Q1936" s="297">
        <f>IF($J1938=$A$21,IF($M1938=$A$16,$L1938,0),0)</f>
        <v>0</v>
      </c>
      <c r="R1936" s="297">
        <f>IF($J1938=$A$22,IF($M1938=$A$16,$L1938,0),0)</f>
        <v>0</v>
      </c>
    </row>
    <row r="1937" spans="17:18">
      <c r="Q1937" s="297">
        <f>IF($J1939=$A$21,IF($M1939=$A$16,$L1939,0),0)</f>
        <v>0</v>
      </c>
      <c r="R1937" s="297">
        <f>IF($J1939=$A$22,IF($M1939=$A$16,$L1939,0),0)</f>
        <v>0</v>
      </c>
    </row>
    <row r="1938" spans="17:18">
      <c r="Q1938" s="297">
        <f>IF($J1940=$A$21,IF($M1940=$A$16,$L1940,0),0)</f>
        <v>0</v>
      </c>
      <c r="R1938" s="297">
        <f>IF($J1940=$A$22,IF($M1940=$A$16,$L1940,0),0)</f>
        <v>0</v>
      </c>
    </row>
    <row r="1939" spans="17:18">
      <c r="Q1939" s="297">
        <f>IF($J1941=$A$21,IF($M1941=$A$16,$L1941,0),0)</f>
        <v>0</v>
      </c>
      <c r="R1939" s="297">
        <f>IF($J1941=$A$22,IF($M1941=$A$16,$L1941,0),0)</f>
        <v>0</v>
      </c>
    </row>
    <row r="1940" spans="17:18">
      <c r="Q1940" s="297">
        <f>IF($J1942=$A$21,IF($M1942=$A$16,$L1942,0),0)</f>
        <v>0</v>
      </c>
      <c r="R1940" s="297">
        <f>IF($J1942=$A$22,IF($M1942=$A$16,$L1942,0),0)</f>
        <v>0</v>
      </c>
    </row>
    <row r="1941" spans="17:18">
      <c r="Q1941" s="297">
        <f>IF($J1943=$A$21,IF($M1943=$A$16,$L1943,0),0)</f>
        <v>0</v>
      </c>
      <c r="R1941" s="297">
        <f>IF($J1943=$A$22,IF($M1943=$A$16,$L1943,0),0)</f>
        <v>0</v>
      </c>
    </row>
    <row r="1942" spans="17:18">
      <c r="Q1942" s="297">
        <f>IF($J1944=$A$21,IF($M1944=$A$16,$L1944,0),0)</f>
        <v>0</v>
      </c>
      <c r="R1942" s="297">
        <f>IF($J1944=$A$22,IF($M1944=$A$16,$L1944,0),0)</f>
        <v>0</v>
      </c>
    </row>
    <row r="1943" spans="17:18">
      <c r="Q1943" s="297">
        <f>IF($J1945=$A$21,IF($M1945=$A$16,$L1945,0),0)</f>
        <v>0</v>
      </c>
      <c r="R1943" s="297">
        <f>IF($J1945=$A$22,IF($M1945=$A$16,$L1945,0),0)</f>
        <v>0</v>
      </c>
    </row>
    <row r="1944" spans="17:18">
      <c r="Q1944" s="297">
        <f>IF($J1946=$A$21,IF($M1946=$A$16,$L1946,0),0)</f>
        <v>0</v>
      </c>
      <c r="R1944" s="297">
        <f>IF($J1946=$A$22,IF($M1946=$A$16,$L1946,0),0)</f>
        <v>0</v>
      </c>
    </row>
    <row r="1945" spans="17:18">
      <c r="Q1945" s="297">
        <f>IF($J1947=$A$21,IF($M1947=$A$16,$L1947,0),0)</f>
        <v>0</v>
      </c>
      <c r="R1945" s="297">
        <f>IF($J1947=$A$22,IF($M1947=$A$16,$L1947,0),0)</f>
        <v>0</v>
      </c>
    </row>
    <row r="1946" spans="17:18">
      <c r="Q1946" s="297">
        <f>IF($J1948=$A$21,IF($M1948=$A$16,$L1948,0),0)</f>
        <v>0</v>
      </c>
      <c r="R1946" s="297">
        <f>IF($J1948=$A$22,IF($M1948=$A$16,$L1948,0),0)</f>
        <v>0</v>
      </c>
    </row>
    <row r="1947" spans="17:18">
      <c r="Q1947" s="297">
        <f>IF($J1949=$A$21,IF($M1949=$A$16,$L1949,0),0)</f>
        <v>0</v>
      </c>
      <c r="R1947" s="297">
        <f>IF($J1949=$A$22,IF($M1949=$A$16,$L1949,0),0)</f>
        <v>0</v>
      </c>
    </row>
    <row r="1948" spans="17:18">
      <c r="Q1948" s="297">
        <f>IF($J1950=$A$21,IF($M1950=$A$16,$L1950,0),0)</f>
        <v>0</v>
      </c>
      <c r="R1948" s="297">
        <f>IF($J1950=$A$22,IF($M1950=$A$16,$L1950,0),0)</f>
        <v>0</v>
      </c>
    </row>
    <row r="1949" spans="17:18">
      <c r="Q1949" s="297">
        <f>IF($J1951=$A$21,IF($M1951=$A$16,$L1951,0),0)</f>
        <v>0</v>
      </c>
      <c r="R1949" s="297">
        <f>IF($J1951=$A$22,IF($M1951=$A$16,$L1951,0),0)</f>
        <v>0</v>
      </c>
    </row>
    <row r="1950" spans="17:18">
      <c r="Q1950" s="297">
        <f>IF($J1952=$A$21,IF($M1952=$A$16,$L1952,0),0)</f>
        <v>0</v>
      </c>
      <c r="R1950" s="297">
        <f>IF($J1952=$A$22,IF($M1952=$A$16,$L1952,0),0)</f>
        <v>0</v>
      </c>
    </row>
    <row r="1951" spans="17:18">
      <c r="Q1951" s="297">
        <f>IF($J1953=$A$21,IF($M1953=$A$16,$L1953,0),0)</f>
        <v>0</v>
      </c>
      <c r="R1951" s="297">
        <f>IF($J1953=$A$22,IF($M1953=$A$16,$L1953,0),0)</f>
        <v>0</v>
      </c>
    </row>
    <row r="1952" spans="17:18">
      <c r="Q1952" s="297">
        <f>IF($J1954=$A$21,IF($M1954=$A$16,$L1954,0),0)</f>
        <v>0</v>
      </c>
      <c r="R1952" s="297">
        <f>IF($J1954=$A$22,IF($M1954=$A$16,$L1954,0),0)</f>
        <v>0</v>
      </c>
    </row>
    <row r="1953" spans="17:18">
      <c r="Q1953" s="297">
        <f>IF($J1955=$A$21,IF($M1955=$A$16,$L1955,0),0)</f>
        <v>0</v>
      </c>
      <c r="R1953" s="297">
        <f>IF($J1955=$A$22,IF($M1955=$A$16,$L1955,0),0)</f>
        <v>0</v>
      </c>
    </row>
    <row r="1954" spans="17:18">
      <c r="Q1954" s="297">
        <f>IF($J1956=$A$21,IF($M1956=$A$16,$L1956,0),0)</f>
        <v>0</v>
      </c>
      <c r="R1954" s="297">
        <f>IF($J1956=$A$22,IF($M1956=$A$16,$L1956,0),0)</f>
        <v>0</v>
      </c>
    </row>
    <row r="1955" spans="17:18">
      <c r="Q1955" s="297">
        <f>IF($J1957=$A$21,IF($M1957=$A$16,$L1957,0),0)</f>
        <v>0</v>
      </c>
      <c r="R1955" s="297">
        <f>IF($J1957=$A$22,IF($M1957=$A$16,$L1957,0),0)</f>
        <v>0</v>
      </c>
    </row>
    <row r="1956" spans="17:18">
      <c r="Q1956" s="297">
        <f>IF($J1958=$A$21,IF($M1958=$A$16,$L1958,0),0)</f>
        <v>0</v>
      </c>
      <c r="R1956" s="297">
        <f>IF($J1958=$A$22,IF($M1958=$A$16,$L1958,0),0)</f>
        <v>0</v>
      </c>
    </row>
    <row r="1957" spans="17:18">
      <c r="Q1957" s="297">
        <f>IF($J1959=$A$21,IF($M1959=$A$16,$L1959,0),0)</f>
        <v>0</v>
      </c>
      <c r="R1957" s="297">
        <f>IF($J1959=$A$22,IF($M1959=$A$16,$L1959,0),0)</f>
        <v>0</v>
      </c>
    </row>
    <row r="1958" spans="17:18">
      <c r="Q1958" s="297">
        <f>IF($J1960=$A$21,IF($M1960=$A$16,$L1960,0),0)</f>
        <v>0</v>
      </c>
      <c r="R1958" s="297">
        <f>IF($J1960=$A$22,IF($M1960=$A$16,$L1960,0),0)</f>
        <v>0</v>
      </c>
    </row>
    <row r="1959" spans="17:18">
      <c r="Q1959" s="297">
        <f>IF($J1961=$A$21,IF($M1961=$A$16,$L1961,0),0)</f>
        <v>0</v>
      </c>
      <c r="R1959" s="297">
        <f>IF($J1961=$A$22,IF($M1961=$A$16,$L1961,0),0)</f>
        <v>0</v>
      </c>
    </row>
    <row r="1960" spans="17:18">
      <c r="Q1960" s="297">
        <f>IF($J1962=$A$21,IF($M1962=$A$16,$L1962,0),0)</f>
        <v>0</v>
      </c>
      <c r="R1960" s="297">
        <f>IF($J1962=$A$22,IF($M1962=$A$16,$L1962,0),0)</f>
        <v>0</v>
      </c>
    </row>
    <row r="1961" spans="17:18">
      <c r="Q1961" s="297">
        <f>IF($J1963=$A$21,IF($M1963=$A$16,$L1963,0),0)</f>
        <v>0</v>
      </c>
      <c r="R1961" s="297">
        <f>IF($J1963=$A$22,IF($M1963=$A$16,$L1963,0),0)</f>
        <v>0</v>
      </c>
    </row>
    <row r="1962" spans="17:18">
      <c r="Q1962" s="297">
        <f>IF($J1964=$A$21,IF($M1964=$A$16,$L1964,0),0)</f>
        <v>0</v>
      </c>
      <c r="R1962" s="297">
        <f>IF($J1964=$A$22,IF($M1964=$A$16,$L1964,0),0)</f>
        <v>0</v>
      </c>
    </row>
    <row r="1963" spans="17:18">
      <c r="Q1963" s="297">
        <f>IF($J1965=$A$21,IF($M1965=$A$16,$L1965,0),0)</f>
        <v>0</v>
      </c>
      <c r="R1963" s="297">
        <f>IF($J1965=$A$22,IF($M1965=$A$16,$L1965,0),0)</f>
        <v>0</v>
      </c>
    </row>
    <row r="1964" spans="17:18">
      <c r="Q1964" s="297">
        <f>IF($J1966=$A$21,IF($M1966=$A$16,$L1966,0),0)</f>
        <v>0</v>
      </c>
      <c r="R1964" s="297">
        <f>IF($J1966=$A$22,IF($M1966=$A$16,$L1966,0),0)</f>
        <v>0</v>
      </c>
    </row>
    <row r="1965" spans="17:18">
      <c r="Q1965" s="297">
        <f>IF($J1967=$A$21,IF($M1967=$A$16,$L1967,0),0)</f>
        <v>0</v>
      </c>
      <c r="R1965" s="297">
        <f>IF($J1967=$A$22,IF($M1967=$A$16,$L1967,0),0)</f>
        <v>0</v>
      </c>
    </row>
    <row r="1966" spans="17:18">
      <c r="Q1966" s="297">
        <f>IF($J1968=$A$21,IF($M1968=$A$16,$L1968,0),0)</f>
        <v>0</v>
      </c>
      <c r="R1966" s="297">
        <f>IF($J1968=$A$22,IF($M1968=$A$16,$L1968,0),0)</f>
        <v>0</v>
      </c>
    </row>
    <row r="1967" spans="17:18">
      <c r="Q1967" s="297">
        <f>IF($J1969=$A$21,IF($M1969=$A$16,$L1969,0),0)</f>
        <v>0</v>
      </c>
      <c r="R1967" s="297">
        <f>IF($J1969=$A$22,IF($M1969=$A$16,$L1969,0),0)</f>
        <v>0</v>
      </c>
    </row>
    <row r="1968" spans="17:18">
      <c r="Q1968" s="297">
        <f>IF($J1970=$A$21,IF($M1970=$A$16,$L1970,0),0)</f>
        <v>0</v>
      </c>
      <c r="R1968" s="297">
        <f>IF($J1970=$A$22,IF($M1970=$A$16,$L1970,0),0)</f>
        <v>0</v>
      </c>
    </row>
    <row r="1969" spans="17:18">
      <c r="Q1969" s="297">
        <f>IF($J1971=$A$21,IF($M1971=$A$16,$L1971,0),0)</f>
        <v>0</v>
      </c>
      <c r="R1969" s="297">
        <f>IF($J1971=$A$22,IF($M1971=$A$16,$L1971,0),0)</f>
        <v>0</v>
      </c>
    </row>
    <row r="1970" spans="17:18">
      <c r="Q1970" s="297">
        <f>IF($J1972=$A$21,IF($M1972=$A$16,$L1972,0),0)</f>
        <v>0</v>
      </c>
      <c r="R1970" s="297">
        <f>IF($J1972=$A$22,IF($M1972=$A$16,$L1972,0),0)</f>
        <v>0</v>
      </c>
    </row>
    <row r="1971" spans="17:18">
      <c r="Q1971" s="297">
        <f>IF($J1973=$A$21,IF($M1973=$A$16,$L1973,0),0)</f>
        <v>0</v>
      </c>
      <c r="R1971" s="297">
        <f>IF($J1973=$A$22,IF($M1973=$A$16,$L1973,0),0)</f>
        <v>0</v>
      </c>
    </row>
    <row r="1972" spans="17:18">
      <c r="Q1972" s="297">
        <f>IF($J1974=$A$21,IF($M1974=$A$16,$L1974,0),0)</f>
        <v>0</v>
      </c>
      <c r="R1972" s="297">
        <f>IF($J1974=$A$22,IF($M1974=$A$16,$L1974,0),0)</f>
        <v>0</v>
      </c>
    </row>
    <row r="1973" spans="17:18">
      <c r="Q1973" s="297">
        <f>IF($J1975=$A$21,IF($M1975=$A$16,$L1975,0),0)</f>
        <v>0</v>
      </c>
      <c r="R1973" s="297">
        <f>IF($J1975=$A$22,IF($M1975=$A$16,$L1975,0),0)</f>
        <v>0</v>
      </c>
    </row>
    <row r="1974" spans="17:18">
      <c r="Q1974" s="297">
        <f>IF($J1976=$A$21,IF($M1976=$A$16,$L1976,0),0)</f>
        <v>0</v>
      </c>
      <c r="R1974" s="297">
        <f>IF($J1976=$A$22,IF($M1976=$A$16,$L1976,0),0)</f>
        <v>0</v>
      </c>
    </row>
    <row r="1975" spans="17:18">
      <c r="Q1975" s="297">
        <f>IF($J1977=$A$21,IF($M1977=$A$16,$L1977,0),0)</f>
        <v>0</v>
      </c>
      <c r="R1975" s="297">
        <f>IF($J1977=$A$22,IF($M1977=$A$16,$L1977,0),0)</f>
        <v>0</v>
      </c>
    </row>
    <row r="1976" spans="17:18">
      <c r="Q1976" s="297">
        <f>IF($J1978=$A$21,IF($M1978=$A$16,$L1978,0),0)</f>
        <v>0</v>
      </c>
      <c r="R1976" s="297">
        <f>IF($J1978=$A$22,IF($M1978=$A$16,$L1978,0),0)</f>
        <v>0</v>
      </c>
    </row>
    <row r="1977" spans="17:18">
      <c r="Q1977" s="297">
        <f>IF($J1979=$A$21,IF($M1979=$A$16,$L1979,0),0)</f>
        <v>0</v>
      </c>
      <c r="R1977" s="297">
        <f>IF($J1979=$A$22,IF($M1979=$A$16,$L1979,0),0)</f>
        <v>0</v>
      </c>
    </row>
    <row r="1978" spans="17:18">
      <c r="Q1978" s="297">
        <f>IF($J1980=$A$21,IF($M1980=$A$16,$L1980,0),0)</f>
        <v>0</v>
      </c>
      <c r="R1978" s="297">
        <f>IF($J1980=$A$22,IF($M1980=$A$16,$L1980,0),0)</f>
        <v>0</v>
      </c>
    </row>
    <row r="1979" spans="17:18">
      <c r="Q1979" s="297">
        <f>IF($J1981=$A$21,IF($M1981=$A$16,$L1981,0),0)</f>
        <v>0</v>
      </c>
      <c r="R1979" s="297">
        <f>IF($J1981=$A$22,IF($M1981=$A$16,$L1981,0),0)</f>
        <v>0</v>
      </c>
    </row>
    <row r="1980" spans="17:18">
      <c r="Q1980" s="297">
        <f>IF($J1982=$A$21,IF($M1982=$A$16,$L1982,0),0)</f>
        <v>0</v>
      </c>
      <c r="R1980" s="297">
        <f>IF($J1982=$A$22,IF($M1982=$A$16,$L1982,0),0)</f>
        <v>0</v>
      </c>
    </row>
    <row r="1981" spans="17:18">
      <c r="Q1981" s="297">
        <f>IF($J1983=$A$21,IF($M1983=$A$16,$L1983,0),0)</f>
        <v>0</v>
      </c>
      <c r="R1981" s="297">
        <f>IF($J1983=$A$22,IF($M1983=$A$16,$L1983,0),0)</f>
        <v>0</v>
      </c>
    </row>
    <row r="1982" spans="17:18">
      <c r="Q1982" s="297">
        <f>IF($J1984=$A$21,IF($M1984=$A$16,$L1984,0),0)</f>
        <v>0</v>
      </c>
      <c r="R1982" s="297">
        <f>IF($J1984=$A$22,IF($M1984=$A$16,$L1984,0),0)</f>
        <v>0</v>
      </c>
    </row>
    <row r="1983" spans="17:18">
      <c r="Q1983" s="297">
        <f>IF($J1985=$A$21,IF($M1985=$A$16,$L1985,0),0)</f>
        <v>0</v>
      </c>
      <c r="R1983" s="297">
        <f>IF($J1985=$A$22,IF($M1985=$A$16,$L1985,0),0)</f>
        <v>0</v>
      </c>
    </row>
    <row r="1984" spans="17:18">
      <c r="Q1984" s="297">
        <f>IF($J1986=$A$21,IF($M1986=$A$16,$L1986,0),0)</f>
        <v>0</v>
      </c>
      <c r="R1984" s="297">
        <f>IF($J1986=$A$22,IF($M1986=$A$16,$L1986,0),0)</f>
        <v>0</v>
      </c>
    </row>
    <row r="1985" spans="17:18">
      <c r="Q1985" s="297">
        <f>IF($J1987=$A$21,IF($M1987=$A$16,$L1987,0),0)</f>
        <v>0</v>
      </c>
      <c r="R1985" s="297">
        <f>IF($J1987=$A$22,IF($M1987=$A$16,$L1987,0),0)</f>
        <v>0</v>
      </c>
    </row>
    <row r="1986" spans="17:18">
      <c r="Q1986" s="297">
        <f>IF($J1988=$A$21,IF($M1988=$A$16,$L1988,0),0)</f>
        <v>0</v>
      </c>
      <c r="R1986" s="297">
        <f>IF($J1988=$A$22,IF($M1988=$A$16,$L1988,0),0)</f>
        <v>0</v>
      </c>
    </row>
    <row r="1987" spans="17:18">
      <c r="Q1987" s="297">
        <f>IF($J1989=$A$21,IF($M1989=$A$16,$L1989,0),0)</f>
        <v>0</v>
      </c>
      <c r="R1987" s="297">
        <f>IF($J1989=$A$22,IF($M1989=$A$16,$L1989,0),0)</f>
        <v>0</v>
      </c>
    </row>
    <row r="1988" spans="17:18">
      <c r="Q1988" s="297">
        <f>IF($J1990=$A$21,IF($M1990=$A$16,$L1990,0),0)</f>
        <v>0</v>
      </c>
      <c r="R1988" s="297">
        <f>IF($J1990=$A$22,IF($M1990=$A$16,$L1990,0),0)</f>
        <v>0</v>
      </c>
    </row>
    <row r="1989" spans="17:18">
      <c r="Q1989" s="297">
        <f>IF($J1991=$A$21,IF($M1991=$A$16,$L1991,0),0)</f>
        <v>0</v>
      </c>
      <c r="R1989" s="297">
        <f>IF($J1991=$A$22,IF($M1991=$A$16,$L1991,0),0)</f>
        <v>0</v>
      </c>
    </row>
    <row r="1990" spans="17:18">
      <c r="Q1990" s="297">
        <f>IF($J1992=$A$21,IF($M1992=$A$16,$L1992,0),0)</f>
        <v>0</v>
      </c>
      <c r="R1990" s="297">
        <f>IF($J1992=$A$22,IF($M1992=$A$16,$L1992,0),0)</f>
        <v>0</v>
      </c>
    </row>
    <row r="1991" spans="17:18">
      <c r="Q1991" s="297">
        <f>IF($J1993=$A$21,IF($M1993=$A$16,$L1993,0),0)</f>
        <v>0</v>
      </c>
      <c r="R1991" s="297">
        <f>IF($J1993=$A$22,IF($M1993=$A$16,$L1993,0),0)</f>
        <v>0</v>
      </c>
    </row>
    <row r="1992" spans="17:18">
      <c r="Q1992" s="297">
        <f>IF($J1994=$A$21,IF($M1994=$A$16,$L1994,0),0)</f>
        <v>0</v>
      </c>
      <c r="R1992" s="297">
        <f>IF($J1994=$A$22,IF($M1994=$A$16,$L1994,0),0)</f>
        <v>0</v>
      </c>
    </row>
    <row r="1993" spans="17:18">
      <c r="Q1993" s="297">
        <f>IF($J1995=$A$21,IF($M1995=$A$16,$L1995,0),0)</f>
        <v>0</v>
      </c>
      <c r="R1993" s="297">
        <f>IF($J1995=$A$22,IF($M1995=$A$16,$L1995,0),0)</f>
        <v>0</v>
      </c>
    </row>
    <row r="1994" spans="17:18">
      <c r="Q1994" s="297">
        <f>IF($J1996=$A$21,IF($M1996=$A$16,$L1996,0),0)</f>
        <v>0</v>
      </c>
      <c r="R1994" s="297">
        <f>IF($J1996=$A$22,IF($M1996=$A$16,$L1996,0),0)</f>
        <v>0</v>
      </c>
    </row>
    <row r="1995" spans="17:18">
      <c r="Q1995" s="297">
        <f>IF($J1997=$A$21,IF($M1997=$A$16,$L1997,0),0)</f>
        <v>0</v>
      </c>
      <c r="R1995" s="297">
        <f>IF($J1997=$A$22,IF($M1997=$A$16,$L1997,0),0)</f>
        <v>0</v>
      </c>
    </row>
    <row r="1996" spans="17:18">
      <c r="Q1996" s="297">
        <f>IF($J1998=$A$21,IF($M1998=$A$16,$L1998,0),0)</f>
        <v>0</v>
      </c>
      <c r="R1996" s="297">
        <f>IF($J1998=$A$22,IF($M1998=$A$16,$L1998,0),0)</f>
        <v>0</v>
      </c>
    </row>
    <row r="1997" spans="17:18">
      <c r="Q1997" s="297">
        <f>IF($J1999=$A$21,IF($M1999=$A$16,$L1999,0),0)</f>
        <v>0</v>
      </c>
      <c r="R1997" s="297">
        <f>IF($J1999=$A$22,IF($M1999=$A$16,$L1999,0),0)</f>
        <v>0</v>
      </c>
    </row>
    <row r="1998" spans="17:18">
      <c r="Q1998" s="297">
        <f>IF($J2000=$A$21,IF($M2000=$A$16,$L2000,0),0)</f>
        <v>0</v>
      </c>
      <c r="R1998" s="297">
        <f>IF($J2000=$A$22,IF($M2000=$A$16,$L2000,0),0)</f>
        <v>0</v>
      </c>
    </row>
    <row r="1999" spans="17:18">
      <c r="Q1999" s="297">
        <f>IF($J2001=$A$21,IF($M2001=$A$16,$L2001,0),0)</f>
        <v>0</v>
      </c>
      <c r="R1999" s="297">
        <f>IF($J2001=$A$22,IF($M2001=$A$16,$L2001,0),0)</f>
        <v>0</v>
      </c>
    </row>
    <row r="2000" spans="17:18">
      <c r="Q2000" s="297">
        <f>IF($J2002=$A$21,IF($M2002=$A$16,$L2002,0),0)</f>
        <v>0</v>
      </c>
      <c r="R2000" s="297">
        <f>IF($J2002=$A$22,IF($M2002=$A$16,$L2002,0),0)</f>
        <v>0</v>
      </c>
    </row>
    <row r="2001" spans="17:18">
      <c r="Q2001" s="297">
        <f>IF($J2003=$A$21,IF($M2003=$A$16,$L2003,0),0)</f>
        <v>0</v>
      </c>
      <c r="R2001" s="297">
        <f>IF($J2003=$A$22,IF($M2003=$A$16,$L2003,0),0)</f>
        <v>0</v>
      </c>
    </row>
  </sheetData>
  <conditionalFormatting sqref="D2:O6">
    <cfRule type="expression" dxfId="14" priority="1">
      <formula xml:space="preserve"> "تسویه شد" = $M2</formula>
    </cfRule>
    <cfRule type="expression" dxfId="13" priority="2">
      <formula xml:space="preserve"> "----------" = $M2</formula>
    </cfRule>
    <cfRule type="expression" dxfId="12" priority="3">
      <formula>"-" = $M2</formula>
    </cfRule>
  </conditionalFormatting>
  <dataValidations count="3">
    <dataValidation type="list" allowBlank="1" showInputMessage="1" showErrorMessage="1" sqref="H2:H6" xr:uid="{7C4D5CDD-7D9D-47C2-9180-4D6E95168ACC}">
      <formula1>$A$25:$A$33</formula1>
    </dataValidation>
    <dataValidation type="list" allowBlank="1" showInputMessage="1" showErrorMessage="1" sqref="J2:J6" xr:uid="{C78128B0-7BC5-4D9D-99A2-96185267C9E3}">
      <formula1>$A$21:$A$22</formula1>
    </dataValidation>
    <dataValidation type="list" allowBlank="1" showInputMessage="1" showErrorMessage="1" sqref="M2:M6" xr:uid="{D6E38A0A-6455-4002-94A0-2DE147AB35DC}">
      <formula1>$A$16:$A$18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</hyperlink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279" t="s">
        <v>157</v>
      </c>
      <c r="B3" s="279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308</v>
      </c>
      <c r="L10" s="47"/>
    </row>
    <row r="11" spans="1:23" ht="15.75">
      <c r="A11" s="42">
        <v>7</v>
      </c>
      <c r="B11" s="42" t="s">
        <v>309</v>
      </c>
      <c r="L11" s="47"/>
    </row>
    <row r="12" spans="1:23" ht="15.75">
      <c r="A12" s="42">
        <v>8</v>
      </c>
      <c r="B12" s="42" t="s">
        <v>315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280" t="s">
        <v>166</v>
      </c>
      <c r="B4" s="280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300</v>
      </c>
    </row>
    <row r="24" spans="1:53" ht="15.75">
      <c r="A24" s="42">
        <v>19</v>
      </c>
      <c r="B24" s="59" t="s">
        <v>293</v>
      </c>
    </row>
    <row r="25" spans="1:53" ht="15.75">
      <c r="A25" s="42">
        <v>20</v>
      </c>
      <c r="B25" s="59" t="s">
        <v>174</v>
      </c>
    </row>
    <row r="26" spans="1:53" ht="15.75">
      <c r="A26" s="42">
        <v>21</v>
      </c>
      <c r="B26" s="59" t="s">
        <v>294</v>
      </c>
    </row>
    <row r="27" spans="1:53" ht="15.75">
      <c r="A27" s="42">
        <v>22</v>
      </c>
      <c r="B27" s="59" t="s">
        <v>295</v>
      </c>
    </row>
    <row r="28" spans="1:53" ht="15.75">
      <c r="A28" s="42">
        <v>23</v>
      </c>
      <c r="B28" s="58" t="s">
        <v>243</v>
      </c>
    </row>
    <row r="29" spans="1:53" ht="15.7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143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178</v>
      </c>
    </row>
    <row r="5" spans="4:4">
      <c r="D5" t="s">
        <v>179</v>
      </c>
    </row>
    <row r="6" spans="4:4">
      <c r="D6" t="s">
        <v>180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193" customWidth="1"/>
    <col min="5" max="5" width="4.5703125" style="194" customWidth="1"/>
    <col min="6" max="6" width="18.140625" style="194" bestFit="1" customWidth="1"/>
    <col min="7" max="7" width="27.28515625" style="194" bestFit="1" customWidth="1"/>
    <col min="8" max="8" width="30.5703125" style="194" bestFit="1" customWidth="1"/>
    <col min="9" max="9" width="11" style="194" customWidth="1"/>
    <col min="10" max="10" width="17.7109375" style="194" customWidth="1"/>
    <col min="11" max="11" width="27.28515625" style="194" customWidth="1"/>
    <col min="12" max="12" width="10.7109375" style="194" customWidth="1"/>
    <col min="13" max="13" width="11.85546875" style="194" customWidth="1"/>
    <col min="14" max="15" width="18.28515625" style="194" customWidth="1"/>
    <col min="16" max="16384" width="9.140625" style="194"/>
  </cols>
  <sheetData>
    <row r="1" spans="1:10" ht="24" customHeight="1">
      <c r="A1" s="170" t="s">
        <v>976</v>
      </c>
      <c r="C1" s="194"/>
      <c r="D1" s="281" t="s">
        <v>401</v>
      </c>
      <c r="E1" s="281"/>
      <c r="F1" s="281"/>
      <c r="G1" s="281"/>
      <c r="H1" s="281"/>
      <c r="I1" s="281"/>
      <c r="J1" s="281"/>
    </row>
    <row r="2" spans="1:10" ht="3.75" customHeight="1">
      <c r="D2" s="194"/>
    </row>
    <row r="3" spans="1:10" ht="18.75">
      <c r="A3" s="159" t="s">
        <v>8</v>
      </c>
      <c r="D3" s="44" t="s">
        <v>981</v>
      </c>
      <c r="H3" s="186"/>
    </row>
    <row r="4" spans="1:10" ht="18.75">
      <c r="A4" s="160" t="s">
        <v>115</v>
      </c>
      <c r="D4" s="27" t="s">
        <v>138</v>
      </c>
      <c r="F4" s="195"/>
      <c r="G4" s="195"/>
      <c r="H4" s="196"/>
      <c r="I4" s="195"/>
    </row>
    <row r="5" spans="1:10" ht="18.75">
      <c r="A5" s="161" t="s">
        <v>102</v>
      </c>
      <c r="D5" s="27" t="s">
        <v>949</v>
      </c>
      <c r="F5" s="195"/>
      <c r="G5" s="195"/>
      <c r="H5" s="196"/>
      <c r="I5" s="195"/>
    </row>
    <row r="6" spans="1:10" ht="18.75">
      <c r="A6" s="162" t="s">
        <v>103</v>
      </c>
      <c r="D6" s="27" t="s">
        <v>967</v>
      </c>
      <c r="F6" s="195"/>
      <c r="G6" s="195"/>
      <c r="H6" s="195"/>
      <c r="I6" s="195"/>
    </row>
    <row r="7" spans="1:10" ht="18.75">
      <c r="A7" s="163" t="s">
        <v>104</v>
      </c>
      <c r="D7" s="27" t="s">
        <v>950</v>
      </c>
      <c r="F7" s="195"/>
      <c r="G7" s="195"/>
      <c r="H7" s="195"/>
      <c r="I7" s="195"/>
    </row>
    <row r="8" spans="1:10" ht="18.75">
      <c r="A8" s="146" t="s">
        <v>110</v>
      </c>
      <c r="D8" s="27" t="s">
        <v>321</v>
      </c>
      <c r="F8" s="195"/>
      <c r="G8" s="195"/>
      <c r="H8" s="195"/>
      <c r="I8" s="195"/>
    </row>
    <row r="9" spans="1:10" ht="18.75">
      <c r="A9" s="164" t="s">
        <v>89</v>
      </c>
      <c r="D9" s="27" t="s">
        <v>956</v>
      </c>
      <c r="F9" s="195"/>
      <c r="G9" s="195"/>
      <c r="H9" s="195"/>
      <c r="I9" s="195"/>
    </row>
    <row r="10" spans="1:10" ht="18.75">
      <c r="A10" s="165" t="s">
        <v>111</v>
      </c>
      <c r="D10" s="27" t="s">
        <v>959</v>
      </c>
      <c r="F10" s="195"/>
      <c r="G10" s="195"/>
      <c r="H10" s="195"/>
      <c r="I10" s="195"/>
    </row>
    <row r="11" spans="1:10" ht="18.75">
      <c r="A11" s="166" t="s">
        <v>105</v>
      </c>
      <c r="D11" s="27" t="s">
        <v>960</v>
      </c>
      <c r="F11" s="195"/>
      <c r="G11" s="195"/>
      <c r="H11" s="195"/>
    </row>
    <row r="12" spans="1:10" ht="18.75">
      <c r="A12" s="167" t="s">
        <v>98</v>
      </c>
      <c r="D12" s="27" t="s">
        <v>961</v>
      </c>
      <c r="F12" s="195"/>
      <c r="G12" s="195"/>
      <c r="H12" s="195"/>
    </row>
    <row r="13" spans="1:10" ht="15.75">
      <c r="A13" s="187"/>
      <c r="D13" s="27" t="s">
        <v>965</v>
      </c>
      <c r="F13" s="195"/>
      <c r="G13" s="195"/>
      <c r="H13" s="195"/>
    </row>
    <row r="14" spans="1:10" ht="15.75">
      <c r="A14" s="187"/>
      <c r="D14" s="27" t="s">
        <v>977</v>
      </c>
      <c r="F14" s="195"/>
      <c r="G14" s="195"/>
      <c r="H14" s="195"/>
    </row>
    <row r="15" spans="1:10" ht="15.75">
      <c r="A15" s="187"/>
      <c r="D15" s="27" t="s">
        <v>978</v>
      </c>
      <c r="F15" s="195"/>
      <c r="G15" s="195"/>
      <c r="H15" s="195"/>
    </row>
    <row r="16" spans="1:10" ht="15.75">
      <c r="A16" s="187"/>
      <c r="D16" s="27" t="s">
        <v>979</v>
      </c>
      <c r="F16" s="195"/>
      <c r="G16" s="195"/>
      <c r="H16" s="195"/>
    </row>
    <row r="17" spans="1:8" ht="15.75">
      <c r="A17" s="187"/>
      <c r="D17" s="27" t="s">
        <v>980</v>
      </c>
      <c r="F17" s="195"/>
      <c r="G17" s="195"/>
      <c r="H17" s="195"/>
    </row>
    <row r="18" spans="1:8" ht="15.75">
      <c r="A18" s="187"/>
      <c r="D18" s="27" t="s">
        <v>982</v>
      </c>
    </row>
    <row r="19" spans="1:8" ht="15.75">
      <c r="A19" s="187"/>
      <c r="D19" s="27"/>
    </row>
    <row r="20" spans="1:8" ht="15.75">
      <c r="A20" s="187"/>
      <c r="D20" s="27"/>
    </row>
    <row r="21" spans="1:8" ht="15.75">
      <c r="A21" s="187"/>
      <c r="D21" s="27"/>
    </row>
    <row r="22" spans="1:8" ht="15.75">
      <c r="A22" s="187"/>
      <c r="D22" s="27"/>
    </row>
    <row r="23" spans="1:8" ht="15.75">
      <c r="A23" s="187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>
      <c r="A1" s="170" t="s">
        <v>398</v>
      </c>
      <c r="D1" s="281" t="s">
        <v>401</v>
      </c>
      <c r="E1" s="281"/>
      <c r="F1" s="281"/>
      <c r="G1" s="281"/>
      <c r="H1" s="281"/>
      <c r="I1" s="281"/>
      <c r="J1" s="281"/>
      <c r="K1" s="155"/>
      <c r="L1" s="156"/>
      <c r="M1" s="157"/>
    </row>
    <row r="2" spans="1:18" ht="3.75" customHeight="1">
      <c r="F2" s="154" t="s">
        <v>3</v>
      </c>
    </row>
    <row r="3" spans="1:18" ht="18.7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>
      <c r="A5" s="161" t="s">
        <v>102</v>
      </c>
    </row>
    <row r="6" spans="1:18" ht="34.5" customHeight="1">
      <c r="A6" s="162" t="s">
        <v>103</v>
      </c>
    </row>
    <row r="7" spans="1:18" ht="18.7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 t="e">
        <v>#REF!</v>
      </c>
      <c r="I9" s="172" t="e">
        <v>#REF!</v>
      </c>
      <c r="J9" s="172" t="e">
        <f>(FinancialAccountsTable[[#This Row],[جمع دریافتی]]+FinancialAccountsTable[[#This Row],[موجودی اولیه]])-FinancialAccountsTable[[#This Row],[جمع پرداختی]]</f>
        <v>#REF!</v>
      </c>
      <c r="K9" s="139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 t="e">
        <v>#REF!</v>
      </c>
      <c r="I10" s="172" t="e">
        <v>#REF!</v>
      </c>
      <c r="J10" s="172" t="e">
        <f>(FinancialAccountsTable[[#This Row],[جمع دریافتی]]+FinancialAccountsTable[[#This Row],[موجودی اولیه]])-FinancialAccountsTable[[#This Row],[جمع پرداختی]]</f>
        <v>#REF!</v>
      </c>
      <c r="K10" s="139" t="e">
        <f>IF(FinancialAccountsTable[[#This Row],[مانده]]=0,"",IF(FinancialAccountsTable[[#This Row],[مانده]]&gt;0,"بدهکار","بستانکار"))</f>
        <v>#REF!</v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 t="e">
        <v>#REF!</v>
      </c>
      <c r="I11" s="172" t="e">
        <v>#REF!</v>
      </c>
      <c r="J11" s="172" t="e">
        <f>(FinancialAccountsTable[[#This Row],[جمع دریافتی]]+FinancialAccountsTable[[#This Row],[موجودی اولیه]])-FinancialAccountsTable[[#This Row],[جمع پرداختی]]</f>
        <v>#REF!</v>
      </c>
      <c r="K11" s="139" t="e">
        <f>IF(FinancialAccountsTable[[#This Row],[مانده]]=0,"",IF(FinancialAccountsTable[[#This Row],[مانده]]&gt;0,"بدهکار","بستانکار"))</f>
        <v>#REF!</v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 t="e">
        <v>#REF!</v>
      </c>
      <c r="I12" s="172" t="e">
        <v>#REF!</v>
      </c>
      <c r="J12" s="172" t="e">
        <f>(FinancialAccountsTable[[#This Row],[جمع دریافتی]]+FinancialAccountsTable[[#This Row],[موجودی اولیه]])-FinancialAccountsTable[[#This Row],[جمع پرداختی]]</f>
        <v>#REF!</v>
      </c>
      <c r="K12" s="139" t="e">
        <f>IF(FinancialAccountsTable[[#This Row],[مانده]]=0,"",IF(FinancialAccountsTable[[#This Row],[مانده]]&gt;0,"بدهکار","بستانکار"))</f>
        <v>#REF!</v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 t="e">
        <v>#REF!</v>
      </c>
      <c r="I13" s="172" t="e">
        <v>#REF!</v>
      </c>
      <c r="J13" s="172" t="e">
        <f>(FinancialAccountsTable[[#This Row],[جمع دریافتی]]+FinancialAccountsTable[[#This Row],[موجودی اولیه]])-FinancialAccountsTable[[#This Row],[جمع پرداختی]]</f>
        <v>#REF!</v>
      </c>
      <c r="K13" s="139" t="e">
        <f>IF(FinancialAccountsTable[[#This Row],[مانده]]=0,"",IF(FinancialAccountsTable[[#This Row],[مانده]]&gt;0,"بدهکار","بستانکار"))</f>
        <v>#REF!</v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 t="e">
        <v>#REF!</v>
      </c>
      <c r="I14" s="172" t="e">
        <v>#REF!</v>
      </c>
      <c r="J14" s="172" t="e">
        <f>(FinancialAccountsTable[[#This Row],[جمع دریافتی]]+FinancialAccountsTable[[#This Row],[موجودی اولیه]])-FinancialAccountsTable[[#This Row],[جمع پرداختی]]</f>
        <v>#REF!</v>
      </c>
      <c r="K14" s="139" t="e">
        <f>IF(FinancialAccountsTable[[#This Row],[مانده]]=0,"",IF(FinancialAccountsTable[[#This Row],[مانده]]&gt;0,"بدهکار","بستانکار"))</f>
        <v>#REF!</v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 t="e">
        <v>#REF!</v>
      </c>
      <c r="I15" s="172" t="e">
        <v>#REF!</v>
      </c>
      <c r="J15" s="172" t="e">
        <f>(FinancialAccountsTable[[#This Row],[جمع دریافتی]]+FinancialAccountsTable[[#This Row],[موجودی اولیه]])-FinancialAccountsTable[[#This Row],[جمع پرداختی]]</f>
        <v>#REF!</v>
      </c>
      <c r="K15" s="173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 t="e">
        <v>#REF!</v>
      </c>
      <c r="I16" s="172" t="e">
        <v>#REF!</v>
      </c>
      <c r="J16" s="172" t="e">
        <f>(FinancialAccountsTable[[#This Row],[جمع دریافتی]]+FinancialAccountsTable[[#This Row],[موجودی اولیه]])-FinancialAccountsTable[[#This Row],[جمع پرداختی]]</f>
        <v>#REF!</v>
      </c>
      <c r="K16" s="173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 t="e">
        <v>#REF!</v>
      </c>
      <c r="I17" s="172" t="e">
        <v>#REF!</v>
      </c>
      <c r="J17" s="172" t="e">
        <f>(FinancialAccountsTable[[#This Row],[جمع دریافتی]]+FinancialAccountsTable[[#This Row],[موجودی اولیه]])-FinancialAccountsTable[[#This Row],[جمع پرداختی]]</f>
        <v>#REF!</v>
      </c>
      <c r="K17" s="173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 t="e">
        <v>#REF!</v>
      </c>
      <c r="I18" s="172" t="e">
        <v>#REF!</v>
      </c>
      <c r="J18" s="172" t="e">
        <f>(FinancialAccountsTable[[#This Row],[جمع دریافتی]]+FinancialAccountsTable[[#This Row],[موجودی اولیه]])-FinancialAccountsTable[[#This Row],[جمع پرداختی]]</f>
        <v>#REF!</v>
      </c>
      <c r="K18" s="173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 t="e">
        <f>SUBTOTAL(109,FinancialAccountsTable[جمع پرداختی])-H14</f>
        <v>#REF!</v>
      </c>
      <c r="I19" s="172" t="e">
        <f>SUBTOTAL(109,FinancialAccountsTable[جمع دریافتی])-I14</f>
        <v>#REF!</v>
      </c>
      <c r="J19" s="172" t="e">
        <f>SUBTOTAL(109,FinancialAccountsTable[مانده])-J14</f>
        <v>#REF!</v>
      </c>
      <c r="K19" s="174"/>
      <c r="L19" s="174"/>
      <c r="M19" s="174"/>
      <c r="N19" s="175"/>
      <c r="O19" s="175"/>
      <c r="P19" s="175"/>
      <c r="Q19" s="175"/>
      <c r="R19" s="175"/>
    </row>
    <row r="20" spans="1:18">
      <c r="A20" s="124"/>
    </row>
    <row r="21" spans="1:18">
      <c r="A21" s="124"/>
      <c r="I21" s="176"/>
      <c r="K21" s="176"/>
    </row>
    <row r="22" spans="1:18">
      <c r="A22" s="124"/>
      <c r="I22" s="176"/>
    </row>
    <row r="23" spans="1:18" ht="15.7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topLeftCell="J1" workbookViewId="0">
      <selection activeCell="O6" sqref="O6"/>
    </sheetView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>
      <c r="A1" s="127" t="s">
        <v>397</v>
      </c>
      <c r="B1" s="128"/>
      <c r="C1" s="129"/>
      <c r="D1" s="284" t="s">
        <v>395</v>
      </c>
      <c r="E1" s="284"/>
      <c r="F1" s="284"/>
      <c r="G1" s="284"/>
      <c r="H1" s="284"/>
      <c r="I1" s="284"/>
      <c r="J1" s="284"/>
      <c r="K1" s="284"/>
      <c r="M1" s="285" t="s">
        <v>396</v>
      </c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</row>
    <row r="2" spans="1:28" ht="3.75" customHeight="1"/>
    <row r="3" spans="1:28" ht="18.75">
      <c r="A3" s="134" t="s">
        <v>8</v>
      </c>
      <c r="D3" s="120" t="s">
        <v>112</v>
      </c>
      <c r="F3" s="135" t="s">
        <v>139</v>
      </c>
      <c r="H3" s="136" t="s">
        <v>147</v>
      </c>
      <c r="J3" s="287" t="s">
        <v>393</v>
      </c>
      <c r="K3" s="287"/>
      <c r="M3" s="288" t="s">
        <v>360</v>
      </c>
      <c r="N3" s="288"/>
      <c r="O3" s="288"/>
      <c r="P3" s="137"/>
      <c r="Q3" s="289" t="s">
        <v>361</v>
      </c>
      <c r="R3" s="289"/>
      <c r="S3" s="289"/>
      <c r="U3" s="290" t="s">
        <v>385</v>
      </c>
      <c r="V3" s="290"/>
      <c r="X3" s="282" t="s">
        <v>362</v>
      </c>
      <c r="Y3" s="282"/>
      <c r="AA3" s="283" t="s">
        <v>363</v>
      </c>
      <c r="AB3" s="283"/>
    </row>
    <row r="4" spans="1:28" ht="18.7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180" t="s">
        <v>368</v>
      </c>
      <c r="AB4" s="180" t="s">
        <v>394</v>
      </c>
    </row>
    <row r="5" spans="1:28" ht="30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18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181" t="s">
        <v>826</v>
      </c>
      <c r="Y5" s="141" t="s">
        <v>369</v>
      </c>
      <c r="AA5" s="141" t="s">
        <v>907</v>
      </c>
      <c r="AB5" s="141" t="s">
        <v>369</v>
      </c>
    </row>
    <row r="6" spans="1:28" ht="18.7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18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181" t="s">
        <v>827</v>
      </c>
      <c r="Y6" s="141" t="s">
        <v>828</v>
      </c>
      <c r="AA6" s="141" t="s">
        <v>908</v>
      </c>
      <c r="AB6" s="141" t="s">
        <v>909</v>
      </c>
    </row>
    <row r="7" spans="1:28" ht="30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18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181" t="s">
        <v>829</v>
      </c>
      <c r="Y7" s="141" t="s">
        <v>373</v>
      </c>
      <c r="AA7" s="141" t="s">
        <v>910</v>
      </c>
      <c r="AB7" s="141" t="s">
        <v>911</v>
      </c>
    </row>
    <row r="8" spans="1:28" ht="30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18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181" t="s">
        <v>830</v>
      </c>
      <c r="Y8" s="141" t="s">
        <v>438</v>
      </c>
      <c r="AA8" s="141" t="s">
        <v>912</v>
      </c>
      <c r="AB8" s="141" t="s">
        <v>913</v>
      </c>
    </row>
    <row r="9" spans="1:28" ht="30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18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181" t="s">
        <v>831</v>
      </c>
      <c r="Y9" s="141" t="s">
        <v>454</v>
      </c>
      <c r="AA9" s="141" t="s">
        <v>914</v>
      </c>
      <c r="AB9" s="141" t="s">
        <v>915</v>
      </c>
    </row>
    <row r="10" spans="1:28" ht="18.7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18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>
      <c r="A11" s="149" t="s">
        <v>105</v>
      </c>
      <c r="M11" s="18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18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181" t="s">
        <v>834</v>
      </c>
      <c r="Y11" s="141" t="s">
        <v>474</v>
      </c>
      <c r="AA11" s="141" t="s">
        <v>917</v>
      </c>
      <c r="AB11" s="141" t="s">
        <v>556</v>
      </c>
    </row>
    <row r="12" spans="1:28" ht="30">
      <c r="A12" s="151" t="s">
        <v>98</v>
      </c>
      <c r="J12" s="286" t="s">
        <v>388</v>
      </c>
      <c r="K12" s="286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18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181" t="s">
        <v>835</v>
      </c>
      <c r="Y12" s="141" t="s">
        <v>482</v>
      </c>
      <c r="AA12" s="141" t="s">
        <v>918</v>
      </c>
      <c r="AB12" s="141" t="s">
        <v>571</v>
      </c>
    </row>
    <row r="13" spans="1:28" ht="4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18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181" t="s">
        <v>836</v>
      </c>
      <c r="Y13" s="141" t="s">
        <v>837</v>
      </c>
      <c r="AA13" s="141" t="s">
        <v>919</v>
      </c>
      <c r="AB13" s="141" t="s">
        <v>586</v>
      </c>
    </row>
    <row r="14" spans="1:28" ht="30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18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181" t="s">
        <v>838</v>
      </c>
      <c r="Y14" s="141" t="s">
        <v>837</v>
      </c>
      <c r="AA14" s="141" t="s">
        <v>920</v>
      </c>
      <c r="AB14" s="141" t="s">
        <v>598</v>
      </c>
    </row>
    <row r="15" spans="1:28" ht="60">
      <c r="J15" s="136" t="s">
        <v>389</v>
      </c>
      <c r="K15" s="136"/>
      <c r="O15" s="152"/>
      <c r="Q15" s="18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>
      <c r="J16" s="136" t="s">
        <v>390</v>
      </c>
      <c r="K16" s="136"/>
      <c r="O16" s="152"/>
      <c r="Q16" s="18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>
      <c r="J17" s="136" t="s">
        <v>391</v>
      </c>
      <c r="K17" s="136"/>
      <c r="O17" s="152"/>
      <c r="Q17" s="18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>
      <c r="J18" s="136" t="s">
        <v>392</v>
      </c>
      <c r="K18" s="136"/>
      <c r="O18" s="152"/>
      <c r="Q18" s="18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>
      <c r="J19" s="136"/>
      <c r="K19" s="141"/>
      <c r="O19" s="152"/>
      <c r="Q19" s="18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>
      <c r="J20" s="136"/>
      <c r="K20" s="141"/>
      <c r="O20" s="152"/>
      <c r="Q20" s="18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>
      <c r="J21" s="136"/>
      <c r="K21" s="141"/>
      <c r="O21" s="152"/>
      <c r="Q21" s="18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>
      <c r="J22" s="136"/>
      <c r="K22" s="141"/>
      <c r="O22" s="152"/>
      <c r="Q22" s="18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>
      <c r="J23" s="136"/>
      <c r="K23" s="141"/>
      <c r="O23" s="152"/>
      <c r="Q23" s="18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>
      <c r="J24" s="136"/>
      <c r="K24" s="141"/>
      <c r="O24" s="152"/>
      <c r="Q24" s="18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>
      <c r="J25" s="136"/>
      <c r="K25" s="141"/>
      <c r="O25" s="152"/>
      <c r="Q25" s="18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>
      <c r="J26" s="136"/>
      <c r="K26" s="141"/>
      <c r="O26" s="152"/>
      <c r="Q26" s="18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>
      <c r="J27" s="136"/>
      <c r="K27" s="141"/>
      <c r="O27" s="152"/>
      <c r="Q27" s="18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>
      <c r="J28" s="136"/>
      <c r="K28" s="141"/>
      <c r="O28" s="152"/>
      <c r="Q28" s="18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>
      <c r="J29" s="136"/>
      <c r="K29" s="141"/>
      <c r="O29" s="152"/>
      <c r="Q29" s="18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>
      <c r="J30" s="136"/>
      <c r="K30" s="141"/>
      <c r="O30" s="152"/>
      <c r="Q30" s="18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>
      <c r="J31" s="136"/>
      <c r="K31" s="141"/>
      <c r="O31" s="152"/>
      <c r="Q31" s="18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>
      <c r="J32" s="136"/>
      <c r="K32" s="141"/>
      <c r="O32" s="152"/>
      <c r="Q32" s="18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>
      <c r="J33" s="136"/>
      <c r="K33" s="141"/>
      <c r="O33" s="152"/>
      <c r="Q33" s="18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>
      <c r="J34" s="136"/>
      <c r="K34" s="141"/>
      <c r="O34" s="152"/>
      <c r="Q34" s="18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>
      <c r="J35" s="136"/>
      <c r="K35" s="141"/>
      <c r="O35" s="152"/>
      <c r="Q35" s="18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>
      <c r="J36" s="136"/>
      <c r="K36" s="141"/>
      <c r="O36" s="152"/>
      <c r="Q36" s="18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>
      <c r="J37" s="136"/>
      <c r="K37" s="141"/>
      <c r="O37" s="152"/>
      <c r="Q37" s="18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>
      <c r="J38" s="136"/>
      <c r="K38" s="141"/>
      <c r="O38" s="152"/>
      <c r="Q38" s="18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>
      <c r="J39" s="136"/>
      <c r="K39" s="141"/>
      <c r="O39" s="152"/>
      <c r="Q39" s="18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>
      <c r="J40" s="136"/>
      <c r="K40" s="141"/>
      <c r="O40" s="152"/>
      <c r="Q40" s="18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>
      <c r="J41" s="136"/>
      <c r="K41" s="141"/>
      <c r="O41" s="152"/>
      <c r="Q41" s="18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>
      <c r="O42" s="152"/>
      <c r="Q42" s="18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>
      <c r="O43" s="152"/>
      <c r="Q43" s="18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>
      <c r="O44" s="152"/>
      <c r="Q44" s="18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>
      <c r="O45" s="152"/>
      <c r="Q45" s="18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>
      <c r="O46" s="152"/>
      <c r="Q46" s="18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>
      <c r="O47" s="152"/>
      <c r="Q47" s="18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>
      <c r="O48" s="152"/>
      <c r="Q48" s="18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>
      <c r="O49" s="152"/>
      <c r="Q49" s="18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>
      <c r="O50" s="152"/>
      <c r="Q50" s="18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>
      <c r="O51" s="152"/>
      <c r="Q51" s="18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>
      <c r="O52" s="152"/>
      <c r="Q52" s="18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>
      <c r="O53" s="152"/>
      <c r="Q53" s="18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>
      <c r="O54" s="152"/>
      <c r="Q54" s="18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>
      <c r="O55" s="152"/>
      <c r="Q55" s="18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>
      <c r="O56" s="152"/>
      <c r="Q56" s="18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>
      <c r="O57" s="152"/>
      <c r="Q57" s="18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>
      <c r="O58" s="152"/>
      <c r="Q58" s="18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>
      <c r="O59" s="152"/>
      <c r="Q59" s="18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>
      <c r="O60" s="152"/>
      <c r="Q60" s="18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>
      <c r="O61" s="152"/>
      <c r="Q61" s="18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>
      <c r="O62" s="152"/>
      <c r="Q62" s="18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>
      <c r="O63" s="152"/>
      <c r="Q63" s="18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>
      <c r="O64" s="152"/>
      <c r="Q64" s="18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>
      <c r="O65" s="152"/>
      <c r="Q65" s="18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>
      <c r="O66" s="152"/>
      <c r="Q66" s="18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>
      <c r="O67" s="152"/>
      <c r="Q67" s="18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>
      <c r="O68" s="152"/>
      <c r="Q68" s="18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>
      <c r="O69" s="152"/>
      <c r="Q69" s="18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>
      <c r="O70" s="152"/>
      <c r="Q70" s="18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>
      <c r="O71" s="152"/>
      <c r="Q71" s="18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>
      <c r="O72" s="152"/>
      <c r="Q72" s="18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>
      <c r="O73" s="152"/>
      <c r="Q73" s="18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>
      <c r="O74" s="152"/>
      <c r="Q74" s="18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>
      <c r="O75" s="152"/>
      <c r="Q75" s="18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>
      <c r="O76" s="152"/>
      <c r="Q76" s="18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>
      <c r="O77" s="152"/>
      <c r="Q77" s="18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>
      <c r="O78" s="152"/>
      <c r="Q78" s="18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>
      <c r="O79" s="152"/>
      <c r="Q79" s="18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>
      <c r="O80" s="152"/>
      <c r="Q80" s="18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>
      <c r="O81" s="152"/>
      <c r="Q81" s="18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>
      <c r="O82" s="152"/>
      <c r="Q82" s="18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>
      <c r="O83" s="152"/>
      <c r="Q83" s="18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>
      <c r="O84" s="152"/>
      <c r="Q84" s="18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>
      <c r="O85" s="152"/>
      <c r="Q85" s="18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>
      <c r="O86" s="152"/>
      <c r="Q86" s="18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>
      <c r="O87" s="152"/>
      <c r="Q87" s="18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>
      <c r="O88" s="152"/>
      <c r="Q88" s="18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>
      <c r="O89" s="152"/>
      <c r="Q89" s="18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>
      <c r="O90" s="152"/>
      <c r="Q90" s="18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>
      <c r="O91" s="152"/>
      <c r="Q91" s="18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>
      <c r="O92" s="152"/>
      <c r="Q92" s="18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>
      <c r="O93" s="152"/>
      <c r="Q93" s="18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>
      <c r="O94" s="152"/>
      <c r="Q94" s="18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>
      <c r="O95" s="152"/>
      <c r="Q95" s="18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>
      <c r="O96" s="152"/>
      <c r="Q96" s="18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>
      <c r="O97" s="152"/>
      <c r="Q97" s="18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>
      <c r="O98" s="152"/>
      <c r="Q98" s="18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>
      <c r="O99" s="152"/>
      <c r="Q99" s="18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>
      <c r="O100" s="152"/>
      <c r="Q100" s="18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>
      <c r="O101" s="152"/>
      <c r="Q101" s="18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>
      <c r="O102" s="152"/>
      <c r="Q102" s="18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>
      <c r="O103" s="152"/>
      <c r="Q103" s="18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>
      <c r="O104" s="152"/>
      <c r="Q104" s="18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>
      <c r="O105" s="152"/>
      <c r="Q105" s="18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>
      <c r="O106" s="152"/>
      <c r="Q106" s="18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>
      <c r="O107" s="152"/>
      <c r="Q107" s="18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>
      <c r="O108" s="152"/>
      <c r="Q108" s="18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>
      <c r="O109" s="152"/>
      <c r="Q109" s="18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>
      <c r="O110" s="152"/>
      <c r="Q110" s="18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>
      <c r="O111" s="152"/>
      <c r="Q111" s="18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>
      <c r="O112" s="152"/>
      <c r="Q112" s="18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>
      <c r="O113" s="152"/>
      <c r="Q113" s="18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>
      <c r="O114" s="152"/>
      <c r="Q114" s="18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>
      <c r="O115" s="152"/>
      <c r="Q115" s="18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>
      <c r="O116" s="152"/>
      <c r="Q116" s="18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>
      <c r="O117" s="152"/>
      <c r="Q117" s="18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>
      <c r="O118" s="152"/>
      <c r="Q118" s="18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>
      <c r="O119" s="152"/>
      <c r="Q119" s="18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>
      <c r="O225" s="152"/>
      <c r="S225" s="152"/>
    </row>
    <row r="226" spans="15:19">
      <c r="O226" s="152"/>
      <c r="S226" s="152"/>
    </row>
    <row r="227" spans="15:19">
      <c r="O227" s="152"/>
      <c r="S227" s="152"/>
    </row>
    <row r="228" spans="15:19">
      <c r="O228" s="152"/>
      <c r="S228" s="152"/>
    </row>
    <row r="229" spans="15:19">
      <c r="O229" s="152"/>
      <c r="S229" s="152"/>
    </row>
    <row r="230" spans="15:19">
      <c r="O230" s="152"/>
      <c r="S230" s="152"/>
    </row>
    <row r="231" spans="15:19">
      <c r="O231" s="152"/>
      <c r="S231" s="152"/>
    </row>
    <row r="232" spans="15:19">
      <c r="O232" s="152"/>
      <c r="S232" s="152"/>
    </row>
    <row r="233" spans="15:19">
      <c r="O233" s="152"/>
      <c r="S233" s="152"/>
    </row>
    <row r="234" spans="15:19">
      <c r="O234" s="152"/>
      <c r="S234" s="152"/>
    </row>
    <row r="235" spans="15:19">
      <c r="O235" s="152"/>
      <c r="S235" s="152"/>
    </row>
    <row r="236" spans="15:19">
      <c r="O236" s="152"/>
      <c r="S236" s="152"/>
    </row>
    <row r="237" spans="15:19">
      <c r="O237" s="152"/>
      <c r="S237" s="152"/>
    </row>
    <row r="238" spans="15:19">
      <c r="O238" s="152"/>
      <c r="S238" s="152"/>
    </row>
    <row r="239" spans="15:19">
      <c r="O239" s="152"/>
      <c r="S239" s="152"/>
    </row>
    <row r="240" spans="15:19">
      <c r="O240" s="152"/>
      <c r="S240" s="152"/>
    </row>
    <row r="241" spans="15:19">
      <c r="O241" s="152"/>
      <c r="S241" s="152"/>
    </row>
    <row r="242" spans="15:19">
      <c r="O242" s="152"/>
      <c r="S242" s="152"/>
    </row>
    <row r="243" spans="15:19">
      <c r="O243" s="152"/>
      <c r="S243" s="152"/>
    </row>
    <row r="244" spans="15:19">
      <c r="O244" s="152"/>
      <c r="S244" s="152"/>
    </row>
    <row r="245" spans="15:19">
      <c r="O245" s="152"/>
      <c r="S245" s="152"/>
    </row>
    <row r="246" spans="15:19">
      <c r="O246" s="152"/>
      <c r="S246" s="152"/>
    </row>
    <row r="247" spans="15:19">
      <c r="O247" s="152"/>
      <c r="S247" s="152"/>
    </row>
    <row r="248" spans="15:19">
      <c r="O248" s="152"/>
      <c r="S248" s="152"/>
    </row>
    <row r="249" spans="15:19">
      <c r="O249" s="152"/>
      <c r="S249" s="152"/>
    </row>
    <row r="250" spans="15:19">
      <c r="O250" s="152"/>
      <c r="S250" s="152"/>
    </row>
    <row r="251" spans="15:19">
      <c r="O251" s="152"/>
      <c r="S251" s="152"/>
    </row>
    <row r="252" spans="15:19">
      <c r="O252" s="152"/>
      <c r="S252" s="152"/>
    </row>
    <row r="253" spans="15:19">
      <c r="O253" s="152"/>
      <c r="S253" s="152"/>
    </row>
    <row r="254" spans="15:19">
      <c r="O254" s="152"/>
      <c r="S254" s="152"/>
    </row>
    <row r="255" spans="15:19">
      <c r="O255" s="152"/>
      <c r="S255" s="152"/>
    </row>
    <row r="256" spans="15:19">
      <c r="O256" s="152"/>
      <c r="S256" s="152"/>
    </row>
    <row r="257" spans="15:19">
      <c r="O257" s="152"/>
      <c r="S257" s="152"/>
    </row>
    <row r="258" spans="15:19">
      <c r="O258" s="152"/>
      <c r="S258" s="152"/>
    </row>
    <row r="259" spans="15:19">
      <c r="O259" s="152"/>
      <c r="S259" s="152"/>
    </row>
    <row r="260" spans="15:19">
      <c r="O260" s="152"/>
      <c r="S260" s="152"/>
    </row>
    <row r="261" spans="15:19">
      <c r="O261" s="152"/>
      <c r="S261" s="152"/>
    </row>
    <row r="262" spans="15:19">
      <c r="O262" s="152"/>
      <c r="S262" s="152"/>
    </row>
    <row r="263" spans="15:19">
      <c r="O263" s="152"/>
      <c r="S263" s="152"/>
    </row>
    <row r="264" spans="15:19">
      <c r="O264" s="152"/>
      <c r="S264" s="152"/>
    </row>
    <row r="265" spans="15:19">
      <c r="O265" s="152"/>
      <c r="S265" s="152"/>
    </row>
    <row r="266" spans="15:19">
      <c r="O266" s="152"/>
      <c r="S266" s="152"/>
    </row>
    <row r="267" spans="15:19">
      <c r="O267" s="152"/>
      <c r="S267" s="152"/>
    </row>
    <row r="268" spans="15:19">
      <c r="O268" s="152"/>
      <c r="S268" s="152"/>
    </row>
    <row r="269" spans="15:19">
      <c r="O269" s="152"/>
      <c r="S269" s="152"/>
    </row>
    <row r="270" spans="15:19">
      <c r="O270" s="152"/>
      <c r="S270" s="152"/>
    </row>
    <row r="271" spans="15:19">
      <c r="O271" s="152"/>
      <c r="S271" s="152"/>
    </row>
    <row r="272" spans="15:19">
      <c r="O272" s="152"/>
      <c r="S272" s="152"/>
    </row>
    <row r="273" spans="15:19">
      <c r="O273" s="152"/>
      <c r="S273" s="152"/>
    </row>
    <row r="274" spans="15:19">
      <c r="O274" s="152"/>
      <c r="S274" s="152"/>
    </row>
    <row r="275" spans="15:19">
      <c r="O275" s="152"/>
      <c r="S275" s="152"/>
    </row>
    <row r="276" spans="15:19">
      <c r="O276" s="152"/>
      <c r="S276" s="152"/>
    </row>
    <row r="277" spans="15:19">
      <c r="O277" s="152"/>
      <c r="S277" s="152"/>
    </row>
    <row r="278" spans="15:19">
      <c r="O278" s="152"/>
      <c r="S278" s="152"/>
    </row>
    <row r="279" spans="15:19">
      <c r="O279" s="152"/>
      <c r="S279" s="152"/>
    </row>
    <row r="280" spans="15:19">
      <c r="O280" s="152"/>
      <c r="S280" s="152"/>
    </row>
    <row r="281" spans="15:19">
      <c r="O281" s="152"/>
      <c r="S281" s="152"/>
    </row>
    <row r="282" spans="15:19">
      <c r="O282" s="152"/>
      <c r="S282" s="152"/>
    </row>
    <row r="283" spans="15:19">
      <c r="O283" s="152"/>
      <c r="S283" s="152"/>
    </row>
    <row r="284" spans="15:19">
      <c r="O284" s="152"/>
      <c r="S284" s="152"/>
    </row>
    <row r="285" spans="15:19">
      <c r="O285" s="152"/>
      <c r="S285" s="152"/>
    </row>
    <row r="286" spans="15:19">
      <c r="O286" s="152"/>
      <c r="S286" s="152"/>
    </row>
    <row r="287" spans="15:19">
      <c r="O287" s="152"/>
      <c r="S287" s="152"/>
    </row>
    <row r="288" spans="15:19">
      <c r="O288" s="152"/>
      <c r="S288" s="152"/>
    </row>
    <row r="289" spans="15:19">
      <c r="O289" s="152"/>
      <c r="S289" s="152"/>
    </row>
    <row r="290" spans="15:19">
      <c r="O290" s="152"/>
      <c r="S290" s="152"/>
    </row>
    <row r="291" spans="15:19">
      <c r="O291" s="152"/>
      <c r="S291" s="152"/>
    </row>
    <row r="292" spans="15:19">
      <c r="O292" s="152"/>
      <c r="S292" s="152"/>
    </row>
    <row r="293" spans="15:19">
      <c r="O293" s="152"/>
      <c r="S293" s="152"/>
    </row>
    <row r="294" spans="15:19">
      <c r="O294" s="152"/>
      <c r="S294" s="152"/>
    </row>
    <row r="295" spans="15:19">
      <c r="O295" s="152"/>
      <c r="S295" s="152"/>
    </row>
    <row r="296" spans="15:19">
      <c r="O296" s="152"/>
      <c r="S296" s="152"/>
    </row>
    <row r="297" spans="15:19">
      <c r="O297" s="152"/>
      <c r="S297" s="152"/>
    </row>
    <row r="298" spans="15:19">
      <c r="O298" s="152"/>
      <c r="S298" s="152"/>
    </row>
    <row r="299" spans="15:19">
      <c r="O299" s="152"/>
      <c r="S299" s="152"/>
    </row>
    <row r="300" spans="15:19">
      <c r="O300" s="152"/>
      <c r="S300" s="152"/>
    </row>
    <row r="301" spans="15:19">
      <c r="O301" s="152"/>
      <c r="S301" s="152"/>
    </row>
    <row r="302" spans="15:19">
      <c r="O302" s="152"/>
      <c r="S302" s="152"/>
    </row>
    <row r="303" spans="15:19">
      <c r="O303" s="152"/>
      <c r="S303" s="152"/>
    </row>
    <row r="304" spans="15:19">
      <c r="O304" s="152"/>
      <c r="S304" s="152"/>
    </row>
    <row r="305" spans="15:19">
      <c r="O305" s="152"/>
      <c r="S305" s="152"/>
    </row>
    <row r="306" spans="15:19">
      <c r="O306" s="152"/>
      <c r="S306" s="152"/>
    </row>
    <row r="307" spans="15:19">
      <c r="O307" s="152"/>
      <c r="S307" s="152"/>
    </row>
    <row r="308" spans="15:19">
      <c r="O308" s="152"/>
      <c r="S308" s="152"/>
    </row>
    <row r="309" spans="15:19">
      <c r="O309" s="152"/>
      <c r="S309" s="152"/>
    </row>
    <row r="310" spans="15:19">
      <c r="O310" s="152"/>
      <c r="S310" s="152"/>
    </row>
    <row r="311" spans="15:19">
      <c r="O311" s="152"/>
      <c r="S311" s="152"/>
    </row>
    <row r="312" spans="15:19">
      <c r="O312" s="152"/>
      <c r="S312" s="152"/>
    </row>
    <row r="313" spans="15:19">
      <c r="O313" s="152"/>
      <c r="S313" s="152"/>
    </row>
    <row r="314" spans="15:19">
      <c r="O314" s="152"/>
      <c r="S314" s="152"/>
    </row>
    <row r="315" spans="15:19">
      <c r="O315" s="152"/>
      <c r="S315" s="152"/>
    </row>
    <row r="316" spans="15:19">
      <c r="O316" s="152"/>
      <c r="S316" s="152"/>
    </row>
    <row r="317" spans="15:19">
      <c r="O317" s="152"/>
      <c r="S317" s="152"/>
    </row>
    <row r="318" spans="15:19">
      <c r="O318" s="152"/>
      <c r="S318" s="152"/>
    </row>
    <row r="319" spans="15:19">
      <c r="O319" s="152"/>
      <c r="S319" s="152"/>
    </row>
    <row r="320" spans="15:19">
      <c r="O320" s="152"/>
      <c r="S320" s="152"/>
    </row>
    <row r="321" spans="15:19">
      <c r="O321" s="152"/>
      <c r="S321" s="152"/>
    </row>
    <row r="322" spans="15:19">
      <c r="O322" s="152"/>
      <c r="S322" s="152"/>
    </row>
    <row r="323" spans="15:19">
      <c r="O323" s="152"/>
      <c r="S323" s="152"/>
    </row>
    <row r="324" spans="15:19">
      <c r="O324" s="152"/>
      <c r="S324" s="152"/>
    </row>
    <row r="325" spans="15:19">
      <c r="O325" s="152"/>
      <c r="S325" s="152"/>
    </row>
    <row r="326" spans="15:19">
      <c r="O326" s="152"/>
      <c r="S326" s="152"/>
    </row>
    <row r="327" spans="15:19">
      <c r="O327" s="152"/>
      <c r="S327" s="152"/>
    </row>
    <row r="328" spans="15:19">
      <c r="O328" s="152"/>
      <c r="S328" s="152"/>
    </row>
    <row r="329" spans="15:19">
      <c r="O329" s="152"/>
      <c r="S329" s="152"/>
    </row>
    <row r="330" spans="15:19">
      <c r="O330" s="152"/>
      <c r="S330" s="152"/>
    </row>
    <row r="331" spans="15:19">
      <c r="O331" s="152"/>
      <c r="S331" s="152"/>
    </row>
    <row r="332" spans="15:19">
      <c r="O332" s="152"/>
      <c r="S332" s="152"/>
    </row>
    <row r="333" spans="15:19">
      <c r="O333" s="152"/>
      <c r="S333" s="152"/>
    </row>
    <row r="334" spans="15:19">
      <c r="O334" s="152"/>
      <c r="S334" s="152"/>
    </row>
    <row r="335" spans="15:19">
      <c r="O335" s="152"/>
      <c r="S335" s="152"/>
    </row>
    <row r="336" spans="15:19">
      <c r="O336" s="152"/>
      <c r="S336" s="152"/>
    </row>
    <row r="337" spans="15:19">
      <c r="O337" s="152"/>
      <c r="S337" s="152"/>
    </row>
    <row r="338" spans="15:19">
      <c r="O338" s="152"/>
      <c r="S338" s="152"/>
    </row>
    <row r="339" spans="15:19">
      <c r="O339" s="152"/>
      <c r="S339" s="152"/>
    </row>
    <row r="340" spans="15:19">
      <c r="O340" s="152"/>
      <c r="S340" s="152"/>
    </row>
    <row r="341" spans="15:19">
      <c r="O341" s="152"/>
      <c r="S341" s="152"/>
    </row>
    <row r="342" spans="15:19">
      <c r="O342" s="152"/>
      <c r="S342" s="152"/>
    </row>
    <row r="343" spans="15:19">
      <c r="O343" s="152"/>
      <c r="S343" s="152"/>
    </row>
    <row r="344" spans="15:19">
      <c r="O344" s="152"/>
      <c r="S344" s="152"/>
    </row>
    <row r="345" spans="15:19">
      <c r="O345" s="152"/>
      <c r="S345" s="152"/>
    </row>
    <row r="346" spans="15:19">
      <c r="O346" s="152"/>
      <c r="S346" s="152"/>
    </row>
    <row r="347" spans="15:19">
      <c r="O347" s="152"/>
      <c r="S347" s="152"/>
    </row>
    <row r="348" spans="15:19">
      <c r="O348" s="152"/>
      <c r="S348" s="152"/>
    </row>
    <row r="349" spans="15:19">
      <c r="O349" s="152"/>
      <c r="S349" s="152"/>
    </row>
    <row r="350" spans="15:19">
      <c r="O350" s="152"/>
      <c r="S350" s="152"/>
    </row>
    <row r="351" spans="15:19">
      <c r="O351" s="152"/>
      <c r="S351" s="152"/>
    </row>
    <row r="352" spans="15:19">
      <c r="O352" s="152"/>
      <c r="S352" s="152"/>
    </row>
    <row r="353" spans="15:19">
      <c r="O353" s="152"/>
      <c r="S353" s="152"/>
    </row>
    <row r="354" spans="15:19">
      <c r="O354" s="152"/>
      <c r="S354" s="152"/>
    </row>
    <row r="355" spans="15:19">
      <c r="O355" s="152"/>
      <c r="S355" s="152"/>
    </row>
    <row r="356" spans="15:19">
      <c r="O356" s="152"/>
      <c r="S356" s="152"/>
    </row>
    <row r="357" spans="15:19">
      <c r="O357" s="152"/>
      <c r="S357" s="152"/>
    </row>
    <row r="358" spans="15:19">
      <c r="O358" s="152"/>
      <c r="S358" s="152"/>
    </row>
    <row r="359" spans="15:19">
      <c r="O359" s="152"/>
      <c r="S359" s="152"/>
    </row>
    <row r="360" spans="15:19">
      <c r="O360" s="152"/>
      <c r="S360" s="152"/>
    </row>
    <row r="361" spans="15:19">
      <c r="O361" s="152"/>
      <c r="S361" s="152"/>
    </row>
    <row r="362" spans="15:19">
      <c r="O362" s="152"/>
      <c r="S362" s="152"/>
    </row>
    <row r="363" spans="15:19">
      <c r="O363" s="152"/>
      <c r="S363" s="152"/>
    </row>
    <row r="364" spans="15:19">
      <c r="O364" s="152"/>
      <c r="S364" s="152"/>
    </row>
    <row r="365" spans="15:19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/>
  <cols>
    <col min="1" max="1" width="30.5703125" style="187" customWidth="1"/>
    <col min="2" max="2" width="0.7109375" style="187" customWidth="1"/>
    <col min="3" max="3" width="4.5703125" style="189" customWidth="1"/>
    <col min="4" max="4" width="18.28515625" style="189" customWidth="1"/>
    <col min="5" max="5" width="36.5703125" style="189" customWidth="1"/>
    <col min="6" max="6" width="28.5703125" style="189" customWidth="1"/>
    <col min="7" max="10" width="18.28515625" style="189" customWidth="1"/>
    <col min="11" max="11" width="61.5703125" style="189" customWidth="1"/>
    <col min="12" max="12" width="20.85546875" style="189" customWidth="1"/>
    <col min="13" max="13" width="28.7109375" style="189" customWidth="1"/>
    <col min="14" max="16384" width="9.140625" style="189"/>
  </cols>
  <sheetData>
    <row r="1" spans="1:8" s="186" customFormat="1" ht="21" customHeight="1">
      <c r="A1" s="184" t="s">
        <v>402</v>
      </c>
      <c r="B1" s="185"/>
      <c r="D1" s="292" t="s">
        <v>409</v>
      </c>
      <c r="E1" s="292"/>
      <c r="F1" s="171"/>
      <c r="G1" s="171"/>
      <c r="H1" s="171"/>
    </row>
    <row r="2" spans="1:8" s="186" customFormat="1" ht="3" customHeight="1">
      <c r="A2" s="187"/>
      <c r="B2" s="187"/>
    </row>
    <row r="3" spans="1:8" ht="18.75">
      <c r="A3" s="9" t="s">
        <v>8</v>
      </c>
      <c r="B3" s="188"/>
    </row>
    <row r="4" spans="1:8" ht="18.75">
      <c r="A4" s="15" t="s">
        <v>98</v>
      </c>
      <c r="D4" s="291" t="s">
        <v>403</v>
      </c>
      <c r="E4" s="291"/>
      <c r="F4" s="291"/>
    </row>
    <row r="5" spans="1:8">
      <c r="D5" s="190" t="s">
        <v>404</v>
      </c>
      <c r="E5" s="190" t="s">
        <v>40</v>
      </c>
      <c r="F5" s="190" t="s">
        <v>405</v>
      </c>
    </row>
    <row r="6" spans="1:8" ht="45">
      <c r="D6" s="191" t="s">
        <v>8</v>
      </c>
      <c r="E6" s="192" t="s">
        <v>406</v>
      </c>
      <c r="F6" s="192" t="s">
        <v>123</v>
      </c>
    </row>
    <row r="7" spans="1:8" ht="75">
      <c r="D7" s="191" t="s">
        <v>107</v>
      </c>
      <c r="E7" s="192" t="s">
        <v>407</v>
      </c>
      <c r="F7" s="192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</vt:i4>
      </vt:variant>
    </vt:vector>
  </HeadingPairs>
  <TitlesOfParts>
    <vt:vector size="61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2021-12-21T09:02:44Z</dcterms:modified>
</cp:coreProperties>
</file>