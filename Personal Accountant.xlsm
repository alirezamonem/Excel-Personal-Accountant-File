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Accountant_Github_Repository\"/>
    </mc:Choice>
  </mc:AlternateContent>
  <xr:revisionPtr revIDLastSave="0" documentId="13_ncr:1_{E57AF210-097A-4309-8D44-ADFA05D02E7B}" xr6:coauthVersionLast="47" xr6:coauthVersionMax="47" xr10:uidLastSave="{00000000-0000-0000-0000-000000000000}"/>
  <bookViews>
    <workbookView xWindow="-120" yWindow="330" windowWidth="19440" windowHeight="11790" tabRatio="907" activeTab="12" xr2:uid="{00000000-000D-0000-FFFF-FFFF00000000}"/>
  </bookViews>
  <sheets>
    <sheet name="چک نویس" sheetId="22" r:id="rId1"/>
    <sheet name="فهرست" sheetId="19" r:id="rId2"/>
    <sheet name="تراکنش‌ها" sheetId="1" r:id="rId3"/>
    <sheet name="مدیریت وام و اقساط" sheetId="14" state="hidden" r:id="rId4"/>
    <sheet name="مدیریت چک‌ها" sheetId="2" state="hidden" r:id="rId5"/>
    <sheet name="مدیریت بدهی‌ها-طلب‌ها" sheetId="16" state="hidden" r:id="rId6"/>
    <sheet name="برنامه ریزی پرداخت‌ها" sheetId="15" state="hidden" r:id="rId7"/>
    <sheet name="تقویم" sheetId="18" state="hidden" r:id="rId8"/>
    <sheet name="گزارش فعالیت‌های ماه جاری" sheetId="5" state="hidden" r:id="rId9"/>
    <sheet name="گزارش دریافت‌ها" sheetId="8" state="hidden" r:id="rId10"/>
    <sheet name="گزارش پرداخت‌ها" sheetId="9" state="hidden" r:id="rId11"/>
    <sheet name="گزارش انتقال‌ها" sheetId="10" state="hidden" r:id="rId12"/>
    <sheet name="برنامه و بودجه بندی" sheetId="31" r:id="rId13"/>
    <sheet name="مدیریت زندگی در محیط اشتراکی" sheetId="33" r:id="rId14"/>
    <sheet name="گروه‌‌های درآمدی" sheetId="20" r:id="rId15"/>
    <sheet name="گزارش گروه‌های دریافتی" sheetId="13" state="hidden" r:id="rId16"/>
    <sheet name="گروه‌‌های (بابت‌ها) هزینه" sheetId="6" r:id="rId17"/>
    <sheet name="گزارش گروه‌های پرداختی" sheetId="12" state="hidden" r:id="rId18"/>
    <sheet name="گروه‌های انتقال" sheetId="26" state="hidden" r:id="rId19"/>
    <sheet name="گزارش گروه‌های انتقال" sheetId="27" state="hidden" r:id="rId20"/>
    <sheet name="جست و جو" sheetId="17" state="hidden" r:id="rId21"/>
    <sheet name="دریافت کنندگان - پرداخت کنندگان" sheetId="24" r:id="rId22"/>
    <sheet name="تنظیمات حساب" sheetId="3" r:id="rId23"/>
    <sheet name="تنظیمات دفترچه" sheetId="4" r:id="rId24"/>
    <sheet name="راهنما" sheetId="21" r:id="rId25"/>
  </sheets>
  <functionGroups builtInGroupCount="19"/>
  <externalReferences>
    <externalReference r:id="rId26"/>
  </externalReferences>
  <definedNames>
    <definedName name="AccountNamesList" localSheetId="12">[1]!FinancialAccountsTable[نام حساب]</definedName>
    <definedName name="AccountNamesList" localSheetId="13">[1]!FinancialAccountsTable[نام حساب]</definedName>
    <definedName name="AccountNamesList">#REF!</definedName>
    <definedName name="Accounts_and_ReceiversAndPayers_List" localSheetId="12">[1]!Accounts_and_ReceiversAndPayers_AppendTabel[Accounts and ReceiversAndPayers]</definedName>
    <definedName name="Accounts_and_ReceiversAndPayers_List" localSheetId="13">[1]!Accounts_and_ReceiversAndPayers_AppendTabel[Accounts and ReceiversAndPayers]</definedName>
    <definedName name="Accounts_and_ReceiversAndPayers_List">Accounts_Receivers_Payers_Table[Accounts_Receivers_Payers]</definedName>
    <definedName name="RecipientsList" localSheetId="12">[1]!ReceiversAndPayersTable[دریافت کننده - پرداخت کنندگان]</definedName>
    <definedName name="RecipientsList" localSheetId="13">[1]!ReceiversAndPayersTable[دریافت کننده - پرداخت کنندگان]</definedName>
    <definedName name="RecipientsList">#REF!</definedName>
    <definedName name="TransactionMethodsList" comment="روش های انتقال پول" localSheetId="12">[1]!TransactionMethodsTable[روش تراکنش]</definedName>
    <definedName name="TransactionMethodsList" comment="روش های انتقال پول" localSheetId="13">[1]!TransactionMethodsTable[روش تراکنش]</definedName>
    <definedName name="TransactionMethodsList" comment="روش های انتقال پول">TransactionMethodsTable[روش تراکنش]</definedName>
    <definedName name="ارتباطات" comment="گروه هزینه‌های ارتباطات" localSheetId="12">[1]!NetworkCostsTable[ارتباطات]</definedName>
    <definedName name="ارتباطات" comment="گروه هزینه‌های ارتباطات" localSheetId="13">[1]!NetworkCostsTable[ارتباطات]</definedName>
    <definedName name="ارتباطات" comment="گروه هزینه‌های ارتباطات">NetworkCostsTable[ارتباطات]</definedName>
    <definedName name="ایاب_و_ذهاب" comment="گروه هزینه‌های ایاب و ذهاب" localSheetId="12">[1]!TravelCostsTable[ایاب و ذهاب]</definedName>
    <definedName name="ایاب_و_ذهاب" comment="گروه هزینه‌های ایاب و ذهاب" localSheetId="13">[1]!TravelCostsTable[ایاب و ذهاب]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 localSheetId="12">[1]!HealthCareCostsTable[بهداشت و درمان]</definedName>
    <definedName name="بهداشت_و_درمان" comment="گروه هزینه‌های بهداشت و درمان" localSheetId="13">[1]!HealthCareCostsTable[بهداشت و درمان]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 localSheetId="12">[1]!PersonalCleaningCostsTable[بهداشت و نظافت فردی]</definedName>
    <definedName name="بهداشت_و_نظافت_فردی" comment="گروه هزینه‌های بهداشت و نظافت فردی" localSheetId="13">[1]!PersonalCleaningCostsTable[بهداشت و نظافت فردی]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 localSheetId="12">[1]!EnvironmentalHealthCostsTable[بهداشت و نظافت محیط]</definedName>
    <definedName name="بهداشت_و_نظافت_محیط" comment="گروه هزینه های بهداشت و نظافت محیط" localSheetId="13">[1]!EnvironmentalHealthCostsTable[بهداشت و نظافت محیط]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 localSheetId="12">[1]!InsuranceCostsTable[بیمه]</definedName>
    <definedName name="بیمه" comment="گروه هزینه‌های بیمه" localSheetId="13">[1]!InsuranceCostsTable[بیمه]</definedName>
    <definedName name="بیمه" comment="گروه هزینه‌های بیمه">InsuranceCostsTable[بیمه]</definedName>
    <definedName name="پرداخت_اقساط" comment="گروه هزینه‌های پرداخت اقساط" localSheetId="12">[1]!InstallmentPaymentCostsTable[پرداخت اقساط]</definedName>
    <definedName name="پرداخت_اقساط" comment="گروه هزینه‌های پرداخت اقساط" localSheetId="13">[1]!InstallmentPaymentCostsTable[پرداخت اقساط]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 localSheetId="12">[1]!CostGroupsTable[نام گروه هزینه]</definedName>
    <definedName name="پرداخت_هزینه" comment="گروه‌های هزینه در کاربرگ گروه‌های (بابت‌ها) هزینه" localSheetId="13">[1]!CostGroupsTable[نام گروه هزینه]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 localSheetId="12">[1]!CostsOfClothingAndFootwearTable[پوشاک و کفش]</definedName>
    <definedName name="پوشاک_و_کفش" comment="گروه هزینه‌های پوشاک و کفش" localSheetId="13">[1]!CostsOfClothingAndFootwearTable[پوشاک و کفش]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 localSheetId="12">[1]!IncentivesPrizesAndFeastsTable[تشویقی‌ها، جوایز و عیدی‌ها]</definedName>
    <definedName name="تشویقی‌ها_جوایز_و_عیدی‌ها" comment="لیست گروه درآمد‌ها تشویفی‌ها، جوایز و عیدی‌ها" localSheetId="13">[1]!IncentivesPrizesAndFeastsTable[تشویقی‌ها، جوایز و عیدی‌ها]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 localSheetId="12">[1]!RightsTable[حقوق]</definedName>
    <definedName name="حقوق" comment="لیست گروه درآمد‌ها حقوق" localSheetId="13">[1]!RightsTable[حقوق]</definedName>
    <definedName name="حقوق" comment="لیست گروه درآمد‌ها حقوق">RightsTable[حقوق]</definedName>
    <definedName name="خودرو" comment="گروه هزینه‌های خودرو" localSheetId="12">[1]!CarCostsTable[خودرو]</definedName>
    <definedName name="خودرو" comment="گروه هزینه‌های خودرو" localSheetId="13">[1]!CarCostsTable[خودرو]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 localSheetId="12">[1]!CostsOfFoodAndBeveragesTable[خوراکی‌ها و آشامیدنی‌ها]</definedName>
    <definedName name="خوراکی‌ها_و_آشامیدنی‌ها" comment="گروه هزینه‌های خوراکی‌ها و آشامیدنی‌ها" localSheetId="13">[1]!CostsOfFoodAndBeveragesTable[خوراکی‌ها و آشامیدنی‌ها]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 localSheetId="12">[1]!CharityAndCulturalExpensesTable[خیریه و امور فرهنگی]</definedName>
    <definedName name="خیریه_و_امور_فرهنگی" comment="گروه هزینه‌های خیریه و امور فرهنگی" localSheetId="13">[1]!CharityAndCulturalExpensesTable[خیریه و امور فرهنگی]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 localSheetId="12">[1]!TobaccoCostsTable[دخانیات]</definedName>
    <definedName name="دخانیات" comment="گروه هزینه‌های دخانیات" localSheetId="13">[1]!TobaccoCostsTable[دخانیات]</definedName>
    <definedName name="دخانیات" comment="گروه هزینه‌های دخانیات">TobaccoCostsTable[دخانیات]</definedName>
    <definedName name="درآمد_متفرقه" comment="لیست گروه های درآمدی، درآمد متفرقه" localSheetId="12">[1]!MiscellaneousIncomeTable[درآمد متفرقه]</definedName>
    <definedName name="درآمد_متفرقه" comment="لیست گروه های درآمدی، درآمد متفرقه" localSheetId="13">[1]!MiscellaneousIncomeTable[درآمد متفرقه]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 localSheetId="12">[1]!RevenueGroupTable[نام گروه درآمد]</definedName>
    <definedName name="دریافت_درآمد" comment="لیست گروه درآمد‌ها - شاخه اصلی" localSheetId="13">[1]!RevenueGroupTable[نام گروه درآمد]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 localSheetId="12">[1]!GetAMortgageAndRentTable[دریافت رهن و اجاره]</definedName>
    <definedName name="دریافت_رهن_و_اجاره" comment="لیست گروه‌های درآمدی دریافت رهن و اجاره" localSheetId="13">[1]!GetAMortgageAndRentTable[دریافت رهن و اجاره]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 localSheetId="12">[1]!GetALoanTable[دریافت وام]</definedName>
    <definedName name="دریافت_وام" comment="لیست گروه‌های درآمدی دریافت وام" localSheetId="13">[1]!GetALoanTable[دریافت وام]</definedName>
    <definedName name="دریافت_وام" comment="لیست گروه‌های درآمدی دریافت وام">GetALoanTable[دریافت وام]</definedName>
    <definedName name="دستمزد" comment="لیست گروه درآمد‌ها دستمزد" localSheetId="12">[1]!SalaryTable[دستمزد]</definedName>
    <definedName name="دستمزد" comment="لیست گروه درآمد‌ها دستمزد" localSheetId="13">[1]!SalaryTable[دستمزد]</definedName>
    <definedName name="دستمزد" comment="لیست گروه درآمد‌ها دستمزد">SalaryTable[دستمزد]</definedName>
    <definedName name="دوچرخه" comment="گروه هزینه‌های دوچرخه" localSheetId="12">[1]!BicycleCostsTable[دوچرخه]</definedName>
    <definedName name="دوچرخه" comment="گروه هزینه‌های دوچرخه" localSheetId="13">[1]!BicycleCostsTable[دوچرخه]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 localSheetId="12">[1]!CostsOfCapitalJewelryTable[زیورآلات سرمایه]</definedName>
    <definedName name="زیورآلات_سرمایه" comment="گروه هزینه‌های زیورآلات سرمایه مانند طلا، تقره، عتیقه، جواهرات و غیره" localSheetId="13">[1]!CostsOfCapitalJewelryTable[زیورآلات سرمایه]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 localSheetId="12">[1]!Non_CapitalJewelryCostsTable[[ زیورآلات غیر سرمایه]]</definedName>
    <definedName name="زیورآلات_غیر‌سرمایه" comment="گروه هزینه‌های زیورآلات غیر سرمایه" localSheetId="13">[1]!Non_CapitalJewelryCostsTable[[ زیورآلات غیر سرمایه]]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 localSheetId="12">[1]!InvestmentCostsTable[[ سرمایه گذاری]]</definedName>
    <definedName name="سرمایه‌گذاری" comment="گروه هزینه‌های سرمایه گذاری" localSheetId="13">[1]!InvestmentCostsTable[[ سرمایه گذاری]]</definedName>
    <definedName name="سرمایه‌گذاری" comment="گروه هزینه‌های سرمایه گذاری">InvestmentCostsTable[[ سرمایه گذاری]]</definedName>
    <definedName name="سرویس‌های_دیجیتال">[1]!DigitalServicesCostTable[سرویس‌های دیجیتال]</definedName>
    <definedName name="سفر_و_گردش" comment="گروه هزینه‌های سفر و گردش" localSheetId="12">[1]!TravelAndTourExpensesTable[سفر و گردش]</definedName>
    <definedName name="سفر_و_گردش" comment="گروه هزینه‌های سفر و گردش" localSheetId="13">[1]!TravelAndTourExpensesTable[سفر و گردش]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 localSheetId="12">[1]!ProfitableInvestmentTable[سود سرمایه‌گذاری]</definedName>
    <definedName name="سود_سرمایه‌گذاری" comment="لیست گروه درآمد‌ها سود سرمایه‌گذاری" localSheetId="13">[1]!ProfitableInvestmentTable[سود سرمایه‌گذاری]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 localSheetId="12">[1]!HousingBillCostsTable[صورتحاب‌های مسکن]</definedName>
    <definedName name="صورتحساب‌های_مسکن" comment="گروه هزینه‌های صورتحساب‌های مسکن" localSheetId="13">[1]!HousingBillCostsTable[صورتحاب‌های مسکن]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 localSheetId="12">[1]!LeisureAndEntertainmentExpensesTable[فراغت و سرگرمی]</definedName>
    <definedName name="فراغت_و_سرگرمی" comment="گروه هزینه‌های فراغت و سرگرمی" localSheetId="13">[1]!LeisureAndEntertainmentExpensesTable[فراغت و سرگرمی]</definedName>
    <definedName name="فراغت_و_سرگرمی" comment="گروه هزینه‌های فراغت و سرگرمی">LeisureAndEntertainmentExpensesTable[فراغت و سرگرمی]</definedName>
    <definedName name="قرض_دادن_پول">[1]!Table8[قرض_دادن_پول]</definedName>
    <definedName name="کالای_خروجی">[1]!OutputProductCategoryTable[دسته خروجی]</definedName>
    <definedName name="کالای_ورودی">[1]!IncomingProductCategoryTable[دسته ورودی]</definedName>
    <definedName name="مالیات" comment="گروه هزینه‌های مالیات" localSheetId="12">[1]!TaxCostsTable[مالیات]</definedName>
    <definedName name="مالیات" comment="گروه هزینه‌های مالیات" localSheetId="13">[1]!TaxCostsTable[مالیات]</definedName>
    <definedName name="مالیات" comment="گروه هزینه‌های مالیات">TaxCostsTable[مالیات]</definedName>
    <definedName name="مدرک_و_تحصیل" comment="گروه هزینه‌های مدرک و تحصیل" localSheetId="12">[1]!DegreeAndTuitionFeesTable[[ مدرک و تحصیل]]</definedName>
    <definedName name="مدرک_و_تحصیل" comment="گروه هزینه‌های مدرک و تحصیل" localSheetId="13">[1]!DegreeAndTuitionFeesTable[[ مدرک و تحصیل]]</definedName>
    <definedName name="مدرک_و_تحصیل" comment="گروه هزینه‌های مدرک و تحصیل">DegreeAndTuitionFeesTable[[ مدرک و تحصیل]]</definedName>
    <definedName name="ملزومات_و_اثاثیه_منزل">[1]!Table53[ملزومات و اثاثیه منزل]</definedName>
    <definedName name="منفعت_کسب" comment="لیست گروه‌ درآمد‌ها منفعت کسب" localSheetId="12">[1]!ProfitOfAcquisitionTable[منفعت کسب]</definedName>
    <definedName name="منفعت_کسب" comment="لیست گروه‌ درآمد‌ها منفعت کسب" localSheetId="13">[1]!ProfitOfAcquisitionTable[منفعت کسب]</definedName>
    <definedName name="منفعت_کسب" comment="لیست گروه‌ درآمد‌ها منفعت کسب">ProfitOfAcquisitionTable[منفعت کسب]</definedName>
    <definedName name="موارد_قانونی">[1]!Table52[موارد قانونی]</definedName>
    <definedName name="هدیه" comment="لیست هزینه‌های هدیه" localSheetId="12">[1]!GiftCostsTable[هدیه و کادو]</definedName>
    <definedName name="هدیه" comment="لیست هزینه‌های هدیه" localSheetId="13">[1]!GiftCostsTable[هدیه و کادو]</definedName>
    <definedName name="هدیه" comment="لیست هزینه‌های هدیه">GiftCostsTable[هدیه و کادو]</definedName>
    <definedName name="ورزش" comment="گروه هزینه‌های ورزش" localSheetId="12">[1]!ExerciseCostsTable[ورزش]</definedName>
    <definedName name="ورزش" comment="گروه هزینه‌های ورزش" localSheetId="13">[1]!ExerciseCostsTable[ورزش]</definedName>
    <definedName name="ورزش" comment="گروه هزینه‌های ورزش">ExerciseCostsTable[ورزش]</definedName>
    <definedName name="یادگیری_و_توسعه_فردی" comment="گروه هزینه‌های یادگیری و توسعه فردی" localSheetId="12">[1]!LearningAndIndividualDevelopmentCostsTable[یادگیری و توسعه فردی]</definedName>
    <definedName name="یادگیری_و_توسعه_فردی" comment="گروه هزینه‌های یادگیری و توسعه فردی" localSheetId="13">[1]!LearningAndIndividualDevelopmentCostsTable[یادگیری و توسعه فردی]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" i="33" l="1"/>
  <c r="L3" i="33"/>
  <c r="L4" i="33"/>
  <c r="R2" i="33"/>
  <c r="R4" i="33"/>
  <c r="R5" i="33"/>
  <c r="R6" i="33"/>
  <c r="R7" i="33"/>
  <c r="R8" i="33"/>
  <c r="R9" i="33"/>
  <c r="R10" i="33"/>
  <c r="R11" i="33"/>
  <c r="R12" i="33"/>
  <c r="R13" i="33"/>
  <c r="R14" i="33"/>
  <c r="R15" i="33"/>
  <c r="R16" i="33"/>
  <c r="R17" i="33"/>
  <c r="R18" i="33"/>
  <c r="R19" i="33"/>
  <c r="R20" i="33"/>
  <c r="R21" i="33"/>
  <c r="R22" i="33"/>
  <c r="R23" i="33"/>
  <c r="R24" i="33"/>
  <c r="R25" i="33"/>
  <c r="R26" i="33"/>
  <c r="R27" i="33"/>
  <c r="R28" i="33"/>
  <c r="R29" i="33"/>
  <c r="R30" i="33"/>
  <c r="R31" i="33"/>
  <c r="R32" i="33"/>
  <c r="R33" i="33"/>
  <c r="R34" i="33"/>
  <c r="R35" i="33"/>
  <c r="R36" i="33"/>
  <c r="R37" i="33"/>
  <c r="R38" i="33"/>
  <c r="R39" i="33"/>
  <c r="R40" i="33"/>
  <c r="R41" i="33"/>
  <c r="R42" i="33"/>
  <c r="R43" i="33"/>
  <c r="R44" i="33"/>
  <c r="R45" i="33"/>
  <c r="R46" i="33"/>
  <c r="R47" i="33"/>
  <c r="R48" i="33"/>
  <c r="R49" i="33"/>
  <c r="R50" i="33"/>
  <c r="R51" i="33"/>
  <c r="R52" i="33"/>
  <c r="R53" i="33"/>
  <c r="R54" i="33"/>
  <c r="R55" i="33"/>
  <c r="R56" i="33"/>
  <c r="R57" i="33"/>
  <c r="R58" i="33"/>
  <c r="R59" i="33"/>
  <c r="R60" i="33"/>
  <c r="R61" i="33"/>
  <c r="R62" i="33"/>
  <c r="R63" i="33"/>
  <c r="R64" i="33"/>
  <c r="R65" i="33"/>
  <c r="R66" i="33"/>
  <c r="R67" i="33"/>
  <c r="R68" i="33"/>
  <c r="R69" i="33"/>
  <c r="R70" i="33"/>
  <c r="R71" i="33"/>
  <c r="R72" i="33"/>
  <c r="R73" i="33"/>
  <c r="R74" i="33"/>
  <c r="R75" i="33"/>
  <c r="R76" i="33"/>
  <c r="R77" i="33"/>
  <c r="R78" i="33"/>
  <c r="R79" i="33"/>
  <c r="R80" i="33"/>
  <c r="R81" i="33"/>
  <c r="R82" i="33"/>
  <c r="R83" i="33"/>
  <c r="R84" i="33"/>
  <c r="R85" i="33"/>
  <c r="R86" i="33"/>
  <c r="R87" i="33"/>
  <c r="R88" i="33"/>
  <c r="R89" i="33"/>
  <c r="R90" i="33"/>
  <c r="R91" i="33"/>
  <c r="R92" i="33"/>
  <c r="R93" i="33"/>
  <c r="R94" i="33"/>
  <c r="R95" i="33"/>
  <c r="R96" i="33"/>
  <c r="R97" i="33"/>
  <c r="R98" i="33"/>
  <c r="R99" i="33"/>
  <c r="R100" i="33"/>
  <c r="R101" i="33"/>
  <c r="R102" i="33"/>
  <c r="R103" i="33"/>
  <c r="R104" i="33"/>
  <c r="R105" i="33"/>
  <c r="R106" i="33"/>
  <c r="R107" i="33"/>
  <c r="R108" i="33"/>
  <c r="R109" i="33"/>
  <c r="R110" i="33"/>
  <c r="R111" i="33"/>
  <c r="R112" i="33"/>
  <c r="R113" i="33"/>
  <c r="R114" i="33"/>
  <c r="R115" i="33"/>
  <c r="R116" i="33"/>
  <c r="R117" i="33"/>
  <c r="R118" i="33"/>
  <c r="R119" i="33"/>
  <c r="R120" i="33"/>
  <c r="R121" i="33"/>
  <c r="R122" i="33"/>
  <c r="R123" i="33"/>
  <c r="R124" i="33"/>
  <c r="R125" i="33"/>
  <c r="R126" i="33"/>
  <c r="R127" i="33"/>
  <c r="R128" i="33"/>
  <c r="R129" i="33"/>
  <c r="R130" i="33"/>
  <c r="R131" i="33"/>
  <c r="R132" i="33"/>
  <c r="R133" i="33"/>
  <c r="R134" i="33"/>
  <c r="R135" i="33"/>
  <c r="R136" i="33"/>
  <c r="R137" i="33"/>
  <c r="R138" i="33"/>
  <c r="R139" i="33"/>
  <c r="R140" i="33"/>
  <c r="R141" i="33"/>
  <c r="R142" i="33"/>
  <c r="R143" i="33"/>
  <c r="R144" i="33"/>
  <c r="R145" i="33"/>
  <c r="R146" i="33"/>
  <c r="R147" i="33"/>
  <c r="R148" i="33"/>
  <c r="R149" i="33"/>
  <c r="R150" i="33"/>
  <c r="R151" i="33"/>
  <c r="R152" i="33"/>
  <c r="R153" i="33"/>
  <c r="R154" i="33"/>
  <c r="R155" i="33"/>
  <c r="R156" i="33"/>
  <c r="R157" i="33"/>
  <c r="R158" i="33"/>
  <c r="R159" i="33"/>
  <c r="R160" i="33"/>
  <c r="R161" i="33"/>
  <c r="R162" i="33"/>
  <c r="R163" i="33"/>
  <c r="R164" i="33"/>
  <c r="R165" i="33"/>
  <c r="R166" i="33"/>
  <c r="R167" i="33"/>
  <c r="R168" i="33"/>
  <c r="R169" i="33"/>
  <c r="R170" i="33"/>
  <c r="R171" i="33"/>
  <c r="R172" i="33"/>
  <c r="R173" i="33"/>
  <c r="R174" i="33"/>
  <c r="R175" i="33"/>
  <c r="R176" i="33"/>
  <c r="R177" i="33"/>
  <c r="R178" i="33"/>
  <c r="R179" i="33"/>
  <c r="R180" i="33"/>
  <c r="R181" i="33"/>
  <c r="R182" i="33"/>
  <c r="R183" i="33"/>
  <c r="R184" i="33"/>
  <c r="R185" i="33"/>
  <c r="R186" i="33"/>
  <c r="R187" i="33"/>
  <c r="R188" i="33"/>
  <c r="R189" i="33"/>
  <c r="R190" i="33"/>
  <c r="R191" i="33"/>
  <c r="R192" i="33"/>
  <c r="R193" i="33"/>
  <c r="R194" i="33"/>
  <c r="R195" i="33"/>
  <c r="R196" i="33"/>
  <c r="R197" i="33"/>
  <c r="R198" i="33"/>
  <c r="R199" i="33"/>
  <c r="R200" i="33"/>
  <c r="R201" i="33"/>
  <c r="R202" i="33"/>
  <c r="R203" i="33"/>
  <c r="R204" i="33"/>
  <c r="R205" i="33"/>
  <c r="R206" i="33"/>
  <c r="R207" i="33"/>
  <c r="R208" i="33"/>
  <c r="R209" i="33"/>
  <c r="R210" i="33"/>
  <c r="R211" i="33"/>
  <c r="R212" i="33"/>
  <c r="R213" i="33"/>
  <c r="R214" i="33"/>
  <c r="R215" i="33"/>
  <c r="R216" i="33"/>
  <c r="R217" i="33"/>
  <c r="R218" i="33"/>
  <c r="R219" i="33"/>
  <c r="R220" i="33"/>
  <c r="R221" i="33"/>
  <c r="R222" i="33"/>
  <c r="R223" i="33"/>
  <c r="R224" i="33"/>
  <c r="R225" i="33"/>
  <c r="R226" i="33"/>
  <c r="R227" i="33"/>
  <c r="R228" i="33"/>
  <c r="R229" i="33"/>
  <c r="R230" i="33"/>
  <c r="R231" i="33"/>
  <c r="R232" i="33"/>
  <c r="R233" i="33"/>
  <c r="R234" i="33"/>
  <c r="R235" i="33"/>
  <c r="R236" i="33"/>
  <c r="R237" i="33"/>
  <c r="R238" i="33"/>
  <c r="R239" i="33"/>
  <c r="R240" i="33"/>
  <c r="R241" i="33"/>
  <c r="R242" i="33"/>
  <c r="R243" i="33"/>
  <c r="R244" i="33"/>
  <c r="R245" i="33"/>
  <c r="R246" i="33"/>
  <c r="R247" i="33"/>
  <c r="R248" i="33"/>
  <c r="R249" i="33"/>
  <c r="R250" i="33"/>
  <c r="R251" i="33"/>
  <c r="R252" i="33"/>
  <c r="R253" i="33"/>
  <c r="R254" i="33"/>
  <c r="R255" i="33"/>
  <c r="R256" i="33"/>
  <c r="R257" i="33"/>
  <c r="R258" i="33"/>
  <c r="R259" i="33"/>
  <c r="R260" i="33"/>
  <c r="R261" i="33"/>
  <c r="R262" i="33"/>
  <c r="R263" i="33"/>
  <c r="R264" i="33"/>
  <c r="R265" i="33"/>
  <c r="R266" i="33"/>
  <c r="R267" i="33"/>
  <c r="R268" i="33"/>
  <c r="R269" i="33"/>
  <c r="R270" i="33"/>
  <c r="R271" i="33"/>
  <c r="R272" i="33"/>
  <c r="R273" i="33"/>
  <c r="R274" i="33"/>
  <c r="R275" i="33"/>
  <c r="R276" i="33"/>
  <c r="R277" i="33"/>
  <c r="R278" i="33"/>
  <c r="R279" i="33"/>
  <c r="R280" i="33"/>
  <c r="R281" i="33"/>
  <c r="R282" i="33"/>
  <c r="R283" i="33"/>
  <c r="R284" i="33"/>
  <c r="R285" i="33"/>
  <c r="R286" i="33"/>
  <c r="R287" i="33"/>
  <c r="R288" i="33"/>
  <c r="R289" i="33"/>
  <c r="R290" i="33"/>
  <c r="R291" i="33"/>
  <c r="R292" i="33"/>
  <c r="R293" i="33"/>
  <c r="R294" i="33"/>
  <c r="R295" i="33"/>
  <c r="R296" i="33"/>
  <c r="R297" i="33"/>
  <c r="R298" i="33"/>
  <c r="R299" i="33"/>
  <c r="R300" i="33"/>
  <c r="R301" i="33"/>
  <c r="R302" i="33"/>
  <c r="R303" i="33"/>
  <c r="R304" i="33"/>
  <c r="R305" i="33"/>
  <c r="R306" i="33"/>
  <c r="R307" i="33"/>
  <c r="R308" i="33"/>
  <c r="R309" i="33"/>
  <c r="R310" i="33"/>
  <c r="R311" i="33"/>
  <c r="R312" i="33"/>
  <c r="R313" i="33"/>
  <c r="R314" i="33"/>
  <c r="R315" i="33"/>
  <c r="R316" i="33"/>
  <c r="R317" i="33"/>
  <c r="R318" i="33"/>
  <c r="R319" i="33"/>
  <c r="R320" i="33"/>
  <c r="R321" i="33"/>
  <c r="R322" i="33"/>
  <c r="R323" i="33"/>
  <c r="R324" i="33"/>
  <c r="R325" i="33"/>
  <c r="R326" i="33"/>
  <c r="R327" i="33"/>
  <c r="R328" i="33"/>
  <c r="R329" i="33"/>
  <c r="R330" i="33"/>
  <c r="R331" i="33"/>
  <c r="R332" i="33"/>
  <c r="R333" i="33"/>
  <c r="R334" i="33"/>
  <c r="R335" i="33"/>
  <c r="R336" i="33"/>
  <c r="R337" i="33"/>
  <c r="R338" i="33"/>
  <c r="R339" i="33"/>
  <c r="R340" i="33"/>
  <c r="R341" i="33"/>
  <c r="R342" i="33"/>
  <c r="R343" i="33"/>
  <c r="R344" i="33"/>
  <c r="R345" i="33"/>
  <c r="R346" i="33"/>
  <c r="R347" i="33"/>
  <c r="R348" i="33"/>
  <c r="R349" i="33"/>
  <c r="R350" i="33"/>
  <c r="R351" i="33"/>
  <c r="R352" i="33"/>
  <c r="R353" i="33"/>
  <c r="R354" i="33"/>
  <c r="R355" i="33"/>
  <c r="R356" i="33"/>
  <c r="R357" i="33"/>
  <c r="R358" i="33"/>
  <c r="R359" i="33"/>
  <c r="R360" i="33"/>
  <c r="R361" i="33"/>
  <c r="R362" i="33"/>
  <c r="R363" i="33"/>
  <c r="R364" i="33"/>
  <c r="R365" i="33"/>
  <c r="R366" i="33"/>
  <c r="R367" i="33"/>
  <c r="R368" i="33"/>
  <c r="R369" i="33"/>
  <c r="R370" i="33"/>
  <c r="R371" i="33"/>
  <c r="R372" i="33"/>
  <c r="R373" i="33"/>
  <c r="R374" i="33"/>
  <c r="R375" i="33"/>
  <c r="R376" i="33"/>
  <c r="R377" i="33"/>
  <c r="R378" i="33"/>
  <c r="R379" i="33"/>
  <c r="R380" i="33"/>
  <c r="R381" i="33"/>
  <c r="R382" i="33"/>
  <c r="R383" i="33"/>
  <c r="R384" i="33"/>
  <c r="R385" i="33"/>
  <c r="R386" i="33"/>
  <c r="R387" i="33"/>
  <c r="R388" i="33"/>
  <c r="R389" i="33"/>
  <c r="R390" i="33"/>
  <c r="R391" i="33"/>
  <c r="R392" i="33"/>
  <c r="R393" i="33"/>
  <c r="R394" i="33"/>
  <c r="R395" i="33"/>
  <c r="R396" i="33"/>
  <c r="R397" i="33"/>
  <c r="R398" i="33"/>
  <c r="R399" i="33"/>
  <c r="R400" i="33"/>
  <c r="R401" i="33"/>
  <c r="R402" i="33"/>
  <c r="R403" i="33"/>
  <c r="R404" i="33"/>
  <c r="R405" i="33"/>
  <c r="R406" i="33"/>
  <c r="R407" i="33"/>
  <c r="R408" i="33"/>
  <c r="R409" i="33"/>
  <c r="R410" i="33"/>
  <c r="R411" i="33"/>
  <c r="R412" i="33"/>
  <c r="R413" i="33"/>
  <c r="R414" i="33"/>
  <c r="R415" i="33"/>
  <c r="R416" i="33"/>
  <c r="R417" i="33"/>
  <c r="R418" i="33"/>
  <c r="R419" i="33"/>
  <c r="R420" i="33"/>
  <c r="R421" i="33"/>
  <c r="R422" i="33"/>
  <c r="R423" i="33"/>
  <c r="R424" i="33"/>
  <c r="R425" i="33"/>
  <c r="R426" i="33"/>
  <c r="R427" i="33"/>
  <c r="R428" i="33"/>
  <c r="R429" i="33"/>
  <c r="R430" i="33"/>
  <c r="R431" i="33"/>
  <c r="R432" i="33"/>
  <c r="R433" i="33"/>
  <c r="R434" i="33"/>
  <c r="R435" i="33"/>
  <c r="R436" i="33"/>
  <c r="R437" i="33"/>
  <c r="R438" i="33"/>
  <c r="R439" i="33"/>
  <c r="R440" i="33"/>
  <c r="R441" i="33"/>
  <c r="R442" i="33"/>
  <c r="R443" i="33"/>
  <c r="R444" i="33"/>
  <c r="R445" i="33"/>
  <c r="R446" i="33"/>
  <c r="R447" i="33"/>
  <c r="R448" i="33"/>
  <c r="R449" i="33"/>
  <c r="R450" i="33"/>
  <c r="R451" i="33"/>
  <c r="R452" i="33"/>
  <c r="R453" i="33"/>
  <c r="R454" i="33"/>
  <c r="R455" i="33"/>
  <c r="R456" i="33"/>
  <c r="R457" i="33"/>
  <c r="R458" i="33"/>
  <c r="R459" i="33"/>
  <c r="R460" i="33"/>
  <c r="R461" i="33"/>
  <c r="R462" i="33"/>
  <c r="R463" i="33"/>
  <c r="R464" i="33"/>
  <c r="R465" i="33"/>
  <c r="R466" i="33"/>
  <c r="R467" i="33"/>
  <c r="R468" i="33"/>
  <c r="R469" i="33"/>
  <c r="R470" i="33"/>
  <c r="R471" i="33"/>
  <c r="R472" i="33"/>
  <c r="R473" i="33"/>
  <c r="R474" i="33"/>
  <c r="R475" i="33"/>
  <c r="R476" i="33"/>
  <c r="R477" i="33"/>
  <c r="R478" i="33"/>
  <c r="R479" i="33"/>
  <c r="R480" i="33"/>
  <c r="R481" i="33"/>
  <c r="R482" i="33"/>
  <c r="R483" i="33"/>
  <c r="R484" i="33"/>
  <c r="R485" i="33"/>
  <c r="R486" i="33"/>
  <c r="R487" i="33"/>
  <c r="R488" i="33"/>
  <c r="R489" i="33"/>
  <c r="R490" i="33"/>
  <c r="R491" i="33"/>
  <c r="R492" i="33"/>
  <c r="R493" i="33"/>
  <c r="R494" i="33"/>
  <c r="R495" i="33"/>
  <c r="R496" i="33"/>
  <c r="R497" i="33"/>
  <c r="R498" i="33"/>
  <c r="R499" i="33"/>
  <c r="R500" i="33"/>
  <c r="R501" i="33"/>
  <c r="R502" i="33"/>
  <c r="R503" i="33"/>
  <c r="R504" i="33"/>
  <c r="R505" i="33"/>
  <c r="R506" i="33"/>
  <c r="R507" i="33"/>
  <c r="R508" i="33"/>
  <c r="R509" i="33"/>
  <c r="R510" i="33"/>
  <c r="R511" i="33"/>
  <c r="R512" i="33"/>
  <c r="R513" i="33"/>
  <c r="R514" i="33"/>
  <c r="R515" i="33"/>
  <c r="R516" i="33"/>
  <c r="R517" i="33"/>
  <c r="R518" i="33"/>
  <c r="R519" i="33"/>
  <c r="R520" i="33"/>
  <c r="R521" i="33"/>
  <c r="R522" i="33"/>
  <c r="R523" i="33"/>
  <c r="R524" i="33"/>
  <c r="R525" i="33"/>
  <c r="R526" i="33"/>
  <c r="R527" i="33"/>
  <c r="R528" i="33"/>
  <c r="R529" i="33"/>
  <c r="R530" i="33"/>
  <c r="R531" i="33"/>
  <c r="R532" i="33"/>
  <c r="R533" i="33"/>
  <c r="R534" i="33"/>
  <c r="R535" i="33"/>
  <c r="R536" i="33"/>
  <c r="R537" i="33"/>
  <c r="R538" i="33"/>
  <c r="R539" i="33"/>
  <c r="R540" i="33"/>
  <c r="R541" i="33"/>
  <c r="R542" i="33"/>
  <c r="R543" i="33"/>
  <c r="R544" i="33"/>
  <c r="R545" i="33"/>
  <c r="R546" i="33"/>
  <c r="R547" i="33"/>
  <c r="R548" i="33"/>
  <c r="R549" i="33"/>
  <c r="R550" i="33"/>
  <c r="R551" i="33"/>
  <c r="R552" i="33"/>
  <c r="R553" i="33"/>
  <c r="R554" i="33"/>
  <c r="R555" i="33"/>
  <c r="R556" i="33"/>
  <c r="R557" i="33"/>
  <c r="R558" i="33"/>
  <c r="R559" i="33"/>
  <c r="R560" i="33"/>
  <c r="R561" i="33"/>
  <c r="R562" i="33"/>
  <c r="R563" i="33"/>
  <c r="R564" i="33"/>
  <c r="R565" i="33"/>
  <c r="R566" i="33"/>
  <c r="R567" i="33"/>
  <c r="R568" i="33"/>
  <c r="R569" i="33"/>
  <c r="R570" i="33"/>
  <c r="R571" i="33"/>
  <c r="R572" i="33"/>
  <c r="R573" i="33"/>
  <c r="R574" i="33"/>
  <c r="R575" i="33"/>
  <c r="R576" i="33"/>
  <c r="R577" i="33"/>
  <c r="R578" i="33"/>
  <c r="R579" i="33"/>
  <c r="R580" i="33"/>
  <c r="R581" i="33"/>
  <c r="R582" i="33"/>
  <c r="R583" i="33"/>
  <c r="R584" i="33"/>
  <c r="R585" i="33"/>
  <c r="R586" i="33"/>
  <c r="R587" i="33"/>
  <c r="R588" i="33"/>
  <c r="R589" i="33"/>
  <c r="R590" i="33"/>
  <c r="R591" i="33"/>
  <c r="R592" i="33"/>
  <c r="R593" i="33"/>
  <c r="R594" i="33"/>
  <c r="R595" i="33"/>
  <c r="R596" i="33"/>
  <c r="R597" i="33"/>
  <c r="R598" i="33"/>
  <c r="R599" i="33"/>
  <c r="R600" i="33"/>
  <c r="R601" i="33"/>
  <c r="R602" i="33"/>
  <c r="R603" i="33"/>
  <c r="R604" i="33"/>
  <c r="R605" i="33"/>
  <c r="R606" i="33"/>
  <c r="R607" i="33"/>
  <c r="R608" i="33"/>
  <c r="R609" i="33"/>
  <c r="R610" i="33"/>
  <c r="R611" i="33"/>
  <c r="R612" i="33"/>
  <c r="R613" i="33"/>
  <c r="R614" i="33"/>
  <c r="R615" i="33"/>
  <c r="R616" i="33"/>
  <c r="R617" i="33"/>
  <c r="R618" i="33"/>
  <c r="R619" i="33"/>
  <c r="R620" i="33"/>
  <c r="R621" i="33"/>
  <c r="R622" i="33"/>
  <c r="R623" i="33"/>
  <c r="R624" i="33"/>
  <c r="R625" i="33"/>
  <c r="R626" i="33"/>
  <c r="R627" i="33"/>
  <c r="R628" i="33"/>
  <c r="R629" i="33"/>
  <c r="R630" i="33"/>
  <c r="R631" i="33"/>
  <c r="R632" i="33"/>
  <c r="R633" i="33"/>
  <c r="R634" i="33"/>
  <c r="R635" i="33"/>
  <c r="R636" i="33"/>
  <c r="R637" i="33"/>
  <c r="R638" i="33"/>
  <c r="R639" i="33"/>
  <c r="R640" i="33"/>
  <c r="R641" i="33"/>
  <c r="R642" i="33"/>
  <c r="R643" i="33"/>
  <c r="R644" i="33"/>
  <c r="R645" i="33"/>
  <c r="R646" i="33"/>
  <c r="R647" i="33"/>
  <c r="R648" i="33"/>
  <c r="R649" i="33"/>
  <c r="R650" i="33"/>
  <c r="R651" i="33"/>
  <c r="R652" i="33"/>
  <c r="R653" i="33"/>
  <c r="R654" i="33"/>
  <c r="R655" i="33"/>
  <c r="R656" i="33"/>
  <c r="R657" i="33"/>
  <c r="R658" i="33"/>
  <c r="R659" i="33"/>
  <c r="R660" i="33"/>
  <c r="R661" i="33"/>
  <c r="R662" i="33"/>
  <c r="R663" i="33"/>
  <c r="R664" i="33"/>
  <c r="R665" i="33"/>
  <c r="R666" i="33"/>
  <c r="R667" i="33"/>
  <c r="R668" i="33"/>
  <c r="R669" i="33"/>
  <c r="R670" i="33"/>
  <c r="R671" i="33"/>
  <c r="R672" i="33"/>
  <c r="R673" i="33"/>
  <c r="R674" i="33"/>
  <c r="R675" i="33"/>
  <c r="R676" i="33"/>
  <c r="R677" i="33"/>
  <c r="R678" i="33"/>
  <c r="R679" i="33"/>
  <c r="R680" i="33"/>
  <c r="R681" i="33"/>
  <c r="R682" i="33"/>
  <c r="R683" i="33"/>
  <c r="R684" i="33"/>
  <c r="R685" i="33"/>
  <c r="R686" i="33"/>
  <c r="R687" i="33"/>
  <c r="R688" i="33"/>
  <c r="R689" i="33"/>
  <c r="R690" i="33"/>
  <c r="R691" i="33"/>
  <c r="R692" i="33"/>
  <c r="R693" i="33"/>
  <c r="R694" i="33"/>
  <c r="R695" i="33"/>
  <c r="R696" i="33"/>
  <c r="R697" i="33"/>
  <c r="R698" i="33"/>
  <c r="R699" i="33"/>
  <c r="R700" i="33"/>
  <c r="R701" i="33"/>
  <c r="R702" i="33"/>
  <c r="R703" i="33"/>
  <c r="R704" i="33"/>
  <c r="R705" i="33"/>
  <c r="R706" i="33"/>
  <c r="R707" i="33"/>
  <c r="R708" i="33"/>
  <c r="R709" i="33"/>
  <c r="R710" i="33"/>
  <c r="R711" i="33"/>
  <c r="R712" i="33"/>
  <c r="R713" i="33"/>
  <c r="R714" i="33"/>
  <c r="R715" i="33"/>
  <c r="R716" i="33"/>
  <c r="R717" i="33"/>
  <c r="R718" i="33"/>
  <c r="R719" i="33"/>
  <c r="R720" i="33"/>
  <c r="R721" i="33"/>
  <c r="R722" i="33"/>
  <c r="R723" i="33"/>
  <c r="R724" i="33"/>
  <c r="R725" i="33"/>
  <c r="R726" i="33"/>
  <c r="R727" i="33"/>
  <c r="R728" i="33"/>
  <c r="R729" i="33"/>
  <c r="R730" i="33"/>
  <c r="R731" i="33"/>
  <c r="R732" i="33"/>
  <c r="R733" i="33"/>
  <c r="R734" i="33"/>
  <c r="R735" i="33"/>
  <c r="R736" i="33"/>
  <c r="R737" i="33"/>
  <c r="R738" i="33"/>
  <c r="R739" i="33"/>
  <c r="R740" i="33"/>
  <c r="R741" i="33"/>
  <c r="R742" i="33"/>
  <c r="R743" i="33"/>
  <c r="R744" i="33"/>
  <c r="R745" i="33"/>
  <c r="R746" i="33"/>
  <c r="R747" i="33"/>
  <c r="R748" i="33"/>
  <c r="R749" i="33"/>
  <c r="R750" i="33"/>
  <c r="R751" i="33"/>
  <c r="R752" i="33"/>
  <c r="R753" i="33"/>
  <c r="R754" i="33"/>
  <c r="R755" i="33"/>
  <c r="R756" i="33"/>
  <c r="R757" i="33"/>
  <c r="R758" i="33"/>
  <c r="R759" i="33"/>
  <c r="R760" i="33"/>
  <c r="R761" i="33"/>
  <c r="R762" i="33"/>
  <c r="R763" i="33"/>
  <c r="R764" i="33"/>
  <c r="R765" i="33"/>
  <c r="R766" i="33"/>
  <c r="R767" i="33"/>
  <c r="R768" i="33"/>
  <c r="R769" i="33"/>
  <c r="R770" i="33"/>
  <c r="R771" i="33"/>
  <c r="R772" i="33"/>
  <c r="R773" i="33"/>
  <c r="R774" i="33"/>
  <c r="R775" i="33"/>
  <c r="R776" i="33"/>
  <c r="R777" i="33"/>
  <c r="R778" i="33"/>
  <c r="R779" i="33"/>
  <c r="R780" i="33"/>
  <c r="R781" i="33"/>
  <c r="R782" i="33"/>
  <c r="R783" i="33"/>
  <c r="R784" i="33"/>
  <c r="R785" i="33"/>
  <c r="R786" i="33"/>
  <c r="R787" i="33"/>
  <c r="R788" i="33"/>
  <c r="R789" i="33"/>
  <c r="R790" i="33"/>
  <c r="R791" i="33"/>
  <c r="R792" i="33"/>
  <c r="R793" i="33"/>
  <c r="R794" i="33"/>
  <c r="R795" i="33"/>
  <c r="R796" i="33"/>
  <c r="R797" i="33"/>
  <c r="R798" i="33"/>
  <c r="R799" i="33"/>
  <c r="R800" i="33"/>
  <c r="R801" i="33"/>
  <c r="R802" i="33"/>
  <c r="R803" i="33"/>
  <c r="R804" i="33"/>
  <c r="R805" i="33"/>
  <c r="R806" i="33"/>
  <c r="R807" i="33"/>
  <c r="R808" i="33"/>
  <c r="R809" i="33"/>
  <c r="R810" i="33"/>
  <c r="R811" i="33"/>
  <c r="R812" i="33"/>
  <c r="R813" i="33"/>
  <c r="R814" i="33"/>
  <c r="R815" i="33"/>
  <c r="R816" i="33"/>
  <c r="R817" i="33"/>
  <c r="R818" i="33"/>
  <c r="R819" i="33"/>
  <c r="R820" i="33"/>
  <c r="R821" i="33"/>
  <c r="R822" i="33"/>
  <c r="R823" i="33"/>
  <c r="R824" i="33"/>
  <c r="R825" i="33"/>
  <c r="R826" i="33"/>
  <c r="R827" i="33"/>
  <c r="R828" i="33"/>
  <c r="R829" i="33"/>
  <c r="R830" i="33"/>
  <c r="R831" i="33"/>
  <c r="R832" i="33"/>
  <c r="R833" i="33"/>
  <c r="R834" i="33"/>
  <c r="R835" i="33"/>
  <c r="R836" i="33"/>
  <c r="R837" i="33"/>
  <c r="R838" i="33"/>
  <c r="R839" i="33"/>
  <c r="R840" i="33"/>
  <c r="R841" i="33"/>
  <c r="R842" i="33"/>
  <c r="R843" i="33"/>
  <c r="R844" i="33"/>
  <c r="R845" i="33"/>
  <c r="R846" i="33"/>
  <c r="R847" i="33"/>
  <c r="R848" i="33"/>
  <c r="R849" i="33"/>
  <c r="R850" i="33"/>
  <c r="R851" i="33"/>
  <c r="R852" i="33"/>
  <c r="R853" i="33"/>
  <c r="R854" i="33"/>
  <c r="R855" i="33"/>
  <c r="R856" i="33"/>
  <c r="R857" i="33"/>
  <c r="R858" i="33"/>
  <c r="R859" i="33"/>
  <c r="R860" i="33"/>
  <c r="R861" i="33"/>
  <c r="R862" i="33"/>
  <c r="R863" i="33"/>
  <c r="R864" i="33"/>
  <c r="R865" i="33"/>
  <c r="R866" i="33"/>
  <c r="R867" i="33"/>
  <c r="R868" i="33"/>
  <c r="R869" i="33"/>
  <c r="R870" i="33"/>
  <c r="R871" i="33"/>
  <c r="R872" i="33"/>
  <c r="R873" i="33"/>
  <c r="R874" i="33"/>
  <c r="R875" i="33"/>
  <c r="R876" i="33"/>
  <c r="R877" i="33"/>
  <c r="R878" i="33"/>
  <c r="R879" i="33"/>
  <c r="R880" i="33"/>
  <c r="R881" i="33"/>
  <c r="R882" i="33"/>
  <c r="R883" i="33"/>
  <c r="R884" i="33"/>
  <c r="R885" i="33"/>
  <c r="R886" i="33"/>
  <c r="R887" i="33"/>
  <c r="R888" i="33"/>
  <c r="R889" i="33"/>
  <c r="R890" i="33"/>
  <c r="R891" i="33"/>
  <c r="R892" i="33"/>
  <c r="R893" i="33"/>
  <c r="R894" i="33"/>
  <c r="R895" i="33"/>
  <c r="R896" i="33"/>
  <c r="R897" i="33"/>
  <c r="R898" i="33"/>
  <c r="R899" i="33"/>
  <c r="R900" i="33"/>
  <c r="R901" i="33"/>
  <c r="R902" i="33"/>
  <c r="R903" i="33"/>
  <c r="R904" i="33"/>
  <c r="R905" i="33"/>
  <c r="R906" i="33"/>
  <c r="R907" i="33"/>
  <c r="R908" i="33"/>
  <c r="R909" i="33"/>
  <c r="R910" i="33"/>
  <c r="R911" i="33"/>
  <c r="R912" i="33"/>
  <c r="R913" i="33"/>
  <c r="R914" i="33"/>
  <c r="R915" i="33"/>
  <c r="R916" i="33"/>
  <c r="R917" i="33"/>
  <c r="R918" i="33"/>
  <c r="R919" i="33"/>
  <c r="R920" i="33"/>
  <c r="R921" i="33"/>
  <c r="R922" i="33"/>
  <c r="R923" i="33"/>
  <c r="R924" i="33"/>
  <c r="R925" i="33"/>
  <c r="R926" i="33"/>
  <c r="R927" i="33"/>
  <c r="R928" i="33"/>
  <c r="R929" i="33"/>
  <c r="R930" i="33"/>
  <c r="R931" i="33"/>
  <c r="R932" i="33"/>
  <c r="R933" i="33"/>
  <c r="R934" i="33"/>
  <c r="R935" i="33"/>
  <c r="R936" i="33"/>
  <c r="R937" i="33"/>
  <c r="R938" i="33"/>
  <c r="R939" i="33"/>
  <c r="R940" i="33"/>
  <c r="R941" i="33"/>
  <c r="R942" i="33"/>
  <c r="R943" i="33"/>
  <c r="R944" i="33"/>
  <c r="R945" i="33"/>
  <c r="R946" i="33"/>
  <c r="R947" i="33"/>
  <c r="R948" i="33"/>
  <c r="R949" i="33"/>
  <c r="R950" i="33"/>
  <c r="R951" i="33"/>
  <c r="R952" i="33"/>
  <c r="R953" i="33"/>
  <c r="R954" i="33"/>
  <c r="R955" i="33"/>
  <c r="R956" i="33"/>
  <c r="R957" i="33"/>
  <c r="R958" i="33"/>
  <c r="R959" i="33"/>
  <c r="R960" i="33"/>
  <c r="R961" i="33"/>
  <c r="R962" i="33"/>
  <c r="R963" i="33"/>
  <c r="R964" i="33"/>
  <c r="R965" i="33"/>
  <c r="R966" i="33"/>
  <c r="R967" i="33"/>
  <c r="R968" i="33"/>
  <c r="R969" i="33"/>
  <c r="R970" i="33"/>
  <c r="R971" i="33"/>
  <c r="R972" i="33"/>
  <c r="R973" i="33"/>
  <c r="R974" i="33"/>
  <c r="R975" i="33"/>
  <c r="R976" i="33"/>
  <c r="R977" i="33"/>
  <c r="R978" i="33"/>
  <c r="R979" i="33"/>
  <c r="R980" i="33"/>
  <c r="R981" i="33"/>
  <c r="R982" i="33"/>
  <c r="R983" i="33"/>
  <c r="R984" i="33"/>
  <c r="R985" i="33"/>
  <c r="R986" i="33"/>
  <c r="R987" i="33"/>
  <c r="R988" i="33"/>
  <c r="R989" i="33"/>
  <c r="R990" i="33"/>
  <c r="R991" i="33"/>
  <c r="R992" i="33"/>
  <c r="R993" i="33"/>
  <c r="R994" i="33"/>
  <c r="R995" i="33"/>
  <c r="R996" i="33"/>
  <c r="R997" i="33"/>
  <c r="R998" i="33"/>
  <c r="R999" i="33"/>
  <c r="R1000" i="33"/>
  <c r="R1001" i="33"/>
  <c r="R1002" i="33"/>
  <c r="R1003" i="33"/>
  <c r="R1004" i="33"/>
  <c r="R1005" i="33"/>
  <c r="R1006" i="33"/>
  <c r="R1007" i="33"/>
  <c r="R1008" i="33"/>
  <c r="R1009" i="33"/>
  <c r="R1010" i="33"/>
  <c r="R1011" i="33"/>
  <c r="R1012" i="33"/>
  <c r="R1013" i="33"/>
  <c r="R1014" i="33"/>
  <c r="R1015" i="33"/>
  <c r="R1016" i="33"/>
  <c r="R1017" i="33"/>
  <c r="R1018" i="33"/>
  <c r="R1019" i="33"/>
  <c r="R1020" i="33"/>
  <c r="R1021" i="33"/>
  <c r="R1022" i="33"/>
  <c r="R1023" i="33"/>
  <c r="R1024" i="33"/>
  <c r="R1025" i="33"/>
  <c r="R1026" i="33"/>
  <c r="R1027" i="33"/>
  <c r="R1028" i="33"/>
  <c r="R1029" i="33"/>
  <c r="R1030" i="33"/>
  <c r="R1031" i="33"/>
  <c r="R1032" i="33"/>
  <c r="R1033" i="33"/>
  <c r="R1034" i="33"/>
  <c r="R1035" i="33"/>
  <c r="R1036" i="33"/>
  <c r="R1037" i="33"/>
  <c r="R1038" i="33"/>
  <c r="R1039" i="33"/>
  <c r="R1040" i="33"/>
  <c r="R1041" i="33"/>
  <c r="R1042" i="33"/>
  <c r="R1043" i="33"/>
  <c r="R1044" i="33"/>
  <c r="R1045" i="33"/>
  <c r="R1046" i="33"/>
  <c r="R1047" i="33"/>
  <c r="R1048" i="33"/>
  <c r="R1049" i="33"/>
  <c r="R1050" i="33"/>
  <c r="R1051" i="33"/>
  <c r="R1052" i="33"/>
  <c r="R1053" i="33"/>
  <c r="R1054" i="33"/>
  <c r="R1055" i="33"/>
  <c r="R1056" i="33"/>
  <c r="R1057" i="33"/>
  <c r="R1058" i="33"/>
  <c r="R1059" i="33"/>
  <c r="R1060" i="33"/>
  <c r="R1061" i="33"/>
  <c r="R1062" i="33"/>
  <c r="R1063" i="33"/>
  <c r="R1064" i="33"/>
  <c r="R1065" i="33"/>
  <c r="R1066" i="33"/>
  <c r="R1067" i="33"/>
  <c r="R1068" i="33"/>
  <c r="R1069" i="33"/>
  <c r="R1070" i="33"/>
  <c r="R1071" i="33"/>
  <c r="R1072" i="33"/>
  <c r="R1073" i="33"/>
  <c r="R1074" i="33"/>
  <c r="R1075" i="33"/>
  <c r="R1076" i="33"/>
  <c r="R1077" i="33"/>
  <c r="R1078" i="33"/>
  <c r="R1079" i="33"/>
  <c r="R1080" i="33"/>
  <c r="R1081" i="33"/>
  <c r="R1082" i="33"/>
  <c r="R1083" i="33"/>
  <c r="R1084" i="33"/>
  <c r="R1085" i="33"/>
  <c r="R1086" i="33"/>
  <c r="R1087" i="33"/>
  <c r="R1088" i="33"/>
  <c r="R1089" i="33"/>
  <c r="R1090" i="33"/>
  <c r="R1091" i="33"/>
  <c r="R1092" i="33"/>
  <c r="R1093" i="33"/>
  <c r="R1094" i="33"/>
  <c r="R1095" i="33"/>
  <c r="R1096" i="33"/>
  <c r="R1097" i="33"/>
  <c r="R1098" i="33"/>
  <c r="R1099" i="33"/>
  <c r="R1100" i="33"/>
  <c r="R1101" i="33"/>
  <c r="R1102" i="33"/>
  <c r="R1103" i="33"/>
  <c r="R1104" i="33"/>
  <c r="R1105" i="33"/>
  <c r="R1106" i="33"/>
  <c r="R1107" i="33"/>
  <c r="R1108" i="33"/>
  <c r="R1109" i="33"/>
  <c r="R1110" i="33"/>
  <c r="R1111" i="33"/>
  <c r="R1112" i="33"/>
  <c r="R1113" i="33"/>
  <c r="R1114" i="33"/>
  <c r="R1115" i="33"/>
  <c r="R1116" i="33"/>
  <c r="R1117" i="33"/>
  <c r="R1118" i="33"/>
  <c r="R1119" i="33"/>
  <c r="R1120" i="33"/>
  <c r="R1121" i="33"/>
  <c r="R1122" i="33"/>
  <c r="R1123" i="33"/>
  <c r="R1124" i="33"/>
  <c r="R1125" i="33"/>
  <c r="R1126" i="33"/>
  <c r="R1127" i="33"/>
  <c r="R1128" i="33"/>
  <c r="R1129" i="33"/>
  <c r="R1130" i="33"/>
  <c r="R1131" i="33"/>
  <c r="R1132" i="33"/>
  <c r="R1133" i="33"/>
  <c r="R1134" i="33"/>
  <c r="R1135" i="33"/>
  <c r="R1136" i="33"/>
  <c r="R1137" i="33"/>
  <c r="R1138" i="33"/>
  <c r="R1139" i="33"/>
  <c r="R1140" i="33"/>
  <c r="R1141" i="33"/>
  <c r="R1142" i="33"/>
  <c r="R1143" i="33"/>
  <c r="R1144" i="33"/>
  <c r="R1145" i="33"/>
  <c r="R1146" i="33"/>
  <c r="R1147" i="33"/>
  <c r="R1148" i="33"/>
  <c r="R1149" i="33"/>
  <c r="R1150" i="33"/>
  <c r="R1151" i="33"/>
  <c r="R1152" i="33"/>
  <c r="R1153" i="33"/>
  <c r="R1154" i="33"/>
  <c r="R1155" i="33"/>
  <c r="R1156" i="33"/>
  <c r="R1157" i="33"/>
  <c r="R1158" i="33"/>
  <c r="R1159" i="33"/>
  <c r="R1160" i="33"/>
  <c r="R1161" i="33"/>
  <c r="R1162" i="33"/>
  <c r="R1163" i="33"/>
  <c r="R1164" i="33"/>
  <c r="R1165" i="33"/>
  <c r="R1166" i="33"/>
  <c r="R1167" i="33"/>
  <c r="R1168" i="33"/>
  <c r="R1169" i="33"/>
  <c r="R1170" i="33"/>
  <c r="R1171" i="33"/>
  <c r="R1172" i="33"/>
  <c r="R1173" i="33"/>
  <c r="R1174" i="33"/>
  <c r="R1175" i="33"/>
  <c r="R1176" i="33"/>
  <c r="R1177" i="33"/>
  <c r="R1178" i="33"/>
  <c r="R1179" i="33"/>
  <c r="R1180" i="33"/>
  <c r="R1181" i="33"/>
  <c r="R1182" i="33"/>
  <c r="R1183" i="33"/>
  <c r="R1184" i="33"/>
  <c r="R1185" i="33"/>
  <c r="R1186" i="33"/>
  <c r="R1187" i="33"/>
  <c r="R1188" i="33"/>
  <c r="R1189" i="33"/>
  <c r="R1190" i="33"/>
  <c r="R1191" i="33"/>
  <c r="R1192" i="33"/>
  <c r="R1193" i="33"/>
  <c r="R1194" i="33"/>
  <c r="R1195" i="33"/>
  <c r="R1196" i="33"/>
  <c r="R1197" i="33"/>
  <c r="R1198" i="33"/>
  <c r="R1199" i="33"/>
  <c r="R1200" i="33"/>
  <c r="R1201" i="33"/>
  <c r="R1202" i="33"/>
  <c r="R1203" i="33"/>
  <c r="R1204" i="33"/>
  <c r="R1205" i="33"/>
  <c r="R1206" i="33"/>
  <c r="R1207" i="33"/>
  <c r="R1208" i="33"/>
  <c r="R1209" i="33"/>
  <c r="R1210" i="33"/>
  <c r="R1211" i="33"/>
  <c r="R1212" i="33"/>
  <c r="R1213" i="33"/>
  <c r="R1214" i="33"/>
  <c r="R1215" i="33"/>
  <c r="R1216" i="33"/>
  <c r="R1217" i="33"/>
  <c r="R1218" i="33"/>
  <c r="R1219" i="33"/>
  <c r="R1220" i="33"/>
  <c r="R1221" i="33"/>
  <c r="R1222" i="33"/>
  <c r="R1223" i="33"/>
  <c r="R1224" i="33"/>
  <c r="R1225" i="33"/>
  <c r="R1226" i="33"/>
  <c r="R1227" i="33"/>
  <c r="R1228" i="33"/>
  <c r="R1229" i="33"/>
  <c r="R1230" i="33"/>
  <c r="R1231" i="33"/>
  <c r="R1232" i="33"/>
  <c r="R1233" i="33"/>
  <c r="R1234" i="33"/>
  <c r="R1235" i="33"/>
  <c r="R1236" i="33"/>
  <c r="R1237" i="33"/>
  <c r="R1238" i="33"/>
  <c r="R1239" i="33"/>
  <c r="R1240" i="33"/>
  <c r="R1241" i="33"/>
  <c r="R1242" i="33"/>
  <c r="R1243" i="33"/>
  <c r="R1244" i="33"/>
  <c r="R1245" i="33"/>
  <c r="R1246" i="33"/>
  <c r="R1247" i="33"/>
  <c r="R1248" i="33"/>
  <c r="R1249" i="33"/>
  <c r="R1250" i="33"/>
  <c r="R1251" i="33"/>
  <c r="R1252" i="33"/>
  <c r="R1253" i="33"/>
  <c r="R1254" i="33"/>
  <c r="R1255" i="33"/>
  <c r="R1256" i="33"/>
  <c r="R1257" i="33"/>
  <c r="R1258" i="33"/>
  <c r="R1259" i="33"/>
  <c r="R1260" i="33"/>
  <c r="R1261" i="33"/>
  <c r="R1262" i="33"/>
  <c r="R1263" i="33"/>
  <c r="R1264" i="33"/>
  <c r="R1265" i="33"/>
  <c r="R1266" i="33"/>
  <c r="R1267" i="33"/>
  <c r="R1268" i="33"/>
  <c r="R1269" i="33"/>
  <c r="R1270" i="33"/>
  <c r="R1271" i="33"/>
  <c r="R1272" i="33"/>
  <c r="R1273" i="33"/>
  <c r="R1274" i="33"/>
  <c r="R1275" i="33"/>
  <c r="R1276" i="33"/>
  <c r="R1277" i="33"/>
  <c r="R1278" i="33"/>
  <c r="R1279" i="33"/>
  <c r="R1280" i="33"/>
  <c r="R1281" i="33"/>
  <c r="R1282" i="33"/>
  <c r="R1283" i="33"/>
  <c r="R1284" i="33"/>
  <c r="R1285" i="33"/>
  <c r="R1286" i="33"/>
  <c r="R1287" i="33"/>
  <c r="R1288" i="33"/>
  <c r="R1289" i="33"/>
  <c r="R1290" i="33"/>
  <c r="R1291" i="33"/>
  <c r="R1292" i="33"/>
  <c r="R1293" i="33"/>
  <c r="R1294" i="33"/>
  <c r="R1295" i="33"/>
  <c r="R1296" i="33"/>
  <c r="R1297" i="33"/>
  <c r="R1298" i="33"/>
  <c r="R1299" i="33"/>
  <c r="R1300" i="33"/>
  <c r="R1301" i="33"/>
  <c r="R1302" i="33"/>
  <c r="R1303" i="33"/>
  <c r="R1304" i="33"/>
  <c r="R1305" i="33"/>
  <c r="R1306" i="33"/>
  <c r="R1307" i="33"/>
  <c r="R1308" i="33"/>
  <c r="R1309" i="33"/>
  <c r="R1310" i="33"/>
  <c r="R1311" i="33"/>
  <c r="R1312" i="33"/>
  <c r="R1313" i="33"/>
  <c r="R1314" i="33"/>
  <c r="R1315" i="33"/>
  <c r="R1316" i="33"/>
  <c r="R1317" i="33"/>
  <c r="R1318" i="33"/>
  <c r="R1319" i="33"/>
  <c r="R1320" i="33"/>
  <c r="R1321" i="33"/>
  <c r="R1322" i="33"/>
  <c r="R1323" i="33"/>
  <c r="R1324" i="33"/>
  <c r="R1325" i="33"/>
  <c r="R1326" i="33"/>
  <c r="R1327" i="33"/>
  <c r="R1328" i="33"/>
  <c r="R1329" i="33"/>
  <c r="R1330" i="33"/>
  <c r="R1331" i="33"/>
  <c r="R1332" i="33"/>
  <c r="R1333" i="33"/>
  <c r="R1334" i="33"/>
  <c r="R1335" i="33"/>
  <c r="R1336" i="33"/>
  <c r="R1337" i="33"/>
  <c r="R1338" i="33"/>
  <c r="R1339" i="33"/>
  <c r="R1340" i="33"/>
  <c r="R1341" i="33"/>
  <c r="R1342" i="33"/>
  <c r="R1343" i="33"/>
  <c r="R1344" i="33"/>
  <c r="R1345" i="33"/>
  <c r="R1346" i="33"/>
  <c r="R1347" i="33"/>
  <c r="R1348" i="33"/>
  <c r="R1349" i="33"/>
  <c r="R1350" i="33"/>
  <c r="R1351" i="33"/>
  <c r="R1352" i="33"/>
  <c r="R1353" i="33"/>
  <c r="R1354" i="33"/>
  <c r="R1355" i="33"/>
  <c r="R1356" i="33"/>
  <c r="R1357" i="33"/>
  <c r="R1358" i="33"/>
  <c r="R1359" i="33"/>
  <c r="R1360" i="33"/>
  <c r="R1361" i="33"/>
  <c r="R1362" i="33"/>
  <c r="R1363" i="33"/>
  <c r="R1364" i="33"/>
  <c r="R1365" i="33"/>
  <c r="R1366" i="33"/>
  <c r="R1367" i="33"/>
  <c r="R1368" i="33"/>
  <c r="R1369" i="33"/>
  <c r="R1370" i="33"/>
  <c r="R1371" i="33"/>
  <c r="R1372" i="33"/>
  <c r="R1373" i="33"/>
  <c r="R1374" i="33"/>
  <c r="R1375" i="33"/>
  <c r="R1376" i="33"/>
  <c r="R1377" i="33"/>
  <c r="R1378" i="33"/>
  <c r="R1379" i="33"/>
  <c r="R1380" i="33"/>
  <c r="R1381" i="33"/>
  <c r="R1382" i="33"/>
  <c r="R1383" i="33"/>
  <c r="R1384" i="33"/>
  <c r="R1385" i="33"/>
  <c r="R1386" i="33"/>
  <c r="R1387" i="33"/>
  <c r="R1388" i="33"/>
  <c r="R1389" i="33"/>
  <c r="R1390" i="33"/>
  <c r="R1391" i="33"/>
  <c r="R1392" i="33"/>
  <c r="R1393" i="33"/>
  <c r="R1394" i="33"/>
  <c r="R1395" i="33"/>
  <c r="R1396" i="33"/>
  <c r="R1397" i="33"/>
  <c r="R1398" i="33"/>
  <c r="R1399" i="33"/>
  <c r="R1400" i="33"/>
  <c r="R1401" i="33"/>
  <c r="R1402" i="33"/>
  <c r="R1403" i="33"/>
  <c r="R1404" i="33"/>
  <c r="R1405" i="33"/>
  <c r="R1406" i="33"/>
  <c r="R1407" i="33"/>
  <c r="R1408" i="33"/>
  <c r="R1409" i="33"/>
  <c r="R1410" i="33"/>
  <c r="R1411" i="33"/>
  <c r="R1412" i="33"/>
  <c r="R1413" i="33"/>
  <c r="R1414" i="33"/>
  <c r="R1415" i="33"/>
  <c r="R1416" i="33"/>
  <c r="R1417" i="33"/>
  <c r="R1418" i="33"/>
  <c r="R1419" i="33"/>
  <c r="R1420" i="33"/>
  <c r="R1421" i="33"/>
  <c r="R1422" i="33"/>
  <c r="R1423" i="33"/>
  <c r="R1424" i="33"/>
  <c r="R1425" i="33"/>
  <c r="R1426" i="33"/>
  <c r="R1427" i="33"/>
  <c r="R1428" i="33"/>
  <c r="R1429" i="33"/>
  <c r="R1430" i="33"/>
  <c r="R1431" i="33"/>
  <c r="R1432" i="33"/>
  <c r="R1433" i="33"/>
  <c r="R1434" i="33"/>
  <c r="R1435" i="33"/>
  <c r="R1436" i="33"/>
  <c r="R1437" i="33"/>
  <c r="R1438" i="33"/>
  <c r="R1439" i="33"/>
  <c r="R1440" i="33"/>
  <c r="R1441" i="33"/>
  <c r="R1442" i="33"/>
  <c r="R1443" i="33"/>
  <c r="R1444" i="33"/>
  <c r="R1445" i="33"/>
  <c r="R1446" i="33"/>
  <c r="R1447" i="33"/>
  <c r="R1448" i="33"/>
  <c r="R1449" i="33"/>
  <c r="R1450" i="33"/>
  <c r="R1451" i="33"/>
  <c r="R1452" i="33"/>
  <c r="R1453" i="33"/>
  <c r="R1454" i="33"/>
  <c r="R1455" i="33"/>
  <c r="R1456" i="33"/>
  <c r="R1457" i="33"/>
  <c r="R1458" i="33"/>
  <c r="R1459" i="33"/>
  <c r="R1460" i="33"/>
  <c r="R1461" i="33"/>
  <c r="R1462" i="33"/>
  <c r="R1463" i="33"/>
  <c r="R1464" i="33"/>
  <c r="R1465" i="33"/>
  <c r="R1466" i="33"/>
  <c r="R1467" i="33"/>
  <c r="R1468" i="33"/>
  <c r="R1469" i="33"/>
  <c r="R1470" i="33"/>
  <c r="R1471" i="33"/>
  <c r="R1472" i="33"/>
  <c r="R1473" i="33"/>
  <c r="R1474" i="33"/>
  <c r="R1475" i="33"/>
  <c r="R1476" i="33"/>
  <c r="R1477" i="33"/>
  <c r="R1478" i="33"/>
  <c r="R1479" i="33"/>
  <c r="R1480" i="33"/>
  <c r="R1481" i="33"/>
  <c r="R1482" i="33"/>
  <c r="R1483" i="33"/>
  <c r="R1484" i="33"/>
  <c r="R1485" i="33"/>
  <c r="R1486" i="33"/>
  <c r="R1487" i="33"/>
  <c r="R1488" i="33"/>
  <c r="R1489" i="33"/>
  <c r="R1490" i="33"/>
  <c r="R1491" i="33"/>
  <c r="R1492" i="33"/>
  <c r="R1493" i="33"/>
  <c r="R1494" i="33"/>
  <c r="R1495" i="33"/>
  <c r="R1496" i="33"/>
  <c r="R1497" i="33"/>
  <c r="R1498" i="33"/>
  <c r="R1499" i="33"/>
  <c r="R1500" i="33"/>
  <c r="R1501" i="33"/>
  <c r="R1502" i="33"/>
  <c r="R1503" i="33"/>
  <c r="R1504" i="33"/>
  <c r="R1505" i="33"/>
  <c r="R1506" i="33"/>
  <c r="R1507" i="33"/>
  <c r="R1508" i="33"/>
  <c r="R1509" i="33"/>
  <c r="R1510" i="33"/>
  <c r="R1511" i="33"/>
  <c r="R1512" i="33"/>
  <c r="R1513" i="33"/>
  <c r="R1514" i="33"/>
  <c r="R1515" i="33"/>
  <c r="R1516" i="33"/>
  <c r="R1517" i="33"/>
  <c r="R1518" i="33"/>
  <c r="R1519" i="33"/>
  <c r="R1520" i="33"/>
  <c r="R1521" i="33"/>
  <c r="R1522" i="33"/>
  <c r="R1523" i="33"/>
  <c r="R1524" i="33"/>
  <c r="R1525" i="33"/>
  <c r="R1526" i="33"/>
  <c r="R1527" i="33"/>
  <c r="R1528" i="33"/>
  <c r="R1529" i="33"/>
  <c r="R1530" i="33"/>
  <c r="R1531" i="33"/>
  <c r="R1532" i="33"/>
  <c r="R1533" i="33"/>
  <c r="R1534" i="33"/>
  <c r="R1535" i="33"/>
  <c r="R1536" i="33"/>
  <c r="R1537" i="33"/>
  <c r="R1538" i="33"/>
  <c r="R1539" i="33"/>
  <c r="R1540" i="33"/>
  <c r="R1541" i="33"/>
  <c r="R1542" i="33"/>
  <c r="R1543" i="33"/>
  <c r="R1544" i="33"/>
  <c r="R1545" i="33"/>
  <c r="R1546" i="33"/>
  <c r="R1547" i="33"/>
  <c r="R1548" i="33"/>
  <c r="R1549" i="33"/>
  <c r="R1550" i="33"/>
  <c r="R1551" i="33"/>
  <c r="R1552" i="33"/>
  <c r="R1553" i="33"/>
  <c r="R1554" i="33"/>
  <c r="R1555" i="33"/>
  <c r="R1556" i="33"/>
  <c r="R1557" i="33"/>
  <c r="R1558" i="33"/>
  <c r="R1559" i="33"/>
  <c r="R1560" i="33"/>
  <c r="R1561" i="33"/>
  <c r="R1562" i="33"/>
  <c r="R1563" i="33"/>
  <c r="R1564" i="33"/>
  <c r="R1565" i="33"/>
  <c r="R1566" i="33"/>
  <c r="R1567" i="33"/>
  <c r="R1568" i="33"/>
  <c r="R1569" i="33"/>
  <c r="R1570" i="33"/>
  <c r="R1571" i="33"/>
  <c r="R1572" i="33"/>
  <c r="R1573" i="33"/>
  <c r="R1574" i="33"/>
  <c r="R1575" i="33"/>
  <c r="R1576" i="33"/>
  <c r="R1577" i="33"/>
  <c r="R1578" i="33"/>
  <c r="R1579" i="33"/>
  <c r="R1580" i="33"/>
  <c r="R1581" i="33"/>
  <c r="R1582" i="33"/>
  <c r="R1583" i="33"/>
  <c r="R1584" i="33"/>
  <c r="R1585" i="33"/>
  <c r="R1586" i="33"/>
  <c r="R1587" i="33"/>
  <c r="R1588" i="33"/>
  <c r="R1589" i="33"/>
  <c r="R1590" i="33"/>
  <c r="R1591" i="33"/>
  <c r="R1592" i="33"/>
  <c r="R1593" i="33"/>
  <c r="R1594" i="33"/>
  <c r="R1595" i="33"/>
  <c r="R1596" i="33"/>
  <c r="R1597" i="33"/>
  <c r="R1598" i="33"/>
  <c r="R1599" i="33"/>
  <c r="R1600" i="33"/>
  <c r="R1601" i="33"/>
  <c r="R1602" i="33"/>
  <c r="R1603" i="33"/>
  <c r="R1604" i="33"/>
  <c r="R1605" i="33"/>
  <c r="R1606" i="33"/>
  <c r="R1607" i="33"/>
  <c r="R1608" i="33"/>
  <c r="R1609" i="33"/>
  <c r="R1610" i="33"/>
  <c r="R1611" i="33"/>
  <c r="R1612" i="33"/>
  <c r="R1613" i="33"/>
  <c r="R1614" i="33"/>
  <c r="R1615" i="33"/>
  <c r="R1616" i="33"/>
  <c r="R1617" i="33"/>
  <c r="R1618" i="33"/>
  <c r="R1619" i="33"/>
  <c r="R1620" i="33"/>
  <c r="R1621" i="33"/>
  <c r="R1622" i="33"/>
  <c r="R1623" i="33"/>
  <c r="R1624" i="33"/>
  <c r="R1625" i="33"/>
  <c r="R1626" i="33"/>
  <c r="R1627" i="33"/>
  <c r="R1628" i="33"/>
  <c r="R1629" i="33"/>
  <c r="R1630" i="33"/>
  <c r="R1631" i="33"/>
  <c r="R1632" i="33"/>
  <c r="R1633" i="33"/>
  <c r="R1634" i="33"/>
  <c r="R1635" i="33"/>
  <c r="R1636" i="33"/>
  <c r="R1637" i="33"/>
  <c r="R1638" i="33"/>
  <c r="R1639" i="33"/>
  <c r="R1640" i="33"/>
  <c r="R1641" i="33"/>
  <c r="R1642" i="33"/>
  <c r="R1643" i="33"/>
  <c r="R1644" i="33"/>
  <c r="R1645" i="33"/>
  <c r="R1646" i="33"/>
  <c r="R1647" i="33"/>
  <c r="R1648" i="33"/>
  <c r="R1649" i="33"/>
  <c r="R1650" i="33"/>
  <c r="R1651" i="33"/>
  <c r="R1652" i="33"/>
  <c r="R1653" i="33"/>
  <c r="R1654" i="33"/>
  <c r="R1655" i="33"/>
  <c r="R1656" i="33"/>
  <c r="R1657" i="33"/>
  <c r="R1658" i="33"/>
  <c r="R1659" i="33"/>
  <c r="R1660" i="33"/>
  <c r="R1661" i="33"/>
  <c r="R1662" i="33"/>
  <c r="R1663" i="33"/>
  <c r="R1664" i="33"/>
  <c r="R1665" i="33"/>
  <c r="R1666" i="33"/>
  <c r="R1667" i="33"/>
  <c r="R1668" i="33"/>
  <c r="R1669" i="33"/>
  <c r="R1670" i="33"/>
  <c r="R1671" i="33"/>
  <c r="R1672" i="33"/>
  <c r="R1673" i="33"/>
  <c r="R1674" i="33"/>
  <c r="R1675" i="33"/>
  <c r="R1676" i="33"/>
  <c r="R1677" i="33"/>
  <c r="R1678" i="33"/>
  <c r="R1679" i="33"/>
  <c r="R1680" i="33"/>
  <c r="R1681" i="33"/>
  <c r="R1682" i="33"/>
  <c r="R1683" i="33"/>
  <c r="R1684" i="33"/>
  <c r="R1685" i="33"/>
  <c r="R1686" i="33"/>
  <c r="R1687" i="33"/>
  <c r="R1688" i="33"/>
  <c r="R1689" i="33"/>
  <c r="R1690" i="33"/>
  <c r="R1691" i="33"/>
  <c r="R1692" i="33"/>
  <c r="R1693" i="33"/>
  <c r="R1694" i="33"/>
  <c r="R1695" i="33"/>
  <c r="R1696" i="33"/>
  <c r="R1697" i="33"/>
  <c r="R1698" i="33"/>
  <c r="R1699" i="33"/>
  <c r="R1700" i="33"/>
  <c r="R1701" i="33"/>
  <c r="R1702" i="33"/>
  <c r="R1703" i="33"/>
  <c r="R1704" i="33"/>
  <c r="R1705" i="33"/>
  <c r="R1706" i="33"/>
  <c r="R1707" i="33"/>
  <c r="R1708" i="33"/>
  <c r="R1709" i="33"/>
  <c r="R1710" i="33"/>
  <c r="R1711" i="33"/>
  <c r="R1712" i="33"/>
  <c r="R1713" i="33"/>
  <c r="R1714" i="33"/>
  <c r="R1715" i="33"/>
  <c r="R1716" i="33"/>
  <c r="R1717" i="33"/>
  <c r="R1718" i="33"/>
  <c r="R1719" i="33"/>
  <c r="R1720" i="33"/>
  <c r="R1721" i="33"/>
  <c r="R1722" i="33"/>
  <c r="R1723" i="33"/>
  <c r="R1724" i="33"/>
  <c r="R1725" i="33"/>
  <c r="R1726" i="33"/>
  <c r="R1727" i="33"/>
  <c r="R1728" i="33"/>
  <c r="R1729" i="33"/>
  <c r="R1730" i="33"/>
  <c r="R1731" i="33"/>
  <c r="R1732" i="33"/>
  <c r="R1733" i="33"/>
  <c r="R1734" i="33"/>
  <c r="R1735" i="33"/>
  <c r="R1736" i="33"/>
  <c r="R1737" i="33"/>
  <c r="R1738" i="33"/>
  <c r="R1739" i="33"/>
  <c r="R1740" i="33"/>
  <c r="R1741" i="33"/>
  <c r="R1742" i="33"/>
  <c r="R1743" i="33"/>
  <c r="R1744" i="33"/>
  <c r="R1745" i="33"/>
  <c r="R1746" i="33"/>
  <c r="R1747" i="33"/>
  <c r="R1748" i="33"/>
  <c r="R1749" i="33"/>
  <c r="R1750" i="33"/>
  <c r="R1751" i="33"/>
  <c r="R1752" i="33"/>
  <c r="R1753" i="33"/>
  <c r="R1754" i="33"/>
  <c r="R1755" i="33"/>
  <c r="R1756" i="33"/>
  <c r="R1757" i="33"/>
  <c r="R1758" i="33"/>
  <c r="R1759" i="33"/>
  <c r="R1760" i="33"/>
  <c r="R1761" i="33"/>
  <c r="R1762" i="33"/>
  <c r="R1763" i="33"/>
  <c r="R1764" i="33"/>
  <c r="R1765" i="33"/>
  <c r="R1766" i="33"/>
  <c r="R1767" i="33"/>
  <c r="R1768" i="33"/>
  <c r="R1769" i="33"/>
  <c r="R1770" i="33"/>
  <c r="R1771" i="33"/>
  <c r="R1772" i="33"/>
  <c r="R1773" i="33"/>
  <c r="R1774" i="33"/>
  <c r="R1775" i="33"/>
  <c r="R1776" i="33"/>
  <c r="R1777" i="33"/>
  <c r="R1778" i="33"/>
  <c r="R1779" i="33"/>
  <c r="R1780" i="33"/>
  <c r="R1781" i="33"/>
  <c r="R1782" i="33"/>
  <c r="R1783" i="33"/>
  <c r="R1784" i="33"/>
  <c r="R1785" i="33"/>
  <c r="R1786" i="33"/>
  <c r="R1787" i="33"/>
  <c r="R1788" i="33"/>
  <c r="R1789" i="33"/>
  <c r="R1790" i="33"/>
  <c r="R1791" i="33"/>
  <c r="R1792" i="33"/>
  <c r="R1793" i="33"/>
  <c r="R1794" i="33"/>
  <c r="R1795" i="33"/>
  <c r="R1796" i="33"/>
  <c r="R1797" i="33"/>
  <c r="R1798" i="33"/>
  <c r="R1799" i="33"/>
  <c r="R1800" i="33"/>
  <c r="R1801" i="33"/>
  <c r="R1802" i="33"/>
  <c r="R1803" i="33"/>
  <c r="R1804" i="33"/>
  <c r="R1805" i="33"/>
  <c r="R1806" i="33"/>
  <c r="R1807" i="33"/>
  <c r="R1808" i="33"/>
  <c r="R1809" i="33"/>
  <c r="R1810" i="33"/>
  <c r="R1811" i="33"/>
  <c r="R1812" i="33"/>
  <c r="R1813" i="33"/>
  <c r="R1814" i="33"/>
  <c r="R1815" i="33"/>
  <c r="R1816" i="33"/>
  <c r="R1817" i="33"/>
  <c r="R1818" i="33"/>
  <c r="R1819" i="33"/>
  <c r="R1820" i="33"/>
  <c r="R1821" i="33"/>
  <c r="R1822" i="33"/>
  <c r="R1823" i="33"/>
  <c r="R1824" i="33"/>
  <c r="R1825" i="33"/>
  <c r="R1826" i="33"/>
  <c r="R1827" i="33"/>
  <c r="R1828" i="33"/>
  <c r="R1829" i="33"/>
  <c r="R1830" i="33"/>
  <c r="R1831" i="33"/>
  <c r="R1832" i="33"/>
  <c r="R1833" i="33"/>
  <c r="R1834" i="33"/>
  <c r="R1835" i="33"/>
  <c r="R1836" i="33"/>
  <c r="R1837" i="33"/>
  <c r="R1838" i="33"/>
  <c r="R1839" i="33"/>
  <c r="R1840" i="33"/>
  <c r="R1841" i="33"/>
  <c r="R1842" i="33"/>
  <c r="R1843" i="33"/>
  <c r="R1844" i="33"/>
  <c r="R1845" i="33"/>
  <c r="R1846" i="33"/>
  <c r="R1847" i="33"/>
  <c r="R1848" i="33"/>
  <c r="R1849" i="33"/>
  <c r="R1850" i="33"/>
  <c r="R1851" i="33"/>
  <c r="R1852" i="33"/>
  <c r="R1853" i="33"/>
  <c r="R1854" i="33"/>
  <c r="R1855" i="33"/>
  <c r="R1856" i="33"/>
  <c r="R1857" i="33"/>
  <c r="R1858" i="33"/>
  <c r="R1859" i="33"/>
  <c r="R1860" i="33"/>
  <c r="R1861" i="33"/>
  <c r="R1862" i="33"/>
  <c r="R1863" i="33"/>
  <c r="R1864" i="33"/>
  <c r="R1865" i="33"/>
  <c r="R1866" i="33"/>
  <c r="R1867" i="33"/>
  <c r="R1868" i="33"/>
  <c r="R1869" i="33"/>
  <c r="R1870" i="33"/>
  <c r="R1871" i="33"/>
  <c r="R1872" i="33"/>
  <c r="R1873" i="33"/>
  <c r="R1874" i="33"/>
  <c r="R1875" i="33"/>
  <c r="R1876" i="33"/>
  <c r="R1877" i="33"/>
  <c r="R1878" i="33"/>
  <c r="R1879" i="33"/>
  <c r="R1880" i="33"/>
  <c r="R1881" i="33"/>
  <c r="R1882" i="33"/>
  <c r="R1883" i="33"/>
  <c r="R1884" i="33"/>
  <c r="R1885" i="33"/>
  <c r="R1886" i="33"/>
  <c r="R1887" i="33"/>
  <c r="R1888" i="33"/>
  <c r="R1889" i="33"/>
  <c r="R1890" i="33"/>
  <c r="R1891" i="33"/>
  <c r="R1892" i="33"/>
  <c r="R1893" i="33"/>
  <c r="R1894" i="33"/>
  <c r="R1895" i="33"/>
  <c r="R1896" i="33"/>
  <c r="R1897" i="33"/>
  <c r="R1898" i="33"/>
  <c r="R1899" i="33"/>
  <c r="R1900" i="33"/>
  <c r="R1901" i="33"/>
  <c r="R1902" i="33"/>
  <c r="R1903" i="33"/>
  <c r="R1904" i="33"/>
  <c r="R1905" i="33"/>
  <c r="R1906" i="33"/>
  <c r="R1907" i="33"/>
  <c r="R1908" i="33"/>
  <c r="R1909" i="33"/>
  <c r="R1910" i="33"/>
  <c r="R1911" i="33"/>
  <c r="R1912" i="33"/>
  <c r="R1913" i="33"/>
  <c r="R1914" i="33"/>
  <c r="R1915" i="33"/>
  <c r="R1916" i="33"/>
  <c r="R1917" i="33"/>
  <c r="R1918" i="33"/>
  <c r="R1919" i="33"/>
  <c r="R1920" i="33"/>
  <c r="R1921" i="33"/>
  <c r="R1922" i="33"/>
  <c r="R1923" i="33"/>
  <c r="R1924" i="33"/>
  <c r="R1925" i="33"/>
  <c r="R1926" i="33"/>
  <c r="R1927" i="33"/>
  <c r="R1928" i="33"/>
  <c r="R1929" i="33"/>
  <c r="R1930" i="33"/>
  <c r="R1931" i="33"/>
  <c r="R1932" i="33"/>
  <c r="R1933" i="33"/>
  <c r="R1934" i="33"/>
  <c r="R1935" i="33"/>
  <c r="R1936" i="33"/>
  <c r="R1937" i="33"/>
  <c r="R1938" i="33"/>
  <c r="R1939" i="33"/>
  <c r="R1940" i="33"/>
  <c r="R1941" i="33"/>
  <c r="R1942" i="33"/>
  <c r="R1943" i="33"/>
  <c r="R1944" i="33"/>
  <c r="R1945" i="33"/>
  <c r="R1946" i="33"/>
  <c r="R1947" i="33"/>
  <c r="R1948" i="33"/>
  <c r="R1949" i="33"/>
  <c r="R1950" i="33"/>
  <c r="R1951" i="33"/>
  <c r="R1952" i="33"/>
  <c r="R1953" i="33"/>
  <c r="R1954" i="33"/>
  <c r="R1955" i="33"/>
  <c r="R1956" i="33"/>
  <c r="R1957" i="33"/>
  <c r="R1958" i="33"/>
  <c r="R1959" i="33"/>
  <c r="R1960" i="33"/>
  <c r="R1961" i="33"/>
  <c r="R1962" i="33"/>
  <c r="R1963" i="33"/>
  <c r="R1964" i="33"/>
  <c r="R1965" i="33"/>
  <c r="R1966" i="33"/>
  <c r="R1967" i="33"/>
  <c r="R1968" i="33"/>
  <c r="R1969" i="33"/>
  <c r="R1970" i="33"/>
  <c r="R1971" i="33"/>
  <c r="R1972" i="33"/>
  <c r="R1973" i="33"/>
  <c r="R1974" i="33"/>
  <c r="R1975" i="33"/>
  <c r="R1976" i="33"/>
  <c r="R1977" i="33"/>
  <c r="R1978" i="33"/>
  <c r="R1979" i="33"/>
  <c r="R1980" i="33"/>
  <c r="R1981" i="33"/>
  <c r="R1982" i="33"/>
  <c r="R1983" i="33"/>
  <c r="R1984" i="33"/>
  <c r="R1985" i="33"/>
  <c r="R1986" i="33"/>
  <c r="R1987" i="33"/>
  <c r="R1988" i="33"/>
  <c r="R1989" i="33"/>
  <c r="R1990" i="33"/>
  <c r="R1991" i="33"/>
  <c r="R1992" i="33"/>
  <c r="R1993" i="33"/>
  <c r="R1994" i="33"/>
  <c r="R1995" i="33"/>
  <c r="R1996" i="33"/>
  <c r="R1997" i="33"/>
  <c r="R1998" i="33"/>
  <c r="R1999" i="33"/>
  <c r="R2000" i="33"/>
  <c r="R2001" i="33"/>
  <c r="Q3" i="33"/>
  <c r="Q5" i="33"/>
  <c r="Q6" i="33"/>
  <c r="Q7" i="33"/>
  <c r="Q8" i="33"/>
  <c r="Q9" i="33"/>
  <c r="Q10" i="33"/>
  <c r="Q11" i="33"/>
  <c r="Q12" i="33"/>
  <c r="Q13" i="33"/>
  <c r="Q14" i="33"/>
  <c r="Q15" i="33"/>
  <c r="Q16" i="33"/>
  <c r="Q17" i="33"/>
  <c r="Q18" i="33"/>
  <c r="Q19" i="33"/>
  <c r="Q20" i="33"/>
  <c r="Q21" i="33"/>
  <c r="Q22" i="33"/>
  <c r="Q23" i="33"/>
  <c r="Q24" i="33"/>
  <c r="Q25" i="33"/>
  <c r="Q26" i="33"/>
  <c r="Q27" i="33"/>
  <c r="Q28" i="33"/>
  <c r="Q29" i="33"/>
  <c r="Q30" i="33"/>
  <c r="Q31" i="33"/>
  <c r="Q32" i="33"/>
  <c r="Q33" i="33"/>
  <c r="Q34" i="33"/>
  <c r="Q35" i="33"/>
  <c r="Q36" i="33"/>
  <c r="Q37" i="33"/>
  <c r="Q38" i="33"/>
  <c r="Q39" i="33"/>
  <c r="Q40" i="33"/>
  <c r="Q41" i="33"/>
  <c r="Q42" i="33"/>
  <c r="Q43" i="33"/>
  <c r="Q44" i="33"/>
  <c r="Q45" i="33"/>
  <c r="Q46" i="33"/>
  <c r="Q47" i="33"/>
  <c r="Q48" i="33"/>
  <c r="Q49" i="33"/>
  <c r="Q50" i="33"/>
  <c r="Q51" i="33"/>
  <c r="Q52" i="33"/>
  <c r="Q53" i="33"/>
  <c r="Q54" i="33"/>
  <c r="Q55" i="33"/>
  <c r="Q56" i="33"/>
  <c r="Q57" i="33"/>
  <c r="Q58" i="33"/>
  <c r="Q59" i="33"/>
  <c r="Q60" i="33"/>
  <c r="Q61" i="33"/>
  <c r="Q62" i="33"/>
  <c r="Q63" i="33"/>
  <c r="Q64" i="33"/>
  <c r="Q65" i="33"/>
  <c r="Q66" i="33"/>
  <c r="Q67" i="33"/>
  <c r="Q68" i="33"/>
  <c r="Q69" i="33"/>
  <c r="Q70" i="33"/>
  <c r="Q71" i="33"/>
  <c r="Q72" i="33"/>
  <c r="Q73" i="33"/>
  <c r="Q74" i="33"/>
  <c r="Q75" i="33"/>
  <c r="Q76" i="33"/>
  <c r="Q77" i="33"/>
  <c r="Q78" i="33"/>
  <c r="Q79" i="33"/>
  <c r="Q80" i="33"/>
  <c r="Q81" i="33"/>
  <c r="Q82" i="33"/>
  <c r="Q83" i="33"/>
  <c r="Q84" i="33"/>
  <c r="Q85" i="33"/>
  <c r="Q86" i="33"/>
  <c r="Q87" i="33"/>
  <c r="Q88" i="33"/>
  <c r="Q89" i="33"/>
  <c r="Q90" i="33"/>
  <c r="Q91" i="33"/>
  <c r="Q92" i="33"/>
  <c r="Q93" i="33"/>
  <c r="Q94" i="33"/>
  <c r="Q95" i="33"/>
  <c r="Q96" i="33"/>
  <c r="Q97" i="33"/>
  <c r="Q98" i="33"/>
  <c r="Q99" i="33"/>
  <c r="Q100" i="33"/>
  <c r="Q101" i="33"/>
  <c r="Q102" i="33"/>
  <c r="Q103" i="33"/>
  <c r="Q104" i="33"/>
  <c r="Q105" i="33"/>
  <c r="Q106" i="33"/>
  <c r="Q107" i="33"/>
  <c r="Q108" i="33"/>
  <c r="Q109" i="33"/>
  <c r="Q110" i="33"/>
  <c r="Q111" i="33"/>
  <c r="Q112" i="33"/>
  <c r="Q113" i="33"/>
  <c r="Q114" i="33"/>
  <c r="Q115" i="33"/>
  <c r="Q116" i="33"/>
  <c r="Q117" i="33"/>
  <c r="Q118" i="33"/>
  <c r="Q119" i="33"/>
  <c r="Q120" i="33"/>
  <c r="Q121" i="33"/>
  <c r="Q122" i="33"/>
  <c r="Q123" i="33"/>
  <c r="Q124" i="33"/>
  <c r="Q125" i="33"/>
  <c r="Q126" i="33"/>
  <c r="Q127" i="33"/>
  <c r="Q128" i="33"/>
  <c r="Q129" i="33"/>
  <c r="Q130" i="33"/>
  <c r="Q131" i="33"/>
  <c r="Q132" i="33"/>
  <c r="Q133" i="33"/>
  <c r="Q134" i="33"/>
  <c r="Q135" i="33"/>
  <c r="Q136" i="33"/>
  <c r="Q137" i="33"/>
  <c r="Q138" i="33"/>
  <c r="Q139" i="33"/>
  <c r="Q140" i="33"/>
  <c r="Q141" i="33"/>
  <c r="Q142" i="33"/>
  <c r="Q143" i="33"/>
  <c r="Q144" i="33"/>
  <c r="Q145" i="33"/>
  <c r="Q146" i="33"/>
  <c r="Q147" i="33"/>
  <c r="Q148" i="33"/>
  <c r="Q149" i="33"/>
  <c r="Q150" i="33"/>
  <c r="Q151" i="33"/>
  <c r="Q152" i="33"/>
  <c r="Q153" i="33"/>
  <c r="Q154" i="33"/>
  <c r="Q155" i="33"/>
  <c r="Q156" i="33"/>
  <c r="Q157" i="33"/>
  <c r="Q158" i="33"/>
  <c r="Q159" i="33"/>
  <c r="Q160" i="33"/>
  <c r="Q161" i="33"/>
  <c r="Q162" i="33"/>
  <c r="Q163" i="33"/>
  <c r="Q164" i="33"/>
  <c r="Q165" i="33"/>
  <c r="Q166" i="33"/>
  <c r="Q167" i="33"/>
  <c r="Q168" i="33"/>
  <c r="Q169" i="33"/>
  <c r="Q170" i="33"/>
  <c r="Q171" i="33"/>
  <c r="Q172" i="33"/>
  <c r="Q173" i="33"/>
  <c r="Q174" i="33"/>
  <c r="Q175" i="33"/>
  <c r="Q176" i="33"/>
  <c r="Q177" i="33"/>
  <c r="Q178" i="33"/>
  <c r="Q179" i="33"/>
  <c r="Q180" i="33"/>
  <c r="Q181" i="33"/>
  <c r="Q182" i="33"/>
  <c r="Q183" i="33"/>
  <c r="Q184" i="33"/>
  <c r="Q185" i="33"/>
  <c r="Q186" i="33"/>
  <c r="Q187" i="33"/>
  <c r="Q188" i="33"/>
  <c r="Q189" i="33"/>
  <c r="Q190" i="33"/>
  <c r="Q191" i="33"/>
  <c r="Q192" i="33"/>
  <c r="Q193" i="33"/>
  <c r="Q194" i="33"/>
  <c r="Q195" i="33"/>
  <c r="Q196" i="33"/>
  <c r="Q197" i="33"/>
  <c r="Q198" i="33"/>
  <c r="Q199" i="33"/>
  <c r="Q200" i="33"/>
  <c r="Q201" i="33"/>
  <c r="Q202" i="33"/>
  <c r="Q203" i="33"/>
  <c r="Q204" i="33"/>
  <c r="Q205" i="33"/>
  <c r="Q206" i="33"/>
  <c r="Q207" i="33"/>
  <c r="Q208" i="33"/>
  <c r="Q209" i="33"/>
  <c r="Q210" i="33"/>
  <c r="Q211" i="33"/>
  <c r="Q212" i="33"/>
  <c r="Q213" i="33"/>
  <c r="Q214" i="33"/>
  <c r="Q215" i="33"/>
  <c r="Q216" i="33"/>
  <c r="Q217" i="33"/>
  <c r="Q218" i="33"/>
  <c r="Q219" i="33"/>
  <c r="Q220" i="33"/>
  <c r="Q221" i="33"/>
  <c r="Q222" i="33"/>
  <c r="Q223" i="33"/>
  <c r="Q224" i="33"/>
  <c r="Q225" i="33"/>
  <c r="Q226" i="33"/>
  <c r="Q227" i="33"/>
  <c r="Q228" i="33"/>
  <c r="Q229" i="33"/>
  <c r="Q230" i="33"/>
  <c r="Q231" i="33"/>
  <c r="Q232" i="33"/>
  <c r="Q233" i="33"/>
  <c r="Q234" i="33"/>
  <c r="Q235" i="33"/>
  <c r="Q236" i="33"/>
  <c r="Q237" i="33"/>
  <c r="Q238" i="33"/>
  <c r="Q239" i="33"/>
  <c r="Q240" i="33"/>
  <c r="Q241" i="33"/>
  <c r="Q242" i="33"/>
  <c r="Q243" i="33"/>
  <c r="Q244" i="33"/>
  <c r="Q245" i="33"/>
  <c r="Q246" i="33"/>
  <c r="Q247" i="33"/>
  <c r="Q248" i="33"/>
  <c r="Q249" i="33"/>
  <c r="Q250" i="33"/>
  <c r="Q251" i="33"/>
  <c r="Q252" i="33"/>
  <c r="Q253" i="33"/>
  <c r="Q254" i="33"/>
  <c r="Q255" i="33"/>
  <c r="Q256" i="33"/>
  <c r="Q257" i="33"/>
  <c r="Q258" i="33"/>
  <c r="Q259" i="33"/>
  <c r="Q260" i="33"/>
  <c r="Q261" i="33"/>
  <c r="Q262" i="33"/>
  <c r="Q263" i="33"/>
  <c r="Q264" i="33"/>
  <c r="Q265" i="33"/>
  <c r="Q266" i="33"/>
  <c r="Q267" i="33"/>
  <c r="Q268" i="33"/>
  <c r="Q269" i="33"/>
  <c r="Q270" i="33"/>
  <c r="Q271" i="33"/>
  <c r="Q272" i="33"/>
  <c r="Q273" i="33"/>
  <c r="Q274" i="33"/>
  <c r="Q275" i="33"/>
  <c r="Q276" i="33"/>
  <c r="Q277" i="33"/>
  <c r="Q278" i="33"/>
  <c r="Q279" i="33"/>
  <c r="Q280" i="33"/>
  <c r="Q281" i="33"/>
  <c r="Q282" i="33"/>
  <c r="Q283" i="33"/>
  <c r="Q284" i="33"/>
  <c r="Q285" i="33"/>
  <c r="Q286" i="33"/>
  <c r="Q287" i="33"/>
  <c r="Q288" i="33"/>
  <c r="Q289" i="33"/>
  <c r="Q290" i="33"/>
  <c r="Q291" i="33"/>
  <c r="Q292" i="33"/>
  <c r="Q293" i="33"/>
  <c r="Q294" i="33"/>
  <c r="Q295" i="33"/>
  <c r="Q296" i="33"/>
  <c r="Q297" i="33"/>
  <c r="Q298" i="33"/>
  <c r="Q299" i="33"/>
  <c r="Q300" i="33"/>
  <c r="Q301" i="33"/>
  <c r="Q302" i="33"/>
  <c r="Q303" i="33"/>
  <c r="Q304" i="33"/>
  <c r="Q305" i="33"/>
  <c r="Q306" i="33"/>
  <c r="Q307" i="33"/>
  <c r="Q308" i="33"/>
  <c r="Q309" i="33"/>
  <c r="Q310" i="33"/>
  <c r="Q311" i="33"/>
  <c r="Q312" i="33"/>
  <c r="Q313" i="33"/>
  <c r="Q314" i="33"/>
  <c r="Q315" i="33"/>
  <c r="Q316" i="33"/>
  <c r="Q317" i="33"/>
  <c r="Q318" i="33"/>
  <c r="Q319" i="33"/>
  <c r="Q320" i="33"/>
  <c r="Q321" i="33"/>
  <c r="Q322" i="33"/>
  <c r="Q323" i="33"/>
  <c r="Q324" i="33"/>
  <c r="Q325" i="33"/>
  <c r="Q326" i="33"/>
  <c r="Q327" i="33"/>
  <c r="Q328" i="33"/>
  <c r="Q329" i="33"/>
  <c r="Q330" i="33"/>
  <c r="Q331" i="33"/>
  <c r="Q332" i="33"/>
  <c r="Q333" i="33"/>
  <c r="Q334" i="33"/>
  <c r="Q335" i="33"/>
  <c r="Q336" i="33"/>
  <c r="Q337" i="33"/>
  <c r="Q338" i="33"/>
  <c r="Q339" i="33"/>
  <c r="Q340" i="33"/>
  <c r="Q341" i="33"/>
  <c r="Q342" i="33"/>
  <c r="Q343" i="33"/>
  <c r="Q344" i="33"/>
  <c r="Q345" i="33"/>
  <c r="Q346" i="33"/>
  <c r="Q347" i="33"/>
  <c r="Q348" i="33"/>
  <c r="Q349" i="33"/>
  <c r="Q350" i="33"/>
  <c r="Q351" i="33"/>
  <c r="Q352" i="33"/>
  <c r="Q353" i="33"/>
  <c r="Q354" i="33"/>
  <c r="Q355" i="33"/>
  <c r="Q356" i="33"/>
  <c r="Q357" i="33"/>
  <c r="Q358" i="33"/>
  <c r="Q359" i="33"/>
  <c r="Q360" i="33"/>
  <c r="Q361" i="33"/>
  <c r="Q362" i="33"/>
  <c r="Q363" i="33"/>
  <c r="Q364" i="33"/>
  <c r="Q365" i="33"/>
  <c r="Q366" i="33"/>
  <c r="Q367" i="33"/>
  <c r="Q368" i="33"/>
  <c r="Q369" i="33"/>
  <c r="Q370" i="33"/>
  <c r="Q371" i="33"/>
  <c r="Q372" i="33"/>
  <c r="Q373" i="33"/>
  <c r="Q374" i="33"/>
  <c r="Q375" i="33"/>
  <c r="Q376" i="33"/>
  <c r="Q377" i="33"/>
  <c r="Q378" i="33"/>
  <c r="Q379" i="33"/>
  <c r="Q380" i="33"/>
  <c r="Q381" i="33"/>
  <c r="Q382" i="33"/>
  <c r="Q383" i="33"/>
  <c r="Q384" i="33"/>
  <c r="Q385" i="33"/>
  <c r="Q386" i="33"/>
  <c r="Q387" i="33"/>
  <c r="Q388" i="33"/>
  <c r="Q389" i="33"/>
  <c r="Q390" i="33"/>
  <c r="Q391" i="33"/>
  <c r="Q392" i="33"/>
  <c r="Q393" i="33"/>
  <c r="Q394" i="33"/>
  <c r="Q395" i="33"/>
  <c r="Q396" i="33"/>
  <c r="Q397" i="33"/>
  <c r="Q398" i="33"/>
  <c r="Q399" i="33"/>
  <c r="Q400" i="33"/>
  <c r="Q401" i="33"/>
  <c r="Q402" i="33"/>
  <c r="Q403" i="33"/>
  <c r="Q404" i="33"/>
  <c r="Q405" i="33"/>
  <c r="Q406" i="33"/>
  <c r="Q407" i="33"/>
  <c r="Q408" i="33"/>
  <c r="Q409" i="33"/>
  <c r="Q410" i="33"/>
  <c r="Q411" i="33"/>
  <c r="Q412" i="33"/>
  <c r="Q413" i="33"/>
  <c r="Q414" i="33"/>
  <c r="Q415" i="33"/>
  <c r="Q416" i="33"/>
  <c r="Q417" i="33"/>
  <c r="Q418" i="33"/>
  <c r="Q419" i="33"/>
  <c r="Q420" i="33"/>
  <c r="Q421" i="33"/>
  <c r="Q422" i="33"/>
  <c r="Q423" i="33"/>
  <c r="Q424" i="33"/>
  <c r="Q425" i="33"/>
  <c r="Q426" i="33"/>
  <c r="Q427" i="33"/>
  <c r="Q428" i="33"/>
  <c r="Q429" i="33"/>
  <c r="Q430" i="33"/>
  <c r="Q431" i="33"/>
  <c r="Q432" i="33"/>
  <c r="Q433" i="33"/>
  <c r="Q434" i="33"/>
  <c r="Q435" i="33"/>
  <c r="Q436" i="33"/>
  <c r="Q437" i="33"/>
  <c r="Q438" i="33"/>
  <c r="Q439" i="33"/>
  <c r="Q440" i="33"/>
  <c r="Q441" i="33"/>
  <c r="Q442" i="33"/>
  <c r="Q443" i="33"/>
  <c r="Q444" i="33"/>
  <c r="Q445" i="33"/>
  <c r="Q446" i="33"/>
  <c r="Q447" i="33"/>
  <c r="Q448" i="33"/>
  <c r="Q449" i="33"/>
  <c r="Q450" i="33"/>
  <c r="Q451" i="33"/>
  <c r="Q452" i="33"/>
  <c r="Q453" i="33"/>
  <c r="Q454" i="33"/>
  <c r="Q455" i="33"/>
  <c r="Q456" i="33"/>
  <c r="Q457" i="33"/>
  <c r="Q458" i="33"/>
  <c r="Q459" i="33"/>
  <c r="Q460" i="33"/>
  <c r="Q461" i="33"/>
  <c r="Q462" i="33"/>
  <c r="Q463" i="33"/>
  <c r="Q464" i="33"/>
  <c r="Q465" i="33"/>
  <c r="Q466" i="33"/>
  <c r="Q467" i="33"/>
  <c r="Q468" i="33"/>
  <c r="Q469" i="33"/>
  <c r="Q470" i="33"/>
  <c r="Q471" i="33"/>
  <c r="Q472" i="33"/>
  <c r="Q473" i="33"/>
  <c r="Q474" i="33"/>
  <c r="Q475" i="33"/>
  <c r="Q476" i="33"/>
  <c r="Q477" i="33"/>
  <c r="Q478" i="33"/>
  <c r="Q479" i="33"/>
  <c r="Q480" i="33"/>
  <c r="Q481" i="33"/>
  <c r="Q482" i="33"/>
  <c r="Q483" i="33"/>
  <c r="Q484" i="33"/>
  <c r="Q485" i="33"/>
  <c r="Q486" i="33"/>
  <c r="Q487" i="33"/>
  <c r="Q488" i="33"/>
  <c r="Q489" i="33"/>
  <c r="Q490" i="33"/>
  <c r="Q491" i="33"/>
  <c r="Q492" i="33"/>
  <c r="Q493" i="33"/>
  <c r="Q494" i="33"/>
  <c r="Q495" i="33"/>
  <c r="Q496" i="33"/>
  <c r="Q497" i="33"/>
  <c r="Q498" i="33"/>
  <c r="Q499" i="33"/>
  <c r="Q500" i="33"/>
  <c r="Q501" i="33"/>
  <c r="Q502" i="33"/>
  <c r="Q503" i="33"/>
  <c r="Q504" i="33"/>
  <c r="Q505" i="33"/>
  <c r="Q506" i="33"/>
  <c r="Q507" i="33"/>
  <c r="Q508" i="33"/>
  <c r="Q509" i="33"/>
  <c r="Q510" i="33"/>
  <c r="Q511" i="33"/>
  <c r="Q512" i="33"/>
  <c r="Q513" i="33"/>
  <c r="Q514" i="33"/>
  <c r="Q515" i="33"/>
  <c r="Q516" i="33"/>
  <c r="Q517" i="33"/>
  <c r="Q518" i="33"/>
  <c r="Q519" i="33"/>
  <c r="Q520" i="33"/>
  <c r="Q521" i="33"/>
  <c r="Q522" i="33"/>
  <c r="Q523" i="33"/>
  <c r="Q524" i="33"/>
  <c r="Q525" i="33"/>
  <c r="Q526" i="33"/>
  <c r="Q527" i="33"/>
  <c r="Q528" i="33"/>
  <c r="Q529" i="33"/>
  <c r="Q530" i="33"/>
  <c r="Q531" i="33"/>
  <c r="Q532" i="33"/>
  <c r="Q533" i="33"/>
  <c r="Q534" i="33"/>
  <c r="Q535" i="33"/>
  <c r="Q536" i="33"/>
  <c r="Q537" i="33"/>
  <c r="Q538" i="33"/>
  <c r="Q539" i="33"/>
  <c r="Q540" i="33"/>
  <c r="Q541" i="33"/>
  <c r="Q542" i="33"/>
  <c r="Q543" i="33"/>
  <c r="Q544" i="33"/>
  <c r="Q545" i="33"/>
  <c r="Q546" i="33"/>
  <c r="Q547" i="33"/>
  <c r="Q548" i="33"/>
  <c r="Q549" i="33"/>
  <c r="Q550" i="33"/>
  <c r="Q551" i="33"/>
  <c r="Q552" i="33"/>
  <c r="Q553" i="33"/>
  <c r="Q554" i="33"/>
  <c r="Q555" i="33"/>
  <c r="Q556" i="33"/>
  <c r="Q557" i="33"/>
  <c r="Q558" i="33"/>
  <c r="Q559" i="33"/>
  <c r="Q560" i="33"/>
  <c r="Q561" i="33"/>
  <c r="Q562" i="33"/>
  <c r="Q563" i="33"/>
  <c r="Q564" i="33"/>
  <c r="Q565" i="33"/>
  <c r="Q566" i="33"/>
  <c r="Q567" i="33"/>
  <c r="Q568" i="33"/>
  <c r="Q569" i="33"/>
  <c r="Q570" i="33"/>
  <c r="Q571" i="33"/>
  <c r="Q572" i="33"/>
  <c r="Q573" i="33"/>
  <c r="Q574" i="33"/>
  <c r="Q575" i="33"/>
  <c r="Q576" i="33"/>
  <c r="Q577" i="33"/>
  <c r="Q578" i="33"/>
  <c r="Q579" i="33"/>
  <c r="Q580" i="33"/>
  <c r="Q581" i="33"/>
  <c r="Q582" i="33"/>
  <c r="Q583" i="33"/>
  <c r="Q584" i="33"/>
  <c r="Q585" i="33"/>
  <c r="Q586" i="33"/>
  <c r="Q587" i="33"/>
  <c r="Q588" i="33"/>
  <c r="Q589" i="33"/>
  <c r="Q590" i="33"/>
  <c r="Q591" i="33"/>
  <c r="Q592" i="33"/>
  <c r="Q593" i="33"/>
  <c r="Q594" i="33"/>
  <c r="Q595" i="33"/>
  <c r="Q596" i="33"/>
  <c r="Q597" i="33"/>
  <c r="Q598" i="33"/>
  <c r="Q599" i="33"/>
  <c r="Q600" i="33"/>
  <c r="Q601" i="33"/>
  <c r="Q602" i="33"/>
  <c r="Q603" i="33"/>
  <c r="Q604" i="33"/>
  <c r="Q605" i="33"/>
  <c r="Q606" i="33"/>
  <c r="Q607" i="33"/>
  <c r="Q608" i="33"/>
  <c r="Q609" i="33"/>
  <c r="Q610" i="33"/>
  <c r="Q611" i="33"/>
  <c r="Q612" i="33"/>
  <c r="Q613" i="33"/>
  <c r="Q614" i="33"/>
  <c r="Q615" i="33"/>
  <c r="Q616" i="33"/>
  <c r="Q617" i="33"/>
  <c r="Q618" i="33"/>
  <c r="Q619" i="33"/>
  <c r="Q620" i="33"/>
  <c r="Q621" i="33"/>
  <c r="Q622" i="33"/>
  <c r="Q623" i="33"/>
  <c r="Q624" i="33"/>
  <c r="Q625" i="33"/>
  <c r="Q626" i="33"/>
  <c r="Q627" i="33"/>
  <c r="Q628" i="33"/>
  <c r="Q629" i="33"/>
  <c r="Q630" i="33"/>
  <c r="Q631" i="33"/>
  <c r="Q632" i="33"/>
  <c r="Q633" i="33"/>
  <c r="Q634" i="33"/>
  <c r="Q635" i="33"/>
  <c r="Q636" i="33"/>
  <c r="Q637" i="33"/>
  <c r="Q638" i="33"/>
  <c r="Q639" i="33"/>
  <c r="Q640" i="33"/>
  <c r="Q641" i="33"/>
  <c r="Q642" i="33"/>
  <c r="Q643" i="33"/>
  <c r="Q644" i="33"/>
  <c r="Q645" i="33"/>
  <c r="Q646" i="33"/>
  <c r="Q647" i="33"/>
  <c r="Q648" i="33"/>
  <c r="Q649" i="33"/>
  <c r="Q650" i="33"/>
  <c r="Q651" i="33"/>
  <c r="Q652" i="33"/>
  <c r="Q653" i="33"/>
  <c r="Q654" i="33"/>
  <c r="Q655" i="33"/>
  <c r="Q656" i="33"/>
  <c r="Q657" i="33"/>
  <c r="Q658" i="33"/>
  <c r="Q659" i="33"/>
  <c r="Q660" i="33"/>
  <c r="Q661" i="33"/>
  <c r="Q662" i="33"/>
  <c r="Q663" i="33"/>
  <c r="Q664" i="33"/>
  <c r="Q665" i="33"/>
  <c r="Q666" i="33"/>
  <c r="Q667" i="33"/>
  <c r="Q668" i="33"/>
  <c r="Q669" i="33"/>
  <c r="Q670" i="33"/>
  <c r="Q671" i="33"/>
  <c r="Q672" i="33"/>
  <c r="Q673" i="33"/>
  <c r="Q674" i="33"/>
  <c r="Q675" i="33"/>
  <c r="Q676" i="33"/>
  <c r="Q677" i="33"/>
  <c r="Q678" i="33"/>
  <c r="Q679" i="33"/>
  <c r="Q680" i="33"/>
  <c r="Q681" i="33"/>
  <c r="Q682" i="33"/>
  <c r="Q683" i="33"/>
  <c r="Q684" i="33"/>
  <c r="Q685" i="33"/>
  <c r="Q686" i="33"/>
  <c r="Q687" i="33"/>
  <c r="Q688" i="33"/>
  <c r="Q689" i="33"/>
  <c r="Q690" i="33"/>
  <c r="Q691" i="33"/>
  <c r="Q692" i="33"/>
  <c r="Q693" i="33"/>
  <c r="Q694" i="33"/>
  <c r="Q695" i="33"/>
  <c r="Q696" i="33"/>
  <c r="Q697" i="33"/>
  <c r="Q698" i="33"/>
  <c r="Q699" i="33"/>
  <c r="Q700" i="33"/>
  <c r="Q701" i="33"/>
  <c r="Q702" i="33"/>
  <c r="Q703" i="33"/>
  <c r="Q704" i="33"/>
  <c r="Q705" i="33"/>
  <c r="Q706" i="33"/>
  <c r="Q707" i="33"/>
  <c r="Q708" i="33"/>
  <c r="Q709" i="33"/>
  <c r="Q710" i="33"/>
  <c r="Q711" i="33"/>
  <c r="Q712" i="33"/>
  <c r="Q713" i="33"/>
  <c r="Q714" i="33"/>
  <c r="Q715" i="33"/>
  <c r="Q716" i="33"/>
  <c r="Q717" i="33"/>
  <c r="Q718" i="33"/>
  <c r="Q719" i="33"/>
  <c r="Q720" i="33"/>
  <c r="Q721" i="33"/>
  <c r="Q722" i="33"/>
  <c r="Q723" i="33"/>
  <c r="Q724" i="33"/>
  <c r="Q725" i="33"/>
  <c r="Q726" i="33"/>
  <c r="Q727" i="33"/>
  <c r="Q728" i="33"/>
  <c r="Q729" i="33"/>
  <c r="Q730" i="33"/>
  <c r="Q731" i="33"/>
  <c r="Q732" i="33"/>
  <c r="Q733" i="33"/>
  <c r="Q734" i="33"/>
  <c r="Q735" i="33"/>
  <c r="Q736" i="33"/>
  <c r="Q737" i="33"/>
  <c r="Q738" i="33"/>
  <c r="Q739" i="33"/>
  <c r="Q740" i="33"/>
  <c r="Q741" i="33"/>
  <c r="Q742" i="33"/>
  <c r="Q743" i="33"/>
  <c r="Q744" i="33"/>
  <c r="Q745" i="33"/>
  <c r="Q746" i="33"/>
  <c r="Q747" i="33"/>
  <c r="Q748" i="33"/>
  <c r="Q749" i="33"/>
  <c r="Q750" i="33"/>
  <c r="Q751" i="33"/>
  <c r="Q752" i="33"/>
  <c r="Q753" i="33"/>
  <c r="Q754" i="33"/>
  <c r="Q755" i="33"/>
  <c r="Q756" i="33"/>
  <c r="Q757" i="33"/>
  <c r="Q758" i="33"/>
  <c r="Q759" i="33"/>
  <c r="Q760" i="33"/>
  <c r="Q761" i="33"/>
  <c r="Q762" i="33"/>
  <c r="Q763" i="33"/>
  <c r="Q764" i="33"/>
  <c r="Q765" i="33"/>
  <c r="Q766" i="33"/>
  <c r="Q767" i="33"/>
  <c r="Q768" i="33"/>
  <c r="Q769" i="33"/>
  <c r="Q770" i="33"/>
  <c r="Q771" i="33"/>
  <c r="Q772" i="33"/>
  <c r="Q773" i="33"/>
  <c r="Q774" i="33"/>
  <c r="Q775" i="33"/>
  <c r="Q776" i="33"/>
  <c r="Q777" i="33"/>
  <c r="Q778" i="33"/>
  <c r="Q779" i="33"/>
  <c r="Q780" i="33"/>
  <c r="Q781" i="33"/>
  <c r="Q782" i="33"/>
  <c r="Q783" i="33"/>
  <c r="Q784" i="33"/>
  <c r="Q785" i="33"/>
  <c r="Q786" i="33"/>
  <c r="Q787" i="33"/>
  <c r="Q788" i="33"/>
  <c r="Q789" i="33"/>
  <c r="Q790" i="33"/>
  <c r="Q791" i="33"/>
  <c r="Q792" i="33"/>
  <c r="Q793" i="33"/>
  <c r="Q794" i="33"/>
  <c r="Q795" i="33"/>
  <c r="Q796" i="33"/>
  <c r="Q797" i="33"/>
  <c r="Q798" i="33"/>
  <c r="Q799" i="33"/>
  <c r="Q800" i="33"/>
  <c r="Q801" i="33"/>
  <c r="Q802" i="33"/>
  <c r="Q803" i="33"/>
  <c r="Q804" i="33"/>
  <c r="Q805" i="33"/>
  <c r="Q806" i="33"/>
  <c r="Q807" i="33"/>
  <c r="Q808" i="33"/>
  <c r="Q809" i="33"/>
  <c r="Q810" i="33"/>
  <c r="Q811" i="33"/>
  <c r="Q812" i="33"/>
  <c r="Q813" i="33"/>
  <c r="Q814" i="33"/>
  <c r="Q815" i="33"/>
  <c r="Q816" i="33"/>
  <c r="Q817" i="33"/>
  <c r="Q818" i="33"/>
  <c r="Q819" i="33"/>
  <c r="Q820" i="33"/>
  <c r="Q821" i="33"/>
  <c r="Q822" i="33"/>
  <c r="Q823" i="33"/>
  <c r="Q824" i="33"/>
  <c r="Q825" i="33"/>
  <c r="Q826" i="33"/>
  <c r="Q827" i="33"/>
  <c r="Q828" i="33"/>
  <c r="Q829" i="33"/>
  <c r="Q830" i="33"/>
  <c r="Q831" i="33"/>
  <c r="Q832" i="33"/>
  <c r="Q833" i="33"/>
  <c r="Q834" i="33"/>
  <c r="Q835" i="33"/>
  <c r="Q836" i="33"/>
  <c r="Q837" i="33"/>
  <c r="Q838" i="33"/>
  <c r="Q839" i="33"/>
  <c r="Q840" i="33"/>
  <c r="Q841" i="33"/>
  <c r="Q842" i="33"/>
  <c r="Q843" i="33"/>
  <c r="Q844" i="33"/>
  <c r="Q845" i="33"/>
  <c r="Q846" i="33"/>
  <c r="Q847" i="33"/>
  <c r="Q848" i="33"/>
  <c r="Q849" i="33"/>
  <c r="Q850" i="33"/>
  <c r="Q851" i="33"/>
  <c r="Q852" i="33"/>
  <c r="Q853" i="33"/>
  <c r="Q854" i="33"/>
  <c r="Q855" i="33"/>
  <c r="Q856" i="33"/>
  <c r="Q857" i="33"/>
  <c r="Q858" i="33"/>
  <c r="Q859" i="33"/>
  <c r="Q860" i="33"/>
  <c r="Q861" i="33"/>
  <c r="Q862" i="33"/>
  <c r="Q863" i="33"/>
  <c r="Q864" i="33"/>
  <c r="Q865" i="33"/>
  <c r="Q866" i="33"/>
  <c r="Q867" i="33"/>
  <c r="Q868" i="33"/>
  <c r="Q869" i="33"/>
  <c r="Q870" i="33"/>
  <c r="Q871" i="33"/>
  <c r="Q872" i="33"/>
  <c r="Q873" i="33"/>
  <c r="Q874" i="33"/>
  <c r="Q875" i="33"/>
  <c r="Q876" i="33"/>
  <c r="Q877" i="33"/>
  <c r="Q878" i="33"/>
  <c r="Q879" i="33"/>
  <c r="Q880" i="33"/>
  <c r="Q881" i="33"/>
  <c r="Q882" i="33"/>
  <c r="Q883" i="33"/>
  <c r="Q884" i="33"/>
  <c r="Q885" i="33"/>
  <c r="Q886" i="33"/>
  <c r="Q887" i="33"/>
  <c r="Q888" i="33"/>
  <c r="Q889" i="33"/>
  <c r="Q890" i="33"/>
  <c r="Q891" i="33"/>
  <c r="Q892" i="33"/>
  <c r="Q893" i="33"/>
  <c r="Q894" i="33"/>
  <c r="Q895" i="33"/>
  <c r="Q896" i="33"/>
  <c r="Q897" i="33"/>
  <c r="Q898" i="33"/>
  <c r="Q899" i="33"/>
  <c r="Q900" i="33"/>
  <c r="Q901" i="33"/>
  <c r="Q902" i="33"/>
  <c r="Q903" i="33"/>
  <c r="Q904" i="33"/>
  <c r="Q905" i="33"/>
  <c r="Q906" i="33"/>
  <c r="Q907" i="33"/>
  <c r="Q908" i="33"/>
  <c r="Q909" i="33"/>
  <c r="Q910" i="33"/>
  <c r="Q911" i="33"/>
  <c r="Q912" i="33"/>
  <c r="Q913" i="33"/>
  <c r="Q914" i="33"/>
  <c r="Q915" i="33"/>
  <c r="Q916" i="33"/>
  <c r="Q917" i="33"/>
  <c r="Q918" i="33"/>
  <c r="Q919" i="33"/>
  <c r="Q920" i="33"/>
  <c r="Q921" i="33"/>
  <c r="Q922" i="33"/>
  <c r="Q923" i="33"/>
  <c r="Q924" i="33"/>
  <c r="Q925" i="33"/>
  <c r="Q926" i="33"/>
  <c r="Q927" i="33"/>
  <c r="Q928" i="33"/>
  <c r="Q929" i="33"/>
  <c r="Q930" i="33"/>
  <c r="Q931" i="33"/>
  <c r="Q932" i="33"/>
  <c r="Q933" i="33"/>
  <c r="Q934" i="33"/>
  <c r="Q935" i="33"/>
  <c r="Q936" i="33"/>
  <c r="Q937" i="33"/>
  <c r="Q938" i="33"/>
  <c r="Q939" i="33"/>
  <c r="Q940" i="33"/>
  <c r="Q941" i="33"/>
  <c r="Q942" i="33"/>
  <c r="Q943" i="33"/>
  <c r="Q944" i="33"/>
  <c r="Q945" i="33"/>
  <c r="Q946" i="33"/>
  <c r="Q947" i="33"/>
  <c r="Q948" i="33"/>
  <c r="Q949" i="33"/>
  <c r="Q950" i="33"/>
  <c r="Q951" i="33"/>
  <c r="Q952" i="33"/>
  <c r="Q953" i="33"/>
  <c r="Q954" i="33"/>
  <c r="Q955" i="33"/>
  <c r="Q956" i="33"/>
  <c r="Q957" i="33"/>
  <c r="Q958" i="33"/>
  <c r="Q959" i="33"/>
  <c r="Q960" i="33"/>
  <c r="Q961" i="33"/>
  <c r="Q962" i="33"/>
  <c r="Q963" i="33"/>
  <c r="Q964" i="33"/>
  <c r="Q965" i="33"/>
  <c r="Q966" i="33"/>
  <c r="Q967" i="33"/>
  <c r="Q968" i="33"/>
  <c r="Q969" i="33"/>
  <c r="Q970" i="33"/>
  <c r="Q971" i="33"/>
  <c r="Q972" i="33"/>
  <c r="Q973" i="33"/>
  <c r="Q974" i="33"/>
  <c r="Q975" i="33"/>
  <c r="Q976" i="33"/>
  <c r="Q977" i="33"/>
  <c r="Q978" i="33"/>
  <c r="Q979" i="33"/>
  <c r="Q980" i="33"/>
  <c r="Q981" i="33"/>
  <c r="Q982" i="33"/>
  <c r="Q983" i="33"/>
  <c r="Q984" i="33"/>
  <c r="Q985" i="33"/>
  <c r="Q986" i="33"/>
  <c r="Q987" i="33"/>
  <c r="Q988" i="33"/>
  <c r="Q989" i="33"/>
  <c r="Q990" i="33"/>
  <c r="Q991" i="33"/>
  <c r="Q992" i="33"/>
  <c r="Q993" i="33"/>
  <c r="Q994" i="33"/>
  <c r="Q995" i="33"/>
  <c r="Q996" i="33"/>
  <c r="Q997" i="33"/>
  <c r="Q998" i="33"/>
  <c r="Q999" i="33"/>
  <c r="Q1000" i="33"/>
  <c r="Q1001" i="33"/>
  <c r="Q1002" i="33"/>
  <c r="Q1003" i="33"/>
  <c r="Q1004" i="33"/>
  <c r="Q1005" i="33"/>
  <c r="Q1006" i="33"/>
  <c r="Q1007" i="33"/>
  <c r="Q1008" i="33"/>
  <c r="Q1009" i="33"/>
  <c r="Q1010" i="33"/>
  <c r="Q1011" i="33"/>
  <c r="Q1012" i="33"/>
  <c r="Q1013" i="33"/>
  <c r="Q1014" i="33"/>
  <c r="Q1015" i="33"/>
  <c r="Q1016" i="33"/>
  <c r="Q1017" i="33"/>
  <c r="Q1018" i="33"/>
  <c r="Q1019" i="33"/>
  <c r="Q1020" i="33"/>
  <c r="Q1021" i="33"/>
  <c r="Q1022" i="33"/>
  <c r="Q1023" i="33"/>
  <c r="Q1024" i="33"/>
  <c r="Q1025" i="33"/>
  <c r="Q1026" i="33"/>
  <c r="Q1027" i="33"/>
  <c r="Q1028" i="33"/>
  <c r="Q1029" i="33"/>
  <c r="Q1030" i="33"/>
  <c r="Q1031" i="33"/>
  <c r="Q1032" i="33"/>
  <c r="Q1033" i="33"/>
  <c r="Q1034" i="33"/>
  <c r="Q1035" i="33"/>
  <c r="Q1036" i="33"/>
  <c r="Q1037" i="33"/>
  <c r="Q1038" i="33"/>
  <c r="Q1039" i="33"/>
  <c r="Q1040" i="33"/>
  <c r="Q1041" i="33"/>
  <c r="Q1042" i="33"/>
  <c r="Q1043" i="33"/>
  <c r="Q1044" i="33"/>
  <c r="Q1045" i="33"/>
  <c r="Q1046" i="33"/>
  <c r="Q1047" i="33"/>
  <c r="Q1048" i="33"/>
  <c r="Q1049" i="33"/>
  <c r="Q1050" i="33"/>
  <c r="Q1051" i="33"/>
  <c r="Q1052" i="33"/>
  <c r="Q1053" i="33"/>
  <c r="Q1054" i="33"/>
  <c r="Q1055" i="33"/>
  <c r="Q1056" i="33"/>
  <c r="Q1057" i="33"/>
  <c r="Q1058" i="33"/>
  <c r="Q1059" i="33"/>
  <c r="Q1060" i="33"/>
  <c r="Q1061" i="33"/>
  <c r="Q1062" i="33"/>
  <c r="Q1063" i="33"/>
  <c r="Q1064" i="33"/>
  <c r="Q1065" i="33"/>
  <c r="Q1066" i="33"/>
  <c r="Q1067" i="33"/>
  <c r="Q1068" i="33"/>
  <c r="Q1069" i="33"/>
  <c r="Q1070" i="33"/>
  <c r="Q1071" i="33"/>
  <c r="Q1072" i="33"/>
  <c r="Q1073" i="33"/>
  <c r="Q1074" i="33"/>
  <c r="Q1075" i="33"/>
  <c r="Q1076" i="33"/>
  <c r="Q1077" i="33"/>
  <c r="Q1078" i="33"/>
  <c r="Q1079" i="33"/>
  <c r="Q1080" i="33"/>
  <c r="Q1081" i="33"/>
  <c r="Q1082" i="33"/>
  <c r="Q1083" i="33"/>
  <c r="Q1084" i="33"/>
  <c r="Q1085" i="33"/>
  <c r="Q1086" i="33"/>
  <c r="Q1087" i="33"/>
  <c r="Q1088" i="33"/>
  <c r="Q1089" i="33"/>
  <c r="Q1090" i="33"/>
  <c r="Q1091" i="33"/>
  <c r="Q1092" i="33"/>
  <c r="Q1093" i="33"/>
  <c r="Q1094" i="33"/>
  <c r="Q1095" i="33"/>
  <c r="Q1096" i="33"/>
  <c r="Q1097" i="33"/>
  <c r="Q1098" i="33"/>
  <c r="Q1099" i="33"/>
  <c r="Q1100" i="33"/>
  <c r="Q1101" i="33"/>
  <c r="Q1102" i="33"/>
  <c r="Q1103" i="33"/>
  <c r="Q1104" i="33"/>
  <c r="Q1105" i="33"/>
  <c r="Q1106" i="33"/>
  <c r="Q1107" i="33"/>
  <c r="Q1108" i="33"/>
  <c r="Q1109" i="33"/>
  <c r="Q1110" i="33"/>
  <c r="Q1111" i="33"/>
  <c r="Q1112" i="33"/>
  <c r="Q1113" i="33"/>
  <c r="Q1114" i="33"/>
  <c r="Q1115" i="33"/>
  <c r="Q1116" i="33"/>
  <c r="Q1117" i="33"/>
  <c r="Q1118" i="33"/>
  <c r="Q1119" i="33"/>
  <c r="Q1120" i="33"/>
  <c r="Q1121" i="33"/>
  <c r="Q1122" i="33"/>
  <c r="Q1123" i="33"/>
  <c r="Q1124" i="33"/>
  <c r="Q1125" i="33"/>
  <c r="Q1126" i="33"/>
  <c r="Q1127" i="33"/>
  <c r="Q1128" i="33"/>
  <c r="Q1129" i="33"/>
  <c r="Q1130" i="33"/>
  <c r="Q1131" i="33"/>
  <c r="Q1132" i="33"/>
  <c r="Q1133" i="33"/>
  <c r="Q1134" i="33"/>
  <c r="Q1135" i="33"/>
  <c r="Q1136" i="33"/>
  <c r="Q1137" i="33"/>
  <c r="Q1138" i="33"/>
  <c r="Q1139" i="33"/>
  <c r="Q1140" i="33"/>
  <c r="Q1141" i="33"/>
  <c r="Q1142" i="33"/>
  <c r="Q1143" i="33"/>
  <c r="Q1144" i="33"/>
  <c r="Q1145" i="33"/>
  <c r="Q1146" i="33"/>
  <c r="Q1147" i="33"/>
  <c r="Q1148" i="33"/>
  <c r="Q1149" i="33"/>
  <c r="Q1150" i="33"/>
  <c r="Q1151" i="33"/>
  <c r="Q1152" i="33"/>
  <c r="Q1153" i="33"/>
  <c r="Q1154" i="33"/>
  <c r="Q1155" i="33"/>
  <c r="Q1156" i="33"/>
  <c r="Q1157" i="33"/>
  <c r="Q1158" i="33"/>
  <c r="Q1159" i="33"/>
  <c r="Q1160" i="33"/>
  <c r="Q1161" i="33"/>
  <c r="Q1162" i="33"/>
  <c r="Q1163" i="33"/>
  <c r="Q1164" i="33"/>
  <c r="Q1165" i="33"/>
  <c r="Q1166" i="33"/>
  <c r="Q1167" i="33"/>
  <c r="Q1168" i="33"/>
  <c r="Q1169" i="33"/>
  <c r="Q1170" i="33"/>
  <c r="Q1171" i="33"/>
  <c r="Q1172" i="33"/>
  <c r="Q1173" i="33"/>
  <c r="Q1174" i="33"/>
  <c r="Q1175" i="33"/>
  <c r="Q1176" i="33"/>
  <c r="Q1177" i="33"/>
  <c r="Q1178" i="33"/>
  <c r="Q1179" i="33"/>
  <c r="Q1180" i="33"/>
  <c r="Q1181" i="33"/>
  <c r="Q1182" i="33"/>
  <c r="Q1183" i="33"/>
  <c r="Q1184" i="33"/>
  <c r="Q1185" i="33"/>
  <c r="Q1186" i="33"/>
  <c r="Q1187" i="33"/>
  <c r="Q1188" i="33"/>
  <c r="Q1189" i="33"/>
  <c r="Q1190" i="33"/>
  <c r="Q1191" i="33"/>
  <c r="Q1192" i="33"/>
  <c r="Q1193" i="33"/>
  <c r="Q1194" i="33"/>
  <c r="Q1195" i="33"/>
  <c r="Q1196" i="33"/>
  <c r="Q1197" i="33"/>
  <c r="Q1198" i="33"/>
  <c r="Q1199" i="33"/>
  <c r="Q1200" i="33"/>
  <c r="Q1201" i="33"/>
  <c r="Q1202" i="33"/>
  <c r="Q1203" i="33"/>
  <c r="Q1204" i="33"/>
  <c r="Q1205" i="33"/>
  <c r="Q1206" i="33"/>
  <c r="Q1207" i="33"/>
  <c r="Q1208" i="33"/>
  <c r="Q1209" i="33"/>
  <c r="Q1210" i="33"/>
  <c r="Q1211" i="33"/>
  <c r="Q1212" i="33"/>
  <c r="Q1213" i="33"/>
  <c r="Q1214" i="33"/>
  <c r="Q1215" i="33"/>
  <c r="Q1216" i="33"/>
  <c r="Q1217" i="33"/>
  <c r="Q1218" i="33"/>
  <c r="Q1219" i="33"/>
  <c r="Q1220" i="33"/>
  <c r="Q1221" i="33"/>
  <c r="Q1222" i="33"/>
  <c r="Q1223" i="33"/>
  <c r="Q1224" i="33"/>
  <c r="Q1225" i="33"/>
  <c r="Q1226" i="33"/>
  <c r="Q1227" i="33"/>
  <c r="Q1228" i="33"/>
  <c r="Q1229" i="33"/>
  <c r="Q1230" i="33"/>
  <c r="Q1231" i="33"/>
  <c r="Q1232" i="33"/>
  <c r="Q1233" i="33"/>
  <c r="Q1234" i="33"/>
  <c r="Q1235" i="33"/>
  <c r="Q1236" i="33"/>
  <c r="Q1237" i="33"/>
  <c r="Q1238" i="33"/>
  <c r="Q1239" i="33"/>
  <c r="Q1240" i="33"/>
  <c r="Q1241" i="33"/>
  <c r="Q1242" i="33"/>
  <c r="Q1243" i="33"/>
  <c r="Q1244" i="33"/>
  <c r="Q1245" i="33"/>
  <c r="Q1246" i="33"/>
  <c r="Q1247" i="33"/>
  <c r="Q1248" i="33"/>
  <c r="Q1249" i="33"/>
  <c r="Q1250" i="33"/>
  <c r="Q1251" i="33"/>
  <c r="Q1252" i="33"/>
  <c r="Q1253" i="33"/>
  <c r="Q1254" i="33"/>
  <c r="Q1255" i="33"/>
  <c r="Q1256" i="33"/>
  <c r="Q1257" i="33"/>
  <c r="Q1258" i="33"/>
  <c r="Q1259" i="33"/>
  <c r="Q1260" i="33"/>
  <c r="Q1261" i="33"/>
  <c r="Q1262" i="33"/>
  <c r="Q1263" i="33"/>
  <c r="Q1264" i="33"/>
  <c r="Q1265" i="33"/>
  <c r="Q1266" i="33"/>
  <c r="Q1267" i="33"/>
  <c r="Q1268" i="33"/>
  <c r="Q1269" i="33"/>
  <c r="Q1270" i="33"/>
  <c r="Q1271" i="33"/>
  <c r="Q1272" i="33"/>
  <c r="Q1273" i="33"/>
  <c r="Q1274" i="33"/>
  <c r="Q1275" i="33"/>
  <c r="Q1276" i="33"/>
  <c r="Q1277" i="33"/>
  <c r="Q1278" i="33"/>
  <c r="Q1279" i="33"/>
  <c r="Q1280" i="33"/>
  <c r="Q1281" i="33"/>
  <c r="Q1282" i="33"/>
  <c r="Q1283" i="33"/>
  <c r="Q1284" i="33"/>
  <c r="Q1285" i="33"/>
  <c r="Q1286" i="33"/>
  <c r="Q1287" i="33"/>
  <c r="Q1288" i="33"/>
  <c r="Q1289" i="33"/>
  <c r="Q1290" i="33"/>
  <c r="Q1291" i="33"/>
  <c r="Q1292" i="33"/>
  <c r="Q1293" i="33"/>
  <c r="Q1294" i="33"/>
  <c r="Q1295" i="33"/>
  <c r="Q1296" i="33"/>
  <c r="Q1297" i="33"/>
  <c r="Q1298" i="33"/>
  <c r="Q1299" i="33"/>
  <c r="Q1300" i="33"/>
  <c r="Q1301" i="33"/>
  <c r="Q1302" i="33"/>
  <c r="Q1303" i="33"/>
  <c r="Q1304" i="33"/>
  <c r="Q1305" i="33"/>
  <c r="Q1306" i="33"/>
  <c r="Q1307" i="33"/>
  <c r="Q1308" i="33"/>
  <c r="Q1309" i="33"/>
  <c r="Q1310" i="33"/>
  <c r="Q1311" i="33"/>
  <c r="Q1312" i="33"/>
  <c r="Q1313" i="33"/>
  <c r="Q1314" i="33"/>
  <c r="Q1315" i="33"/>
  <c r="Q1316" i="33"/>
  <c r="Q1317" i="33"/>
  <c r="Q1318" i="33"/>
  <c r="Q1319" i="33"/>
  <c r="Q1320" i="33"/>
  <c r="Q1321" i="33"/>
  <c r="Q1322" i="33"/>
  <c r="Q1323" i="33"/>
  <c r="Q1324" i="33"/>
  <c r="Q1325" i="33"/>
  <c r="Q1326" i="33"/>
  <c r="Q1327" i="33"/>
  <c r="Q1328" i="33"/>
  <c r="Q1329" i="33"/>
  <c r="Q1330" i="33"/>
  <c r="Q1331" i="33"/>
  <c r="Q1332" i="33"/>
  <c r="Q1333" i="33"/>
  <c r="Q1334" i="33"/>
  <c r="Q1335" i="33"/>
  <c r="Q1336" i="33"/>
  <c r="Q1337" i="33"/>
  <c r="Q1338" i="33"/>
  <c r="Q1339" i="33"/>
  <c r="Q1340" i="33"/>
  <c r="Q1341" i="33"/>
  <c r="Q1342" i="33"/>
  <c r="Q1343" i="33"/>
  <c r="Q1344" i="33"/>
  <c r="Q1345" i="33"/>
  <c r="Q1346" i="33"/>
  <c r="Q1347" i="33"/>
  <c r="Q1348" i="33"/>
  <c r="Q1349" i="33"/>
  <c r="Q1350" i="33"/>
  <c r="Q1351" i="33"/>
  <c r="Q1352" i="33"/>
  <c r="Q1353" i="33"/>
  <c r="Q1354" i="33"/>
  <c r="Q1355" i="33"/>
  <c r="Q1356" i="33"/>
  <c r="Q1357" i="33"/>
  <c r="Q1358" i="33"/>
  <c r="Q1359" i="33"/>
  <c r="Q1360" i="33"/>
  <c r="Q1361" i="33"/>
  <c r="Q1362" i="33"/>
  <c r="Q1363" i="33"/>
  <c r="Q1364" i="33"/>
  <c r="Q1365" i="33"/>
  <c r="Q1366" i="33"/>
  <c r="Q1367" i="33"/>
  <c r="Q1368" i="33"/>
  <c r="Q1369" i="33"/>
  <c r="Q1370" i="33"/>
  <c r="Q1371" i="33"/>
  <c r="Q1372" i="33"/>
  <c r="Q1373" i="33"/>
  <c r="Q1374" i="33"/>
  <c r="Q1375" i="33"/>
  <c r="Q1376" i="33"/>
  <c r="Q1377" i="33"/>
  <c r="Q1378" i="33"/>
  <c r="Q1379" i="33"/>
  <c r="Q1380" i="33"/>
  <c r="Q1381" i="33"/>
  <c r="Q1382" i="33"/>
  <c r="Q1383" i="33"/>
  <c r="Q1384" i="33"/>
  <c r="Q1385" i="33"/>
  <c r="Q1386" i="33"/>
  <c r="Q1387" i="33"/>
  <c r="Q1388" i="33"/>
  <c r="Q1389" i="33"/>
  <c r="Q1390" i="33"/>
  <c r="Q1391" i="33"/>
  <c r="Q1392" i="33"/>
  <c r="Q1393" i="33"/>
  <c r="Q1394" i="33"/>
  <c r="Q1395" i="33"/>
  <c r="Q1396" i="33"/>
  <c r="Q1397" i="33"/>
  <c r="Q1398" i="33"/>
  <c r="Q1399" i="33"/>
  <c r="Q1400" i="33"/>
  <c r="Q1401" i="33"/>
  <c r="Q1402" i="33"/>
  <c r="Q1403" i="33"/>
  <c r="Q1404" i="33"/>
  <c r="Q1405" i="33"/>
  <c r="Q1406" i="33"/>
  <c r="Q1407" i="33"/>
  <c r="Q1408" i="33"/>
  <c r="Q1409" i="33"/>
  <c r="Q1410" i="33"/>
  <c r="Q1411" i="33"/>
  <c r="Q1412" i="33"/>
  <c r="Q1413" i="33"/>
  <c r="Q1414" i="33"/>
  <c r="Q1415" i="33"/>
  <c r="Q1416" i="33"/>
  <c r="Q1417" i="33"/>
  <c r="Q1418" i="33"/>
  <c r="Q1419" i="33"/>
  <c r="Q1420" i="33"/>
  <c r="Q1421" i="33"/>
  <c r="Q1422" i="33"/>
  <c r="Q1423" i="33"/>
  <c r="Q1424" i="33"/>
  <c r="Q1425" i="33"/>
  <c r="Q1426" i="33"/>
  <c r="Q1427" i="33"/>
  <c r="Q1428" i="33"/>
  <c r="Q1429" i="33"/>
  <c r="Q1430" i="33"/>
  <c r="Q1431" i="33"/>
  <c r="Q1432" i="33"/>
  <c r="Q1433" i="33"/>
  <c r="Q1434" i="33"/>
  <c r="Q1435" i="33"/>
  <c r="Q1436" i="33"/>
  <c r="Q1437" i="33"/>
  <c r="Q1438" i="33"/>
  <c r="Q1439" i="33"/>
  <c r="Q1440" i="33"/>
  <c r="Q1441" i="33"/>
  <c r="Q1442" i="33"/>
  <c r="Q1443" i="33"/>
  <c r="Q1444" i="33"/>
  <c r="Q1445" i="33"/>
  <c r="Q1446" i="33"/>
  <c r="Q1447" i="33"/>
  <c r="Q1448" i="33"/>
  <c r="Q1449" i="33"/>
  <c r="Q1450" i="33"/>
  <c r="Q1451" i="33"/>
  <c r="Q1452" i="33"/>
  <c r="Q1453" i="33"/>
  <c r="Q1454" i="33"/>
  <c r="Q1455" i="33"/>
  <c r="Q1456" i="33"/>
  <c r="Q1457" i="33"/>
  <c r="Q1458" i="33"/>
  <c r="Q1459" i="33"/>
  <c r="Q1460" i="33"/>
  <c r="Q1461" i="33"/>
  <c r="Q1462" i="33"/>
  <c r="Q1463" i="33"/>
  <c r="Q1464" i="33"/>
  <c r="Q1465" i="33"/>
  <c r="Q1466" i="33"/>
  <c r="Q1467" i="33"/>
  <c r="Q1468" i="33"/>
  <c r="Q1469" i="33"/>
  <c r="Q1470" i="33"/>
  <c r="Q1471" i="33"/>
  <c r="Q1472" i="33"/>
  <c r="Q1473" i="33"/>
  <c r="Q1474" i="33"/>
  <c r="Q1475" i="33"/>
  <c r="Q1476" i="33"/>
  <c r="Q1477" i="33"/>
  <c r="Q1478" i="33"/>
  <c r="Q1479" i="33"/>
  <c r="Q1480" i="33"/>
  <c r="Q1481" i="33"/>
  <c r="Q1482" i="33"/>
  <c r="Q1483" i="33"/>
  <c r="Q1484" i="33"/>
  <c r="Q1485" i="33"/>
  <c r="Q1486" i="33"/>
  <c r="Q1487" i="33"/>
  <c r="Q1488" i="33"/>
  <c r="Q1489" i="33"/>
  <c r="Q1490" i="33"/>
  <c r="Q1491" i="33"/>
  <c r="Q1492" i="33"/>
  <c r="Q1493" i="33"/>
  <c r="Q1494" i="33"/>
  <c r="Q1495" i="33"/>
  <c r="Q1496" i="33"/>
  <c r="Q1497" i="33"/>
  <c r="Q1498" i="33"/>
  <c r="Q1499" i="33"/>
  <c r="Q1500" i="33"/>
  <c r="Q1501" i="33"/>
  <c r="Q1502" i="33"/>
  <c r="Q1503" i="33"/>
  <c r="Q1504" i="33"/>
  <c r="Q1505" i="33"/>
  <c r="Q1506" i="33"/>
  <c r="Q1507" i="33"/>
  <c r="Q1508" i="33"/>
  <c r="Q1509" i="33"/>
  <c r="Q1510" i="33"/>
  <c r="Q1511" i="33"/>
  <c r="Q1512" i="33"/>
  <c r="Q1513" i="33"/>
  <c r="Q1514" i="33"/>
  <c r="Q1515" i="33"/>
  <c r="Q1516" i="33"/>
  <c r="Q1517" i="33"/>
  <c r="Q1518" i="33"/>
  <c r="Q1519" i="33"/>
  <c r="Q1520" i="33"/>
  <c r="Q1521" i="33"/>
  <c r="Q1522" i="33"/>
  <c r="Q1523" i="33"/>
  <c r="Q1524" i="33"/>
  <c r="Q1525" i="33"/>
  <c r="Q1526" i="33"/>
  <c r="Q1527" i="33"/>
  <c r="Q1528" i="33"/>
  <c r="Q1529" i="33"/>
  <c r="Q1530" i="33"/>
  <c r="Q1531" i="33"/>
  <c r="Q1532" i="33"/>
  <c r="Q1533" i="33"/>
  <c r="Q1534" i="33"/>
  <c r="Q1535" i="33"/>
  <c r="Q1536" i="33"/>
  <c r="Q1537" i="33"/>
  <c r="Q1538" i="33"/>
  <c r="Q1539" i="33"/>
  <c r="Q1540" i="33"/>
  <c r="Q1541" i="33"/>
  <c r="Q1542" i="33"/>
  <c r="Q1543" i="33"/>
  <c r="Q1544" i="33"/>
  <c r="Q1545" i="33"/>
  <c r="Q1546" i="33"/>
  <c r="Q1547" i="33"/>
  <c r="Q1548" i="33"/>
  <c r="Q1549" i="33"/>
  <c r="Q1550" i="33"/>
  <c r="Q1551" i="33"/>
  <c r="Q1552" i="33"/>
  <c r="Q1553" i="33"/>
  <c r="Q1554" i="33"/>
  <c r="Q1555" i="33"/>
  <c r="Q1556" i="33"/>
  <c r="Q1557" i="33"/>
  <c r="Q1558" i="33"/>
  <c r="Q1559" i="33"/>
  <c r="Q1560" i="33"/>
  <c r="Q1561" i="33"/>
  <c r="Q1562" i="33"/>
  <c r="Q1563" i="33"/>
  <c r="Q1564" i="33"/>
  <c r="Q1565" i="33"/>
  <c r="Q1566" i="33"/>
  <c r="Q1567" i="33"/>
  <c r="Q1568" i="33"/>
  <c r="Q1569" i="33"/>
  <c r="Q1570" i="33"/>
  <c r="Q1571" i="33"/>
  <c r="Q1572" i="33"/>
  <c r="Q1573" i="33"/>
  <c r="Q1574" i="33"/>
  <c r="Q1575" i="33"/>
  <c r="Q1576" i="33"/>
  <c r="Q1577" i="33"/>
  <c r="Q1578" i="33"/>
  <c r="Q1579" i="33"/>
  <c r="Q1580" i="33"/>
  <c r="Q1581" i="33"/>
  <c r="Q1582" i="33"/>
  <c r="Q1583" i="33"/>
  <c r="Q1584" i="33"/>
  <c r="Q1585" i="33"/>
  <c r="Q1586" i="33"/>
  <c r="Q1587" i="33"/>
  <c r="Q1588" i="33"/>
  <c r="Q1589" i="33"/>
  <c r="Q1590" i="33"/>
  <c r="Q1591" i="33"/>
  <c r="Q1592" i="33"/>
  <c r="Q1593" i="33"/>
  <c r="Q1594" i="33"/>
  <c r="Q1595" i="33"/>
  <c r="Q1596" i="33"/>
  <c r="Q1597" i="33"/>
  <c r="Q1598" i="33"/>
  <c r="Q1599" i="33"/>
  <c r="Q1600" i="33"/>
  <c r="Q1601" i="33"/>
  <c r="Q1602" i="33"/>
  <c r="Q1603" i="33"/>
  <c r="Q1604" i="33"/>
  <c r="Q1605" i="33"/>
  <c r="Q1606" i="33"/>
  <c r="Q1607" i="33"/>
  <c r="Q1608" i="33"/>
  <c r="Q1609" i="33"/>
  <c r="Q1610" i="33"/>
  <c r="Q1611" i="33"/>
  <c r="Q1612" i="33"/>
  <c r="Q1613" i="33"/>
  <c r="Q1614" i="33"/>
  <c r="Q1615" i="33"/>
  <c r="Q1616" i="33"/>
  <c r="Q1617" i="33"/>
  <c r="Q1618" i="33"/>
  <c r="Q1619" i="33"/>
  <c r="Q1620" i="33"/>
  <c r="Q1621" i="33"/>
  <c r="Q1622" i="33"/>
  <c r="Q1623" i="33"/>
  <c r="Q1624" i="33"/>
  <c r="Q1625" i="33"/>
  <c r="Q1626" i="33"/>
  <c r="Q1627" i="33"/>
  <c r="Q1628" i="33"/>
  <c r="Q1629" i="33"/>
  <c r="Q1630" i="33"/>
  <c r="Q1631" i="33"/>
  <c r="Q1632" i="33"/>
  <c r="Q1633" i="33"/>
  <c r="Q1634" i="33"/>
  <c r="Q1635" i="33"/>
  <c r="Q1636" i="33"/>
  <c r="Q1637" i="33"/>
  <c r="Q1638" i="33"/>
  <c r="Q1639" i="33"/>
  <c r="Q1640" i="33"/>
  <c r="Q1641" i="33"/>
  <c r="Q1642" i="33"/>
  <c r="Q1643" i="33"/>
  <c r="Q1644" i="33"/>
  <c r="Q1645" i="33"/>
  <c r="Q1646" i="33"/>
  <c r="Q1647" i="33"/>
  <c r="Q1648" i="33"/>
  <c r="Q1649" i="33"/>
  <c r="Q1650" i="33"/>
  <c r="Q1651" i="33"/>
  <c r="Q1652" i="33"/>
  <c r="Q1653" i="33"/>
  <c r="Q1654" i="33"/>
  <c r="Q1655" i="33"/>
  <c r="Q1656" i="33"/>
  <c r="Q1657" i="33"/>
  <c r="Q1658" i="33"/>
  <c r="Q1659" i="33"/>
  <c r="Q1660" i="33"/>
  <c r="Q1661" i="33"/>
  <c r="Q1662" i="33"/>
  <c r="Q1663" i="33"/>
  <c r="Q1664" i="33"/>
  <c r="Q1665" i="33"/>
  <c r="Q1666" i="33"/>
  <c r="Q1667" i="33"/>
  <c r="Q1668" i="33"/>
  <c r="Q1669" i="33"/>
  <c r="Q1670" i="33"/>
  <c r="Q1671" i="33"/>
  <c r="Q1672" i="33"/>
  <c r="Q1673" i="33"/>
  <c r="Q1674" i="33"/>
  <c r="Q1675" i="33"/>
  <c r="Q1676" i="33"/>
  <c r="Q1677" i="33"/>
  <c r="Q1678" i="33"/>
  <c r="Q1679" i="33"/>
  <c r="Q1680" i="33"/>
  <c r="Q1681" i="33"/>
  <c r="Q1682" i="33"/>
  <c r="Q1683" i="33"/>
  <c r="Q1684" i="33"/>
  <c r="Q1685" i="33"/>
  <c r="Q1686" i="33"/>
  <c r="Q1687" i="33"/>
  <c r="Q1688" i="33"/>
  <c r="Q1689" i="33"/>
  <c r="Q1690" i="33"/>
  <c r="Q1691" i="33"/>
  <c r="Q1692" i="33"/>
  <c r="Q1693" i="33"/>
  <c r="Q1694" i="33"/>
  <c r="Q1695" i="33"/>
  <c r="Q1696" i="33"/>
  <c r="Q1697" i="33"/>
  <c r="Q1698" i="33"/>
  <c r="Q1699" i="33"/>
  <c r="Q1700" i="33"/>
  <c r="Q1701" i="33"/>
  <c r="Q1702" i="33"/>
  <c r="Q1703" i="33"/>
  <c r="Q1704" i="33"/>
  <c r="Q1705" i="33"/>
  <c r="Q1706" i="33"/>
  <c r="Q1707" i="33"/>
  <c r="Q1708" i="33"/>
  <c r="Q1709" i="33"/>
  <c r="Q1710" i="33"/>
  <c r="Q1711" i="33"/>
  <c r="Q1712" i="33"/>
  <c r="Q1713" i="33"/>
  <c r="Q1714" i="33"/>
  <c r="Q1715" i="33"/>
  <c r="Q1716" i="33"/>
  <c r="Q1717" i="33"/>
  <c r="Q1718" i="33"/>
  <c r="Q1719" i="33"/>
  <c r="Q1720" i="33"/>
  <c r="Q1721" i="33"/>
  <c r="Q1722" i="33"/>
  <c r="Q1723" i="33"/>
  <c r="Q1724" i="33"/>
  <c r="Q1725" i="33"/>
  <c r="Q1726" i="33"/>
  <c r="Q1727" i="33"/>
  <c r="Q1728" i="33"/>
  <c r="Q1729" i="33"/>
  <c r="Q1730" i="33"/>
  <c r="Q1731" i="33"/>
  <c r="Q1732" i="33"/>
  <c r="Q1733" i="33"/>
  <c r="Q1734" i="33"/>
  <c r="Q1735" i="33"/>
  <c r="Q1736" i="33"/>
  <c r="Q1737" i="33"/>
  <c r="Q1738" i="33"/>
  <c r="Q1739" i="33"/>
  <c r="Q1740" i="33"/>
  <c r="Q1741" i="33"/>
  <c r="Q1742" i="33"/>
  <c r="Q1743" i="33"/>
  <c r="Q1744" i="33"/>
  <c r="Q1745" i="33"/>
  <c r="Q1746" i="33"/>
  <c r="Q1747" i="33"/>
  <c r="Q1748" i="33"/>
  <c r="Q1749" i="33"/>
  <c r="Q1750" i="33"/>
  <c r="Q1751" i="33"/>
  <c r="Q1752" i="33"/>
  <c r="Q1753" i="33"/>
  <c r="Q1754" i="33"/>
  <c r="Q1755" i="33"/>
  <c r="Q1756" i="33"/>
  <c r="Q1757" i="33"/>
  <c r="Q1758" i="33"/>
  <c r="Q1759" i="33"/>
  <c r="Q1760" i="33"/>
  <c r="Q1761" i="33"/>
  <c r="Q1762" i="33"/>
  <c r="Q1763" i="33"/>
  <c r="Q1764" i="33"/>
  <c r="Q1765" i="33"/>
  <c r="Q1766" i="33"/>
  <c r="Q1767" i="33"/>
  <c r="Q1768" i="33"/>
  <c r="Q1769" i="33"/>
  <c r="Q1770" i="33"/>
  <c r="Q1771" i="33"/>
  <c r="Q1772" i="33"/>
  <c r="Q1773" i="33"/>
  <c r="Q1774" i="33"/>
  <c r="Q1775" i="33"/>
  <c r="Q1776" i="33"/>
  <c r="Q1777" i="33"/>
  <c r="Q1778" i="33"/>
  <c r="Q1779" i="33"/>
  <c r="Q1780" i="33"/>
  <c r="Q1781" i="33"/>
  <c r="Q1782" i="33"/>
  <c r="Q1783" i="33"/>
  <c r="Q1784" i="33"/>
  <c r="Q1785" i="33"/>
  <c r="Q1786" i="33"/>
  <c r="Q1787" i="33"/>
  <c r="Q1788" i="33"/>
  <c r="Q1789" i="33"/>
  <c r="Q1790" i="33"/>
  <c r="Q1791" i="33"/>
  <c r="Q1792" i="33"/>
  <c r="Q1793" i="33"/>
  <c r="Q1794" i="33"/>
  <c r="Q1795" i="33"/>
  <c r="Q1796" i="33"/>
  <c r="Q1797" i="33"/>
  <c r="Q1798" i="33"/>
  <c r="Q1799" i="33"/>
  <c r="Q1800" i="33"/>
  <c r="Q1801" i="33"/>
  <c r="Q1802" i="33"/>
  <c r="Q1803" i="33"/>
  <c r="Q1804" i="33"/>
  <c r="Q1805" i="33"/>
  <c r="Q1806" i="33"/>
  <c r="Q1807" i="33"/>
  <c r="Q1808" i="33"/>
  <c r="Q1809" i="33"/>
  <c r="Q1810" i="33"/>
  <c r="Q1811" i="33"/>
  <c r="Q1812" i="33"/>
  <c r="Q1813" i="33"/>
  <c r="Q1814" i="33"/>
  <c r="Q1815" i="33"/>
  <c r="Q1816" i="33"/>
  <c r="Q1817" i="33"/>
  <c r="Q1818" i="33"/>
  <c r="Q1819" i="33"/>
  <c r="Q1820" i="33"/>
  <c r="Q1821" i="33"/>
  <c r="Q1822" i="33"/>
  <c r="Q1823" i="33"/>
  <c r="Q1824" i="33"/>
  <c r="Q1825" i="33"/>
  <c r="Q1826" i="33"/>
  <c r="Q1827" i="33"/>
  <c r="Q1828" i="33"/>
  <c r="Q1829" i="33"/>
  <c r="Q1830" i="33"/>
  <c r="Q1831" i="33"/>
  <c r="Q1832" i="33"/>
  <c r="Q1833" i="33"/>
  <c r="Q1834" i="33"/>
  <c r="Q1835" i="33"/>
  <c r="Q1836" i="33"/>
  <c r="Q1837" i="33"/>
  <c r="Q1838" i="33"/>
  <c r="Q1839" i="33"/>
  <c r="Q1840" i="33"/>
  <c r="Q1841" i="33"/>
  <c r="Q1842" i="33"/>
  <c r="Q1843" i="33"/>
  <c r="Q1844" i="33"/>
  <c r="Q1845" i="33"/>
  <c r="Q1846" i="33"/>
  <c r="Q1847" i="33"/>
  <c r="Q1848" i="33"/>
  <c r="Q1849" i="33"/>
  <c r="Q1850" i="33"/>
  <c r="Q1851" i="33"/>
  <c r="Q1852" i="33"/>
  <c r="Q1853" i="33"/>
  <c r="Q1854" i="33"/>
  <c r="Q1855" i="33"/>
  <c r="Q1856" i="33"/>
  <c r="Q1857" i="33"/>
  <c r="Q1858" i="33"/>
  <c r="Q1859" i="33"/>
  <c r="Q1860" i="33"/>
  <c r="Q1861" i="33"/>
  <c r="Q1862" i="33"/>
  <c r="Q1863" i="33"/>
  <c r="Q1864" i="33"/>
  <c r="Q1865" i="33"/>
  <c r="Q1866" i="33"/>
  <c r="Q1867" i="33"/>
  <c r="Q1868" i="33"/>
  <c r="Q1869" i="33"/>
  <c r="Q1870" i="33"/>
  <c r="Q1871" i="33"/>
  <c r="Q1872" i="33"/>
  <c r="Q1873" i="33"/>
  <c r="Q1874" i="33"/>
  <c r="Q1875" i="33"/>
  <c r="Q1876" i="33"/>
  <c r="Q1877" i="33"/>
  <c r="Q1878" i="33"/>
  <c r="Q1879" i="33"/>
  <c r="Q1880" i="33"/>
  <c r="Q1881" i="33"/>
  <c r="Q1882" i="33"/>
  <c r="Q1883" i="33"/>
  <c r="Q1884" i="33"/>
  <c r="Q1885" i="33"/>
  <c r="Q1886" i="33"/>
  <c r="Q1887" i="33"/>
  <c r="Q1888" i="33"/>
  <c r="Q1889" i="33"/>
  <c r="Q1890" i="33"/>
  <c r="Q1891" i="33"/>
  <c r="Q1892" i="33"/>
  <c r="Q1893" i="33"/>
  <c r="Q1894" i="33"/>
  <c r="Q1895" i="33"/>
  <c r="Q1896" i="33"/>
  <c r="Q1897" i="33"/>
  <c r="Q1898" i="33"/>
  <c r="Q1899" i="33"/>
  <c r="Q1900" i="33"/>
  <c r="Q1901" i="33"/>
  <c r="Q1902" i="33"/>
  <c r="Q1903" i="33"/>
  <c r="Q1904" i="33"/>
  <c r="Q1905" i="33"/>
  <c r="Q1906" i="33"/>
  <c r="Q1907" i="33"/>
  <c r="Q1908" i="33"/>
  <c r="Q1909" i="33"/>
  <c r="Q1910" i="33"/>
  <c r="Q1911" i="33"/>
  <c r="Q1912" i="33"/>
  <c r="Q1913" i="33"/>
  <c r="Q1914" i="33"/>
  <c r="Q1915" i="33"/>
  <c r="Q1916" i="33"/>
  <c r="Q1917" i="33"/>
  <c r="Q1918" i="33"/>
  <c r="Q1919" i="33"/>
  <c r="Q1920" i="33"/>
  <c r="Q1921" i="33"/>
  <c r="Q1922" i="33"/>
  <c r="Q1923" i="33"/>
  <c r="Q1924" i="33"/>
  <c r="Q1925" i="33"/>
  <c r="Q1926" i="33"/>
  <c r="Q1927" i="33"/>
  <c r="Q1928" i="33"/>
  <c r="Q1929" i="33"/>
  <c r="Q1930" i="33"/>
  <c r="Q1931" i="33"/>
  <c r="Q1932" i="33"/>
  <c r="Q1933" i="33"/>
  <c r="Q1934" i="33"/>
  <c r="Q1935" i="33"/>
  <c r="Q1936" i="33"/>
  <c r="Q1937" i="33"/>
  <c r="Q1938" i="33"/>
  <c r="Q1939" i="33"/>
  <c r="Q1940" i="33"/>
  <c r="Q1941" i="33"/>
  <c r="Q1942" i="33"/>
  <c r="Q1943" i="33"/>
  <c r="Q1944" i="33"/>
  <c r="Q1945" i="33"/>
  <c r="Q1946" i="33"/>
  <c r="Q1947" i="33"/>
  <c r="Q1948" i="33"/>
  <c r="Q1949" i="33"/>
  <c r="Q1950" i="33"/>
  <c r="Q1951" i="33"/>
  <c r="Q1952" i="33"/>
  <c r="Q1953" i="33"/>
  <c r="Q1954" i="33"/>
  <c r="Q1955" i="33"/>
  <c r="Q1956" i="33"/>
  <c r="Q1957" i="33"/>
  <c r="Q1958" i="33"/>
  <c r="Q1959" i="33"/>
  <c r="Q1960" i="33"/>
  <c r="Q1961" i="33"/>
  <c r="Q1962" i="33"/>
  <c r="Q1963" i="33"/>
  <c r="Q1964" i="33"/>
  <c r="Q1965" i="33"/>
  <c r="Q1966" i="33"/>
  <c r="Q1967" i="33"/>
  <c r="Q1968" i="33"/>
  <c r="Q1969" i="33"/>
  <c r="Q1970" i="33"/>
  <c r="Q1971" i="33"/>
  <c r="Q1972" i="33"/>
  <c r="Q1973" i="33"/>
  <c r="Q1974" i="33"/>
  <c r="Q1975" i="33"/>
  <c r="Q1976" i="33"/>
  <c r="Q1977" i="33"/>
  <c r="Q1978" i="33"/>
  <c r="Q1979" i="33"/>
  <c r="Q1980" i="33"/>
  <c r="Q1981" i="33"/>
  <c r="Q1982" i="33"/>
  <c r="Q1983" i="33"/>
  <c r="Q1984" i="33"/>
  <c r="Q1985" i="33"/>
  <c r="Q1986" i="33"/>
  <c r="Q1987" i="33"/>
  <c r="Q1988" i="33"/>
  <c r="Q1989" i="33"/>
  <c r="Q1990" i="33"/>
  <c r="Q1991" i="33"/>
  <c r="Q1992" i="33"/>
  <c r="Q1993" i="33"/>
  <c r="Q1994" i="33"/>
  <c r="Q1995" i="33"/>
  <c r="Q1996" i="33"/>
  <c r="Q1997" i="33"/>
  <c r="Q1998" i="33"/>
  <c r="Q1999" i="33"/>
  <c r="Q2000" i="33"/>
  <c r="Q2001" i="33"/>
  <c r="Q2" i="33" l="1"/>
  <c r="L5" i="33"/>
  <c r="R3" i="33" s="1"/>
  <c r="R1" i="33" s="1"/>
  <c r="A9" i="33" s="1"/>
  <c r="L6" i="33"/>
  <c r="Q4" i="33" s="1"/>
  <c r="G7" i="33"/>
  <c r="A7" i="33" s="1"/>
  <c r="G31" i="31"/>
  <c r="Q1" i="33" l="1"/>
  <c r="A11" i="33" s="1"/>
  <c r="G19" i="3"/>
  <c r="S122" i="4"/>
  <c r="S71" i="4"/>
  <c r="J15" i="3" l="1"/>
  <c r="K15" i="3" s="1"/>
  <c r="J16" i="3"/>
  <c r="K16" i="3" s="1"/>
  <c r="J18" i="3"/>
  <c r="K18" i="3" s="1"/>
  <c r="J17" i="3"/>
  <c r="K17" i="3" s="1"/>
  <c r="J11" i="3"/>
  <c r="K11" i="3" s="1"/>
  <c r="J13" i="3"/>
  <c r="K13" i="3" s="1"/>
  <c r="J12" i="3"/>
  <c r="K12" i="3" s="1"/>
  <c r="J10" i="3"/>
  <c r="K10" i="3" s="1"/>
  <c r="J9" i="3"/>
  <c r="K9" i="3" s="1"/>
  <c r="H19" i="3"/>
  <c r="I19" i="3"/>
  <c r="J14" i="3"/>
  <c r="J19" i="3" l="1"/>
  <c r="K14" i="3"/>
  <c r="F5" i="1"/>
  <c r="S11" i="4" l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O11" i="4"/>
  <c r="O12" i="4"/>
  <c r="O13" i="4"/>
  <c r="O14" i="4"/>
  <c r="S5" i="4"/>
  <c r="S6" i="4"/>
  <c r="S7" i="4"/>
  <c r="S8" i="4"/>
  <c r="S9" i="4"/>
  <c r="S10" i="4"/>
  <c r="O5" i="4" l="1"/>
  <c r="O6" i="4"/>
  <c r="O7" i="4"/>
  <c r="O8" i="4"/>
  <c r="O9" i="4"/>
  <c r="O10" i="4"/>
  <c r="C22" i="22"/>
  <c r="M28" i="22" l="1"/>
  <c r="M25" i="22"/>
  <c r="I25" i="22" s="1"/>
  <c r="M23" i="22"/>
  <c r="M24" i="22" s="1"/>
  <c r="AB14" i="18"/>
  <c r="P32" i="18"/>
  <c r="S32" i="18"/>
  <c r="Z14" i="18"/>
  <c r="H23" i="18"/>
  <c r="I32" i="18"/>
  <c r="Q14" i="18"/>
  <c r="Q32" i="18"/>
  <c r="P5" i="18"/>
  <c r="AA14" i="18"/>
  <c r="R32" i="18"/>
  <c r="AA23" i="18"/>
  <c r="S14" i="18"/>
  <c r="U32" i="18"/>
  <c r="H32" i="18"/>
  <c r="F23" i="18"/>
  <c r="F14" i="18"/>
  <c r="J23" i="18"/>
  <c r="T32" i="18"/>
  <c r="Z5" i="18"/>
  <c r="J32" i="18"/>
  <c r="F32" i="18"/>
  <c r="P14" i="18"/>
  <c r="Q5" i="18"/>
  <c r="I23" i="18"/>
  <c r="Z23" i="18"/>
  <c r="G23" i="18"/>
  <c r="R14" i="18"/>
  <c r="G5" i="18"/>
  <c r="P23" i="18"/>
  <c r="T5" i="18"/>
  <c r="Z32" i="18"/>
  <c r="G14" i="18"/>
  <c r="T14" i="18"/>
  <c r="AA32" i="18"/>
  <c r="F5" i="18"/>
  <c r="R5" i="18"/>
  <c r="U14" i="18"/>
  <c r="G32" i="18"/>
  <c r="S5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U5" i="18"/>
  <c r="AC14" i="18"/>
  <c r="Q23" i="18"/>
  <c r="H5" i="18"/>
  <c r="H14" i="18"/>
  <c r="AB23" i="18"/>
  <c r="K23" i="18"/>
  <c r="AB32" i="18"/>
  <c r="K32" i="18"/>
  <c r="AA5" i="18"/>
  <c r="V32" i="18"/>
  <c r="V14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O20" i="22"/>
  <c r="A16" i="22"/>
  <c r="L32" i="18"/>
  <c r="R23" i="18"/>
  <c r="I5" i="18"/>
  <c r="AD14" i="18"/>
  <c r="L23" i="18"/>
  <c r="I14" i="18"/>
  <c r="AB5" i="18"/>
  <c r="V5" i="18"/>
  <c r="AC23" i="18"/>
  <c r="AC32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E3" i="1"/>
  <c r="C3" i="1"/>
  <c r="AD32" i="18"/>
  <c r="AD23" i="18"/>
  <c r="J5" i="18"/>
  <c r="S23" i="18"/>
  <c r="AE32" i="18"/>
  <c r="AE14" i="18"/>
  <c r="AF14" i="18"/>
  <c r="J14" i="18"/>
  <c r="AC5" i="18"/>
  <c r="AF32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AD5" i="18"/>
  <c r="AE23" i="18"/>
  <c r="T23" i="18"/>
  <c r="K14" i="18"/>
  <c r="K5" i="18"/>
  <c r="AE5" i="18"/>
  <c r="I3" i="1" l="1"/>
  <c r="U23" i="18"/>
  <c r="L14" i="18"/>
  <c r="AF23" i="18"/>
  <c r="V23" i="18"/>
  <c r="L5" i="18"/>
  <c r="AF5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L8" i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<sst xmlns="http://schemas.openxmlformats.org/spreadsheetml/2006/main" count="1611" uniqueCount="1100">
  <si>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</si>
  <si>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</si>
  <si>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</si>
  <si>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</si>
  <si>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</si>
  <si>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</si>
  <si>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</si>
  <si>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</si>
  <si>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</si>
  <si>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</si>
  <si>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</si>
  <si>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</si>
  <si>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</si>
  <si>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</si>
  <si>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</si>
  <si>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</si>
  <si>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</si>
  <si>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</si>
  <si>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</si>
  <si>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</si>
  <si>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</si>
  <si>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</si>
  <si>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</si>
  <si>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</si>
  <si>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</si>
  <si>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</si>
  <si>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</si>
  <si>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</si>
  <si>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</si>
  <si>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</si>
  <si>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</si>
  <si>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</si>
  <si>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</si>
  <si>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</si>
  <si>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</si>
  <si>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</si>
  <si>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</si>
  <si>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</si>
  <si>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</si>
  <si>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</si>
  <si>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</si>
  <si>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</si>
  <si>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</si>
  <si>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</si>
  <si>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</si>
  <si>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</si>
  <si>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</si>
  <si>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</si>
  <si>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</si>
  <si>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</si>
  <si>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</si>
  <si>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</si>
  <si>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</si>
  <si>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</si>
  <si>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</si>
  <si>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</si>
  <si>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</si>
  <si>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</si>
  <si>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</si>
  <si>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</si>
  <si>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</si>
  <si>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</si>
  <si>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</si>
  <si>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</si>
  <si>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</si>
  <si>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</si>
  <si>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</si>
  <si>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</si>
  <si>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</si>
  <si>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</si>
  <si>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</si>
  <si>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</si>
  <si>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</si>
  <si>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</si>
  <si>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</si>
  <si>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</si>
  <si>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</si>
  <si>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</si>
  <si>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</si>
  <si>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</si>
  <si>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</si>
  <si>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</si>
  <si>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</si>
  <si>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</si>
  <si>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</si>
  <si>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</si>
  <si>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</si>
  <si>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</si>
  <si>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</si>
  <si>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</si>
  <si>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</si>
  <si>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</si>
  <si>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</si>
  <si>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</si>
  <si>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</si>
  <si>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</si>
  <si>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</si>
  <si>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</si>
  <si>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</si>
  <si>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</si>
  <si>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</si>
  <si>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</si>
  <si>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</si>
  <si>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</si>
  <si>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</si>
  <si>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</si>
  <si>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</si>
  <si>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</si>
  <si>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</si>
  <si>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</si>
  <si>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</si>
  <si>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</si>
  <si>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</si>
  <si>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</si>
  <si>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</si>
  <si>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</si>
  <si>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</si>
  <si>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</si>
  <si>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</si>
  <si>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</si>
  <si>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</si>
  <si>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</si>
  <si>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</si>
  <si>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</si>
  <si>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</si>
  <si>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</si>
  <si>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</si>
  <si>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</si>
  <si>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</si>
  <si>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</si>
  <si>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</si>
  <si>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</si>
  <si>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</si>
  <si>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</si>
  <si>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</si>
  <si>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</si>
  <si>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</si>
  <si>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</si>
  <si>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</si>
  <si>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</si>
  <si>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</si>
  <si>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</si>
  <si>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</si>
  <si>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</si>
  <si>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</si>
  <si>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</si>
  <si>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</si>
  <si>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</si>
  <si>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</si>
  <si>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</si>
  <si>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</si>
  <si>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</si>
  <si>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</si>
  <si>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</si>
  <si>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</si>
  <si>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</si>
  <si>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</si>
  <si>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</si>
  <si>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</si>
  <si>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</si>
  <si>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</si>
  <si>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</si>
  <si>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</si>
  <si>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</si>
  <si>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</si>
  <si>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</si>
  <si>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</si>
  <si>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</si>
  <si>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</si>
  <si>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</si>
  <si>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</si>
  <si>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</si>
  <si>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</si>
  <si>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</si>
  <si>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</si>
  <si>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</si>
  <si>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</si>
  <si>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</si>
  <si>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</si>
  <si>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</si>
  <si>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</si>
  <si>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</si>
  <si>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</si>
  <si>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</si>
  <si>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</si>
  <si>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</si>
  <si>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</si>
  <si>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</si>
  <si>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</si>
  <si>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</si>
  <si>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</si>
  <si>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</si>
  <si>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</si>
  <si>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</si>
  <si>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</si>
  <si>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</si>
  <si>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</si>
  <si>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</si>
  <si>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</si>
  <si>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</si>
  <si>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</si>
  <si>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</si>
  <si>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</si>
  <si>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</si>
  <si>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</si>
  <si>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</si>
  <si>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</si>
  <si>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</si>
  <si>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</si>
  <si>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</si>
  <si>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</si>
  <si>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</si>
  <si>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</si>
  <si>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</si>
  <si>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</si>
  <si>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</si>
  <si>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</si>
  <si>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</si>
  <si>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</si>
  <si>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</si>
  <si>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</si>
  <si>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</si>
  <si>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</si>
  <si>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</si>
  <si>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</si>
  <si>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</si>
  <si>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</si>
  <si>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</si>
  <si>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</si>
  <si>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</si>
  <si>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</si>
  <si>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</si>
  <si>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</si>
  <si>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</si>
  <si>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</si>
  <si>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</si>
  <si>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</si>
  <si>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</si>
  <si>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</si>
  <si>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</si>
  <si>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</si>
  <si>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</si>
  <si>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</si>
  <si>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</si>
  <si>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</si>
  <si>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</si>
  <si>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</si>
  <si>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</si>
  <si>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</si>
  <si>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</si>
  <si>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</si>
  <si>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</si>
  <si>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</si>
  <si>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</si>
  <si>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</si>
  <si>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</si>
  <si>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</si>
  <si>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</si>
  <si>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</si>
  <si>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</si>
  <si>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</si>
  <si>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</si>
  <si>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</si>
  <si>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</si>
  <si>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</si>
  <si>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</si>
  <si>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</si>
  <si>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</si>
  <si>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</si>
  <si>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</si>
  <si>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</si>
  <si>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</si>
  <si>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</si>
  <si>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</si>
  <si>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</si>
  <si>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</si>
  <si>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</si>
  <si>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</si>
  <si>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</si>
  <si>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</si>
  <si>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</si>
  <si>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</si>
  <si>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</si>
  <si>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</si>
  <si>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</si>
  <si>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</si>
  <si>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</si>
  <si>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</si>
  <si>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</si>
  <si>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</si>
  <si>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</si>
  <si>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</si>
  <si>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</si>
  <si>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</si>
  <si>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</si>
  <si>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</si>
  <si>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</si>
  <si>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</si>
  <si>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</si>
  <si>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</si>
  <si>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</si>
  <si>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</si>
  <si>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</si>
  <si>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</si>
  <si>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</si>
  <si>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</si>
  <si>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</si>
  <si>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</si>
  <si>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</si>
  <si>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</si>
  <si>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</si>
  <si>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</si>
  <si>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</si>
  <si>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</si>
  <si>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</si>
  <si>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</si>
  <si>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</si>
  <si>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</si>
  <si>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</si>
  <si>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</si>
  <si>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</si>
  <si>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</si>
  <si>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</si>
  <si>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</si>
  <si>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</si>
  <si>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</si>
  <si>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</si>
  <si>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</si>
  <si>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 پور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</si>
  <si>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</si>
  <si>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</si>
  <si>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</si>
  <si>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</si>
  <si>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</si>
  <si>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</si>
  <si>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</si>
  <si>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</si>
  <si>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</si>
  <si>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</si>
  <si>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</si>
  <si>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</si>
  <si>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</si>
  <si>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</si>
  <si>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</si>
  <si>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</si>
  <si>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</si>
  <si>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</si>
  <si>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</si>
  <si>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</si>
  <si>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</si>
  <si>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</si>
  <si>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</si>
  <si>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</si>
  <si>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</si>
  <si>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</si>
  <si>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</si>
  <si>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</si>
  <si>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</si>
  <si>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</si>
  <si>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</si>
  <si>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</si>
  <si>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</si>
  <si>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</si>
  <si>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</si>
  <si>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</si>
  <si>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</si>
  <si>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</si>
  <si>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</si>
  <si>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</si>
  <si>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</si>
  <si>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</si>
  <si>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</si>
  <si>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</si>
  <si>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</si>
  <si>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</si>
  <si>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</si>
  <si>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</si>
  <si>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</si>
  <si>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</si>
  <si>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</si>
  <si>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</si>
  <si>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</si>
  <si>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</si>
  <si>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</si>
  <si>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</si>
  <si>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</si>
  <si>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</si>
  <si>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</si>
  <si>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</si>
  <si>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</si>
  <si>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</si>
  <si>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</si>
  <si>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</si>
  <si>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</si>
  <si>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</si>
  <si>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</si>
  <si>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</si>
  <si>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</si>
  <si>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</si>
  <si>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</si>
  <si>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</si>
  <si>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</si>
  <si>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</si>
  <si>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</si>
  <si>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</si>
  <si>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</si>
  <si>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</si>
  <si>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</si>
  <si>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</si>
  <si>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</si>
  <si>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</si>
  <si>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1400/06/12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</si>
  <si>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</si>
  <si>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</si>
  <si>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</si>
  <si>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</si>
  <si>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</si>
  <si>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</si>
  <si>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</si>
  <si>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</si>
  <si>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</si>
  <si>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</si>
  <si>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</si>
  <si>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</si>
  <si>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</si>
  <si>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</si>
  <si>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</si>
  <si>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</si>
  <si>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</si>
  <si>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</si>
  <si>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</si>
  <si>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</si>
  <si>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</si>
  <si>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</si>
  <si>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</si>
  <si>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</si>
  <si>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</si>
  <si>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</si>
  <si>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</si>
  <si>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</si>
  <si>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</si>
  <si>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</si>
  <si>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</si>
  <si>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</si>
  <si>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</si>
  <si>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</si>
  <si>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</si>
  <si>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</si>
  <si>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</si>
  <si>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</si>
  <si>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</si>
  <si>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</si>
  <si>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</si>
  <si>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</si>
  <si>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</si>
  <si>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</si>
  <si>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</si>
  <si>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</si>
  <si>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</si>
  <si>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</si>
  <si>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</si>
  <si>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</si>
  <si>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</si>
  <si>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</si>
  <si>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</si>
  <si>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</si>
  <si>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</si>
  <si>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</si>
  <si>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</si>
  <si>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</si>
  <si>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</si>
  <si>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</si>
  <si>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</si>
  <si>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</si>
  <si>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</si>
  <si>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</si>
  <si>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</si>
  <si>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</si>
  <si>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</si>
  <si>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</si>
  <si>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</si>
  <si>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</si>
  <si>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</si>
  <si>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</si>
  <si>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</si>
  <si>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</si>
  <si>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</si>
  <si>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</si>
  <si>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</si>
  <si>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</si>
  <si>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</si>
  <si>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</si>
  <si>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</si>
  <si>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</si>
  <si>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</si>
  <si>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</si>
  <si>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</si>
  <si>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</si>
  <si>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</si>
  <si>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</si>
  <si>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</si>
  <si>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</si>
  <si>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</si>
  <si>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</si>
  <si>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</si>
  <si>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</si>
  <si>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</si>
  <si>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</si>
  <si>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</si>
  <si>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</si>
  <si>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</si>
  <si>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</si>
  <si>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</si>
  <si>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</si>
  <si>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</si>
  <si>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</si>
  <si>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</si>
  <si>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</si>
  <si>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</si>
  <si>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</si>
  <si>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</si>
  <si>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</si>
  <si>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</si>
  <si>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</si>
  <si>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</si>
  <si>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</si>
  <si>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</si>
  <si>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</si>
  <si>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</si>
  <si>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</si>
  <si>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</si>
  <si>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</si>
  <si>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</si>
  <si>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</si>
  <si>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</si>
  <si>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</si>
  <si>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</si>
  <si>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</si>
  <si>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</si>
  <si>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</si>
  <si>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</si>
  <si>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</si>
  <si>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</si>
  <si>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</si>
  <si>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</si>
  <si>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</si>
  <si>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</si>
  <si>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</si>
  <si>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</si>
  <si>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</si>
  <si>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</si>
  <si>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</si>
  <si>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</si>
  <si>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</si>
  <si>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</si>
  <si>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</si>
  <si>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</si>
  <si>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</si>
  <si>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</si>
  <si>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</si>
  <si>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</si>
  <si>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</si>
  <si>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</si>
  <si>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</si>
  <si>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</si>
  <si>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</si>
  <si>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</si>
  <si>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</si>
  <si>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</si>
  <si>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</si>
  <si>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</si>
  <si>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</si>
  <si>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</si>
  <si>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</si>
  <si>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</si>
  <si>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</si>
  <si>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</si>
  <si>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</si>
  <si>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</si>
  <si>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</si>
  <si>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</si>
  <si>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</si>
  <si>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</si>
  <si>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</si>
  <si>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</si>
  <si>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</si>
  <si>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</si>
  <si>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</si>
  <si>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</si>
  <si>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</si>
  <si>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</si>
  <si>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</si>
  <si>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</si>
  <si>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</si>
  <si>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</si>
  <si>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</si>
  <si>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</si>
  <si>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</si>
  <si>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</si>
  <si>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</si>
  <si>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</si>
  <si>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</si>
  <si>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</si>
  <si>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</si>
  <si>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</si>
  <si>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</si>
  <si>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</si>
  <si>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</si>
  <si>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</si>
  <si>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</si>
  <si>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</si>
  <si>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</si>
  <si>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</si>
  <si>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</si>
  <si>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</si>
  <si>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</si>
  <si>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</si>
  <si>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</si>
  <si>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</si>
  <si>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</si>
  <si>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</si>
  <si>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</si>
  <si>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</si>
  <si>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</si>
  <si>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</si>
  <si>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</si>
  <si>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</si>
  <si>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</si>
  <si>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</si>
  <si>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</si>
  <si>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</si>
  <si>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</si>
  <si>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</si>
  <si>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</si>
  <si>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</si>
  <si>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</si>
  <si>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</si>
  <si>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</si>
  <si>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</si>
  <si>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</si>
  <si>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</si>
  <si>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</si>
  <si>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</si>
  <si>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</si>
  <si>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</si>
  <si>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</si>
  <si>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</si>
  <si>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</si>
  <si>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</si>
  <si>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</si>
  <si>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</si>
  <si>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</si>
  <si>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</si>
  <si>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</si>
  <si>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</si>
  <si>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</si>
  <si>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</si>
  <si>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</si>
  <si>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</si>
  <si>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</si>
  <si>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</si>
  <si>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</si>
  <si>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</si>
  <si>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</si>
  <si>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</si>
  <si>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</si>
  <si>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</si>
  <si>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</si>
  <si>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</si>
  <si>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</si>
  <si>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</si>
  <si>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</si>
  <si>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</si>
  <si>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</si>
  <si>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</si>
  <si>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</si>
  <si>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</si>
  <si>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</si>
  <si>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</si>
  <si>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</si>
  <si>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</si>
  <si>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</si>
  <si>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</si>
  <si>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</si>
  <si>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</si>
  <si>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</si>
  <si>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</si>
  <si>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</si>
  <si>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</si>
  <si>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</si>
  <si>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</si>
  <si>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</si>
  <si>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</si>
  <si>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</si>
  <si>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</si>
  <si>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</si>
  <si>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</si>
  <si>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</si>
  <si>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</si>
  <si>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</si>
  <si>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</si>
  <si>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</si>
  <si>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</si>
  <si>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</si>
  <si>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</si>
  <si>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</si>
  <si>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</si>
  <si>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</si>
  <si>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</si>
  <si>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</si>
  <si>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</si>
  <si>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</si>
  <si>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</si>
  <si>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</si>
  <si>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</si>
  <si>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</si>
  <si>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</si>
  <si>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</si>
  <si>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</si>
  <si>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</si>
  <si>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</si>
  <si>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</si>
  <si>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</si>
  <si>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</si>
  <si>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</si>
  <si>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</si>
  <si>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</si>
  <si>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</si>
  <si>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</si>
  <si>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</si>
  <si>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</si>
  <si>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</si>
  <si>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</si>
  <si>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</si>
  <si>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</si>
  <si>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</si>
  <si>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</si>
  <si>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</si>
  <si>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</si>
  <si>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</si>
  <si>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</si>
  <si>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</si>
  <si>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</si>
  <si>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</si>
  <si>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</si>
  <si>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</si>
  <si>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</si>
  <si>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</si>
  <si>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</si>
  <si>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</si>
  <si>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</si>
  <si>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</si>
  <si>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</si>
  <si>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</si>
  <si>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</si>
  <si>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</si>
  <si>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</si>
  <si>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</si>
  <si>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</si>
  <si>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</si>
  <si>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</si>
  <si>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</si>
  <si>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</si>
  <si>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</si>
  <si>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</si>
  <si>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</si>
  <si>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</si>
  <si>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</si>
  <si>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</si>
  <si>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</si>
  <si>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</si>
  <si>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</si>
  <si>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</si>
  <si>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</si>
  <si>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</si>
  <si>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</si>
  <si>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</si>
  <si>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</si>
  <si>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</si>
  <si>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</si>
  <si>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</si>
  <si>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</si>
  <si>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</si>
  <si>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</si>
  <si>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</si>
  <si>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</si>
  <si>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</si>
  <si>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</si>
  <si>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</si>
  <si>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</si>
  <si>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</si>
  <si>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</si>
  <si>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</si>
  <si>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</si>
  <si>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</si>
  <si>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</si>
  <si>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</si>
  <si>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</si>
  <si>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</si>
  <si>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</si>
  <si>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</si>
  <si>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</si>
  <si>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</si>
  <si>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</si>
  <si>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</si>
  <si>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</si>
  <si>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</si>
  <si>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</si>
  <si>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</si>
  <si>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</si>
  <si>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</si>
  <si>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</si>
  <si>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</si>
  <si>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</si>
  <si>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</si>
  <si>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</si>
  <si>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</si>
  <si>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</si>
  <si>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</si>
  <si>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</si>
  <si>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</si>
  <si>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</si>
  <si>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</si>
  <si>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</si>
  <si>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</si>
  <si>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</si>
  <si>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</si>
  <si>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</si>
  <si>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</si>
  <si>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</si>
  <si>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</si>
  <si>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</si>
  <si>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</si>
  <si>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</si>
  <si>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</si>
  <si>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</si>
  <si>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</si>
  <si>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</si>
  <si>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</si>
  <si>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</si>
  <si>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</si>
  <si>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</si>
  <si>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</si>
  <si>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</si>
  <si>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</si>
  <si>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</si>
  <si>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</si>
  <si>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</si>
  <si>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</si>
  <si>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</si>
  <si>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</si>
  <si>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</si>
  <si>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</si>
  <si>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</si>
  <si>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</si>
  <si>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</si>
  <si>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</si>
  <si>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</si>
  <si>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</si>
  <si>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</si>
  <si>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</si>
  <si>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</si>
  <si>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</si>
  <si>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</si>
  <si>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</si>
  <si>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</si>
  <si>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</si>
  <si>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</si>
  <si>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</si>
  <si>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</si>
  <si>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</si>
  <si>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</si>
  <si>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</si>
  <si>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</si>
  <si>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</si>
  <si>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</si>
  <si>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</si>
  <si>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</si>
  <si>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</si>
  <si>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</si>
  <si>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</si>
  <si>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</si>
  <si>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</si>
  <si>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</si>
  <si>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</si>
  <si>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</si>
  <si>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</si>
  <si>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</si>
  <si>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</si>
  <si>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</si>
  <si>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</si>
  <si>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</si>
  <si>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</si>
  <si>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</si>
  <si>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</si>
  <si>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</si>
  <si>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</si>
  <si>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</si>
  <si>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</si>
  <si>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</si>
  <si>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</si>
  <si>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</si>
  <si>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</si>
  <si>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</si>
  <si>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</si>
  <si>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</si>
  <si>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</si>
  <si>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</si>
  <si>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</si>
  <si>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</si>
  <si>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</si>
  <si>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</si>
  <si>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</si>
  <si>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</si>
  <si>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</si>
  <si>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</si>
  <si>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</si>
  <si>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</si>
  <si>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</si>
  <si>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</si>
  <si>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</si>
  <si>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</si>
  <si>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</si>
  <si>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</si>
  <si>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</si>
  <si>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</si>
  <si>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</si>
  <si>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</si>
  <si>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</si>
  <si>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</si>
  <si>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</si>
  <si>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</si>
  <si>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</si>
  <si>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</si>
  <si>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</si>
  <si>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</si>
  <si>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</si>
  <si>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</si>
  <si>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</si>
  <si>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</si>
  <si>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</si>
  <si>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</si>
  <si>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</si>
  <si>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</si>
  <si>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</si>
  <si>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</si>
  <si>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</si>
  <si>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</si>
  <si>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</si>
  <si>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</si>
  <si>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</si>
  <si>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</si>
  <si>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</si>
  <si>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</si>
  <si>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</si>
  <si>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</si>
  <si>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</si>
  <si>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</si>
  <si>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</si>
  <si>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</si>
  <si>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</si>
  <si>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</si>
  <si>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</si>
  <si>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</si>
  <si>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</si>
  <si>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</si>
  <si>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</si>
  <si>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</si>
  <si>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</si>
  <si>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</si>
  <si>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</si>
  <si>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</si>
  <si>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</si>
  <si>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</si>
  <si>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</si>
  <si>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مدیریت کالا‌ها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</si>
  <si>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</si>
  <si>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</si>
  <si>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</si>
  <si>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</si>
  <si>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</si>
  <si>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</si>
  <si>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</si>
  <si>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</si>
  <si>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توضیح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</si>
  <si>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</si>
  <si>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</si>
  <si>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</si>
  <si>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</si>
  <si>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</si>
  <si>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</si>
  <si>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</si>
  <si>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</si>
  <si>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</si>
  <si>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</si>
  <si>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</si>
  <si>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</si>
  <si>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</si>
  <si>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</si>
  <si>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</si>
  <si>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</si>
  <si>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</si>
  <si>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</si>
  <si>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</si>
  <si>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</si>
  <si>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</si>
  <si>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</si>
  <si>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</si>
  <si>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</si>
  <si>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</si>
  <si>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</si>
  <si>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</si>
  <si>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</si>
  <si>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</si>
  <si>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</si>
  <si>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</si>
  <si>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</si>
  <si>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</si>
  <si>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</si>
  <si>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</si>
  <si>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</si>
  <si>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</si>
  <si>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</si>
  <si>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</si>
  <si>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</si>
  <si>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</si>
  <si>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</si>
  <si>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</si>
  <si>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</si>
  <si>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</si>
  <si>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</si>
  <si>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</si>
  <si>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</si>
  <si>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</si>
  <si>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</si>
  <si>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</si>
  <si>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</si>
  <si>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</si>
  <si>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</si>
  <si>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</si>
  <si>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</si>
  <si>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</si>
  <si>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</si>
  <si>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</si>
  <si>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</si>
  <si>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</si>
  <si>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</si>
  <si>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</si>
  <si>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</si>
  <si>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</si>
  <si>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</si>
  <si>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</si>
  <si>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</si>
  <si>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</si>
  <si>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</si>
  <si>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</si>
  <si>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</si>
  <si>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</si>
  <si>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</si>
  <si>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</si>
  <si>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</si>
  <si>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</si>
  <si>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</si>
  <si>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</si>
  <si>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مسئول تراکنش</t>
  </si>
  <si>
    <t>درصد مشارکت</t>
  </si>
  <si>
    <t>بابت</t>
  </si>
  <si>
    <t>رسید تراکنش</t>
  </si>
  <si>
    <t>سهم مشارکت کننده</t>
  </si>
  <si>
    <t>سهم مشارکت فرد ۱</t>
  </si>
  <si>
    <t>سهم مشارکت فرد ۲</t>
  </si>
  <si>
    <t>لیست دریافت کنندگان مشترک</t>
  </si>
  <si>
    <t>لیست مالکان حساب مشترک</t>
  </si>
  <si>
    <t>فرد ۱</t>
  </si>
  <si>
    <t>فرد ۲</t>
  </si>
  <si>
    <t>صاحب خانه</t>
  </si>
  <si>
    <t>اداره برق</t>
  </si>
  <si>
    <t>اداره آب</t>
  </si>
  <si>
    <t>اداره گاز</t>
  </si>
  <si>
    <t>ارائه دهنده سرویس اینترنت</t>
  </si>
  <si>
    <t>وضعیت تسویه حساب</t>
  </si>
  <si>
    <t>رسید تسویه حساب</t>
  </si>
  <si>
    <t>تسویه شد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</si>
  <si>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</si>
  <si>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</si>
  <si>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</si>
  <si>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</si>
  <si>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</si>
  <si>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</si>
  <si>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حساب مشترک</t>
  </si>
  <si>
    <t>فروشگاه مواد غذایی</t>
  </si>
  <si>
    <t>فروشگاه مواد بهداشتی</t>
  </si>
  <si>
    <t>تعمیر کار و سرویس کار</t>
  </si>
  <si>
    <t>اهمیت</t>
  </si>
  <si>
    <t>جدول اهمیت بودجه</t>
  </si>
  <si>
    <t>S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</si>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</sst>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  <numFmt numFmtId="170" formatCode="#,##0;[Red]#,##0"/>
  </numFmts>
  <fonts count="3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334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1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2" borderId="0" xfId="0" applyFill="1"/>
    <xf numFmtId="0" fontId="9" fillId="22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22" borderId="0" xfId="0" applyFont="1" applyFill="1" applyAlignment="1">
      <alignment horizontal="center" vertical="center" wrapText="1" readingOrder="2"/>
    </xf>
    <xf numFmtId="0" fontId="0" fillId="22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23" borderId="1" xfId="0" applyNumberFormat="1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49" fontId="8" fillId="23" borderId="1" xfId="0" applyNumberFormat="1" applyFont="1" applyFill="1" applyBorder="1" applyAlignment="1">
      <alignment horizontal="center" vertical="center"/>
    </xf>
    <xf numFmtId="0" fontId="8" fillId="23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165" fontId="8" fillId="23" borderId="1" xfId="0" applyNumberFormat="1" applyFont="1" applyFill="1" applyBorder="1" applyAlignment="1">
      <alignment horizontal="center" vertical="center"/>
    </xf>
    <xf numFmtId="1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Font="1" applyFill="1" applyBorder="1" applyAlignment="1">
      <alignment horizontal="center" vertical="center" wrapText="1" readingOrder="2"/>
    </xf>
    <xf numFmtId="166" fontId="9" fillId="24" borderId="2" xfId="0" applyNumberFormat="1" applyFont="1" applyFill="1" applyBorder="1" applyAlignment="1">
      <alignment horizontal="center" vertical="center" wrapText="1" readingOrder="2"/>
    </xf>
    <xf numFmtId="49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NumberFormat="1" applyFont="1" applyFill="1" applyBorder="1" applyAlignment="1">
      <alignment horizontal="center" vertical="center" wrapText="1" readingOrder="2"/>
    </xf>
    <xf numFmtId="165" fontId="9" fillId="24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5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5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3" fillId="26" borderId="0" xfId="1" applyFont="1" applyFill="1" applyAlignment="1" applyProtection="1">
      <alignment horizontal="center" vertical="center"/>
    </xf>
    <xf numFmtId="0" fontId="3" fillId="27" borderId="0" xfId="1" applyFont="1" applyFill="1" applyAlignment="1">
      <alignment horizontal="center" vertical="center"/>
    </xf>
    <xf numFmtId="0" fontId="14" fillId="20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9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9" borderId="0" xfId="0" applyFill="1"/>
    <xf numFmtId="0" fontId="0" fillId="0" borderId="0" xfId="0" applyFill="1"/>
    <xf numFmtId="0" fontId="15" fillId="30" borderId="0" xfId="0" applyFont="1" applyFill="1" applyAlignment="1">
      <alignment horizontal="center" vertical="center" wrapText="1" readingOrder="2"/>
    </xf>
    <xf numFmtId="0" fontId="0" fillId="30" borderId="0" xfId="0" applyFill="1"/>
    <xf numFmtId="0" fontId="19" fillId="17" borderId="0" xfId="0" applyFont="1" applyFill="1" applyAlignment="1">
      <alignment horizontal="center" vertical="center" wrapText="1" readingOrder="2"/>
    </xf>
    <xf numFmtId="0" fontId="20" fillId="17" borderId="0" xfId="0" applyFont="1" applyFill="1"/>
    <xf numFmtId="0" fontId="0" fillId="17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31" borderId="0" xfId="0" applyFont="1" applyFill="1" applyAlignment="1">
      <alignment horizontal="center" vertical="center" wrapText="1" readingOrder="2"/>
    </xf>
    <xf numFmtId="0" fontId="20" fillId="31" borderId="0" xfId="0" applyFont="1" applyFill="1"/>
    <xf numFmtId="0" fontId="0" fillId="31" borderId="0" xfId="0" applyFill="1"/>
    <xf numFmtId="0" fontId="13" fillId="32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35" borderId="0" xfId="0" applyFill="1"/>
    <xf numFmtId="169" fontId="23" fillId="35" borderId="0" xfId="0" applyNumberFormat="1" applyFont="1" applyFill="1" applyAlignment="1" applyProtection="1">
      <alignment horizontal="center" vertical="center"/>
    </xf>
    <xf numFmtId="0" fontId="21" fillId="35" borderId="0" xfId="0" applyNumberFormat="1" applyFont="1" applyFill="1" applyAlignment="1" applyProtection="1">
      <alignment horizontal="center" vertical="center"/>
    </xf>
    <xf numFmtId="0" fontId="4" fillId="20" borderId="0" xfId="0" applyFont="1" applyFill="1" applyAlignment="1" applyProtection="1">
      <alignment horizontal="center" vertical="center" wrapText="1" readingOrder="2"/>
    </xf>
    <xf numFmtId="0" fontId="4" fillId="35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horizontal="center" vertical="center" wrapText="1" readingOrder="2"/>
    </xf>
    <xf numFmtId="0" fontId="20" fillId="35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5" fillId="5" borderId="0" xfId="1" applyFont="1" applyFill="1" applyBorder="1" applyAlignment="1" applyProtection="1">
      <alignment horizontal="center" vertical="center" wrapText="1" readingOrder="2"/>
    </xf>
    <xf numFmtId="0" fontId="8" fillId="16" borderId="0" xfId="0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18" fillId="9" borderId="0" xfId="0" applyFont="1" applyFill="1" applyAlignment="1" applyProtection="1">
      <alignment horizontal="center" vertical="center" wrapText="1" readingOrder="2"/>
    </xf>
    <xf numFmtId="0" fontId="5" fillId="15" borderId="0" xfId="1" applyFont="1" applyFill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0" fontId="8" fillId="9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5" fillId="2" borderId="0" xfId="1" applyFont="1" applyFill="1" applyBorder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5" fillId="3" borderId="0" xfId="1" applyFont="1" applyFill="1" applyBorder="1" applyAlignment="1" applyProtection="1">
      <alignment horizontal="center" vertical="center" wrapText="1" readingOrder="2"/>
    </xf>
    <xf numFmtId="0" fontId="5" fillId="6" borderId="0" xfId="1" applyNumberFormat="1" applyFont="1" applyFill="1" applyBorder="1" applyAlignment="1" applyProtection="1">
      <alignment horizontal="center" vertical="center" wrapText="1" readingOrder="2"/>
    </xf>
    <xf numFmtId="49" fontId="5" fillId="4" borderId="0" xfId="1" applyNumberFormat="1" applyFont="1" applyFill="1" applyBorder="1" applyAlignment="1" applyProtection="1">
      <alignment horizontal="center" vertical="center" wrapText="1" readingOrder="2"/>
    </xf>
    <xf numFmtId="0" fontId="5" fillId="7" borderId="0" xfId="1" applyFont="1" applyFill="1" applyBorder="1" applyAlignment="1" applyProtection="1">
      <alignment horizontal="center" vertical="center" wrapText="1" readingOrder="2"/>
    </xf>
    <xf numFmtId="0" fontId="5" fillId="14" borderId="0" xfId="1" applyNumberFormat="1" applyFont="1" applyFill="1" applyAlignment="1" applyProtection="1">
      <alignment horizontal="center" vertical="center" wrapText="1" readingOrder="2"/>
    </xf>
    <xf numFmtId="0" fontId="6" fillId="8" borderId="0" xfId="1" applyFont="1" applyFill="1" applyBorder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5" fillId="12" borderId="0" xfId="1" applyFont="1" applyFill="1" applyBorder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3" borderId="0" xfId="1" applyFont="1" applyFill="1" applyBorder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4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20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8" borderId="0" xfId="0" applyFont="1" applyFill="1" applyAlignment="1" applyProtection="1">
      <alignment horizontal="center" vertical="center" wrapText="1" readingOrder="2"/>
    </xf>
    <xf numFmtId="0" fontId="27" fillId="18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20" borderId="0" xfId="0" applyFont="1" applyFill="1" applyAlignment="1" applyProtection="1">
      <alignment horizontal="center" vertical="center"/>
    </xf>
    <xf numFmtId="0" fontId="0" fillId="35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35" borderId="0" xfId="0" applyFont="1" applyFill="1" applyProtection="1"/>
    <xf numFmtId="0" fontId="0" fillId="35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22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9" borderId="0" xfId="0" applyNumberFormat="1" applyFont="1" applyFill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/>
    </xf>
    <xf numFmtId="49" fontId="5" fillId="4" borderId="0" xfId="1" applyNumberFormat="1" applyFont="1" applyFill="1" applyBorder="1" applyAlignment="1" applyProtection="1">
      <alignment horizontal="center" vertical="center" readingOrder="2"/>
    </xf>
    <xf numFmtId="0" fontId="5" fillId="32" borderId="0" xfId="1" applyNumberFormat="1" applyFont="1" applyFill="1" applyAlignment="1" applyProtection="1">
      <alignment horizontal="center" vertical="center"/>
    </xf>
    <xf numFmtId="0" fontId="0" fillId="37" borderId="0" xfId="0" applyFont="1" applyFill="1" applyProtection="1">
      <protection locked="0"/>
    </xf>
    <xf numFmtId="49" fontId="8" fillId="18" borderId="0" xfId="0" applyNumberFormat="1" applyFont="1" applyFill="1" applyAlignment="1" applyProtection="1">
      <alignment horizontal="center" vertical="center" wrapText="1" readingOrder="2"/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70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4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49" fontId="0" fillId="18" borderId="12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18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4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0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5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70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20" borderId="0" xfId="0" applyFont="1" applyFill="1" applyAlignment="1" applyProtection="1">
      <alignment horizontal="center" vertical="center"/>
    </xf>
    <xf numFmtId="0" fontId="0" fillId="37" borderId="0" xfId="0" applyFont="1" applyFill="1" applyProtection="1"/>
    <xf numFmtId="170" fontId="0" fillId="35" borderId="0" xfId="0" applyNumberFormat="1" applyFont="1" applyFill="1" applyProtection="1"/>
    <xf numFmtId="0" fontId="0" fillId="0" borderId="7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0" fontId="0" fillId="18" borderId="0" xfId="0" applyFont="1" applyFill="1" applyAlignment="1" applyProtection="1">
      <protection locked="0"/>
    </xf>
    <xf numFmtId="49" fontId="1" fillId="18" borderId="0" xfId="0" applyNumberFormat="1" applyFont="1" applyFill="1" applyAlignment="1" applyProtection="1">
      <alignment horizontal="right" vertical="center" readingOrder="2"/>
      <protection locked="0"/>
    </xf>
    <xf numFmtId="49" fontId="0" fillId="37" borderId="0" xfId="0" applyNumberFormat="1" applyFont="1" applyFill="1" applyAlignment="1" applyProtection="1">
      <protection locked="0"/>
    </xf>
    <xf numFmtId="0" fontId="0" fillId="37" borderId="0" xfId="0" applyFill="1" applyProtection="1">
      <protection locked="0"/>
    </xf>
    <xf numFmtId="0" fontId="32" fillId="37" borderId="0" xfId="0" applyFont="1" applyFill="1" applyProtection="1"/>
    <xf numFmtId="0" fontId="0" fillId="37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70" fontId="7" fillId="0" borderId="0" xfId="0" applyNumberFormat="1" applyFont="1" applyAlignment="1" applyProtection="1">
      <alignment horizontal="center" vertical="center" readingOrder="2"/>
      <protection locked="0"/>
    </xf>
    <xf numFmtId="0" fontId="7" fillId="0" borderId="0" xfId="0" applyFont="1" applyAlignment="1" applyProtection="1">
      <alignment horizontal="center" vertical="center" wrapText="1" readingOrder="2"/>
      <protection locked="0"/>
    </xf>
    <xf numFmtId="9" fontId="7" fillId="0" borderId="0" xfId="0" applyNumberFormat="1" applyFont="1" applyAlignment="1" applyProtection="1">
      <alignment horizontal="center" vertical="center" wrapText="1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7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9" fontId="0" fillId="0" borderId="0" xfId="0" applyNumberFormat="1" applyAlignment="1" applyProtection="1">
      <alignment horizontal="center" vertical="center" wrapText="1" readingOrder="2"/>
      <protection locked="0"/>
    </xf>
    <xf numFmtId="49" fontId="0" fillId="18" borderId="0" xfId="0" applyNumberFormat="1" applyFill="1" applyAlignment="1" applyProtection="1">
      <alignment horizontal="center" vertical="center" wrapText="1" readingOrder="2"/>
      <protection locked="0"/>
    </xf>
    <xf numFmtId="0" fontId="0" fillId="18" borderId="0" xfId="0" applyFill="1" applyAlignment="1" applyProtection="1">
      <alignment horizontal="center" vertical="center" wrapText="1" readingOrder="2"/>
      <protection locked="0"/>
    </xf>
    <xf numFmtId="9" fontId="0" fillId="18" borderId="0" xfId="0" applyNumberFormat="1" applyFill="1" applyAlignment="1" applyProtection="1">
      <alignment horizontal="center" vertical="center" wrapText="1" readingOrder="2"/>
      <protection locked="0"/>
    </xf>
    <xf numFmtId="170" fontId="0" fillId="18" borderId="0" xfId="0" applyNumberFormat="1" applyFill="1" applyAlignment="1" applyProtection="1">
      <alignment horizontal="center" vertical="center" readingOrder="2"/>
      <protection locked="0"/>
    </xf>
    <xf numFmtId="3" fontId="0" fillId="37" borderId="0" xfId="0" applyNumberFormat="1" applyFill="1" applyProtection="1">
      <protection locked="0"/>
    </xf>
    <xf numFmtId="49" fontId="0" fillId="37" borderId="0" xfId="0" applyNumberFormat="1" applyFill="1" applyProtection="1">
      <protection locked="0"/>
    </xf>
    <xf numFmtId="170" fontId="0" fillId="37" borderId="0" xfId="0" applyNumberFormat="1" applyFill="1" applyAlignment="1" applyProtection="1">
      <protection locked="0"/>
    </xf>
    <xf numFmtId="9" fontId="0" fillId="37" borderId="0" xfId="0" applyNumberFormat="1" applyFill="1" applyProtection="1">
      <protection locked="0"/>
    </xf>
    <xf numFmtId="49" fontId="0" fillId="37" borderId="0" xfId="0" quotePrefix="1" applyNumberFormat="1" applyFill="1" applyProtection="1">
      <protection locked="0"/>
    </xf>
    <xf numFmtId="170" fontId="0" fillId="0" borderId="0" xfId="0" applyNumberFormat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wrapText="1" readingOrder="2"/>
    </xf>
    <xf numFmtId="0" fontId="0" fillId="35" borderId="0" xfId="0" applyFont="1" applyFill="1" applyProtection="1">
      <protection locked="0"/>
    </xf>
    <xf numFmtId="0" fontId="0" fillId="35" borderId="0" xfId="0" applyFill="1" applyProtection="1">
      <protection locked="0"/>
    </xf>
    <xf numFmtId="0" fontId="0" fillId="35" borderId="0" xfId="0" applyFill="1" applyAlignment="1" applyProtection="1">
      <alignment horizontal="center" vertical="center" wrapText="1" readingOrder="2"/>
      <protection locked="0"/>
    </xf>
    <xf numFmtId="0" fontId="0" fillId="35" borderId="0" xfId="0" applyFill="1" applyProtection="1"/>
    <xf numFmtId="0" fontId="8" fillId="21" borderId="0" xfId="0" applyFont="1" applyFill="1" applyAlignment="1" applyProtection="1">
      <alignment horizontal="center" vertical="center" wrapText="1" readingOrder="2"/>
    </xf>
    <xf numFmtId="165" fontId="8" fillId="21" borderId="7" xfId="0" applyNumberFormat="1" applyFont="1" applyFill="1" applyBorder="1" applyAlignment="1" applyProtection="1">
      <alignment horizontal="center" vertical="center" wrapText="1" readingOrder="2"/>
    </xf>
    <xf numFmtId="0" fontId="8" fillId="31" borderId="0" xfId="0" applyFont="1" applyFill="1" applyAlignment="1" applyProtection="1">
      <alignment horizontal="center" vertical="center" wrapText="1" readingOrder="2"/>
    </xf>
    <xf numFmtId="165" fontId="8" fillId="31" borderId="7" xfId="0" applyNumberFormat="1" applyFont="1" applyFill="1" applyBorder="1" applyAlignment="1" applyProtection="1">
      <alignment horizontal="center" vertical="center" wrapText="1" readingOrder="2"/>
    </xf>
    <xf numFmtId="0" fontId="0" fillId="35" borderId="0" xfId="0" applyFill="1" applyAlignment="1" applyProtection="1">
      <alignment horizontal="center" vertical="center" wrapText="1" readingOrder="2"/>
    </xf>
    <xf numFmtId="165" fontId="8" fillId="31" borderId="0" xfId="0" applyNumberFormat="1" applyFont="1" applyFill="1" applyAlignment="1" applyProtection="1">
      <alignment horizontal="center" vertical="center" wrapText="1" readingOrder="2"/>
    </xf>
    <xf numFmtId="0" fontId="0" fillId="0" borderId="7" xfId="0" applyBorder="1" applyAlignment="1" applyProtection="1">
      <alignment horizontal="center" vertical="center" wrapText="1" readingOrder="2"/>
      <protection locked="0"/>
    </xf>
    <xf numFmtId="0" fontId="13" fillId="17" borderId="0" xfId="1" applyFont="1" applyFill="1" applyAlignment="1" applyProtection="1">
      <alignment horizontal="center" vertical="center" wrapText="1"/>
    </xf>
    <xf numFmtId="0" fontId="22" fillId="17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31" borderId="0" xfId="0" applyFont="1" applyFill="1" applyAlignment="1">
      <alignment horizontal="center" vertical="center" wrapText="1" readingOrder="2"/>
    </xf>
    <xf numFmtId="0" fontId="17" fillId="15" borderId="0" xfId="0" applyFont="1" applyFill="1" applyAlignment="1">
      <alignment horizontal="center" vertical="center" textRotation="180" wrapText="1" readingOrder="2"/>
    </xf>
    <xf numFmtId="0" fontId="22" fillId="30" borderId="0" xfId="0" applyFont="1" applyFill="1" applyAlignment="1">
      <alignment horizontal="center" vertical="center" wrapText="1" readingOrder="2"/>
    </xf>
    <xf numFmtId="0" fontId="22" fillId="29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21" borderId="0" xfId="0" applyFont="1" applyFill="1" applyAlignment="1">
      <alignment horizontal="center" vertical="center" textRotation="180" wrapText="1" readingOrder="2"/>
    </xf>
    <xf numFmtId="49" fontId="8" fillId="19" borderId="0" xfId="0" applyNumberFormat="1" applyFont="1" applyFill="1" applyAlignment="1">
      <alignment horizontal="center" vertical="center" wrapText="1" readingOrder="2"/>
    </xf>
    <xf numFmtId="0" fontId="8" fillId="18" borderId="0" xfId="0" applyFont="1" applyFill="1" applyAlignment="1">
      <alignment horizontal="center" vertical="center" wrapText="1" readingOrder="2"/>
    </xf>
    <xf numFmtId="0" fontId="8" fillId="36" borderId="0" xfId="1" applyFont="1" applyFill="1" applyBorder="1" applyAlignment="1" applyProtection="1">
      <alignment horizontal="center" vertical="center" wrapText="1"/>
    </xf>
    <xf numFmtId="0" fontId="0" fillId="21" borderId="0" xfId="0" applyFont="1" applyFill="1" applyAlignment="1" applyProtection="1">
      <alignment horizontal="center" vertical="center" wrapText="1" readingOrder="2"/>
    </xf>
    <xf numFmtId="0" fontId="0" fillId="15" borderId="0" xfId="0" applyFont="1" applyFill="1" applyAlignment="1" applyProtection="1">
      <alignment horizontal="center" vertical="center" wrapText="1" readingOrder="2"/>
    </xf>
    <xf numFmtId="0" fontId="8" fillId="36" borderId="0" xfId="0" applyFont="1" applyFill="1" applyAlignment="1" applyProtection="1">
      <alignment horizontal="center" vertical="center" wrapText="1" readingOrder="2"/>
    </xf>
    <xf numFmtId="0" fontId="7" fillId="27" borderId="0" xfId="0" applyFont="1" applyFill="1" applyAlignment="1" applyProtection="1">
      <alignment horizontal="center" vertical="center" wrapText="1" readingOrder="2"/>
    </xf>
    <xf numFmtId="0" fontId="18" fillId="21" borderId="0" xfId="0" applyFont="1" applyFill="1" applyAlignment="1" applyProtection="1">
      <alignment horizontal="center" vertical="center" wrapText="1" readingOrder="2"/>
    </xf>
    <xf numFmtId="0" fontId="18" fillId="3" borderId="0" xfId="0" applyFont="1" applyFill="1" applyAlignment="1" applyProtection="1">
      <alignment horizontal="center" vertical="center" wrapText="1" readingOrder="2"/>
    </xf>
    <xf numFmtId="0" fontId="18" fillId="33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34" borderId="0" xfId="0" applyFont="1" applyFill="1" applyAlignment="1" applyProtection="1">
      <alignment horizontal="center" vertical="center" wrapText="1" readingOrder="2"/>
    </xf>
    <xf numFmtId="0" fontId="8" fillId="18" borderId="0" xfId="0" applyFont="1" applyFill="1" applyAlignment="1" applyProtection="1">
      <alignment horizontal="center" vertical="center" wrapText="1"/>
    </xf>
    <xf numFmtId="0" fontId="7" fillId="27" borderId="0" xfId="0" applyFont="1" applyFill="1" applyAlignment="1" applyProtection="1">
      <alignment horizontal="center" vertical="center" wrapText="1"/>
    </xf>
    <xf numFmtId="49" fontId="0" fillId="0" borderId="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Border="1" applyAlignment="1" applyProtection="1">
      <alignment horizontal="center" vertical="center" wrapText="1" readingOrder="2"/>
      <protection locked="0"/>
    </xf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3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b val="0"/>
        <i/>
      </font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1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1" hidden="0"/>
    </dxf>
    <dxf>
      <numFmt numFmtId="13" formatCode="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3" formatCode="0%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%20accounting%20office/Personal/Personal%20Accountant%20-%20For%20My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چک نویس"/>
      <sheetName val="فهرست"/>
      <sheetName val="تراکنش‌ها"/>
      <sheetName val="برنامه و بودجه بندی"/>
      <sheetName val="مدیریت سرمایه‌‌گذاری"/>
      <sheetName val="مدیریت کالا‌ها"/>
      <sheetName val="مدیریت منزل"/>
      <sheetName val="مدیریت وام و اقساط"/>
      <sheetName val="مدیریت چک‌ها"/>
      <sheetName val="مدیریت بدهی‌ها-طلب‌ها"/>
      <sheetName val="برنامه ریزی پرداخت‌ها"/>
      <sheetName val="تقویم"/>
      <sheetName val="گزارش فعالیت‌های ماه جاری"/>
      <sheetName val="گزارش دریافت‌ها"/>
      <sheetName val="گزارش پرداخت‌ها"/>
      <sheetName val="گزارش انتقال‌ها"/>
      <sheetName val="گروه‌‌های درآمدی"/>
      <sheetName val="گزارش گروه‌های دریافتی"/>
      <sheetName val="گروه‌‌های (بابت‌ها) هزینه"/>
      <sheetName val="گزارش گروه‌های پرداختی"/>
      <sheetName val="گروه‌های انتقال"/>
      <sheetName val="گزارش گروه‌های انتقال"/>
      <sheetName val="جست و جو"/>
      <sheetName val="دریافت کنندگان - پرداخت کنندگان"/>
      <sheetName val="تنظیمات حساب"/>
      <sheetName val="تنظیمات دفترچه"/>
      <sheetName val="راهنما"/>
      <sheetName val="Personal Accountant - For My V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  <sheetData sheetId="2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N507" totalsRowShown="0" headerRowDxfId="325" dataDxfId="324">
  <autoFilter ref="A7:N507" xr:uid="{00000000-0009-0000-0100-000003000000}"/>
  <tableColumns count="14">
    <tableColumn id="1" xr3:uid="{00000000-0010-0000-0000-000001000000}" name="ردیف" dataDxfId="323"/>
    <tableColumn id="2" xr3:uid="{00000000-0010-0000-0000-000002000000}" name="افراد (اعضا)" dataDxfId="322"/>
    <tableColumn id="4" xr3:uid="{00000000-0010-0000-0000-000004000000}" name="تاریخ" dataDxfId="321"/>
    <tableColumn id="5" xr3:uid="{00000000-0010-0000-0000-000005000000}" name="عنوان" dataDxfId="320"/>
    <tableColumn id="14" xr3:uid="{00000000-0010-0000-0000-00000E000000}" name="تراکنش" dataDxfId="319"/>
    <tableColumn id="6" xr3:uid="{00000000-0010-0000-0000-000006000000}" name="گروه (درآمد/هزینه)" dataDxfId="318"/>
    <tableColumn id="7" xr3:uid="{00000000-0010-0000-0000-000007000000}" name="زیر گروه" dataDxfId="317"/>
    <tableColumn id="3" xr3:uid="{00000000-0010-0000-0000-000003000000}" name="روش تراکنش" dataDxfId="316"/>
    <tableColumn id="8" xr3:uid="{00000000-0010-0000-0000-000008000000}" name="مبلغ (ریال)" dataDxfId="315"/>
    <tableColumn id="9" xr3:uid="{00000000-0010-0000-0000-000009000000}" name="پرداخت کننده" dataDxfId="314"/>
    <tableColumn id="10" xr3:uid="{00000000-0010-0000-0000-00000A000000}" name="دریافت کننده" dataDxfId="313"/>
    <tableColumn id="11" xr3:uid="{00000000-0010-0000-0000-00000B000000}" name="مانده حساب‌ها" dataDxfId="312" dataCellStyle="Currency"/>
    <tableColumn id="12" xr3:uid="{00000000-0010-0000-0000-00000C000000}" name="نوع خرج" dataDxfId="311"/>
    <tableColumn id="13" xr3:uid="{00000000-0010-0000-0000-00000D000000}" name="شرح" dataDxfId="31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A14:A32" totalsRowShown="0" headerRowDxfId="309" dataDxfId="308">
  <autoFilter ref="A14:A32" xr:uid="{6AEC4E4F-D138-42A7-8625-32AF6446FB92}"/>
  <tableColumns count="1">
    <tableColumn id="1" xr3:uid="{93761557-8AAB-4CE7-978B-119DB8A02638}" name="جدول نوع بودجه" dataDxfId="307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K31" totalsRowCount="1" headerRowDxfId="306" dataDxfId="305" totalsRowDxfId="304">
  <autoFilter ref="D2:K30" xr:uid="{42DADA0B-0B6E-471B-8179-A8983A9B7F20}"/>
  <tableColumns count="8">
    <tableColumn id="7" xr3:uid="{46F43D95-9902-48AB-884C-F451DC2D7FAD}" name="نوع" dataDxfId="303" totalsRowDxfId="7"/>
    <tableColumn id="1" xr3:uid="{DD414367-F788-4733-BEA6-377AEC32C3FF}" name="عنوان" totalsRowLabel="مانده:" dataDxfId="302" totalsRowDxfId="6"/>
    <tableColumn id="4" xr3:uid="{134980A4-4BA6-499B-B1F0-88F36A6CD787}" name="اهمیت" dataDxfId="60" totalsRowDxfId="5"/>
    <tableColumn id="2" xr3:uid="{F1FA2425-CBFB-4F05-8BD4-1DF8DC85BFF4}" name="مبلغ (ریال)" totalsRowFunction="sum" dataDxfId="301" totalsRowDxfId="4"/>
    <tableColumn id="6" xr3:uid="{89994E85-8B50-411A-87FD-D9E3D61DE5CD}" name="عملیات و تاریخ  مقرر " dataDxfId="300" totalsRowDxfId="3"/>
    <tableColumn id="3" xr3:uid="{5769A98B-C5B5-403D-BB77-C90472D5BF72}" name="توضیح" dataDxfId="299" totalsRowDxfId="2"/>
    <tableColumn id="9" xr3:uid="{CAB497DF-1678-41B3-8376-86B9A08D3445}" name="وضعیت عملیات" dataDxfId="298" totalsRowDxfId="1"/>
    <tableColumn id="5" xr3:uid="{182B9E66-EE1A-44DE-B4B4-F623AD05F6F8}" name="لینک رسید و تاریخ عملیات" dataDxfId="297" totalsRowDxfId="0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OperationStatusTable" displayName="OperationStatusTable" ref="A34:A42" totalsRowShown="0" headerRowDxfId="296" dataDxfId="295">
  <autoFilter ref="A34:A42" xr:uid="{D62D46A7-088F-4632-AE66-1F49CCF96D94}"/>
  <tableColumns count="1">
    <tableColumn id="1" xr3:uid="{1ADF3900-55E8-4A50-8909-96F1F42EB08A}" name="جدول وضعیت عملیات" dataDxfId="294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9807C8F-C7B8-4738-88F1-BE3AF37D98D4}" name="BudgetImportanceTable" displayName="BudgetImportanceTable" ref="A44:A49" totalsRowShown="0" headerRowDxfId="57" dataDxfId="58">
  <autoFilter ref="A44:A49" xr:uid="{E9807C8F-C7B8-4738-88F1-BE3AF37D98D4}"/>
  <tableColumns count="1">
    <tableColumn id="1" xr3:uid="{9E36D182-93FB-4224-89E3-E4497B3B4CEF}" name="جدول اهمیت بودجه" dataDxfId="59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1:O7" totalsRowCount="1" headerRowDxfId="293" dataDxfId="292" totalsRowDxfId="291">
  <autoFilter ref="D1:O6" xr:uid="{2AED775E-0580-4586-9DD7-1307A295C19A}"/>
  <tableColumns count="12">
    <tableColumn id="1" xr3:uid="{C6B1C087-18D2-4286-906F-B33A7B1F3A07}" name="ردیف" totalsRowLabel="Total" dataDxfId="290" totalsRowDxfId="289"/>
    <tableColumn id="2" xr3:uid="{C66CC0FB-71CE-4604-9CCE-83F8274F9FDE}" name="تاریخ" dataDxfId="288" totalsRowDxfId="287"/>
    <tableColumn id="3" xr3:uid="{F65E6844-8F46-4532-A822-05752BCB35D3}" name="بابت" dataDxfId="286" totalsRowDxfId="285"/>
    <tableColumn id="4" xr3:uid="{44B522F5-C660-407E-B343-594A19F54E50}" name="مبلغ (ریال)" totalsRowFunction="sum" dataDxfId="284" totalsRowDxfId="283"/>
    <tableColumn id="5" xr3:uid="{981E60EF-5ABE-44B1-BAC8-AF37CEDEBBC1}" name="دریافت کننده" dataDxfId="282" totalsRowDxfId="281"/>
    <tableColumn id="6" xr3:uid="{01F8159F-C048-413D-A233-C70050BAA01C}" name="رسید تراکنش" dataDxfId="280" totalsRowDxfId="279"/>
    <tableColumn id="7" xr3:uid="{6D6AE7E3-0EAB-4119-B513-C3454729B63E}" name="مسئول تراکنش" dataDxfId="278" totalsRowDxfId="277"/>
    <tableColumn id="8" xr3:uid="{0A6B1C30-FD25-4517-800E-757C6754C042}" name="درصد مشارکت" dataDxfId="276" totalsRowDxfId="275"/>
    <tableColumn id="9" xr3:uid="{E732A4FB-F2DD-4941-81F5-03872D212104}" name="سهم مشارکت کننده" dataDxfId="274" totalsRowDxfId="273">
      <calculatedColumnFormula>CommonBillTable[[#This Row],[مبلغ (ریال)]]*CommonBillTable[[#This Row],[درصد مشارکت]]</calculatedColumnFormula>
    </tableColumn>
    <tableColumn id="10" xr3:uid="{F6261D04-1038-4842-A457-F97AEB8F91E1}" name="وضعیت تسویه حساب" dataDxfId="272" totalsRowDxfId="271"/>
    <tableColumn id="11" xr3:uid="{4A59BDE7-361F-4F64-83F8-922C614AD362}" name="رسید تسویه حساب" dataDxfId="270" totalsRowDxfId="269"/>
    <tableColumn id="12" xr3:uid="{E1A50250-48F8-4972-927C-843E1BF519D4}" name="شرح" dataDxfId="268" totalsRowDxfId="267"/>
  </tableColumns>
  <tableStyleInfo name="TableStyleMedium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3D9455-15AE-4B8C-A7BA-0038F09F4A3C}" name="PonyStatusTable" displayName="PonyStatusTable" ref="A15:A18" totalsRowShown="0" headerRowDxfId="266" dataDxfId="265">
  <autoFilter ref="A15:A18" xr:uid="{853D9455-15AE-4B8C-A7BA-0038F09F4A3C}"/>
  <tableColumns count="1">
    <tableColumn id="1" xr3:uid="{F0424841-E5C6-4354-A9ED-D1605358F823}" name="وضعیت تسویه حساب" dataDxfId="264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7482B58-C2C5-4FDD-81DF-E21776CD81FB}" name="SubscriberAccountOwnersTable" displayName="SubscriberAccountOwnersTable" ref="A20:A22" totalsRowShown="0" headerRowDxfId="263" dataDxfId="262">
  <autoFilter ref="A20:A22" xr:uid="{D7482B58-C2C5-4FDD-81DF-E21776CD81FB}"/>
  <tableColumns count="1">
    <tableColumn id="1" xr3:uid="{E48E308C-70AE-458B-80AE-CB0AFB362D2A}" name="لیست مالکان حساب مشترک" dataDxfId="261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A24:A33" totalsRowShown="0" headerRowDxfId="260" dataDxfId="259">
  <autoFilter ref="A24:A33" xr:uid="{AF54F0D0-8574-41AA-9927-39DC6232EA3E}"/>
  <tableColumns count="1">
    <tableColumn id="1" xr3:uid="{33274848-D34F-4AB5-A6C4-C8CC15B46344}" name="لیست دریافت کنندگان مشترک" dataDxfId="258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257" dataDxfId="256">
  <autoFilter ref="A4:B12" xr:uid="{00000000-0009-0000-0100-00000A000000}"/>
  <tableColumns count="2">
    <tableColumn id="1" xr3:uid="{00000000-0010-0000-0100-000001000000}" name="کد گروه درآمدی" dataDxfId="255"/>
    <tableColumn id="2" xr3:uid="{00000000-0010-0000-0100-000002000000}" name="نام گروه درآمد" dataDxfId="254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253" dataDxfId="252">
  <autoFilter ref="F5:F6" xr:uid="{00000000-0009-0000-0100-00000B000000}"/>
  <tableColumns count="1">
    <tableColumn id="1" xr3:uid="{00000000-0010-0000-0200-000001000000}" name="دستمزد" dataDxfId="251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250" dataDxfId="249">
  <autoFilter ref="H5:H6" xr:uid="{00000000-0009-0000-0100-00000C000000}"/>
  <tableColumns count="1">
    <tableColumn id="1" xr3:uid="{00000000-0010-0000-0300-000001000000}" name="منفعت کسب" dataDxfId="24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247" dataDxfId="246">
  <autoFilter ref="J5:J6" xr:uid="{00000000-0009-0000-0100-00000D000000}"/>
  <tableColumns count="1">
    <tableColumn id="1" xr3:uid="{00000000-0010-0000-0400-000001000000}" name="سود سرمایه‌گذاری" dataDxfId="245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244" dataDxfId="243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242"/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241" dataDxfId="240">
  <autoFilter ref="N5:N6" xr:uid="{00000000-0009-0000-0100-000010000000}"/>
  <tableColumns count="1">
    <tableColumn id="1" xr3:uid="{00000000-0010-0000-0600-000001000000}" name="دریافت رهن و اجاره" dataDxfId="239"/>
  </tableColumns>
  <tableStyleInfo name="TableStyleMedium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238" dataDxfId="237">
  <autoFilter ref="P5:P6" xr:uid="{00000000-0009-0000-0100-000011000000}"/>
  <tableColumns count="1">
    <tableColumn id="1" xr3:uid="{00000000-0010-0000-0700-000001000000}" name="دریافت وام" dataDxfId="236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235" dataDxfId="234">
  <autoFilter ref="R5:R6" xr:uid="{00000000-0009-0000-0100-000012000000}"/>
  <tableColumns count="1">
    <tableColumn id="1" xr3:uid="{00000000-0010-0000-0800-000001000000}" name="درآمد متفرقه" dataDxfId="233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232" dataDxfId="231">
  <autoFilter ref="D5:D6" xr:uid="{00000000-0009-0000-0100-00002A000000}"/>
  <tableColumns count="1">
    <tableColumn id="1" xr3:uid="{00000000-0010-0000-0900-000001000000}" name="حقوق" dataDxfId="23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229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228"/>
    <tableColumn id="2" xr3:uid="{00000000-0010-0000-0A00-000002000000}" name="نام گروه هزینه" dataDxfId="227"/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226" dataDxfId="225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224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223" dataDxfId="222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22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220" dataDxfId="219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218"/>
  </tableColumns>
  <tableStyleInfo name="TableStyleMedium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217" dataDxfId="216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215"/>
  </tableColumns>
  <tableStyleInfo name="TableStyleMedium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214" dataDxfId="213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212"/>
  </tableColumns>
  <tableStyleInfo name="TableStyleMedium3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211" dataDxfId="210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209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208" dataDxfId="207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206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205" dataDxfId="204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203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202" dataDxfId="201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200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199" dataDxfId="198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197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196" dataDxfId="195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194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193" dataDxfId="192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191"/>
  </tableColumns>
  <tableStyleInfo name="TableStyleMedium3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190" dataDxfId="189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188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187" dataDxfId="186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185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184" dataDxfId="183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182"/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181" dataDxfId="180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179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178" dataDxfId="177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176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175" dataDxfId="174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173"/>
  </tableColumns>
  <tableStyleInfo name="TableStyleMedium5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172" dataDxfId="171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170"/>
  </tableColumns>
  <tableStyleInfo name="TableStyleMedium4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169" dataDxfId="168">
  <autoFilter ref="AP4:AP8" xr:uid="{00000000-0009-0000-0100-000025000000}"/>
  <tableColumns count="1">
    <tableColumn id="1" xr3:uid="{00000000-0010-0000-1E00-000001000000}" name="مالیات" dataDxfId="167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166" dataDxfId="165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164"/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163" dataDxfId="162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161"/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160" dataDxfId="159">
  <autoFilter ref="AV4:AV11" xr:uid="{00000000-0009-0000-0100-000028000000}"/>
  <tableColumns count="1">
    <tableColumn id="1" xr3:uid="{00000000-0010-0000-2100-000001000000}" name="هدیه و کادو" dataDxfId="158"/>
  </tableColumns>
  <tableStyleInfo name="TableStyleMedium6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157" dataDxfId="156">
  <autoFilter ref="AX4:AX7" xr:uid="{00000000-0009-0000-0100-000029000000}"/>
  <tableColumns count="1">
    <tableColumn id="1" xr3:uid="{00000000-0010-0000-2200-000001000000}" name="یادگیری و توسعه فردی" dataDxfId="155"/>
  </tableColumns>
  <tableStyleInfo name="TableStyleMedium5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154" dataDxfId="153">
  <autoFilter ref="D3:D18" xr:uid="{282954C5-616F-485C-A314-4D9D555112CE}"/>
  <tableColumns count="1">
    <tableColumn id="1" xr3:uid="{4F5516FC-A919-4D2F-9080-341CCE3046E2}" name="Accounts_Receivers_Payers" dataDxfId="152"/>
  </tableColumns>
  <tableStyleInfo name="TableStyleMedium1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151" dataDxfId="150">
  <autoFilter ref="D3:L4" xr:uid="{48C55AA4-F37D-4D99-BE2B-B1221861617E}"/>
  <tableColumns count="9">
    <tableColumn id="6" xr3:uid="{68E8881D-1F0D-41F5-8C5D-764D3CBD2FD0}" name="ID" dataDxfId="149"/>
    <tableColumn id="1" xr3:uid="{2F87ECEC-D557-47DE-89F2-D88E134F34F1}" name="افراد" dataDxfId="148"/>
    <tableColumn id="2" xr3:uid="{85475129-5B44-4EA7-938C-C7F633C408DC}" name="کد ملی" dataDxfId="147"/>
    <tableColumn id="3" xr3:uid="{AE0E4825-4DF9-4EF2-A007-8D15688BCB78}" name="شماره تماس" dataDxfId="146"/>
    <tableColumn id="4" xr3:uid="{6557281E-E601-4363-A5E8-D3F55F24CFFF}" name="آدرس ایمیل" dataDxfId="145" dataCellStyle="Hyperlink"/>
    <tableColumn id="5" xr3:uid="{7192D02E-A22E-46AF-B898-9ED00C2D1F34}" name="سایت اینترنتی" dataDxfId="144"/>
    <tableColumn id="7" xr3:uid="{31B3615E-F042-4B31-B668-D43C93A87FE5}" name="آدرس محل کار" dataDxfId="143"/>
    <tableColumn id="8" xr3:uid="{B916AA35-F910-4551-98CF-C16AFDBEFF70}" name="آدرس منزل" dataDxfId="142"/>
    <tableColumn id="9" xr3:uid="{8C252ACF-424E-4297-9478-B4372ACF1CCF}" name="توضیحات" dataDxfId="141"/>
  </tableColumns>
  <tableStyleInfo name="TableStyleMedium15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140" dataDxfId="139" totalsRowDxfId="138">
  <autoFilter ref="D8:R18" xr:uid="{274EC88A-4B54-49A7-9AA9-7C2621AB40BC}"/>
  <tableColumns count="15">
    <tableColumn id="1" xr3:uid="{B07A4647-B141-4519-A431-57834BEB4690}" name="ID" totalsRowLabel="Total" dataDxfId="137" totalsRowDxfId="136"/>
    <tableColumn id="2" xr3:uid="{9B0863B0-2E0D-40E3-80A5-53A7C80DB031}" name="نام حساب" dataDxfId="135" totalsRowDxfId="134"/>
    <tableColumn id="3" xr3:uid="{22E26951-650A-4DA8-83F7-7342252ADAF4}" name="شرح حساب" dataDxfId="133" totalsRowDxfId="132"/>
    <tableColumn id="4" xr3:uid="{0ACE1E7A-4205-4BD4-B95E-C67B9D28BA4E}" name="موجودی اولیه" totalsRowFunction="custom" dataDxfId="131" totalsRowDxfId="130">
      <totalsRowFormula>SUBTOTAL(109,FinancialAccountsTable[موجودی اولیه])-G14</totalsRowFormula>
    </tableColumn>
    <tableColumn id="9" xr3:uid="{9BF51EE3-668E-4C80-B6DB-2712CE69E2D3}" name="جمع پرداختی" totalsRowFunction="custom" dataDxfId="129" totalsRowDxfId="128">
      <totalsRowFormula>SUBTOTAL(109,FinancialAccountsTable[جمع پرداختی])-H14</totalsRowFormula>
    </tableColumn>
    <tableColumn id="11" xr3:uid="{8AE20E53-4327-42D3-8063-1F3B02795A7E}" name="جمع دریافتی" totalsRowFunction="custom" dataDxfId="127" totalsRowDxfId="126">
      <totalsRowFormula>SUBTOTAL(109,FinancialAccountsTable[جمع دریافتی])-I14</totalsRowFormula>
    </tableColumn>
    <tableColumn id="12" xr3:uid="{095FB686-98D1-4C04-AA7E-A329642F7292}" name="مانده" totalsRowFunction="custom" dataDxfId="125" totalsRowDxfId="124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123" totalsRowDxfId="122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121" totalsRowDxfId="120"/>
    <tableColumn id="18" xr3:uid="{CD505A3A-0F06-41B5-9C88-ACE7BBDC75B9}" name="نوع حساب" dataDxfId="119" totalsRowDxfId="118"/>
    <tableColumn id="10" xr3:uid="{AB3BD14A-860C-4744-B018-FC385AC6514C}" name="شماره حساب" dataDxfId="117" totalsRowDxfId="116"/>
    <tableColumn id="19" xr3:uid="{7E3F7BE6-EF70-4DB5-ACF8-A36DE0C80E5B}" name="شماره شبا" dataDxfId="115" totalsRowDxfId="114"/>
    <tableColumn id="14" xr3:uid="{5D0BD8D2-3C56-4B7E-AE34-770948467C25}" name="شماره کارت" dataDxfId="113" totalsRowDxfId="112"/>
    <tableColumn id="15" xr3:uid="{F0EA249A-426E-4668-B36E-75E5633920DC}" name="تاریخ انقضاء کارت" dataDxfId="111" totalsRowDxfId="110"/>
    <tableColumn id="16" xr3:uid="{CF2BE494-D0B5-4C01-8126-ED743F936578}" name="CVV2" dataDxfId="109" totalsRowDxfId="108"/>
  </tableColumns>
  <tableStyleInfo name="TableStyleMedium15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D3:D6" totalsRowShown="0" headerRowDxfId="107" dataDxfId="106">
  <autoFilter ref="D3:D6" xr:uid="{00000000-0009-0000-0100-000002000000}"/>
  <tableColumns count="1">
    <tableColumn id="1" xr3:uid="{00000000-0010-0000-2700-000001000000}" name="نوع خرج" dataDxfId="105"/>
  </tableColumns>
  <tableStyleInfo name="TableStyleMedium15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F3:F7" totalsRowShown="0" headerRowDxfId="104" dataDxfId="103">
  <autoFilter ref="F3:F7" xr:uid="{00000000-0009-0000-0100-000006000000}"/>
  <tableColumns count="1">
    <tableColumn id="1" xr3:uid="{00000000-0010-0000-2800-000001000000}" name="نوع تراکنش" dataDxfId="102"/>
  </tableColumns>
  <tableStyleInfo name="TableStyleMedium23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H3:H10" totalsRowShown="0" headerRowDxfId="101" dataDxfId="100">
  <autoFilter ref="H3:H10" xr:uid="{00000000-0009-0000-0100-000009000000}"/>
  <tableColumns count="1">
    <tableColumn id="1" xr3:uid="{00000000-0010-0000-2900-000001000000}" name="روش تراکنش" dataDxfId="99"/>
  </tableColumns>
  <tableStyleInfo name="TableStyleMedium3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M4:O14" totalsRowShown="0" headerRowDxfId="98" dataDxfId="97">
  <autoFilter ref="M4:O14" xr:uid="{00000000-0009-0000-0100-00002C000000}"/>
  <tableColumns count="3">
    <tableColumn id="1" xr3:uid="{00000000-0010-0000-2A00-000001000000}" name="عنوان تعطیلات" dataDxfId="96"/>
    <tableColumn id="2" xr3:uid="{00000000-0010-0000-2A00-000002000000}" name="روز و ماه" dataDxfId="95"/>
    <tableColumn id="3" xr3:uid="{00000000-0010-0000-2A00-000003000000}" name="Date" dataDxfId="94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J4:K10" totalsRowShown="0" headerRowDxfId="93" dataDxfId="92">
  <autoFilter ref="J4:K10" xr:uid="{00000000-0009-0000-0100-00002D000000}"/>
  <tableColumns count="2">
    <tableColumn id="1" xr3:uid="{00000000-0010-0000-2B00-000001000000}" name="ID" dataDxfId="91"/>
    <tableColumn id="2" xr3:uid="{00000000-0010-0000-2B00-000002000000}" name="شیوه نمایش تاریخ" dataDxfId="90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Q4:S224" totalsRowShown="0" headerRowDxfId="89" dataDxfId="88">
  <autoFilter ref="Q4:S224" xr:uid="{00000000-0009-0000-0100-00002E000000}"/>
  <tableColumns count="3">
    <tableColumn id="1" xr3:uid="{00000000-0010-0000-2C00-000001000000}" name="عنوان مناسبت" dataDxfId="87"/>
    <tableColumn id="2" xr3:uid="{00000000-0010-0000-2C00-000002000000}" name="روز و ماه" dataDxfId="86"/>
    <tableColumn id="3" xr3:uid="{00000000-0010-0000-2C00-000003000000}" name="Date" dataDxfId="85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U4:V24" totalsRowShown="0" headerRowDxfId="84" dataDxfId="83">
  <autoFilter ref="U4:V24" xr:uid="{00000000-0009-0000-0100-00002F000000}"/>
  <tableColumns count="2">
    <tableColumn id="1" xr3:uid="{00000000-0010-0000-2D00-000001000000}" name="تعطیلات قمری" dataDxfId="82"/>
    <tableColumn id="2" xr3:uid="{00000000-0010-0000-2D00-000002000000}" name="Day and Month" dataDxfId="81"/>
  </tableColumns>
  <tableStyleInfo name="TableStyleMedium1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X4:Y63" totalsRowShown="0" headerRowDxfId="80" dataDxfId="79">
  <autoFilter ref="X4:Y63" xr:uid="{00000000-0009-0000-0100-000030000000}"/>
  <tableColumns count="2">
    <tableColumn id="1" xr3:uid="{00000000-0010-0000-2E00-000001000000}" name="مناسبت قمری" dataDxfId="78"/>
    <tableColumn id="2" xr3:uid="{00000000-0010-0000-2E00-000002000000}" name="Day and Month" dataDxfId="77"/>
  </tableColumns>
  <tableStyleInfo name="TableStyleMedium14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A4:AB32" totalsRowShown="0" headerRowDxfId="76" dataDxfId="75">
  <autoFilter ref="AA4:AB32" xr:uid="{00000000-0009-0000-0100-000031000000}"/>
  <tableColumns count="2">
    <tableColumn id="1" xr3:uid="{00000000-0010-0000-2F00-000001000000}" name="مناسبت میلادی" dataDxfId="74"/>
    <tableColumn id="2" xr3:uid="{00000000-0010-0000-2F00-000002000000}" name="Day and Month" dataDxfId="73"/>
  </tableColumns>
  <tableStyleInfo name="TableStyleMedium1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J13:K41" totalsRowShown="0" headerRowDxfId="72" dataDxfId="71">
  <autoFilter ref="J13:K41" xr:uid="{00000000-0009-0000-0100-000032000000}"/>
  <tableColumns count="2">
    <tableColumn id="1" xr3:uid="{00000000-0010-0000-3000-000001000000}" name="عملیات" dataDxfId="70"/>
    <tableColumn id="2" xr3:uid="{00000000-0010-0000-3000-000002000000}" name="Wage" dataDxfId="69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Receipts\R-14001230-01.jpg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5.xml"/><Relationship Id="rId13" Type="http://schemas.openxmlformats.org/officeDocument/2006/relationships/table" Target="../tables/table30.xml"/><Relationship Id="rId18" Type="http://schemas.openxmlformats.org/officeDocument/2006/relationships/table" Target="../tables/table35.xml"/><Relationship Id="rId26" Type="http://schemas.openxmlformats.org/officeDocument/2006/relationships/table" Target="../tables/table43.xml"/><Relationship Id="rId3" Type="http://schemas.openxmlformats.org/officeDocument/2006/relationships/table" Target="../tables/table20.xml"/><Relationship Id="rId21" Type="http://schemas.openxmlformats.org/officeDocument/2006/relationships/table" Target="../tables/table38.xml"/><Relationship Id="rId7" Type="http://schemas.openxmlformats.org/officeDocument/2006/relationships/table" Target="../tables/table24.xml"/><Relationship Id="rId12" Type="http://schemas.openxmlformats.org/officeDocument/2006/relationships/table" Target="../tables/table29.xml"/><Relationship Id="rId17" Type="http://schemas.openxmlformats.org/officeDocument/2006/relationships/table" Target="../tables/table34.xml"/><Relationship Id="rId25" Type="http://schemas.openxmlformats.org/officeDocument/2006/relationships/table" Target="../tables/table42.xml"/><Relationship Id="rId2" Type="http://schemas.openxmlformats.org/officeDocument/2006/relationships/table" Target="../tables/table19.xml"/><Relationship Id="rId16" Type="http://schemas.openxmlformats.org/officeDocument/2006/relationships/table" Target="../tables/table33.xml"/><Relationship Id="rId20" Type="http://schemas.openxmlformats.org/officeDocument/2006/relationships/table" Target="../tables/table3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3.xml"/><Relationship Id="rId11" Type="http://schemas.openxmlformats.org/officeDocument/2006/relationships/table" Target="../tables/table28.xml"/><Relationship Id="rId24" Type="http://schemas.openxmlformats.org/officeDocument/2006/relationships/table" Target="../tables/table41.xml"/><Relationship Id="rId5" Type="http://schemas.openxmlformats.org/officeDocument/2006/relationships/table" Target="../tables/table22.xml"/><Relationship Id="rId15" Type="http://schemas.openxmlformats.org/officeDocument/2006/relationships/table" Target="../tables/table32.xml"/><Relationship Id="rId23" Type="http://schemas.openxmlformats.org/officeDocument/2006/relationships/table" Target="../tables/table40.xml"/><Relationship Id="rId10" Type="http://schemas.openxmlformats.org/officeDocument/2006/relationships/table" Target="../tables/table27.xml"/><Relationship Id="rId19" Type="http://schemas.openxmlformats.org/officeDocument/2006/relationships/table" Target="../tables/table36.xml"/><Relationship Id="rId4" Type="http://schemas.openxmlformats.org/officeDocument/2006/relationships/table" Target="../tables/table21.xml"/><Relationship Id="rId9" Type="http://schemas.openxmlformats.org/officeDocument/2006/relationships/table" Target="../tables/table26.xml"/><Relationship Id="rId14" Type="http://schemas.openxmlformats.org/officeDocument/2006/relationships/table" Target="../tables/table31.xml"/><Relationship Id="rId22" Type="http://schemas.openxmlformats.org/officeDocument/2006/relationships/table" Target="../tables/table3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4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3.xml"/><Relationship Id="rId3" Type="http://schemas.openxmlformats.org/officeDocument/2006/relationships/table" Target="../tables/table48.xml"/><Relationship Id="rId7" Type="http://schemas.openxmlformats.org/officeDocument/2006/relationships/table" Target="../tables/table52.xml"/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1.xml"/><Relationship Id="rId11" Type="http://schemas.openxmlformats.org/officeDocument/2006/relationships/table" Target="../tables/table56.xml"/><Relationship Id="rId5" Type="http://schemas.openxmlformats.org/officeDocument/2006/relationships/table" Target="../tables/table50.xml"/><Relationship Id="rId10" Type="http://schemas.openxmlformats.org/officeDocument/2006/relationships/table" Target="../tables/table55.xml"/><Relationship Id="rId4" Type="http://schemas.openxmlformats.org/officeDocument/2006/relationships/table" Target="../tables/table49.xml"/><Relationship Id="rId9" Type="http://schemas.openxmlformats.org/officeDocument/2006/relationships/table" Target="../tables/table5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workbookViewId="0"/>
  </sheetViews>
  <sheetFormatPr defaultRowHeight="1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>
      <c r="A4" t="s">
        <v>101</v>
      </c>
    </row>
    <row r="5" spans="1:29" ht="16.5" thickBot="1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69" t="s">
        <v>1</v>
      </c>
      <c r="Q5" s="70" t="s">
        <v>118</v>
      </c>
      <c r="R5" s="70" t="s">
        <v>0</v>
      </c>
      <c r="S5" s="71" t="s">
        <v>17</v>
      </c>
      <c r="T5" s="72" t="s">
        <v>107</v>
      </c>
      <c r="U5" s="73" t="s">
        <v>146</v>
      </c>
      <c r="V5" s="70" t="s">
        <v>116</v>
      </c>
      <c r="W5" s="70" t="s">
        <v>147</v>
      </c>
      <c r="X5" s="74" t="s">
        <v>2</v>
      </c>
      <c r="Y5" s="70" t="s">
        <v>6</v>
      </c>
      <c r="Z5" s="70" t="s">
        <v>5</v>
      </c>
      <c r="AA5" s="70" t="s">
        <v>155</v>
      </c>
      <c r="AB5" s="71" t="s">
        <v>112</v>
      </c>
      <c r="AC5" s="71" t="s">
        <v>40</v>
      </c>
    </row>
    <row r="6" spans="1:29" ht="15.75">
      <c r="P6" s="75">
        <v>1</v>
      </c>
      <c r="Q6" s="76" t="s">
        <v>119</v>
      </c>
      <c r="R6" s="77">
        <f>DATE(2021,6,26)</f>
        <v>44373</v>
      </c>
      <c r="S6" s="78" t="s">
        <v>154</v>
      </c>
      <c r="T6" s="79" t="s">
        <v>280</v>
      </c>
      <c r="U6" s="76" t="s">
        <v>184</v>
      </c>
      <c r="V6" s="76" t="s">
        <v>268</v>
      </c>
      <c r="W6" s="76" t="s">
        <v>151</v>
      </c>
      <c r="X6" s="80">
        <v>80000</v>
      </c>
      <c r="Y6" s="76" t="s">
        <v>137</v>
      </c>
      <c r="Z6" s="76" t="s">
        <v>327</v>
      </c>
      <c r="AA6" s="76"/>
      <c r="AB6" s="78" t="s">
        <v>113</v>
      </c>
      <c r="AC6" s="78"/>
    </row>
    <row r="7" spans="1:29" ht="15.75">
      <c r="P7" s="81">
        <v>2</v>
      </c>
      <c r="Q7" s="82"/>
      <c r="R7" s="83">
        <f>DATE(2021,6,26)</f>
        <v>44373</v>
      </c>
      <c r="S7" s="84"/>
      <c r="T7" s="85" t="s">
        <v>280</v>
      </c>
      <c r="U7" s="82"/>
      <c r="V7" s="82"/>
      <c r="W7" s="82"/>
      <c r="X7" s="86"/>
      <c r="Y7" s="82"/>
      <c r="Z7" s="82"/>
      <c r="AA7" s="82"/>
      <c r="AB7" s="84"/>
      <c r="AC7" s="84"/>
    </row>
    <row r="8" spans="1:29" ht="15.75">
      <c r="P8" s="75">
        <v>3</v>
      </c>
      <c r="Q8" s="76"/>
      <c r="R8" s="77">
        <f>DATE(2021,8,17)</f>
        <v>44425</v>
      </c>
      <c r="S8" s="78"/>
      <c r="T8" s="79" t="s">
        <v>304</v>
      </c>
      <c r="U8" s="76" t="s">
        <v>307</v>
      </c>
      <c r="V8" s="76" t="s">
        <v>318</v>
      </c>
      <c r="W8" s="76"/>
      <c r="X8" s="80"/>
      <c r="Y8" s="76"/>
      <c r="Z8" s="76"/>
      <c r="AA8" s="76"/>
      <c r="AB8" s="78"/>
      <c r="AC8" s="78"/>
    </row>
    <row r="11" spans="1:29">
      <c r="A11" t="s">
        <v>106</v>
      </c>
    </row>
    <row r="12" spans="1:29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>
      <c r="R15" t="s">
        <v>335</v>
      </c>
    </row>
    <row r="16" spans="1:29" ht="18.7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334</v>
      </c>
    </row>
    <row r="17" spans="3:17">
      <c r="Q17">
        <v>2</v>
      </c>
    </row>
    <row r="18" spans="3:17">
      <c r="Q18">
        <v>3</v>
      </c>
    </row>
    <row r="20" spans="3:17">
      <c r="O20">
        <f>IF(Q16:Q22="",1,0)</f>
        <v>0</v>
      </c>
      <c r="Q20">
        <v>5</v>
      </c>
    </row>
    <row r="21" spans="3:17">
      <c r="Q21">
        <v>6</v>
      </c>
    </row>
    <row r="22" spans="3:17">
      <c r="C22" s="117" t="str">
        <f>Slash(14000525)</f>
        <v>1400/05/25</v>
      </c>
      <c r="Q22">
        <v>7</v>
      </c>
    </row>
    <row r="23" spans="3:17">
      <c r="K23" s="95"/>
      <c r="M23" t="str">
        <f>REPLACE(Q25,1,LEN(Q25),"")</f>
        <v/>
      </c>
    </row>
    <row r="24" spans="3:17">
      <c r="M24">
        <f>LEN(M23)</f>
        <v>0</v>
      </c>
    </row>
    <row r="25" spans="3:17">
      <c r="I25">
        <f>IFERROR(M25,5)</f>
        <v>7</v>
      </c>
      <c r="M25">
        <f>7</f>
        <v>7</v>
      </c>
      <c r="Q25">
        <v>1234</v>
      </c>
    </row>
    <row r="27" spans="3:17" ht="18.75">
      <c r="C27" s="159" t="s">
        <v>8</v>
      </c>
    </row>
    <row r="28" spans="3:17" ht="18.75">
      <c r="C28" s="167" t="s">
        <v>98</v>
      </c>
      <c r="M28" t="e">
        <f>CL</f>
        <v>#NAME?</v>
      </c>
    </row>
    <row r="29" spans="3:17" ht="18.75">
      <c r="C29" s="160" t="s">
        <v>115</v>
      </c>
    </row>
    <row r="30" spans="3:17" ht="18.75">
      <c r="C30" s="165" t="s">
        <v>111</v>
      </c>
    </row>
    <row r="31" spans="3:17" ht="18.75">
      <c r="C31" s="163" t="s">
        <v>974</v>
      </c>
    </row>
    <row r="32" spans="3:17" ht="18.75">
      <c r="C32" s="146" t="s">
        <v>975</v>
      </c>
    </row>
    <row r="33" spans="3:3" ht="18.75">
      <c r="C33" s="164" t="s">
        <v>89</v>
      </c>
    </row>
    <row r="34" spans="3:3" ht="18.75">
      <c r="C34" s="165" t="s">
        <v>111</v>
      </c>
    </row>
    <row r="35" spans="3:3" ht="18.75">
      <c r="C35" s="166" t="s">
        <v>105</v>
      </c>
    </row>
    <row r="36" spans="3:3">
      <c r="C36" s="153"/>
    </row>
    <row r="37" spans="3:3">
      <c r="C37" s="153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C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2" location="'برنامه ریزی پرداخت‌ها'!A1" display="برنامه ریزی" xr:uid="{76FD54D4-737D-4E38-B3EE-01C81F61BA03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C29" location="تراکنش‌ها!A1" display="تراکنش‌ها" xr:uid="{F7A3FC34-AB15-48A6-B0A2-3DC1AF3ECAB2}"/>
    <hyperlink ref="C30" location="'برنامه و بودجه بندی'!A1" display="بودجه بندی" xr:uid="{EF637EEF-132D-415B-AFB7-4EE7DFCEE4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6:K29"/>
  <sheetViews>
    <sheetView rightToLeft="1" workbookViewId="0"/>
  </sheetViews>
  <sheetFormatPr defaultRowHeight="1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>
      <c r="B6" s="2" t="s">
        <v>84</v>
      </c>
      <c r="D6" t="s">
        <v>85</v>
      </c>
      <c r="F6" t="s">
        <v>90</v>
      </c>
      <c r="H6" s="2" t="s">
        <v>94</v>
      </c>
    </row>
    <row r="7" spans="2:8">
      <c r="B7" t="s">
        <v>98</v>
      </c>
      <c r="D7" t="s">
        <v>86</v>
      </c>
      <c r="F7" t="s">
        <v>91</v>
      </c>
      <c r="H7" t="s">
        <v>95</v>
      </c>
    </row>
    <row r="8" spans="2:8">
      <c r="B8" s="2" t="s">
        <v>144</v>
      </c>
      <c r="D8" t="s">
        <v>87</v>
      </c>
      <c r="F8" t="s">
        <v>92</v>
      </c>
    </row>
    <row r="9" spans="2:8">
      <c r="B9" s="2" t="s">
        <v>7</v>
      </c>
      <c r="D9" t="s">
        <v>88</v>
      </c>
      <c r="F9" t="s">
        <v>93</v>
      </c>
    </row>
    <row r="10" spans="2:8">
      <c r="B10" s="2" t="s">
        <v>99</v>
      </c>
      <c r="D10" t="s">
        <v>89</v>
      </c>
      <c r="H10" t="s">
        <v>96</v>
      </c>
    </row>
    <row r="11" spans="2:8">
      <c r="H11" t="s">
        <v>97</v>
      </c>
    </row>
    <row r="12" spans="2:8">
      <c r="B12" t="s">
        <v>100</v>
      </c>
    </row>
    <row r="24" spans="8:11">
      <c r="H24" t="s">
        <v>42</v>
      </c>
    </row>
    <row r="29" spans="8:11">
      <c r="H29" t="s">
        <v>58</v>
      </c>
      <c r="K29" t="s">
        <v>59</v>
      </c>
    </row>
  </sheetData>
  <hyperlinks>
    <hyperlink ref="B6" location="تراکنش‌ها!A1" display="ثبت تراکنش‌های روزانه" xr:uid="{00000000-0004-0000-0100-000000000000}"/>
    <hyperlink ref="B10" location="'تنظیمات دفترچه'!A1" display="تنظیمات دفترچه" xr:uid="{00000000-0004-0000-0100-000001000000}"/>
    <hyperlink ref="B9" location="'تنظیمات حساب'!A1" display="تنظیمات حساب" xr:uid="{00000000-0004-0000-0100-000002000000}"/>
    <hyperlink ref="B8" location="'دریافت کنندگان - پرداخت کنندگان'!A1" display="دریافت کنندگان - پرداخت کنندگان" xr:uid="{00000000-0004-0000-0100-000003000000}"/>
    <hyperlink ref="H6" location="'گروه‌‌های درآمدی'!A1" display="گروه‌‌های درآمدی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S515"/>
  <sheetViews>
    <sheetView showGridLines="0" rightToLeft="1" workbookViewId="0">
      <pane ySplit="7" topLeftCell="A8" activePane="bottomLeft" state="frozen"/>
      <selection pane="bottomLeft" activeCell="D8" sqref="D8"/>
    </sheetView>
  </sheetViews>
  <sheetFormatPr defaultRowHeight="15.7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96" t="s">
        <v>111</v>
      </c>
      <c r="I1" s="14" t="s">
        <v>105</v>
      </c>
      <c r="J1" s="15" t="s">
        <v>98</v>
      </c>
      <c r="K1" s="97" t="s">
        <v>7</v>
      </c>
      <c r="L1" s="4"/>
      <c r="M1" s="28"/>
      <c r="N1" s="4"/>
      <c r="O1" s="45"/>
      <c r="P1" s="45"/>
      <c r="Q1" s="45"/>
      <c r="R1" s="45"/>
    </row>
    <row r="2" spans="1:19" ht="3.75" customHeight="1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45"/>
      <c r="P2" s="45"/>
      <c r="Q2" s="45"/>
      <c r="R2" s="45"/>
    </row>
    <row r="3" spans="1:19" ht="24" customHeight="1">
      <c r="A3" s="16"/>
      <c r="B3" s="5" t="s">
        <v>108</v>
      </c>
      <c r="C3" s="90">
        <f>SUMIF(Tarakonesh[تراکنش],"دریافت_درآمد",Tarakonesh[مبلغ (ریال)])</f>
        <v>5525000</v>
      </c>
      <c r="D3" s="6" t="s">
        <v>109</v>
      </c>
      <c r="E3" s="89">
        <f>SUMIF(Tarakonesh[تراکنش],"پرداخت_هزینه",Tarakonesh[مبلغ (ریال)])</f>
        <v>3093000</v>
      </c>
      <c r="F3" s="37" t="s">
        <v>333</v>
      </c>
      <c r="G3" s="88">
        <f>SUMIF(Tarakonesh[تراکنش],"انتقال",Tarakonesh[مبلغ (ریال)])</f>
        <v>520000</v>
      </c>
      <c r="H3" s="92" t="s">
        <v>336</v>
      </c>
      <c r="I3" s="94" t="e">
        <f>#REF!</f>
        <v>#REF!</v>
      </c>
      <c r="J3" s="308" t="s">
        <v>144</v>
      </c>
      <c r="K3" s="308"/>
      <c r="L3" s="4"/>
      <c r="M3" s="29"/>
      <c r="N3" s="4"/>
      <c r="O3" s="45"/>
      <c r="P3" s="45"/>
      <c r="Q3" s="45"/>
      <c r="R3" s="45"/>
    </row>
    <row r="4" spans="1:19" s="56" customFormat="1" ht="3.75" customHeight="1">
      <c r="A4" s="16"/>
      <c r="B4" s="52"/>
      <c r="C4" s="52"/>
      <c r="D4" s="52"/>
      <c r="E4" s="53"/>
      <c r="F4" s="53"/>
      <c r="G4" s="93"/>
      <c r="H4" s="54"/>
      <c r="I4" s="4"/>
      <c r="J4" s="55"/>
      <c r="K4" s="55"/>
      <c r="L4" s="4"/>
      <c r="M4" s="29"/>
      <c r="N4" s="4"/>
      <c r="O4" s="4"/>
      <c r="P4" s="4"/>
      <c r="Q4" s="4"/>
      <c r="R4" s="4"/>
    </row>
    <row r="5" spans="1:19" ht="24" customHeight="1">
      <c r="A5" s="16"/>
      <c r="B5" s="52"/>
      <c r="C5" s="118">
        <v>0</v>
      </c>
      <c r="D5" s="52"/>
      <c r="E5" s="126" t="s">
        <v>410</v>
      </c>
      <c r="F5" s="125">
        <f ca="1">TODAY()</f>
        <v>44555</v>
      </c>
      <c r="G5" s="4"/>
      <c r="H5" s="54"/>
      <c r="I5" s="4"/>
      <c r="J5" s="51" t="s">
        <v>186</v>
      </c>
      <c r="K5" s="57" t="s">
        <v>187</v>
      </c>
      <c r="L5" s="4"/>
      <c r="M5" s="29"/>
      <c r="N5" s="4"/>
      <c r="O5" s="45"/>
      <c r="P5" s="45"/>
      <c r="Q5" s="45"/>
      <c r="R5" s="45"/>
    </row>
    <row r="6" spans="1:19" ht="3.75" customHeight="1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45"/>
      <c r="P6" s="45"/>
      <c r="Q6" s="45"/>
      <c r="R6" s="45"/>
    </row>
    <row r="7" spans="1:19" ht="24" customHeight="1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46" t="s">
        <v>146</v>
      </c>
      <c r="G7" s="8" t="s">
        <v>116</v>
      </c>
      <c r="H7" s="8" t="s">
        <v>147</v>
      </c>
      <c r="I7" s="21" t="s">
        <v>2</v>
      </c>
      <c r="J7" s="8" t="s">
        <v>6</v>
      </c>
      <c r="K7" s="8" t="s">
        <v>5</v>
      </c>
      <c r="L7" s="8" t="s">
        <v>155</v>
      </c>
      <c r="M7" s="30" t="s">
        <v>112</v>
      </c>
      <c r="N7" s="30" t="s">
        <v>40</v>
      </c>
      <c r="O7" s="45"/>
      <c r="P7" s="45"/>
      <c r="Q7" s="45"/>
      <c r="R7" s="45"/>
      <c r="S7" s="45"/>
    </row>
    <row r="8" spans="1:19">
      <c r="A8" s="26">
        <v>1</v>
      </c>
      <c r="B8" s="27" t="s">
        <v>119</v>
      </c>
      <c r="C8" s="31" t="s">
        <v>382</v>
      </c>
      <c r="D8" s="31" t="s">
        <v>154</v>
      </c>
      <c r="E8" s="39" t="s">
        <v>280</v>
      </c>
      <c r="F8" s="27" t="s">
        <v>282</v>
      </c>
      <c r="G8" s="27"/>
      <c r="H8" s="27" t="s">
        <v>305</v>
      </c>
      <c r="I8" s="25">
        <v>80000</v>
      </c>
      <c r="J8" s="27" t="s">
        <v>320</v>
      </c>
      <c r="K8" s="27" t="s">
        <v>328</v>
      </c>
      <c r="L8" s="91" t="e">
        <f>IF( Tarakonesh[[#This Row],[تراکنش]]="", "",IF( Tarakonesh[[#This Row],[تراکنش]]="انتقال", "",(#REF! + IF(Tarakonesh[[#This Row],[تراکنش]]="دریافت_درآمد",Tarakonesh[[#This Row],[مبلغ (ریال)]],0))-IF(Tarakonesh[[#This Row],[تراکنش]]="پرداخت_هزینه",Tarakonesh[[#This Row],[مبلغ (ریال)]],0)))</f>
        <v>#REF!</v>
      </c>
      <c r="M8" s="31" t="s">
        <v>113</v>
      </c>
      <c r="N8" s="31"/>
    </row>
    <row r="9" spans="1:19" ht="31.5">
      <c r="A9" s="26">
        <v>2</v>
      </c>
      <c r="B9" s="27"/>
      <c r="C9" s="31" t="s">
        <v>383</v>
      </c>
      <c r="D9" s="31"/>
      <c r="E9" s="39" t="s">
        <v>304</v>
      </c>
      <c r="F9" s="27"/>
      <c r="G9" s="27"/>
      <c r="H9" s="27" t="s">
        <v>150</v>
      </c>
      <c r="I9" s="25">
        <v>1000000</v>
      </c>
      <c r="J9" s="27" t="s">
        <v>325</v>
      </c>
      <c r="K9" s="27" t="s">
        <v>320</v>
      </c>
      <c r="L9" s="91" t="e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#REF!</v>
      </c>
      <c r="M9" s="31"/>
      <c r="N9" s="31"/>
    </row>
    <row r="10" spans="1:19" ht="31.5">
      <c r="A10" s="26">
        <v>3</v>
      </c>
      <c r="B10" s="27"/>
      <c r="C10" s="31" t="s">
        <v>381</v>
      </c>
      <c r="D10" s="31"/>
      <c r="E10" s="39" t="s">
        <v>140</v>
      </c>
      <c r="F10" s="27"/>
      <c r="G10" s="27"/>
      <c r="H10" s="27" t="s">
        <v>149</v>
      </c>
      <c r="I10" s="25">
        <v>20000</v>
      </c>
      <c r="J10" s="27" t="s">
        <v>137</v>
      </c>
      <c r="K10" s="27" t="s">
        <v>320</v>
      </c>
      <c r="L10" s="91" t="e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>#REF!</v>
      </c>
      <c r="M10" s="31"/>
      <c r="N10" s="31"/>
      <c r="R10" s="87"/>
    </row>
    <row r="11" spans="1:19">
      <c r="A11" s="26">
        <v>4</v>
      </c>
      <c r="B11" s="27"/>
      <c r="C11" s="31"/>
      <c r="D11" s="31"/>
      <c r="E11" s="39" t="s">
        <v>304</v>
      </c>
      <c r="F11" s="27"/>
      <c r="G11" s="27"/>
      <c r="H11" s="27" t="s">
        <v>148</v>
      </c>
      <c r="I11" s="25">
        <v>20000</v>
      </c>
      <c r="J11" s="27" t="s">
        <v>323</v>
      </c>
      <c r="K11" s="27" t="s">
        <v>321</v>
      </c>
      <c r="L11" s="91" t="e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>#REF!</v>
      </c>
      <c r="M11" s="31"/>
      <c r="N11" s="31"/>
      <c r="R11" s="87"/>
    </row>
    <row r="12" spans="1:19">
      <c r="A12" s="26">
        <v>5</v>
      </c>
      <c r="B12" s="27"/>
      <c r="C12" s="31"/>
      <c r="D12" s="31"/>
      <c r="E12" s="39" t="s">
        <v>280</v>
      </c>
      <c r="F12" s="27"/>
      <c r="G12" s="27"/>
      <c r="H12" s="27"/>
      <c r="I12" s="25">
        <v>3000</v>
      </c>
      <c r="J12" s="27" t="s">
        <v>321</v>
      </c>
      <c r="K12" s="27" t="s">
        <v>327</v>
      </c>
      <c r="L12" s="91" t="e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>#REF!</v>
      </c>
      <c r="M12" s="31"/>
      <c r="N12" s="31"/>
    </row>
    <row r="13" spans="1:19" ht="31.5">
      <c r="A13" s="26">
        <v>6</v>
      </c>
      <c r="B13" s="27"/>
      <c r="C13" s="31"/>
      <c r="D13" s="31"/>
      <c r="E13" s="39" t="s">
        <v>304</v>
      </c>
      <c r="F13" s="27"/>
      <c r="G13" s="27"/>
      <c r="H13" s="27"/>
      <c r="I13" s="25">
        <v>500000</v>
      </c>
      <c r="J13" s="27" t="s">
        <v>324</v>
      </c>
      <c r="K13" s="27" t="s">
        <v>137</v>
      </c>
      <c r="L13" s="91" t="e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>#REF!</v>
      </c>
      <c r="M13" s="31"/>
      <c r="N13" s="31"/>
    </row>
    <row r="14" spans="1:19">
      <c r="A14" s="26">
        <v>7</v>
      </c>
      <c r="B14" s="27"/>
      <c r="C14" s="31"/>
      <c r="D14" s="31"/>
      <c r="E14" s="39" t="s">
        <v>140</v>
      </c>
      <c r="F14" s="27"/>
      <c r="G14" s="27"/>
      <c r="H14" s="27"/>
      <c r="I14" s="25">
        <v>500000</v>
      </c>
      <c r="J14" s="27" t="s">
        <v>322</v>
      </c>
      <c r="K14" s="27" t="s">
        <v>321</v>
      </c>
      <c r="L14" s="91" t="e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>#REF!</v>
      </c>
      <c r="M14" s="31"/>
      <c r="N14" s="31"/>
    </row>
    <row r="15" spans="1:19">
      <c r="A15" s="26">
        <v>8</v>
      </c>
      <c r="B15" s="27"/>
      <c r="C15" s="31"/>
      <c r="D15" s="31"/>
      <c r="E15" s="39" t="s">
        <v>280</v>
      </c>
      <c r="F15" s="27"/>
      <c r="G15" s="27"/>
      <c r="H15" s="27"/>
      <c r="I15" s="25">
        <v>10000</v>
      </c>
      <c r="J15" s="27" t="s">
        <v>320</v>
      </c>
      <c r="K15" s="27" t="s">
        <v>324</v>
      </c>
      <c r="L15" s="91" t="e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>#REF!</v>
      </c>
      <c r="M15" s="31"/>
      <c r="N15" s="31"/>
    </row>
    <row r="16" spans="1:19">
      <c r="A16" s="26">
        <v>9</v>
      </c>
      <c r="B16" s="27"/>
      <c r="C16" s="31"/>
      <c r="D16" s="31"/>
      <c r="E16" s="39" t="s">
        <v>280</v>
      </c>
      <c r="F16" s="27"/>
      <c r="G16" s="27"/>
      <c r="H16" s="27"/>
      <c r="I16" s="25">
        <v>3000000</v>
      </c>
      <c r="J16" s="27" t="s">
        <v>321</v>
      </c>
      <c r="K16" s="27" t="s">
        <v>325</v>
      </c>
      <c r="L16" s="91" t="e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>#REF!</v>
      </c>
      <c r="M16" s="31"/>
      <c r="N16" s="31"/>
    </row>
    <row r="17" spans="1:14" ht="31.5">
      <c r="A17" s="26">
        <v>10</v>
      </c>
      <c r="B17" s="27"/>
      <c r="C17" s="31" t="s">
        <v>411</v>
      </c>
      <c r="D17" s="31"/>
      <c r="E17" s="39" t="s">
        <v>304</v>
      </c>
      <c r="F17" s="27"/>
      <c r="G17" s="27"/>
      <c r="H17" s="27"/>
      <c r="I17" s="25">
        <v>4000000</v>
      </c>
      <c r="J17" s="27" t="s">
        <v>326</v>
      </c>
      <c r="K17" s="27" t="s">
        <v>137</v>
      </c>
      <c r="L17" s="91" t="e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>#REF!</v>
      </c>
      <c r="M17" s="31"/>
      <c r="N17" s="31"/>
    </row>
    <row r="18" spans="1:14">
      <c r="A18" s="26">
        <v>11</v>
      </c>
      <c r="B18" s="27" t="s">
        <v>119</v>
      </c>
      <c r="C18" s="31"/>
      <c r="D18" s="31"/>
      <c r="E18" s="39" t="s">
        <v>304</v>
      </c>
      <c r="F18" s="27"/>
      <c r="G18" s="27"/>
      <c r="H18" s="27"/>
      <c r="I18" s="25">
        <v>5000</v>
      </c>
      <c r="J18" s="27"/>
      <c r="K18" s="27"/>
      <c r="L18" s="91" t="e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>#REF!</v>
      </c>
      <c r="M18" s="31"/>
      <c r="N18" s="31"/>
    </row>
    <row r="19" spans="1:14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91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31"/>
      <c r="N19" s="31"/>
    </row>
    <row r="20" spans="1:14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91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31"/>
      <c r="N20" s="31"/>
    </row>
    <row r="21" spans="1:14">
      <c r="A21" s="26">
        <v>14</v>
      </c>
      <c r="B21" s="27"/>
      <c r="C21" s="31" t="s">
        <v>382</v>
      </c>
      <c r="D21" s="31"/>
      <c r="E21" s="39"/>
      <c r="F21" s="27"/>
      <c r="G21" s="27"/>
      <c r="H21" s="27"/>
      <c r="I21" s="25"/>
      <c r="J21" s="27"/>
      <c r="K21" s="27"/>
      <c r="L21" s="91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31"/>
      <c r="N21" s="31"/>
    </row>
    <row r="22" spans="1:14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91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31"/>
      <c r="N22" s="31"/>
    </row>
    <row r="23" spans="1:14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91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31"/>
      <c r="N23" s="31"/>
    </row>
    <row r="24" spans="1:14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91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31"/>
      <c r="N24" s="31"/>
    </row>
    <row r="25" spans="1:14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91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31"/>
      <c r="N25" s="31"/>
    </row>
    <row r="26" spans="1:14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91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31"/>
      <c r="N26" s="31"/>
    </row>
    <row r="27" spans="1:14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91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31"/>
      <c r="N27" s="31"/>
    </row>
    <row r="28" spans="1:14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91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31"/>
      <c r="N28" s="31"/>
    </row>
    <row r="29" spans="1:14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91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31"/>
      <c r="N29" s="31"/>
    </row>
    <row r="30" spans="1:14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91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31"/>
      <c r="N30" s="31"/>
    </row>
    <row r="31" spans="1:14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91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31"/>
      <c r="N31" s="31"/>
    </row>
    <row r="32" spans="1:14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91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31"/>
      <c r="N32" s="31"/>
    </row>
    <row r="33" spans="1:14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91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31"/>
      <c r="N33" s="31"/>
    </row>
    <row r="34" spans="1:14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91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31"/>
      <c r="N34" s="31"/>
    </row>
    <row r="35" spans="1:14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91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31"/>
      <c r="N35" s="31"/>
    </row>
    <row r="36" spans="1:14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91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31"/>
      <c r="N36" s="31"/>
    </row>
    <row r="37" spans="1:14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91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31"/>
      <c r="N37" s="31"/>
    </row>
    <row r="38" spans="1:14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91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31"/>
      <c r="N38" s="31"/>
    </row>
    <row r="39" spans="1:14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91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31"/>
      <c r="N39" s="31"/>
    </row>
    <row r="40" spans="1:14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91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31"/>
      <c r="N40" s="31"/>
    </row>
    <row r="41" spans="1:14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91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31"/>
      <c r="N41" s="31"/>
    </row>
    <row r="42" spans="1:14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91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31"/>
      <c r="N42" s="31"/>
    </row>
    <row r="43" spans="1:14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91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31"/>
      <c r="N43" s="31"/>
    </row>
    <row r="44" spans="1:14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91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31"/>
      <c r="N44" s="31"/>
    </row>
    <row r="45" spans="1:14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91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31"/>
      <c r="N45" s="31"/>
    </row>
    <row r="46" spans="1:14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91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31"/>
      <c r="N46" s="31"/>
    </row>
    <row r="47" spans="1:14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91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31"/>
      <c r="N47" s="31"/>
    </row>
    <row r="48" spans="1:14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91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31"/>
      <c r="N48" s="31"/>
    </row>
    <row r="49" spans="1:14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91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31"/>
      <c r="N49" s="31"/>
    </row>
    <row r="50" spans="1:14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91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31"/>
      <c r="N50" s="31"/>
    </row>
    <row r="51" spans="1:14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91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31"/>
      <c r="N51" s="31"/>
    </row>
    <row r="52" spans="1:14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91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31"/>
      <c r="N52" s="31"/>
    </row>
    <row r="53" spans="1:14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91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31"/>
      <c r="N53" s="31"/>
    </row>
    <row r="54" spans="1:14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91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31"/>
      <c r="N54" s="31"/>
    </row>
    <row r="55" spans="1:14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91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31"/>
      <c r="N55" s="31"/>
    </row>
    <row r="56" spans="1:14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91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31"/>
      <c r="N56" s="31"/>
    </row>
    <row r="57" spans="1:14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91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31"/>
      <c r="N57" s="31"/>
    </row>
    <row r="58" spans="1:14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91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31"/>
      <c r="N58" s="31"/>
    </row>
    <row r="59" spans="1:14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91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31"/>
      <c r="N59" s="31"/>
    </row>
    <row r="60" spans="1:14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91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31"/>
      <c r="N60" s="31"/>
    </row>
    <row r="61" spans="1:14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91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31"/>
      <c r="N61" s="31"/>
    </row>
    <row r="62" spans="1:14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91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31"/>
      <c r="N62" s="31"/>
    </row>
    <row r="63" spans="1:14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91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31"/>
      <c r="N63" s="31"/>
    </row>
    <row r="64" spans="1:14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91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31"/>
      <c r="N64" s="31"/>
    </row>
    <row r="65" spans="1:14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91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31"/>
      <c r="N65" s="31"/>
    </row>
    <row r="66" spans="1:14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91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31"/>
      <c r="N66" s="31"/>
    </row>
    <row r="67" spans="1:14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91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31"/>
      <c r="N67" s="31"/>
    </row>
    <row r="68" spans="1:14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91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31"/>
      <c r="N68" s="31"/>
    </row>
    <row r="69" spans="1:14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91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31"/>
      <c r="N69" s="31"/>
    </row>
    <row r="70" spans="1:14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91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31"/>
      <c r="N70" s="31"/>
    </row>
    <row r="71" spans="1:14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91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31"/>
      <c r="N71" s="31"/>
    </row>
    <row r="72" spans="1:14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91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31"/>
      <c r="N72" s="31"/>
    </row>
    <row r="73" spans="1:14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91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31"/>
      <c r="N73" s="31"/>
    </row>
    <row r="74" spans="1:14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91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31"/>
      <c r="N74" s="31"/>
    </row>
    <row r="75" spans="1:14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91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31"/>
      <c r="N75" s="31"/>
    </row>
    <row r="76" spans="1:14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91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31"/>
      <c r="N76" s="31"/>
    </row>
    <row r="77" spans="1:14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91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31"/>
      <c r="N77" s="31"/>
    </row>
    <row r="78" spans="1:14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91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31"/>
      <c r="N78" s="31"/>
    </row>
    <row r="79" spans="1:14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91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31"/>
      <c r="N79" s="31"/>
    </row>
    <row r="80" spans="1:14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91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31"/>
      <c r="N80" s="31"/>
    </row>
    <row r="81" spans="1:14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91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31"/>
      <c r="N81" s="31"/>
    </row>
    <row r="82" spans="1:14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91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31"/>
      <c r="N82" s="31"/>
    </row>
    <row r="83" spans="1:14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91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31"/>
      <c r="N83" s="31"/>
    </row>
    <row r="84" spans="1:14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91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31"/>
      <c r="N84" s="31"/>
    </row>
    <row r="85" spans="1:14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91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31"/>
      <c r="N85" s="31"/>
    </row>
    <row r="86" spans="1:14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91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31"/>
      <c r="N86" s="31"/>
    </row>
    <row r="87" spans="1:14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91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31"/>
      <c r="N87" s="31"/>
    </row>
    <row r="88" spans="1:14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91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31"/>
      <c r="N88" s="31"/>
    </row>
    <row r="89" spans="1:14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91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31"/>
      <c r="N89" s="31"/>
    </row>
    <row r="90" spans="1:14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91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31"/>
      <c r="N90" s="31"/>
    </row>
    <row r="91" spans="1:14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91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31"/>
      <c r="N91" s="31"/>
    </row>
    <row r="92" spans="1:14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91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31"/>
      <c r="N92" s="31"/>
    </row>
    <row r="93" spans="1:14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91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31"/>
      <c r="N93" s="31"/>
    </row>
    <row r="94" spans="1:14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91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31"/>
      <c r="N94" s="31"/>
    </row>
    <row r="95" spans="1:14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91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31"/>
      <c r="N95" s="31"/>
    </row>
    <row r="96" spans="1:14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91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31"/>
      <c r="N96" s="31"/>
    </row>
    <row r="97" spans="1:14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91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31"/>
      <c r="N97" s="31"/>
    </row>
    <row r="98" spans="1:14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91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31"/>
      <c r="N98" s="31"/>
    </row>
    <row r="99" spans="1:14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91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31"/>
      <c r="N99" s="31"/>
    </row>
    <row r="100" spans="1:14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91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31"/>
      <c r="N100" s="31"/>
    </row>
    <row r="101" spans="1:14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91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31"/>
      <c r="N101" s="31"/>
    </row>
    <row r="102" spans="1:14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91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31"/>
      <c r="N102" s="31"/>
    </row>
    <row r="103" spans="1:14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91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31"/>
      <c r="N103" s="31"/>
    </row>
    <row r="104" spans="1:14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91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31"/>
      <c r="N104" s="31"/>
    </row>
    <row r="105" spans="1:14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91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31"/>
      <c r="N105" s="31"/>
    </row>
    <row r="106" spans="1:14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91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31"/>
      <c r="N106" s="31"/>
    </row>
    <row r="107" spans="1:14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91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31"/>
      <c r="N107" s="31"/>
    </row>
    <row r="108" spans="1:14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91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31"/>
      <c r="N108" s="31"/>
    </row>
    <row r="109" spans="1:14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91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31"/>
      <c r="N109" s="31"/>
    </row>
    <row r="110" spans="1:14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91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31"/>
      <c r="N110" s="31"/>
    </row>
    <row r="111" spans="1:14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91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31"/>
      <c r="N111" s="31"/>
    </row>
    <row r="112" spans="1:14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91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31"/>
      <c r="N112" s="31"/>
    </row>
    <row r="113" spans="1:14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91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31"/>
      <c r="N113" s="31"/>
    </row>
    <row r="114" spans="1:14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91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31"/>
      <c r="N114" s="31"/>
    </row>
    <row r="115" spans="1:14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91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31"/>
      <c r="N115" s="31"/>
    </row>
    <row r="116" spans="1:14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91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31"/>
      <c r="N116" s="31"/>
    </row>
    <row r="117" spans="1:14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91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31"/>
      <c r="N117" s="31"/>
    </row>
    <row r="118" spans="1:14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91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31"/>
      <c r="N118" s="31"/>
    </row>
    <row r="119" spans="1:14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91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31"/>
      <c r="N119" s="31"/>
    </row>
    <row r="120" spans="1:14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91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31"/>
      <c r="N120" s="31"/>
    </row>
    <row r="121" spans="1:14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91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31"/>
      <c r="N121" s="31"/>
    </row>
    <row r="122" spans="1:14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91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31"/>
      <c r="N122" s="31"/>
    </row>
    <row r="123" spans="1:14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91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31"/>
      <c r="N123" s="31"/>
    </row>
    <row r="124" spans="1:14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91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31"/>
      <c r="N124" s="31"/>
    </row>
    <row r="125" spans="1:14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91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31"/>
      <c r="N125" s="31"/>
    </row>
    <row r="126" spans="1:14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91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31"/>
      <c r="N126" s="31"/>
    </row>
    <row r="127" spans="1:14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91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31"/>
      <c r="N127" s="31"/>
    </row>
    <row r="128" spans="1:14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91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31"/>
      <c r="N128" s="31"/>
    </row>
    <row r="129" spans="1:14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91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31"/>
      <c r="N129" s="31"/>
    </row>
    <row r="130" spans="1:14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91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31"/>
      <c r="N130" s="31"/>
    </row>
    <row r="131" spans="1:14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91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31"/>
      <c r="N131" s="31"/>
    </row>
    <row r="132" spans="1:14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91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31"/>
      <c r="N132" s="31"/>
    </row>
    <row r="133" spans="1:14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91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31"/>
      <c r="N133" s="31"/>
    </row>
    <row r="134" spans="1:14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91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31"/>
      <c r="N134" s="31"/>
    </row>
    <row r="135" spans="1:14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91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31"/>
      <c r="N135" s="31"/>
    </row>
    <row r="136" spans="1:14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91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31"/>
      <c r="N136" s="31"/>
    </row>
    <row r="137" spans="1:14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91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31"/>
      <c r="N137" s="31"/>
    </row>
    <row r="138" spans="1:14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91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31"/>
      <c r="N138" s="31"/>
    </row>
    <row r="139" spans="1:14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91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31"/>
      <c r="N139" s="31"/>
    </row>
    <row r="140" spans="1:14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91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31"/>
      <c r="N140" s="31"/>
    </row>
    <row r="141" spans="1:14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91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31"/>
      <c r="N141" s="31"/>
    </row>
    <row r="142" spans="1:14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91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31"/>
      <c r="N142" s="31"/>
    </row>
    <row r="143" spans="1:14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91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31"/>
      <c r="N143" s="31"/>
    </row>
    <row r="144" spans="1:14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91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31"/>
      <c r="N144" s="31"/>
    </row>
    <row r="145" spans="1:14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91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31"/>
      <c r="N145" s="31"/>
    </row>
    <row r="146" spans="1:14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91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31"/>
      <c r="N146" s="31"/>
    </row>
    <row r="147" spans="1:14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91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31"/>
      <c r="N147" s="31"/>
    </row>
    <row r="148" spans="1:14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91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31"/>
      <c r="N148" s="31"/>
    </row>
    <row r="149" spans="1:14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91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31"/>
      <c r="N149" s="31"/>
    </row>
    <row r="150" spans="1:14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91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31"/>
      <c r="N150" s="31"/>
    </row>
    <row r="151" spans="1:14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91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31"/>
      <c r="N151" s="31"/>
    </row>
    <row r="152" spans="1:14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91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31"/>
      <c r="N152" s="31"/>
    </row>
    <row r="153" spans="1:14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91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31"/>
      <c r="N153" s="31"/>
    </row>
    <row r="154" spans="1:14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91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31"/>
      <c r="N154" s="31"/>
    </row>
    <row r="155" spans="1:14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91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31"/>
      <c r="N155" s="31"/>
    </row>
    <row r="156" spans="1:14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91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31"/>
      <c r="N156" s="31"/>
    </row>
    <row r="157" spans="1:14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91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31"/>
      <c r="N157" s="31"/>
    </row>
    <row r="158" spans="1:14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91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31"/>
      <c r="N158" s="31"/>
    </row>
    <row r="159" spans="1:14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91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31"/>
      <c r="N159" s="31"/>
    </row>
    <row r="160" spans="1:14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91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31"/>
      <c r="N160" s="31"/>
    </row>
    <row r="161" spans="1:14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91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31"/>
      <c r="N161" s="31"/>
    </row>
    <row r="162" spans="1:14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91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31"/>
      <c r="N162" s="31"/>
    </row>
    <row r="163" spans="1:14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91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31"/>
      <c r="N163" s="31"/>
    </row>
    <row r="164" spans="1:14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91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31"/>
      <c r="N164" s="31"/>
    </row>
    <row r="165" spans="1:14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91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31"/>
      <c r="N165" s="31"/>
    </row>
    <row r="166" spans="1:14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91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31"/>
      <c r="N166" s="31"/>
    </row>
    <row r="167" spans="1:14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91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31"/>
      <c r="N167" s="31"/>
    </row>
    <row r="168" spans="1:14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91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31"/>
      <c r="N168" s="31"/>
    </row>
    <row r="169" spans="1:14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91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31"/>
      <c r="N169" s="31"/>
    </row>
    <row r="170" spans="1:14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91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31"/>
      <c r="N170" s="31"/>
    </row>
    <row r="171" spans="1:14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91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31"/>
      <c r="N171" s="31"/>
    </row>
    <row r="172" spans="1:14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91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31"/>
      <c r="N172" s="31"/>
    </row>
    <row r="173" spans="1:14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91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31"/>
      <c r="N173" s="31"/>
    </row>
    <row r="174" spans="1:14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91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31"/>
      <c r="N174" s="31"/>
    </row>
    <row r="175" spans="1:14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91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31"/>
      <c r="N175" s="31"/>
    </row>
    <row r="176" spans="1:14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91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31"/>
      <c r="N176" s="31"/>
    </row>
    <row r="177" spans="1:14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91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31"/>
      <c r="N177" s="31"/>
    </row>
    <row r="178" spans="1:14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91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31"/>
      <c r="N178" s="31"/>
    </row>
    <row r="179" spans="1:14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91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31"/>
      <c r="N179" s="31"/>
    </row>
    <row r="180" spans="1:14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91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31"/>
      <c r="N180" s="31"/>
    </row>
    <row r="181" spans="1:14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91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31"/>
      <c r="N181" s="31"/>
    </row>
    <row r="182" spans="1:14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91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31"/>
      <c r="N182" s="31"/>
    </row>
    <row r="183" spans="1:14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91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31"/>
      <c r="N183" s="31"/>
    </row>
    <row r="184" spans="1:14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91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31"/>
      <c r="N184" s="31"/>
    </row>
    <row r="185" spans="1:14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91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31"/>
      <c r="N185" s="31"/>
    </row>
    <row r="186" spans="1:14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91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31"/>
      <c r="N186" s="31"/>
    </row>
    <row r="187" spans="1:14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91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31"/>
      <c r="N187" s="31"/>
    </row>
    <row r="188" spans="1:14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91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31"/>
      <c r="N188" s="31"/>
    </row>
    <row r="189" spans="1:14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91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31"/>
      <c r="N189" s="31"/>
    </row>
    <row r="190" spans="1:14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91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31"/>
      <c r="N190" s="31"/>
    </row>
    <row r="191" spans="1:14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91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31"/>
      <c r="N191" s="31"/>
    </row>
    <row r="192" spans="1:14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91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31"/>
      <c r="N192" s="31"/>
    </row>
    <row r="193" spans="1:14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91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31"/>
      <c r="N193" s="31"/>
    </row>
    <row r="194" spans="1:14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91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31"/>
      <c r="N194" s="31"/>
    </row>
    <row r="195" spans="1:14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91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31"/>
      <c r="N195" s="31"/>
    </row>
    <row r="196" spans="1:14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91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31"/>
      <c r="N196" s="31"/>
    </row>
    <row r="197" spans="1:14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91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31"/>
      <c r="N197" s="31"/>
    </row>
    <row r="198" spans="1:14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91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31"/>
      <c r="N198" s="31"/>
    </row>
    <row r="199" spans="1:14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91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31"/>
      <c r="N199" s="31"/>
    </row>
    <row r="200" spans="1:14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91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31"/>
      <c r="N200" s="31"/>
    </row>
    <row r="201" spans="1:14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91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31"/>
      <c r="N201" s="31"/>
    </row>
    <row r="202" spans="1:14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91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31"/>
      <c r="N202" s="31"/>
    </row>
    <row r="203" spans="1:14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91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31"/>
      <c r="N203" s="31"/>
    </row>
    <row r="204" spans="1:14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91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31"/>
      <c r="N204" s="31"/>
    </row>
    <row r="205" spans="1:14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91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31"/>
      <c r="N205" s="31"/>
    </row>
    <row r="206" spans="1:14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91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31"/>
      <c r="N206" s="31"/>
    </row>
    <row r="207" spans="1:14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91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31"/>
      <c r="N207" s="31"/>
    </row>
    <row r="208" spans="1:14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91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31"/>
      <c r="N208" s="31"/>
    </row>
    <row r="209" spans="1:14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91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31"/>
      <c r="N209" s="31"/>
    </row>
    <row r="210" spans="1:14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91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31"/>
      <c r="N210" s="31"/>
    </row>
    <row r="211" spans="1:14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91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31"/>
      <c r="N211" s="31"/>
    </row>
    <row r="212" spans="1:14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91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31"/>
      <c r="N212" s="31"/>
    </row>
    <row r="213" spans="1:14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91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31"/>
      <c r="N213" s="31"/>
    </row>
    <row r="214" spans="1:14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91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31"/>
      <c r="N214" s="31"/>
    </row>
    <row r="215" spans="1:14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91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31"/>
      <c r="N215" s="31"/>
    </row>
    <row r="216" spans="1:14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91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31"/>
      <c r="N216" s="31"/>
    </row>
    <row r="217" spans="1:14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91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31"/>
      <c r="N217" s="31"/>
    </row>
    <row r="218" spans="1:14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91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31"/>
      <c r="N218" s="31"/>
    </row>
    <row r="219" spans="1:14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91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31"/>
      <c r="N219" s="31"/>
    </row>
    <row r="220" spans="1:14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91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31"/>
      <c r="N220" s="31"/>
    </row>
    <row r="221" spans="1:14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91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31"/>
      <c r="N221" s="31"/>
    </row>
    <row r="222" spans="1:14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91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31"/>
      <c r="N222" s="31"/>
    </row>
    <row r="223" spans="1:14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91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31"/>
      <c r="N223" s="31"/>
    </row>
    <row r="224" spans="1:14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91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31"/>
      <c r="N224" s="31"/>
    </row>
    <row r="225" spans="1:14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91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31"/>
      <c r="N225" s="31"/>
    </row>
    <row r="226" spans="1:14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91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31"/>
      <c r="N226" s="31"/>
    </row>
    <row r="227" spans="1:14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91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31"/>
      <c r="N227" s="31"/>
    </row>
    <row r="228" spans="1:14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91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31"/>
      <c r="N228" s="31"/>
    </row>
    <row r="229" spans="1:14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91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31"/>
      <c r="N229" s="31"/>
    </row>
    <row r="230" spans="1:14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91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31"/>
      <c r="N230" s="31"/>
    </row>
    <row r="231" spans="1:14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91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31"/>
      <c r="N231" s="31"/>
    </row>
    <row r="232" spans="1:14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91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31"/>
      <c r="N232" s="31"/>
    </row>
    <row r="233" spans="1:14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91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31"/>
      <c r="N233" s="31"/>
    </row>
    <row r="234" spans="1:14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91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31"/>
      <c r="N234" s="31"/>
    </row>
    <row r="235" spans="1:14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91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31"/>
      <c r="N235" s="31"/>
    </row>
    <row r="236" spans="1:14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91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31"/>
      <c r="N236" s="31"/>
    </row>
    <row r="237" spans="1:14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91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31"/>
      <c r="N237" s="31"/>
    </row>
    <row r="238" spans="1:14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91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31"/>
      <c r="N238" s="31"/>
    </row>
    <row r="239" spans="1:14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91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31"/>
      <c r="N239" s="31"/>
    </row>
    <row r="240" spans="1:14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91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31"/>
      <c r="N240" s="31"/>
    </row>
    <row r="241" spans="1:14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91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31"/>
      <c r="N241" s="31"/>
    </row>
    <row r="242" spans="1:14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91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31"/>
      <c r="N242" s="31"/>
    </row>
    <row r="243" spans="1:14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91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31"/>
      <c r="N243" s="31"/>
    </row>
    <row r="244" spans="1:14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91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31"/>
      <c r="N244" s="31"/>
    </row>
    <row r="245" spans="1:14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91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31"/>
      <c r="N245" s="31"/>
    </row>
    <row r="246" spans="1:14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91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31"/>
      <c r="N246" s="31"/>
    </row>
    <row r="247" spans="1:14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91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31"/>
      <c r="N247" s="31"/>
    </row>
    <row r="248" spans="1:14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91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31"/>
      <c r="N248" s="31"/>
    </row>
    <row r="249" spans="1:14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91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31"/>
      <c r="N249" s="31"/>
    </row>
    <row r="250" spans="1:14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91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31"/>
      <c r="N250" s="31"/>
    </row>
    <row r="251" spans="1:14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91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31"/>
      <c r="N251" s="31"/>
    </row>
    <row r="252" spans="1:14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91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31"/>
      <c r="N252" s="31"/>
    </row>
    <row r="253" spans="1:14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91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31"/>
      <c r="N253" s="31"/>
    </row>
    <row r="254" spans="1:14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91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31"/>
      <c r="N254" s="31"/>
    </row>
    <row r="255" spans="1:14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91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31"/>
      <c r="N255" s="31"/>
    </row>
    <row r="256" spans="1:14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91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31"/>
      <c r="N256" s="31"/>
    </row>
    <row r="257" spans="1:14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91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31"/>
      <c r="N257" s="31"/>
    </row>
    <row r="258" spans="1:14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91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31"/>
      <c r="N258" s="31"/>
    </row>
    <row r="259" spans="1:14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91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31"/>
      <c r="N259" s="31"/>
    </row>
    <row r="260" spans="1:14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91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31"/>
      <c r="N260" s="31"/>
    </row>
    <row r="261" spans="1:14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91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31"/>
      <c r="N261" s="31"/>
    </row>
    <row r="262" spans="1:14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91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31"/>
      <c r="N262" s="31"/>
    </row>
    <row r="263" spans="1:14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91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31"/>
      <c r="N263" s="31"/>
    </row>
    <row r="264" spans="1:14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91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31"/>
      <c r="N264" s="31"/>
    </row>
    <row r="265" spans="1:14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91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31"/>
      <c r="N265" s="31"/>
    </row>
    <row r="266" spans="1:14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91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31"/>
      <c r="N266" s="31"/>
    </row>
    <row r="267" spans="1:14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91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31"/>
      <c r="N267" s="31"/>
    </row>
    <row r="268" spans="1:14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91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31"/>
      <c r="N268" s="31"/>
    </row>
    <row r="269" spans="1:14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91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31"/>
      <c r="N269" s="31"/>
    </row>
    <row r="270" spans="1:14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91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31"/>
      <c r="N270" s="31"/>
    </row>
    <row r="271" spans="1:14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91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31"/>
      <c r="N271" s="31"/>
    </row>
    <row r="272" spans="1:14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91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31"/>
      <c r="N272" s="31"/>
    </row>
    <row r="273" spans="1:14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91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31"/>
      <c r="N273" s="31"/>
    </row>
    <row r="274" spans="1:14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91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31"/>
      <c r="N274" s="31"/>
    </row>
    <row r="275" spans="1:14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91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31"/>
      <c r="N275" s="31"/>
    </row>
    <row r="276" spans="1:14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91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31"/>
      <c r="N276" s="31"/>
    </row>
    <row r="277" spans="1:14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91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31"/>
      <c r="N277" s="31"/>
    </row>
    <row r="278" spans="1:14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91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31"/>
      <c r="N278" s="31"/>
    </row>
    <row r="279" spans="1:14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91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31"/>
      <c r="N279" s="31"/>
    </row>
    <row r="280" spans="1:14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91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31"/>
      <c r="N280" s="31"/>
    </row>
    <row r="281" spans="1:14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91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31"/>
      <c r="N281" s="31"/>
    </row>
    <row r="282" spans="1:14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91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31"/>
      <c r="N282" s="31"/>
    </row>
    <row r="283" spans="1:14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91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31"/>
      <c r="N283" s="31"/>
    </row>
    <row r="284" spans="1:14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91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31"/>
      <c r="N284" s="31"/>
    </row>
    <row r="285" spans="1:14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91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31"/>
      <c r="N285" s="31"/>
    </row>
    <row r="286" spans="1:14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91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31"/>
      <c r="N286" s="31"/>
    </row>
    <row r="287" spans="1:14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91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31"/>
      <c r="N287" s="31"/>
    </row>
    <row r="288" spans="1:14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91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31"/>
      <c r="N288" s="31"/>
    </row>
    <row r="289" spans="1:14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91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31"/>
      <c r="N289" s="31"/>
    </row>
    <row r="290" spans="1:14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91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31"/>
      <c r="N290" s="31"/>
    </row>
    <row r="291" spans="1:14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91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31"/>
      <c r="N291" s="31"/>
    </row>
    <row r="292" spans="1:14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91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31"/>
      <c r="N292" s="31"/>
    </row>
    <row r="293" spans="1:14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91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31"/>
      <c r="N293" s="31"/>
    </row>
    <row r="294" spans="1:14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91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31"/>
      <c r="N294" s="31"/>
    </row>
    <row r="295" spans="1:14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91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31"/>
      <c r="N295" s="31"/>
    </row>
    <row r="296" spans="1:14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91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31"/>
      <c r="N296" s="31"/>
    </row>
    <row r="297" spans="1:14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91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31"/>
      <c r="N297" s="31"/>
    </row>
    <row r="298" spans="1:14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91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31"/>
      <c r="N298" s="31"/>
    </row>
    <row r="299" spans="1:14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91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31"/>
      <c r="N299" s="31"/>
    </row>
    <row r="300" spans="1:14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91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31"/>
      <c r="N300" s="31"/>
    </row>
    <row r="301" spans="1:14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91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31"/>
      <c r="N301" s="31"/>
    </row>
    <row r="302" spans="1:14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91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31"/>
      <c r="N302" s="31"/>
    </row>
    <row r="303" spans="1:14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91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31"/>
      <c r="N303" s="31"/>
    </row>
    <row r="304" spans="1:14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91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31"/>
      <c r="N304" s="31"/>
    </row>
    <row r="305" spans="1:14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91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31"/>
      <c r="N305" s="31"/>
    </row>
    <row r="306" spans="1:14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91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31"/>
      <c r="N306" s="31"/>
    </row>
    <row r="307" spans="1:14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91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31"/>
      <c r="N307" s="31"/>
    </row>
    <row r="308" spans="1:14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91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31"/>
      <c r="N308" s="31"/>
    </row>
    <row r="309" spans="1:14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91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31"/>
      <c r="N309" s="31"/>
    </row>
    <row r="310" spans="1:14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91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31"/>
      <c r="N310" s="31"/>
    </row>
    <row r="311" spans="1:14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91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31"/>
      <c r="N311" s="31"/>
    </row>
    <row r="312" spans="1:14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91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31"/>
      <c r="N312" s="31"/>
    </row>
    <row r="313" spans="1:14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91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31"/>
      <c r="N313" s="31"/>
    </row>
    <row r="314" spans="1:14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91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31"/>
      <c r="N314" s="31"/>
    </row>
    <row r="315" spans="1:14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91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31"/>
      <c r="N315" s="31"/>
    </row>
    <row r="316" spans="1:14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91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31"/>
      <c r="N316" s="31"/>
    </row>
    <row r="317" spans="1:14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91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31"/>
      <c r="N317" s="31"/>
    </row>
    <row r="318" spans="1:14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91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31"/>
      <c r="N318" s="31"/>
    </row>
    <row r="319" spans="1:14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91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31"/>
      <c r="N319" s="31"/>
    </row>
    <row r="320" spans="1:14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91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31"/>
      <c r="N320" s="31"/>
    </row>
    <row r="321" spans="1:14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91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31"/>
      <c r="N321" s="31"/>
    </row>
    <row r="322" spans="1:14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91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31"/>
      <c r="N322" s="31"/>
    </row>
    <row r="323" spans="1:14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91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31"/>
      <c r="N323" s="31"/>
    </row>
    <row r="324" spans="1:14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91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31"/>
      <c r="N324" s="31"/>
    </row>
    <row r="325" spans="1:14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91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31"/>
      <c r="N325" s="31"/>
    </row>
    <row r="326" spans="1:14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91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31"/>
      <c r="N326" s="31"/>
    </row>
    <row r="327" spans="1:14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91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31"/>
      <c r="N327" s="31"/>
    </row>
    <row r="328" spans="1:14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91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31"/>
      <c r="N328" s="31"/>
    </row>
    <row r="329" spans="1:14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91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31"/>
      <c r="N329" s="31"/>
    </row>
    <row r="330" spans="1:14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91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31"/>
      <c r="N330" s="31"/>
    </row>
    <row r="331" spans="1:14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91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31"/>
      <c r="N331" s="31"/>
    </row>
    <row r="332" spans="1:14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91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31"/>
      <c r="N332" s="31"/>
    </row>
    <row r="333" spans="1:14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91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31"/>
      <c r="N333" s="31"/>
    </row>
    <row r="334" spans="1:14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91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31"/>
      <c r="N334" s="31"/>
    </row>
    <row r="335" spans="1:14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91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31"/>
      <c r="N335" s="31"/>
    </row>
    <row r="336" spans="1:14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91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31"/>
      <c r="N336" s="31"/>
    </row>
    <row r="337" spans="1:14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91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31"/>
      <c r="N337" s="31"/>
    </row>
    <row r="338" spans="1:14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91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31"/>
      <c r="N338" s="31"/>
    </row>
    <row r="339" spans="1:14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91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31"/>
      <c r="N339" s="31"/>
    </row>
    <row r="340" spans="1:14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91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31"/>
      <c r="N340" s="31"/>
    </row>
    <row r="341" spans="1:14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91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31"/>
      <c r="N341" s="31"/>
    </row>
    <row r="342" spans="1:14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91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31"/>
      <c r="N342" s="31"/>
    </row>
    <row r="343" spans="1:14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91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31"/>
      <c r="N343" s="31"/>
    </row>
    <row r="344" spans="1:14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91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31"/>
      <c r="N344" s="31"/>
    </row>
    <row r="345" spans="1:14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91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31"/>
      <c r="N345" s="31"/>
    </row>
    <row r="346" spans="1:14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91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31"/>
      <c r="N346" s="31"/>
    </row>
    <row r="347" spans="1:14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91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31"/>
      <c r="N347" s="31"/>
    </row>
    <row r="348" spans="1:14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91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31"/>
      <c r="N348" s="31"/>
    </row>
    <row r="349" spans="1:14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91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31"/>
      <c r="N349" s="31"/>
    </row>
    <row r="350" spans="1:14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91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31"/>
      <c r="N350" s="31"/>
    </row>
    <row r="351" spans="1:14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91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31"/>
      <c r="N351" s="31"/>
    </row>
    <row r="352" spans="1:14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91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31"/>
      <c r="N352" s="31"/>
    </row>
    <row r="353" spans="1:14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91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31"/>
      <c r="N353" s="31"/>
    </row>
    <row r="354" spans="1:14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91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31"/>
      <c r="N354" s="31"/>
    </row>
    <row r="355" spans="1:14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91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31"/>
      <c r="N355" s="31"/>
    </row>
    <row r="356" spans="1:14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91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31"/>
      <c r="N356" s="31"/>
    </row>
    <row r="357" spans="1:14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91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31"/>
      <c r="N357" s="31"/>
    </row>
    <row r="358" spans="1:14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91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31"/>
      <c r="N358" s="31"/>
    </row>
    <row r="359" spans="1:14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91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31"/>
      <c r="N359" s="31"/>
    </row>
    <row r="360" spans="1:14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91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31"/>
      <c r="N360" s="31"/>
    </row>
    <row r="361" spans="1:14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91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31"/>
      <c r="N361" s="31"/>
    </row>
    <row r="362" spans="1:14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91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31"/>
      <c r="N362" s="31"/>
    </row>
    <row r="363" spans="1:14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91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31"/>
      <c r="N363" s="31"/>
    </row>
    <row r="364" spans="1:14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91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31"/>
      <c r="N364" s="31"/>
    </row>
    <row r="365" spans="1:14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91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31"/>
      <c r="N365" s="31"/>
    </row>
    <row r="366" spans="1:14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91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31"/>
      <c r="N366" s="31"/>
    </row>
    <row r="367" spans="1:14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91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31"/>
      <c r="N367" s="31"/>
    </row>
    <row r="368" spans="1:14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91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31"/>
      <c r="N368" s="31"/>
    </row>
    <row r="369" spans="1:14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91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31"/>
      <c r="N369" s="31"/>
    </row>
    <row r="370" spans="1:14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91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31"/>
      <c r="N370" s="31"/>
    </row>
    <row r="371" spans="1:14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91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31"/>
      <c r="N371" s="31"/>
    </row>
    <row r="372" spans="1:14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91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31"/>
      <c r="N372" s="31"/>
    </row>
    <row r="373" spans="1:14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91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31"/>
      <c r="N373" s="31"/>
    </row>
    <row r="374" spans="1:14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91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31"/>
      <c r="N374" s="31"/>
    </row>
    <row r="375" spans="1:14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91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31"/>
      <c r="N375" s="31"/>
    </row>
    <row r="376" spans="1:14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91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31"/>
      <c r="N376" s="31"/>
    </row>
    <row r="377" spans="1:14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91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31"/>
      <c r="N377" s="31"/>
    </row>
    <row r="378" spans="1:14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91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31"/>
      <c r="N378" s="31"/>
    </row>
    <row r="379" spans="1:14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91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31"/>
      <c r="N379" s="31"/>
    </row>
    <row r="380" spans="1:14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91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31"/>
      <c r="N380" s="31"/>
    </row>
    <row r="381" spans="1:14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91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31"/>
      <c r="N381" s="31"/>
    </row>
    <row r="382" spans="1:14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91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31"/>
      <c r="N382" s="31"/>
    </row>
    <row r="383" spans="1:14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91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31"/>
      <c r="N383" s="31"/>
    </row>
    <row r="384" spans="1:14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91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31"/>
      <c r="N384" s="31"/>
    </row>
    <row r="385" spans="1:14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91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31"/>
      <c r="N385" s="31"/>
    </row>
    <row r="386" spans="1:14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91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31"/>
      <c r="N386" s="31"/>
    </row>
    <row r="387" spans="1:14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91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31"/>
      <c r="N387" s="31"/>
    </row>
    <row r="388" spans="1:14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91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31"/>
      <c r="N388" s="31"/>
    </row>
    <row r="389" spans="1:14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91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31"/>
      <c r="N389" s="31"/>
    </row>
    <row r="390" spans="1:14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91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31"/>
      <c r="N390" s="31"/>
    </row>
    <row r="391" spans="1:14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91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31"/>
      <c r="N391" s="31"/>
    </row>
    <row r="392" spans="1:14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91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31"/>
      <c r="N392" s="31"/>
    </row>
    <row r="393" spans="1:14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91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31"/>
      <c r="N393" s="31"/>
    </row>
    <row r="394" spans="1:14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91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31"/>
      <c r="N394" s="31"/>
    </row>
    <row r="395" spans="1:14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91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31"/>
      <c r="N395" s="31"/>
    </row>
    <row r="396" spans="1:14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91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31"/>
      <c r="N396" s="31"/>
    </row>
    <row r="397" spans="1:14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91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31"/>
      <c r="N397" s="31"/>
    </row>
    <row r="398" spans="1:14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91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31"/>
      <c r="N398" s="31"/>
    </row>
    <row r="399" spans="1:14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91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31"/>
      <c r="N399" s="31"/>
    </row>
    <row r="400" spans="1:14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91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31"/>
      <c r="N400" s="31"/>
    </row>
    <row r="401" spans="1:14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91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31"/>
      <c r="N401" s="31"/>
    </row>
    <row r="402" spans="1:14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91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31"/>
      <c r="N402" s="31"/>
    </row>
    <row r="403" spans="1:14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91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31"/>
      <c r="N403" s="31"/>
    </row>
    <row r="404" spans="1:14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91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31"/>
      <c r="N404" s="31"/>
    </row>
    <row r="405" spans="1:14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91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31"/>
      <c r="N405" s="31"/>
    </row>
    <row r="406" spans="1:14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91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31"/>
      <c r="N406" s="31"/>
    </row>
    <row r="407" spans="1:14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91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31"/>
      <c r="N407" s="31"/>
    </row>
    <row r="408" spans="1:14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91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31"/>
      <c r="N408" s="31"/>
    </row>
    <row r="409" spans="1:14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91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31"/>
      <c r="N409" s="31"/>
    </row>
    <row r="410" spans="1:14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91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31"/>
      <c r="N410" s="31"/>
    </row>
    <row r="411" spans="1:14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91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31"/>
      <c r="N411" s="31"/>
    </row>
    <row r="412" spans="1:14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91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31"/>
      <c r="N412" s="31"/>
    </row>
    <row r="413" spans="1:14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91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31"/>
      <c r="N413" s="31"/>
    </row>
    <row r="414" spans="1:14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91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31"/>
      <c r="N414" s="31"/>
    </row>
    <row r="415" spans="1:14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91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31"/>
      <c r="N415" s="31"/>
    </row>
    <row r="416" spans="1:14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91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31"/>
      <c r="N416" s="31"/>
    </row>
    <row r="417" spans="1:14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91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31"/>
      <c r="N417" s="31"/>
    </row>
    <row r="418" spans="1:14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91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31"/>
      <c r="N418" s="31"/>
    </row>
    <row r="419" spans="1:14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91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31"/>
      <c r="N419" s="31"/>
    </row>
    <row r="420" spans="1:14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91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31"/>
      <c r="N420" s="31"/>
    </row>
    <row r="421" spans="1:14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91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31"/>
      <c r="N421" s="31"/>
    </row>
    <row r="422" spans="1:14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91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31"/>
      <c r="N422" s="31"/>
    </row>
    <row r="423" spans="1:14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91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31"/>
      <c r="N423" s="31"/>
    </row>
    <row r="424" spans="1:14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91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31"/>
      <c r="N424" s="31"/>
    </row>
    <row r="425" spans="1:14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91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31"/>
      <c r="N425" s="31"/>
    </row>
    <row r="426" spans="1:14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91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31"/>
      <c r="N426" s="31"/>
    </row>
    <row r="427" spans="1:14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91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31"/>
      <c r="N427" s="31"/>
    </row>
    <row r="428" spans="1:14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91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31"/>
      <c r="N428" s="31"/>
    </row>
    <row r="429" spans="1:14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91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31"/>
      <c r="N429" s="31"/>
    </row>
    <row r="430" spans="1:14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91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31"/>
      <c r="N430" s="31"/>
    </row>
    <row r="431" spans="1:14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91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31"/>
      <c r="N431" s="31"/>
    </row>
    <row r="432" spans="1:14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91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31"/>
      <c r="N432" s="31"/>
    </row>
    <row r="433" spans="1:14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91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31"/>
      <c r="N433" s="31"/>
    </row>
    <row r="434" spans="1:14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91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31"/>
      <c r="N434" s="31"/>
    </row>
    <row r="435" spans="1:14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91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31"/>
      <c r="N435" s="31"/>
    </row>
    <row r="436" spans="1:14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91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31"/>
      <c r="N436" s="31"/>
    </row>
    <row r="437" spans="1:14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91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31"/>
      <c r="N437" s="31"/>
    </row>
    <row r="438" spans="1:14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91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31"/>
      <c r="N438" s="31"/>
    </row>
    <row r="439" spans="1:14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91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31"/>
      <c r="N439" s="31"/>
    </row>
    <row r="440" spans="1:14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91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31"/>
      <c r="N440" s="31"/>
    </row>
    <row r="441" spans="1:14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91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31"/>
      <c r="N441" s="31"/>
    </row>
    <row r="442" spans="1:14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91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31"/>
      <c r="N442" s="31"/>
    </row>
    <row r="443" spans="1:14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91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31"/>
      <c r="N443" s="31"/>
    </row>
    <row r="444" spans="1:14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91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31"/>
      <c r="N444" s="31"/>
    </row>
    <row r="445" spans="1:14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91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31"/>
      <c r="N445" s="31"/>
    </row>
    <row r="446" spans="1:14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91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31"/>
      <c r="N446" s="31"/>
    </row>
    <row r="447" spans="1:14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91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31"/>
      <c r="N447" s="31"/>
    </row>
    <row r="448" spans="1:14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91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31"/>
      <c r="N448" s="31"/>
    </row>
    <row r="449" spans="1:14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91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31"/>
      <c r="N449" s="31"/>
    </row>
    <row r="450" spans="1:14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91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31"/>
      <c r="N450" s="31"/>
    </row>
    <row r="451" spans="1:14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91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31"/>
      <c r="N451" s="31"/>
    </row>
    <row r="452" spans="1:14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91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31"/>
      <c r="N452" s="31"/>
    </row>
    <row r="453" spans="1:14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91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31"/>
      <c r="N453" s="31"/>
    </row>
    <row r="454" spans="1:14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91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31"/>
      <c r="N454" s="31"/>
    </row>
    <row r="455" spans="1:14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91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31"/>
      <c r="N455" s="31"/>
    </row>
    <row r="456" spans="1:14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91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31"/>
      <c r="N456" s="31"/>
    </row>
    <row r="457" spans="1:14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91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31"/>
      <c r="N457" s="31"/>
    </row>
    <row r="458" spans="1:14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91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31"/>
      <c r="N458" s="31"/>
    </row>
    <row r="459" spans="1:14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91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31"/>
      <c r="N459" s="31"/>
    </row>
    <row r="460" spans="1:14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91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31"/>
      <c r="N460" s="31"/>
    </row>
    <row r="461" spans="1:14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91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31"/>
      <c r="N461" s="31"/>
    </row>
    <row r="462" spans="1:14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91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31"/>
      <c r="N462" s="31"/>
    </row>
    <row r="463" spans="1:14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91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31"/>
      <c r="N463" s="31"/>
    </row>
    <row r="464" spans="1:14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91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31"/>
      <c r="N464" s="31"/>
    </row>
    <row r="465" spans="1:14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91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31"/>
      <c r="N465" s="31"/>
    </row>
    <row r="466" spans="1:14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91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31"/>
      <c r="N466" s="31"/>
    </row>
    <row r="467" spans="1:14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91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31"/>
      <c r="N467" s="31"/>
    </row>
    <row r="468" spans="1:14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91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31"/>
      <c r="N468" s="31"/>
    </row>
    <row r="469" spans="1:14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91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31"/>
      <c r="N469" s="31"/>
    </row>
    <row r="470" spans="1:14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91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31"/>
      <c r="N470" s="31"/>
    </row>
    <row r="471" spans="1:14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91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31"/>
      <c r="N471" s="31"/>
    </row>
    <row r="472" spans="1:14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91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31"/>
      <c r="N472" s="31"/>
    </row>
    <row r="473" spans="1:14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91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31"/>
      <c r="N473" s="31"/>
    </row>
    <row r="474" spans="1:14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91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31"/>
      <c r="N474" s="31"/>
    </row>
    <row r="475" spans="1:14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91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31"/>
      <c r="N475" s="31"/>
    </row>
    <row r="476" spans="1:14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91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31"/>
      <c r="N476" s="31"/>
    </row>
    <row r="477" spans="1:14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91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31"/>
      <c r="N477" s="31"/>
    </row>
    <row r="478" spans="1:14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91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31"/>
      <c r="N478" s="31"/>
    </row>
    <row r="479" spans="1:14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91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31"/>
      <c r="N479" s="31"/>
    </row>
    <row r="480" spans="1:14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91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31"/>
      <c r="N480" s="31"/>
    </row>
    <row r="481" spans="1:14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91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31"/>
      <c r="N481" s="31"/>
    </row>
    <row r="482" spans="1:14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91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31"/>
      <c r="N482" s="31"/>
    </row>
    <row r="483" spans="1:14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91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31"/>
      <c r="N483" s="31"/>
    </row>
    <row r="484" spans="1:14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91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31"/>
      <c r="N484" s="31"/>
    </row>
    <row r="485" spans="1:14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91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31"/>
      <c r="N485" s="31"/>
    </row>
    <row r="486" spans="1:14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91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31"/>
      <c r="N486" s="31"/>
    </row>
    <row r="487" spans="1:14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91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31"/>
      <c r="N487" s="31"/>
    </row>
    <row r="488" spans="1:14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91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31"/>
      <c r="N488" s="31"/>
    </row>
    <row r="489" spans="1:14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91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31"/>
      <c r="N489" s="31"/>
    </row>
    <row r="490" spans="1:14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91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31"/>
      <c r="N490" s="31"/>
    </row>
    <row r="491" spans="1:14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91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31"/>
      <c r="N491" s="31"/>
    </row>
    <row r="492" spans="1:14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91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31"/>
      <c r="N492" s="31"/>
    </row>
    <row r="493" spans="1:14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91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31"/>
      <c r="N493" s="31"/>
    </row>
    <row r="494" spans="1:14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91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31"/>
      <c r="N494" s="31"/>
    </row>
    <row r="495" spans="1:14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91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31"/>
      <c r="N495" s="31"/>
    </row>
    <row r="496" spans="1:14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91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31"/>
      <c r="N496" s="31"/>
    </row>
    <row r="497" spans="1:14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91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31"/>
      <c r="N497" s="31"/>
    </row>
    <row r="498" spans="1:14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91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31"/>
      <c r="N498" s="31"/>
    </row>
    <row r="499" spans="1:14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91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31"/>
      <c r="N499" s="31"/>
    </row>
    <row r="500" spans="1:14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91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31"/>
      <c r="N500" s="31"/>
    </row>
    <row r="501" spans="1:14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91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31"/>
      <c r="N501" s="31"/>
    </row>
    <row r="502" spans="1:14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91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31"/>
      <c r="N502" s="31"/>
    </row>
    <row r="503" spans="1:14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91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31"/>
      <c r="N503" s="31"/>
    </row>
    <row r="504" spans="1:14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91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31"/>
      <c r="N504" s="31"/>
    </row>
    <row r="505" spans="1:14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91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31"/>
      <c r="N505" s="31"/>
    </row>
    <row r="506" spans="1:14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91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31"/>
      <c r="N506" s="31"/>
    </row>
    <row r="507" spans="1:14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91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31"/>
      <c r="N507" s="31"/>
    </row>
    <row r="514" spans="4:4">
      <c r="D514" s="119"/>
    </row>
    <row r="515" spans="4:4">
      <c r="D515" s="119"/>
    </row>
  </sheetData>
  <dataConsolidate/>
  <mergeCells count="1">
    <mergeCell ref="J3:K3"/>
  </mergeCells>
  <conditionalFormatting sqref="A8:N507">
    <cfRule type="expression" dxfId="68" priority="1">
      <formula xml:space="preserve"> "" = $E8</formula>
    </cfRule>
    <cfRule type="expression" dxfId="67" priority="5">
      <formula xml:space="preserve"> "انتقال" = $E8</formula>
    </cfRule>
    <cfRule type="expression" dxfId="66" priority="6">
      <formula xml:space="preserve"> "پرداخت_هزینه" = $E8</formula>
    </cfRule>
    <cfRule type="expression" dxfId="65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</dataValidations>
  <hyperlinks>
    <hyperlink ref="B1" location="فهرست!A1" display="فهرست" xr:uid="{00000000-0004-0000-0200-000000000000}"/>
    <hyperlink ref="C1" location="'مدیریت وام و اقساط'!A1" display="وام و اقساط" xr:uid="{00000000-0004-0000-0200-000001000000}"/>
    <hyperlink ref="D1" location="'مدیریت چک‌ها'!A1" display="چک‌ها" xr:uid="{00000000-0004-0000-0200-000002000000}"/>
    <hyperlink ref="E1" location="'مدیریت بدهی‌ها-طلب‌ها'!A1" display="بدهی‌ها و طلب‌ها" xr:uid="{00000000-0004-0000-0200-000003000000}"/>
    <hyperlink ref="F1" location="'برنامه ریزی پرداخت‌ها'!A1" display="برنامه ریزی" xr:uid="{00000000-0004-0000-0200-000004000000}"/>
    <hyperlink ref="G1" location="تقویم!A1" display="تقویم" xr:uid="{00000000-0004-0000-0200-000005000000}"/>
    <hyperlink ref="H1" location="'بودجه بندی'!A1" display="بودجه بندی" xr:uid="{00000000-0004-0000-0200-000006000000}"/>
    <hyperlink ref="I1" location="'گزارش فعالیت‌های ماه جاری'!A1" display="ماه جاری" xr:uid="{00000000-0004-0000-0200-000007000000}"/>
    <hyperlink ref="J1" location="'جست و جو'!A1" display="جست و جو" xr:uid="{00000000-0004-0000-0200-000008000000}"/>
    <hyperlink ref="J5" location="'گروه‌‌های (بابت‌ها) هزینه'!A1" display="گروه‌های هزینه" xr:uid="{00000000-0004-0000-0200-000009000000}"/>
    <hyperlink ref="K5" location="'گروه‌‌های درآمدی'!A1" display="گروه‌های درآمد" xr:uid="{00000000-0004-0000-0200-00000A000000}"/>
    <hyperlink ref="K1" location="'تنظیمات حساب'!A1" display="تنظیمات حساب" xr:uid="{00000000-0004-0000-0200-00000B000000}"/>
    <hyperlink ref="J3:K3" location="'دریافت کنندگان - پرداخت کنندگان'!A1" display="دریافت کنندگان - پرداخت کنندگان" xr:uid="{00000000-0004-0000-0200-00000C00000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</sheetViews>
  <sheetFormatPr defaultRowHeight="15"/>
  <cols>
    <col min="7" max="8" width="18.28515625" customWidth="1"/>
  </cols>
  <sheetData>
    <row r="1" spans="1:13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</sheetViews>
  <sheetFormatPr defaultRowHeight="1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100" t="s">
        <v>337</v>
      </c>
    </row>
    <row r="2" spans="1:33" ht="24" customHeight="1">
      <c r="A2" s="99">
        <v>1400</v>
      </c>
      <c r="D2" s="111"/>
      <c r="E2" s="111"/>
      <c r="F2" s="111">
        <v>0</v>
      </c>
      <c r="G2" s="111">
        <v>1</v>
      </c>
      <c r="H2" s="111">
        <v>2</v>
      </c>
      <c r="I2" s="111">
        <v>3</v>
      </c>
      <c r="J2" s="111">
        <v>4</v>
      </c>
      <c r="K2" s="111">
        <v>5</v>
      </c>
      <c r="L2" s="111">
        <v>6</v>
      </c>
      <c r="M2" s="112"/>
      <c r="N2" s="112"/>
      <c r="O2" s="111"/>
      <c r="P2" s="111">
        <v>0</v>
      </c>
      <c r="Q2" s="111">
        <v>1</v>
      </c>
      <c r="R2" s="111">
        <v>2</v>
      </c>
      <c r="S2" s="111">
        <v>3</v>
      </c>
      <c r="T2" s="111">
        <v>4</v>
      </c>
      <c r="U2" s="111">
        <v>5</v>
      </c>
      <c r="V2" s="111">
        <v>6</v>
      </c>
      <c r="W2" s="112"/>
      <c r="X2" s="112"/>
      <c r="Y2" s="111"/>
      <c r="Z2" s="111">
        <v>0</v>
      </c>
      <c r="AA2" s="111">
        <v>1</v>
      </c>
      <c r="AB2" s="111">
        <v>2</v>
      </c>
      <c r="AC2" s="111">
        <v>3</v>
      </c>
      <c r="AD2" s="111">
        <v>4</v>
      </c>
      <c r="AE2" s="111">
        <v>5</v>
      </c>
      <c r="AF2" s="111">
        <v>6</v>
      </c>
    </row>
    <row r="3" spans="1:33" ht="24" customHeight="1">
      <c r="A3" s="41"/>
      <c r="D3" s="316" t="s">
        <v>346</v>
      </c>
      <c r="E3" s="102"/>
      <c r="F3" s="314" t="s">
        <v>338</v>
      </c>
      <c r="G3" s="314"/>
      <c r="H3" s="314"/>
      <c r="I3" s="314"/>
      <c r="J3" s="314"/>
      <c r="K3" s="314"/>
      <c r="L3" s="314"/>
      <c r="M3" s="104"/>
      <c r="O3" s="102"/>
      <c r="P3" s="314" t="s">
        <v>347</v>
      </c>
      <c r="Q3" s="314"/>
      <c r="R3" s="314"/>
      <c r="S3" s="314"/>
      <c r="T3" s="314"/>
      <c r="U3" s="314"/>
      <c r="V3" s="314"/>
      <c r="W3" s="104"/>
      <c r="Y3" s="102"/>
      <c r="Z3" s="314" t="s">
        <v>350</v>
      </c>
      <c r="AA3" s="314"/>
      <c r="AB3" s="314"/>
      <c r="AC3" s="314"/>
      <c r="AD3" s="314"/>
      <c r="AE3" s="314"/>
      <c r="AF3" s="314"/>
      <c r="AG3" s="104"/>
    </row>
    <row r="4" spans="1:33" ht="24" customHeight="1" thickBot="1">
      <c r="A4" s="9" t="s">
        <v>8</v>
      </c>
      <c r="D4" s="316"/>
      <c r="E4" s="102"/>
      <c r="F4" s="103" t="s">
        <v>339</v>
      </c>
      <c r="G4" s="103" t="s">
        <v>341</v>
      </c>
      <c r="H4" s="103" t="s">
        <v>342</v>
      </c>
      <c r="I4" s="103" t="s">
        <v>343</v>
      </c>
      <c r="J4" s="103" t="s">
        <v>344</v>
      </c>
      <c r="K4" s="103" t="s">
        <v>345</v>
      </c>
      <c r="L4" s="103" t="s">
        <v>340</v>
      </c>
      <c r="M4" s="104"/>
      <c r="O4" s="102"/>
      <c r="P4" s="103" t="s">
        <v>339</v>
      </c>
      <c r="Q4" s="103" t="s">
        <v>341</v>
      </c>
      <c r="R4" s="103" t="s">
        <v>342</v>
      </c>
      <c r="S4" s="103" t="s">
        <v>343</v>
      </c>
      <c r="T4" s="103" t="s">
        <v>344</v>
      </c>
      <c r="U4" s="103" t="s">
        <v>345</v>
      </c>
      <c r="V4" s="103" t="s">
        <v>340</v>
      </c>
      <c r="W4" s="104"/>
      <c r="Y4" s="102"/>
      <c r="Z4" s="103" t="s">
        <v>339</v>
      </c>
      <c r="AA4" s="103" t="s">
        <v>341</v>
      </c>
      <c r="AB4" s="103" t="s">
        <v>342</v>
      </c>
      <c r="AC4" s="103" t="s">
        <v>343</v>
      </c>
      <c r="AD4" s="103" t="s">
        <v>344</v>
      </c>
      <c r="AE4" s="103" t="s">
        <v>345</v>
      </c>
      <c r="AF4" s="103" t="s">
        <v>340</v>
      </c>
      <c r="AG4" s="104"/>
    </row>
    <row r="5" spans="1:33" ht="24" customHeight="1">
      <c r="A5" s="35" t="s">
        <v>115</v>
      </c>
      <c r="D5" s="316"/>
      <c r="E5" s="102"/>
      <c r="F5" s="101" t="str">
        <f>IF(DayWeekNo($A$2&amp;"0101")=F2,1,IF(DayWeekNo($A$2&amp;"0101")&lt;F2,E5+1,""))</f>
        <v/>
      </c>
      <c r="G5" s="101">
        <f>IF(DayWeekNo($A$2&amp;"0101")=G2,1,IF(DayWeekNo($A$2&amp;"0101")&lt;G2,F5+1,""))</f>
        <v>1</v>
      </c>
      <c r="H5" s="101">
        <f>IF(DayWeekNo($A$2&amp;"0101")=H2,1,IF(DayWeekNo($A$2&amp;"0101")&lt;H2,G5+1,""))</f>
        <v>2</v>
      </c>
      <c r="I5" s="101">
        <f>IF(DayWeekNo($A$2&amp;"0101")=I2,1,IF(DayWeekNo($A$2&amp;"0101")&lt;I2,H5+1,""))</f>
        <v>3</v>
      </c>
      <c r="J5" s="101">
        <f>IF(DayWeekNo($A$2&amp;"0101")=J2,1,IF(DayWeekNo($A$2&amp;"0101")&lt;J2,I5+1,""))</f>
        <v>4</v>
      </c>
      <c r="K5" s="101">
        <f>IF(DayWeekNo($A$2&amp;"0101")=K2,1,IF(DayWeekNo($A$2&amp;"0101")&lt;K2,J5+1,""))</f>
        <v>5</v>
      </c>
      <c r="L5" s="101">
        <f>IF(DayWeekNo($A$2&amp;"0101")=L2,1,IF(DayWeekNo($A$2&amp;"0101")&lt;L2,K5+1,""))</f>
        <v>6</v>
      </c>
      <c r="M5" s="105"/>
      <c r="O5" s="102"/>
      <c r="P5" s="101" t="str">
        <f>IF(DayWeekNo($A$2&amp;"0201")=P2,1,IF(DayWeekNo($A$2&amp;"0201")&lt;P2,O5+1,""))</f>
        <v/>
      </c>
      <c r="Q5" s="101" t="str">
        <f>IF(DayWeekNo($A$2&amp;"0201")=Q2,1,IF(DayWeekNo($A$2&amp;"0201")&lt;Q2,P5+1,""))</f>
        <v/>
      </c>
      <c r="R5" s="101" t="str">
        <f>IF(DayWeekNo($A$2&amp;"0201")=R2,1,IF(DayWeekNo($A$2&amp;"0201")&lt;R2,Q5+1,""))</f>
        <v/>
      </c>
      <c r="S5" s="101" t="str">
        <f>IF(DayWeekNo($A$2&amp;"0201")=S2,1,IF(DayWeekNo($A$2&amp;"0201")&lt;S2,R5+1,""))</f>
        <v/>
      </c>
      <c r="T5" s="101">
        <f>IF(DayWeekNo($A$2&amp;"0201")=T2,1,IF(DayWeekNo($A$2&amp;"0201")&lt;T2,S5+1,""))</f>
        <v>1</v>
      </c>
      <c r="U5" s="101">
        <f>IF(DayWeekNo($A$2&amp;"0201")=U2,1,IF(DayWeekNo($A$2&amp;"0201")&lt;U2,T5+1,""))</f>
        <v>2</v>
      </c>
      <c r="V5" s="101">
        <f>IF(DayWeekNo($A$2&amp;"0201")=V2,1,IF(DayWeekNo($A$2&amp;"0201")&lt;V2,U5+1,""))</f>
        <v>3</v>
      </c>
      <c r="Y5" s="102"/>
      <c r="Z5" s="101">
        <f>IF(DayWeekNo($A$2&amp;"0301")=Z2,1,IF(DayWeekNo($A$2&amp;"0301")&lt;Z2,Y5+1,""))</f>
        <v>1</v>
      </c>
      <c r="AA5" s="101">
        <f>IF(DayWeekNo($A$2&amp;"0301")=AA2,1,IF(DayWeekNo($A$2&amp;"0301")&lt;AA2,Z5+1,""))</f>
        <v>2</v>
      </c>
      <c r="AB5" s="101">
        <f>IF(DayWeekNo($A$2&amp;"0301")=AB2,1,IF(DayWeekNo($A$2&amp;"0301")&lt;AB2,AA5+1,""))</f>
        <v>3</v>
      </c>
      <c r="AC5" s="101">
        <f>IF(DayWeekNo($A$2&amp;"0301")=AC2,1,IF(DayWeekNo($A$2&amp;"0301")&lt;AC2,AB5+1,""))</f>
        <v>4</v>
      </c>
      <c r="AD5" s="101">
        <f>IF(DayWeekNo($A$2&amp;"0301")=AD2,1,IF(DayWeekNo($A$2&amp;"0301")&lt;AD2,AC5+1,""))</f>
        <v>5</v>
      </c>
      <c r="AE5" s="101">
        <f>IF(DayWeekNo($A$2&amp;"0301")=AE2,1,IF(DayWeekNo($A$2&amp;"0301")&lt;AE2,AD5+1,""))</f>
        <v>6</v>
      </c>
      <c r="AF5" s="101">
        <f>IF(DayWeekNo($A$2&amp;"0301")=AF2,1,IF(DayWeekNo($A$2&amp;"0301")&lt;AF2,AE5+1,""))</f>
        <v>7</v>
      </c>
      <c r="AG5" s="105"/>
    </row>
    <row r="6" spans="1:33" ht="24" customHeight="1">
      <c r="A6" s="10" t="s">
        <v>102</v>
      </c>
      <c r="D6" s="316"/>
      <c r="E6" s="102"/>
      <c r="F6" s="101">
        <f>IFERROR(IF(L5+1&lt;=31,L5+1,""),"")</f>
        <v>7</v>
      </c>
      <c r="G6" s="101">
        <f>IFERROR(IF(F6+1&lt;=31,F6+1,""),"")</f>
        <v>8</v>
      </c>
      <c r="H6" s="101">
        <f t="shared" ref="H6:L6" si="0">IFERROR(IF(G6+1&lt;=31,G6+1,""),"")</f>
        <v>9</v>
      </c>
      <c r="I6" s="101">
        <f t="shared" si="0"/>
        <v>10</v>
      </c>
      <c r="J6" s="101">
        <f t="shared" si="0"/>
        <v>11</v>
      </c>
      <c r="K6" s="101">
        <f t="shared" si="0"/>
        <v>12</v>
      </c>
      <c r="L6" s="101">
        <f t="shared" si="0"/>
        <v>13</v>
      </c>
      <c r="M6" s="105"/>
      <c r="O6" s="102"/>
      <c r="P6" s="101">
        <f>IFERROR(IF(V5+1&lt;=31,V5+1,""),"")</f>
        <v>4</v>
      </c>
      <c r="Q6" s="101">
        <f>IFERROR(IF(P6+1&lt;=31,P6+1,""),"")</f>
        <v>5</v>
      </c>
      <c r="R6" s="101">
        <f t="shared" ref="R6:V6" si="1">IFERROR(IF(Q6+1&lt;=31,Q6+1,""),"")</f>
        <v>6</v>
      </c>
      <c r="S6" s="101">
        <f t="shared" si="1"/>
        <v>7</v>
      </c>
      <c r="T6" s="101">
        <f t="shared" si="1"/>
        <v>8</v>
      </c>
      <c r="U6" s="101">
        <f t="shared" si="1"/>
        <v>9</v>
      </c>
      <c r="V6" s="101">
        <f t="shared" si="1"/>
        <v>10</v>
      </c>
      <c r="Y6" s="102"/>
      <c r="Z6" s="101">
        <f>IFERROR(IF(AF5+1&lt;=31,AF5+1,""),"")</f>
        <v>8</v>
      </c>
      <c r="AA6" s="101">
        <f>IFERROR(IF(Z6+1&lt;=31,Z6+1,""),"")</f>
        <v>9</v>
      </c>
      <c r="AB6" s="101">
        <f t="shared" ref="AB6:AF6" si="2">IFERROR(IF(AA6+1&lt;=31,AA6+1,""),"")</f>
        <v>10</v>
      </c>
      <c r="AC6" s="101">
        <f t="shared" si="2"/>
        <v>11</v>
      </c>
      <c r="AD6" s="101">
        <f t="shared" si="2"/>
        <v>12</v>
      </c>
      <c r="AE6" s="101">
        <f t="shared" si="2"/>
        <v>13</v>
      </c>
      <c r="AF6" s="101">
        <f t="shared" si="2"/>
        <v>14</v>
      </c>
      <c r="AG6" s="105"/>
    </row>
    <row r="7" spans="1:33" ht="24" customHeight="1">
      <c r="A7" s="11" t="s">
        <v>103</v>
      </c>
      <c r="D7" s="316"/>
      <c r="E7" s="102"/>
      <c r="F7" s="101">
        <f t="shared" ref="F7:F9" si="3">IFERROR(IF(L6+1&lt;=31,L6+1,""),"")</f>
        <v>14</v>
      </c>
      <c r="G7" s="101">
        <f t="shared" ref="G7:L7" si="4">IFERROR(IF(F7+1&lt;=31,F7+1,""),"")</f>
        <v>15</v>
      </c>
      <c r="H7" s="101">
        <f t="shared" si="4"/>
        <v>16</v>
      </c>
      <c r="I7" s="101">
        <f t="shared" si="4"/>
        <v>17</v>
      </c>
      <c r="J7" s="101">
        <f t="shared" si="4"/>
        <v>18</v>
      </c>
      <c r="K7" s="101">
        <f t="shared" si="4"/>
        <v>19</v>
      </c>
      <c r="L7" s="101">
        <f t="shared" si="4"/>
        <v>20</v>
      </c>
      <c r="M7" s="105"/>
      <c r="O7" s="102"/>
      <c r="P7" s="101">
        <f t="shared" ref="P7:P9" si="5">IFERROR(IF(V6+1&lt;=31,V6+1,""),"")</f>
        <v>11</v>
      </c>
      <c r="Q7" s="101">
        <f t="shared" ref="Q7:V7" si="6">IFERROR(IF(P7+1&lt;=31,P7+1,""),"")</f>
        <v>12</v>
      </c>
      <c r="R7" s="101">
        <f t="shared" si="6"/>
        <v>13</v>
      </c>
      <c r="S7" s="101">
        <f t="shared" si="6"/>
        <v>14</v>
      </c>
      <c r="T7" s="101">
        <f t="shared" si="6"/>
        <v>15</v>
      </c>
      <c r="U7" s="101">
        <f t="shared" si="6"/>
        <v>16</v>
      </c>
      <c r="V7" s="101">
        <f t="shared" si="6"/>
        <v>17</v>
      </c>
      <c r="Y7" s="102"/>
      <c r="Z7" s="101">
        <f t="shared" ref="Z7:Z9" si="7">IFERROR(IF(AF6+1&lt;=31,AF6+1,""),"")</f>
        <v>15</v>
      </c>
      <c r="AA7" s="101">
        <f t="shared" ref="AA7:AF7" si="8">IFERROR(IF(Z7+1&lt;=31,Z7+1,""),"")</f>
        <v>16</v>
      </c>
      <c r="AB7" s="101">
        <f t="shared" si="8"/>
        <v>17</v>
      </c>
      <c r="AC7" s="101">
        <f t="shared" si="8"/>
        <v>18</v>
      </c>
      <c r="AD7" s="101">
        <f t="shared" si="8"/>
        <v>19</v>
      </c>
      <c r="AE7" s="101">
        <f t="shared" si="8"/>
        <v>20</v>
      </c>
      <c r="AF7" s="101">
        <f t="shared" si="8"/>
        <v>21</v>
      </c>
      <c r="AG7" s="105"/>
    </row>
    <row r="8" spans="1:33" ht="24" customHeight="1">
      <c r="A8" s="33" t="s">
        <v>104</v>
      </c>
      <c r="D8" s="316"/>
      <c r="E8" s="102"/>
      <c r="F8" s="101">
        <f t="shared" si="3"/>
        <v>21</v>
      </c>
      <c r="G8" s="101">
        <f t="shared" ref="G8:L8" si="9">IFERROR(IF(F8+1&lt;=31,F8+1,""),"")</f>
        <v>22</v>
      </c>
      <c r="H8" s="101">
        <f t="shared" si="9"/>
        <v>23</v>
      </c>
      <c r="I8" s="101">
        <f t="shared" si="9"/>
        <v>24</v>
      </c>
      <c r="J8" s="101">
        <f t="shared" si="9"/>
        <v>25</v>
      </c>
      <c r="K8" s="101">
        <f t="shared" si="9"/>
        <v>26</v>
      </c>
      <c r="L8" s="101">
        <f t="shared" si="9"/>
        <v>27</v>
      </c>
      <c r="M8" s="105"/>
      <c r="O8" s="102"/>
      <c r="P8" s="101">
        <f t="shared" si="5"/>
        <v>18</v>
      </c>
      <c r="Q8" s="101">
        <f t="shared" ref="Q8:V8" si="10">IFERROR(IF(P8+1&lt;=31,P8+1,""),"")</f>
        <v>19</v>
      </c>
      <c r="R8" s="101">
        <f t="shared" si="10"/>
        <v>20</v>
      </c>
      <c r="S8" s="101">
        <f t="shared" si="10"/>
        <v>21</v>
      </c>
      <c r="T8" s="101">
        <f t="shared" si="10"/>
        <v>22</v>
      </c>
      <c r="U8" s="101">
        <f t="shared" si="10"/>
        <v>23</v>
      </c>
      <c r="V8" s="101">
        <f t="shared" si="10"/>
        <v>24</v>
      </c>
      <c r="Y8" s="102"/>
      <c r="Z8" s="101">
        <f t="shared" si="7"/>
        <v>22</v>
      </c>
      <c r="AA8" s="101">
        <f t="shared" ref="AA8:AF8" si="11">IFERROR(IF(Z8+1&lt;=31,Z8+1,""),"")</f>
        <v>23</v>
      </c>
      <c r="AB8" s="101">
        <f t="shared" si="11"/>
        <v>24</v>
      </c>
      <c r="AC8" s="101">
        <f t="shared" si="11"/>
        <v>25</v>
      </c>
      <c r="AD8" s="101">
        <f t="shared" si="11"/>
        <v>26</v>
      </c>
      <c r="AE8" s="101">
        <f t="shared" si="11"/>
        <v>27</v>
      </c>
      <c r="AF8" s="101">
        <f t="shared" si="11"/>
        <v>28</v>
      </c>
      <c r="AG8" s="105"/>
    </row>
    <row r="9" spans="1:33" ht="24" customHeight="1">
      <c r="A9" s="12" t="s">
        <v>110</v>
      </c>
      <c r="D9" s="316"/>
      <c r="E9" s="102"/>
      <c r="F9" s="101">
        <f t="shared" si="3"/>
        <v>28</v>
      </c>
      <c r="G9" s="101">
        <f t="shared" ref="G9:L10" si="12">IFERROR(IF(F9+1&lt;=31,F9+1,""),"")</f>
        <v>29</v>
      </c>
      <c r="H9" s="101">
        <f t="shared" si="12"/>
        <v>30</v>
      </c>
      <c r="I9" s="101">
        <f t="shared" si="12"/>
        <v>31</v>
      </c>
      <c r="J9" s="101" t="str">
        <f t="shared" si="12"/>
        <v/>
      </c>
      <c r="K9" s="101" t="str">
        <f t="shared" si="12"/>
        <v/>
      </c>
      <c r="L9" s="101" t="str">
        <f t="shared" si="12"/>
        <v/>
      </c>
      <c r="M9" s="105"/>
      <c r="O9" s="102"/>
      <c r="P9" s="101">
        <f t="shared" si="5"/>
        <v>25</v>
      </c>
      <c r="Q9" s="101">
        <f t="shared" ref="Q9:V10" si="13">IFERROR(IF(P9+1&lt;=31,P9+1,""),"")</f>
        <v>26</v>
      </c>
      <c r="R9" s="101">
        <f t="shared" si="13"/>
        <v>27</v>
      </c>
      <c r="S9" s="101">
        <f t="shared" si="13"/>
        <v>28</v>
      </c>
      <c r="T9" s="101">
        <f t="shared" si="13"/>
        <v>29</v>
      </c>
      <c r="U9" s="101">
        <f t="shared" si="13"/>
        <v>30</v>
      </c>
      <c r="V9" s="101">
        <f t="shared" si="13"/>
        <v>31</v>
      </c>
      <c r="Y9" s="102"/>
      <c r="Z9" s="101">
        <f t="shared" si="7"/>
        <v>29</v>
      </c>
      <c r="AA9" s="101">
        <f t="shared" ref="AA9:AF10" si="14">IFERROR(IF(Z9+1&lt;=31,Z9+1,""),"")</f>
        <v>30</v>
      </c>
      <c r="AB9" s="101">
        <f t="shared" si="14"/>
        <v>31</v>
      </c>
      <c r="AC9" s="101" t="str">
        <f t="shared" si="14"/>
        <v/>
      </c>
      <c r="AD9" s="101" t="str">
        <f t="shared" si="14"/>
        <v/>
      </c>
      <c r="AE9" s="101" t="str">
        <f t="shared" si="14"/>
        <v/>
      </c>
      <c r="AF9" s="101" t="str">
        <f t="shared" si="14"/>
        <v/>
      </c>
      <c r="AG9" s="105"/>
    </row>
    <row r="10" spans="1:33" ht="24" customHeight="1">
      <c r="A10" s="13" t="s">
        <v>89</v>
      </c>
      <c r="D10" s="316"/>
      <c r="E10" s="102"/>
      <c r="F10" s="101" t="str">
        <f t="shared" ref="F10" si="15">IFERROR(IF(L9+1&lt;=31,L9+1,""),"")</f>
        <v/>
      </c>
      <c r="G10" s="101" t="str">
        <f t="shared" si="12"/>
        <v/>
      </c>
      <c r="H10" s="101" t="str">
        <f t="shared" si="12"/>
        <v/>
      </c>
      <c r="I10" s="101" t="str">
        <f t="shared" si="12"/>
        <v/>
      </c>
      <c r="J10" s="101" t="str">
        <f t="shared" si="12"/>
        <v/>
      </c>
      <c r="K10" s="101" t="str">
        <f t="shared" si="12"/>
        <v/>
      </c>
      <c r="L10" s="101" t="str">
        <f t="shared" si="12"/>
        <v/>
      </c>
      <c r="O10" s="102"/>
      <c r="P10" s="101" t="str">
        <f t="shared" ref="P10" si="16">IFERROR(IF(V9+1&lt;=31,V9+1,""),"")</f>
        <v/>
      </c>
      <c r="Q10" s="101" t="str">
        <f t="shared" si="13"/>
        <v/>
      </c>
      <c r="R10" s="101" t="str">
        <f t="shared" si="13"/>
        <v/>
      </c>
      <c r="S10" s="101" t="str">
        <f t="shared" si="13"/>
        <v/>
      </c>
      <c r="T10" s="101" t="str">
        <f t="shared" si="13"/>
        <v/>
      </c>
      <c r="U10" s="101" t="str">
        <f t="shared" si="13"/>
        <v/>
      </c>
      <c r="V10" s="101" t="str">
        <f t="shared" si="13"/>
        <v/>
      </c>
      <c r="Y10" s="102"/>
      <c r="Z10" s="101" t="str">
        <f t="shared" ref="Z10" si="17">IFERROR(IF(AF9+1&lt;=31,AF9+1,""),"")</f>
        <v/>
      </c>
      <c r="AA10" s="101" t="str">
        <f t="shared" si="14"/>
        <v/>
      </c>
      <c r="AB10" s="101" t="str">
        <f t="shared" si="14"/>
        <v/>
      </c>
      <c r="AC10" s="101" t="str">
        <f t="shared" si="14"/>
        <v/>
      </c>
      <c r="AD10" s="101" t="str">
        <f t="shared" si="14"/>
        <v/>
      </c>
      <c r="AE10" s="101" t="str">
        <f t="shared" si="14"/>
        <v/>
      </c>
      <c r="AF10" s="101" t="str">
        <f t="shared" si="14"/>
        <v/>
      </c>
    </row>
    <row r="11" spans="1:33" ht="24" customHeight="1">
      <c r="A11" s="23" t="s">
        <v>111</v>
      </c>
      <c r="D11" s="111"/>
      <c r="E11" s="111"/>
      <c r="F11" s="111">
        <v>0</v>
      </c>
      <c r="G11" s="111">
        <v>1</v>
      </c>
      <c r="H11" s="111">
        <v>2</v>
      </c>
      <c r="I11" s="111">
        <v>3</v>
      </c>
      <c r="J11" s="111">
        <v>4</v>
      </c>
      <c r="K11" s="111">
        <v>5</v>
      </c>
      <c r="L11" s="111">
        <v>6</v>
      </c>
      <c r="M11" s="112"/>
      <c r="N11" s="112"/>
      <c r="O11" s="111"/>
      <c r="P11" s="111">
        <v>0</v>
      </c>
      <c r="Q11" s="111">
        <v>1</v>
      </c>
      <c r="R11" s="111">
        <v>2</v>
      </c>
      <c r="S11" s="111">
        <v>3</v>
      </c>
      <c r="T11" s="111">
        <v>4</v>
      </c>
      <c r="U11" s="111">
        <v>5</v>
      </c>
      <c r="V11" s="111">
        <v>6</v>
      </c>
      <c r="W11" s="112"/>
      <c r="X11" s="112"/>
      <c r="Y11" s="112"/>
      <c r="Z11" s="111">
        <v>0</v>
      </c>
      <c r="AA11" s="111">
        <v>1</v>
      </c>
      <c r="AB11" s="111">
        <v>2</v>
      </c>
      <c r="AC11" s="111">
        <v>3</v>
      </c>
      <c r="AD11" s="111">
        <v>4</v>
      </c>
      <c r="AE11" s="111">
        <v>5</v>
      </c>
      <c r="AF11" s="111">
        <v>6</v>
      </c>
      <c r="AG11" s="112"/>
    </row>
    <row r="12" spans="1:33" ht="24" customHeight="1">
      <c r="A12" s="14" t="s">
        <v>105</v>
      </c>
      <c r="D12" s="315" t="s">
        <v>348</v>
      </c>
      <c r="E12" s="106"/>
      <c r="F12" s="313" t="s">
        <v>349</v>
      </c>
      <c r="G12" s="313"/>
      <c r="H12" s="313"/>
      <c r="I12" s="313"/>
      <c r="J12" s="313"/>
      <c r="K12" s="313"/>
      <c r="L12" s="313"/>
      <c r="M12" s="107"/>
      <c r="O12" s="106"/>
      <c r="P12" s="313" t="s">
        <v>351</v>
      </c>
      <c r="Q12" s="313"/>
      <c r="R12" s="313"/>
      <c r="S12" s="313"/>
      <c r="T12" s="313"/>
      <c r="U12" s="313"/>
      <c r="V12" s="313"/>
      <c r="W12" s="107"/>
      <c r="Y12" s="106"/>
      <c r="Z12" s="313" t="s">
        <v>352</v>
      </c>
      <c r="AA12" s="313"/>
      <c r="AB12" s="313"/>
      <c r="AC12" s="313"/>
      <c r="AD12" s="313"/>
      <c r="AE12" s="313"/>
      <c r="AF12" s="313"/>
      <c r="AG12" s="107"/>
    </row>
    <row r="13" spans="1:33" ht="24" customHeight="1" thickBot="1">
      <c r="A13" s="15" t="s">
        <v>98</v>
      </c>
      <c r="D13" s="315"/>
      <c r="E13" s="106"/>
      <c r="F13" s="103" t="s">
        <v>339</v>
      </c>
      <c r="G13" s="103" t="s">
        <v>341</v>
      </c>
      <c r="H13" s="103" t="s">
        <v>342</v>
      </c>
      <c r="I13" s="103" t="s">
        <v>343</v>
      </c>
      <c r="J13" s="103" t="s">
        <v>344</v>
      </c>
      <c r="K13" s="103" t="s">
        <v>345</v>
      </c>
      <c r="L13" s="103" t="s">
        <v>340</v>
      </c>
      <c r="M13" s="107"/>
      <c r="O13" s="106"/>
      <c r="P13" s="103" t="s">
        <v>339</v>
      </c>
      <c r="Q13" s="103" t="s">
        <v>341</v>
      </c>
      <c r="R13" s="103" t="s">
        <v>342</v>
      </c>
      <c r="S13" s="103" t="s">
        <v>343</v>
      </c>
      <c r="T13" s="103" t="s">
        <v>344</v>
      </c>
      <c r="U13" s="103" t="s">
        <v>345</v>
      </c>
      <c r="V13" s="103" t="s">
        <v>340</v>
      </c>
      <c r="W13" s="107"/>
      <c r="Y13" s="106"/>
      <c r="Z13" s="103" t="s">
        <v>339</v>
      </c>
      <c r="AA13" s="103" t="s">
        <v>341</v>
      </c>
      <c r="AB13" s="103" t="s">
        <v>342</v>
      </c>
      <c r="AC13" s="103" t="s">
        <v>343</v>
      </c>
      <c r="AD13" s="103" t="s">
        <v>344</v>
      </c>
      <c r="AE13" s="103" t="s">
        <v>345</v>
      </c>
      <c r="AF13" s="103" t="s">
        <v>340</v>
      </c>
      <c r="AG13" s="107"/>
    </row>
    <row r="14" spans="1:33" ht="24" customHeight="1">
      <c r="A14" s="116" t="s">
        <v>99</v>
      </c>
      <c r="D14" s="315"/>
      <c r="E14" s="106"/>
      <c r="F14" s="101" t="str">
        <f>IF(DayWeekNo($A$2&amp;"0401")=F11,1,IF(DayWeekNo($A$2&amp;"0401")&lt;F11,E14+1,""))</f>
        <v/>
      </c>
      <c r="G14" s="101" t="str">
        <f>IF(DayWeekNo($A$2&amp;"0401")=G11,1,IF(DayWeekNo($A$2&amp;"0401")&lt;G11,F14+1,""))</f>
        <v/>
      </c>
      <c r="H14" s="101" t="str">
        <f>IF(DayWeekNo($A$2&amp;"0401")=H11,1,IF(DayWeekNo($A$2&amp;"0401")&lt;H11,G14+1,""))</f>
        <v/>
      </c>
      <c r="I14" s="101">
        <f>IF(DayWeekNo($A$2&amp;"0401")=I11,1,IF(DayWeekNo($A$2&amp;"0401")&lt;I11,H14+1,""))</f>
        <v>1</v>
      </c>
      <c r="J14" s="101">
        <f>IF(DayWeekNo($A$2&amp;"0401")=J11,1,IF(DayWeekNo($A$2&amp;"0401")&lt;J11,I14+1,""))</f>
        <v>2</v>
      </c>
      <c r="K14" s="101">
        <f>IF(DayWeekNo($A$2&amp;"0401")=K11,1,IF(DayWeekNo($A$2&amp;"0401")&lt;K11,J14+1,""))</f>
        <v>3</v>
      </c>
      <c r="L14" s="101">
        <f>IF(DayWeekNo($A$2&amp;"0401")=L11,1,IF(DayWeekNo($A$2&amp;"0401")&lt;L11,K14+1,""))</f>
        <v>4</v>
      </c>
      <c r="M14" s="105"/>
      <c r="O14" s="106"/>
      <c r="P14" s="101" t="str">
        <f>IF(DayWeekNo($A$2&amp;"0501")=P11,1,IF(DayWeekNo($A$2&amp;"0501")&lt;P11,O14+1,""))</f>
        <v/>
      </c>
      <c r="Q14" s="101" t="str">
        <f>IF(DayWeekNo($A$2&amp;"0501")=Q11,1,IF(DayWeekNo($A$2&amp;"0501")&lt;Q11,P14+1,""))</f>
        <v/>
      </c>
      <c r="R14" s="101" t="str">
        <f>IF(DayWeekNo($A$2&amp;"0501")=R11,1,IF(DayWeekNo($A$2&amp;"0501")&lt;R11,Q14+1,""))</f>
        <v/>
      </c>
      <c r="S14" s="101" t="str">
        <f>IF(DayWeekNo($A$2&amp;"0501")=S11,1,IF(DayWeekNo($A$2&amp;"0501")&lt;S11,R14+1,""))</f>
        <v/>
      </c>
      <c r="T14" s="101" t="str">
        <f>IF(DayWeekNo($A$2&amp;"0501")=T11,1,IF(DayWeekNo($A$2&amp;"0501")&lt;T11,S14+1,""))</f>
        <v/>
      </c>
      <c r="U14" s="101" t="str">
        <f>IF(DayWeekNo($A$2&amp;"0501")=U11,1,IF(DayWeekNo($A$2&amp;"0501")&lt;U11,T14+1,""))</f>
        <v/>
      </c>
      <c r="V14" s="101">
        <f>IF(DayWeekNo($A$2&amp;"0501")=V11,1,IF(DayWeekNo($A$2&amp;"0501")&lt;V11,U14+1,""))</f>
        <v>1</v>
      </c>
      <c r="W14" s="105"/>
      <c r="Y14" s="106"/>
      <c r="Z14" s="101" t="str">
        <f>IF(DayWeekNo($A$2&amp;"0601")=Z11,1,IF(DayWeekNo($A$2&amp;"0601")&lt;Z11,Y14+1,""))</f>
        <v/>
      </c>
      <c r="AA14" s="101" t="str">
        <f>IF(DayWeekNo($A$2&amp;"0601")=AA11,1,IF(DayWeekNo($A$2&amp;"0601")&lt;AA11,Z14+1,""))</f>
        <v/>
      </c>
      <c r="AB14" s="101">
        <f>IF(DayWeekNo($A$2&amp;"0601")=AB11,1,IF(DayWeekNo($A$2&amp;"0601")&lt;AB11,AA14+1,""))</f>
        <v>1</v>
      </c>
      <c r="AC14" s="101">
        <f>IF(DayWeekNo($A$2&amp;"0601")=AC11,1,IF(DayWeekNo($A$2&amp;"0601")&lt;AC11,AB14+1,""))</f>
        <v>2</v>
      </c>
      <c r="AD14" s="101">
        <f>IF(DayWeekNo($A$2&amp;"0601")=AD11,1,IF(DayWeekNo($A$2&amp;"0601")&lt;AD11,AC14+1,""))</f>
        <v>3</v>
      </c>
      <c r="AE14" s="101">
        <f>IF(DayWeekNo($A$2&amp;"0601")=AE11,1,IF(DayWeekNo($A$2&amp;"0601")&lt;AE11,AD14+1,""))</f>
        <v>4</v>
      </c>
      <c r="AF14" s="101">
        <f>IF(DayWeekNo($A$2&amp;"0601")=AF11,1,IF(DayWeekNo($A$2&amp;"0601")&lt;AF11,AE14+1,""))</f>
        <v>5</v>
      </c>
      <c r="AG14" s="105"/>
    </row>
    <row r="15" spans="1:33" ht="24" customHeight="1">
      <c r="A15" s="98" t="s">
        <v>100</v>
      </c>
      <c r="D15" s="315"/>
      <c r="E15" s="106"/>
      <c r="F15" s="101">
        <f>IFERROR(IF(L14+1&lt;=31,L14+1,""),"")</f>
        <v>5</v>
      </c>
      <c r="G15" s="101">
        <f>IFERROR(IF(F15+1&lt;=31,F15+1,""),"")</f>
        <v>6</v>
      </c>
      <c r="H15" s="101">
        <f t="shared" ref="H15:L15" si="18">IFERROR(IF(G15+1&lt;=31,G15+1,""),"")</f>
        <v>7</v>
      </c>
      <c r="I15" s="101">
        <f t="shared" si="18"/>
        <v>8</v>
      </c>
      <c r="J15" s="101">
        <f t="shared" si="18"/>
        <v>9</v>
      </c>
      <c r="K15" s="101">
        <f t="shared" si="18"/>
        <v>10</v>
      </c>
      <c r="L15" s="101">
        <f t="shared" si="18"/>
        <v>11</v>
      </c>
      <c r="M15" s="105"/>
      <c r="O15" s="106"/>
      <c r="P15" s="101">
        <f>IFERROR(IF(V14+1&lt;=31,V14+1,""),"")</f>
        <v>2</v>
      </c>
      <c r="Q15" s="101">
        <f>IFERROR(IF(P15+1&lt;=31,P15+1,""),"")</f>
        <v>3</v>
      </c>
      <c r="R15" s="101">
        <f t="shared" ref="R15:V15" si="19">IFERROR(IF(Q15+1&lt;=31,Q15+1,""),"")</f>
        <v>4</v>
      </c>
      <c r="S15" s="101">
        <f t="shared" si="19"/>
        <v>5</v>
      </c>
      <c r="T15" s="101">
        <f t="shared" si="19"/>
        <v>6</v>
      </c>
      <c r="U15" s="101">
        <f t="shared" si="19"/>
        <v>7</v>
      </c>
      <c r="V15" s="101">
        <f t="shared" si="19"/>
        <v>8</v>
      </c>
      <c r="W15" s="105"/>
      <c r="Y15" s="106"/>
      <c r="Z15" s="101">
        <f>IFERROR(IF(AF14+1&lt;=31,AF14+1,""),"")</f>
        <v>6</v>
      </c>
      <c r="AA15" s="101">
        <f>IFERROR(IF(Z15+1&lt;=31,Z15+1,""),"")</f>
        <v>7</v>
      </c>
      <c r="AB15" s="101">
        <f t="shared" ref="AB15:AF15" si="20">IFERROR(IF(AA15+1&lt;=31,AA15+1,""),"")</f>
        <v>8</v>
      </c>
      <c r="AC15" s="101">
        <f t="shared" si="20"/>
        <v>9</v>
      </c>
      <c r="AD15" s="101">
        <f t="shared" si="20"/>
        <v>10</v>
      </c>
      <c r="AE15" s="101">
        <f t="shared" si="20"/>
        <v>11</v>
      </c>
      <c r="AF15" s="101">
        <f t="shared" si="20"/>
        <v>12</v>
      </c>
      <c r="AG15" s="105"/>
    </row>
    <row r="16" spans="1:33" ht="24" customHeight="1">
      <c r="D16" s="315"/>
      <c r="E16" s="106"/>
      <c r="F16" s="101">
        <f t="shared" ref="F16:F18" si="21">IFERROR(IF(L15+1&lt;=31,L15+1,""),"")</f>
        <v>12</v>
      </c>
      <c r="G16" s="101">
        <f t="shared" ref="G16:L16" si="22">IFERROR(IF(F16+1&lt;=31,F16+1,""),"")</f>
        <v>13</v>
      </c>
      <c r="H16" s="101">
        <f t="shared" si="22"/>
        <v>14</v>
      </c>
      <c r="I16" s="101">
        <f t="shared" si="22"/>
        <v>15</v>
      </c>
      <c r="J16" s="101">
        <f t="shared" si="22"/>
        <v>16</v>
      </c>
      <c r="K16" s="101">
        <f t="shared" si="22"/>
        <v>17</v>
      </c>
      <c r="L16" s="101">
        <f t="shared" si="22"/>
        <v>18</v>
      </c>
      <c r="M16" s="105"/>
      <c r="O16" s="106"/>
      <c r="P16" s="101">
        <f t="shared" ref="P16:P18" si="23">IFERROR(IF(V15+1&lt;=31,V15+1,""),"")</f>
        <v>9</v>
      </c>
      <c r="Q16" s="101">
        <f t="shared" ref="Q16:V16" si="24">IFERROR(IF(P16+1&lt;=31,P16+1,""),"")</f>
        <v>10</v>
      </c>
      <c r="R16" s="101">
        <f t="shared" si="24"/>
        <v>11</v>
      </c>
      <c r="S16" s="101">
        <f t="shared" si="24"/>
        <v>12</v>
      </c>
      <c r="T16" s="101">
        <f t="shared" si="24"/>
        <v>13</v>
      </c>
      <c r="U16" s="101">
        <f t="shared" si="24"/>
        <v>14</v>
      </c>
      <c r="V16" s="101">
        <f t="shared" si="24"/>
        <v>15</v>
      </c>
      <c r="W16" s="105"/>
      <c r="Y16" s="106"/>
      <c r="Z16" s="101">
        <f t="shared" ref="Z16:Z19" si="25">IFERROR(IF(AF15+1&lt;=31,AF15+1,""),"")</f>
        <v>13</v>
      </c>
      <c r="AA16" s="101">
        <f t="shared" ref="AA16:AF16" si="26">IFERROR(IF(Z16+1&lt;=31,Z16+1,""),"")</f>
        <v>14</v>
      </c>
      <c r="AB16" s="101">
        <f t="shared" si="26"/>
        <v>15</v>
      </c>
      <c r="AC16" s="101">
        <f t="shared" si="26"/>
        <v>16</v>
      </c>
      <c r="AD16" s="101">
        <f t="shared" si="26"/>
        <v>17</v>
      </c>
      <c r="AE16" s="101">
        <f t="shared" si="26"/>
        <v>18</v>
      </c>
      <c r="AF16" s="101">
        <f t="shared" si="26"/>
        <v>19</v>
      </c>
      <c r="AG16" s="105"/>
    </row>
    <row r="17" spans="4:33" ht="21">
      <c r="D17" s="315"/>
      <c r="E17" s="106"/>
      <c r="F17" s="101">
        <f t="shared" si="21"/>
        <v>19</v>
      </c>
      <c r="G17" s="101">
        <f t="shared" ref="G17:L17" si="27">IFERROR(IF(F17+1&lt;=31,F17+1,""),"")</f>
        <v>20</v>
      </c>
      <c r="H17" s="101">
        <f t="shared" si="27"/>
        <v>21</v>
      </c>
      <c r="I17" s="101">
        <f t="shared" si="27"/>
        <v>22</v>
      </c>
      <c r="J17" s="101">
        <f t="shared" si="27"/>
        <v>23</v>
      </c>
      <c r="K17" s="101">
        <f t="shared" si="27"/>
        <v>24</v>
      </c>
      <c r="L17" s="101">
        <f t="shared" si="27"/>
        <v>25</v>
      </c>
      <c r="M17" s="105"/>
      <c r="O17" s="106"/>
      <c r="P17" s="101">
        <f t="shared" si="23"/>
        <v>16</v>
      </c>
      <c r="Q17" s="101">
        <f t="shared" ref="Q17:V17" si="28">IFERROR(IF(P17+1&lt;=31,P17+1,""),"")</f>
        <v>17</v>
      </c>
      <c r="R17" s="101">
        <f t="shared" si="28"/>
        <v>18</v>
      </c>
      <c r="S17" s="101">
        <f t="shared" si="28"/>
        <v>19</v>
      </c>
      <c r="T17" s="101">
        <f t="shared" si="28"/>
        <v>20</v>
      </c>
      <c r="U17" s="101">
        <f t="shared" si="28"/>
        <v>21</v>
      </c>
      <c r="V17" s="101">
        <f t="shared" si="28"/>
        <v>22</v>
      </c>
      <c r="W17" s="105"/>
      <c r="Y17" s="106"/>
      <c r="Z17" s="101">
        <f t="shared" si="25"/>
        <v>20</v>
      </c>
      <c r="AA17" s="101">
        <f t="shared" ref="AA17:AF17" si="29">IFERROR(IF(Z17+1&lt;=31,Z17+1,""),"")</f>
        <v>21</v>
      </c>
      <c r="AB17" s="101">
        <f t="shared" si="29"/>
        <v>22</v>
      </c>
      <c r="AC17" s="101">
        <f t="shared" si="29"/>
        <v>23</v>
      </c>
      <c r="AD17" s="101">
        <f t="shared" si="29"/>
        <v>24</v>
      </c>
      <c r="AE17" s="101">
        <f t="shared" si="29"/>
        <v>25</v>
      </c>
      <c r="AF17" s="101">
        <f t="shared" si="29"/>
        <v>26</v>
      </c>
      <c r="AG17" s="105"/>
    </row>
    <row r="18" spans="4:33" ht="21">
      <c r="D18" s="315"/>
      <c r="E18" s="106"/>
      <c r="F18" s="101">
        <f t="shared" si="21"/>
        <v>26</v>
      </c>
      <c r="G18" s="101">
        <f t="shared" ref="G18:L19" si="30">IFERROR(IF(F18+1&lt;=31,F18+1,""),"")</f>
        <v>27</v>
      </c>
      <c r="H18" s="101">
        <f t="shared" si="30"/>
        <v>28</v>
      </c>
      <c r="I18" s="101">
        <f t="shared" si="30"/>
        <v>29</v>
      </c>
      <c r="J18" s="101">
        <f t="shared" si="30"/>
        <v>30</v>
      </c>
      <c r="K18" s="101">
        <f t="shared" si="30"/>
        <v>31</v>
      </c>
      <c r="L18" s="101" t="str">
        <f t="shared" si="30"/>
        <v/>
      </c>
      <c r="M18" s="105"/>
      <c r="O18" s="106"/>
      <c r="P18" s="101">
        <f t="shared" si="23"/>
        <v>23</v>
      </c>
      <c r="Q18" s="101">
        <f t="shared" ref="Q18:V19" si="31">IFERROR(IF(P18+1&lt;=31,P18+1,""),"")</f>
        <v>24</v>
      </c>
      <c r="R18" s="101">
        <f t="shared" si="31"/>
        <v>25</v>
      </c>
      <c r="S18" s="101">
        <f t="shared" si="31"/>
        <v>26</v>
      </c>
      <c r="T18" s="101">
        <f t="shared" si="31"/>
        <v>27</v>
      </c>
      <c r="U18" s="101">
        <f t="shared" si="31"/>
        <v>28</v>
      </c>
      <c r="V18" s="101">
        <f t="shared" si="31"/>
        <v>29</v>
      </c>
      <c r="W18" s="105"/>
      <c r="Y18" s="106"/>
      <c r="Z18" s="101">
        <f t="shared" si="25"/>
        <v>27</v>
      </c>
      <c r="AA18" s="101">
        <f t="shared" ref="AA18:AF18" si="32">IFERROR(IF(Z18+1&lt;=31,Z18+1,""),"")</f>
        <v>28</v>
      </c>
      <c r="AB18" s="101">
        <f t="shared" si="32"/>
        <v>29</v>
      </c>
      <c r="AC18" s="101">
        <f t="shared" si="32"/>
        <v>30</v>
      </c>
      <c r="AD18" s="101">
        <f t="shared" si="32"/>
        <v>31</v>
      </c>
      <c r="AE18" s="101" t="str">
        <f t="shared" si="32"/>
        <v/>
      </c>
      <c r="AF18" s="101" t="str">
        <f t="shared" si="32"/>
        <v/>
      </c>
      <c r="AG18" s="105"/>
    </row>
    <row r="19" spans="4:33" ht="21">
      <c r="D19" s="315"/>
      <c r="E19" s="107"/>
      <c r="F19" s="101" t="str">
        <f t="shared" ref="F19" si="33">IFERROR(IF(L18+1&lt;=31,L18+1,""),"")</f>
        <v/>
      </c>
      <c r="G19" s="101" t="str">
        <f t="shared" si="30"/>
        <v/>
      </c>
      <c r="H19" s="101" t="str">
        <f t="shared" si="30"/>
        <v/>
      </c>
      <c r="I19" s="101" t="str">
        <f t="shared" si="30"/>
        <v/>
      </c>
      <c r="J19" s="101" t="str">
        <f t="shared" si="30"/>
        <v/>
      </c>
      <c r="K19" s="101" t="str">
        <f t="shared" si="30"/>
        <v/>
      </c>
      <c r="L19" s="101" t="str">
        <f t="shared" si="30"/>
        <v/>
      </c>
      <c r="O19" s="107"/>
      <c r="P19" s="101">
        <f t="shared" ref="P19" si="34">IFERROR(IF(V18+1&lt;=31,V18+1,""),"")</f>
        <v>30</v>
      </c>
      <c r="Q19" s="101">
        <f t="shared" si="31"/>
        <v>31</v>
      </c>
      <c r="R19" s="101" t="str">
        <f t="shared" si="31"/>
        <v/>
      </c>
      <c r="S19" s="101" t="str">
        <f t="shared" si="31"/>
        <v/>
      </c>
      <c r="T19" s="101" t="str">
        <f t="shared" si="31"/>
        <v/>
      </c>
      <c r="U19" s="101" t="str">
        <f t="shared" si="31"/>
        <v/>
      </c>
      <c r="V19" s="101" t="str">
        <f t="shared" si="31"/>
        <v/>
      </c>
      <c r="Y19" s="107"/>
      <c r="Z19" s="101" t="str">
        <f t="shared" si="25"/>
        <v/>
      </c>
      <c r="AA19" s="101" t="str">
        <f t="shared" ref="AA19:AF19" si="35">IFERROR(IF(Z19+1&lt;=31,Z19+1,""),"")</f>
        <v/>
      </c>
      <c r="AB19" s="101" t="str">
        <f t="shared" si="35"/>
        <v/>
      </c>
      <c r="AC19" s="101" t="str">
        <f t="shared" si="35"/>
        <v/>
      </c>
      <c r="AD19" s="101" t="str">
        <f t="shared" si="35"/>
        <v/>
      </c>
      <c r="AE19" s="101" t="str">
        <f t="shared" si="35"/>
        <v/>
      </c>
      <c r="AF19" s="101" t="str">
        <f t="shared" si="35"/>
        <v/>
      </c>
    </row>
    <row r="20" spans="4:33" ht="21">
      <c r="D20" s="111"/>
      <c r="E20" s="111"/>
      <c r="F20" s="111">
        <v>0</v>
      </c>
      <c r="G20" s="111">
        <v>1</v>
      </c>
      <c r="H20" s="111">
        <v>2</v>
      </c>
      <c r="I20" s="111">
        <v>3</v>
      </c>
      <c r="J20" s="111">
        <v>4</v>
      </c>
      <c r="K20" s="111">
        <v>5</v>
      </c>
      <c r="L20" s="111">
        <v>6</v>
      </c>
      <c r="M20" s="112"/>
      <c r="N20" s="112"/>
      <c r="O20" s="111"/>
      <c r="P20" s="111">
        <v>0</v>
      </c>
      <c r="Q20" s="111">
        <v>1</v>
      </c>
      <c r="R20" s="111">
        <v>2</v>
      </c>
      <c r="S20" s="111">
        <v>3</v>
      </c>
      <c r="T20" s="111">
        <v>4</v>
      </c>
      <c r="U20" s="111">
        <v>5</v>
      </c>
      <c r="V20" s="111">
        <v>6</v>
      </c>
      <c r="W20" s="112"/>
      <c r="X20" s="112"/>
      <c r="Y20" s="111"/>
      <c r="Z20" s="111">
        <v>0</v>
      </c>
      <c r="AA20" s="111">
        <v>1</v>
      </c>
      <c r="AB20" s="111">
        <v>2</v>
      </c>
      <c r="AC20" s="111">
        <v>3</v>
      </c>
      <c r="AD20" s="111">
        <v>4</v>
      </c>
      <c r="AE20" s="111">
        <v>5</v>
      </c>
      <c r="AF20" s="111">
        <v>6</v>
      </c>
      <c r="AG20" s="112"/>
    </row>
    <row r="21" spans="4:33" ht="25.5">
      <c r="D21" s="312" t="s">
        <v>353</v>
      </c>
      <c r="E21" s="108"/>
      <c r="F21" s="309" t="s">
        <v>354</v>
      </c>
      <c r="G21" s="309"/>
      <c r="H21" s="309"/>
      <c r="I21" s="309"/>
      <c r="J21" s="309"/>
      <c r="K21" s="309"/>
      <c r="L21" s="309"/>
      <c r="M21" s="110"/>
      <c r="O21" s="108"/>
      <c r="P21" s="309" t="s">
        <v>355</v>
      </c>
      <c r="Q21" s="309"/>
      <c r="R21" s="309"/>
      <c r="S21" s="309"/>
      <c r="T21" s="309"/>
      <c r="U21" s="309"/>
      <c r="V21" s="309"/>
      <c r="W21" s="110"/>
      <c r="Y21" s="108"/>
      <c r="Z21" s="309" t="s">
        <v>355</v>
      </c>
      <c r="AA21" s="309"/>
      <c r="AB21" s="309"/>
      <c r="AC21" s="309"/>
      <c r="AD21" s="309"/>
      <c r="AE21" s="309"/>
      <c r="AF21" s="309"/>
      <c r="AG21" s="110"/>
    </row>
    <row r="22" spans="4:33" ht="21.75" thickBot="1">
      <c r="D22" s="312"/>
      <c r="E22" s="108"/>
      <c r="F22" s="103" t="s">
        <v>339</v>
      </c>
      <c r="G22" s="103" t="s">
        <v>341</v>
      </c>
      <c r="H22" s="103" t="s">
        <v>342</v>
      </c>
      <c r="I22" s="103" t="s">
        <v>343</v>
      </c>
      <c r="J22" s="103" t="s">
        <v>344</v>
      </c>
      <c r="K22" s="103" t="s">
        <v>345</v>
      </c>
      <c r="L22" s="103" t="s">
        <v>340</v>
      </c>
      <c r="M22" s="110"/>
      <c r="O22" s="108"/>
      <c r="P22" s="103" t="s">
        <v>339</v>
      </c>
      <c r="Q22" s="103" t="s">
        <v>341</v>
      </c>
      <c r="R22" s="103" t="s">
        <v>342</v>
      </c>
      <c r="S22" s="103" t="s">
        <v>343</v>
      </c>
      <c r="T22" s="103" t="s">
        <v>344</v>
      </c>
      <c r="U22" s="103" t="s">
        <v>345</v>
      </c>
      <c r="V22" s="103" t="s">
        <v>340</v>
      </c>
      <c r="W22" s="110"/>
      <c r="Y22" s="108"/>
      <c r="Z22" s="103" t="s">
        <v>339</v>
      </c>
      <c r="AA22" s="103" t="s">
        <v>341</v>
      </c>
      <c r="AB22" s="103" t="s">
        <v>342</v>
      </c>
      <c r="AC22" s="103" t="s">
        <v>343</v>
      </c>
      <c r="AD22" s="103" t="s">
        <v>344</v>
      </c>
      <c r="AE22" s="103" t="s">
        <v>345</v>
      </c>
      <c r="AF22" s="103" t="s">
        <v>340</v>
      </c>
      <c r="AG22" s="110"/>
    </row>
    <row r="23" spans="4:33" ht="21">
      <c r="D23" s="312"/>
      <c r="E23" s="108"/>
      <c r="F23" s="101" t="str">
        <f>IF(DayWeekNo($A$2&amp;"0701")=F20,1,IF(DayWeekNo($A$2&amp;"0701")&lt;F20,E23+1,""))</f>
        <v/>
      </c>
      <c r="G23" s="101" t="str">
        <f>IF(DayWeekNo($A$2&amp;"0701")=G20,1,IF(DayWeekNo($A$2&amp;"0701")&lt;G20,F23+1,""))</f>
        <v/>
      </c>
      <c r="H23" s="101" t="str">
        <f>IF(DayWeekNo($A$2&amp;"0701")=H20,1,IF(DayWeekNo($A$2&amp;"0701")&lt;H20,G23+1,""))</f>
        <v/>
      </c>
      <c r="I23" s="101" t="str">
        <f>IF(DayWeekNo($A$2&amp;"0701")=I20,1,IF(DayWeekNo($A$2&amp;"0701")&lt;I20,H23+1,""))</f>
        <v/>
      </c>
      <c r="J23" s="101" t="str">
        <f>IF(DayWeekNo($A$2&amp;"0701")=J20,1,IF(DayWeekNo($A$2&amp;"0701")&lt;J20,I23+1,""))</f>
        <v/>
      </c>
      <c r="K23" s="101">
        <f>IF(DayWeekNo($A$2&amp;"0701")=K20,1,IF(DayWeekNo($A$2&amp;"0701")&lt;K20,J23+1,""))</f>
        <v>1</v>
      </c>
      <c r="L23" s="101">
        <f>IF(DayWeekNo($A$2&amp;"0701")=L20,1,IF(DayWeekNo($A$2&amp;"0701")&lt;L20,K23+1,""))</f>
        <v>2</v>
      </c>
      <c r="M23" s="105"/>
      <c r="O23" s="108"/>
      <c r="P23" s="101">
        <f>IF(DayWeekNo($A$2&amp;"0801")=P20,1,IF(DayWeekNo($A$2&amp;"0801")&lt;P20,O23+1,""))</f>
        <v>1</v>
      </c>
      <c r="Q23" s="101">
        <f>IF(DayWeekNo($A$2&amp;"0801")=Q20,1,IF(DayWeekNo($A$2&amp;"0801")&lt;Q20,P23+1,""))</f>
        <v>2</v>
      </c>
      <c r="R23" s="101">
        <f>IF(DayWeekNo($A$2&amp;"0801")=R20,1,IF(DayWeekNo($A$2&amp;"0801")&lt;R20,Q23+1,""))</f>
        <v>3</v>
      </c>
      <c r="S23" s="101">
        <f>IF(DayWeekNo($A$2&amp;"0801")=S20,1,IF(DayWeekNo($A$2&amp;"0801")&lt;S20,R23+1,""))</f>
        <v>4</v>
      </c>
      <c r="T23" s="101">
        <f>IF(DayWeekNo($A$2&amp;"0801")=T20,1,IF(DayWeekNo($A$2&amp;"0801")&lt;T20,S23+1,""))</f>
        <v>5</v>
      </c>
      <c r="U23" s="101">
        <f>IF(DayWeekNo($A$2&amp;"0801")=U20,1,IF(DayWeekNo($A$2&amp;"0801")&lt;U20,T23+1,""))</f>
        <v>6</v>
      </c>
      <c r="V23" s="101">
        <f>IF(DayWeekNo($A$2&amp;"0801")=V20,1,IF(DayWeekNo($A$2&amp;"0801")&lt;V20,U23+1,""))</f>
        <v>7</v>
      </c>
      <c r="W23" s="105"/>
      <c r="Y23" s="108"/>
      <c r="Z23" s="101" t="str">
        <f>IF(DayWeekNo($A$2&amp;"0901")=Z20,1,IF(DayWeekNo($A$2&amp;"0901")&lt;Z20,Y23+1,""))</f>
        <v/>
      </c>
      <c r="AA23" s="101" t="str">
        <f>IF(DayWeekNo($A$2&amp;"0901")=AA20,1,IF(DayWeekNo($A$2&amp;"0901")&lt;AA20,Z23+1,""))</f>
        <v/>
      </c>
      <c r="AB23" s="101">
        <f>IF(DayWeekNo($A$2&amp;"0901")=AB20,1,IF(DayWeekNo($A$2&amp;"0901")&lt;AB20,AA23+1,""))</f>
        <v>1</v>
      </c>
      <c r="AC23" s="101">
        <f>IF(DayWeekNo($A$2&amp;"0901")=AC20,1,IF(DayWeekNo($A$2&amp;"0901")&lt;AC20,AB23+1,""))</f>
        <v>2</v>
      </c>
      <c r="AD23" s="101">
        <f>IF(DayWeekNo($A$2&amp;"0901")=AD20,1,IF(DayWeekNo($A$2&amp;"0901")&lt;AD20,AC23+1,""))</f>
        <v>3</v>
      </c>
      <c r="AE23" s="101">
        <f>IF(DayWeekNo($A$2&amp;"0901")=AE20,1,IF(DayWeekNo($A$2&amp;"0901")&lt;AE20,AD23+1,""))</f>
        <v>4</v>
      </c>
      <c r="AF23" s="101">
        <f>IF(DayWeekNo($A$2&amp;"0901")=AF20,1,IF(DayWeekNo($A$2&amp;"0901")&lt;AF20,AE23+1,""))</f>
        <v>5</v>
      </c>
      <c r="AG23" s="105"/>
    </row>
    <row r="24" spans="4:33" ht="21">
      <c r="D24" s="312"/>
      <c r="E24" s="108"/>
      <c r="F24" s="101">
        <f>IFERROR(IF(L23+1&lt;=30,L23+1,""),"")</f>
        <v>3</v>
      </c>
      <c r="G24" s="101">
        <f>IFERROR(IF(F24+1&lt;=30,F24+1,""),"")</f>
        <v>4</v>
      </c>
      <c r="H24" s="101">
        <f t="shared" ref="H24:L24" si="36">IFERROR(IF(G24+1&lt;=30,G24+1,""),"")</f>
        <v>5</v>
      </c>
      <c r="I24" s="101">
        <f t="shared" si="36"/>
        <v>6</v>
      </c>
      <c r="J24" s="101">
        <f t="shared" si="36"/>
        <v>7</v>
      </c>
      <c r="K24" s="101">
        <f t="shared" si="36"/>
        <v>8</v>
      </c>
      <c r="L24" s="101">
        <f t="shared" si="36"/>
        <v>9</v>
      </c>
      <c r="M24" s="105"/>
      <c r="O24" s="108"/>
      <c r="P24" s="101">
        <f>IFERROR(IF(V23+1&lt;=30,V23+1,""),"")</f>
        <v>8</v>
      </c>
      <c r="Q24" s="101">
        <f>IFERROR(IF(P24+1&lt;=30,P24+1,""),"")</f>
        <v>9</v>
      </c>
      <c r="R24" s="101">
        <f t="shared" ref="R24:V24" si="37">IFERROR(IF(Q24+1&lt;=30,Q24+1,""),"")</f>
        <v>10</v>
      </c>
      <c r="S24" s="101">
        <f t="shared" si="37"/>
        <v>11</v>
      </c>
      <c r="T24" s="101">
        <f t="shared" si="37"/>
        <v>12</v>
      </c>
      <c r="U24" s="101">
        <f t="shared" si="37"/>
        <v>13</v>
      </c>
      <c r="V24" s="101">
        <f t="shared" si="37"/>
        <v>14</v>
      </c>
      <c r="W24" s="105"/>
      <c r="Y24" s="108"/>
      <c r="Z24" s="101">
        <f>IFERROR(IF(AF23+1&lt;=30,AF23+1,""),"")</f>
        <v>6</v>
      </c>
      <c r="AA24" s="101">
        <f>IFERROR(IF(Z24+1&lt;=30,Z24+1,""),"")</f>
        <v>7</v>
      </c>
      <c r="AB24" s="101">
        <f t="shared" ref="AB24:AF24" si="38">IFERROR(IF(AA24+1&lt;=30,AA24+1,""),"")</f>
        <v>8</v>
      </c>
      <c r="AC24" s="101">
        <f t="shared" si="38"/>
        <v>9</v>
      </c>
      <c r="AD24" s="101">
        <f t="shared" si="38"/>
        <v>10</v>
      </c>
      <c r="AE24" s="101">
        <f t="shared" si="38"/>
        <v>11</v>
      </c>
      <c r="AF24" s="101">
        <f t="shared" si="38"/>
        <v>12</v>
      </c>
      <c r="AG24" s="105"/>
    </row>
    <row r="25" spans="4:33" ht="21">
      <c r="D25" s="312"/>
      <c r="E25" s="108"/>
      <c r="F25" s="101">
        <f t="shared" ref="F25:F28" si="39">IFERROR(IF(L24+1&lt;=30,L24+1,""),"")</f>
        <v>10</v>
      </c>
      <c r="G25" s="101">
        <f t="shared" ref="G25:L25" si="40">IFERROR(IF(F25+1&lt;=30,F25+1,""),"")</f>
        <v>11</v>
      </c>
      <c r="H25" s="101">
        <f t="shared" si="40"/>
        <v>12</v>
      </c>
      <c r="I25" s="101">
        <f t="shared" si="40"/>
        <v>13</v>
      </c>
      <c r="J25" s="101">
        <f t="shared" si="40"/>
        <v>14</v>
      </c>
      <c r="K25" s="101">
        <f t="shared" si="40"/>
        <v>15</v>
      </c>
      <c r="L25" s="101">
        <f t="shared" si="40"/>
        <v>16</v>
      </c>
      <c r="M25" s="105"/>
      <c r="O25" s="108"/>
      <c r="P25" s="101">
        <f t="shared" ref="P25:P28" si="41">IFERROR(IF(V24+1&lt;=30,V24+1,""),"")</f>
        <v>15</v>
      </c>
      <c r="Q25" s="101">
        <f t="shared" ref="Q25:V25" si="42">IFERROR(IF(P25+1&lt;=30,P25+1,""),"")</f>
        <v>16</v>
      </c>
      <c r="R25" s="101">
        <f t="shared" si="42"/>
        <v>17</v>
      </c>
      <c r="S25" s="101">
        <f t="shared" si="42"/>
        <v>18</v>
      </c>
      <c r="T25" s="101">
        <f t="shared" si="42"/>
        <v>19</v>
      </c>
      <c r="U25" s="101">
        <f t="shared" si="42"/>
        <v>20</v>
      </c>
      <c r="V25" s="101">
        <f t="shared" si="42"/>
        <v>21</v>
      </c>
      <c r="W25" s="105"/>
      <c r="Y25" s="108"/>
      <c r="Z25" s="101">
        <f t="shared" ref="Z25:Z28" si="43">IFERROR(IF(AF24+1&lt;=30,AF24+1,""),"")</f>
        <v>13</v>
      </c>
      <c r="AA25" s="101">
        <f t="shared" ref="AA25:AF25" si="44">IFERROR(IF(Z25+1&lt;=30,Z25+1,""),"")</f>
        <v>14</v>
      </c>
      <c r="AB25" s="101">
        <f t="shared" si="44"/>
        <v>15</v>
      </c>
      <c r="AC25" s="101">
        <f t="shared" si="44"/>
        <v>16</v>
      </c>
      <c r="AD25" s="101">
        <f t="shared" si="44"/>
        <v>17</v>
      </c>
      <c r="AE25" s="101">
        <f t="shared" si="44"/>
        <v>18</v>
      </c>
      <c r="AF25" s="101">
        <f t="shared" si="44"/>
        <v>19</v>
      </c>
      <c r="AG25" s="105"/>
    </row>
    <row r="26" spans="4:33" ht="21">
      <c r="D26" s="312"/>
      <c r="E26" s="108"/>
      <c r="F26" s="101">
        <f t="shared" si="39"/>
        <v>17</v>
      </c>
      <c r="G26" s="101">
        <f t="shared" ref="G26:L26" si="45">IFERROR(IF(F26+1&lt;=30,F26+1,""),"")</f>
        <v>18</v>
      </c>
      <c r="H26" s="101">
        <f t="shared" si="45"/>
        <v>19</v>
      </c>
      <c r="I26" s="101">
        <f t="shared" si="45"/>
        <v>20</v>
      </c>
      <c r="J26" s="101">
        <f t="shared" si="45"/>
        <v>21</v>
      </c>
      <c r="K26" s="101">
        <f t="shared" si="45"/>
        <v>22</v>
      </c>
      <c r="L26" s="101">
        <f t="shared" si="45"/>
        <v>23</v>
      </c>
      <c r="M26" s="105"/>
      <c r="O26" s="108"/>
      <c r="P26" s="101">
        <f t="shared" si="41"/>
        <v>22</v>
      </c>
      <c r="Q26" s="101">
        <f t="shared" ref="Q26:V26" si="46">IFERROR(IF(P26+1&lt;=30,P26+1,""),"")</f>
        <v>23</v>
      </c>
      <c r="R26" s="101">
        <f t="shared" si="46"/>
        <v>24</v>
      </c>
      <c r="S26" s="101">
        <f t="shared" si="46"/>
        <v>25</v>
      </c>
      <c r="T26" s="101">
        <f t="shared" si="46"/>
        <v>26</v>
      </c>
      <c r="U26" s="101">
        <f t="shared" si="46"/>
        <v>27</v>
      </c>
      <c r="V26" s="101">
        <f t="shared" si="46"/>
        <v>28</v>
      </c>
      <c r="W26" s="105"/>
      <c r="Y26" s="108"/>
      <c r="Z26" s="101">
        <f t="shared" si="43"/>
        <v>20</v>
      </c>
      <c r="AA26" s="101">
        <f t="shared" ref="AA26:AF26" si="47">IFERROR(IF(Z26+1&lt;=30,Z26+1,""),"")</f>
        <v>21</v>
      </c>
      <c r="AB26" s="101">
        <f t="shared" si="47"/>
        <v>22</v>
      </c>
      <c r="AC26" s="101">
        <f t="shared" si="47"/>
        <v>23</v>
      </c>
      <c r="AD26" s="101">
        <f t="shared" si="47"/>
        <v>24</v>
      </c>
      <c r="AE26" s="101">
        <f t="shared" si="47"/>
        <v>25</v>
      </c>
      <c r="AF26" s="101">
        <f t="shared" si="47"/>
        <v>26</v>
      </c>
      <c r="AG26" s="105"/>
    </row>
    <row r="27" spans="4:33" ht="21">
      <c r="D27" s="312"/>
      <c r="E27" s="108"/>
      <c r="F27" s="101">
        <f t="shared" si="39"/>
        <v>24</v>
      </c>
      <c r="G27" s="101">
        <f t="shared" ref="G27:L27" si="48">IFERROR(IF(F27+1&lt;=30,F27+1,""),"")</f>
        <v>25</v>
      </c>
      <c r="H27" s="101">
        <f t="shared" si="48"/>
        <v>26</v>
      </c>
      <c r="I27" s="101">
        <f t="shared" si="48"/>
        <v>27</v>
      </c>
      <c r="J27" s="101">
        <f t="shared" si="48"/>
        <v>28</v>
      </c>
      <c r="K27" s="101">
        <f t="shared" si="48"/>
        <v>29</v>
      </c>
      <c r="L27" s="101">
        <f t="shared" si="48"/>
        <v>30</v>
      </c>
      <c r="M27" s="105"/>
      <c r="O27" s="108"/>
      <c r="P27" s="101">
        <f t="shared" si="41"/>
        <v>29</v>
      </c>
      <c r="Q27" s="101">
        <f t="shared" ref="Q27:V27" si="49">IFERROR(IF(P27+1&lt;=30,P27+1,""),"")</f>
        <v>30</v>
      </c>
      <c r="R27" s="101" t="str">
        <f t="shared" si="49"/>
        <v/>
      </c>
      <c r="S27" s="101" t="str">
        <f t="shared" si="49"/>
        <v/>
      </c>
      <c r="T27" s="101" t="str">
        <f t="shared" si="49"/>
        <v/>
      </c>
      <c r="U27" s="101" t="str">
        <f t="shared" si="49"/>
        <v/>
      </c>
      <c r="V27" s="101" t="str">
        <f t="shared" si="49"/>
        <v/>
      </c>
      <c r="W27" s="105"/>
      <c r="Y27" s="108"/>
      <c r="Z27" s="101">
        <f t="shared" si="43"/>
        <v>27</v>
      </c>
      <c r="AA27" s="101">
        <f t="shared" ref="AA27:AF27" si="50">IFERROR(IF(Z27+1&lt;=30,Z27+1,""),"")</f>
        <v>28</v>
      </c>
      <c r="AB27" s="101">
        <f t="shared" si="50"/>
        <v>29</v>
      </c>
      <c r="AC27" s="101">
        <f t="shared" si="50"/>
        <v>30</v>
      </c>
      <c r="AD27" s="101" t="str">
        <f t="shared" si="50"/>
        <v/>
      </c>
      <c r="AE27" s="101" t="str">
        <f t="shared" si="50"/>
        <v/>
      </c>
      <c r="AF27" s="101" t="str">
        <f t="shared" si="50"/>
        <v/>
      </c>
      <c r="AG27" s="105"/>
    </row>
    <row r="28" spans="4:33" ht="21">
      <c r="D28" s="312"/>
      <c r="E28" s="109"/>
      <c r="F28" s="101" t="str">
        <f t="shared" si="39"/>
        <v/>
      </c>
      <c r="G28" s="101" t="str">
        <f t="shared" ref="G28:L28" si="51">IFERROR(IF(F28+1&lt;=30,F28+1,""),"")</f>
        <v/>
      </c>
      <c r="H28" s="101" t="str">
        <f t="shared" si="51"/>
        <v/>
      </c>
      <c r="I28" s="101" t="str">
        <f t="shared" si="51"/>
        <v/>
      </c>
      <c r="J28" s="101" t="str">
        <f t="shared" si="51"/>
        <v/>
      </c>
      <c r="K28" s="101" t="str">
        <f t="shared" si="51"/>
        <v/>
      </c>
      <c r="L28" s="101" t="str">
        <f t="shared" si="51"/>
        <v/>
      </c>
      <c r="O28" s="109"/>
      <c r="P28" s="101" t="str">
        <f t="shared" si="41"/>
        <v/>
      </c>
      <c r="Q28" s="101" t="str">
        <f t="shared" ref="Q28:V28" si="52">IFERROR(IF(P28+1&lt;=30,P28+1,""),"")</f>
        <v/>
      </c>
      <c r="R28" s="101" t="str">
        <f t="shared" si="52"/>
        <v/>
      </c>
      <c r="S28" s="101" t="str">
        <f t="shared" si="52"/>
        <v/>
      </c>
      <c r="T28" s="101" t="str">
        <f t="shared" si="52"/>
        <v/>
      </c>
      <c r="U28" s="101" t="str">
        <f t="shared" si="52"/>
        <v/>
      </c>
      <c r="V28" s="101" t="str">
        <f t="shared" si="52"/>
        <v/>
      </c>
      <c r="Y28" s="109"/>
      <c r="Z28" s="101" t="str">
        <f t="shared" si="43"/>
        <v/>
      </c>
      <c r="AA28" s="101" t="str">
        <f t="shared" ref="AA28:AF28" si="53">IFERROR(IF(Z28+1&lt;=30,Z28+1,""),"")</f>
        <v/>
      </c>
      <c r="AB28" s="101" t="str">
        <f t="shared" si="53"/>
        <v/>
      </c>
      <c r="AC28" s="101" t="str">
        <f t="shared" si="53"/>
        <v/>
      </c>
      <c r="AD28" s="101" t="str">
        <f t="shared" si="53"/>
        <v/>
      </c>
      <c r="AE28" s="101" t="str">
        <f t="shared" si="53"/>
        <v/>
      </c>
      <c r="AF28" s="101" t="str">
        <f t="shared" si="53"/>
        <v/>
      </c>
    </row>
    <row r="29" spans="4:33" ht="21">
      <c r="D29" s="111"/>
      <c r="E29" s="111"/>
      <c r="F29" s="111">
        <v>0</v>
      </c>
      <c r="G29" s="111">
        <v>1</v>
      </c>
      <c r="H29" s="111">
        <v>2</v>
      </c>
      <c r="I29" s="111">
        <v>3</v>
      </c>
      <c r="J29" s="111">
        <v>4</v>
      </c>
      <c r="K29" s="111">
        <v>5</v>
      </c>
      <c r="L29" s="111">
        <v>6</v>
      </c>
      <c r="M29" s="112"/>
      <c r="N29" s="112"/>
      <c r="O29" s="111"/>
      <c r="P29" s="111">
        <v>0</v>
      </c>
      <c r="Q29" s="111">
        <v>1</v>
      </c>
      <c r="R29" s="111">
        <v>2</v>
      </c>
      <c r="S29" s="111">
        <v>3</v>
      </c>
      <c r="T29" s="111">
        <v>4</v>
      </c>
      <c r="U29" s="111">
        <v>5</v>
      </c>
      <c r="V29" s="111">
        <v>6</v>
      </c>
      <c r="W29" s="112"/>
      <c r="X29" s="112"/>
      <c r="Y29" s="111"/>
      <c r="Z29" s="111">
        <v>0</v>
      </c>
      <c r="AA29" s="111">
        <v>1</v>
      </c>
      <c r="AB29" s="111">
        <v>2</v>
      </c>
      <c r="AC29" s="111">
        <v>3</v>
      </c>
      <c r="AD29" s="111">
        <v>4</v>
      </c>
      <c r="AE29" s="111">
        <v>5</v>
      </c>
      <c r="AF29" s="111">
        <v>6</v>
      </c>
      <c r="AG29" s="112"/>
    </row>
    <row r="30" spans="4:33" ht="25.5">
      <c r="D30" s="310" t="s">
        <v>356</v>
      </c>
      <c r="E30" s="113"/>
      <c r="F30" s="311" t="s">
        <v>357</v>
      </c>
      <c r="G30" s="311"/>
      <c r="H30" s="311"/>
      <c r="I30" s="311"/>
      <c r="J30" s="311"/>
      <c r="K30" s="311"/>
      <c r="L30" s="311"/>
      <c r="M30" s="115"/>
      <c r="O30" s="113"/>
      <c r="P30" s="311" t="s">
        <v>358</v>
      </c>
      <c r="Q30" s="311"/>
      <c r="R30" s="311"/>
      <c r="S30" s="311"/>
      <c r="T30" s="311"/>
      <c r="U30" s="311"/>
      <c r="V30" s="311"/>
      <c r="W30" s="115"/>
      <c r="Y30" s="113"/>
      <c r="Z30" s="311" t="s">
        <v>359</v>
      </c>
      <c r="AA30" s="311"/>
      <c r="AB30" s="311"/>
      <c r="AC30" s="311"/>
      <c r="AD30" s="311"/>
      <c r="AE30" s="311"/>
      <c r="AF30" s="311"/>
      <c r="AG30" s="115"/>
    </row>
    <row r="31" spans="4:33" ht="21.75" thickBot="1">
      <c r="D31" s="310"/>
      <c r="E31" s="113"/>
      <c r="F31" s="103" t="s">
        <v>339</v>
      </c>
      <c r="G31" s="103" t="s">
        <v>341</v>
      </c>
      <c r="H31" s="103" t="s">
        <v>342</v>
      </c>
      <c r="I31" s="103" t="s">
        <v>343</v>
      </c>
      <c r="J31" s="103" t="s">
        <v>344</v>
      </c>
      <c r="K31" s="103" t="s">
        <v>345</v>
      </c>
      <c r="L31" s="103" t="s">
        <v>340</v>
      </c>
      <c r="M31" s="115"/>
      <c r="O31" s="113"/>
      <c r="P31" s="103" t="s">
        <v>339</v>
      </c>
      <c r="Q31" s="103" t="s">
        <v>341</v>
      </c>
      <c r="R31" s="103" t="s">
        <v>342</v>
      </c>
      <c r="S31" s="103" t="s">
        <v>343</v>
      </c>
      <c r="T31" s="103" t="s">
        <v>344</v>
      </c>
      <c r="U31" s="103" t="s">
        <v>345</v>
      </c>
      <c r="V31" s="103" t="s">
        <v>340</v>
      </c>
      <c r="W31" s="115"/>
      <c r="Y31" s="113"/>
      <c r="Z31" s="103" t="s">
        <v>339</v>
      </c>
      <c r="AA31" s="103" t="s">
        <v>341</v>
      </c>
      <c r="AB31" s="103" t="s">
        <v>342</v>
      </c>
      <c r="AC31" s="103" t="s">
        <v>343</v>
      </c>
      <c r="AD31" s="103" t="s">
        <v>344</v>
      </c>
      <c r="AE31" s="103" t="s">
        <v>345</v>
      </c>
      <c r="AF31" s="103" t="s">
        <v>340</v>
      </c>
      <c r="AG31" s="115"/>
    </row>
    <row r="32" spans="4:33" ht="21">
      <c r="D32" s="310"/>
      <c r="E32" s="113"/>
      <c r="F32" s="101" t="str">
        <f>IF(DayWeekNo($A$2&amp;"1001")=F29,1,IF(DayWeekNo($A$2&amp;"1001")&lt;F29,E32+1,""))</f>
        <v/>
      </c>
      <c r="G32" s="101" t="str">
        <f>IF(DayWeekNo($A$2&amp;"1001")=G29,1,IF(DayWeekNo($A$2&amp;"1001")&lt;G29,F32+1,""))</f>
        <v/>
      </c>
      <c r="H32" s="101" t="str">
        <f>IF(DayWeekNo($A$2&amp;"1001")=H29,1,IF(DayWeekNo($A$2&amp;"1001")&lt;H29,G32+1,""))</f>
        <v/>
      </c>
      <c r="I32" s="101" t="str">
        <f>IF(DayWeekNo($A$2&amp;"1001")=I29,1,IF(DayWeekNo($A$2&amp;"1001")&lt;I29,H32+1,""))</f>
        <v/>
      </c>
      <c r="J32" s="101">
        <f>IF(DayWeekNo($A$2&amp;"1001")=J29,1,IF(DayWeekNo($A$2&amp;"1001")&lt;J29,I32+1,""))</f>
        <v>1</v>
      </c>
      <c r="K32" s="101">
        <f>IF(DayWeekNo($A$2&amp;"1001")=K29,1,IF(DayWeekNo($A$2&amp;"1001")&lt;K29,J32+1,""))</f>
        <v>2</v>
      </c>
      <c r="L32" s="101">
        <f>IF(DayWeekNo($A$2&amp;"1001")=L29,1,IF(DayWeekNo($A$2&amp;"1001")&lt;L29,K32+1,""))</f>
        <v>3</v>
      </c>
      <c r="M32" s="105"/>
      <c r="O32" s="113"/>
      <c r="P32" s="101" t="str">
        <f>IF(DayWeekNo($A$2&amp;"1101")=P29,1,IF(DayWeekNo($A$2&amp;"1101")&lt;P29,O32+1,""))</f>
        <v/>
      </c>
      <c r="Q32" s="101" t="str">
        <f>IF(DayWeekNo($A$2&amp;"1101")=Q29,1,IF(DayWeekNo($A$2&amp;"1101")&lt;Q29,P32+1,""))</f>
        <v/>
      </c>
      <c r="R32" s="101" t="str">
        <f>IF(DayWeekNo($A$2&amp;"1101")=R29,1,IF(DayWeekNo($A$2&amp;"1101")&lt;R29,Q32+1,""))</f>
        <v/>
      </c>
      <c r="S32" s="101" t="str">
        <f>IF(DayWeekNo($A$2&amp;"1101")=S29,1,IF(DayWeekNo($A$2&amp;"1101")&lt;S29,R32+1,""))</f>
        <v/>
      </c>
      <c r="T32" s="101" t="str">
        <f>IF(DayWeekNo($A$2&amp;"1101")=T29,1,IF(DayWeekNo($A$2&amp;"1101")&lt;T29,S32+1,""))</f>
        <v/>
      </c>
      <c r="U32" s="101" t="str">
        <f>IF(DayWeekNo($A$2&amp;"1101")=U29,1,IF(DayWeekNo($A$2&amp;"1101")&lt;U29,T32+1,""))</f>
        <v/>
      </c>
      <c r="V32" s="101">
        <f>IF(DayWeekNo($A$2&amp;"1101")=V29,1,IF(DayWeekNo($A$2&amp;"1101")&lt;V29,U32+1,""))</f>
        <v>1</v>
      </c>
      <c r="W32" s="105"/>
      <c r="Y32" s="113"/>
      <c r="Z32" s="101" t="str">
        <f>IF(DayWeekNo($A$2&amp;"1201")=Z29,1,IF(DayWeekNo($A$2&amp;"1201")&lt;Z29,Y32+1,""))</f>
        <v/>
      </c>
      <c r="AA32" s="101">
        <f>IF(DayWeekNo($A$2&amp;"1201")=AA29,1,IF(DayWeekNo($A$2&amp;"1201")&lt;AA29,Z32+1,""))</f>
        <v>1</v>
      </c>
      <c r="AB32" s="101">
        <f>IF(DayWeekNo($A$2&amp;"1201")=AB29,1,IF(DayWeekNo($A$2&amp;"1201")&lt;AB29,AA32+1,""))</f>
        <v>2</v>
      </c>
      <c r="AC32" s="101">
        <f>IF(DayWeekNo($A$2&amp;"1201")=AC29,1,IF(DayWeekNo($A$2&amp;"1201")&lt;AC29,AB32+1,""))</f>
        <v>3</v>
      </c>
      <c r="AD32" s="101">
        <f>IF(DayWeekNo($A$2&amp;"1201")=AD29,1,IF(DayWeekNo($A$2&amp;"1201")&lt;AD29,AC32+1,""))</f>
        <v>4</v>
      </c>
      <c r="AE32" s="101">
        <f>IF(DayWeekNo($A$2&amp;"1201")=AE29,1,IF(DayWeekNo($A$2&amp;"1201")&lt;AE29,AD32+1,""))</f>
        <v>5</v>
      </c>
      <c r="AF32" s="101">
        <f>IF(DayWeekNo($A$2&amp;"1201")=AF29,1,IF(DayWeekNo($A$2&amp;"1201")&lt;AF29,AE32+1,""))</f>
        <v>6</v>
      </c>
      <c r="AG32" s="105"/>
    </row>
    <row r="33" spans="4:33" ht="21">
      <c r="D33" s="310"/>
      <c r="E33" s="113"/>
      <c r="F33" s="101">
        <f>IFERROR(IF(L32+1&lt;=30,L32+1,""),"")</f>
        <v>4</v>
      </c>
      <c r="G33" s="101">
        <f>IFERROR(IF(F33+1&lt;=30,F33+1,""),"")</f>
        <v>5</v>
      </c>
      <c r="H33" s="101">
        <f t="shared" ref="H33:L33" si="54">IFERROR(IF(G33+1&lt;=30,G33+1,""),"")</f>
        <v>6</v>
      </c>
      <c r="I33" s="101">
        <f t="shared" si="54"/>
        <v>7</v>
      </c>
      <c r="J33" s="101">
        <f t="shared" si="54"/>
        <v>8</v>
      </c>
      <c r="K33" s="101">
        <f t="shared" si="54"/>
        <v>9</v>
      </c>
      <c r="L33" s="101">
        <f t="shared" si="54"/>
        <v>10</v>
      </c>
      <c r="M33" s="105"/>
      <c r="O33" s="113"/>
      <c r="P33" s="101">
        <f>IFERROR(IF(V32+1&lt;=30,V32+1,""),"")</f>
        <v>2</v>
      </c>
      <c r="Q33" s="101">
        <f>IFERROR(IF(P33+1&lt;=30,P33+1,""),"")</f>
        <v>3</v>
      </c>
      <c r="R33" s="101">
        <f t="shared" ref="R33:V33" si="55">IFERROR(IF(Q33+1&lt;=30,Q33+1,""),"")</f>
        <v>4</v>
      </c>
      <c r="S33" s="101">
        <f t="shared" si="55"/>
        <v>5</v>
      </c>
      <c r="T33" s="101">
        <f t="shared" si="55"/>
        <v>6</v>
      </c>
      <c r="U33" s="101">
        <f t="shared" si="55"/>
        <v>7</v>
      </c>
      <c r="V33" s="101">
        <f t="shared" si="55"/>
        <v>8</v>
      </c>
      <c r="W33" s="105"/>
      <c r="Y33" s="113"/>
      <c r="Z33" s="101">
        <f>IFERROR(IF(AF32+1&lt;=29,AF32+1,""),"")</f>
        <v>7</v>
      </c>
      <c r="AA33" s="101">
        <f>IFERROR(IF(Z33+1&lt;=29,Z33+1,""),"")</f>
        <v>8</v>
      </c>
      <c r="AB33" s="101">
        <f t="shared" ref="AB33:AF33" si="56">IFERROR(IF(AA33+1&lt;=29,AA33+1,""),"")</f>
        <v>9</v>
      </c>
      <c r="AC33" s="101">
        <f t="shared" si="56"/>
        <v>10</v>
      </c>
      <c r="AD33" s="101">
        <f t="shared" si="56"/>
        <v>11</v>
      </c>
      <c r="AE33" s="101">
        <f t="shared" si="56"/>
        <v>12</v>
      </c>
      <c r="AF33" s="101">
        <f t="shared" si="56"/>
        <v>13</v>
      </c>
      <c r="AG33" s="105"/>
    </row>
    <row r="34" spans="4:33" ht="21">
      <c r="D34" s="310"/>
      <c r="E34" s="113"/>
      <c r="F34" s="101">
        <f t="shared" ref="F34:F37" si="57">IFERROR(IF(L33+1&lt;=30,L33+1,""),"")</f>
        <v>11</v>
      </c>
      <c r="G34" s="101">
        <f t="shared" ref="G34:L34" si="58">IFERROR(IF(F34+1&lt;=30,F34+1,""),"")</f>
        <v>12</v>
      </c>
      <c r="H34" s="101">
        <f t="shared" si="58"/>
        <v>13</v>
      </c>
      <c r="I34" s="101">
        <f t="shared" si="58"/>
        <v>14</v>
      </c>
      <c r="J34" s="101">
        <f t="shared" si="58"/>
        <v>15</v>
      </c>
      <c r="K34" s="101">
        <f t="shared" si="58"/>
        <v>16</v>
      </c>
      <c r="L34" s="101">
        <f t="shared" si="58"/>
        <v>17</v>
      </c>
      <c r="M34" s="105"/>
      <c r="O34" s="113"/>
      <c r="P34" s="101">
        <f t="shared" ref="P34:P37" si="59">IFERROR(IF(V33+1&lt;=30,V33+1,""),"")</f>
        <v>9</v>
      </c>
      <c r="Q34" s="101">
        <f t="shared" ref="Q34:V34" si="60">IFERROR(IF(P34+1&lt;=30,P34+1,""),"")</f>
        <v>10</v>
      </c>
      <c r="R34" s="101">
        <f t="shared" si="60"/>
        <v>11</v>
      </c>
      <c r="S34" s="101">
        <f t="shared" si="60"/>
        <v>12</v>
      </c>
      <c r="T34" s="101">
        <f t="shared" si="60"/>
        <v>13</v>
      </c>
      <c r="U34" s="101">
        <f t="shared" si="60"/>
        <v>14</v>
      </c>
      <c r="V34" s="101">
        <f t="shared" si="60"/>
        <v>15</v>
      </c>
      <c r="W34" s="105"/>
      <c r="Y34" s="113"/>
      <c r="Z34" s="101">
        <f t="shared" ref="Z34:Z36" si="61">IFERROR(IF(AF33+1&lt;=29,AF33+1,""),"")</f>
        <v>14</v>
      </c>
      <c r="AA34" s="101">
        <f t="shared" ref="AA34:AF34" si="62">IFERROR(IF(Z34+1&lt;=29,Z34+1,""),"")</f>
        <v>15</v>
      </c>
      <c r="AB34" s="101">
        <f t="shared" si="62"/>
        <v>16</v>
      </c>
      <c r="AC34" s="101">
        <f t="shared" si="62"/>
        <v>17</v>
      </c>
      <c r="AD34" s="101">
        <f t="shared" si="62"/>
        <v>18</v>
      </c>
      <c r="AE34" s="101">
        <f t="shared" si="62"/>
        <v>19</v>
      </c>
      <c r="AF34" s="101">
        <f t="shared" si="62"/>
        <v>20</v>
      </c>
      <c r="AG34" s="105"/>
    </row>
    <row r="35" spans="4:33" ht="21">
      <c r="D35" s="310"/>
      <c r="E35" s="113"/>
      <c r="F35" s="101">
        <f t="shared" si="57"/>
        <v>18</v>
      </c>
      <c r="G35" s="101">
        <f t="shared" ref="G35:L35" si="63">IFERROR(IF(F35+1&lt;=30,F35+1,""),"")</f>
        <v>19</v>
      </c>
      <c r="H35" s="101">
        <f t="shared" si="63"/>
        <v>20</v>
      </c>
      <c r="I35" s="101">
        <f t="shared" si="63"/>
        <v>21</v>
      </c>
      <c r="J35" s="101">
        <f t="shared" si="63"/>
        <v>22</v>
      </c>
      <c r="K35" s="101">
        <f t="shared" si="63"/>
        <v>23</v>
      </c>
      <c r="L35" s="101">
        <f t="shared" si="63"/>
        <v>24</v>
      </c>
      <c r="M35" s="105"/>
      <c r="O35" s="113"/>
      <c r="P35" s="101">
        <f t="shared" si="59"/>
        <v>16</v>
      </c>
      <c r="Q35" s="101">
        <f t="shared" ref="Q35:V35" si="64">IFERROR(IF(P35+1&lt;=30,P35+1,""),"")</f>
        <v>17</v>
      </c>
      <c r="R35" s="101">
        <f t="shared" si="64"/>
        <v>18</v>
      </c>
      <c r="S35" s="101">
        <f t="shared" si="64"/>
        <v>19</v>
      </c>
      <c r="T35" s="101">
        <f t="shared" si="64"/>
        <v>20</v>
      </c>
      <c r="U35" s="101">
        <f t="shared" si="64"/>
        <v>21</v>
      </c>
      <c r="V35" s="101">
        <f t="shared" si="64"/>
        <v>22</v>
      </c>
      <c r="W35" s="105"/>
      <c r="Y35" s="113"/>
      <c r="Z35" s="101">
        <f t="shared" si="61"/>
        <v>21</v>
      </c>
      <c r="AA35" s="101">
        <f t="shared" ref="AA35:AF35" si="65">IFERROR(IF(Z35+1&lt;=29,Z35+1,""),"")</f>
        <v>22</v>
      </c>
      <c r="AB35" s="101">
        <f t="shared" si="65"/>
        <v>23</v>
      </c>
      <c r="AC35" s="101">
        <f t="shared" si="65"/>
        <v>24</v>
      </c>
      <c r="AD35" s="101">
        <f t="shared" si="65"/>
        <v>25</v>
      </c>
      <c r="AE35" s="101">
        <f t="shared" si="65"/>
        <v>26</v>
      </c>
      <c r="AF35" s="101">
        <f t="shared" si="65"/>
        <v>27</v>
      </c>
      <c r="AG35" s="105"/>
    </row>
    <row r="36" spans="4:33" ht="21">
      <c r="D36" s="310"/>
      <c r="E36" s="113"/>
      <c r="F36" s="101">
        <f t="shared" si="57"/>
        <v>25</v>
      </c>
      <c r="G36" s="101">
        <f t="shared" ref="G36:L36" si="66">IFERROR(IF(F36+1&lt;=30,F36+1,""),"")</f>
        <v>26</v>
      </c>
      <c r="H36" s="101">
        <f t="shared" si="66"/>
        <v>27</v>
      </c>
      <c r="I36" s="101">
        <f t="shared" si="66"/>
        <v>28</v>
      </c>
      <c r="J36" s="101">
        <f t="shared" si="66"/>
        <v>29</v>
      </c>
      <c r="K36" s="101">
        <f t="shared" si="66"/>
        <v>30</v>
      </c>
      <c r="L36" s="101" t="str">
        <f t="shared" si="66"/>
        <v/>
      </c>
      <c r="M36" s="105"/>
      <c r="O36" s="113"/>
      <c r="P36" s="101">
        <f t="shared" si="59"/>
        <v>23</v>
      </c>
      <c r="Q36" s="101">
        <f t="shared" ref="Q36:V36" si="67">IFERROR(IF(P36+1&lt;=30,P36+1,""),"")</f>
        <v>24</v>
      </c>
      <c r="R36" s="101">
        <f t="shared" si="67"/>
        <v>25</v>
      </c>
      <c r="S36" s="101">
        <f t="shared" si="67"/>
        <v>26</v>
      </c>
      <c r="T36" s="101">
        <f t="shared" si="67"/>
        <v>27</v>
      </c>
      <c r="U36" s="101">
        <f t="shared" si="67"/>
        <v>28</v>
      </c>
      <c r="V36" s="101">
        <f t="shared" si="67"/>
        <v>29</v>
      </c>
      <c r="W36" s="105"/>
      <c r="Y36" s="113"/>
      <c r="Z36" s="101">
        <f t="shared" si="61"/>
        <v>28</v>
      </c>
      <c r="AA36" s="101">
        <f t="shared" ref="AA36:AF36" si="68">IFERROR(IF(Z36+1&lt;=29,Z36+1,""),"")</f>
        <v>29</v>
      </c>
      <c r="AB36" s="101" t="str">
        <f t="shared" si="68"/>
        <v/>
      </c>
      <c r="AC36" s="101" t="str">
        <f t="shared" si="68"/>
        <v/>
      </c>
      <c r="AD36" s="101" t="str">
        <f t="shared" si="68"/>
        <v/>
      </c>
      <c r="AE36" s="101" t="str">
        <f t="shared" si="68"/>
        <v/>
      </c>
      <c r="AF36" s="101" t="str">
        <f t="shared" si="68"/>
        <v/>
      </c>
      <c r="AG36" s="105"/>
    </row>
    <row r="37" spans="4:33" ht="21">
      <c r="D37" s="310"/>
      <c r="E37" s="114"/>
      <c r="F37" s="101" t="str">
        <f t="shared" si="57"/>
        <v/>
      </c>
      <c r="G37" s="101" t="str">
        <f t="shared" ref="G37:L37" si="69">IFERROR(IF(F37+1&lt;=30,F37+1,""),"")</f>
        <v/>
      </c>
      <c r="H37" s="101" t="str">
        <f t="shared" si="69"/>
        <v/>
      </c>
      <c r="I37" s="101" t="str">
        <f t="shared" si="69"/>
        <v/>
      </c>
      <c r="J37" s="101" t="str">
        <f t="shared" si="69"/>
        <v/>
      </c>
      <c r="K37" s="101" t="str">
        <f t="shared" si="69"/>
        <v/>
      </c>
      <c r="L37" s="101" t="str">
        <f t="shared" si="69"/>
        <v/>
      </c>
      <c r="O37" s="114"/>
      <c r="P37" s="101">
        <f t="shared" si="59"/>
        <v>30</v>
      </c>
      <c r="Q37" s="101" t="str">
        <f t="shared" ref="Q37:V37" si="70">IFERROR(IF(P37+1&lt;=30,P37+1,""),"")</f>
        <v/>
      </c>
      <c r="R37" s="101" t="str">
        <f t="shared" si="70"/>
        <v/>
      </c>
      <c r="S37" s="101" t="str">
        <f t="shared" si="70"/>
        <v/>
      </c>
      <c r="T37" s="101" t="str">
        <f t="shared" si="70"/>
        <v/>
      </c>
      <c r="U37" s="101" t="str">
        <f t="shared" si="70"/>
        <v/>
      </c>
      <c r="V37" s="101" t="str">
        <f t="shared" si="70"/>
        <v/>
      </c>
      <c r="Y37" s="114"/>
      <c r="Z37" s="101" t="str">
        <f>IFERROR(IF(AF36+1&lt;=29,AF36+1,""),"")</f>
        <v/>
      </c>
      <c r="AA37" s="101" t="str">
        <f t="shared" ref="AA37:AF37" si="71">IFERROR(IF(Z37+1&lt;=29,Z37+1,""),"")</f>
        <v/>
      </c>
      <c r="AB37" s="101" t="str">
        <f t="shared" si="71"/>
        <v/>
      </c>
      <c r="AC37" s="101" t="str">
        <f t="shared" si="71"/>
        <v/>
      </c>
      <c r="AD37" s="101" t="str">
        <f t="shared" si="71"/>
        <v/>
      </c>
      <c r="AE37" s="101" t="str">
        <f t="shared" si="71"/>
        <v/>
      </c>
      <c r="AF37" s="101" t="str">
        <f t="shared" si="71"/>
        <v/>
      </c>
    </row>
  </sheetData>
  <mergeCells count="16">
    <mergeCell ref="F12:L12"/>
    <mergeCell ref="Z3:AF3"/>
    <mergeCell ref="P12:V12"/>
    <mergeCell ref="D12:D19"/>
    <mergeCell ref="Z12:AF12"/>
    <mergeCell ref="F3:L3"/>
    <mergeCell ref="D3:D10"/>
    <mergeCell ref="P3:V3"/>
    <mergeCell ref="Z21:AF21"/>
    <mergeCell ref="D30:D37"/>
    <mergeCell ref="F30:L30"/>
    <mergeCell ref="P30:V30"/>
    <mergeCell ref="Z30:AF30"/>
    <mergeCell ref="D21:D28"/>
    <mergeCell ref="F21:L21"/>
    <mergeCell ref="P21:V21"/>
  </mergeCells>
  <conditionalFormatting sqref="F5:L10">
    <cfRule type="expression" dxfId="64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</sheetViews>
  <sheetFormatPr defaultRowHeight="15"/>
  <cols>
    <col min="7" max="7" width="11.28515625" bestFit="1" customWidth="1"/>
  </cols>
  <sheetData>
    <row r="13" spans="2:2">
      <c r="B13" t="s">
        <v>61</v>
      </c>
    </row>
    <row r="14" spans="2:2">
      <c r="B14" t="s">
        <v>60</v>
      </c>
    </row>
    <row r="15" spans="2:2">
      <c r="B15" t="s">
        <v>62</v>
      </c>
    </row>
    <row r="20" spans="2:10">
      <c r="B20" t="s">
        <v>63</v>
      </c>
    </row>
    <row r="21" spans="2:10">
      <c r="B21" t="s">
        <v>64</v>
      </c>
    </row>
    <row r="22" spans="2:10">
      <c r="B22" t="s">
        <v>65</v>
      </c>
    </row>
    <row r="24" spans="2:10">
      <c r="B24" t="s">
        <v>66</v>
      </c>
    </row>
    <row r="25" spans="2:10">
      <c r="B25" t="s">
        <v>67</v>
      </c>
    </row>
    <row r="28" spans="2:10">
      <c r="B28" t="s">
        <v>68</v>
      </c>
      <c r="J28" t="s">
        <v>82</v>
      </c>
    </row>
    <row r="29" spans="2:10">
      <c r="J29" t="s">
        <v>83</v>
      </c>
    </row>
    <row r="31" spans="2:10">
      <c r="B31" t="s">
        <v>69</v>
      </c>
    </row>
    <row r="32" spans="2:10">
      <c r="B32" t="s">
        <v>70</v>
      </c>
    </row>
    <row r="33" spans="2:7">
      <c r="B33" t="s">
        <v>71</v>
      </c>
    </row>
    <row r="34" spans="2:7">
      <c r="B34" t="s">
        <v>72</v>
      </c>
    </row>
    <row r="35" spans="2:7">
      <c r="B35" t="s">
        <v>73</v>
      </c>
    </row>
    <row r="36" spans="2:7">
      <c r="G36" t="s">
        <v>79</v>
      </c>
    </row>
    <row r="37" spans="2:7">
      <c r="B37" t="s">
        <v>74</v>
      </c>
      <c r="G37" t="s">
        <v>80</v>
      </c>
    </row>
    <row r="38" spans="2:7">
      <c r="B38" t="s">
        <v>75</v>
      </c>
      <c r="G38" s="1">
        <v>323423423</v>
      </c>
    </row>
    <row r="39" spans="2:7">
      <c r="B39" t="s">
        <v>76</v>
      </c>
    </row>
    <row r="40" spans="2:7">
      <c r="B40" t="s">
        <v>77</v>
      </c>
      <c r="G40" t="s">
        <v>81</v>
      </c>
    </row>
    <row r="41" spans="2:7">
      <c r="B41" t="s">
        <v>78</v>
      </c>
    </row>
    <row r="42" spans="2:7">
      <c r="B42" t="s">
        <v>72</v>
      </c>
    </row>
    <row r="43" spans="2:7">
      <c r="B43" t="s">
        <v>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K87"/>
  <sheetViews>
    <sheetView rightToLeft="1" tabSelected="1" zoomScaleNormal="100" workbookViewId="0">
      <selection activeCell="F10" sqref="F10"/>
    </sheetView>
  </sheetViews>
  <sheetFormatPr defaultRowHeight="15"/>
  <cols>
    <col min="1" max="1" width="29.7109375" style="187" customWidth="1"/>
    <col min="2" max="2" width="0.7109375" style="267" customWidth="1"/>
    <col min="3" max="3" width="4.5703125" style="266" customWidth="1"/>
    <col min="4" max="4" width="29.7109375" style="200" customWidth="1"/>
    <col min="5" max="5" width="36.5703125" style="200" customWidth="1"/>
    <col min="6" max="6" width="9.140625" style="200" customWidth="1"/>
    <col min="7" max="7" width="18.28515625" style="200" customWidth="1"/>
    <col min="8" max="8" width="23.5703125" style="200" customWidth="1"/>
    <col min="9" max="9" width="36.5703125" style="200" customWidth="1"/>
    <col min="10" max="11" width="18.28515625" style="200" customWidth="1"/>
    <col min="12" max="12" width="29.85546875" style="266" customWidth="1"/>
    <col min="13" max="13" width="36.7109375" style="266" customWidth="1"/>
    <col min="14" max="14" width="18.42578125" style="266" customWidth="1"/>
    <col min="15" max="15" width="23.5703125" style="266" customWidth="1"/>
    <col min="16" max="16" width="36.7109375" style="266" customWidth="1"/>
    <col min="17" max="17" width="18.42578125" style="266" customWidth="1"/>
    <col min="18" max="16384" width="9.140625" style="266"/>
  </cols>
  <sheetData>
    <row r="1" spans="1:11" ht="15.75">
      <c r="A1" s="265" t="s">
        <v>1061</v>
      </c>
      <c r="B1" s="187"/>
      <c r="D1" s="201" t="s">
        <v>999</v>
      </c>
      <c r="E1" s="271" t="s">
        <v>1062</v>
      </c>
      <c r="F1" s="271"/>
      <c r="G1" s="270"/>
      <c r="H1" s="272"/>
      <c r="I1" s="272"/>
      <c r="J1" s="272"/>
      <c r="K1" s="272"/>
    </row>
    <row r="2" spans="1:11" ht="30">
      <c r="B2" s="187"/>
      <c r="D2" s="202" t="s">
        <v>983</v>
      </c>
      <c r="E2" s="202" t="s">
        <v>17</v>
      </c>
      <c r="F2" s="202" t="s">
        <v>1093</v>
      </c>
      <c r="G2" s="203" t="s">
        <v>2</v>
      </c>
      <c r="H2" s="202" t="s">
        <v>1009</v>
      </c>
      <c r="I2" s="202" t="s">
        <v>984</v>
      </c>
      <c r="J2" s="202" t="s">
        <v>1002</v>
      </c>
      <c r="K2" s="202" t="s">
        <v>997</v>
      </c>
    </row>
    <row r="3" spans="1:11" ht="18.75">
      <c r="A3" s="9" t="s">
        <v>8</v>
      </c>
      <c r="B3" s="187"/>
      <c r="D3" s="204" t="s">
        <v>990</v>
      </c>
      <c r="E3" s="204" t="s">
        <v>1000</v>
      </c>
      <c r="F3" s="204" t="s">
        <v>1095</v>
      </c>
      <c r="G3" s="205">
        <v>50000000</v>
      </c>
      <c r="H3" s="204" t="s">
        <v>1056</v>
      </c>
      <c r="I3" s="204"/>
      <c r="J3" s="204" t="s">
        <v>1057</v>
      </c>
      <c r="K3" s="206" t="s">
        <v>1051</v>
      </c>
    </row>
    <row r="4" spans="1:11" ht="19.5" thickBot="1">
      <c r="A4" s="197" t="s">
        <v>115</v>
      </c>
      <c r="B4" s="187"/>
      <c r="D4" s="207" t="s">
        <v>990</v>
      </c>
      <c r="E4" s="207" t="s">
        <v>1021</v>
      </c>
      <c r="F4" s="207" t="s">
        <v>1098</v>
      </c>
      <c r="G4" s="208"/>
      <c r="H4" s="207" t="s">
        <v>1056</v>
      </c>
      <c r="I4" s="207"/>
      <c r="J4" s="207"/>
      <c r="K4" s="209"/>
    </row>
    <row r="5" spans="1:11" ht="18.75">
      <c r="A5" s="10" t="s">
        <v>102</v>
      </c>
      <c r="B5" s="187"/>
      <c r="D5" s="210" t="s">
        <v>985</v>
      </c>
      <c r="E5" s="210" t="s">
        <v>1019</v>
      </c>
      <c r="F5" s="210"/>
      <c r="G5" s="211"/>
      <c r="H5" s="212" t="s">
        <v>1011</v>
      </c>
      <c r="I5" s="210" t="s">
        <v>1020</v>
      </c>
      <c r="J5" s="213" t="s">
        <v>1059</v>
      </c>
      <c r="K5" s="214"/>
    </row>
    <row r="6" spans="1:11" ht="19.5" thickBot="1">
      <c r="A6" s="11" t="s">
        <v>103</v>
      </c>
      <c r="B6" s="187"/>
      <c r="D6" s="215" t="s">
        <v>985</v>
      </c>
      <c r="E6" s="216" t="s">
        <v>1018</v>
      </c>
      <c r="F6" s="216"/>
      <c r="G6" s="217"/>
      <c r="H6" s="216" t="s">
        <v>1011</v>
      </c>
      <c r="I6" s="216"/>
      <c r="J6" s="216"/>
      <c r="K6" s="216"/>
    </row>
    <row r="7" spans="1:11" ht="19.5" thickBot="1">
      <c r="A7" s="33" t="s">
        <v>104</v>
      </c>
      <c r="B7" s="187"/>
      <c r="D7" s="218" t="s">
        <v>991</v>
      </c>
      <c r="E7" s="219" t="s">
        <v>1012</v>
      </c>
      <c r="F7" s="215" t="s">
        <v>1097</v>
      </c>
      <c r="G7" s="208"/>
      <c r="H7" s="207" t="s">
        <v>1056</v>
      </c>
      <c r="I7" s="218"/>
      <c r="J7" s="220"/>
      <c r="K7" s="221"/>
    </row>
    <row r="8" spans="1:11" ht="19.5" thickBot="1">
      <c r="A8" s="198" t="s">
        <v>110</v>
      </c>
      <c r="B8" s="187"/>
      <c r="D8" s="219" t="s">
        <v>992</v>
      </c>
      <c r="E8" s="219" t="s">
        <v>1013</v>
      </c>
      <c r="F8" s="223" t="s">
        <v>1097</v>
      </c>
      <c r="G8" s="222"/>
      <c r="H8" s="223" t="s">
        <v>1056</v>
      </c>
      <c r="I8" s="219"/>
      <c r="J8" s="224"/>
      <c r="K8" s="224"/>
    </row>
    <row r="9" spans="1:11" ht="18.75">
      <c r="A9" s="13" t="s">
        <v>89</v>
      </c>
      <c r="B9" s="187"/>
      <c r="D9" s="225" t="s">
        <v>994</v>
      </c>
      <c r="E9" s="225" t="s">
        <v>1014</v>
      </c>
      <c r="F9" s="210"/>
      <c r="G9" s="226"/>
      <c r="H9" s="210" t="s">
        <v>1015</v>
      </c>
      <c r="I9" s="225"/>
      <c r="J9" s="213" t="s">
        <v>1058</v>
      </c>
      <c r="K9" s="227"/>
    </row>
    <row r="10" spans="1:11" ht="19.5" thickBot="1">
      <c r="A10" s="199" t="s">
        <v>7</v>
      </c>
      <c r="B10" s="187"/>
      <c r="D10" s="228" t="s">
        <v>994</v>
      </c>
      <c r="E10" s="228" t="s">
        <v>1033</v>
      </c>
      <c r="F10" s="331"/>
      <c r="G10" s="205"/>
      <c r="H10" s="215" t="s">
        <v>1056</v>
      </c>
      <c r="I10" s="228"/>
      <c r="J10" s="215"/>
      <c r="K10" s="229"/>
    </row>
    <row r="11" spans="1:11" ht="19.5" thickBot="1">
      <c r="A11" s="14" t="s">
        <v>105</v>
      </c>
      <c r="B11" s="187"/>
      <c r="D11" s="230" t="s">
        <v>993</v>
      </c>
      <c r="E11" s="230" t="s">
        <v>1035</v>
      </c>
      <c r="F11" s="332"/>
      <c r="G11" s="222"/>
      <c r="H11" s="223" t="s">
        <v>1056</v>
      </c>
      <c r="I11" s="230"/>
      <c r="J11" s="223"/>
      <c r="K11" s="231"/>
    </row>
    <row r="12" spans="1:11" ht="18.75">
      <c r="A12" s="15" t="s">
        <v>98</v>
      </c>
      <c r="B12" s="187"/>
      <c r="D12" s="225" t="s">
        <v>995</v>
      </c>
      <c r="E12" s="225" t="s">
        <v>1022</v>
      </c>
      <c r="F12" s="210"/>
      <c r="G12" s="226"/>
      <c r="H12" s="232" t="s">
        <v>1056</v>
      </c>
      <c r="I12" s="225"/>
      <c r="J12" s="213"/>
      <c r="K12" s="227"/>
    </row>
    <row r="13" spans="1:11" ht="15.75" thickBot="1">
      <c r="B13" s="187"/>
      <c r="D13" s="228" t="s">
        <v>995</v>
      </c>
      <c r="E13" s="228" t="s">
        <v>1016</v>
      </c>
      <c r="F13" s="233"/>
      <c r="G13" s="217"/>
      <c r="H13" s="233" t="s">
        <v>1017</v>
      </c>
      <c r="I13" s="228"/>
      <c r="J13" s="215" t="s">
        <v>1006</v>
      </c>
      <c r="K13" s="229"/>
    </row>
    <row r="14" spans="1:11" ht="30">
      <c r="A14" s="136" t="s">
        <v>1008</v>
      </c>
      <c r="D14" s="225" t="s">
        <v>1026</v>
      </c>
      <c r="E14" s="225" t="s">
        <v>1024</v>
      </c>
      <c r="F14" s="210"/>
      <c r="G14" s="211"/>
      <c r="H14" s="232" t="s">
        <v>1056</v>
      </c>
      <c r="I14" s="225"/>
      <c r="J14" s="213"/>
      <c r="K14" s="227"/>
    </row>
    <row r="15" spans="1:11" ht="15.75" thickBot="1">
      <c r="A15" s="136" t="s">
        <v>990</v>
      </c>
      <c r="D15" s="228" t="s">
        <v>1026</v>
      </c>
      <c r="E15" s="228" t="s">
        <v>1023</v>
      </c>
      <c r="F15" s="233"/>
      <c r="G15" s="217"/>
      <c r="H15" s="234" t="s">
        <v>1056</v>
      </c>
      <c r="I15" s="228"/>
      <c r="J15" s="215"/>
      <c r="K15" s="229"/>
    </row>
    <row r="16" spans="1:11" ht="30.75" thickBot="1">
      <c r="A16" s="136" t="s">
        <v>985</v>
      </c>
      <c r="D16" s="230" t="s">
        <v>1028</v>
      </c>
      <c r="E16" s="230" t="s">
        <v>1025</v>
      </c>
      <c r="F16" s="332"/>
      <c r="G16" s="235"/>
      <c r="H16" s="236" t="s">
        <v>1056</v>
      </c>
      <c r="I16" s="230" t="s">
        <v>1030</v>
      </c>
      <c r="J16" s="215" t="s">
        <v>123</v>
      </c>
      <c r="K16" s="231"/>
    </row>
    <row r="17" spans="1:11" ht="15.75" thickBot="1">
      <c r="A17" s="136" t="s">
        <v>991</v>
      </c>
      <c r="D17" s="230" t="s">
        <v>1001</v>
      </c>
      <c r="E17" s="230" t="s">
        <v>1031</v>
      </c>
      <c r="F17" s="332"/>
      <c r="G17" s="235"/>
      <c r="H17" s="237" t="s">
        <v>1056</v>
      </c>
      <c r="I17" s="230"/>
      <c r="J17" s="215"/>
      <c r="K17" s="231"/>
    </row>
    <row r="18" spans="1:11" ht="15.75" thickBot="1">
      <c r="A18" s="136" t="s">
        <v>992</v>
      </c>
      <c r="D18" s="238"/>
      <c r="E18" s="238"/>
      <c r="F18" s="238"/>
      <c r="G18" s="239"/>
      <c r="H18" s="238"/>
      <c r="I18" s="238"/>
      <c r="J18" s="238"/>
      <c r="K18" s="238"/>
    </row>
    <row r="19" spans="1:11" ht="16.5" thickTop="1" thickBot="1">
      <c r="A19" s="136" t="s">
        <v>994</v>
      </c>
      <c r="D19" s="240" t="s">
        <v>986</v>
      </c>
      <c r="E19" s="240" t="s">
        <v>1032</v>
      </c>
      <c r="F19" s="240"/>
      <c r="G19" s="241">
        <v>-45000000</v>
      </c>
      <c r="H19" s="240" t="s">
        <v>1037</v>
      </c>
      <c r="I19" s="240"/>
      <c r="J19" s="240" t="s">
        <v>1004</v>
      </c>
      <c r="K19" s="242"/>
    </row>
    <row r="20" spans="1:11" ht="15.75" thickBot="1">
      <c r="A20" s="136" t="s">
        <v>993</v>
      </c>
      <c r="D20" s="243" t="s">
        <v>988</v>
      </c>
      <c r="E20" s="243" t="s">
        <v>1036</v>
      </c>
      <c r="F20" s="243"/>
      <c r="G20" s="244"/>
      <c r="H20" s="245" t="s">
        <v>1038</v>
      </c>
      <c r="I20" s="215"/>
      <c r="J20" s="215"/>
      <c r="K20" s="221"/>
    </row>
    <row r="21" spans="1:11" ht="30.75" thickBot="1">
      <c r="A21" s="136" t="s">
        <v>995</v>
      </c>
      <c r="D21" s="219" t="s">
        <v>1027</v>
      </c>
      <c r="E21" s="219" t="s">
        <v>1039</v>
      </c>
      <c r="F21" s="223"/>
      <c r="G21" s="246"/>
      <c r="H21" s="219" t="s">
        <v>1038</v>
      </c>
      <c r="I21" s="219"/>
      <c r="J21" s="219" t="s">
        <v>123</v>
      </c>
      <c r="K21" s="247"/>
    </row>
    <row r="22" spans="1:11" ht="45.75" thickBot="1">
      <c r="A22" s="136" t="s">
        <v>1026</v>
      </c>
      <c r="D22" s="243" t="s">
        <v>1029</v>
      </c>
      <c r="E22" s="243" t="s">
        <v>1040</v>
      </c>
      <c r="F22" s="215"/>
      <c r="G22" s="217"/>
      <c r="H22" s="219" t="s">
        <v>1038</v>
      </c>
      <c r="I22" s="215" t="s">
        <v>1041</v>
      </c>
      <c r="J22" s="215"/>
      <c r="K22" s="215"/>
    </row>
    <row r="23" spans="1:11">
      <c r="A23" s="136" t="s">
        <v>1028</v>
      </c>
      <c r="D23" s="248" t="s">
        <v>989</v>
      </c>
      <c r="E23" s="248" t="s">
        <v>1043</v>
      </c>
      <c r="F23" s="213"/>
      <c r="G23" s="211"/>
      <c r="H23" s="218" t="s">
        <v>1044</v>
      </c>
      <c r="I23" s="213"/>
      <c r="J23" s="213" t="s">
        <v>1005</v>
      </c>
      <c r="K23" s="213"/>
    </row>
    <row r="24" spans="1:11" ht="30.75" thickBot="1">
      <c r="A24" s="268" t="s">
        <v>1001</v>
      </c>
      <c r="D24" s="243" t="s">
        <v>989</v>
      </c>
      <c r="E24" s="220" t="s">
        <v>1042</v>
      </c>
      <c r="F24" s="333"/>
      <c r="G24" s="249"/>
      <c r="H24" s="250" t="s">
        <v>1044</v>
      </c>
      <c r="I24" s="243"/>
      <c r="J24" s="243"/>
      <c r="K24" s="221"/>
    </row>
    <row r="25" spans="1:11" ht="16.5" thickTop="1" thickBot="1">
      <c r="A25" s="136" t="s">
        <v>986</v>
      </c>
      <c r="D25" s="219" t="s">
        <v>996</v>
      </c>
      <c r="E25" s="219" t="s">
        <v>1043</v>
      </c>
      <c r="F25" s="219"/>
      <c r="G25" s="251"/>
      <c r="H25" s="219" t="s">
        <v>1044</v>
      </c>
      <c r="I25" s="219"/>
      <c r="J25" s="219"/>
      <c r="K25" s="219"/>
    </row>
    <row r="26" spans="1:11" ht="15.75" thickBot="1">
      <c r="A26" s="136" t="s">
        <v>988</v>
      </c>
      <c r="D26" s="252" t="s">
        <v>1010</v>
      </c>
      <c r="E26" s="253" t="s">
        <v>1045</v>
      </c>
      <c r="F26" s="253"/>
      <c r="G26" s="254"/>
      <c r="H26" s="253" t="s">
        <v>1046</v>
      </c>
      <c r="I26" s="253"/>
      <c r="J26" s="253"/>
      <c r="K26" s="255"/>
    </row>
    <row r="27" spans="1:11" ht="16.5" thickTop="1" thickBot="1">
      <c r="A27" s="136" t="s">
        <v>1027</v>
      </c>
      <c r="D27" s="256" t="s">
        <v>987</v>
      </c>
      <c r="E27" s="256" t="s">
        <v>1048</v>
      </c>
      <c r="F27" s="256"/>
      <c r="G27" s="257"/>
      <c r="H27" s="256" t="s">
        <v>1050</v>
      </c>
      <c r="I27" s="256" t="s">
        <v>1049</v>
      </c>
      <c r="J27" s="256"/>
      <c r="K27" s="258"/>
    </row>
    <row r="28" spans="1:11" ht="15.75" thickBot="1">
      <c r="A28" s="136" t="s">
        <v>1029</v>
      </c>
      <c r="D28" s="215" t="s">
        <v>987</v>
      </c>
      <c r="E28" s="215" t="s">
        <v>1052</v>
      </c>
      <c r="F28" s="215"/>
      <c r="G28" s="217"/>
      <c r="H28" s="215" t="s">
        <v>1050</v>
      </c>
      <c r="I28" s="215" t="s">
        <v>1053</v>
      </c>
      <c r="J28" s="215"/>
      <c r="K28" s="259"/>
    </row>
    <row r="29" spans="1:11" ht="15.75" thickBot="1">
      <c r="A29" s="136" t="s">
        <v>989</v>
      </c>
      <c r="D29" s="260" t="s">
        <v>987</v>
      </c>
      <c r="E29" s="260" t="s">
        <v>1054</v>
      </c>
      <c r="F29" s="260"/>
      <c r="G29" s="261"/>
      <c r="H29" s="260" t="s">
        <v>1055</v>
      </c>
      <c r="I29" s="260"/>
      <c r="J29" s="260" t="s">
        <v>1007</v>
      </c>
      <c r="K29" s="260"/>
    </row>
    <row r="30" spans="1:11" ht="16.5" thickTop="1" thickBot="1">
      <c r="A30" s="136" t="s">
        <v>996</v>
      </c>
      <c r="D30" s="253" t="s">
        <v>987</v>
      </c>
      <c r="E30" s="253" t="s">
        <v>1034</v>
      </c>
      <c r="F30" s="253"/>
      <c r="G30" s="254">
        <v>-5000000</v>
      </c>
      <c r="H30" s="253"/>
      <c r="I30" s="253" t="s">
        <v>1047</v>
      </c>
      <c r="J30" s="253"/>
      <c r="K30" s="253"/>
    </row>
    <row r="31" spans="1:11" ht="15.75" thickTop="1">
      <c r="A31" s="141" t="s">
        <v>1010</v>
      </c>
      <c r="D31" s="263"/>
      <c r="E31" s="262" t="s">
        <v>998</v>
      </c>
      <c r="F31" s="262"/>
      <c r="G31" s="264">
        <f>SUBTOTAL(109,BudgetTable[مبلغ (ریال)])</f>
        <v>0</v>
      </c>
      <c r="H31" s="262"/>
      <c r="I31" s="262"/>
      <c r="J31" s="262"/>
      <c r="K31" s="263"/>
    </row>
    <row r="32" spans="1:11">
      <c r="A32" s="136" t="s">
        <v>987</v>
      </c>
    </row>
    <row r="34" spans="1:1">
      <c r="A34" s="136" t="s">
        <v>1003</v>
      </c>
    </row>
    <row r="35" spans="1:1">
      <c r="A35" s="136" t="s">
        <v>123</v>
      </c>
    </row>
    <row r="36" spans="1:1">
      <c r="A36" s="269" t="s">
        <v>1059</v>
      </c>
    </row>
    <row r="37" spans="1:1">
      <c r="A37" s="136" t="s">
        <v>1057</v>
      </c>
    </row>
    <row r="38" spans="1:1">
      <c r="A38" s="136" t="s">
        <v>1004</v>
      </c>
    </row>
    <row r="39" spans="1:1">
      <c r="A39" s="136" t="s">
        <v>1005</v>
      </c>
    </row>
    <row r="40" spans="1:1">
      <c r="A40" s="136" t="s">
        <v>1058</v>
      </c>
    </row>
    <row r="41" spans="1:1">
      <c r="A41" s="136" t="s">
        <v>1006</v>
      </c>
    </row>
    <row r="42" spans="1:1">
      <c r="A42" s="136" t="s">
        <v>1007</v>
      </c>
    </row>
    <row r="44" spans="1:1">
      <c r="A44" s="67" t="s">
        <v>1094</v>
      </c>
    </row>
    <row r="45" spans="1:1">
      <c r="A45" s="67" t="s">
        <v>1095</v>
      </c>
    </row>
    <row r="46" spans="1:1">
      <c r="A46" s="67" t="s">
        <v>1096</v>
      </c>
    </row>
    <row r="47" spans="1:1">
      <c r="A47" s="67" t="s">
        <v>1097</v>
      </c>
    </row>
    <row r="48" spans="1:1">
      <c r="A48" s="67" t="s">
        <v>1098</v>
      </c>
    </row>
    <row r="49" spans="1:1">
      <c r="A49" s="67" t="s">
        <v>1099</v>
      </c>
    </row>
    <row r="87" spans="1:1">
      <c r="A87" s="187" t="s">
        <v>123</v>
      </c>
    </row>
  </sheetData>
  <conditionalFormatting sqref="D3:K30">
    <cfRule type="expression" dxfId="9" priority="16">
      <formula xml:space="preserve"> "-" = $J3</formula>
    </cfRule>
    <cfRule type="expression" dxfId="10" priority="3">
      <formula xml:space="preserve"> "خریداری شد" = $J3</formula>
    </cfRule>
    <cfRule type="expression" dxfId="11" priority="2">
      <formula xml:space="preserve"> "صادر شد" = $J3</formula>
    </cfRule>
    <cfRule type="expression" dxfId="12" priority="1">
      <formula xml:space="preserve"> "پرداخت شد" = $J3</formula>
    </cfRule>
    <cfRule type="expression" dxfId="13" priority="14">
      <formula xml:space="preserve"> "به فروش رسید" = $J3</formula>
    </cfRule>
    <cfRule type="expression" dxfId="14" priority="5">
      <formula xml:space="preserve"> "باطل شد" = $J3</formula>
    </cfRule>
    <cfRule type="expression" dxfId="15" priority="15">
      <formula xml:space="preserve"> "----------" = $J3</formula>
    </cfRule>
    <cfRule type="expression" dxfId="16" priority="4">
      <formula xml:space="preserve"> "دریافت شد" = $J3</formula>
    </cfRule>
    <cfRule type="expression" dxfId="17" priority="17">
      <formula xml:space="preserve"> "S" = $F3</formula>
    </cfRule>
    <cfRule type="expression" dxfId="18" priority="18">
      <formula xml:space="preserve"> "A" = $F3</formula>
    </cfRule>
    <cfRule type="expression" dxfId="19" priority="19">
      <formula xml:space="preserve"> "B" = $F3</formula>
    </cfRule>
    <cfRule type="expression" dxfId="20" priority="20">
      <formula xml:space="preserve"> "C" = $F3</formula>
    </cfRule>
    <cfRule type="expression" dxfId="8" priority="21">
      <formula xml:space="preserve"> "D" = $F3</formula>
    </cfRule>
  </conditionalFormatting>
  <dataValidations count="3">
    <dataValidation type="list" allowBlank="1" showInputMessage="1" showErrorMessage="1" sqref="J3:J30" xr:uid="{2401327C-5D6C-49CD-90E8-C2C36E90CFE1}">
      <formula1>$A$35:$A$42</formula1>
    </dataValidation>
    <dataValidation type="list" allowBlank="1" showInputMessage="1" showErrorMessage="1" sqref="D3:D30" xr:uid="{98D912E9-A278-4054-AD6F-DCB48BD2E3FE}">
      <formula1>$A$15:$A$32</formula1>
    </dataValidation>
    <dataValidation type="list" allowBlank="1" showInputMessage="1" showErrorMessage="1" sqref="F3:F30" xr:uid="{EAF26F24-1C37-4DD8-8D8B-F6998C6B17A0}">
      <formula1>$A$45:$A$49</formula1>
    </dataValidation>
  </dataValidations>
  <hyperlinks>
    <hyperlink ref="A3" location="فهرست!A1" display="فهرست" xr:uid="{187EA6C5-AE66-4BC1-BDF0-2D2A25BD447F}"/>
    <hyperlink ref="A5" location="'مدیریت وام و اقساط'!A1" display="وام و اقساط" xr:uid="{27E7669D-935D-413A-ACFA-8DD3351D1F29}"/>
    <hyperlink ref="A6" location="'مدیریت چک‌ها'!A1" display="چک‌ها" xr:uid="{C24AD195-279F-4311-8E65-02A8E500B1B1}"/>
    <hyperlink ref="A7" location="'مدیریت بدهی‌ها-طلب‌ها'!A1" display="بدهی‌ها و طلب‌ها" xr:uid="{1D1B721C-0A17-496E-973A-83A1DFD9DF4B}"/>
    <hyperlink ref="A8" location="'برنامه ریزی پرداخت‌ها'!A1" display="برنامه ریزی" xr:uid="{0C796A91-9930-401B-89E8-7ED4DC992A93}"/>
    <hyperlink ref="A9" location="تقویم!A1" display="تقویم" xr:uid="{14C50D90-92FF-4E28-92B4-E34739F23AD8}"/>
    <hyperlink ref="A10" location="'تنظیمات حساب'!A1" display="تنظیمات حساب" xr:uid="{D30EB5A8-9D3D-4E76-87E8-A3FA39CC14E8}"/>
    <hyperlink ref="A11" location="'گزارش فعالیت‌های ماه جاری'!A1" display="ماه جاری" xr:uid="{3CDFCEE1-F9AE-4050-A87A-7DFF788D9EF2}"/>
    <hyperlink ref="A12" location="'جست و جو'!A1" display="جست و جو" xr:uid="{3B34CFF8-8E82-476C-9235-8B9CBCE78A8B}"/>
    <hyperlink ref="A4" location="تراکنش‌ها!A1" display="تراکنش‌ها" xr:uid="{37FE43BD-64AE-4072-BD06-7A9A3AEA5393}"/>
    <hyperlink ref="K3" r:id="rId1" xr:uid="{26089A42-4AC1-4FE7-8261-4D386B07371B}"/>
  </hyperlinks>
  <pageMargins left="0.7" right="0.7" top="0.75" bottom="0.75" header="0.3" footer="0.3"/>
  <pageSetup orientation="portrait" r:id="rId2"/>
  <tableParts count="4">
    <tablePart r:id="rId3"/>
    <tablePart r:id="rId4"/>
    <tablePart r:id="rId5"/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R2001"/>
  <sheetViews>
    <sheetView rightToLeft="1" zoomScaleNormal="100" workbookViewId="0"/>
  </sheetViews>
  <sheetFormatPr defaultRowHeight="15"/>
  <cols>
    <col min="1" max="1" width="29.7109375" style="187" customWidth="1"/>
    <col min="2" max="2" width="0.7109375" style="267" customWidth="1"/>
    <col min="3" max="3" width="4.5703125" style="266" customWidth="1"/>
    <col min="4" max="4" width="6.85546875" style="290" customWidth="1"/>
    <col min="5" max="5" width="18.28515625" style="291" customWidth="1"/>
    <col min="6" max="6" width="36.5703125" style="291" customWidth="1"/>
    <col min="7" max="7" width="18.28515625" style="292" customWidth="1"/>
    <col min="8" max="9" width="18.28515625" style="291" customWidth="1"/>
    <col min="10" max="10" width="18.28515625" style="273" customWidth="1"/>
    <col min="11" max="11" width="9.140625" style="293" customWidth="1"/>
    <col min="12" max="12" width="18.28515625" style="292" customWidth="1"/>
    <col min="13" max="13" width="19.140625" style="291" customWidth="1"/>
    <col min="14" max="14" width="18.28515625" style="291" customWidth="1"/>
    <col min="15" max="15" width="36.5703125" style="291" customWidth="1"/>
    <col min="16" max="16" width="4.5703125" style="274" customWidth="1"/>
    <col min="17" max="18" width="18.28515625" style="274" customWidth="1"/>
    <col min="19" max="25" width="18.28515625" style="275" customWidth="1"/>
    <col min="26" max="16384" width="9.140625" style="275"/>
  </cols>
  <sheetData>
    <row r="1" spans="1:18" ht="30">
      <c r="A1" s="265" t="s">
        <v>1060</v>
      </c>
      <c r="B1" s="187"/>
      <c r="D1" s="276" t="s">
        <v>1</v>
      </c>
      <c r="E1" s="277" t="s">
        <v>0</v>
      </c>
      <c r="F1" s="277" t="s">
        <v>1066</v>
      </c>
      <c r="G1" s="278" t="s">
        <v>2</v>
      </c>
      <c r="H1" s="277" t="s">
        <v>5</v>
      </c>
      <c r="I1" s="277" t="s">
        <v>1067</v>
      </c>
      <c r="J1" s="279" t="s">
        <v>1064</v>
      </c>
      <c r="K1" s="280" t="s">
        <v>1065</v>
      </c>
      <c r="L1" s="278" t="s">
        <v>1068</v>
      </c>
      <c r="M1" s="277" t="s">
        <v>1080</v>
      </c>
      <c r="N1" s="277" t="s">
        <v>1081</v>
      </c>
      <c r="O1" s="277" t="s">
        <v>40</v>
      </c>
      <c r="Q1" s="274">
        <f>SUM(Q2:Q2001)</f>
        <v>0</v>
      </c>
      <c r="R1" s="274">
        <f>SUM(R2:R2001)</f>
        <v>-200000</v>
      </c>
    </row>
    <row r="2" spans="1:18">
      <c r="B2" s="187"/>
      <c r="D2" s="281">
        <v>1</v>
      </c>
      <c r="E2" s="282" t="s">
        <v>1083</v>
      </c>
      <c r="F2" s="282" t="s">
        <v>1087</v>
      </c>
      <c r="G2" s="283">
        <v>6000000</v>
      </c>
      <c r="H2" s="282" t="s">
        <v>1089</v>
      </c>
      <c r="I2" s="282"/>
      <c r="J2" s="284" t="s">
        <v>1073</v>
      </c>
      <c r="K2" s="285">
        <v>0</v>
      </c>
      <c r="L2" s="295">
        <f>CommonBillTable[[#This Row],[مبلغ (ریال)]]*CommonBillTable[[#This Row],[درصد مشارکت]]</f>
        <v>0</v>
      </c>
      <c r="M2" s="282" t="s">
        <v>1059</v>
      </c>
      <c r="N2" s="282"/>
      <c r="O2" s="282"/>
      <c r="Q2" s="274">
        <f t="shared" ref="Q2:Q65" si="0">IF($J4=$A$21,IF($M4=$A$16,$L4,0),0)</f>
        <v>0</v>
      </c>
      <c r="R2" s="274">
        <f t="shared" ref="R2:R65" si="1">IF($J4=$A$22,IF($M4=$A$16,$L4,0),0)</f>
        <v>0</v>
      </c>
    </row>
    <row r="3" spans="1:18" ht="18.75">
      <c r="A3" s="9" t="s">
        <v>8</v>
      </c>
      <c r="B3" s="187"/>
      <c r="D3" s="281">
        <v>2</v>
      </c>
      <c r="E3" s="282" t="s">
        <v>1083</v>
      </c>
      <c r="F3" s="282" t="s">
        <v>1088</v>
      </c>
      <c r="G3" s="283">
        <v>6000000</v>
      </c>
      <c r="H3" s="282" t="s">
        <v>1089</v>
      </c>
      <c r="I3" s="282"/>
      <c r="J3" s="284" t="s">
        <v>1074</v>
      </c>
      <c r="K3" s="285">
        <v>0</v>
      </c>
      <c r="L3" s="295">
        <f>CommonBillTable[[#This Row],[مبلغ (ریال)]]*CommonBillTable[[#This Row],[درصد مشارکت]]</f>
        <v>0</v>
      </c>
      <c r="M3" s="282" t="s">
        <v>1059</v>
      </c>
      <c r="N3" s="282"/>
      <c r="O3" s="282"/>
      <c r="Q3" s="274">
        <f t="shared" si="0"/>
        <v>0</v>
      </c>
      <c r="R3" s="274">
        <f t="shared" si="1"/>
        <v>-200000</v>
      </c>
    </row>
    <row r="4" spans="1:18" ht="18.75">
      <c r="A4" s="197" t="s">
        <v>115</v>
      </c>
      <c r="B4" s="187"/>
      <c r="D4" s="281">
        <v>3</v>
      </c>
      <c r="E4" s="282" t="s">
        <v>1083</v>
      </c>
      <c r="F4" s="282" t="s">
        <v>1084</v>
      </c>
      <c r="G4" s="283">
        <v>-10000000</v>
      </c>
      <c r="H4" s="282" t="s">
        <v>1078</v>
      </c>
      <c r="I4" s="282"/>
      <c r="J4" s="284" t="s">
        <v>1073</v>
      </c>
      <c r="K4" s="285">
        <v>0.6</v>
      </c>
      <c r="L4" s="295">
        <f>CommonBillTable[[#This Row],[مبلغ (ریال)]]*CommonBillTable[[#This Row],[درصد مشارکت]]</f>
        <v>-6000000</v>
      </c>
      <c r="M4" s="282" t="s">
        <v>1082</v>
      </c>
      <c r="N4" s="282"/>
      <c r="O4" s="282"/>
      <c r="Q4" s="274">
        <f t="shared" si="0"/>
        <v>0</v>
      </c>
      <c r="R4" s="274">
        <f t="shared" si="1"/>
        <v>0</v>
      </c>
    </row>
    <row r="5" spans="1:18">
      <c r="A5" s="300"/>
      <c r="B5" s="187"/>
      <c r="D5" s="281">
        <v>4</v>
      </c>
      <c r="E5" s="282" t="s">
        <v>1083</v>
      </c>
      <c r="F5" s="282" t="s">
        <v>1085</v>
      </c>
      <c r="G5" s="283">
        <v>-1000000</v>
      </c>
      <c r="H5" s="282" t="s">
        <v>1077</v>
      </c>
      <c r="I5" s="282"/>
      <c r="J5" s="284" t="s">
        <v>1074</v>
      </c>
      <c r="K5" s="285">
        <v>0.2</v>
      </c>
      <c r="L5" s="295">
        <f>CommonBillTable[[#This Row],[مبلغ (ریال)]]*CommonBillTable[[#This Row],[درصد مشارکت]]</f>
        <v>-200000</v>
      </c>
      <c r="M5" s="282" t="s">
        <v>123</v>
      </c>
      <c r="N5" s="282"/>
      <c r="O5" s="282"/>
      <c r="Q5" s="274">
        <f t="shared" si="0"/>
        <v>0</v>
      </c>
      <c r="R5" s="274">
        <f t="shared" si="1"/>
        <v>0</v>
      </c>
    </row>
    <row r="6" spans="1:18" ht="15.75">
      <c r="A6" s="301" t="s">
        <v>1063</v>
      </c>
      <c r="B6" s="187"/>
      <c r="D6" s="281">
        <v>5</v>
      </c>
      <c r="E6" s="282" t="s">
        <v>1083</v>
      </c>
      <c r="F6" s="282" t="s">
        <v>1086</v>
      </c>
      <c r="G6" s="283">
        <v>-1000000</v>
      </c>
      <c r="H6" s="282" t="s">
        <v>1078</v>
      </c>
      <c r="I6" s="282"/>
      <c r="J6" s="284" t="s">
        <v>1073</v>
      </c>
      <c r="K6" s="285">
        <v>0.6</v>
      </c>
      <c r="L6" s="295">
        <f>CommonBillTable[[#This Row],[مبلغ (ریال)]]*CommonBillTable[[#This Row],[درصد مشارکت]]</f>
        <v>-600000</v>
      </c>
      <c r="M6" s="282" t="s">
        <v>1082</v>
      </c>
      <c r="N6" s="282"/>
      <c r="O6" s="282"/>
      <c r="Q6" s="274">
        <f t="shared" si="0"/>
        <v>0</v>
      </c>
      <c r="R6" s="274">
        <f t="shared" si="1"/>
        <v>0</v>
      </c>
    </row>
    <row r="7" spans="1:18" ht="16.5" thickBot="1">
      <c r="A7" s="302">
        <f>CommonBillTable[[#Totals],[مبلغ (ریال)]]</f>
        <v>0</v>
      </c>
      <c r="B7" s="187"/>
      <c r="D7" s="281" t="s">
        <v>145</v>
      </c>
      <c r="E7" s="286"/>
      <c r="F7" s="286"/>
      <c r="G7" s="283">
        <f>SUBTOTAL(109,CommonBillTable[مبلغ (ریال)])</f>
        <v>0</v>
      </c>
      <c r="H7" s="286"/>
      <c r="I7" s="286"/>
      <c r="J7" s="287"/>
      <c r="K7" s="288"/>
      <c r="L7" s="289"/>
      <c r="M7" s="286"/>
      <c r="N7" s="286"/>
      <c r="O7" s="286"/>
      <c r="Q7" s="274">
        <f t="shared" si="0"/>
        <v>0</v>
      </c>
      <c r="R7" s="274">
        <f t="shared" si="1"/>
        <v>0</v>
      </c>
    </row>
    <row r="8" spans="1:18" ht="16.5" thickTop="1">
      <c r="A8" s="303" t="s">
        <v>1069</v>
      </c>
      <c r="B8" s="187"/>
      <c r="Q8" s="274">
        <f t="shared" si="0"/>
        <v>0</v>
      </c>
      <c r="R8" s="274">
        <f t="shared" si="1"/>
        <v>0</v>
      </c>
    </row>
    <row r="9" spans="1:18" ht="16.5" thickBot="1">
      <c r="A9" s="304">
        <f>ABS($R$1)</f>
        <v>200000</v>
      </c>
      <c r="B9" s="187"/>
      <c r="Q9" s="274">
        <f t="shared" si="0"/>
        <v>0</v>
      </c>
      <c r="R9" s="274">
        <f t="shared" si="1"/>
        <v>0</v>
      </c>
    </row>
    <row r="10" spans="1:18" ht="16.5" thickTop="1">
      <c r="A10" s="303" t="s">
        <v>1070</v>
      </c>
      <c r="B10" s="187"/>
      <c r="Q10" s="274">
        <f t="shared" si="0"/>
        <v>0</v>
      </c>
      <c r="R10" s="274">
        <f t="shared" si="1"/>
        <v>0</v>
      </c>
    </row>
    <row r="11" spans="1:18" ht="15.75">
      <c r="A11" s="306">
        <f>ABS($Q$1)</f>
        <v>0</v>
      </c>
      <c r="B11" s="187"/>
      <c r="Q11" s="274">
        <f t="shared" si="0"/>
        <v>0</v>
      </c>
      <c r="R11" s="274">
        <f t="shared" si="1"/>
        <v>0</v>
      </c>
    </row>
    <row r="12" spans="1:18">
      <c r="B12" s="187"/>
      <c r="Q12" s="274">
        <f t="shared" si="0"/>
        <v>0</v>
      </c>
      <c r="R12" s="274">
        <f t="shared" si="1"/>
        <v>0</v>
      </c>
    </row>
    <row r="13" spans="1:18">
      <c r="B13" s="187"/>
      <c r="N13" s="294"/>
      <c r="Q13" s="274">
        <f t="shared" si="0"/>
        <v>0</v>
      </c>
      <c r="R13" s="274">
        <f t="shared" si="1"/>
        <v>0</v>
      </c>
    </row>
    <row r="14" spans="1:18">
      <c r="A14" s="305"/>
      <c r="Q14" s="274">
        <f t="shared" si="0"/>
        <v>0</v>
      </c>
      <c r="R14" s="274">
        <f t="shared" si="1"/>
        <v>0</v>
      </c>
    </row>
    <row r="15" spans="1:18">
      <c r="A15" s="296" t="s">
        <v>1080</v>
      </c>
      <c r="Q15" s="274">
        <f t="shared" si="0"/>
        <v>0</v>
      </c>
      <c r="R15" s="274">
        <f t="shared" si="1"/>
        <v>0</v>
      </c>
    </row>
    <row r="16" spans="1:18">
      <c r="A16" s="296" t="s">
        <v>123</v>
      </c>
      <c r="Q16" s="274">
        <f t="shared" si="0"/>
        <v>0</v>
      </c>
      <c r="R16" s="274">
        <f t="shared" si="1"/>
        <v>0</v>
      </c>
    </row>
    <row r="17" spans="1:18">
      <c r="A17" s="296" t="s">
        <v>1059</v>
      </c>
      <c r="Q17" s="274">
        <f t="shared" si="0"/>
        <v>0</v>
      </c>
      <c r="R17" s="274">
        <f t="shared" si="1"/>
        <v>0</v>
      </c>
    </row>
    <row r="18" spans="1:18">
      <c r="A18" s="296" t="s">
        <v>1082</v>
      </c>
      <c r="Q18" s="274">
        <f t="shared" si="0"/>
        <v>0</v>
      </c>
      <c r="R18" s="274">
        <f t="shared" si="1"/>
        <v>0</v>
      </c>
    </row>
    <row r="19" spans="1:18">
      <c r="A19" s="305"/>
      <c r="Q19" s="274">
        <f t="shared" si="0"/>
        <v>0</v>
      </c>
      <c r="R19" s="274">
        <f t="shared" si="1"/>
        <v>0</v>
      </c>
    </row>
    <row r="20" spans="1:18">
      <c r="A20" s="296" t="s">
        <v>1072</v>
      </c>
      <c r="Q20" s="274">
        <f t="shared" si="0"/>
        <v>0</v>
      </c>
      <c r="R20" s="274">
        <f t="shared" si="1"/>
        <v>0</v>
      </c>
    </row>
    <row r="21" spans="1:18">
      <c r="A21" s="284" t="s">
        <v>1073</v>
      </c>
      <c r="Q21" s="274">
        <f t="shared" si="0"/>
        <v>0</v>
      </c>
      <c r="R21" s="274">
        <f t="shared" si="1"/>
        <v>0</v>
      </c>
    </row>
    <row r="22" spans="1:18">
      <c r="A22" s="284" t="s">
        <v>1074</v>
      </c>
      <c r="Q22" s="274">
        <f t="shared" si="0"/>
        <v>0</v>
      </c>
      <c r="R22" s="274">
        <f t="shared" si="1"/>
        <v>0</v>
      </c>
    </row>
    <row r="23" spans="1:18">
      <c r="A23" s="305"/>
      <c r="Q23" s="274">
        <f t="shared" si="0"/>
        <v>0</v>
      </c>
      <c r="R23" s="274">
        <f t="shared" si="1"/>
        <v>0</v>
      </c>
    </row>
    <row r="24" spans="1:18">
      <c r="A24" s="296" t="s">
        <v>1071</v>
      </c>
      <c r="Q24" s="274">
        <f t="shared" si="0"/>
        <v>0</v>
      </c>
      <c r="R24" s="274">
        <f t="shared" si="1"/>
        <v>0</v>
      </c>
    </row>
    <row r="25" spans="1:18" ht="15.75" thickBot="1">
      <c r="A25" s="307" t="s">
        <v>1089</v>
      </c>
      <c r="Q25" s="274">
        <f t="shared" si="0"/>
        <v>0</v>
      </c>
      <c r="R25" s="274">
        <f t="shared" si="1"/>
        <v>0</v>
      </c>
    </row>
    <row r="26" spans="1:18" ht="15.75" thickTop="1">
      <c r="A26" s="284" t="s">
        <v>1075</v>
      </c>
      <c r="Q26" s="274">
        <f t="shared" si="0"/>
        <v>0</v>
      </c>
      <c r="R26" s="274">
        <f t="shared" si="1"/>
        <v>0</v>
      </c>
    </row>
    <row r="27" spans="1:18">
      <c r="A27" s="284" t="s">
        <v>1076</v>
      </c>
      <c r="Q27" s="274">
        <f t="shared" si="0"/>
        <v>0</v>
      </c>
      <c r="R27" s="274">
        <f t="shared" si="1"/>
        <v>0</v>
      </c>
    </row>
    <row r="28" spans="1:18">
      <c r="A28" s="284" t="s">
        <v>1077</v>
      </c>
      <c r="Q28" s="274">
        <f t="shared" si="0"/>
        <v>0</v>
      </c>
      <c r="R28" s="274">
        <f t="shared" si="1"/>
        <v>0</v>
      </c>
    </row>
    <row r="29" spans="1:18">
      <c r="A29" s="284" t="s">
        <v>1078</v>
      </c>
      <c r="Q29" s="274">
        <f t="shared" si="0"/>
        <v>0</v>
      </c>
      <c r="R29" s="274">
        <f t="shared" si="1"/>
        <v>0</v>
      </c>
    </row>
    <row r="30" spans="1:18">
      <c r="A30" s="284" t="s">
        <v>1079</v>
      </c>
      <c r="Q30" s="274">
        <f t="shared" si="0"/>
        <v>0</v>
      </c>
      <c r="R30" s="274">
        <f t="shared" si="1"/>
        <v>0</v>
      </c>
    </row>
    <row r="31" spans="1:18">
      <c r="A31" s="284" t="s">
        <v>1092</v>
      </c>
      <c r="Q31" s="274">
        <f t="shared" si="0"/>
        <v>0</v>
      </c>
      <c r="R31" s="274">
        <f t="shared" si="1"/>
        <v>0</v>
      </c>
    </row>
    <row r="32" spans="1:18">
      <c r="A32" s="284" t="s">
        <v>1091</v>
      </c>
      <c r="Q32" s="274">
        <f t="shared" si="0"/>
        <v>0</v>
      </c>
      <c r="R32" s="274">
        <f t="shared" si="1"/>
        <v>0</v>
      </c>
    </row>
    <row r="33" spans="1:18">
      <c r="A33" s="284" t="s">
        <v>1090</v>
      </c>
      <c r="Q33" s="274">
        <f t="shared" si="0"/>
        <v>0</v>
      </c>
      <c r="R33" s="274">
        <f t="shared" si="1"/>
        <v>0</v>
      </c>
    </row>
    <row r="34" spans="1:18">
      <c r="A34" s="299"/>
      <c r="Q34" s="274">
        <f t="shared" si="0"/>
        <v>0</v>
      </c>
      <c r="R34" s="274">
        <f t="shared" si="1"/>
        <v>0</v>
      </c>
    </row>
    <row r="35" spans="1:18">
      <c r="A35" s="299"/>
      <c r="Q35" s="274">
        <f t="shared" si="0"/>
        <v>0</v>
      </c>
      <c r="R35" s="274">
        <f t="shared" si="1"/>
        <v>0</v>
      </c>
    </row>
    <row r="36" spans="1:18">
      <c r="A36" s="298"/>
      <c r="Q36" s="274">
        <f t="shared" si="0"/>
        <v>0</v>
      </c>
      <c r="R36" s="274">
        <f t="shared" si="1"/>
        <v>0</v>
      </c>
    </row>
    <row r="37" spans="1:18">
      <c r="A37" s="298"/>
      <c r="Q37" s="274">
        <f t="shared" si="0"/>
        <v>0</v>
      </c>
      <c r="R37" s="274">
        <f t="shared" si="1"/>
        <v>0</v>
      </c>
    </row>
    <row r="38" spans="1:18">
      <c r="A38" s="298"/>
      <c r="Q38" s="274">
        <f t="shared" si="0"/>
        <v>0</v>
      </c>
      <c r="R38" s="274">
        <f t="shared" si="1"/>
        <v>0</v>
      </c>
    </row>
    <row r="39" spans="1:18">
      <c r="A39" s="298"/>
      <c r="Q39" s="274">
        <f t="shared" si="0"/>
        <v>0</v>
      </c>
      <c r="R39" s="274">
        <f t="shared" si="1"/>
        <v>0</v>
      </c>
    </row>
    <row r="40" spans="1:18">
      <c r="A40" s="298"/>
      <c r="Q40" s="274">
        <f t="shared" si="0"/>
        <v>0</v>
      </c>
      <c r="R40" s="274">
        <f t="shared" si="1"/>
        <v>0</v>
      </c>
    </row>
    <row r="41" spans="1:18">
      <c r="A41" s="298"/>
      <c r="Q41" s="274">
        <f t="shared" si="0"/>
        <v>0</v>
      </c>
      <c r="R41" s="274">
        <f t="shared" si="1"/>
        <v>0</v>
      </c>
    </row>
    <row r="42" spans="1:18">
      <c r="A42" s="298"/>
      <c r="Q42" s="274">
        <f t="shared" si="0"/>
        <v>0</v>
      </c>
      <c r="R42" s="274">
        <f t="shared" si="1"/>
        <v>0</v>
      </c>
    </row>
    <row r="43" spans="1:18">
      <c r="A43" s="298"/>
      <c r="Q43" s="274">
        <f t="shared" si="0"/>
        <v>0</v>
      </c>
      <c r="R43" s="274">
        <f t="shared" si="1"/>
        <v>0</v>
      </c>
    </row>
    <row r="44" spans="1:18">
      <c r="A44" s="298"/>
      <c r="Q44" s="274">
        <f t="shared" si="0"/>
        <v>0</v>
      </c>
      <c r="R44" s="274">
        <f t="shared" si="1"/>
        <v>0</v>
      </c>
    </row>
    <row r="45" spans="1:18">
      <c r="A45" s="298"/>
      <c r="Q45" s="274">
        <f t="shared" si="0"/>
        <v>0</v>
      </c>
      <c r="R45" s="274">
        <f t="shared" si="1"/>
        <v>0</v>
      </c>
    </row>
    <row r="46" spans="1:18">
      <c r="A46" s="298"/>
      <c r="Q46" s="274">
        <f t="shared" si="0"/>
        <v>0</v>
      </c>
      <c r="R46" s="274">
        <f t="shared" si="1"/>
        <v>0</v>
      </c>
    </row>
    <row r="47" spans="1:18">
      <c r="A47" s="297"/>
      <c r="Q47" s="274">
        <f t="shared" si="0"/>
        <v>0</v>
      </c>
      <c r="R47" s="274">
        <f t="shared" si="1"/>
        <v>0</v>
      </c>
    </row>
    <row r="48" spans="1:18">
      <c r="A48" s="297"/>
      <c r="Q48" s="274">
        <f t="shared" si="0"/>
        <v>0</v>
      </c>
      <c r="R48" s="274">
        <f t="shared" si="1"/>
        <v>0</v>
      </c>
    </row>
    <row r="49" spans="1:18">
      <c r="A49" s="297"/>
      <c r="Q49" s="274">
        <f t="shared" si="0"/>
        <v>0</v>
      </c>
      <c r="R49" s="274">
        <f t="shared" si="1"/>
        <v>0</v>
      </c>
    </row>
    <row r="50" spans="1:18">
      <c r="A50" s="297"/>
      <c r="Q50" s="274">
        <f t="shared" si="0"/>
        <v>0</v>
      </c>
      <c r="R50" s="274">
        <f t="shared" si="1"/>
        <v>0</v>
      </c>
    </row>
    <row r="51" spans="1:18">
      <c r="A51" s="297"/>
      <c r="Q51" s="274">
        <f t="shared" si="0"/>
        <v>0</v>
      </c>
      <c r="R51" s="274">
        <f t="shared" si="1"/>
        <v>0</v>
      </c>
    </row>
    <row r="52" spans="1:18">
      <c r="A52" s="297"/>
      <c r="Q52" s="274">
        <f t="shared" si="0"/>
        <v>0</v>
      </c>
      <c r="R52" s="274">
        <f t="shared" si="1"/>
        <v>0</v>
      </c>
    </row>
    <row r="53" spans="1:18">
      <c r="A53" s="297"/>
      <c r="Q53" s="274">
        <f t="shared" si="0"/>
        <v>0</v>
      </c>
      <c r="R53" s="274">
        <f t="shared" si="1"/>
        <v>0</v>
      </c>
    </row>
    <row r="54" spans="1:18">
      <c r="A54" s="297"/>
      <c r="Q54" s="274">
        <f t="shared" si="0"/>
        <v>0</v>
      </c>
      <c r="R54" s="274">
        <f t="shared" si="1"/>
        <v>0</v>
      </c>
    </row>
    <row r="55" spans="1:18">
      <c r="A55" s="297"/>
      <c r="Q55" s="274">
        <f t="shared" si="0"/>
        <v>0</v>
      </c>
      <c r="R55" s="274">
        <f t="shared" si="1"/>
        <v>0</v>
      </c>
    </row>
    <row r="56" spans="1:18">
      <c r="A56" s="297"/>
      <c r="Q56" s="274">
        <f t="shared" si="0"/>
        <v>0</v>
      </c>
      <c r="R56" s="274">
        <f t="shared" si="1"/>
        <v>0</v>
      </c>
    </row>
    <row r="57" spans="1:18">
      <c r="A57" s="297"/>
      <c r="Q57" s="274">
        <f t="shared" si="0"/>
        <v>0</v>
      </c>
      <c r="R57" s="274">
        <f t="shared" si="1"/>
        <v>0</v>
      </c>
    </row>
    <row r="58" spans="1:18">
      <c r="A58" s="297"/>
      <c r="Q58" s="274">
        <f t="shared" si="0"/>
        <v>0</v>
      </c>
      <c r="R58" s="274">
        <f t="shared" si="1"/>
        <v>0</v>
      </c>
    </row>
    <row r="59" spans="1:18">
      <c r="A59" s="297"/>
      <c r="Q59" s="274">
        <f t="shared" si="0"/>
        <v>0</v>
      </c>
      <c r="R59" s="274">
        <f t="shared" si="1"/>
        <v>0</v>
      </c>
    </row>
    <row r="60" spans="1:18">
      <c r="A60" s="297"/>
      <c r="Q60" s="274">
        <f t="shared" si="0"/>
        <v>0</v>
      </c>
      <c r="R60" s="274">
        <f t="shared" si="1"/>
        <v>0</v>
      </c>
    </row>
    <row r="61" spans="1:18">
      <c r="A61" s="297"/>
      <c r="Q61" s="274">
        <f t="shared" si="0"/>
        <v>0</v>
      </c>
      <c r="R61" s="274">
        <f t="shared" si="1"/>
        <v>0</v>
      </c>
    </row>
    <row r="62" spans="1:18">
      <c r="A62" s="297"/>
      <c r="Q62" s="274">
        <f t="shared" si="0"/>
        <v>0</v>
      </c>
      <c r="R62" s="274">
        <f t="shared" si="1"/>
        <v>0</v>
      </c>
    </row>
    <row r="63" spans="1:18">
      <c r="A63" s="297"/>
      <c r="Q63" s="274">
        <f t="shared" si="0"/>
        <v>0</v>
      </c>
      <c r="R63" s="274">
        <f t="shared" si="1"/>
        <v>0</v>
      </c>
    </row>
    <row r="64" spans="1:18">
      <c r="A64" s="297"/>
      <c r="Q64" s="274">
        <f t="shared" si="0"/>
        <v>0</v>
      </c>
      <c r="R64" s="274">
        <f t="shared" si="1"/>
        <v>0</v>
      </c>
    </row>
    <row r="65" spans="1:18">
      <c r="A65" s="297"/>
      <c r="Q65" s="274">
        <f t="shared" si="0"/>
        <v>0</v>
      </c>
      <c r="R65" s="274">
        <f t="shared" si="1"/>
        <v>0</v>
      </c>
    </row>
    <row r="66" spans="1:18">
      <c r="A66" s="297"/>
      <c r="Q66" s="274">
        <f t="shared" ref="Q66:Q129" si="2">IF($J68=$A$21,IF($M68=$A$16,$L68,0),0)</f>
        <v>0</v>
      </c>
      <c r="R66" s="274">
        <f t="shared" ref="R66:R129" si="3">IF($J68=$A$22,IF($M68=$A$16,$L68,0),0)</f>
        <v>0</v>
      </c>
    </row>
    <row r="67" spans="1:18">
      <c r="A67" s="297"/>
      <c r="Q67" s="274">
        <f t="shared" si="2"/>
        <v>0</v>
      </c>
      <c r="R67" s="274">
        <f t="shared" si="3"/>
        <v>0</v>
      </c>
    </row>
    <row r="68" spans="1:18">
      <c r="A68" s="297"/>
      <c r="Q68" s="274">
        <f t="shared" si="2"/>
        <v>0</v>
      </c>
      <c r="R68" s="274">
        <f t="shared" si="3"/>
        <v>0</v>
      </c>
    </row>
    <row r="69" spans="1:18">
      <c r="A69" s="297"/>
      <c r="Q69" s="274">
        <f t="shared" si="2"/>
        <v>0</v>
      </c>
      <c r="R69" s="274">
        <f t="shared" si="3"/>
        <v>0</v>
      </c>
    </row>
    <row r="70" spans="1:18">
      <c r="A70" s="297"/>
      <c r="Q70" s="274">
        <f t="shared" si="2"/>
        <v>0</v>
      </c>
      <c r="R70" s="274">
        <f t="shared" si="3"/>
        <v>0</v>
      </c>
    </row>
    <row r="71" spans="1:18">
      <c r="A71" s="297"/>
      <c r="Q71" s="274">
        <f t="shared" si="2"/>
        <v>0</v>
      </c>
      <c r="R71" s="274">
        <f t="shared" si="3"/>
        <v>0</v>
      </c>
    </row>
    <row r="72" spans="1:18">
      <c r="A72" s="297"/>
      <c r="Q72" s="274">
        <f t="shared" si="2"/>
        <v>0</v>
      </c>
      <c r="R72" s="274">
        <f t="shared" si="3"/>
        <v>0</v>
      </c>
    </row>
    <row r="73" spans="1:18">
      <c r="A73" s="297"/>
      <c r="Q73" s="274">
        <f t="shared" si="2"/>
        <v>0</v>
      </c>
      <c r="R73" s="274">
        <f t="shared" si="3"/>
        <v>0</v>
      </c>
    </row>
    <row r="74" spans="1:18">
      <c r="A74" s="297"/>
      <c r="Q74" s="274">
        <f t="shared" si="2"/>
        <v>0</v>
      </c>
      <c r="R74" s="274">
        <f t="shared" si="3"/>
        <v>0</v>
      </c>
    </row>
    <row r="75" spans="1:18">
      <c r="A75" s="297"/>
      <c r="Q75" s="274">
        <f t="shared" si="2"/>
        <v>0</v>
      </c>
      <c r="R75" s="274">
        <f t="shared" si="3"/>
        <v>0</v>
      </c>
    </row>
    <row r="76" spans="1:18">
      <c r="A76" s="297"/>
      <c r="Q76" s="274">
        <f t="shared" si="2"/>
        <v>0</v>
      </c>
      <c r="R76" s="274">
        <f t="shared" si="3"/>
        <v>0</v>
      </c>
    </row>
    <row r="77" spans="1:18">
      <c r="A77" s="297"/>
      <c r="Q77" s="274">
        <f t="shared" si="2"/>
        <v>0</v>
      </c>
      <c r="R77" s="274">
        <f t="shared" si="3"/>
        <v>0</v>
      </c>
    </row>
    <row r="78" spans="1:18">
      <c r="A78" s="297"/>
      <c r="Q78" s="274">
        <f t="shared" si="2"/>
        <v>0</v>
      </c>
      <c r="R78" s="274">
        <f t="shared" si="3"/>
        <v>0</v>
      </c>
    </row>
    <row r="79" spans="1:18">
      <c r="A79" s="297"/>
      <c r="Q79" s="274">
        <f t="shared" si="2"/>
        <v>0</v>
      </c>
      <c r="R79" s="274">
        <f t="shared" si="3"/>
        <v>0</v>
      </c>
    </row>
    <row r="80" spans="1:18">
      <c r="A80" s="297"/>
      <c r="Q80" s="274">
        <f t="shared" si="2"/>
        <v>0</v>
      </c>
      <c r="R80" s="274">
        <f t="shared" si="3"/>
        <v>0</v>
      </c>
    </row>
    <row r="81" spans="1:18">
      <c r="A81" s="297"/>
      <c r="Q81" s="274">
        <f t="shared" si="2"/>
        <v>0</v>
      </c>
      <c r="R81" s="274">
        <f t="shared" si="3"/>
        <v>0</v>
      </c>
    </row>
    <row r="82" spans="1:18">
      <c r="A82" s="297"/>
      <c r="Q82" s="274">
        <f t="shared" si="2"/>
        <v>0</v>
      </c>
      <c r="R82" s="274">
        <f t="shared" si="3"/>
        <v>0</v>
      </c>
    </row>
    <row r="83" spans="1:18">
      <c r="A83" s="297"/>
      <c r="Q83" s="274">
        <f t="shared" si="2"/>
        <v>0</v>
      </c>
      <c r="R83" s="274">
        <f t="shared" si="3"/>
        <v>0</v>
      </c>
    </row>
    <row r="84" spans="1:18">
      <c r="A84" s="297"/>
      <c r="Q84" s="274">
        <f t="shared" si="2"/>
        <v>0</v>
      </c>
      <c r="R84" s="274">
        <f t="shared" si="3"/>
        <v>0</v>
      </c>
    </row>
    <row r="85" spans="1:18">
      <c r="A85" s="297" t="s">
        <v>123</v>
      </c>
      <c r="Q85" s="274">
        <f t="shared" si="2"/>
        <v>0</v>
      </c>
      <c r="R85" s="274">
        <f t="shared" si="3"/>
        <v>0</v>
      </c>
    </row>
    <row r="86" spans="1:18">
      <c r="Q86" s="274">
        <f t="shared" si="2"/>
        <v>0</v>
      </c>
      <c r="R86" s="274">
        <f t="shared" si="3"/>
        <v>0</v>
      </c>
    </row>
    <row r="87" spans="1:18">
      <c r="Q87" s="274">
        <f t="shared" si="2"/>
        <v>0</v>
      </c>
      <c r="R87" s="274">
        <f t="shared" si="3"/>
        <v>0</v>
      </c>
    </row>
    <row r="88" spans="1:18">
      <c r="Q88" s="274">
        <f t="shared" si="2"/>
        <v>0</v>
      </c>
      <c r="R88" s="274">
        <f t="shared" si="3"/>
        <v>0</v>
      </c>
    </row>
    <row r="89" spans="1:18">
      <c r="Q89" s="274">
        <f t="shared" si="2"/>
        <v>0</v>
      </c>
      <c r="R89" s="274">
        <f t="shared" si="3"/>
        <v>0</v>
      </c>
    </row>
    <row r="90" spans="1:18">
      <c r="Q90" s="274">
        <f t="shared" si="2"/>
        <v>0</v>
      </c>
      <c r="R90" s="274">
        <f t="shared" si="3"/>
        <v>0</v>
      </c>
    </row>
    <row r="91" spans="1:18">
      <c r="Q91" s="274">
        <f t="shared" si="2"/>
        <v>0</v>
      </c>
      <c r="R91" s="274">
        <f t="shared" si="3"/>
        <v>0</v>
      </c>
    </row>
    <row r="92" spans="1:18">
      <c r="Q92" s="274">
        <f t="shared" si="2"/>
        <v>0</v>
      </c>
      <c r="R92" s="274">
        <f t="shared" si="3"/>
        <v>0</v>
      </c>
    </row>
    <row r="93" spans="1:18">
      <c r="Q93" s="274">
        <f t="shared" si="2"/>
        <v>0</v>
      </c>
      <c r="R93" s="274">
        <f t="shared" si="3"/>
        <v>0</v>
      </c>
    </row>
    <row r="94" spans="1:18">
      <c r="Q94" s="274">
        <f t="shared" si="2"/>
        <v>0</v>
      </c>
      <c r="R94" s="274">
        <f t="shared" si="3"/>
        <v>0</v>
      </c>
    </row>
    <row r="95" spans="1:18">
      <c r="Q95" s="274">
        <f t="shared" si="2"/>
        <v>0</v>
      </c>
      <c r="R95" s="274">
        <f t="shared" si="3"/>
        <v>0</v>
      </c>
    </row>
    <row r="96" spans="1:18">
      <c r="Q96" s="274">
        <f t="shared" si="2"/>
        <v>0</v>
      </c>
      <c r="R96" s="274">
        <f t="shared" si="3"/>
        <v>0</v>
      </c>
    </row>
    <row r="97" spans="17:18">
      <c r="Q97" s="274">
        <f t="shared" si="2"/>
        <v>0</v>
      </c>
      <c r="R97" s="274">
        <f t="shared" si="3"/>
        <v>0</v>
      </c>
    </row>
    <row r="98" spans="17:18">
      <c r="Q98" s="274">
        <f t="shared" si="2"/>
        <v>0</v>
      </c>
      <c r="R98" s="274">
        <f t="shared" si="3"/>
        <v>0</v>
      </c>
    </row>
    <row r="99" spans="17:18">
      <c r="Q99" s="274">
        <f t="shared" si="2"/>
        <v>0</v>
      </c>
      <c r="R99" s="274">
        <f t="shared" si="3"/>
        <v>0</v>
      </c>
    </row>
    <row r="100" spans="17:18">
      <c r="Q100" s="274">
        <f t="shared" si="2"/>
        <v>0</v>
      </c>
      <c r="R100" s="274">
        <f t="shared" si="3"/>
        <v>0</v>
      </c>
    </row>
    <row r="101" spans="17:18">
      <c r="Q101" s="274">
        <f t="shared" si="2"/>
        <v>0</v>
      </c>
      <c r="R101" s="274">
        <f t="shared" si="3"/>
        <v>0</v>
      </c>
    </row>
    <row r="102" spans="17:18">
      <c r="Q102" s="274">
        <f t="shared" si="2"/>
        <v>0</v>
      </c>
      <c r="R102" s="274">
        <f t="shared" si="3"/>
        <v>0</v>
      </c>
    </row>
    <row r="103" spans="17:18">
      <c r="Q103" s="274">
        <f t="shared" si="2"/>
        <v>0</v>
      </c>
      <c r="R103" s="274">
        <f t="shared" si="3"/>
        <v>0</v>
      </c>
    </row>
    <row r="104" spans="17:18">
      <c r="Q104" s="274">
        <f t="shared" si="2"/>
        <v>0</v>
      </c>
      <c r="R104" s="274">
        <f t="shared" si="3"/>
        <v>0</v>
      </c>
    </row>
    <row r="105" spans="17:18">
      <c r="Q105" s="274">
        <f t="shared" si="2"/>
        <v>0</v>
      </c>
      <c r="R105" s="274">
        <f t="shared" si="3"/>
        <v>0</v>
      </c>
    </row>
    <row r="106" spans="17:18">
      <c r="Q106" s="274">
        <f t="shared" si="2"/>
        <v>0</v>
      </c>
      <c r="R106" s="274">
        <f t="shared" si="3"/>
        <v>0</v>
      </c>
    </row>
    <row r="107" spans="17:18">
      <c r="Q107" s="274">
        <f t="shared" si="2"/>
        <v>0</v>
      </c>
      <c r="R107" s="274">
        <f t="shared" si="3"/>
        <v>0</v>
      </c>
    </row>
    <row r="108" spans="17:18">
      <c r="Q108" s="274">
        <f t="shared" si="2"/>
        <v>0</v>
      </c>
      <c r="R108" s="274">
        <f t="shared" si="3"/>
        <v>0</v>
      </c>
    </row>
    <row r="109" spans="17:18">
      <c r="Q109" s="274">
        <f t="shared" si="2"/>
        <v>0</v>
      </c>
      <c r="R109" s="274">
        <f t="shared" si="3"/>
        <v>0</v>
      </c>
    </row>
    <row r="110" spans="17:18">
      <c r="Q110" s="274">
        <f t="shared" si="2"/>
        <v>0</v>
      </c>
      <c r="R110" s="274">
        <f t="shared" si="3"/>
        <v>0</v>
      </c>
    </row>
    <row r="111" spans="17:18">
      <c r="Q111" s="274">
        <f t="shared" si="2"/>
        <v>0</v>
      </c>
      <c r="R111" s="274">
        <f t="shared" si="3"/>
        <v>0</v>
      </c>
    </row>
    <row r="112" spans="17:18">
      <c r="Q112" s="274">
        <f t="shared" si="2"/>
        <v>0</v>
      </c>
      <c r="R112" s="274">
        <f t="shared" si="3"/>
        <v>0</v>
      </c>
    </row>
    <row r="113" spans="17:18">
      <c r="Q113" s="274">
        <f t="shared" si="2"/>
        <v>0</v>
      </c>
      <c r="R113" s="274">
        <f t="shared" si="3"/>
        <v>0</v>
      </c>
    </row>
    <row r="114" spans="17:18">
      <c r="Q114" s="274">
        <f t="shared" si="2"/>
        <v>0</v>
      </c>
      <c r="R114" s="274">
        <f t="shared" si="3"/>
        <v>0</v>
      </c>
    </row>
    <row r="115" spans="17:18">
      <c r="Q115" s="274">
        <f t="shared" si="2"/>
        <v>0</v>
      </c>
      <c r="R115" s="274">
        <f t="shared" si="3"/>
        <v>0</v>
      </c>
    </row>
    <row r="116" spans="17:18">
      <c r="Q116" s="274">
        <f t="shared" si="2"/>
        <v>0</v>
      </c>
      <c r="R116" s="274">
        <f t="shared" si="3"/>
        <v>0</v>
      </c>
    </row>
    <row r="117" spans="17:18">
      <c r="Q117" s="274">
        <f t="shared" si="2"/>
        <v>0</v>
      </c>
      <c r="R117" s="274">
        <f t="shared" si="3"/>
        <v>0</v>
      </c>
    </row>
    <row r="118" spans="17:18">
      <c r="Q118" s="274">
        <f t="shared" si="2"/>
        <v>0</v>
      </c>
      <c r="R118" s="274">
        <f t="shared" si="3"/>
        <v>0</v>
      </c>
    </row>
    <row r="119" spans="17:18">
      <c r="Q119" s="274">
        <f t="shared" si="2"/>
        <v>0</v>
      </c>
      <c r="R119" s="274">
        <f t="shared" si="3"/>
        <v>0</v>
      </c>
    </row>
    <row r="120" spans="17:18">
      <c r="Q120" s="274">
        <f t="shared" si="2"/>
        <v>0</v>
      </c>
      <c r="R120" s="274">
        <f t="shared" si="3"/>
        <v>0</v>
      </c>
    </row>
    <row r="121" spans="17:18">
      <c r="Q121" s="274">
        <f t="shared" si="2"/>
        <v>0</v>
      </c>
      <c r="R121" s="274">
        <f t="shared" si="3"/>
        <v>0</v>
      </c>
    </row>
    <row r="122" spans="17:18">
      <c r="Q122" s="274">
        <f t="shared" si="2"/>
        <v>0</v>
      </c>
      <c r="R122" s="274">
        <f t="shared" si="3"/>
        <v>0</v>
      </c>
    </row>
    <row r="123" spans="17:18">
      <c r="Q123" s="274">
        <f t="shared" si="2"/>
        <v>0</v>
      </c>
      <c r="R123" s="274">
        <f t="shared" si="3"/>
        <v>0</v>
      </c>
    </row>
    <row r="124" spans="17:18">
      <c r="Q124" s="274">
        <f t="shared" si="2"/>
        <v>0</v>
      </c>
      <c r="R124" s="274">
        <f t="shared" si="3"/>
        <v>0</v>
      </c>
    </row>
    <row r="125" spans="17:18">
      <c r="Q125" s="274">
        <f t="shared" si="2"/>
        <v>0</v>
      </c>
      <c r="R125" s="274">
        <f t="shared" si="3"/>
        <v>0</v>
      </c>
    </row>
    <row r="126" spans="17:18">
      <c r="Q126" s="274">
        <f t="shared" si="2"/>
        <v>0</v>
      </c>
      <c r="R126" s="274">
        <f t="shared" si="3"/>
        <v>0</v>
      </c>
    </row>
    <row r="127" spans="17:18">
      <c r="Q127" s="274">
        <f t="shared" si="2"/>
        <v>0</v>
      </c>
      <c r="R127" s="274">
        <f t="shared" si="3"/>
        <v>0</v>
      </c>
    </row>
    <row r="128" spans="17:18">
      <c r="Q128" s="274">
        <f t="shared" si="2"/>
        <v>0</v>
      </c>
      <c r="R128" s="274">
        <f t="shared" si="3"/>
        <v>0</v>
      </c>
    </row>
    <row r="129" spans="17:18">
      <c r="Q129" s="274">
        <f t="shared" si="2"/>
        <v>0</v>
      </c>
      <c r="R129" s="274">
        <f t="shared" si="3"/>
        <v>0</v>
      </c>
    </row>
    <row r="130" spans="17:18">
      <c r="Q130" s="274">
        <f t="shared" ref="Q130:Q193" si="4">IF($J132=$A$21,IF($M132=$A$16,$L132,0),0)</f>
        <v>0</v>
      </c>
      <c r="R130" s="274">
        <f t="shared" ref="R130:R193" si="5">IF($J132=$A$22,IF($M132=$A$16,$L132,0),0)</f>
        <v>0</v>
      </c>
    </row>
    <row r="131" spans="17:18">
      <c r="Q131" s="274">
        <f t="shared" si="4"/>
        <v>0</v>
      </c>
      <c r="R131" s="274">
        <f t="shared" si="5"/>
        <v>0</v>
      </c>
    </row>
    <row r="132" spans="17:18">
      <c r="Q132" s="274">
        <f t="shared" si="4"/>
        <v>0</v>
      </c>
      <c r="R132" s="274">
        <f t="shared" si="5"/>
        <v>0</v>
      </c>
    </row>
    <row r="133" spans="17:18">
      <c r="Q133" s="274">
        <f t="shared" si="4"/>
        <v>0</v>
      </c>
      <c r="R133" s="274">
        <f t="shared" si="5"/>
        <v>0</v>
      </c>
    </row>
    <row r="134" spans="17:18">
      <c r="Q134" s="274">
        <f t="shared" si="4"/>
        <v>0</v>
      </c>
      <c r="R134" s="274">
        <f t="shared" si="5"/>
        <v>0</v>
      </c>
    </row>
    <row r="135" spans="17:18">
      <c r="Q135" s="274">
        <f t="shared" si="4"/>
        <v>0</v>
      </c>
      <c r="R135" s="274">
        <f t="shared" si="5"/>
        <v>0</v>
      </c>
    </row>
    <row r="136" spans="17:18">
      <c r="Q136" s="274">
        <f t="shared" si="4"/>
        <v>0</v>
      </c>
      <c r="R136" s="274">
        <f t="shared" si="5"/>
        <v>0</v>
      </c>
    </row>
    <row r="137" spans="17:18">
      <c r="Q137" s="274">
        <f t="shared" si="4"/>
        <v>0</v>
      </c>
      <c r="R137" s="274">
        <f t="shared" si="5"/>
        <v>0</v>
      </c>
    </row>
    <row r="138" spans="17:18">
      <c r="Q138" s="274">
        <f t="shared" si="4"/>
        <v>0</v>
      </c>
      <c r="R138" s="274">
        <f t="shared" si="5"/>
        <v>0</v>
      </c>
    </row>
    <row r="139" spans="17:18">
      <c r="Q139" s="274">
        <f t="shared" si="4"/>
        <v>0</v>
      </c>
      <c r="R139" s="274">
        <f t="shared" si="5"/>
        <v>0</v>
      </c>
    </row>
    <row r="140" spans="17:18">
      <c r="Q140" s="274">
        <f t="shared" si="4"/>
        <v>0</v>
      </c>
      <c r="R140" s="274">
        <f t="shared" si="5"/>
        <v>0</v>
      </c>
    </row>
    <row r="141" spans="17:18">
      <c r="Q141" s="274">
        <f t="shared" si="4"/>
        <v>0</v>
      </c>
      <c r="R141" s="274">
        <f t="shared" si="5"/>
        <v>0</v>
      </c>
    </row>
    <row r="142" spans="17:18">
      <c r="Q142" s="274">
        <f t="shared" si="4"/>
        <v>0</v>
      </c>
      <c r="R142" s="274">
        <f t="shared" si="5"/>
        <v>0</v>
      </c>
    </row>
    <row r="143" spans="17:18">
      <c r="Q143" s="274">
        <f t="shared" si="4"/>
        <v>0</v>
      </c>
      <c r="R143" s="274">
        <f t="shared" si="5"/>
        <v>0</v>
      </c>
    </row>
    <row r="144" spans="17:18">
      <c r="Q144" s="274">
        <f t="shared" si="4"/>
        <v>0</v>
      </c>
      <c r="R144" s="274">
        <f t="shared" si="5"/>
        <v>0</v>
      </c>
    </row>
    <row r="145" spans="17:18">
      <c r="Q145" s="274">
        <f t="shared" si="4"/>
        <v>0</v>
      </c>
      <c r="R145" s="274">
        <f t="shared" si="5"/>
        <v>0</v>
      </c>
    </row>
    <row r="146" spans="17:18">
      <c r="Q146" s="274">
        <f t="shared" si="4"/>
        <v>0</v>
      </c>
      <c r="R146" s="274">
        <f t="shared" si="5"/>
        <v>0</v>
      </c>
    </row>
    <row r="147" spans="17:18">
      <c r="Q147" s="274">
        <f t="shared" si="4"/>
        <v>0</v>
      </c>
      <c r="R147" s="274">
        <f t="shared" si="5"/>
        <v>0</v>
      </c>
    </row>
    <row r="148" spans="17:18">
      <c r="Q148" s="274">
        <f t="shared" si="4"/>
        <v>0</v>
      </c>
      <c r="R148" s="274">
        <f t="shared" si="5"/>
        <v>0</v>
      </c>
    </row>
    <row r="149" spans="17:18">
      <c r="Q149" s="274">
        <f t="shared" si="4"/>
        <v>0</v>
      </c>
      <c r="R149" s="274">
        <f t="shared" si="5"/>
        <v>0</v>
      </c>
    </row>
    <row r="150" spans="17:18">
      <c r="Q150" s="274">
        <f t="shared" si="4"/>
        <v>0</v>
      </c>
      <c r="R150" s="274">
        <f t="shared" si="5"/>
        <v>0</v>
      </c>
    </row>
    <row r="151" spans="17:18">
      <c r="Q151" s="274">
        <f t="shared" si="4"/>
        <v>0</v>
      </c>
      <c r="R151" s="274">
        <f t="shared" si="5"/>
        <v>0</v>
      </c>
    </row>
    <row r="152" spans="17:18">
      <c r="Q152" s="274">
        <f t="shared" si="4"/>
        <v>0</v>
      </c>
      <c r="R152" s="274">
        <f t="shared" si="5"/>
        <v>0</v>
      </c>
    </row>
    <row r="153" spans="17:18">
      <c r="Q153" s="274">
        <f t="shared" si="4"/>
        <v>0</v>
      </c>
      <c r="R153" s="274">
        <f t="shared" si="5"/>
        <v>0</v>
      </c>
    </row>
    <row r="154" spans="17:18">
      <c r="Q154" s="274">
        <f t="shared" si="4"/>
        <v>0</v>
      </c>
      <c r="R154" s="274">
        <f t="shared" si="5"/>
        <v>0</v>
      </c>
    </row>
    <row r="155" spans="17:18">
      <c r="Q155" s="274">
        <f t="shared" si="4"/>
        <v>0</v>
      </c>
      <c r="R155" s="274">
        <f t="shared" si="5"/>
        <v>0</v>
      </c>
    </row>
    <row r="156" spans="17:18">
      <c r="Q156" s="274">
        <f t="shared" si="4"/>
        <v>0</v>
      </c>
      <c r="R156" s="274">
        <f t="shared" si="5"/>
        <v>0</v>
      </c>
    </row>
    <row r="157" spans="17:18">
      <c r="Q157" s="274">
        <f t="shared" si="4"/>
        <v>0</v>
      </c>
      <c r="R157" s="274">
        <f t="shared" si="5"/>
        <v>0</v>
      </c>
    </row>
    <row r="158" spans="17:18">
      <c r="Q158" s="274">
        <f t="shared" si="4"/>
        <v>0</v>
      </c>
      <c r="R158" s="274">
        <f t="shared" si="5"/>
        <v>0</v>
      </c>
    </row>
    <row r="159" spans="17:18">
      <c r="Q159" s="274">
        <f t="shared" si="4"/>
        <v>0</v>
      </c>
      <c r="R159" s="274">
        <f t="shared" si="5"/>
        <v>0</v>
      </c>
    </row>
    <row r="160" spans="17:18">
      <c r="Q160" s="274">
        <f t="shared" si="4"/>
        <v>0</v>
      </c>
      <c r="R160" s="274">
        <f t="shared" si="5"/>
        <v>0</v>
      </c>
    </row>
    <row r="161" spans="17:18">
      <c r="Q161" s="274">
        <f t="shared" si="4"/>
        <v>0</v>
      </c>
      <c r="R161" s="274">
        <f t="shared" si="5"/>
        <v>0</v>
      </c>
    </row>
    <row r="162" spans="17:18">
      <c r="Q162" s="274">
        <f t="shared" si="4"/>
        <v>0</v>
      </c>
      <c r="R162" s="274">
        <f t="shared" si="5"/>
        <v>0</v>
      </c>
    </row>
    <row r="163" spans="17:18">
      <c r="Q163" s="274">
        <f t="shared" si="4"/>
        <v>0</v>
      </c>
      <c r="R163" s="274">
        <f t="shared" si="5"/>
        <v>0</v>
      </c>
    </row>
    <row r="164" spans="17:18">
      <c r="Q164" s="274">
        <f t="shared" si="4"/>
        <v>0</v>
      </c>
      <c r="R164" s="274">
        <f t="shared" si="5"/>
        <v>0</v>
      </c>
    </row>
    <row r="165" spans="17:18">
      <c r="Q165" s="274">
        <f t="shared" si="4"/>
        <v>0</v>
      </c>
      <c r="R165" s="274">
        <f t="shared" si="5"/>
        <v>0</v>
      </c>
    </row>
    <row r="166" spans="17:18">
      <c r="Q166" s="274">
        <f t="shared" si="4"/>
        <v>0</v>
      </c>
      <c r="R166" s="274">
        <f t="shared" si="5"/>
        <v>0</v>
      </c>
    </row>
    <row r="167" spans="17:18">
      <c r="Q167" s="274">
        <f t="shared" si="4"/>
        <v>0</v>
      </c>
      <c r="R167" s="274">
        <f t="shared" si="5"/>
        <v>0</v>
      </c>
    </row>
    <row r="168" spans="17:18">
      <c r="Q168" s="274">
        <f t="shared" si="4"/>
        <v>0</v>
      </c>
      <c r="R168" s="274">
        <f t="shared" si="5"/>
        <v>0</v>
      </c>
    </row>
    <row r="169" spans="17:18">
      <c r="Q169" s="274">
        <f t="shared" si="4"/>
        <v>0</v>
      </c>
      <c r="R169" s="274">
        <f t="shared" si="5"/>
        <v>0</v>
      </c>
    </row>
    <row r="170" spans="17:18">
      <c r="Q170" s="274">
        <f t="shared" si="4"/>
        <v>0</v>
      </c>
      <c r="R170" s="274">
        <f t="shared" si="5"/>
        <v>0</v>
      </c>
    </row>
    <row r="171" spans="17:18">
      <c r="Q171" s="274">
        <f t="shared" si="4"/>
        <v>0</v>
      </c>
      <c r="R171" s="274">
        <f t="shared" si="5"/>
        <v>0</v>
      </c>
    </row>
    <row r="172" spans="17:18">
      <c r="Q172" s="274">
        <f t="shared" si="4"/>
        <v>0</v>
      </c>
      <c r="R172" s="274">
        <f t="shared" si="5"/>
        <v>0</v>
      </c>
    </row>
    <row r="173" spans="17:18">
      <c r="Q173" s="274">
        <f t="shared" si="4"/>
        <v>0</v>
      </c>
      <c r="R173" s="274">
        <f t="shared" si="5"/>
        <v>0</v>
      </c>
    </row>
    <row r="174" spans="17:18">
      <c r="Q174" s="274">
        <f t="shared" si="4"/>
        <v>0</v>
      </c>
      <c r="R174" s="274">
        <f t="shared" si="5"/>
        <v>0</v>
      </c>
    </row>
    <row r="175" spans="17:18">
      <c r="Q175" s="274">
        <f t="shared" si="4"/>
        <v>0</v>
      </c>
      <c r="R175" s="274">
        <f t="shared" si="5"/>
        <v>0</v>
      </c>
    </row>
    <row r="176" spans="17:18">
      <c r="Q176" s="274">
        <f t="shared" si="4"/>
        <v>0</v>
      </c>
      <c r="R176" s="274">
        <f t="shared" si="5"/>
        <v>0</v>
      </c>
    </row>
    <row r="177" spans="17:18">
      <c r="Q177" s="274">
        <f t="shared" si="4"/>
        <v>0</v>
      </c>
      <c r="R177" s="274">
        <f t="shared" si="5"/>
        <v>0</v>
      </c>
    </row>
    <row r="178" spans="17:18">
      <c r="Q178" s="274">
        <f t="shared" si="4"/>
        <v>0</v>
      </c>
      <c r="R178" s="274">
        <f t="shared" si="5"/>
        <v>0</v>
      </c>
    </row>
    <row r="179" spans="17:18">
      <c r="Q179" s="274">
        <f t="shared" si="4"/>
        <v>0</v>
      </c>
      <c r="R179" s="274">
        <f t="shared" si="5"/>
        <v>0</v>
      </c>
    </row>
    <row r="180" spans="17:18">
      <c r="Q180" s="274">
        <f t="shared" si="4"/>
        <v>0</v>
      </c>
      <c r="R180" s="274">
        <f t="shared" si="5"/>
        <v>0</v>
      </c>
    </row>
    <row r="181" spans="17:18">
      <c r="Q181" s="274">
        <f t="shared" si="4"/>
        <v>0</v>
      </c>
      <c r="R181" s="274">
        <f t="shared" si="5"/>
        <v>0</v>
      </c>
    </row>
    <row r="182" spans="17:18">
      <c r="Q182" s="274">
        <f t="shared" si="4"/>
        <v>0</v>
      </c>
      <c r="R182" s="274">
        <f t="shared" si="5"/>
        <v>0</v>
      </c>
    </row>
    <row r="183" spans="17:18">
      <c r="Q183" s="274">
        <f t="shared" si="4"/>
        <v>0</v>
      </c>
      <c r="R183" s="274">
        <f t="shared" si="5"/>
        <v>0</v>
      </c>
    </row>
    <row r="184" spans="17:18">
      <c r="Q184" s="274">
        <f t="shared" si="4"/>
        <v>0</v>
      </c>
      <c r="R184" s="274">
        <f t="shared" si="5"/>
        <v>0</v>
      </c>
    </row>
    <row r="185" spans="17:18">
      <c r="Q185" s="274">
        <f t="shared" si="4"/>
        <v>0</v>
      </c>
      <c r="R185" s="274">
        <f t="shared" si="5"/>
        <v>0</v>
      </c>
    </row>
    <row r="186" spans="17:18">
      <c r="Q186" s="274">
        <f t="shared" si="4"/>
        <v>0</v>
      </c>
      <c r="R186" s="274">
        <f t="shared" si="5"/>
        <v>0</v>
      </c>
    </row>
    <row r="187" spans="17:18">
      <c r="Q187" s="274">
        <f t="shared" si="4"/>
        <v>0</v>
      </c>
      <c r="R187" s="274">
        <f t="shared" si="5"/>
        <v>0</v>
      </c>
    </row>
    <row r="188" spans="17:18">
      <c r="Q188" s="274">
        <f t="shared" si="4"/>
        <v>0</v>
      </c>
      <c r="R188" s="274">
        <f t="shared" si="5"/>
        <v>0</v>
      </c>
    </row>
    <row r="189" spans="17:18">
      <c r="Q189" s="274">
        <f t="shared" si="4"/>
        <v>0</v>
      </c>
      <c r="R189" s="274">
        <f t="shared" si="5"/>
        <v>0</v>
      </c>
    </row>
    <row r="190" spans="17:18">
      <c r="Q190" s="274">
        <f t="shared" si="4"/>
        <v>0</v>
      </c>
      <c r="R190" s="274">
        <f t="shared" si="5"/>
        <v>0</v>
      </c>
    </row>
    <row r="191" spans="17:18">
      <c r="Q191" s="274">
        <f t="shared" si="4"/>
        <v>0</v>
      </c>
      <c r="R191" s="274">
        <f t="shared" si="5"/>
        <v>0</v>
      </c>
    </row>
    <row r="192" spans="17:18">
      <c r="Q192" s="274">
        <f t="shared" si="4"/>
        <v>0</v>
      </c>
      <c r="R192" s="274">
        <f t="shared" si="5"/>
        <v>0</v>
      </c>
    </row>
    <row r="193" spans="17:18">
      <c r="Q193" s="274">
        <f t="shared" si="4"/>
        <v>0</v>
      </c>
      <c r="R193" s="274">
        <f t="shared" si="5"/>
        <v>0</v>
      </c>
    </row>
    <row r="194" spans="17:18">
      <c r="Q194" s="274">
        <f t="shared" ref="Q194:Q257" si="6">IF($J196=$A$21,IF($M196=$A$16,$L196,0),0)</f>
        <v>0</v>
      </c>
      <c r="R194" s="274">
        <f t="shared" ref="R194:R257" si="7">IF($J196=$A$22,IF($M196=$A$16,$L196,0),0)</f>
        <v>0</v>
      </c>
    </row>
    <row r="195" spans="17:18">
      <c r="Q195" s="274">
        <f t="shared" si="6"/>
        <v>0</v>
      </c>
      <c r="R195" s="274">
        <f t="shared" si="7"/>
        <v>0</v>
      </c>
    </row>
    <row r="196" spans="17:18">
      <c r="Q196" s="274">
        <f t="shared" si="6"/>
        <v>0</v>
      </c>
      <c r="R196" s="274">
        <f t="shared" si="7"/>
        <v>0</v>
      </c>
    </row>
    <row r="197" spans="17:18">
      <c r="Q197" s="274">
        <f t="shared" si="6"/>
        <v>0</v>
      </c>
      <c r="R197" s="274">
        <f t="shared" si="7"/>
        <v>0</v>
      </c>
    </row>
    <row r="198" spans="17:18">
      <c r="Q198" s="274">
        <f t="shared" si="6"/>
        <v>0</v>
      </c>
      <c r="R198" s="274">
        <f t="shared" si="7"/>
        <v>0</v>
      </c>
    </row>
    <row r="199" spans="17:18">
      <c r="Q199" s="274">
        <f t="shared" si="6"/>
        <v>0</v>
      </c>
      <c r="R199" s="274">
        <f t="shared" si="7"/>
        <v>0</v>
      </c>
    </row>
    <row r="200" spans="17:18">
      <c r="Q200" s="274">
        <f t="shared" si="6"/>
        <v>0</v>
      </c>
      <c r="R200" s="274">
        <f t="shared" si="7"/>
        <v>0</v>
      </c>
    </row>
    <row r="201" spans="17:18">
      <c r="Q201" s="274">
        <f t="shared" si="6"/>
        <v>0</v>
      </c>
      <c r="R201" s="274">
        <f t="shared" si="7"/>
        <v>0</v>
      </c>
    </row>
    <row r="202" spans="17:18">
      <c r="Q202" s="274">
        <f t="shared" si="6"/>
        <v>0</v>
      </c>
      <c r="R202" s="274">
        <f t="shared" si="7"/>
        <v>0</v>
      </c>
    </row>
    <row r="203" spans="17:18">
      <c r="Q203" s="274">
        <f t="shared" si="6"/>
        <v>0</v>
      </c>
      <c r="R203" s="274">
        <f t="shared" si="7"/>
        <v>0</v>
      </c>
    </row>
    <row r="204" spans="17:18">
      <c r="Q204" s="274">
        <f t="shared" si="6"/>
        <v>0</v>
      </c>
      <c r="R204" s="274">
        <f t="shared" si="7"/>
        <v>0</v>
      </c>
    </row>
    <row r="205" spans="17:18">
      <c r="Q205" s="274">
        <f t="shared" si="6"/>
        <v>0</v>
      </c>
      <c r="R205" s="274">
        <f t="shared" si="7"/>
        <v>0</v>
      </c>
    </row>
    <row r="206" spans="17:18">
      <c r="Q206" s="274">
        <f t="shared" si="6"/>
        <v>0</v>
      </c>
      <c r="R206" s="274">
        <f t="shared" si="7"/>
        <v>0</v>
      </c>
    </row>
    <row r="207" spans="17:18">
      <c r="Q207" s="274">
        <f t="shared" si="6"/>
        <v>0</v>
      </c>
      <c r="R207" s="274">
        <f t="shared" si="7"/>
        <v>0</v>
      </c>
    </row>
    <row r="208" spans="17:18">
      <c r="Q208" s="274">
        <f t="shared" si="6"/>
        <v>0</v>
      </c>
      <c r="R208" s="274">
        <f t="shared" si="7"/>
        <v>0</v>
      </c>
    </row>
    <row r="209" spans="17:18">
      <c r="Q209" s="274">
        <f t="shared" si="6"/>
        <v>0</v>
      </c>
      <c r="R209" s="274">
        <f t="shared" si="7"/>
        <v>0</v>
      </c>
    </row>
    <row r="210" spans="17:18">
      <c r="Q210" s="274">
        <f t="shared" si="6"/>
        <v>0</v>
      </c>
      <c r="R210" s="274">
        <f t="shared" si="7"/>
        <v>0</v>
      </c>
    </row>
    <row r="211" spans="17:18">
      <c r="Q211" s="274">
        <f t="shared" si="6"/>
        <v>0</v>
      </c>
      <c r="R211" s="274">
        <f t="shared" si="7"/>
        <v>0</v>
      </c>
    </row>
    <row r="212" spans="17:18">
      <c r="Q212" s="274">
        <f t="shared" si="6"/>
        <v>0</v>
      </c>
      <c r="R212" s="274">
        <f t="shared" si="7"/>
        <v>0</v>
      </c>
    </row>
    <row r="213" spans="17:18">
      <c r="Q213" s="274">
        <f t="shared" si="6"/>
        <v>0</v>
      </c>
      <c r="R213" s="274">
        <f t="shared" si="7"/>
        <v>0</v>
      </c>
    </row>
    <row r="214" spans="17:18">
      <c r="Q214" s="274">
        <f t="shared" si="6"/>
        <v>0</v>
      </c>
      <c r="R214" s="274">
        <f t="shared" si="7"/>
        <v>0</v>
      </c>
    </row>
    <row r="215" spans="17:18">
      <c r="Q215" s="274">
        <f t="shared" si="6"/>
        <v>0</v>
      </c>
      <c r="R215" s="274">
        <f t="shared" si="7"/>
        <v>0</v>
      </c>
    </row>
    <row r="216" spans="17:18">
      <c r="Q216" s="274">
        <f t="shared" si="6"/>
        <v>0</v>
      </c>
      <c r="R216" s="274">
        <f t="shared" si="7"/>
        <v>0</v>
      </c>
    </row>
    <row r="217" spans="17:18">
      <c r="Q217" s="274">
        <f t="shared" si="6"/>
        <v>0</v>
      </c>
      <c r="R217" s="274">
        <f t="shared" si="7"/>
        <v>0</v>
      </c>
    </row>
    <row r="218" spans="17:18">
      <c r="Q218" s="274">
        <f t="shared" si="6"/>
        <v>0</v>
      </c>
      <c r="R218" s="274">
        <f t="shared" si="7"/>
        <v>0</v>
      </c>
    </row>
    <row r="219" spans="17:18">
      <c r="Q219" s="274">
        <f t="shared" si="6"/>
        <v>0</v>
      </c>
      <c r="R219" s="274">
        <f t="shared" si="7"/>
        <v>0</v>
      </c>
    </row>
    <row r="220" spans="17:18">
      <c r="Q220" s="274">
        <f t="shared" si="6"/>
        <v>0</v>
      </c>
      <c r="R220" s="274">
        <f t="shared" si="7"/>
        <v>0</v>
      </c>
    </row>
    <row r="221" spans="17:18">
      <c r="Q221" s="274">
        <f t="shared" si="6"/>
        <v>0</v>
      </c>
      <c r="R221" s="274">
        <f t="shared" si="7"/>
        <v>0</v>
      </c>
    </row>
    <row r="222" spans="17:18">
      <c r="Q222" s="274">
        <f t="shared" si="6"/>
        <v>0</v>
      </c>
      <c r="R222" s="274">
        <f t="shared" si="7"/>
        <v>0</v>
      </c>
    </row>
    <row r="223" spans="17:18">
      <c r="Q223" s="274">
        <f t="shared" si="6"/>
        <v>0</v>
      </c>
      <c r="R223" s="274">
        <f t="shared" si="7"/>
        <v>0</v>
      </c>
    </row>
    <row r="224" spans="17:18">
      <c r="Q224" s="274">
        <f t="shared" si="6"/>
        <v>0</v>
      </c>
      <c r="R224" s="274">
        <f t="shared" si="7"/>
        <v>0</v>
      </c>
    </row>
    <row r="225" spans="17:18">
      <c r="Q225" s="274">
        <f t="shared" si="6"/>
        <v>0</v>
      </c>
      <c r="R225" s="274">
        <f t="shared" si="7"/>
        <v>0</v>
      </c>
    </row>
    <row r="226" spans="17:18">
      <c r="Q226" s="274">
        <f t="shared" si="6"/>
        <v>0</v>
      </c>
      <c r="R226" s="274">
        <f t="shared" si="7"/>
        <v>0</v>
      </c>
    </row>
    <row r="227" spans="17:18">
      <c r="Q227" s="274">
        <f t="shared" si="6"/>
        <v>0</v>
      </c>
      <c r="R227" s="274">
        <f t="shared" si="7"/>
        <v>0</v>
      </c>
    </row>
    <row r="228" spans="17:18">
      <c r="Q228" s="274">
        <f t="shared" si="6"/>
        <v>0</v>
      </c>
      <c r="R228" s="274">
        <f t="shared" si="7"/>
        <v>0</v>
      </c>
    </row>
    <row r="229" spans="17:18">
      <c r="Q229" s="274">
        <f t="shared" si="6"/>
        <v>0</v>
      </c>
      <c r="R229" s="274">
        <f t="shared" si="7"/>
        <v>0</v>
      </c>
    </row>
    <row r="230" spans="17:18">
      <c r="Q230" s="274">
        <f t="shared" si="6"/>
        <v>0</v>
      </c>
      <c r="R230" s="274">
        <f t="shared" si="7"/>
        <v>0</v>
      </c>
    </row>
    <row r="231" spans="17:18">
      <c r="Q231" s="274">
        <f t="shared" si="6"/>
        <v>0</v>
      </c>
      <c r="R231" s="274">
        <f t="shared" si="7"/>
        <v>0</v>
      </c>
    </row>
    <row r="232" spans="17:18">
      <c r="Q232" s="274">
        <f t="shared" si="6"/>
        <v>0</v>
      </c>
      <c r="R232" s="274">
        <f t="shared" si="7"/>
        <v>0</v>
      </c>
    </row>
    <row r="233" spans="17:18">
      <c r="Q233" s="274">
        <f t="shared" si="6"/>
        <v>0</v>
      </c>
      <c r="R233" s="274">
        <f t="shared" si="7"/>
        <v>0</v>
      </c>
    </row>
    <row r="234" spans="17:18">
      <c r="Q234" s="274">
        <f t="shared" si="6"/>
        <v>0</v>
      </c>
      <c r="R234" s="274">
        <f t="shared" si="7"/>
        <v>0</v>
      </c>
    </row>
    <row r="235" spans="17:18">
      <c r="Q235" s="274">
        <f t="shared" si="6"/>
        <v>0</v>
      </c>
      <c r="R235" s="274">
        <f t="shared" si="7"/>
        <v>0</v>
      </c>
    </row>
    <row r="236" spans="17:18">
      <c r="Q236" s="274">
        <f t="shared" si="6"/>
        <v>0</v>
      </c>
      <c r="R236" s="274">
        <f t="shared" si="7"/>
        <v>0</v>
      </c>
    </row>
    <row r="237" spans="17:18">
      <c r="Q237" s="274">
        <f t="shared" si="6"/>
        <v>0</v>
      </c>
      <c r="R237" s="274">
        <f t="shared" si="7"/>
        <v>0</v>
      </c>
    </row>
    <row r="238" spans="17:18">
      <c r="Q238" s="274">
        <f t="shared" si="6"/>
        <v>0</v>
      </c>
      <c r="R238" s="274">
        <f t="shared" si="7"/>
        <v>0</v>
      </c>
    </row>
    <row r="239" spans="17:18">
      <c r="Q239" s="274">
        <f t="shared" si="6"/>
        <v>0</v>
      </c>
      <c r="R239" s="274">
        <f t="shared" si="7"/>
        <v>0</v>
      </c>
    </row>
    <row r="240" spans="17:18">
      <c r="Q240" s="274">
        <f t="shared" si="6"/>
        <v>0</v>
      </c>
      <c r="R240" s="274">
        <f t="shared" si="7"/>
        <v>0</v>
      </c>
    </row>
    <row r="241" spans="17:18">
      <c r="Q241" s="274">
        <f t="shared" si="6"/>
        <v>0</v>
      </c>
      <c r="R241" s="274">
        <f t="shared" si="7"/>
        <v>0</v>
      </c>
    </row>
    <row r="242" spans="17:18">
      <c r="Q242" s="274">
        <f t="shared" si="6"/>
        <v>0</v>
      </c>
      <c r="R242" s="274">
        <f t="shared" si="7"/>
        <v>0</v>
      </c>
    </row>
    <row r="243" spans="17:18">
      <c r="Q243" s="274">
        <f t="shared" si="6"/>
        <v>0</v>
      </c>
      <c r="R243" s="274">
        <f t="shared" si="7"/>
        <v>0</v>
      </c>
    </row>
    <row r="244" spans="17:18">
      <c r="Q244" s="274">
        <f t="shared" si="6"/>
        <v>0</v>
      </c>
      <c r="R244" s="274">
        <f t="shared" si="7"/>
        <v>0</v>
      </c>
    </row>
    <row r="245" spans="17:18">
      <c r="Q245" s="274">
        <f t="shared" si="6"/>
        <v>0</v>
      </c>
      <c r="R245" s="274">
        <f t="shared" si="7"/>
        <v>0</v>
      </c>
    </row>
    <row r="246" spans="17:18">
      <c r="Q246" s="274">
        <f t="shared" si="6"/>
        <v>0</v>
      </c>
      <c r="R246" s="274">
        <f t="shared" si="7"/>
        <v>0</v>
      </c>
    </row>
    <row r="247" spans="17:18">
      <c r="Q247" s="274">
        <f t="shared" si="6"/>
        <v>0</v>
      </c>
      <c r="R247" s="274">
        <f t="shared" si="7"/>
        <v>0</v>
      </c>
    </row>
    <row r="248" spans="17:18">
      <c r="Q248" s="274">
        <f t="shared" si="6"/>
        <v>0</v>
      </c>
      <c r="R248" s="274">
        <f t="shared" si="7"/>
        <v>0</v>
      </c>
    </row>
    <row r="249" spans="17:18">
      <c r="Q249" s="274">
        <f t="shared" si="6"/>
        <v>0</v>
      </c>
      <c r="R249" s="274">
        <f t="shared" si="7"/>
        <v>0</v>
      </c>
    </row>
    <row r="250" spans="17:18">
      <c r="Q250" s="274">
        <f t="shared" si="6"/>
        <v>0</v>
      </c>
      <c r="R250" s="274">
        <f t="shared" si="7"/>
        <v>0</v>
      </c>
    </row>
    <row r="251" spans="17:18">
      <c r="Q251" s="274">
        <f t="shared" si="6"/>
        <v>0</v>
      </c>
      <c r="R251" s="274">
        <f t="shared" si="7"/>
        <v>0</v>
      </c>
    </row>
    <row r="252" spans="17:18">
      <c r="Q252" s="274">
        <f t="shared" si="6"/>
        <v>0</v>
      </c>
      <c r="R252" s="274">
        <f t="shared" si="7"/>
        <v>0</v>
      </c>
    </row>
    <row r="253" spans="17:18">
      <c r="Q253" s="274">
        <f t="shared" si="6"/>
        <v>0</v>
      </c>
      <c r="R253" s="274">
        <f t="shared" si="7"/>
        <v>0</v>
      </c>
    </row>
    <row r="254" spans="17:18">
      <c r="Q254" s="274">
        <f t="shared" si="6"/>
        <v>0</v>
      </c>
      <c r="R254" s="274">
        <f t="shared" si="7"/>
        <v>0</v>
      </c>
    </row>
    <row r="255" spans="17:18">
      <c r="Q255" s="274">
        <f t="shared" si="6"/>
        <v>0</v>
      </c>
      <c r="R255" s="274">
        <f t="shared" si="7"/>
        <v>0</v>
      </c>
    </row>
    <row r="256" spans="17:18">
      <c r="Q256" s="274">
        <f t="shared" si="6"/>
        <v>0</v>
      </c>
      <c r="R256" s="274">
        <f t="shared" si="7"/>
        <v>0</v>
      </c>
    </row>
    <row r="257" spans="17:18">
      <c r="Q257" s="274">
        <f t="shared" si="6"/>
        <v>0</v>
      </c>
      <c r="R257" s="274">
        <f t="shared" si="7"/>
        <v>0</v>
      </c>
    </row>
    <row r="258" spans="17:18">
      <c r="Q258" s="274">
        <f t="shared" ref="Q258:Q321" si="8">IF($J260=$A$21,IF($M260=$A$16,$L260,0),0)</f>
        <v>0</v>
      </c>
      <c r="R258" s="274">
        <f t="shared" ref="R258:R321" si="9">IF($J260=$A$22,IF($M260=$A$16,$L260,0),0)</f>
        <v>0</v>
      </c>
    </row>
    <row r="259" spans="17:18">
      <c r="Q259" s="274">
        <f t="shared" si="8"/>
        <v>0</v>
      </c>
      <c r="R259" s="274">
        <f t="shared" si="9"/>
        <v>0</v>
      </c>
    </row>
    <row r="260" spans="17:18">
      <c r="Q260" s="274">
        <f t="shared" si="8"/>
        <v>0</v>
      </c>
      <c r="R260" s="274">
        <f t="shared" si="9"/>
        <v>0</v>
      </c>
    </row>
    <row r="261" spans="17:18">
      <c r="Q261" s="274">
        <f t="shared" si="8"/>
        <v>0</v>
      </c>
      <c r="R261" s="274">
        <f t="shared" si="9"/>
        <v>0</v>
      </c>
    </row>
    <row r="262" spans="17:18">
      <c r="Q262" s="274">
        <f t="shared" si="8"/>
        <v>0</v>
      </c>
      <c r="R262" s="274">
        <f t="shared" si="9"/>
        <v>0</v>
      </c>
    </row>
    <row r="263" spans="17:18">
      <c r="Q263" s="274">
        <f t="shared" si="8"/>
        <v>0</v>
      </c>
      <c r="R263" s="274">
        <f t="shared" si="9"/>
        <v>0</v>
      </c>
    </row>
    <row r="264" spans="17:18">
      <c r="Q264" s="274">
        <f t="shared" si="8"/>
        <v>0</v>
      </c>
      <c r="R264" s="274">
        <f t="shared" si="9"/>
        <v>0</v>
      </c>
    </row>
    <row r="265" spans="17:18">
      <c r="Q265" s="274">
        <f t="shared" si="8"/>
        <v>0</v>
      </c>
      <c r="R265" s="274">
        <f t="shared" si="9"/>
        <v>0</v>
      </c>
    </row>
    <row r="266" spans="17:18">
      <c r="Q266" s="274">
        <f t="shared" si="8"/>
        <v>0</v>
      </c>
      <c r="R266" s="274">
        <f t="shared" si="9"/>
        <v>0</v>
      </c>
    </row>
    <row r="267" spans="17:18">
      <c r="Q267" s="274">
        <f t="shared" si="8"/>
        <v>0</v>
      </c>
      <c r="R267" s="274">
        <f t="shared" si="9"/>
        <v>0</v>
      </c>
    </row>
    <row r="268" spans="17:18">
      <c r="Q268" s="274">
        <f t="shared" si="8"/>
        <v>0</v>
      </c>
      <c r="R268" s="274">
        <f t="shared" si="9"/>
        <v>0</v>
      </c>
    </row>
    <row r="269" spans="17:18">
      <c r="Q269" s="274">
        <f t="shared" si="8"/>
        <v>0</v>
      </c>
      <c r="R269" s="274">
        <f t="shared" si="9"/>
        <v>0</v>
      </c>
    </row>
    <row r="270" spans="17:18">
      <c r="Q270" s="274">
        <f t="shared" si="8"/>
        <v>0</v>
      </c>
      <c r="R270" s="274">
        <f t="shared" si="9"/>
        <v>0</v>
      </c>
    </row>
    <row r="271" spans="17:18">
      <c r="Q271" s="274">
        <f t="shared" si="8"/>
        <v>0</v>
      </c>
      <c r="R271" s="274">
        <f t="shared" si="9"/>
        <v>0</v>
      </c>
    </row>
    <row r="272" spans="17:18">
      <c r="Q272" s="274">
        <f t="shared" si="8"/>
        <v>0</v>
      </c>
      <c r="R272" s="274">
        <f t="shared" si="9"/>
        <v>0</v>
      </c>
    </row>
    <row r="273" spans="17:18">
      <c r="Q273" s="274">
        <f t="shared" si="8"/>
        <v>0</v>
      </c>
      <c r="R273" s="274">
        <f t="shared" si="9"/>
        <v>0</v>
      </c>
    </row>
    <row r="274" spans="17:18">
      <c r="Q274" s="274">
        <f t="shared" si="8"/>
        <v>0</v>
      </c>
      <c r="R274" s="274">
        <f t="shared" si="9"/>
        <v>0</v>
      </c>
    </row>
    <row r="275" spans="17:18">
      <c r="Q275" s="274">
        <f t="shared" si="8"/>
        <v>0</v>
      </c>
      <c r="R275" s="274">
        <f t="shared" si="9"/>
        <v>0</v>
      </c>
    </row>
    <row r="276" spans="17:18">
      <c r="Q276" s="274">
        <f t="shared" si="8"/>
        <v>0</v>
      </c>
      <c r="R276" s="274">
        <f t="shared" si="9"/>
        <v>0</v>
      </c>
    </row>
    <row r="277" spans="17:18">
      <c r="Q277" s="274">
        <f t="shared" si="8"/>
        <v>0</v>
      </c>
      <c r="R277" s="274">
        <f t="shared" si="9"/>
        <v>0</v>
      </c>
    </row>
    <row r="278" spans="17:18">
      <c r="Q278" s="274">
        <f t="shared" si="8"/>
        <v>0</v>
      </c>
      <c r="R278" s="274">
        <f t="shared" si="9"/>
        <v>0</v>
      </c>
    </row>
    <row r="279" spans="17:18">
      <c r="Q279" s="274">
        <f t="shared" si="8"/>
        <v>0</v>
      </c>
      <c r="R279" s="274">
        <f t="shared" si="9"/>
        <v>0</v>
      </c>
    </row>
    <row r="280" spans="17:18">
      <c r="Q280" s="274">
        <f t="shared" si="8"/>
        <v>0</v>
      </c>
      <c r="R280" s="274">
        <f t="shared" si="9"/>
        <v>0</v>
      </c>
    </row>
    <row r="281" spans="17:18">
      <c r="Q281" s="274">
        <f t="shared" si="8"/>
        <v>0</v>
      </c>
      <c r="R281" s="274">
        <f t="shared" si="9"/>
        <v>0</v>
      </c>
    </row>
    <row r="282" spans="17:18">
      <c r="Q282" s="274">
        <f t="shared" si="8"/>
        <v>0</v>
      </c>
      <c r="R282" s="274">
        <f t="shared" si="9"/>
        <v>0</v>
      </c>
    </row>
    <row r="283" spans="17:18">
      <c r="Q283" s="274">
        <f t="shared" si="8"/>
        <v>0</v>
      </c>
      <c r="R283" s="274">
        <f t="shared" si="9"/>
        <v>0</v>
      </c>
    </row>
    <row r="284" spans="17:18">
      <c r="Q284" s="274">
        <f t="shared" si="8"/>
        <v>0</v>
      </c>
      <c r="R284" s="274">
        <f t="shared" si="9"/>
        <v>0</v>
      </c>
    </row>
    <row r="285" spans="17:18">
      <c r="Q285" s="274">
        <f t="shared" si="8"/>
        <v>0</v>
      </c>
      <c r="R285" s="274">
        <f t="shared" si="9"/>
        <v>0</v>
      </c>
    </row>
    <row r="286" spans="17:18">
      <c r="Q286" s="274">
        <f t="shared" si="8"/>
        <v>0</v>
      </c>
      <c r="R286" s="274">
        <f t="shared" si="9"/>
        <v>0</v>
      </c>
    </row>
    <row r="287" spans="17:18">
      <c r="Q287" s="274">
        <f t="shared" si="8"/>
        <v>0</v>
      </c>
      <c r="R287" s="274">
        <f t="shared" si="9"/>
        <v>0</v>
      </c>
    </row>
    <row r="288" spans="17:18">
      <c r="Q288" s="274">
        <f t="shared" si="8"/>
        <v>0</v>
      </c>
      <c r="R288" s="274">
        <f t="shared" si="9"/>
        <v>0</v>
      </c>
    </row>
    <row r="289" spans="17:18">
      <c r="Q289" s="274">
        <f t="shared" si="8"/>
        <v>0</v>
      </c>
      <c r="R289" s="274">
        <f t="shared" si="9"/>
        <v>0</v>
      </c>
    </row>
    <row r="290" spans="17:18">
      <c r="Q290" s="274">
        <f t="shared" si="8"/>
        <v>0</v>
      </c>
      <c r="R290" s="274">
        <f t="shared" si="9"/>
        <v>0</v>
      </c>
    </row>
    <row r="291" spans="17:18">
      <c r="Q291" s="274">
        <f t="shared" si="8"/>
        <v>0</v>
      </c>
      <c r="R291" s="274">
        <f t="shared" si="9"/>
        <v>0</v>
      </c>
    </row>
    <row r="292" spans="17:18">
      <c r="Q292" s="274">
        <f t="shared" si="8"/>
        <v>0</v>
      </c>
      <c r="R292" s="274">
        <f t="shared" si="9"/>
        <v>0</v>
      </c>
    </row>
    <row r="293" spans="17:18">
      <c r="Q293" s="274">
        <f t="shared" si="8"/>
        <v>0</v>
      </c>
      <c r="R293" s="274">
        <f t="shared" si="9"/>
        <v>0</v>
      </c>
    </row>
    <row r="294" spans="17:18">
      <c r="Q294" s="274">
        <f t="shared" si="8"/>
        <v>0</v>
      </c>
      <c r="R294" s="274">
        <f t="shared" si="9"/>
        <v>0</v>
      </c>
    </row>
    <row r="295" spans="17:18">
      <c r="Q295" s="274">
        <f t="shared" si="8"/>
        <v>0</v>
      </c>
      <c r="R295" s="274">
        <f t="shared" si="9"/>
        <v>0</v>
      </c>
    </row>
    <row r="296" spans="17:18">
      <c r="Q296" s="274">
        <f t="shared" si="8"/>
        <v>0</v>
      </c>
      <c r="R296" s="274">
        <f t="shared" si="9"/>
        <v>0</v>
      </c>
    </row>
    <row r="297" spans="17:18">
      <c r="Q297" s="274">
        <f t="shared" si="8"/>
        <v>0</v>
      </c>
      <c r="R297" s="274">
        <f t="shared" si="9"/>
        <v>0</v>
      </c>
    </row>
    <row r="298" spans="17:18">
      <c r="Q298" s="274">
        <f t="shared" si="8"/>
        <v>0</v>
      </c>
      <c r="R298" s="274">
        <f t="shared" si="9"/>
        <v>0</v>
      </c>
    </row>
    <row r="299" spans="17:18">
      <c r="Q299" s="274">
        <f t="shared" si="8"/>
        <v>0</v>
      </c>
      <c r="R299" s="274">
        <f t="shared" si="9"/>
        <v>0</v>
      </c>
    </row>
    <row r="300" spans="17:18">
      <c r="Q300" s="274">
        <f t="shared" si="8"/>
        <v>0</v>
      </c>
      <c r="R300" s="274">
        <f t="shared" si="9"/>
        <v>0</v>
      </c>
    </row>
    <row r="301" spans="17:18">
      <c r="Q301" s="274">
        <f t="shared" si="8"/>
        <v>0</v>
      </c>
      <c r="R301" s="274">
        <f t="shared" si="9"/>
        <v>0</v>
      </c>
    </row>
    <row r="302" spans="17:18">
      <c r="Q302" s="274">
        <f t="shared" si="8"/>
        <v>0</v>
      </c>
      <c r="R302" s="274">
        <f t="shared" si="9"/>
        <v>0</v>
      </c>
    </row>
    <row r="303" spans="17:18">
      <c r="Q303" s="274">
        <f t="shared" si="8"/>
        <v>0</v>
      </c>
      <c r="R303" s="274">
        <f t="shared" si="9"/>
        <v>0</v>
      </c>
    </row>
    <row r="304" spans="17:18">
      <c r="Q304" s="274">
        <f t="shared" si="8"/>
        <v>0</v>
      </c>
      <c r="R304" s="274">
        <f t="shared" si="9"/>
        <v>0</v>
      </c>
    </row>
    <row r="305" spans="17:18">
      <c r="Q305" s="274">
        <f t="shared" si="8"/>
        <v>0</v>
      </c>
      <c r="R305" s="274">
        <f t="shared" si="9"/>
        <v>0</v>
      </c>
    </row>
    <row r="306" spans="17:18">
      <c r="Q306" s="274">
        <f t="shared" si="8"/>
        <v>0</v>
      </c>
      <c r="R306" s="274">
        <f t="shared" si="9"/>
        <v>0</v>
      </c>
    </row>
    <row r="307" spans="17:18">
      <c r="Q307" s="274">
        <f t="shared" si="8"/>
        <v>0</v>
      </c>
      <c r="R307" s="274">
        <f t="shared" si="9"/>
        <v>0</v>
      </c>
    </row>
    <row r="308" spans="17:18">
      <c r="Q308" s="274">
        <f t="shared" si="8"/>
        <v>0</v>
      </c>
      <c r="R308" s="274">
        <f t="shared" si="9"/>
        <v>0</v>
      </c>
    </row>
    <row r="309" spans="17:18">
      <c r="Q309" s="274">
        <f t="shared" si="8"/>
        <v>0</v>
      </c>
      <c r="R309" s="274">
        <f t="shared" si="9"/>
        <v>0</v>
      </c>
    </row>
    <row r="310" spans="17:18">
      <c r="Q310" s="274">
        <f t="shared" si="8"/>
        <v>0</v>
      </c>
      <c r="R310" s="274">
        <f t="shared" si="9"/>
        <v>0</v>
      </c>
    </row>
    <row r="311" spans="17:18">
      <c r="Q311" s="274">
        <f t="shared" si="8"/>
        <v>0</v>
      </c>
      <c r="R311" s="274">
        <f t="shared" si="9"/>
        <v>0</v>
      </c>
    </row>
    <row r="312" spans="17:18">
      <c r="Q312" s="274">
        <f t="shared" si="8"/>
        <v>0</v>
      </c>
      <c r="R312" s="274">
        <f t="shared" si="9"/>
        <v>0</v>
      </c>
    </row>
    <row r="313" spans="17:18">
      <c r="Q313" s="274">
        <f t="shared" si="8"/>
        <v>0</v>
      </c>
      <c r="R313" s="274">
        <f t="shared" si="9"/>
        <v>0</v>
      </c>
    </row>
    <row r="314" spans="17:18">
      <c r="Q314" s="274">
        <f t="shared" si="8"/>
        <v>0</v>
      </c>
      <c r="R314" s="274">
        <f t="shared" si="9"/>
        <v>0</v>
      </c>
    </row>
    <row r="315" spans="17:18">
      <c r="Q315" s="274">
        <f t="shared" si="8"/>
        <v>0</v>
      </c>
      <c r="R315" s="274">
        <f t="shared" si="9"/>
        <v>0</v>
      </c>
    </row>
    <row r="316" spans="17:18">
      <c r="Q316" s="274">
        <f t="shared" si="8"/>
        <v>0</v>
      </c>
      <c r="R316" s="274">
        <f t="shared" si="9"/>
        <v>0</v>
      </c>
    </row>
    <row r="317" spans="17:18">
      <c r="Q317" s="274">
        <f t="shared" si="8"/>
        <v>0</v>
      </c>
      <c r="R317" s="274">
        <f t="shared" si="9"/>
        <v>0</v>
      </c>
    </row>
    <row r="318" spans="17:18">
      <c r="Q318" s="274">
        <f t="shared" si="8"/>
        <v>0</v>
      </c>
      <c r="R318" s="274">
        <f t="shared" si="9"/>
        <v>0</v>
      </c>
    </row>
    <row r="319" spans="17:18">
      <c r="Q319" s="274">
        <f t="shared" si="8"/>
        <v>0</v>
      </c>
      <c r="R319" s="274">
        <f t="shared" si="9"/>
        <v>0</v>
      </c>
    </row>
    <row r="320" spans="17:18">
      <c r="Q320" s="274">
        <f t="shared" si="8"/>
        <v>0</v>
      </c>
      <c r="R320" s="274">
        <f t="shared" si="9"/>
        <v>0</v>
      </c>
    </row>
    <row r="321" spans="17:18">
      <c r="Q321" s="274">
        <f t="shared" si="8"/>
        <v>0</v>
      </c>
      <c r="R321" s="274">
        <f t="shared" si="9"/>
        <v>0</v>
      </c>
    </row>
    <row r="322" spans="17:18">
      <c r="Q322" s="274">
        <f t="shared" ref="Q322:Q385" si="10">IF($J324=$A$21,IF($M324=$A$16,$L324,0),0)</f>
        <v>0</v>
      </c>
      <c r="R322" s="274">
        <f t="shared" ref="R322:R385" si="11">IF($J324=$A$22,IF($M324=$A$16,$L324,0),0)</f>
        <v>0</v>
      </c>
    </row>
    <row r="323" spans="17:18">
      <c r="Q323" s="274">
        <f t="shared" si="10"/>
        <v>0</v>
      </c>
      <c r="R323" s="274">
        <f t="shared" si="11"/>
        <v>0</v>
      </c>
    </row>
    <row r="324" spans="17:18">
      <c r="Q324" s="274">
        <f t="shared" si="10"/>
        <v>0</v>
      </c>
      <c r="R324" s="274">
        <f t="shared" si="11"/>
        <v>0</v>
      </c>
    </row>
    <row r="325" spans="17:18">
      <c r="Q325" s="274">
        <f t="shared" si="10"/>
        <v>0</v>
      </c>
      <c r="R325" s="274">
        <f t="shared" si="11"/>
        <v>0</v>
      </c>
    </row>
    <row r="326" spans="17:18">
      <c r="Q326" s="274">
        <f t="shared" si="10"/>
        <v>0</v>
      </c>
      <c r="R326" s="274">
        <f t="shared" si="11"/>
        <v>0</v>
      </c>
    </row>
    <row r="327" spans="17:18">
      <c r="Q327" s="274">
        <f t="shared" si="10"/>
        <v>0</v>
      </c>
      <c r="R327" s="274">
        <f t="shared" si="11"/>
        <v>0</v>
      </c>
    </row>
    <row r="328" spans="17:18">
      <c r="Q328" s="274">
        <f t="shared" si="10"/>
        <v>0</v>
      </c>
      <c r="R328" s="274">
        <f t="shared" si="11"/>
        <v>0</v>
      </c>
    </row>
    <row r="329" spans="17:18">
      <c r="Q329" s="274">
        <f t="shared" si="10"/>
        <v>0</v>
      </c>
      <c r="R329" s="274">
        <f t="shared" si="11"/>
        <v>0</v>
      </c>
    </row>
    <row r="330" spans="17:18">
      <c r="Q330" s="274">
        <f t="shared" si="10"/>
        <v>0</v>
      </c>
      <c r="R330" s="274">
        <f t="shared" si="11"/>
        <v>0</v>
      </c>
    </row>
    <row r="331" spans="17:18">
      <c r="Q331" s="274">
        <f t="shared" si="10"/>
        <v>0</v>
      </c>
      <c r="R331" s="274">
        <f t="shared" si="11"/>
        <v>0</v>
      </c>
    </row>
    <row r="332" spans="17:18">
      <c r="Q332" s="274">
        <f t="shared" si="10"/>
        <v>0</v>
      </c>
      <c r="R332" s="274">
        <f t="shared" si="11"/>
        <v>0</v>
      </c>
    </row>
    <row r="333" spans="17:18">
      <c r="Q333" s="274">
        <f t="shared" si="10"/>
        <v>0</v>
      </c>
      <c r="R333" s="274">
        <f t="shared" si="11"/>
        <v>0</v>
      </c>
    </row>
    <row r="334" spans="17:18">
      <c r="Q334" s="274">
        <f t="shared" si="10"/>
        <v>0</v>
      </c>
      <c r="R334" s="274">
        <f t="shared" si="11"/>
        <v>0</v>
      </c>
    </row>
    <row r="335" spans="17:18">
      <c r="Q335" s="274">
        <f t="shared" si="10"/>
        <v>0</v>
      </c>
      <c r="R335" s="274">
        <f t="shared" si="11"/>
        <v>0</v>
      </c>
    </row>
    <row r="336" spans="17:18">
      <c r="Q336" s="274">
        <f t="shared" si="10"/>
        <v>0</v>
      </c>
      <c r="R336" s="274">
        <f t="shared" si="11"/>
        <v>0</v>
      </c>
    </row>
    <row r="337" spans="17:18">
      <c r="Q337" s="274">
        <f t="shared" si="10"/>
        <v>0</v>
      </c>
      <c r="R337" s="274">
        <f t="shared" si="11"/>
        <v>0</v>
      </c>
    </row>
    <row r="338" spans="17:18">
      <c r="Q338" s="274">
        <f t="shared" si="10"/>
        <v>0</v>
      </c>
      <c r="R338" s="274">
        <f t="shared" si="11"/>
        <v>0</v>
      </c>
    </row>
    <row r="339" spans="17:18">
      <c r="Q339" s="274">
        <f t="shared" si="10"/>
        <v>0</v>
      </c>
      <c r="R339" s="274">
        <f t="shared" si="11"/>
        <v>0</v>
      </c>
    </row>
    <row r="340" spans="17:18">
      <c r="Q340" s="274">
        <f t="shared" si="10"/>
        <v>0</v>
      </c>
      <c r="R340" s="274">
        <f t="shared" si="11"/>
        <v>0</v>
      </c>
    </row>
    <row r="341" spans="17:18">
      <c r="Q341" s="274">
        <f t="shared" si="10"/>
        <v>0</v>
      </c>
      <c r="R341" s="274">
        <f t="shared" si="11"/>
        <v>0</v>
      </c>
    </row>
    <row r="342" spans="17:18">
      <c r="Q342" s="274">
        <f t="shared" si="10"/>
        <v>0</v>
      </c>
      <c r="R342" s="274">
        <f t="shared" si="11"/>
        <v>0</v>
      </c>
    </row>
    <row r="343" spans="17:18">
      <c r="Q343" s="274">
        <f t="shared" si="10"/>
        <v>0</v>
      </c>
      <c r="R343" s="274">
        <f t="shared" si="11"/>
        <v>0</v>
      </c>
    </row>
    <row r="344" spans="17:18">
      <c r="Q344" s="274">
        <f t="shared" si="10"/>
        <v>0</v>
      </c>
      <c r="R344" s="274">
        <f t="shared" si="11"/>
        <v>0</v>
      </c>
    </row>
    <row r="345" spans="17:18">
      <c r="Q345" s="274">
        <f t="shared" si="10"/>
        <v>0</v>
      </c>
      <c r="R345" s="274">
        <f t="shared" si="11"/>
        <v>0</v>
      </c>
    </row>
    <row r="346" spans="17:18">
      <c r="Q346" s="274">
        <f t="shared" si="10"/>
        <v>0</v>
      </c>
      <c r="R346" s="274">
        <f t="shared" si="11"/>
        <v>0</v>
      </c>
    </row>
    <row r="347" spans="17:18">
      <c r="Q347" s="274">
        <f t="shared" si="10"/>
        <v>0</v>
      </c>
      <c r="R347" s="274">
        <f t="shared" si="11"/>
        <v>0</v>
      </c>
    </row>
    <row r="348" spans="17:18">
      <c r="Q348" s="274">
        <f t="shared" si="10"/>
        <v>0</v>
      </c>
      <c r="R348" s="274">
        <f t="shared" si="11"/>
        <v>0</v>
      </c>
    </row>
    <row r="349" spans="17:18">
      <c r="Q349" s="274">
        <f t="shared" si="10"/>
        <v>0</v>
      </c>
      <c r="R349" s="274">
        <f t="shared" si="11"/>
        <v>0</v>
      </c>
    </row>
    <row r="350" spans="17:18">
      <c r="Q350" s="274">
        <f t="shared" si="10"/>
        <v>0</v>
      </c>
      <c r="R350" s="274">
        <f t="shared" si="11"/>
        <v>0</v>
      </c>
    </row>
    <row r="351" spans="17:18">
      <c r="Q351" s="274">
        <f t="shared" si="10"/>
        <v>0</v>
      </c>
      <c r="R351" s="274">
        <f t="shared" si="11"/>
        <v>0</v>
      </c>
    </row>
    <row r="352" spans="17:18">
      <c r="Q352" s="274">
        <f t="shared" si="10"/>
        <v>0</v>
      </c>
      <c r="R352" s="274">
        <f t="shared" si="11"/>
        <v>0</v>
      </c>
    </row>
    <row r="353" spans="17:18">
      <c r="Q353" s="274">
        <f t="shared" si="10"/>
        <v>0</v>
      </c>
      <c r="R353" s="274">
        <f t="shared" si="11"/>
        <v>0</v>
      </c>
    </row>
    <row r="354" spans="17:18">
      <c r="Q354" s="274">
        <f t="shared" si="10"/>
        <v>0</v>
      </c>
      <c r="R354" s="274">
        <f t="shared" si="11"/>
        <v>0</v>
      </c>
    </row>
    <row r="355" spans="17:18">
      <c r="Q355" s="274">
        <f t="shared" si="10"/>
        <v>0</v>
      </c>
      <c r="R355" s="274">
        <f t="shared" si="11"/>
        <v>0</v>
      </c>
    </row>
    <row r="356" spans="17:18">
      <c r="Q356" s="274">
        <f t="shared" si="10"/>
        <v>0</v>
      </c>
      <c r="R356" s="274">
        <f t="shared" si="11"/>
        <v>0</v>
      </c>
    </row>
    <row r="357" spans="17:18">
      <c r="Q357" s="274">
        <f t="shared" si="10"/>
        <v>0</v>
      </c>
      <c r="R357" s="274">
        <f t="shared" si="11"/>
        <v>0</v>
      </c>
    </row>
    <row r="358" spans="17:18">
      <c r="Q358" s="274">
        <f t="shared" si="10"/>
        <v>0</v>
      </c>
      <c r="R358" s="274">
        <f t="shared" si="11"/>
        <v>0</v>
      </c>
    </row>
    <row r="359" spans="17:18">
      <c r="Q359" s="274">
        <f t="shared" si="10"/>
        <v>0</v>
      </c>
      <c r="R359" s="274">
        <f t="shared" si="11"/>
        <v>0</v>
      </c>
    </row>
    <row r="360" spans="17:18">
      <c r="Q360" s="274">
        <f t="shared" si="10"/>
        <v>0</v>
      </c>
      <c r="R360" s="274">
        <f t="shared" si="11"/>
        <v>0</v>
      </c>
    </row>
    <row r="361" spans="17:18">
      <c r="Q361" s="274">
        <f t="shared" si="10"/>
        <v>0</v>
      </c>
      <c r="R361" s="274">
        <f t="shared" si="11"/>
        <v>0</v>
      </c>
    </row>
    <row r="362" spans="17:18">
      <c r="Q362" s="274">
        <f t="shared" si="10"/>
        <v>0</v>
      </c>
      <c r="R362" s="274">
        <f t="shared" si="11"/>
        <v>0</v>
      </c>
    </row>
    <row r="363" spans="17:18">
      <c r="Q363" s="274">
        <f t="shared" si="10"/>
        <v>0</v>
      </c>
      <c r="R363" s="274">
        <f t="shared" si="11"/>
        <v>0</v>
      </c>
    </row>
    <row r="364" spans="17:18">
      <c r="Q364" s="274">
        <f t="shared" si="10"/>
        <v>0</v>
      </c>
      <c r="R364" s="274">
        <f t="shared" si="11"/>
        <v>0</v>
      </c>
    </row>
    <row r="365" spans="17:18">
      <c r="Q365" s="274">
        <f t="shared" si="10"/>
        <v>0</v>
      </c>
      <c r="R365" s="274">
        <f t="shared" si="11"/>
        <v>0</v>
      </c>
    </row>
    <row r="366" spans="17:18">
      <c r="Q366" s="274">
        <f t="shared" si="10"/>
        <v>0</v>
      </c>
      <c r="R366" s="274">
        <f t="shared" si="11"/>
        <v>0</v>
      </c>
    </row>
    <row r="367" spans="17:18">
      <c r="Q367" s="274">
        <f t="shared" si="10"/>
        <v>0</v>
      </c>
      <c r="R367" s="274">
        <f t="shared" si="11"/>
        <v>0</v>
      </c>
    </row>
    <row r="368" spans="17:18">
      <c r="Q368" s="274">
        <f t="shared" si="10"/>
        <v>0</v>
      </c>
      <c r="R368" s="274">
        <f t="shared" si="11"/>
        <v>0</v>
      </c>
    </row>
    <row r="369" spans="17:18">
      <c r="Q369" s="274">
        <f t="shared" si="10"/>
        <v>0</v>
      </c>
      <c r="R369" s="274">
        <f t="shared" si="11"/>
        <v>0</v>
      </c>
    </row>
    <row r="370" spans="17:18">
      <c r="Q370" s="274">
        <f t="shared" si="10"/>
        <v>0</v>
      </c>
      <c r="R370" s="274">
        <f t="shared" si="11"/>
        <v>0</v>
      </c>
    </row>
    <row r="371" spans="17:18">
      <c r="Q371" s="274">
        <f t="shared" si="10"/>
        <v>0</v>
      </c>
      <c r="R371" s="274">
        <f t="shared" si="11"/>
        <v>0</v>
      </c>
    </row>
    <row r="372" spans="17:18">
      <c r="Q372" s="274">
        <f t="shared" si="10"/>
        <v>0</v>
      </c>
      <c r="R372" s="274">
        <f t="shared" si="11"/>
        <v>0</v>
      </c>
    </row>
    <row r="373" spans="17:18">
      <c r="Q373" s="274">
        <f t="shared" si="10"/>
        <v>0</v>
      </c>
      <c r="R373" s="274">
        <f t="shared" si="11"/>
        <v>0</v>
      </c>
    </row>
    <row r="374" spans="17:18">
      <c r="Q374" s="274">
        <f t="shared" si="10"/>
        <v>0</v>
      </c>
      <c r="R374" s="274">
        <f t="shared" si="11"/>
        <v>0</v>
      </c>
    </row>
    <row r="375" spans="17:18">
      <c r="Q375" s="274">
        <f t="shared" si="10"/>
        <v>0</v>
      </c>
      <c r="R375" s="274">
        <f t="shared" si="11"/>
        <v>0</v>
      </c>
    </row>
    <row r="376" spans="17:18">
      <c r="Q376" s="274">
        <f t="shared" si="10"/>
        <v>0</v>
      </c>
      <c r="R376" s="274">
        <f t="shared" si="11"/>
        <v>0</v>
      </c>
    </row>
    <row r="377" spans="17:18">
      <c r="Q377" s="274">
        <f t="shared" si="10"/>
        <v>0</v>
      </c>
      <c r="R377" s="274">
        <f t="shared" si="11"/>
        <v>0</v>
      </c>
    </row>
    <row r="378" spans="17:18">
      <c r="Q378" s="274">
        <f t="shared" si="10"/>
        <v>0</v>
      </c>
      <c r="R378" s="274">
        <f t="shared" si="11"/>
        <v>0</v>
      </c>
    </row>
    <row r="379" spans="17:18">
      <c r="Q379" s="274">
        <f t="shared" si="10"/>
        <v>0</v>
      </c>
      <c r="R379" s="274">
        <f t="shared" si="11"/>
        <v>0</v>
      </c>
    </row>
    <row r="380" spans="17:18">
      <c r="Q380" s="274">
        <f t="shared" si="10"/>
        <v>0</v>
      </c>
      <c r="R380" s="274">
        <f t="shared" si="11"/>
        <v>0</v>
      </c>
    </row>
    <row r="381" spans="17:18">
      <c r="Q381" s="274">
        <f t="shared" si="10"/>
        <v>0</v>
      </c>
      <c r="R381" s="274">
        <f t="shared" si="11"/>
        <v>0</v>
      </c>
    </row>
    <row r="382" spans="17:18">
      <c r="Q382" s="274">
        <f t="shared" si="10"/>
        <v>0</v>
      </c>
      <c r="R382" s="274">
        <f t="shared" si="11"/>
        <v>0</v>
      </c>
    </row>
    <row r="383" spans="17:18">
      <c r="Q383" s="274">
        <f t="shared" si="10"/>
        <v>0</v>
      </c>
      <c r="R383" s="274">
        <f t="shared" si="11"/>
        <v>0</v>
      </c>
    </row>
    <row r="384" spans="17:18">
      <c r="Q384" s="274">
        <f t="shared" si="10"/>
        <v>0</v>
      </c>
      <c r="R384" s="274">
        <f t="shared" si="11"/>
        <v>0</v>
      </c>
    </row>
    <row r="385" spans="17:18">
      <c r="Q385" s="274">
        <f t="shared" si="10"/>
        <v>0</v>
      </c>
      <c r="R385" s="274">
        <f t="shared" si="11"/>
        <v>0</v>
      </c>
    </row>
    <row r="386" spans="17:18">
      <c r="Q386" s="274">
        <f t="shared" ref="Q386:Q449" si="12">IF($J388=$A$21,IF($M388=$A$16,$L388,0),0)</f>
        <v>0</v>
      </c>
      <c r="R386" s="274">
        <f t="shared" ref="R386:R449" si="13">IF($J388=$A$22,IF($M388=$A$16,$L388,0),0)</f>
        <v>0</v>
      </c>
    </row>
    <row r="387" spans="17:18">
      <c r="Q387" s="274">
        <f t="shared" si="12"/>
        <v>0</v>
      </c>
      <c r="R387" s="274">
        <f t="shared" si="13"/>
        <v>0</v>
      </c>
    </row>
    <row r="388" spans="17:18">
      <c r="Q388" s="274">
        <f t="shared" si="12"/>
        <v>0</v>
      </c>
      <c r="R388" s="274">
        <f t="shared" si="13"/>
        <v>0</v>
      </c>
    </row>
    <row r="389" spans="17:18">
      <c r="Q389" s="274">
        <f t="shared" si="12"/>
        <v>0</v>
      </c>
      <c r="R389" s="274">
        <f t="shared" si="13"/>
        <v>0</v>
      </c>
    </row>
    <row r="390" spans="17:18">
      <c r="Q390" s="274">
        <f t="shared" si="12"/>
        <v>0</v>
      </c>
      <c r="R390" s="274">
        <f t="shared" si="13"/>
        <v>0</v>
      </c>
    </row>
    <row r="391" spans="17:18">
      <c r="Q391" s="274">
        <f t="shared" si="12"/>
        <v>0</v>
      </c>
      <c r="R391" s="274">
        <f t="shared" si="13"/>
        <v>0</v>
      </c>
    </row>
    <row r="392" spans="17:18">
      <c r="Q392" s="274">
        <f t="shared" si="12"/>
        <v>0</v>
      </c>
      <c r="R392" s="274">
        <f t="shared" si="13"/>
        <v>0</v>
      </c>
    </row>
    <row r="393" spans="17:18">
      <c r="Q393" s="274">
        <f t="shared" si="12"/>
        <v>0</v>
      </c>
      <c r="R393" s="274">
        <f t="shared" si="13"/>
        <v>0</v>
      </c>
    </row>
    <row r="394" spans="17:18">
      <c r="Q394" s="274">
        <f t="shared" si="12"/>
        <v>0</v>
      </c>
      <c r="R394" s="274">
        <f t="shared" si="13"/>
        <v>0</v>
      </c>
    </row>
    <row r="395" spans="17:18">
      <c r="Q395" s="274">
        <f t="shared" si="12"/>
        <v>0</v>
      </c>
      <c r="R395" s="274">
        <f t="shared" si="13"/>
        <v>0</v>
      </c>
    </row>
    <row r="396" spans="17:18">
      <c r="Q396" s="274">
        <f t="shared" si="12"/>
        <v>0</v>
      </c>
      <c r="R396" s="274">
        <f t="shared" si="13"/>
        <v>0</v>
      </c>
    </row>
    <row r="397" spans="17:18">
      <c r="Q397" s="274">
        <f t="shared" si="12"/>
        <v>0</v>
      </c>
      <c r="R397" s="274">
        <f t="shared" si="13"/>
        <v>0</v>
      </c>
    </row>
    <row r="398" spans="17:18">
      <c r="Q398" s="274">
        <f t="shared" si="12"/>
        <v>0</v>
      </c>
      <c r="R398" s="274">
        <f t="shared" si="13"/>
        <v>0</v>
      </c>
    </row>
    <row r="399" spans="17:18">
      <c r="Q399" s="274">
        <f t="shared" si="12"/>
        <v>0</v>
      </c>
      <c r="R399" s="274">
        <f t="shared" si="13"/>
        <v>0</v>
      </c>
    </row>
    <row r="400" spans="17:18">
      <c r="Q400" s="274">
        <f t="shared" si="12"/>
        <v>0</v>
      </c>
      <c r="R400" s="274">
        <f t="shared" si="13"/>
        <v>0</v>
      </c>
    </row>
    <row r="401" spans="17:18">
      <c r="Q401" s="274">
        <f t="shared" si="12"/>
        <v>0</v>
      </c>
      <c r="R401" s="274">
        <f t="shared" si="13"/>
        <v>0</v>
      </c>
    </row>
    <row r="402" spans="17:18">
      <c r="Q402" s="274">
        <f t="shared" si="12"/>
        <v>0</v>
      </c>
      <c r="R402" s="274">
        <f t="shared" si="13"/>
        <v>0</v>
      </c>
    </row>
    <row r="403" spans="17:18">
      <c r="Q403" s="274">
        <f t="shared" si="12"/>
        <v>0</v>
      </c>
      <c r="R403" s="274">
        <f t="shared" si="13"/>
        <v>0</v>
      </c>
    </row>
    <row r="404" spans="17:18">
      <c r="Q404" s="274">
        <f t="shared" si="12"/>
        <v>0</v>
      </c>
      <c r="R404" s="274">
        <f t="shared" si="13"/>
        <v>0</v>
      </c>
    </row>
    <row r="405" spans="17:18">
      <c r="Q405" s="274">
        <f t="shared" si="12"/>
        <v>0</v>
      </c>
      <c r="R405" s="274">
        <f t="shared" si="13"/>
        <v>0</v>
      </c>
    </row>
    <row r="406" spans="17:18">
      <c r="Q406" s="274">
        <f t="shared" si="12"/>
        <v>0</v>
      </c>
      <c r="R406" s="274">
        <f t="shared" si="13"/>
        <v>0</v>
      </c>
    </row>
    <row r="407" spans="17:18">
      <c r="Q407" s="274">
        <f t="shared" si="12"/>
        <v>0</v>
      </c>
      <c r="R407" s="274">
        <f t="shared" si="13"/>
        <v>0</v>
      </c>
    </row>
    <row r="408" spans="17:18">
      <c r="Q408" s="274">
        <f t="shared" si="12"/>
        <v>0</v>
      </c>
      <c r="R408" s="274">
        <f t="shared" si="13"/>
        <v>0</v>
      </c>
    </row>
    <row r="409" spans="17:18">
      <c r="Q409" s="274">
        <f t="shared" si="12"/>
        <v>0</v>
      </c>
      <c r="R409" s="274">
        <f t="shared" si="13"/>
        <v>0</v>
      </c>
    </row>
    <row r="410" spans="17:18">
      <c r="Q410" s="274">
        <f t="shared" si="12"/>
        <v>0</v>
      </c>
      <c r="R410" s="274">
        <f t="shared" si="13"/>
        <v>0</v>
      </c>
    </row>
    <row r="411" spans="17:18">
      <c r="Q411" s="274">
        <f t="shared" si="12"/>
        <v>0</v>
      </c>
      <c r="R411" s="274">
        <f t="shared" si="13"/>
        <v>0</v>
      </c>
    </row>
    <row r="412" spans="17:18">
      <c r="Q412" s="274">
        <f t="shared" si="12"/>
        <v>0</v>
      </c>
      <c r="R412" s="274">
        <f t="shared" si="13"/>
        <v>0</v>
      </c>
    </row>
    <row r="413" spans="17:18">
      <c r="Q413" s="274">
        <f t="shared" si="12"/>
        <v>0</v>
      </c>
      <c r="R413" s="274">
        <f t="shared" si="13"/>
        <v>0</v>
      </c>
    </row>
    <row r="414" spans="17:18">
      <c r="Q414" s="274">
        <f t="shared" si="12"/>
        <v>0</v>
      </c>
      <c r="R414" s="274">
        <f t="shared" si="13"/>
        <v>0</v>
      </c>
    </row>
    <row r="415" spans="17:18">
      <c r="Q415" s="274">
        <f t="shared" si="12"/>
        <v>0</v>
      </c>
      <c r="R415" s="274">
        <f t="shared" si="13"/>
        <v>0</v>
      </c>
    </row>
    <row r="416" spans="17:18">
      <c r="Q416" s="274">
        <f t="shared" si="12"/>
        <v>0</v>
      </c>
      <c r="R416" s="274">
        <f t="shared" si="13"/>
        <v>0</v>
      </c>
    </row>
    <row r="417" spans="17:18">
      <c r="Q417" s="274">
        <f t="shared" si="12"/>
        <v>0</v>
      </c>
      <c r="R417" s="274">
        <f t="shared" si="13"/>
        <v>0</v>
      </c>
    </row>
    <row r="418" spans="17:18">
      <c r="Q418" s="274">
        <f t="shared" si="12"/>
        <v>0</v>
      </c>
      <c r="R418" s="274">
        <f t="shared" si="13"/>
        <v>0</v>
      </c>
    </row>
    <row r="419" spans="17:18">
      <c r="Q419" s="274">
        <f t="shared" si="12"/>
        <v>0</v>
      </c>
      <c r="R419" s="274">
        <f t="shared" si="13"/>
        <v>0</v>
      </c>
    </row>
    <row r="420" spans="17:18">
      <c r="Q420" s="274">
        <f t="shared" si="12"/>
        <v>0</v>
      </c>
      <c r="R420" s="274">
        <f t="shared" si="13"/>
        <v>0</v>
      </c>
    </row>
    <row r="421" spans="17:18">
      <c r="Q421" s="274">
        <f t="shared" si="12"/>
        <v>0</v>
      </c>
      <c r="R421" s="274">
        <f t="shared" si="13"/>
        <v>0</v>
      </c>
    </row>
    <row r="422" spans="17:18">
      <c r="Q422" s="274">
        <f t="shared" si="12"/>
        <v>0</v>
      </c>
      <c r="R422" s="274">
        <f t="shared" si="13"/>
        <v>0</v>
      </c>
    </row>
    <row r="423" spans="17:18">
      <c r="Q423" s="274">
        <f t="shared" si="12"/>
        <v>0</v>
      </c>
      <c r="R423" s="274">
        <f t="shared" si="13"/>
        <v>0</v>
      </c>
    </row>
    <row r="424" spans="17:18">
      <c r="Q424" s="274">
        <f t="shared" si="12"/>
        <v>0</v>
      </c>
      <c r="R424" s="274">
        <f t="shared" si="13"/>
        <v>0</v>
      </c>
    </row>
    <row r="425" spans="17:18">
      <c r="Q425" s="274">
        <f t="shared" si="12"/>
        <v>0</v>
      </c>
      <c r="R425" s="274">
        <f t="shared" si="13"/>
        <v>0</v>
      </c>
    </row>
    <row r="426" spans="17:18">
      <c r="Q426" s="274">
        <f t="shared" si="12"/>
        <v>0</v>
      </c>
      <c r="R426" s="274">
        <f t="shared" si="13"/>
        <v>0</v>
      </c>
    </row>
    <row r="427" spans="17:18">
      <c r="Q427" s="274">
        <f t="shared" si="12"/>
        <v>0</v>
      </c>
      <c r="R427" s="274">
        <f t="shared" si="13"/>
        <v>0</v>
      </c>
    </row>
    <row r="428" spans="17:18">
      <c r="Q428" s="274">
        <f t="shared" si="12"/>
        <v>0</v>
      </c>
      <c r="R428" s="274">
        <f t="shared" si="13"/>
        <v>0</v>
      </c>
    </row>
    <row r="429" spans="17:18">
      <c r="Q429" s="274">
        <f t="shared" si="12"/>
        <v>0</v>
      </c>
      <c r="R429" s="274">
        <f t="shared" si="13"/>
        <v>0</v>
      </c>
    </row>
    <row r="430" spans="17:18">
      <c r="Q430" s="274">
        <f t="shared" si="12"/>
        <v>0</v>
      </c>
      <c r="R430" s="274">
        <f t="shared" si="13"/>
        <v>0</v>
      </c>
    </row>
    <row r="431" spans="17:18">
      <c r="Q431" s="274">
        <f t="shared" si="12"/>
        <v>0</v>
      </c>
      <c r="R431" s="274">
        <f t="shared" si="13"/>
        <v>0</v>
      </c>
    </row>
    <row r="432" spans="17:18">
      <c r="Q432" s="274">
        <f t="shared" si="12"/>
        <v>0</v>
      </c>
      <c r="R432" s="274">
        <f t="shared" si="13"/>
        <v>0</v>
      </c>
    </row>
    <row r="433" spans="17:18">
      <c r="Q433" s="274">
        <f t="shared" si="12"/>
        <v>0</v>
      </c>
      <c r="R433" s="274">
        <f t="shared" si="13"/>
        <v>0</v>
      </c>
    </row>
    <row r="434" spans="17:18">
      <c r="Q434" s="274">
        <f t="shared" si="12"/>
        <v>0</v>
      </c>
      <c r="R434" s="274">
        <f t="shared" si="13"/>
        <v>0</v>
      </c>
    </row>
    <row r="435" spans="17:18">
      <c r="Q435" s="274">
        <f t="shared" si="12"/>
        <v>0</v>
      </c>
      <c r="R435" s="274">
        <f t="shared" si="13"/>
        <v>0</v>
      </c>
    </row>
    <row r="436" spans="17:18">
      <c r="Q436" s="274">
        <f t="shared" si="12"/>
        <v>0</v>
      </c>
      <c r="R436" s="274">
        <f t="shared" si="13"/>
        <v>0</v>
      </c>
    </row>
    <row r="437" spans="17:18">
      <c r="Q437" s="274">
        <f t="shared" si="12"/>
        <v>0</v>
      </c>
      <c r="R437" s="274">
        <f t="shared" si="13"/>
        <v>0</v>
      </c>
    </row>
    <row r="438" spans="17:18">
      <c r="Q438" s="274">
        <f t="shared" si="12"/>
        <v>0</v>
      </c>
      <c r="R438" s="274">
        <f t="shared" si="13"/>
        <v>0</v>
      </c>
    </row>
    <row r="439" spans="17:18">
      <c r="Q439" s="274">
        <f t="shared" si="12"/>
        <v>0</v>
      </c>
      <c r="R439" s="274">
        <f t="shared" si="13"/>
        <v>0</v>
      </c>
    </row>
    <row r="440" spans="17:18">
      <c r="Q440" s="274">
        <f t="shared" si="12"/>
        <v>0</v>
      </c>
      <c r="R440" s="274">
        <f t="shared" si="13"/>
        <v>0</v>
      </c>
    </row>
    <row r="441" spans="17:18">
      <c r="Q441" s="274">
        <f t="shared" si="12"/>
        <v>0</v>
      </c>
      <c r="R441" s="274">
        <f t="shared" si="13"/>
        <v>0</v>
      </c>
    </row>
    <row r="442" spans="17:18">
      <c r="Q442" s="274">
        <f t="shared" si="12"/>
        <v>0</v>
      </c>
      <c r="R442" s="274">
        <f t="shared" si="13"/>
        <v>0</v>
      </c>
    </row>
    <row r="443" spans="17:18">
      <c r="Q443" s="274">
        <f t="shared" si="12"/>
        <v>0</v>
      </c>
      <c r="R443" s="274">
        <f t="shared" si="13"/>
        <v>0</v>
      </c>
    </row>
    <row r="444" spans="17:18">
      <c r="Q444" s="274">
        <f t="shared" si="12"/>
        <v>0</v>
      </c>
      <c r="R444" s="274">
        <f t="shared" si="13"/>
        <v>0</v>
      </c>
    </row>
    <row r="445" spans="17:18">
      <c r="Q445" s="274">
        <f t="shared" si="12"/>
        <v>0</v>
      </c>
      <c r="R445" s="274">
        <f t="shared" si="13"/>
        <v>0</v>
      </c>
    </row>
    <row r="446" spans="17:18">
      <c r="Q446" s="274">
        <f t="shared" si="12"/>
        <v>0</v>
      </c>
      <c r="R446" s="274">
        <f t="shared" si="13"/>
        <v>0</v>
      </c>
    </row>
    <row r="447" spans="17:18">
      <c r="Q447" s="274">
        <f t="shared" si="12"/>
        <v>0</v>
      </c>
      <c r="R447" s="274">
        <f t="shared" si="13"/>
        <v>0</v>
      </c>
    </row>
    <row r="448" spans="17:18">
      <c r="Q448" s="274">
        <f t="shared" si="12"/>
        <v>0</v>
      </c>
      <c r="R448" s="274">
        <f t="shared" si="13"/>
        <v>0</v>
      </c>
    </row>
    <row r="449" spans="17:18">
      <c r="Q449" s="274">
        <f t="shared" si="12"/>
        <v>0</v>
      </c>
      <c r="R449" s="274">
        <f t="shared" si="13"/>
        <v>0</v>
      </c>
    </row>
    <row r="450" spans="17:18">
      <c r="Q450" s="274">
        <f t="shared" ref="Q450:Q513" si="14">IF($J452=$A$21,IF($M452=$A$16,$L452,0),0)</f>
        <v>0</v>
      </c>
      <c r="R450" s="274">
        <f t="shared" ref="R450:R513" si="15">IF($J452=$A$22,IF($M452=$A$16,$L452,0),0)</f>
        <v>0</v>
      </c>
    </row>
    <row r="451" spans="17:18">
      <c r="Q451" s="274">
        <f t="shared" si="14"/>
        <v>0</v>
      </c>
      <c r="R451" s="274">
        <f t="shared" si="15"/>
        <v>0</v>
      </c>
    </row>
    <row r="452" spans="17:18">
      <c r="Q452" s="274">
        <f t="shared" si="14"/>
        <v>0</v>
      </c>
      <c r="R452" s="274">
        <f t="shared" si="15"/>
        <v>0</v>
      </c>
    </row>
    <row r="453" spans="17:18">
      <c r="Q453" s="274">
        <f t="shared" si="14"/>
        <v>0</v>
      </c>
      <c r="R453" s="274">
        <f t="shared" si="15"/>
        <v>0</v>
      </c>
    </row>
    <row r="454" spans="17:18">
      <c r="Q454" s="274">
        <f t="shared" si="14"/>
        <v>0</v>
      </c>
      <c r="R454" s="274">
        <f t="shared" si="15"/>
        <v>0</v>
      </c>
    </row>
    <row r="455" spans="17:18">
      <c r="Q455" s="274">
        <f t="shared" si="14"/>
        <v>0</v>
      </c>
      <c r="R455" s="274">
        <f t="shared" si="15"/>
        <v>0</v>
      </c>
    </row>
    <row r="456" spans="17:18">
      <c r="Q456" s="274">
        <f t="shared" si="14"/>
        <v>0</v>
      </c>
      <c r="R456" s="274">
        <f t="shared" si="15"/>
        <v>0</v>
      </c>
    </row>
    <row r="457" spans="17:18">
      <c r="Q457" s="274">
        <f t="shared" si="14"/>
        <v>0</v>
      </c>
      <c r="R457" s="274">
        <f t="shared" si="15"/>
        <v>0</v>
      </c>
    </row>
    <row r="458" spans="17:18">
      <c r="Q458" s="274">
        <f t="shared" si="14"/>
        <v>0</v>
      </c>
      <c r="R458" s="274">
        <f t="shared" si="15"/>
        <v>0</v>
      </c>
    </row>
    <row r="459" spans="17:18">
      <c r="Q459" s="274">
        <f t="shared" si="14"/>
        <v>0</v>
      </c>
      <c r="R459" s="274">
        <f t="shared" si="15"/>
        <v>0</v>
      </c>
    </row>
    <row r="460" spans="17:18">
      <c r="Q460" s="274">
        <f t="shared" si="14"/>
        <v>0</v>
      </c>
      <c r="R460" s="274">
        <f t="shared" si="15"/>
        <v>0</v>
      </c>
    </row>
    <row r="461" spans="17:18">
      <c r="Q461" s="274">
        <f t="shared" si="14"/>
        <v>0</v>
      </c>
      <c r="R461" s="274">
        <f t="shared" si="15"/>
        <v>0</v>
      </c>
    </row>
    <row r="462" spans="17:18">
      <c r="Q462" s="274">
        <f t="shared" si="14"/>
        <v>0</v>
      </c>
      <c r="R462" s="274">
        <f t="shared" si="15"/>
        <v>0</v>
      </c>
    </row>
    <row r="463" spans="17:18">
      <c r="Q463" s="274">
        <f t="shared" si="14"/>
        <v>0</v>
      </c>
      <c r="R463" s="274">
        <f t="shared" si="15"/>
        <v>0</v>
      </c>
    </row>
    <row r="464" spans="17:18">
      <c r="Q464" s="274">
        <f t="shared" si="14"/>
        <v>0</v>
      </c>
      <c r="R464" s="274">
        <f t="shared" si="15"/>
        <v>0</v>
      </c>
    </row>
    <row r="465" spans="17:18">
      <c r="Q465" s="274">
        <f t="shared" si="14"/>
        <v>0</v>
      </c>
      <c r="R465" s="274">
        <f t="shared" si="15"/>
        <v>0</v>
      </c>
    </row>
    <row r="466" spans="17:18">
      <c r="Q466" s="274">
        <f t="shared" si="14"/>
        <v>0</v>
      </c>
      <c r="R466" s="274">
        <f t="shared" si="15"/>
        <v>0</v>
      </c>
    </row>
    <row r="467" spans="17:18">
      <c r="Q467" s="274">
        <f t="shared" si="14"/>
        <v>0</v>
      </c>
      <c r="R467" s="274">
        <f t="shared" si="15"/>
        <v>0</v>
      </c>
    </row>
    <row r="468" spans="17:18">
      <c r="Q468" s="274">
        <f t="shared" si="14"/>
        <v>0</v>
      </c>
      <c r="R468" s="274">
        <f t="shared" si="15"/>
        <v>0</v>
      </c>
    </row>
    <row r="469" spans="17:18">
      <c r="Q469" s="274">
        <f t="shared" si="14"/>
        <v>0</v>
      </c>
      <c r="R469" s="274">
        <f t="shared" si="15"/>
        <v>0</v>
      </c>
    </row>
    <row r="470" spans="17:18">
      <c r="Q470" s="274">
        <f t="shared" si="14"/>
        <v>0</v>
      </c>
      <c r="R470" s="274">
        <f t="shared" si="15"/>
        <v>0</v>
      </c>
    </row>
    <row r="471" spans="17:18">
      <c r="Q471" s="274">
        <f t="shared" si="14"/>
        <v>0</v>
      </c>
      <c r="R471" s="274">
        <f t="shared" si="15"/>
        <v>0</v>
      </c>
    </row>
    <row r="472" spans="17:18">
      <c r="Q472" s="274">
        <f t="shared" si="14"/>
        <v>0</v>
      </c>
      <c r="R472" s="274">
        <f t="shared" si="15"/>
        <v>0</v>
      </c>
    </row>
    <row r="473" spans="17:18">
      <c r="Q473" s="274">
        <f t="shared" si="14"/>
        <v>0</v>
      </c>
      <c r="R473" s="274">
        <f t="shared" si="15"/>
        <v>0</v>
      </c>
    </row>
    <row r="474" spans="17:18">
      <c r="Q474" s="274">
        <f t="shared" si="14"/>
        <v>0</v>
      </c>
      <c r="R474" s="274">
        <f t="shared" si="15"/>
        <v>0</v>
      </c>
    </row>
    <row r="475" spans="17:18">
      <c r="Q475" s="274">
        <f t="shared" si="14"/>
        <v>0</v>
      </c>
      <c r="R475" s="274">
        <f t="shared" si="15"/>
        <v>0</v>
      </c>
    </row>
    <row r="476" spans="17:18">
      <c r="Q476" s="274">
        <f t="shared" si="14"/>
        <v>0</v>
      </c>
      <c r="R476" s="274">
        <f t="shared" si="15"/>
        <v>0</v>
      </c>
    </row>
    <row r="477" spans="17:18">
      <c r="Q477" s="274">
        <f t="shared" si="14"/>
        <v>0</v>
      </c>
      <c r="R477" s="274">
        <f t="shared" si="15"/>
        <v>0</v>
      </c>
    </row>
    <row r="478" spans="17:18">
      <c r="Q478" s="274">
        <f t="shared" si="14"/>
        <v>0</v>
      </c>
      <c r="R478" s="274">
        <f t="shared" si="15"/>
        <v>0</v>
      </c>
    </row>
    <row r="479" spans="17:18">
      <c r="Q479" s="274">
        <f t="shared" si="14"/>
        <v>0</v>
      </c>
      <c r="R479" s="274">
        <f t="shared" si="15"/>
        <v>0</v>
      </c>
    </row>
    <row r="480" spans="17:18">
      <c r="Q480" s="274">
        <f t="shared" si="14"/>
        <v>0</v>
      </c>
      <c r="R480" s="274">
        <f t="shared" si="15"/>
        <v>0</v>
      </c>
    </row>
    <row r="481" spans="17:18">
      <c r="Q481" s="274">
        <f t="shared" si="14"/>
        <v>0</v>
      </c>
      <c r="R481" s="274">
        <f t="shared" si="15"/>
        <v>0</v>
      </c>
    </row>
    <row r="482" spans="17:18">
      <c r="Q482" s="274">
        <f t="shared" si="14"/>
        <v>0</v>
      </c>
      <c r="R482" s="274">
        <f t="shared" si="15"/>
        <v>0</v>
      </c>
    </row>
    <row r="483" spans="17:18">
      <c r="Q483" s="274">
        <f t="shared" si="14"/>
        <v>0</v>
      </c>
      <c r="R483" s="274">
        <f t="shared" si="15"/>
        <v>0</v>
      </c>
    </row>
    <row r="484" spans="17:18">
      <c r="Q484" s="274">
        <f t="shared" si="14"/>
        <v>0</v>
      </c>
      <c r="R484" s="274">
        <f t="shared" si="15"/>
        <v>0</v>
      </c>
    </row>
    <row r="485" spans="17:18">
      <c r="Q485" s="274">
        <f t="shared" si="14"/>
        <v>0</v>
      </c>
      <c r="R485" s="274">
        <f t="shared" si="15"/>
        <v>0</v>
      </c>
    </row>
    <row r="486" spans="17:18">
      <c r="Q486" s="274">
        <f t="shared" si="14"/>
        <v>0</v>
      </c>
      <c r="R486" s="274">
        <f t="shared" si="15"/>
        <v>0</v>
      </c>
    </row>
    <row r="487" spans="17:18">
      <c r="Q487" s="274">
        <f t="shared" si="14"/>
        <v>0</v>
      </c>
      <c r="R487" s="274">
        <f t="shared" si="15"/>
        <v>0</v>
      </c>
    </row>
    <row r="488" spans="17:18">
      <c r="Q488" s="274">
        <f t="shared" si="14"/>
        <v>0</v>
      </c>
      <c r="R488" s="274">
        <f t="shared" si="15"/>
        <v>0</v>
      </c>
    </row>
    <row r="489" spans="17:18">
      <c r="Q489" s="274">
        <f t="shared" si="14"/>
        <v>0</v>
      </c>
      <c r="R489" s="274">
        <f t="shared" si="15"/>
        <v>0</v>
      </c>
    </row>
    <row r="490" spans="17:18">
      <c r="Q490" s="274">
        <f t="shared" si="14"/>
        <v>0</v>
      </c>
      <c r="R490" s="274">
        <f t="shared" si="15"/>
        <v>0</v>
      </c>
    </row>
    <row r="491" spans="17:18">
      <c r="Q491" s="274">
        <f t="shared" si="14"/>
        <v>0</v>
      </c>
      <c r="R491" s="274">
        <f t="shared" si="15"/>
        <v>0</v>
      </c>
    </row>
    <row r="492" spans="17:18">
      <c r="Q492" s="274">
        <f t="shared" si="14"/>
        <v>0</v>
      </c>
      <c r="R492" s="274">
        <f t="shared" si="15"/>
        <v>0</v>
      </c>
    </row>
    <row r="493" spans="17:18">
      <c r="Q493" s="274">
        <f t="shared" si="14"/>
        <v>0</v>
      </c>
      <c r="R493" s="274">
        <f t="shared" si="15"/>
        <v>0</v>
      </c>
    </row>
    <row r="494" spans="17:18">
      <c r="Q494" s="274">
        <f t="shared" si="14"/>
        <v>0</v>
      </c>
      <c r="R494" s="274">
        <f t="shared" si="15"/>
        <v>0</v>
      </c>
    </row>
    <row r="495" spans="17:18">
      <c r="Q495" s="274">
        <f t="shared" si="14"/>
        <v>0</v>
      </c>
      <c r="R495" s="274">
        <f t="shared" si="15"/>
        <v>0</v>
      </c>
    </row>
    <row r="496" spans="17:18">
      <c r="Q496" s="274">
        <f t="shared" si="14"/>
        <v>0</v>
      </c>
      <c r="R496" s="274">
        <f t="shared" si="15"/>
        <v>0</v>
      </c>
    </row>
    <row r="497" spans="17:18">
      <c r="Q497" s="274">
        <f t="shared" si="14"/>
        <v>0</v>
      </c>
      <c r="R497" s="274">
        <f t="shared" si="15"/>
        <v>0</v>
      </c>
    </row>
    <row r="498" spans="17:18">
      <c r="Q498" s="274">
        <f t="shared" si="14"/>
        <v>0</v>
      </c>
      <c r="R498" s="274">
        <f t="shared" si="15"/>
        <v>0</v>
      </c>
    </row>
    <row r="499" spans="17:18">
      <c r="Q499" s="274">
        <f t="shared" si="14"/>
        <v>0</v>
      </c>
      <c r="R499" s="274">
        <f t="shared" si="15"/>
        <v>0</v>
      </c>
    </row>
    <row r="500" spans="17:18">
      <c r="Q500" s="274">
        <f t="shared" si="14"/>
        <v>0</v>
      </c>
      <c r="R500" s="274">
        <f t="shared" si="15"/>
        <v>0</v>
      </c>
    </row>
    <row r="501" spans="17:18">
      <c r="Q501" s="274">
        <f t="shared" si="14"/>
        <v>0</v>
      </c>
      <c r="R501" s="274">
        <f t="shared" si="15"/>
        <v>0</v>
      </c>
    </row>
    <row r="502" spans="17:18">
      <c r="Q502" s="274">
        <f t="shared" si="14"/>
        <v>0</v>
      </c>
      <c r="R502" s="274">
        <f t="shared" si="15"/>
        <v>0</v>
      </c>
    </row>
    <row r="503" spans="17:18">
      <c r="Q503" s="274">
        <f t="shared" si="14"/>
        <v>0</v>
      </c>
      <c r="R503" s="274">
        <f t="shared" si="15"/>
        <v>0</v>
      </c>
    </row>
    <row r="504" spans="17:18">
      <c r="Q504" s="274">
        <f t="shared" si="14"/>
        <v>0</v>
      </c>
      <c r="R504" s="274">
        <f t="shared" si="15"/>
        <v>0</v>
      </c>
    </row>
    <row r="505" spans="17:18">
      <c r="Q505" s="274">
        <f t="shared" si="14"/>
        <v>0</v>
      </c>
      <c r="R505" s="274">
        <f t="shared" si="15"/>
        <v>0</v>
      </c>
    </row>
    <row r="506" spans="17:18">
      <c r="Q506" s="274">
        <f t="shared" si="14"/>
        <v>0</v>
      </c>
      <c r="R506" s="274">
        <f t="shared" si="15"/>
        <v>0</v>
      </c>
    </row>
    <row r="507" spans="17:18">
      <c r="Q507" s="274">
        <f t="shared" si="14"/>
        <v>0</v>
      </c>
      <c r="R507" s="274">
        <f t="shared" si="15"/>
        <v>0</v>
      </c>
    </row>
    <row r="508" spans="17:18">
      <c r="Q508" s="274">
        <f t="shared" si="14"/>
        <v>0</v>
      </c>
      <c r="R508" s="274">
        <f t="shared" si="15"/>
        <v>0</v>
      </c>
    </row>
    <row r="509" spans="17:18">
      <c r="Q509" s="274">
        <f t="shared" si="14"/>
        <v>0</v>
      </c>
      <c r="R509" s="274">
        <f t="shared" si="15"/>
        <v>0</v>
      </c>
    </row>
    <row r="510" spans="17:18">
      <c r="Q510" s="274">
        <f t="shared" si="14"/>
        <v>0</v>
      </c>
      <c r="R510" s="274">
        <f t="shared" si="15"/>
        <v>0</v>
      </c>
    </row>
    <row r="511" spans="17:18">
      <c r="Q511" s="274">
        <f t="shared" si="14"/>
        <v>0</v>
      </c>
      <c r="R511" s="274">
        <f t="shared" si="15"/>
        <v>0</v>
      </c>
    </row>
    <row r="512" spans="17:18">
      <c r="Q512" s="274">
        <f t="shared" si="14"/>
        <v>0</v>
      </c>
      <c r="R512" s="274">
        <f t="shared" si="15"/>
        <v>0</v>
      </c>
    </row>
    <row r="513" spans="17:18">
      <c r="Q513" s="274">
        <f t="shared" si="14"/>
        <v>0</v>
      </c>
      <c r="R513" s="274">
        <f t="shared" si="15"/>
        <v>0</v>
      </c>
    </row>
    <row r="514" spans="17:18">
      <c r="Q514" s="274">
        <f t="shared" ref="Q514:Q577" si="16">IF($J516=$A$21,IF($M516=$A$16,$L516,0),0)</f>
        <v>0</v>
      </c>
      <c r="R514" s="274">
        <f t="shared" ref="R514:R577" si="17">IF($J516=$A$22,IF($M516=$A$16,$L516,0),0)</f>
        <v>0</v>
      </c>
    </row>
    <row r="515" spans="17:18">
      <c r="Q515" s="274">
        <f t="shared" si="16"/>
        <v>0</v>
      </c>
      <c r="R515" s="274">
        <f t="shared" si="17"/>
        <v>0</v>
      </c>
    </row>
    <row r="516" spans="17:18">
      <c r="Q516" s="274">
        <f t="shared" si="16"/>
        <v>0</v>
      </c>
      <c r="R516" s="274">
        <f t="shared" si="17"/>
        <v>0</v>
      </c>
    </row>
    <row r="517" spans="17:18">
      <c r="Q517" s="274">
        <f t="shared" si="16"/>
        <v>0</v>
      </c>
      <c r="R517" s="274">
        <f t="shared" si="17"/>
        <v>0</v>
      </c>
    </row>
    <row r="518" spans="17:18">
      <c r="Q518" s="274">
        <f t="shared" si="16"/>
        <v>0</v>
      </c>
      <c r="R518" s="274">
        <f t="shared" si="17"/>
        <v>0</v>
      </c>
    </row>
    <row r="519" spans="17:18">
      <c r="Q519" s="274">
        <f t="shared" si="16"/>
        <v>0</v>
      </c>
      <c r="R519" s="274">
        <f t="shared" si="17"/>
        <v>0</v>
      </c>
    </row>
    <row r="520" spans="17:18">
      <c r="Q520" s="274">
        <f t="shared" si="16"/>
        <v>0</v>
      </c>
      <c r="R520" s="274">
        <f t="shared" si="17"/>
        <v>0</v>
      </c>
    </row>
    <row r="521" spans="17:18">
      <c r="Q521" s="274">
        <f t="shared" si="16"/>
        <v>0</v>
      </c>
      <c r="R521" s="274">
        <f t="shared" si="17"/>
        <v>0</v>
      </c>
    </row>
    <row r="522" spans="17:18">
      <c r="Q522" s="274">
        <f t="shared" si="16"/>
        <v>0</v>
      </c>
      <c r="R522" s="274">
        <f t="shared" si="17"/>
        <v>0</v>
      </c>
    </row>
    <row r="523" spans="17:18">
      <c r="Q523" s="274">
        <f t="shared" si="16"/>
        <v>0</v>
      </c>
      <c r="R523" s="274">
        <f t="shared" si="17"/>
        <v>0</v>
      </c>
    </row>
    <row r="524" spans="17:18">
      <c r="Q524" s="274">
        <f t="shared" si="16"/>
        <v>0</v>
      </c>
      <c r="R524" s="274">
        <f t="shared" si="17"/>
        <v>0</v>
      </c>
    </row>
    <row r="525" spans="17:18">
      <c r="Q525" s="274">
        <f t="shared" si="16"/>
        <v>0</v>
      </c>
      <c r="R525" s="274">
        <f t="shared" si="17"/>
        <v>0</v>
      </c>
    </row>
    <row r="526" spans="17:18">
      <c r="Q526" s="274">
        <f t="shared" si="16"/>
        <v>0</v>
      </c>
      <c r="R526" s="274">
        <f t="shared" si="17"/>
        <v>0</v>
      </c>
    </row>
    <row r="527" spans="17:18">
      <c r="Q527" s="274">
        <f t="shared" si="16"/>
        <v>0</v>
      </c>
      <c r="R527" s="274">
        <f t="shared" si="17"/>
        <v>0</v>
      </c>
    </row>
    <row r="528" spans="17:18">
      <c r="Q528" s="274">
        <f t="shared" si="16"/>
        <v>0</v>
      </c>
      <c r="R528" s="274">
        <f t="shared" si="17"/>
        <v>0</v>
      </c>
    </row>
    <row r="529" spans="17:18">
      <c r="Q529" s="274">
        <f t="shared" si="16"/>
        <v>0</v>
      </c>
      <c r="R529" s="274">
        <f t="shared" si="17"/>
        <v>0</v>
      </c>
    </row>
    <row r="530" spans="17:18">
      <c r="Q530" s="274">
        <f t="shared" si="16"/>
        <v>0</v>
      </c>
      <c r="R530" s="274">
        <f t="shared" si="17"/>
        <v>0</v>
      </c>
    </row>
    <row r="531" spans="17:18">
      <c r="Q531" s="274">
        <f t="shared" si="16"/>
        <v>0</v>
      </c>
      <c r="R531" s="274">
        <f t="shared" si="17"/>
        <v>0</v>
      </c>
    </row>
    <row r="532" spans="17:18">
      <c r="Q532" s="274">
        <f t="shared" si="16"/>
        <v>0</v>
      </c>
      <c r="R532" s="274">
        <f t="shared" si="17"/>
        <v>0</v>
      </c>
    </row>
    <row r="533" spans="17:18">
      <c r="Q533" s="274">
        <f t="shared" si="16"/>
        <v>0</v>
      </c>
      <c r="R533" s="274">
        <f t="shared" si="17"/>
        <v>0</v>
      </c>
    </row>
    <row r="534" spans="17:18">
      <c r="Q534" s="274">
        <f t="shared" si="16"/>
        <v>0</v>
      </c>
      <c r="R534" s="274">
        <f t="shared" si="17"/>
        <v>0</v>
      </c>
    </row>
    <row r="535" spans="17:18">
      <c r="Q535" s="274">
        <f t="shared" si="16"/>
        <v>0</v>
      </c>
      <c r="R535" s="274">
        <f t="shared" si="17"/>
        <v>0</v>
      </c>
    </row>
    <row r="536" spans="17:18">
      <c r="Q536" s="274">
        <f t="shared" si="16"/>
        <v>0</v>
      </c>
      <c r="R536" s="274">
        <f t="shared" si="17"/>
        <v>0</v>
      </c>
    </row>
    <row r="537" spans="17:18">
      <c r="Q537" s="274">
        <f t="shared" si="16"/>
        <v>0</v>
      </c>
      <c r="R537" s="274">
        <f t="shared" si="17"/>
        <v>0</v>
      </c>
    </row>
    <row r="538" spans="17:18">
      <c r="Q538" s="274">
        <f t="shared" si="16"/>
        <v>0</v>
      </c>
      <c r="R538" s="274">
        <f t="shared" si="17"/>
        <v>0</v>
      </c>
    </row>
    <row r="539" spans="17:18">
      <c r="Q539" s="274">
        <f t="shared" si="16"/>
        <v>0</v>
      </c>
      <c r="R539" s="274">
        <f t="shared" si="17"/>
        <v>0</v>
      </c>
    </row>
    <row r="540" spans="17:18">
      <c r="Q540" s="274">
        <f t="shared" si="16"/>
        <v>0</v>
      </c>
      <c r="R540" s="274">
        <f t="shared" si="17"/>
        <v>0</v>
      </c>
    </row>
    <row r="541" spans="17:18">
      <c r="Q541" s="274">
        <f t="shared" si="16"/>
        <v>0</v>
      </c>
      <c r="R541" s="274">
        <f t="shared" si="17"/>
        <v>0</v>
      </c>
    </row>
    <row r="542" spans="17:18">
      <c r="Q542" s="274">
        <f t="shared" si="16"/>
        <v>0</v>
      </c>
      <c r="R542" s="274">
        <f t="shared" si="17"/>
        <v>0</v>
      </c>
    </row>
    <row r="543" spans="17:18">
      <c r="Q543" s="274">
        <f t="shared" si="16"/>
        <v>0</v>
      </c>
      <c r="R543" s="274">
        <f t="shared" si="17"/>
        <v>0</v>
      </c>
    </row>
    <row r="544" spans="17:18">
      <c r="Q544" s="274">
        <f t="shared" si="16"/>
        <v>0</v>
      </c>
      <c r="R544" s="274">
        <f t="shared" si="17"/>
        <v>0</v>
      </c>
    </row>
    <row r="545" spans="17:18">
      <c r="Q545" s="274">
        <f t="shared" si="16"/>
        <v>0</v>
      </c>
      <c r="R545" s="274">
        <f t="shared" si="17"/>
        <v>0</v>
      </c>
    </row>
    <row r="546" spans="17:18">
      <c r="Q546" s="274">
        <f t="shared" si="16"/>
        <v>0</v>
      </c>
      <c r="R546" s="274">
        <f t="shared" si="17"/>
        <v>0</v>
      </c>
    </row>
    <row r="547" spans="17:18">
      <c r="Q547" s="274">
        <f t="shared" si="16"/>
        <v>0</v>
      </c>
      <c r="R547" s="274">
        <f t="shared" si="17"/>
        <v>0</v>
      </c>
    </row>
    <row r="548" spans="17:18">
      <c r="Q548" s="274">
        <f t="shared" si="16"/>
        <v>0</v>
      </c>
      <c r="R548" s="274">
        <f t="shared" si="17"/>
        <v>0</v>
      </c>
    </row>
    <row r="549" spans="17:18">
      <c r="Q549" s="274">
        <f t="shared" si="16"/>
        <v>0</v>
      </c>
      <c r="R549" s="274">
        <f t="shared" si="17"/>
        <v>0</v>
      </c>
    </row>
    <row r="550" spans="17:18">
      <c r="Q550" s="274">
        <f t="shared" si="16"/>
        <v>0</v>
      </c>
      <c r="R550" s="274">
        <f t="shared" si="17"/>
        <v>0</v>
      </c>
    </row>
    <row r="551" spans="17:18">
      <c r="Q551" s="274">
        <f t="shared" si="16"/>
        <v>0</v>
      </c>
      <c r="R551" s="274">
        <f t="shared" si="17"/>
        <v>0</v>
      </c>
    </row>
    <row r="552" spans="17:18">
      <c r="Q552" s="274">
        <f t="shared" si="16"/>
        <v>0</v>
      </c>
      <c r="R552" s="274">
        <f t="shared" si="17"/>
        <v>0</v>
      </c>
    </row>
    <row r="553" spans="17:18">
      <c r="Q553" s="274">
        <f t="shared" si="16"/>
        <v>0</v>
      </c>
      <c r="R553" s="274">
        <f t="shared" si="17"/>
        <v>0</v>
      </c>
    </row>
    <row r="554" spans="17:18">
      <c r="Q554" s="274">
        <f t="shared" si="16"/>
        <v>0</v>
      </c>
      <c r="R554" s="274">
        <f t="shared" si="17"/>
        <v>0</v>
      </c>
    </row>
    <row r="555" spans="17:18">
      <c r="Q555" s="274">
        <f t="shared" si="16"/>
        <v>0</v>
      </c>
      <c r="R555" s="274">
        <f t="shared" si="17"/>
        <v>0</v>
      </c>
    </row>
    <row r="556" spans="17:18">
      <c r="Q556" s="274">
        <f t="shared" si="16"/>
        <v>0</v>
      </c>
      <c r="R556" s="274">
        <f t="shared" si="17"/>
        <v>0</v>
      </c>
    </row>
    <row r="557" spans="17:18">
      <c r="Q557" s="274">
        <f t="shared" si="16"/>
        <v>0</v>
      </c>
      <c r="R557" s="274">
        <f t="shared" si="17"/>
        <v>0</v>
      </c>
    </row>
    <row r="558" spans="17:18">
      <c r="Q558" s="274">
        <f t="shared" si="16"/>
        <v>0</v>
      </c>
      <c r="R558" s="274">
        <f t="shared" si="17"/>
        <v>0</v>
      </c>
    </row>
    <row r="559" spans="17:18">
      <c r="Q559" s="274">
        <f t="shared" si="16"/>
        <v>0</v>
      </c>
      <c r="R559" s="274">
        <f t="shared" si="17"/>
        <v>0</v>
      </c>
    </row>
    <row r="560" spans="17:18">
      <c r="Q560" s="274">
        <f t="shared" si="16"/>
        <v>0</v>
      </c>
      <c r="R560" s="274">
        <f t="shared" si="17"/>
        <v>0</v>
      </c>
    </row>
    <row r="561" spans="17:18">
      <c r="Q561" s="274">
        <f t="shared" si="16"/>
        <v>0</v>
      </c>
      <c r="R561" s="274">
        <f t="shared" si="17"/>
        <v>0</v>
      </c>
    </row>
    <row r="562" spans="17:18">
      <c r="Q562" s="274">
        <f t="shared" si="16"/>
        <v>0</v>
      </c>
      <c r="R562" s="274">
        <f t="shared" si="17"/>
        <v>0</v>
      </c>
    </row>
    <row r="563" spans="17:18">
      <c r="Q563" s="274">
        <f t="shared" si="16"/>
        <v>0</v>
      </c>
      <c r="R563" s="274">
        <f t="shared" si="17"/>
        <v>0</v>
      </c>
    </row>
    <row r="564" spans="17:18">
      <c r="Q564" s="274">
        <f t="shared" si="16"/>
        <v>0</v>
      </c>
      <c r="R564" s="274">
        <f t="shared" si="17"/>
        <v>0</v>
      </c>
    </row>
    <row r="565" spans="17:18">
      <c r="Q565" s="274">
        <f t="shared" si="16"/>
        <v>0</v>
      </c>
      <c r="R565" s="274">
        <f t="shared" si="17"/>
        <v>0</v>
      </c>
    </row>
    <row r="566" spans="17:18">
      <c r="Q566" s="274">
        <f t="shared" si="16"/>
        <v>0</v>
      </c>
      <c r="R566" s="274">
        <f t="shared" si="17"/>
        <v>0</v>
      </c>
    </row>
    <row r="567" spans="17:18">
      <c r="Q567" s="274">
        <f t="shared" si="16"/>
        <v>0</v>
      </c>
      <c r="R567" s="274">
        <f t="shared" si="17"/>
        <v>0</v>
      </c>
    </row>
    <row r="568" spans="17:18">
      <c r="Q568" s="274">
        <f t="shared" si="16"/>
        <v>0</v>
      </c>
      <c r="R568" s="274">
        <f t="shared" si="17"/>
        <v>0</v>
      </c>
    </row>
    <row r="569" spans="17:18">
      <c r="Q569" s="274">
        <f t="shared" si="16"/>
        <v>0</v>
      </c>
      <c r="R569" s="274">
        <f t="shared" si="17"/>
        <v>0</v>
      </c>
    </row>
    <row r="570" spans="17:18">
      <c r="Q570" s="274">
        <f t="shared" si="16"/>
        <v>0</v>
      </c>
      <c r="R570" s="274">
        <f t="shared" si="17"/>
        <v>0</v>
      </c>
    </row>
    <row r="571" spans="17:18">
      <c r="Q571" s="274">
        <f t="shared" si="16"/>
        <v>0</v>
      </c>
      <c r="R571" s="274">
        <f t="shared" si="17"/>
        <v>0</v>
      </c>
    </row>
    <row r="572" spans="17:18">
      <c r="Q572" s="274">
        <f t="shared" si="16"/>
        <v>0</v>
      </c>
      <c r="R572" s="274">
        <f t="shared" si="17"/>
        <v>0</v>
      </c>
    </row>
    <row r="573" spans="17:18">
      <c r="Q573" s="274">
        <f t="shared" si="16"/>
        <v>0</v>
      </c>
      <c r="R573" s="274">
        <f t="shared" si="17"/>
        <v>0</v>
      </c>
    </row>
    <row r="574" spans="17:18">
      <c r="Q574" s="274">
        <f t="shared" si="16"/>
        <v>0</v>
      </c>
      <c r="R574" s="274">
        <f t="shared" si="17"/>
        <v>0</v>
      </c>
    </row>
    <row r="575" spans="17:18">
      <c r="Q575" s="274">
        <f t="shared" si="16"/>
        <v>0</v>
      </c>
      <c r="R575" s="274">
        <f t="shared" si="17"/>
        <v>0</v>
      </c>
    </row>
    <row r="576" spans="17:18">
      <c r="Q576" s="274">
        <f t="shared" si="16"/>
        <v>0</v>
      </c>
      <c r="R576" s="274">
        <f t="shared" si="17"/>
        <v>0</v>
      </c>
    </row>
    <row r="577" spans="17:18">
      <c r="Q577" s="274">
        <f t="shared" si="16"/>
        <v>0</v>
      </c>
      <c r="R577" s="274">
        <f t="shared" si="17"/>
        <v>0</v>
      </c>
    </row>
    <row r="578" spans="17:18">
      <c r="Q578" s="274">
        <f t="shared" ref="Q578:Q641" si="18">IF($J580=$A$21,IF($M580=$A$16,$L580,0),0)</f>
        <v>0</v>
      </c>
      <c r="R578" s="274">
        <f t="shared" ref="R578:R641" si="19">IF($J580=$A$22,IF($M580=$A$16,$L580,0),0)</f>
        <v>0</v>
      </c>
    </row>
    <row r="579" spans="17:18">
      <c r="Q579" s="274">
        <f t="shared" si="18"/>
        <v>0</v>
      </c>
      <c r="R579" s="274">
        <f t="shared" si="19"/>
        <v>0</v>
      </c>
    </row>
    <row r="580" spans="17:18">
      <c r="Q580" s="274">
        <f t="shared" si="18"/>
        <v>0</v>
      </c>
      <c r="R580" s="274">
        <f t="shared" si="19"/>
        <v>0</v>
      </c>
    </row>
    <row r="581" spans="17:18">
      <c r="Q581" s="274">
        <f t="shared" si="18"/>
        <v>0</v>
      </c>
      <c r="R581" s="274">
        <f t="shared" si="19"/>
        <v>0</v>
      </c>
    </row>
    <row r="582" spans="17:18">
      <c r="Q582" s="274">
        <f t="shared" si="18"/>
        <v>0</v>
      </c>
      <c r="R582" s="274">
        <f t="shared" si="19"/>
        <v>0</v>
      </c>
    </row>
    <row r="583" spans="17:18">
      <c r="Q583" s="274">
        <f t="shared" si="18"/>
        <v>0</v>
      </c>
      <c r="R583" s="274">
        <f t="shared" si="19"/>
        <v>0</v>
      </c>
    </row>
    <row r="584" spans="17:18">
      <c r="Q584" s="274">
        <f t="shared" si="18"/>
        <v>0</v>
      </c>
      <c r="R584" s="274">
        <f t="shared" si="19"/>
        <v>0</v>
      </c>
    </row>
    <row r="585" spans="17:18">
      <c r="Q585" s="274">
        <f t="shared" si="18"/>
        <v>0</v>
      </c>
      <c r="R585" s="274">
        <f t="shared" si="19"/>
        <v>0</v>
      </c>
    </row>
    <row r="586" spans="17:18">
      <c r="Q586" s="274">
        <f t="shared" si="18"/>
        <v>0</v>
      </c>
      <c r="R586" s="274">
        <f t="shared" si="19"/>
        <v>0</v>
      </c>
    </row>
    <row r="587" spans="17:18">
      <c r="Q587" s="274">
        <f t="shared" si="18"/>
        <v>0</v>
      </c>
      <c r="R587" s="274">
        <f t="shared" si="19"/>
        <v>0</v>
      </c>
    </row>
    <row r="588" spans="17:18">
      <c r="Q588" s="274">
        <f t="shared" si="18"/>
        <v>0</v>
      </c>
      <c r="R588" s="274">
        <f t="shared" si="19"/>
        <v>0</v>
      </c>
    </row>
    <row r="589" spans="17:18">
      <c r="Q589" s="274">
        <f t="shared" si="18"/>
        <v>0</v>
      </c>
      <c r="R589" s="274">
        <f t="shared" si="19"/>
        <v>0</v>
      </c>
    </row>
    <row r="590" spans="17:18">
      <c r="Q590" s="274">
        <f t="shared" si="18"/>
        <v>0</v>
      </c>
      <c r="R590" s="274">
        <f t="shared" si="19"/>
        <v>0</v>
      </c>
    </row>
    <row r="591" spans="17:18">
      <c r="Q591" s="274">
        <f t="shared" si="18"/>
        <v>0</v>
      </c>
      <c r="R591" s="274">
        <f t="shared" si="19"/>
        <v>0</v>
      </c>
    </row>
    <row r="592" spans="17:18">
      <c r="Q592" s="274">
        <f t="shared" si="18"/>
        <v>0</v>
      </c>
      <c r="R592" s="274">
        <f t="shared" si="19"/>
        <v>0</v>
      </c>
    </row>
    <row r="593" spans="17:18">
      <c r="Q593" s="274">
        <f t="shared" si="18"/>
        <v>0</v>
      </c>
      <c r="R593" s="274">
        <f t="shared" si="19"/>
        <v>0</v>
      </c>
    </row>
    <row r="594" spans="17:18">
      <c r="Q594" s="274">
        <f t="shared" si="18"/>
        <v>0</v>
      </c>
      <c r="R594" s="274">
        <f t="shared" si="19"/>
        <v>0</v>
      </c>
    </row>
    <row r="595" spans="17:18">
      <c r="Q595" s="274">
        <f t="shared" si="18"/>
        <v>0</v>
      </c>
      <c r="R595" s="274">
        <f t="shared" si="19"/>
        <v>0</v>
      </c>
    </row>
    <row r="596" spans="17:18">
      <c r="Q596" s="274">
        <f t="shared" si="18"/>
        <v>0</v>
      </c>
      <c r="R596" s="274">
        <f t="shared" si="19"/>
        <v>0</v>
      </c>
    </row>
    <row r="597" spans="17:18">
      <c r="Q597" s="274">
        <f t="shared" si="18"/>
        <v>0</v>
      </c>
      <c r="R597" s="274">
        <f t="shared" si="19"/>
        <v>0</v>
      </c>
    </row>
    <row r="598" spans="17:18">
      <c r="Q598" s="274">
        <f t="shared" si="18"/>
        <v>0</v>
      </c>
      <c r="R598" s="274">
        <f t="shared" si="19"/>
        <v>0</v>
      </c>
    </row>
    <row r="599" spans="17:18">
      <c r="Q599" s="274">
        <f t="shared" si="18"/>
        <v>0</v>
      </c>
      <c r="R599" s="274">
        <f t="shared" si="19"/>
        <v>0</v>
      </c>
    </row>
    <row r="600" spans="17:18">
      <c r="Q600" s="274">
        <f t="shared" si="18"/>
        <v>0</v>
      </c>
      <c r="R600" s="274">
        <f t="shared" si="19"/>
        <v>0</v>
      </c>
    </row>
    <row r="601" spans="17:18">
      <c r="Q601" s="274">
        <f t="shared" si="18"/>
        <v>0</v>
      </c>
      <c r="R601" s="274">
        <f t="shared" si="19"/>
        <v>0</v>
      </c>
    </row>
    <row r="602" spans="17:18">
      <c r="Q602" s="274">
        <f t="shared" si="18"/>
        <v>0</v>
      </c>
      <c r="R602" s="274">
        <f t="shared" si="19"/>
        <v>0</v>
      </c>
    </row>
    <row r="603" spans="17:18">
      <c r="Q603" s="274">
        <f t="shared" si="18"/>
        <v>0</v>
      </c>
      <c r="R603" s="274">
        <f t="shared" si="19"/>
        <v>0</v>
      </c>
    </row>
    <row r="604" spans="17:18">
      <c r="Q604" s="274">
        <f t="shared" si="18"/>
        <v>0</v>
      </c>
      <c r="R604" s="274">
        <f t="shared" si="19"/>
        <v>0</v>
      </c>
    </row>
    <row r="605" spans="17:18">
      <c r="Q605" s="274">
        <f t="shared" si="18"/>
        <v>0</v>
      </c>
      <c r="R605" s="274">
        <f t="shared" si="19"/>
        <v>0</v>
      </c>
    </row>
    <row r="606" spans="17:18">
      <c r="Q606" s="274">
        <f t="shared" si="18"/>
        <v>0</v>
      </c>
      <c r="R606" s="274">
        <f t="shared" si="19"/>
        <v>0</v>
      </c>
    </row>
    <row r="607" spans="17:18">
      <c r="Q607" s="274">
        <f t="shared" si="18"/>
        <v>0</v>
      </c>
      <c r="R607" s="274">
        <f t="shared" si="19"/>
        <v>0</v>
      </c>
    </row>
    <row r="608" spans="17:18">
      <c r="Q608" s="274">
        <f t="shared" si="18"/>
        <v>0</v>
      </c>
      <c r="R608" s="274">
        <f t="shared" si="19"/>
        <v>0</v>
      </c>
    </row>
    <row r="609" spans="17:18">
      <c r="Q609" s="274">
        <f t="shared" si="18"/>
        <v>0</v>
      </c>
      <c r="R609" s="274">
        <f t="shared" si="19"/>
        <v>0</v>
      </c>
    </row>
    <row r="610" spans="17:18">
      <c r="Q610" s="274">
        <f t="shared" si="18"/>
        <v>0</v>
      </c>
      <c r="R610" s="274">
        <f t="shared" si="19"/>
        <v>0</v>
      </c>
    </row>
    <row r="611" spans="17:18">
      <c r="Q611" s="274">
        <f t="shared" si="18"/>
        <v>0</v>
      </c>
      <c r="R611" s="274">
        <f t="shared" si="19"/>
        <v>0</v>
      </c>
    </row>
    <row r="612" spans="17:18">
      <c r="Q612" s="274">
        <f t="shared" si="18"/>
        <v>0</v>
      </c>
      <c r="R612" s="274">
        <f t="shared" si="19"/>
        <v>0</v>
      </c>
    </row>
    <row r="613" spans="17:18">
      <c r="Q613" s="274">
        <f t="shared" si="18"/>
        <v>0</v>
      </c>
      <c r="R613" s="274">
        <f t="shared" si="19"/>
        <v>0</v>
      </c>
    </row>
    <row r="614" spans="17:18">
      <c r="Q614" s="274">
        <f t="shared" si="18"/>
        <v>0</v>
      </c>
      <c r="R614" s="274">
        <f t="shared" si="19"/>
        <v>0</v>
      </c>
    </row>
    <row r="615" spans="17:18">
      <c r="Q615" s="274">
        <f t="shared" si="18"/>
        <v>0</v>
      </c>
      <c r="R615" s="274">
        <f t="shared" si="19"/>
        <v>0</v>
      </c>
    </row>
    <row r="616" spans="17:18">
      <c r="Q616" s="274">
        <f t="shared" si="18"/>
        <v>0</v>
      </c>
      <c r="R616" s="274">
        <f t="shared" si="19"/>
        <v>0</v>
      </c>
    </row>
    <row r="617" spans="17:18">
      <c r="Q617" s="274">
        <f t="shared" si="18"/>
        <v>0</v>
      </c>
      <c r="R617" s="274">
        <f t="shared" si="19"/>
        <v>0</v>
      </c>
    </row>
    <row r="618" spans="17:18">
      <c r="Q618" s="274">
        <f t="shared" si="18"/>
        <v>0</v>
      </c>
      <c r="R618" s="274">
        <f t="shared" si="19"/>
        <v>0</v>
      </c>
    </row>
    <row r="619" spans="17:18">
      <c r="Q619" s="274">
        <f t="shared" si="18"/>
        <v>0</v>
      </c>
      <c r="R619" s="274">
        <f t="shared" si="19"/>
        <v>0</v>
      </c>
    </row>
    <row r="620" spans="17:18">
      <c r="Q620" s="274">
        <f t="shared" si="18"/>
        <v>0</v>
      </c>
      <c r="R620" s="274">
        <f t="shared" si="19"/>
        <v>0</v>
      </c>
    </row>
    <row r="621" spans="17:18">
      <c r="Q621" s="274">
        <f t="shared" si="18"/>
        <v>0</v>
      </c>
      <c r="R621" s="274">
        <f t="shared" si="19"/>
        <v>0</v>
      </c>
    </row>
    <row r="622" spans="17:18">
      <c r="Q622" s="274">
        <f t="shared" si="18"/>
        <v>0</v>
      </c>
      <c r="R622" s="274">
        <f t="shared" si="19"/>
        <v>0</v>
      </c>
    </row>
    <row r="623" spans="17:18">
      <c r="Q623" s="274">
        <f t="shared" si="18"/>
        <v>0</v>
      </c>
      <c r="R623" s="274">
        <f t="shared" si="19"/>
        <v>0</v>
      </c>
    </row>
    <row r="624" spans="17:18">
      <c r="Q624" s="274">
        <f t="shared" si="18"/>
        <v>0</v>
      </c>
      <c r="R624" s="274">
        <f t="shared" si="19"/>
        <v>0</v>
      </c>
    </row>
    <row r="625" spans="17:18">
      <c r="Q625" s="274">
        <f t="shared" si="18"/>
        <v>0</v>
      </c>
      <c r="R625" s="274">
        <f t="shared" si="19"/>
        <v>0</v>
      </c>
    </row>
    <row r="626" spans="17:18">
      <c r="Q626" s="274">
        <f t="shared" si="18"/>
        <v>0</v>
      </c>
      <c r="R626" s="274">
        <f t="shared" si="19"/>
        <v>0</v>
      </c>
    </row>
    <row r="627" spans="17:18">
      <c r="Q627" s="274">
        <f t="shared" si="18"/>
        <v>0</v>
      </c>
      <c r="R627" s="274">
        <f t="shared" si="19"/>
        <v>0</v>
      </c>
    </row>
    <row r="628" spans="17:18">
      <c r="Q628" s="274">
        <f t="shared" si="18"/>
        <v>0</v>
      </c>
      <c r="R628" s="274">
        <f t="shared" si="19"/>
        <v>0</v>
      </c>
    </row>
    <row r="629" spans="17:18">
      <c r="Q629" s="274">
        <f t="shared" si="18"/>
        <v>0</v>
      </c>
      <c r="R629" s="274">
        <f t="shared" si="19"/>
        <v>0</v>
      </c>
    </row>
    <row r="630" spans="17:18">
      <c r="Q630" s="274">
        <f t="shared" si="18"/>
        <v>0</v>
      </c>
      <c r="R630" s="274">
        <f t="shared" si="19"/>
        <v>0</v>
      </c>
    </row>
    <row r="631" spans="17:18">
      <c r="Q631" s="274">
        <f t="shared" si="18"/>
        <v>0</v>
      </c>
      <c r="R631" s="274">
        <f t="shared" si="19"/>
        <v>0</v>
      </c>
    </row>
    <row r="632" spans="17:18">
      <c r="Q632" s="274">
        <f t="shared" si="18"/>
        <v>0</v>
      </c>
      <c r="R632" s="274">
        <f t="shared" si="19"/>
        <v>0</v>
      </c>
    </row>
    <row r="633" spans="17:18">
      <c r="Q633" s="274">
        <f t="shared" si="18"/>
        <v>0</v>
      </c>
      <c r="R633" s="274">
        <f t="shared" si="19"/>
        <v>0</v>
      </c>
    </row>
    <row r="634" spans="17:18">
      <c r="Q634" s="274">
        <f t="shared" si="18"/>
        <v>0</v>
      </c>
      <c r="R634" s="274">
        <f t="shared" si="19"/>
        <v>0</v>
      </c>
    </row>
    <row r="635" spans="17:18">
      <c r="Q635" s="274">
        <f t="shared" si="18"/>
        <v>0</v>
      </c>
      <c r="R635" s="274">
        <f t="shared" si="19"/>
        <v>0</v>
      </c>
    </row>
    <row r="636" spans="17:18">
      <c r="Q636" s="274">
        <f t="shared" si="18"/>
        <v>0</v>
      </c>
      <c r="R636" s="274">
        <f t="shared" si="19"/>
        <v>0</v>
      </c>
    </row>
    <row r="637" spans="17:18">
      <c r="Q637" s="274">
        <f t="shared" si="18"/>
        <v>0</v>
      </c>
      <c r="R637" s="274">
        <f t="shared" si="19"/>
        <v>0</v>
      </c>
    </row>
    <row r="638" spans="17:18">
      <c r="Q638" s="274">
        <f t="shared" si="18"/>
        <v>0</v>
      </c>
      <c r="R638" s="274">
        <f t="shared" si="19"/>
        <v>0</v>
      </c>
    </row>
    <row r="639" spans="17:18">
      <c r="Q639" s="274">
        <f t="shared" si="18"/>
        <v>0</v>
      </c>
      <c r="R639" s="274">
        <f t="shared" si="19"/>
        <v>0</v>
      </c>
    </row>
    <row r="640" spans="17:18">
      <c r="Q640" s="274">
        <f t="shared" si="18"/>
        <v>0</v>
      </c>
      <c r="R640" s="274">
        <f t="shared" si="19"/>
        <v>0</v>
      </c>
    </row>
    <row r="641" spans="17:18">
      <c r="Q641" s="274">
        <f t="shared" si="18"/>
        <v>0</v>
      </c>
      <c r="R641" s="274">
        <f t="shared" si="19"/>
        <v>0</v>
      </c>
    </row>
    <row r="642" spans="17:18">
      <c r="Q642" s="274">
        <f t="shared" ref="Q642:Q705" si="20">IF($J644=$A$21,IF($M644=$A$16,$L644,0),0)</f>
        <v>0</v>
      </c>
      <c r="R642" s="274">
        <f t="shared" ref="R642:R705" si="21">IF($J644=$A$22,IF($M644=$A$16,$L644,0),0)</f>
        <v>0</v>
      </c>
    </row>
    <row r="643" spans="17:18">
      <c r="Q643" s="274">
        <f t="shared" si="20"/>
        <v>0</v>
      </c>
      <c r="R643" s="274">
        <f t="shared" si="21"/>
        <v>0</v>
      </c>
    </row>
    <row r="644" spans="17:18">
      <c r="Q644" s="274">
        <f t="shared" si="20"/>
        <v>0</v>
      </c>
      <c r="R644" s="274">
        <f t="shared" si="21"/>
        <v>0</v>
      </c>
    </row>
    <row r="645" spans="17:18">
      <c r="Q645" s="274">
        <f t="shared" si="20"/>
        <v>0</v>
      </c>
      <c r="R645" s="274">
        <f t="shared" si="21"/>
        <v>0</v>
      </c>
    </row>
    <row r="646" spans="17:18">
      <c r="Q646" s="274">
        <f t="shared" si="20"/>
        <v>0</v>
      </c>
      <c r="R646" s="274">
        <f t="shared" si="21"/>
        <v>0</v>
      </c>
    </row>
    <row r="647" spans="17:18">
      <c r="Q647" s="274">
        <f t="shared" si="20"/>
        <v>0</v>
      </c>
      <c r="R647" s="274">
        <f t="shared" si="21"/>
        <v>0</v>
      </c>
    </row>
    <row r="648" spans="17:18">
      <c r="Q648" s="274">
        <f t="shared" si="20"/>
        <v>0</v>
      </c>
      <c r="R648" s="274">
        <f t="shared" si="21"/>
        <v>0</v>
      </c>
    </row>
    <row r="649" spans="17:18">
      <c r="Q649" s="274">
        <f t="shared" si="20"/>
        <v>0</v>
      </c>
      <c r="R649" s="274">
        <f t="shared" si="21"/>
        <v>0</v>
      </c>
    </row>
    <row r="650" spans="17:18">
      <c r="Q650" s="274">
        <f t="shared" si="20"/>
        <v>0</v>
      </c>
      <c r="R650" s="274">
        <f t="shared" si="21"/>
        <v>0</v>
      </c>
    </row>
    <row r="651" spans="17:18">
      <c r="Q651" s="274">
        <f t="shared" si="20"/>
        <v>0</v>
      </c>
      <c r="R651" s="274">
        <f t="shared" si="21"/>
        <v>0</v>
      </c>
    </row>
    <row r="652" spans="17:18">
      <c r="Q652" s="274">
        <f t="shared" si="20"/>
        <v>0</v>
      </c>
      <c r="R652" s="274">
        <f t="shared" si="21"/>
        <v>0</v>
      </c>
    </row>
    <row r="653" spans="17:18">
      <c r="Q653" s="274">
        <f t="shared" si="20"/>
        <v>0</v>
      </c>
      <c r="R653" s="274">
        <f t="shared" si="21"/>
        <v>0</v>
      </c>
    </row>
    <row r="654" spans="17:18">
      <c r="Q654" s="274">
        <f t="shared" si="20"/>
        <v>0</v>
      </c>
      <c r="R654" s="274">
        <f t="shared" si="21"/>
        <v>0</v>
      </c>
    </row>
    <row r="655" spans="17:18">
      <c r="Q655" s="274">
        <f t="shared" si="20"/>
        <v>0</v>
      </c>
      <c r="R655" s="274">
        <f t="shared" si="21"/>
        <v>0</v>
      </c>
    </row>
    <row r="656" spans="17:18">
      <c r="Q656" s="274">
        <f t="shared" si="20"/>
        <v>0</v>
      </c>
      <c r="R656" s="274">
        <f t="shared" si="21"/>
        <v>0</v>
      </c>
    </row>
    <row r="657" spans="17:18">
      <c r="Q657" s="274">
        <f t="shared" si="20"/>
        <v>0</v>
      </c>
      <c r="R657" s="274">
        <f t="shared" si="21"/>
        <v>0</v>
      </c>
    </row>
    <row r="658" spans="17:18">
      <c r="Q658" s="274">
        <f t="shared" si="20"/>
        <v>0</v>
      </c>
      <c r="R658" s="274">
        <f t="shared" si="21"/>
        <v>0</v>
      </c>
    </row>
    <row r="659" spans="17:18">
      <c r="Q659" s="274">
        <f t="shared" si="20"/>
        <v>0</v>
      </c>
      <c r="R659" s="274">
        <f t="shared" si="21"/>
        <v>0</v>
      </c>
    </row>
    <row r="660" spans="17:18">
      <c r="Q660" s="274">
        <f t="shared" si="20"/>
        <v>0</v>
      </c>
      <c r="R660" s="274">
        <f t="shared" si="21"/>
        <v>0</v>
      </c>
    </row>
    <row r="661" spans="17:18">
      <c r="Q661" s="274">
        <f t="shared" si="20"/>
        <v>0</v>
      </c>
      <c r="R661" s="274">
        <f t="shared" si="21"/>
        <v>0</v>
      </c>
    </row>
    <row r="662" spans="17:18">
      <c r="Q662" s="274">
        <f t="shared" si="20"/>
        <v>0</v>
      </c>
      <c r="R662" s="274">
        <f t="shared" si="21"/>
        <v>0</v>
      </c>
    </row>
    <row r="663" spans="17:18">
      <c r="Q663" s="274">
        <f t="shared" si="20"/>
        <v>0</v>
      </c>
      <c r="R663" s="274">
        <f t="shared" si="21"/>
        <v>0</v>
      </c>
    </row>
    <row r="664" spans="17:18">
      <c r="Q664" s="274">
        <f t="shared" si="20"/>
        <v>0</v>
      </c>
      <c r="R664" s="274">
        <f t="shared" si="21"/>
        <v>0</v>
      </c>
    </row>
    <row r="665" spans="17:18">
      <c r="Q665" s="274">
        <f t="shared" si="20"/>
        <v>0</v>
      </c>
      <c r="R665" s="274">
        <f t="shared" si="21"/>
        <v>0</v>
      </c>
    </row>
    <row r="666" spans="17:18">
      <c r="Q666" s="274">
        <f t="shared" si="20"/>
        <v>0</v>
      </c>
      <c r="R666" s="274">
        <f t="shared" si="21"/>
        <v>0</v>
      </c>
    </row>
    <row r="667" spans="17:18">
      <c r="Q667" s="274">
        <f t="shared" si="20"/>
        <v>0</v>
      </c>
      <c r="R667" s="274">
        <f t="shared" si="21"/>
        <v>0</v>
      </c>
    </row>
    <row r="668" spans="17:18">
      <c r="Q668" s="274">
        <f t="shared" si="20"/>
        <v>0</v>
      </c>
      <c r="R668" s="274">
        <f t="shared" si="21"/>
        <v>0</v>
      </c>
    </row>
    <row r="669" spans="17:18">
      <c r="Q669" s="274">
        <f t="shared" si="20"/>
        <v>0</v>
      </c>
      <c r="R669" s="274">
        <f t="shared" si="21"/>
        <v>0</v>
      </c>
    </row>
    <row r="670" spans="17:18">
      <c r="Q670" s="274">
        <f t="shared" si="20"/>
        <v>0</v>
      </c>
      <c r="R670" s="274">
        <f t="shared" si="21"/>
        <v>0</v>
      </c>
    </row>
    <row r="671" spans="17:18">
      <c r="Q671" s="274">
        <f t="shared" si="20"/>
        <v>0</v>
      </c>
      <c r="R671" s="274">
        <f t="shared" si="21"/>
        <v>0</v>
      </c>
    </row>
    <row r="672" spans="17:18">
      <c r="Q672" s="274">
        <f t="shared" si="20"/>
        <v>0</v>
      </c>
      <c r="R672" s="274">
        <f t="shared" si="21"/>
        <v>0</v>
      </c>
    </row>
    <row r="673" spans="17:18">
      <c r="Q673" s="274">
        <f t="shared" si="20"/>
        <v>0</v>
      </c>
      <c r="R673" s="274">
        <f t="shared" si="21"/>
        <v>0</v>
      </c>
    </row>
    <row r="674" spans="17:18">
      <c r="Q674" s="274">
        <f t="shared" si="20"/>
        <v>0</v>
      </c>
      <c r="R674" s="274">
        <f t="shared" si="21"/>
        <v>0</v>
      </c>
    </row>
    <row r="675" spans="17:18">
      <c r="Q675" s="274">
        <f t="shared" si="20"/>
        <v>0</v>
      </c>
      <c r="R675" s="274">
        <f t="shared" si="21"/>
        <v>0</v>
      </c>
    </row>
    <row r="676" spans="17:18">
      <c r="Q676" s="274">
        <f t="shared" si="20"/>
        <v>0</v>
      </c>
      <c r="R676" s="274">
        <f t="shared" si="21"/>
        <v>0</v>
      </c>
    </row>
    <row r="677" spans="17:18">
      <c r="Q677" s="274">
        <f t="shared" si="20"/>
        <v>0</v>
      </c>
      <c r="R677" s="274">
        <f t="shared" si="21"/>
        <v>0</v>
      </c>
    </row>
    <row r="678" spans="17:18">
      <c r="Q678" s="274">
        <f t="shared" si="20"/>
        <v>0</v>
      </c>
      <c r="R678" s="274">
        <f t="shared" si="21"/>
        <v>0</v>
      </c>
    </row>
    <row r="679" spans="17:18">
      <c r="Q679" s="274">
        <f t="shared" si="20"/>
        <v>0</v>
      </c>
      <c r="R679" s="274">
        <f t="shared" si="21"/>
        <v>0</v>
      </c>
    </row>
    <row r="680" spans="17:18">
      <c r="Q680" s="274">
        <f t="shared" si="20"/>
        <v>0</v>
      </c>
      <c r="R680" s="274">
        <f t="shared" si="21"/>
        <v>0</v>
      </c>
    </row>
    <row r="681" spans="17:18">
      <c r="Q681" s="274">
        <f t="shared" si="20"/>
        <v>0</v>
      </c>
      <c r="R681" s="274">
        <f t="shared" si="21"/>
        <v>0</v>
      </c>
    </row>
    <row r="682" spans="17:18">
      <c r="Q682" s="274">
        <f t="shared" si="20"/>
        <v>0</v>
      </c>
      <c r="R682" s="274">
        <f t="shared" si="21"/>
        <v>0</v>
      </c>
    </row>
    <row r="683" spans="17:18">
      <c r="Q683" s="274">
        <f t="shared" si="20"/>
        <v>0</v>
      </c>
      <c r="R683" s="274">
        <f t="shared" si="21"/>
        <v>0</v>
      </c>
    </row>
    <row r="684" spans="17:18">
      <c r="Q684" s="274">
        <f t="shared" si="20"/>
        <v>0</v>
      </c>
      <c r="R684" s="274">
        <f t="shared" si="21"/>
        <v>0</v>
      </c>
    </row>
    <row r="685" spans="17:18">
      <c r="Q685" s="274">
        <f t="shared" si="20"/>
        <v>0</v>
      </c>
      <c r="R685" s="274">
        <f t="shared" si="21"/>
        <v>0</v>
      </c>
    </row>
    <row r="686" spans="17:18">
      <c r="Q686" s="274">
        <f t="shared" si="20"/>
        <v>0</v>
      </c>
      <c r="R686" s="274">
        <f t="shared" si="21"/>
        <v>0</v>
      </c>
    </row>
    <row r="687" spans="17:18">
      <c r="Q687" s="274">
        <f t="shared" si="20"/>
        <v>0</v>
      </c>
      <c r="R687" s="274">
        <f t="shared" si="21"/>
        <v>0</v>
      </c>
    </row>
    <row r="688" spans="17:18">
      <c r="Q688" s="274">
        <f t="shared" si="20"/>
        <v>0</v>
      </c>
      <c r="R688" s="274">
        <f t="shared" si="21"/>
        <v>0</v>
      </c>
    </row>
    <row r="689" spans="17:18">
      <c r="Q689" s="274">
        <f t="shared" si="20"/>
        <v>0</v>
      </c>
      <c r="R689" s="274">
        <f t="shared" si="21"/>
        <v>0</v>
      </c>
    </row>
    <row r="690" spans="17:18">
      <c r="Q690" s="274">
        <f t="shared" si="20"/>
        <v>0</v>
      </c>
      <c r="R690" s="274">
        <f t="shared" si="21"/>
        <v>0</v>
      </c>
    </row>
    <row r="691" spans="17:18">
      <c r="Q691" s="274">
        <f t="shared" si="20"/>
        <v>0</v>
      </c>
      <c r="R691" s="274">
        <f t="shared" si="21"/>
        <v>0</v>
      </c>
    </row>
    <row r="692" spans="17:18">
      <c r="Q692" s="274">
        <f t="shared" si="20"/>
        <v>0</v>
      </c>
      <c r="R692" s="274">
        <f t="shared" si="21"/>
        <v>0</v>
      </c>
    </row>
    <row r="693" spans="17:18">
      <c r="Q693" s="274">
        <f t="shared" si="20"/>
        <v>0</v>
      </c>
      <c r="R693" s="274">
        <f t="shared" si="21"/>
        <v>0</v>
      </c>
    </row>
    <row r="694" spans="17:18">
      <c r="Q694" s="274">
        <f t="shared" si="20"/>
        <v>0</v>
      </c>
      <c r="R694" s="274">
        <f t="shared" si="21"/>
        <v>0</v>
      </c>
    </row>
    <row r="695" spans="17:18">
      <c r="Q695" s="274">
        <f t="shared" si="20"/>
        <v>0</v>
      </c>
      <c r="R695" s="274">
        <f t="shared" si="21"/>
        <v>0</v>
      </c>
    </row>
    <row r="696" spans="17:18">
      <c r="Q696" s="274">
        <f t="shared" si="20"/>
        <v>0</v>
      </c>
      <c r="R696" s="274">
        <f t="shared" si="21"/>
        <v>0</v>
      </c>
    </row>
    <row r="697" spans="17:18">
      <c r="Q697" s="274">
        <f t="shared" si="20"/>
        <v>0</v>
      </c>
      <c r="R697" s="274">
        <f t="shared" si="21"/>
        <v>0</v>
      </c>
    </row>
    <row r="698" spans="17:18">
      <c r="Q698" s="274">
        <f t="shared" si="20"/>
        <v>0</v>
      </c>
      <c r="R698" s="274">
        <f t="shared" si="21"/>
        <v>0</v>
      </c>
    </row>
    <row r="699" spans="17:18">
      <c r="Q699" s="274">
        <f t="shared" si="20"/>
        <v>0</v>
      </c>
      <c r="R699" s="274">
        <f t="shared" si="21"/>
        <v>0</v>
      </c>
    </row>
    <row r="700" spans="17:18">
      <c r="Q700" s="274">
        <f t="shared" si="20"/>
        <v>0</v>
      </c>
      <c r="R700" s="274">
        <f t="shared" si="21"/>
        <v>0</v>
      </c>
    </row>
    <row r="701" spans="17:18">
      <c r="Q701" s="274">
        <f t="shared" si="20"/>
        <v>0</v>
      </c>
      <c r="R701" s="274">
        <f t="shared" si="21"/>
        <v>0</v>
      </c>
    </row>
    <row r="702" spans="17:18">
      <c r="Q702" s="274">
        <f t="shared" si="20"/>
        <v>0</v>
      </c>
      <c r="R702" s="274">
        <f t="shared" si="21"/>
        <v>0</v>
      </c>
    </row>
    <row r="703" spans="17:18">
      <c r="Q703" s="274">
        <f t="shared" si="20"/>
        <v>0</v>
      </c>
      <c r="R703" s="274">
        <f t="shared" si="21"/>
        <v>0</v>
      </c>
    </row>
    <row r="704" spans="17:18">
      <c r="Q704" s="274">
        <f t="shared" si="20"/>
        <v>0</v>
      </c>
      <c r="R704" s="274">
        <f t="shared" si="21"/>
        <v>0</v>
      </c>
    </row>
    <row r="705" spans="17:18">
      <c r="Q705" s="274">
        <f t="shared" si="20"/>
        <v>0</v>
      </c>
      <c r="R705" s="274">
        <f t="shared" si="21"/>
        <v>0</v>
      </c>
    </row>
    <row r="706" spans="17:18">
      <c r="Q706" s="274">
        <f t="shared" ref="Q706:Q769" si="22">IF($J708=$A$21,IF($M708=$A$16,$L708,0),0)</f>
        <v>0</v>
      </c>
      <c r="R706" s="274">
        <f t="shared" ref="R706:R769" si="23">IF($J708=$A$22,IF($M708=$A$16,$L708,0),0)</f>
        <v>0</v>
      </c>
    </row>
    <row r="707" spans="17:18">
      <c r="Q707" s="274">
        <f t="shared" si="22"/>
        <v>0</v>
      </c>
      <c r="R707" s="274">
        <f t="shared" si="23"/>
        <v>0</v>
      </c>
    </row>
    <row r="708" spans="17:18">
      <c r="Q708" s="274">
        <f t="shared" si="22"/>
        <v>0</v>
      </c>
      <c r="R708" s="274">
        <f t="shared" si="23"/>
        <v>0</v>
      </c>
    </row>
    <row r="709" spans="17:18">
      <c r="Q709" s="274">
        <f t="shared" si="22"/>
        <v>0</v>
      </c>
      <c r="R709" s="274">
        <f t="shared" si="23"/>
        <v>0</v>
      </c>
    </row>
    <row r="710" spans="17:18">
      <c r="Q710" s="274">
        <f t="shared" si="22"/>
        <v>0</v>
      </c>
      <c r="R710" s="274">
        <f t="shared" si="23"/>
        <v>0</v>
      </c>
    </row>
    <row r="711" spans="17:18">
      <c r="Q711" s="274">
        <f t="shared" si="22"/>
        <v>0</v>
      </c>
      <c r="R711" s="274">
        <f t="shared" si="23"/>
        <v>0</v>
      </c>
    </row>
    <row r="712" spans="17:18">
      <c r="Q712" s="274">
        <f t="shared" si="22"/>
        <v>0</v>
      </c>
      <c r="R712" s="274">
        <f t="shared" si="23"/>
        <v>0</v>
      </c>
    </row>
    <row r="713" spans="17:18">
      <c r="Q713" s="274">
        <f t="shared" si="22"/>
        <v>0</v>
      </c>
      <c r="R713" s="274">
        <f t="shared" si="23"/>
        <v>0</v>
      </c>
    </row>
    <row r="714" spans="17:18">
      <c r="Q714" s="274">
        <f t="shared" si="22"/>
        <v>0</v>
      </c>
      <c r="R714" s="274">
        <f t="shared" si="23"/>
        <v>0</v>
      </c>
    </row>
    <row r="715" spans="17:18">
      <c r="Q715" s="274">
        <f t="shared" si="22"/>
        <v>0</v>
      </c>
      <c r="R715" s="274">
        <f t="shared" si="23"/>
        <v>0</v>
      </c>
    </row>
    <row r="716" spans="17:18">
      <c r="Q716" s="274">
        <f t="shared" si="22"/>
        <v>0</v>
      </c>
      <c r="R716" s="274">
        <f t="shared" si="23"/>
        <v>0</v>
      </c>
    </row>
    <row r="717" spans="17:18">
      <c r="Q717" s="274">
        <f t="shared" si="22"/>
        <v>0</v>
      </c>
      <c r="R717" s="274">
        <f t="shared" si="23"/>
        <v>0</v>
      </c>
    </row>
    <row r="718" spans="17:18">
      <c r="Q718" s="274">
        <f t="shared" si="22"/>
        <v>0</v>
      </c>
      <c r="R718" s="274">
        <f t="shared" si="23"/>
        <v>0</v>
      </c>
    </row>
    <row r="719" spans="17:18">
      <c r="Q719" s="274">
        <f t="shared" si="22"/>
        <v>0</v>
      </c>
      <c r="R719" s="274">
        <f t="shared" si="23"/>
        <v>0</v>
      </c>
    </row>
    <row r="720" spans="17:18">
      <c r="Q720" s="274">
        <f t="shared" si="22"/>
        <v>0</v>
      </c>
      <c r="R720" s="274">
        <f t="shared" si="23"/>
        <v>0</v>
      </c>
    </row>
    <row r="721" spans="17:18">
      <c r="Q721" s="274">
        <f t="shared" si="22"/>
        <v>0</v>
      </c>
      <c r="R721" s="274">
        <f t="shared" si="23"/>
        <v>0</v>
      </c>
    </row>
    <row r="722" spans="17:18">
      <c r="Q722" s="274">
        <f t="shared" si="22"/>
        <v>0</v>
      </c>
      <c r="R722" s="274">
        <f t="shared" si="23"/>
        <v>0</v>
      </c>
    </row>
    <row r="723" spans="17:18">
      <c r="Q723" s="274">
        <f t="shared" si="22"/>
        <v>0</v>
      </c>
      <c r="R723" s="274">
        <f t="shared" si="23"/>
        <v>0</v>
      </c>
    </row>
    <row r="724" spans="17:18">
      <c r="Q724" s="274">
        <f t="shared" si="22"/>
        <v>0</v>
      </c>
      <c r="R724" s="274">
        <f t="shared" si="23"/>
        <v>0</v>
      </c>
    </row>
    <row r="725" spans="17:18">
      <c r="Q725" s="274">
        <f t="shared" si="22"/>
        <v>0</v>
      </c>
      <c r="R725" s="274">
        <f t="shared" si="23"/>
        <v>0</v>
      </c>
    </row>
    <row r="726" spans="17:18">
      <c r="Q726" s="274">
        <f t="shared" si="22"/>
        <v>0</v>
      </c>
      <c r="R726" s="274">
        <f t="shared" si="23"/>
        <v>0</v>
      </c>
    </row>
    <row r="727" spans="17:18">
      <c r="Q727" s="274">
        <f t="shared" si="22"/>
        <v>0</v>
      </c>
      <c r="R727" s="274">
        <f t="shared" si="23"/>
        <v>0</v>
      </c>
    </row>
    <row r="728" spans="17:18">
      <c r="Q728" s="274">
        <f t="shared" si="22"/>
        <v>0</v>
      </c>
      <c r="R728" s="274">
        <f t="shared" si="23"/>
        <v>0</v>
      </c>
    </row>
    <row r="729" spans="17:18">
      <c r="Q729" s="274">
        <f t="shared" si="22"/>
        <v>0</v>
      </c>
      <c r="R729" s="274">
        <f t="shared" si="23"/>
        <v>0</v>
      </c>
    </row>
    <row r="730" spans="17:18">
      <c r="Q730" s="274">
        <f t="shared" si="22"/>
        <v>0</v>
      </c>
      <c r="R730" s="274">
        <f t="shared" si="23"/>
        <v>0</v>
      </c>
    </row>
    <row r="731" spans="17:18">
      <c r="Q731" s="274">
        <f t="shared" si="22"/>
        <v>0</v>
      </c>
      <c r="R731" s="274">
        <f t="shared" si="23"/>
        <v>0</v>
      </c>
    </row>
    <row r="732" spans="17:18">
      <c r="Q732" s="274">
        <f t="shared" si="22"/>
        <v>0</v>
      </c>
      <c r="R732" s="274">
        <f t="shared" si="23"/>
        <v>0</v>
      </c>
    </row>
    <row r="733" spans="17:18">
      <c r="Q733" s="274">
        <f t="shared" si="22"/>
        <v>0</v>
      </c>
      <c r="R733" s="274">
        <f t="shared" si="23"/>
        <v>0</v>
      </c>
    </row>
    <row r="734" spans="17:18">
      <c r="Q734" s="274">
        <f t="shared" si="22"/>
        <v>0</v>
      </c>
      <c r="R734" s="274">
        <f t="shared" si="23"/>
        <v>0</v>
      </c>
    </row>
    <row r="735" spans="17:18">
      <c r="Q735" s="274">
        <f t="shared" si="22"/>
        <v>0</v>
      </c>
      <c r="R735" s="274">
        <f t="shared" si="23"/>
        <v>0</v>
      </c>
    </row>
    <row r="736" spans="17:18">
      <c r="Q736" s="274">
        <f t="shared" si="22"/>
        <v>0</v>
      </c>
      <c r="R736" s="274">
        <f t="shared" si="23"/>
        <v>0</v>
      </c>
    </row>
    <row r="737" spans="17:18">
      <c r="Q737" s="274">
        <f t="shared" si="22"/>
        <v>0</v>
      </c>
      <c r="R737" s="274">
        <f t="shared" si="23"/>
        <v>0</v>
      </c>
    </row>
    <row r="738" spans="17:18">
      <c r="Q738" s="274">
        <f t="shared" si="22"/>
        <v>0</v>
      </c>
      <c r="R738" s="274">
        <f t="shared" si="23"/>
        <v>0</v>
      </c>
    </row>
    <row r="739" spans="17:18">
      <c r="Q739" s="274">
        <f t="shared" si="22"/>
        <v>0</v>
      </c>
      <c r="R739" s="274">
        <f t="shared" si="23"/>
        <v>0</v>
      </c>
    </row>
    <row r="740" spans="17:18">
      <c r="Q740" s="274">
        <f t="shared" si="22"/>
        <v>0</v>
      </c>
      <c r="R740" s="274">
        <f t="shared" si="23"/>
        <v>0</v>
      </c>
    </row>
    <row r="741" spans="17:18">
      <c r="Q741" s="274">
        <f t="shared" si="22"/>
        <v>0</v>
      </c>
      <c r="R741" s="274">
        <f t="shared" si="23"/>
        <v>0</v>
      </c>
    </row>
    <row r="742" spans="17:18">
      <c r="Q742" s="274">
        <f t="shared" si="22"/>
        <v>0</v>
      </c>
      <c r="R742" s="274">
        <f t="shared" si="23"/>
        <v>0</v>
      </c>
    </row>
    <row r="743" spans="17:18">
      <c r="Q743" s="274">
        <f t="shared" si="22"/>
        <v>0</v>
      </c>
      <c r="R743" s="274">
        <f t="shared" si="23"/>
        <v>0</v>
      </c>
    </row>
    <row r="744" spans="17:18">
      <c r="Q744" s="274">
        <f t="shared" si="22"/>
        <v>0</v>
      </c>
      <c r="R744" s="274">
        <f t="shared" si="23"/>
        <v>0</v>
      </c>
    </row>
    <row r="745" spans="17:18">
      <c r="Q745" s="274">
        <f t="shared" si="22"/>
        <v>0</v>
      </c>
      <c r="R745" s="274">
        <f t="shared" si="23"/>
        <v>0</v>
      </c>
    </row>
    <row r="746" spans="17:18">
      <c r="Q746" s="274">
        <f t="shared" si="22"/>
        <v>0</v>
      </c>
      <c r="R746" s="274">
        <f t="shared" si="23"/>
        <v>0</v>
      </c>
    </row>
    <row r="747" spans="17:18">
      <c r="Q747" s="274">
        <f t="shared" si="22"/>
        <v>0</v>
      </c>
      <c r="R747" s="274">
        <f t="shared" si="23"/>
        <v>0</v>
      </c>
    </row>
    <row r="748" spans="17:18">
      <c r="Q748" s="274">
        <f t="shared" si="22"/>
        <v>0</v>
      </c>
      <c r="R748" s="274">
        <f t="shared" si="23"/>
        <v>0</v>
      </c>
    </row>
    <row r="749" spans="17:18">
      <c r="Q749" s="274">
        <f t="shared" si="22"/>
        <v>0</v>
      </c>
      <c r="R749" s="274">
        <f t="shared" si="23"/>
        <v>0</v>
      </c>
    </row>
    <row r="750" spans="17:18">
      <c r="Q750" s="274">
        <f t="shared" si="22"/>
        <v>0</v>
      </c>
      <c r="R750" s="274">
        <f t="shared" si="23"/>
        <v>0</v>
      </c>
    </row>
    <row r="751" spans="17:18">
      <c r="Q751" s="274">
        <f t="shared" si="22"/>
        <v>0</v>
      </c>
      <c r="R751" s="274">
        <f t="shared" si="23"/>
        <v>0</v>
      </c>
    </row>
    <row r="752" spans="17:18">
      <c r="Q752" s="274">
        <f t="shared" si="22"/>
        <v>0</v>
      </c>
      <c r="R752" s="274">
        <f t="shared" si="23"/>
        <v>0</v>
      </c>
    </row>
    <row r="753" spans="17:18">
      <c r="Q753" s="274">
        <f t="shared" si="22"/>
        <v>0</v>
      </c>
      <c r="R753" s="274">
        <f t="shared" si="23"/>
        <v>0</v>
      </c>
    </row>
    <row r="754" spans="17:18">
      <c r="Q754" s="274">
        <f t="shared" si="22"/>
        <v>0</v>
      </c>
      <c r="R754" s="274">
        <f t="shared" si="23"/>
        <v>0</v>
      </c>
    </row>
    <row r="755" spans="17:18">
      <c r="Q755" s="274">
        <f t="shared" si="22"/>
        <v>0</v>
      </c>
      <c r="R755" s="274">
        <f t="shared" si="23"/>
        <v>0</v>
      </c>
    </row>
    <row r="756" spans="17:18">
      <c r="Q756" s="274">
        <f t="shared" si="22"/>
        <v>0</v>
      </c>
      <c r="R756" s="274">
        <f t="shared" si="23"/>
        <v>0</v>
      </c>
    </row>
    <row r="757" spans="17:18">
      <c r="Q757" s="274">
        <f t="shared" si="22"/>
        <v>0</v>
      </c>
      <c r="R757" s="274">
        <f t="shared" si="23"/>
        <v>0</v>
      </c>
    </row>
    <row r="758" spans="17:18">
      <c r="Q758" s="274">
        <f t="shared" si="22"/>
        <v>0</v>
      </c>
      <c r="R758" s="274">
        <f t="shared" si="23"/>
        <v>0</v>
      </c>
    </row>
    <row r="759" spans="17:18">
      <c r="Q759" s="274">
        <f t="shared" si="22"/>
        <v>0</v>
      </c>
      <c r="R759" s="274">
        <f t="shared" si="23"/>
        <v>0</v>
      </c>
    </row>
    <row r="760" spans="17:18">
      <c r="Q760" s="274">
        <f t="shared" si="22"/>
        <v>0</v>
      </c>
      <c r="R760" s="274">
        <f t="shared" si="23"/>
        <v>0</v>
      </c>
    </row>
    <row r="761" spans="17:18">
      <c r="Q761" s="274">
        <f t="shared" si="22"/>
        <v>0</v>
      </c>
      <c r="R761" s="274">
        <f t="shared" si="23"/>
        <v>0</v>
      </c>
    </row>
    <row r="762" spans="17:18">
      <c r="Q762" s="274">
        <f t="shared" si="22"/>
        <v>0</v>
      </c>
      <c r="R762" s="274">
        <f t="shared" si="23"/>
        <v>0</v>
      </c>
    </row>
    <row r="763" spans="17:18">
      <c r="Q763" s="274">
        <f t="shared" si="22"/>
        <v>0</v>
      </c>
      <c r="R763" s="274">
        <f t="shared" si="23"/>
        <v>0</v>
      </c>
    </row>
    <row r="764" spans="17:18">
      <c r="Q764" s="274">
        <f t="shared" si="22"/>
        <v>0</v>
      </c>
      <c r="R764" s="274">
        <f t="shared" si="23"/>
        <v>0</v>
      </c>
    </row>
    <row r="765" spans="17:18">
      <c r="Q765" s="274">
        <f t="shared" si="22"/>
        <v>0</v>
      </c>
      <c r="R765" s="274">
        <f t="shared" si="23"/>
        <v>0</v>
      </c>
    </row>
    <row r="766" spans="17:18">
      <c r="Q766" s="274">
        <f t="shared" si="22"/>
        <v>0</v>
      </c>
      <c r="R766" s="274">
        <f t="shared" si="23"/>
        <v>0</v>
      </c>
    </row>
    <row r="767" spans="17:18">
      <c r="Q767" s="274">
        <f t="shared" si="22"/>
        <v>0</v>
      </c>
      <c r="R767" s="274">
        <f t="shared" si="23"/>
        <v>0</v>
      </c>
    </row>
    <row r="768" spans="17:18">
      <c r="Q768" s="274">
        <f t="shared" si="22"/>
        <v>0</v>
      </c>
      <c r="R768" s="274">
        <f t="shared" si="23"/>
        <v>0</v>
      </c>
    </row>
    <row r="769" spans="17:18">
      <c r="Q769" s="274">
        <f t="shared" si="22"/>
        <v>0</v>
      </c>
      <c r="R769" s="274">
        <f t="shared" si="23"/>
        <v>0</v>
      </c>
    </row>
    <row r="770" spans="17:18">
      <c r="Q770" s="274">
        <f t="shared" ref="Q770:Q833" si="24">IF($J772=$A$21,IF($M772=$A$16,$L772,0),0)</f>
        <v>0</v>
      </c>
      <c r="R770" s="274">
        <f t="shared" ref="R770:R833" si="25">IF($J772=$A$22,IF($M772=$A$16,$L772,0),0)</f>
        <v>0</v>
      </c>
    </row>
    <row r="771" spans="17:18">
      <c r="Q771" s="274">
        <f t="shared" si="24"/>
        <v>0</v>
      </c>
      <c r="R771" s="274">
        <f t="shared" si="25"/>
        <v>0</v>
      </c>
    </row>
    <row r="772" spans="17:18">
      <c r="Q772" s="274">
        <f t="shared" si="24"/>
        <v>0</v>
      </c>
      <c r="R772" s="274">
        <f t="shared" si="25"/>
        <v>0</v>
      </c>
    </row>
    <row r="773" spans="17:18">
      <c r="Q773" s="274">
        <f t="shared" si="24"/>
        <v>0</v>
      </c>
      <c r="R773" s="274">
        <f t="shared" si="25"/>
        <v>0</v>
      </c>
    </row>
    <row r="774" spans="17:18">
      <c r="Q774" s="274">
        <f t="shared" si="24"/>
        <v>0</v>
      </c>
      <c r="R774" s="274">
        <f t="shared" si="25"/>
        <v>0</v>
      </c>
    </row>
    <row r="775" spans="17:18">
      <c r="Q775" s="274">
        <f t="shared" si="24"/>
        <v>0</v>
      </c>
      <c r="R775" s="274">
        <f t="shared" si="25"/>
        <v>0</v>
      </c>
    </row>
    <row r="776" spans="17:18">
      <c r="Q776" s="274">
        <f t="shared" si="24"/>
        <v>0</v>
      </c>
      <c r="R776" s="274">
        <f t="shared" si="25"/>
        <v>0</v>
      </c>
    </row>
    <row r="777" spans="17:18">
      <c r="Q777" s="274">
        <f t="shared" si="24"/>
        <v>0</v>
      </c>
      <c r="R777" s="274">
        <f t="shared" si="25"/>
        <v>0</v>
      </c>
    </row>
    <row r="778" spans="17:18">
      <c r="Q778" s="274">
        <f t="shared" si="24"/>
        <v>0</v>
      </c>
      <c r="R778" s="274">
        <f t="shared" si="25"/>
        <v>0</v>
      </c>
    </row>
    <row r="779" spans="17:18">
      <c r="Q779" s="274">
        <f t="shared" si="24"/>
        <v>0</v>
      </c>
      <c r="R779" s="274">
        <f t="shared" si="25"/>
        <v>0</v>
      </c>
    </row>
    <row r="780" spans="17:18">
      <c r="Q780" s="274">
        <f t="shared" si="24"/>
        <v>0</v>
      </c>
      <c r="R780" s="274">
        <f t="shared" si="25"/>
        <v>0</v>
      </c>
    </row>
    <row r="781" spans="17:18">
      <c r="Q781" s="274">
        <f t="shared" si="24"/>
        <v>0</v>
      </c>
      <c r="R781" s="274">
        <f t="shared" si="25"/>
        <v>0</v>
      </c>
    </row>
    <row r="782" spans="17:18">
      <c r="Q782" s="274">
        <f t="shared" si="24"/>
        <v>0</v>
      </c>
      <c r="R782" s="274">
        <f t="shared" si="25"/>
        <v>0</v>
      </c>
    </row>
    <row r="783" spans="17:18">
      <c r="Q783" s="274">
        <f t="shared" si="24"/>
        <v>0</v>
      </c>
      <c r="R783" s="274">
        <f t="shared" si="25"/>
        <v>0</v>
      </c>
    </row>
    <row r="784" spans="17:18">
      <c r="Q784" s="274">
        <f t="shared" si="24"/>
        <v>0</v>
      </c>
      <c r="R784" s="274">
        <f t="shared" si="25"/>
        <v>0</v>
      </c>
    </row>
    <row r="785" spans="17:18">
      <c r="Q785" s="274">
        <f t="shared" si="24"/>
        <v>0</v>
      </c>
      <c r="R785" s="274">
        <f t="shared" si="25"/>
        <v>0</v>
      </c>
    </row>
    <row r="786" spans="17:18">
      <c r="Q786" s="274">
        <f t="shared" si="24"/>
        <v>0</v>
      </c>
      <c r="R786" s="274">
        <f t="shared" si="25"/>
        <v>0</v>
      </c>
    </row>
    <row r="787" spans="17:18">
      <c r="Q787" s="274">
        <f t="shared" si="24"/>
        <v>0</v>
      </c>
      <c r="R787" s="274">
        <f t="shared" si="25"/>
        <v>0</v>
      </c>
    </row>
    <row r="788" spans="17:18">
      <c r="Q788" s="274">
        <f t="shared" si="24"/>
        <v>0</v>
      </c>
      <c r="R788" s="274">
        <f t="shared" si="25"/>
        <v>0</v>
      </c>
    </row>
    <row r="789" spans="17:18">
      <c r="Q789" s="274">
        <f t="shared" si="24"/>
        <v>0</v>
      </c>
      <c r="R789" s="274">
        <f t="shared" si="25"/>
        <v>0</v>
      </c>
    </row>
    <row r="790" spans="17:18">
      <c r="Q790" s="274">
        <f t="shared" si="24"/>
        <v>0</v>
      </c>
      <c r="R790" s="274">
        <f t="shared" si="25"/>
        <v>0</v>
      </c>
    </row>
    <row r="791" spans="17:18">
      <c r="Q791" s="274">
        <f t="shared" si="24"/>
        <v>0</v>
      </c>
      <c r="R791" s="274">
        <f t="shared" si="25"/>
        <v>0</v>
      </c>
    </row>
    <row r="792" spans="17:18">
      <c r="Q792" s="274">
        <f t="shared" si="24"/>
        <v>0</v>
      </c>
      <c r="R792" s="274">
        <f t="shared" si="25"/>
        <v>0</v>
      </c>
    </row>
    <row r="793" spans="17:18">
      <c r="Q793" s="274">
        <f t="shared" si="24"/>
        <v>0</v>
      </c>
      <c r="R793" s="274">
        <f t="shared" si="25"/>
        <v>0</v>
      </c>
    </row>
    <row r="794" spans="17:18">
      <c r="Q794" s="274">
        <f t="shared" si="24"/>
        <v>0</v>
      </c>
      <c r="R794" s="274">
        <f t="shared" si="25"/>
        <v>0</v>
      </c>
    </row>
    <row r="795" spans="17:18">
      <c r="Q795" s="274">
        <f t="shared" si="24"/>
        <v>0</v>
      </c>
      <c r="R795" s="274">
        <f t="shared" si="25"/>
        <v>0</v>
      </c>
    </row>
    <row r="796" spans="17:18">
      <c r="Q796" s="274">
        <f t="shared" si="24"/>
        <v>0</v>
      </c>
      <c r="R796" s="274">
        <f t="shared" si="25"/>
        <v>0</v>
      </c>
    </row>
    <row r="797" spans="17:18">
      <c r="Q797" s="274">
        <f t="shared" si="24"/>
        <v>0</v>
      </c>
      <c r="R797" s="274">
        <f t="shared" si="25"/>
        <v>0</v>
      </c>
    </row>
    <row r="798" spans="17:18">
      <c r="Q798" s="274">
        <f t="shared" si="24"/>
        <v>0</v>
      </c>
      <c r="R798" s="274">
        <f t="shared" si="25"/>
        <v>0</v>
      </c>
    </row>
    <row r="799" spans="17:18">
      <c r="Q799" s="274">
        <f t="shared" si="24"/>
        <v>0</v>
      </c>
      <c r="R799" s="274">
        <f t="shared" si="25"/>
        <v>0</v>
      </c>
    </row>
    <row r="800" spans="17:18">
      <c r="Q800" s="274">
        <f t="shared" si="24"/>
        <v>0</v>
      </c>
      <c r="R800" s="274">
        <f t="shared" si="25"/>
        <v>0</v>
      </c>
    </row>
    <row r="801" spans="17:18">
      <c r="Q801" s="274">
        <f t="shared" si="24"/>
        <v>0</v>
      </c>
      <c r="R801" s="274">
        <f t="shared" si="25"/>
        <v>0</v>
      </c>
    </row>
    <row r="802" spans="17:18">
      <c r="Q802" s="274">
        <f t="shared" si="24"/>
        <v>0</v>
      </c>
      <c r="R802" s="274">
        <f t="shared" si="25"/>
        <v>0</v>
      </c>
    </row>
    <row r="803" spans="17:18">
      <c r="Q803" s="274">
        <f t="shared" si="24"/>
        <v>0</v>
      </c>
      <c r="R803" s="274">
        <f t="shared" si="25"/>
        <v>0</v>
      </c>
    </row>
    <row r="804" spans="17:18">
      <c r="Q804" s="274">
        <f t="shared" si="24"/>
        <v>0</v>
      </c>
      <c r="R804" s="274">
        <f t="shared" si="25"/>
        <v>0</v>
      </c>
    </row>
    <row r="805" spans="17:18">
      <c r="Q805" s="274">
        <f t="shared" si="24"/>
        <v>0</v>
      </c>
      <c r="R805" s="274">
        <f t="shared" si="25"/>
        <v>0</v>
      </c>
    </row>
    <row r="806" spans="17:18">
      <c r="Q806" s="274">
        <f t="shared" si="24"/>
        <v>0</v>
      </c>
      <c r="R806" s="274">
        <f t="shared" si="25"/>
        <v>0</v>
      </c>
    </row>
    <row r="807" spans="17:18">
      <c r="Q807" s="274">
        <f t="shared" si="24"/>
        <v>0</v>
      </c>
      <c r="R807" s="274">
        <f t="shared" si="25"/>
        <v>0</v>
      </c>
    </row>
    <row r="808" spans="17:18">
      <c r="Q808" s="274">
        <f t="shared" si="24"/>
        <v>0</v>
      </c>
      <c r="R808" s="274">
        <f t="shared" si="25"/>
        <v>0</v>
      </c>
    </row>
    <row r="809" spans="17:18">
      <c r="Q809" s="274">
        <f t="shared" si="24"/>
        <v>0</v>
      </c>
      <c r="R809" s="274">
        <f t="shared" si="25"/>
        <v>0</v>
      </c>
    </row>
    <row r="810" spans="17:18">
      <c r="Q810" s="274">
        <f t="shared" si="24"/>
        <v>0</v>
      </c>
      <c r="R810" s="274">
        <f t="shared" si="25"/>
        <v>0</v>
      </c>
    </row>
    <row r="811" spans="17:18">
      <c r="Q811" s="274">
        <f t="shared" si="24"/>
        <v>0</v>
      </c>
      <c r="R811" s="274">
        <f t="shared" si="25"/>
        <v>0</v>
      </c>
    </row>
    <row r="812" spans="17:18">
      <c r="Q812" s="274">
        <f t="shared" si="24"/>
        <v>0</v>
      </c>
      <c r="R812" s="274">
        <f t="shared" si="25"/>
        <v>0</v>
      </c>
    </row>
    <row r="813" spans="17:18">
      <c r="Q813" s="274">
        <f t="shared" si="24"/>
        <v>0</v>
      </c>
      <c r="R813" s="274">
        <f t="shared" si="25"/>
        <v>0</v>
      </c>
    </row>
    <row r="814" spans="17:18">
      <c r="Q814" s="274">
        <f t="shared" si="24"/>
        <v>0</v>
      </c>
      <c r="R814" s="274">
        <f t="shared" si="25"/>
        <v>0</v>
      </c>
    </row>
    <row r="815" spans="17:18">
      <c r="Q815" s="274">
        <f t="shared" si="24"/>
        <v>0</v>
      </c>
      <c r="R815" s="274">
        <f t="shared" si="25"/>
        <v>0</v>
      </c>
    </row>
    <row r="816" spans="17:18">
      <c r="Q816" s="274">
        <f t="shared" si="24"/>
        <v>0</v>
      </c>
      <c r="R816" s="274">
        <f t="shared" si="25"/>
        <v>0</v>
      </c>
    </row>
    <row r="817" spans="17:18">
      <c r="Q817" s="274">
        <f t="shared" si="24"/>
        <v>0</v>
      </c>
      <c r="R817" s="274">
        <f t="shared" si="25"/>
        <v>0</v>
      </c>
    </row>
    <row r="818" spans="17:18">
      <c r="Q818" s="274">
        <f t="shared" si="24"/>
        <v>0</v>
      </c>
      <c r="R818" s="274">
        <f t="shared" si="25"/>
        <v>0</v>
      </c>
    </row>
    <row r="819" spans="17:18">
      <c r="Q819" s="274">
        <f t="shared" si="24"/>
        <v>0</v>
      </c>
      <c r="R819" s="274">
        <f t="shared" si="25"/>
        <v>0</v>
      </c>
    </row>
    <row r="820" spans="17:18">
      <c r="Q820" s="274">
        <f t="shared" si="24"/>
        <v>0</v>
      </c>
      <c r="R820" s="274">
        <f t="shared" si="25"/>
        <v>0</v>
      </c>
    </row>
    <row r="821" spans="17:18">
      <c r="Q821" s="274">
        <f t="shared" si="24"/>
        <v>0</v>
      </c>
      <c r="R821" s="274">
        <f t="shared" si="25"/>
        <v>0</v>
      </c>
    </row>
    <row r="822" spans="17:18">
      <c r="Q822" s="274">
        <f t="shared" si="24"/>
        <v>0</v>
      </c>
      <c r="R822" s="274">
        <f t="shared" si="25"/>
        <v>0</v>
      </c>
    </row>
    <row r="823" spans="17:18">
      <c r="Q823" s="274">
        <f t="shared" si="24"/>
        <v>0</v>
      </c>
      <c r="R823" s="274">
        <f t="shared" si="25"/>
        <v>0</v>
      </c>
    </row>
    <row r="824" spans="17:18">
      <c r="Q824" s="274">
        <f t="shared" si="24"/>
        <v>0</v>
      </c>
      <c r="R824" s="274">
        <f t="shared" si="25"/>
        <v>0</v>
      </c>
    </row>
    <row r="825" spans="17:18">
      <c r="Q825" s="274">
        <f t="shared" si="24"/>
        <v>0</v>
      </c>
      <c r="R825" s="274">
        <f t="shared" si="25"/>
        <v>0</v>
      </c>
    </row>
    <row r="826" spans="17:18">
      <c r="Q826" s="274">
        <f t="shared" si="24"/>
        <v>0</v>
      </c>
      <c r="R826" s="274">
        <f t="shared" si="25"/>
        <v>0</v>
      </c>
    </row>
    <row r="827" spans="17:18">
      <c r="Q827" s="274">
        <f t="shared" si="24"/>
        <v>0</v>
      </c>
      <c r="R827" s="274">
        <f t="shared" si="25"/>
        <v>0</v>
      </c>
    </row>
    <row r="828" spans="17:18">
      <c r="Q828" s="274">
        <f t="shared" si="24"/>
        <v>0</v>
      </c>
      <c r="R828" s="274">
        <f t="shared" si="25"/>
        <v>0</v>
      </c>
    </row>
    <row r="829" spans="17:18">
      <c r="Q829" s="274">
        <f t="shared" si="24"/>
        <v>0</v>
      </c>
      <c r="R829" s="274">
        <f t="shared" si="25"/>
        <v>0</v>
      </c>
    </row>
    <row r="830" spans="17:18">
      <c r="Q830" s="274">
        <f t="shared" si="24"/>
        <v>0</v>
      </c>
      <c r="R830" s="274">
        <f t="shared" si="25"/>
        <v>0</v>
      </c>
    </row>
    <row r="831" spans="17:18">
      <c r="Q831" s="274">
        <f t="shared" si="24"/>
        <v>0</v>
      </c>
      <c r="R831" s="274">
        <f t="shared" si="25"/>
        <v>0</v>
      </c>
    </row>
    <row r="832" spans="17:18">
      <c r="Q832" s="274">
        <f t="shared" si="24"/>
        <v>0</v>
      </c>
      <c r="R832" s="274">
        <f t="shared" si="25"/>
        <v>0</v>
      </c>
    </row>
    <row r="833" spans="17:18">
      <c r="Q833" s="274">
        <f t="shared" si="24"/>
        <v>0</v>
      </c>
      <c r="R833" s="274">
        <f t="shared" si="25"/>
        <v>0</v>
      </c>
    </row>
    <row r="834" spans="17:18">
      <c r="Q834" s="274">
        <f t="shared" ref="Q834:Q897" si="26">IF($J836=$A$21,IF($M836=$A$16,$L836,0),0)</f>
        <v>0</v>
      </c>
      <c r="R834" s="274">
        <f t="shared" ref="R834:R897" si="27">IF($J836=$A$22,IF($M836=$A$16,$L836,0),0)</f>
        <v>0</v>
      </c>
    </row>
    <row r="835" spans="17:18">
      <c r="Q835" s="274">
        <f t="shared" si="26"/>
        <v>0</v>
      </c>
      <c r="R835" s="274">
        <f t="shared" si="27"/>
        <v>0</v>
      </c>
    </row>
    <row r="836" spans="17:18">
      <c r="Q836" s="274">
        <f t="shared" si="26"/>
        <v>0</v>
      </c>
      <c r="R836" s="274">
        <f t="shared" si="27"/>
        <v>0</v>
      </c>
    </row>
    <row r="837" spans="17:18">
      <c r="Q837" s="274">
        <f t="shared" si="26"/>
        <v>0</v>
      </c>
      <c r="R837" s="274">
        <f t="shared" si="27"/>
        <v>0</v>
      </c>
    </row>
    <row r="838" spans="17:18">
      <c r="Q838" s="274">
        <f t="shared" si="26"/>
        <v>0</v>
      </c>
      <c r="R838" s="274">
        <f t="shared" si="27"/>
        <v>0</v>
      </c>
    </row>
    <row r="839" spans="17:18">
      <c r="Q839" s="274">
        <f t="shared" si="26"/>
        <v>0</v>
      </c>
      <c r="R839" s="274">
        <f t="shared" si="27"/>
        <v>0</v>
      </c>
    </row>
    <row r="840" spans="17:18">
      <c r="Q840" s="274">
        <f t="shared" si="26"/>
        <v>0</v>
      </c>
      <c r="R840" s="274">
        <f t="shared" si="27"/>
        <v>0</v>
      </c>
    </row>
    <row r="841" spans="17:18">
      <c r="Q841" s="274">
        <f t="shared" si="26"/>
        <v>0</v>
      </c>
      <c r="R841" s="274">
        <f t="shared" si="27"/>
        <v>0</v>
      </c>
    </row>
    <row r="842" spans="17:18">
      <c r="Q842" s="274">
        <f t="shared" si="26"/>
        <v>0</v>
      </c>
      <c r="R842" s="274">
        <f t="shared" si="27"/>
        <v>0</v>
      </c>
    </row>
    <row r="843" spans="17:18">
      <c r="Q843" s="274">
        <f t="shared" si="26"/>
        <v>0</v>
      </c>
      <c r="R843" s="274">
        <f t="shared" si="27"/>
        <v>0</v>
      </c>
    </row>
    <row r="844" spans="17:18">
      <c r="Q844" s="274">
        <f t="shared" si="26"/>
        <v>0</v>
      </c>
      <c r="R844" s="274">
        <f t="shared" si="27"/>
        <v>0</v>
      </c>
    </row>
    <row r="845" spans="17:18">
      <c r="Q845" s="274">
        <f t="shared" si="26"/>
        <v>0</v>
      </c>
      <c r="R845" s="274">
        <f t="shared" si="27"/>
        <v>0</v>
      </c>
    </row>
    <row r="846" spans="17:18">
      <c r="Q846" s="274">
        <f t="shared" si="26"/>
        <v>0</v>
      </c>
      <c r="R846" s="274">
        <f t="shared" si="27"/>
        <v>0</v>
      </c>
    </row>
    <row r="847" spans="17:18">
      <c r="Q847" s="274">
        <f t="shared" si="26"/>
        <v>0</v>
      </c>
      <c r="R847" s="274">
        <f t="shared" si="27"/>
        <v>0</v>
      </c>
    </row>
    <row r="848" spans="17:18">
      <c r="Q848" s="274">
        <f t="shared" si="26"/>
        <v>0</v>
      </c>
      <c r="R848" s="274">
        <f t="shared" si="27"/>
        <v>0</v>
      </c>
    </row>
    <row r="849" spans="17:18">
      <c r="Q849" s="274">
        <f t="shared" si="26"/>
        <v>0</v>
      </c>
      <c r="R849" s="274">
        <f t="shared" si="27"/>
        <v>0</v>
      </c>
    </row>
    <row r="850" spans="17:18">
      <c r="Q850" s="274">
        <f t="shared" si="26"/>
        <v>0</v>
      </c>
      <c r="R850" s="274">
        <f t="shared" si="27"/>
        <v>0</v>
      </c>
    </row>
    <row r="851" spans="17:18">
      <c r="Q851" s="274">
        <f t="shared" si="26"/>
        <v>0</v>
      </c>
      <c r="R851" s="274">
        <f t="shared" si="27"/>
        <v>0</v>
      </c>
    </row>
    <row r="852" spans="17:18">
      <c r="Q852" s="274">
        <f t="shared" si="26"/>
        <v>0</v>
      </c>
      <c r="R852" s="274">
        <f t="shared" si="27"/>
        <v>0</v>
      </c>
    </row>
    <row r="853" spans="17:18">
      <c r="Q853" s="274">
        <f t="shared" si="26"/>
        <v>0</v>
      </c>
      <c r="R853" s="274">
        <f t="shared" si="27"/>
        <v>0</v>
      </c>
    </row>
    <row r="854" spans="17:18">
      <c r="Q854" s="274">
        <f t="shared" si="26"/>
        <v>0</v>
      </c>
      <c r="R854" s="274">
        <f t="shared" si="27"/>
        <v>0</v>
      </c>
    </row>
    <row r="855" spans="17:18">
      <c r="Q855" s="274">
        <f t="shared" si="26"/>
        <v>0</v>
      </c>
      <c r="R855" s="274">
        <f t="shared" si="27"/>
        <v>0</v>
      </c>
    </row>
    <row r="856" spans="17:18">
      <c r="Q856" s="274">
        <f t="shared" si="26"/>
        <v>0</v>
      </c>
      <c r="R856" s="274">
        <f t="shared" si="27"/>
        <v>0</v>
      </c>
    </row>
    <row r="857" spans="17:18">
      <c r="Q857" s="274">
        <f t="shared" si="26"/>
        <v>0</v>
      </c>
      <c r="R857" s="274">
        <f t="shared" si="27"/>
        <v>0</v>
      </c>
    </row>
    <row r="858" spans="17:18">
      <c r="Q858" s="274">
        <f t="shared" si="26"/>
        <v>0</v>
      </c>
      <c r="R858" s="274">
        <f t="shared" si="27"/>
        <v>0</v>
      </c>
    </row>
    <row r="859" spans="17:18">
      <c r="Q859" s="274">
        <f t="shared" si="26"/>
        <v>0</v>
      </c>
      <c r="R859" s="274">
        <f t="shared" si="27"/>
        <v>0</v>
      </c>
    </row>
    <row r="860" spans="17:18">
      <c r="Q860" s="274">
        <f t="shared" si="26"/>
        <v>0</v>
      </c>
      <c r="R860" s="274">
        <f t="shared" si="27"/>
        <v>0</v>
      </c>
    </row>
    <row r="861" spans="17:18">
      <c r="Q861" s="274">
        <f t="shared" si="26"/>
        <v>0</v>
      </c>
      <c r="R861" s="274">
        <f t="shared" si="27"/>
        <v>0</v>
      </c>
    </row>
    <row r="862" spans="17:18">
      <c r="Q862" s="274">
        <f t="shared" si="26"/>
        <v>0</v>
      </c>
      <c r="R862" s="274">
        <f t="shared" si="27"/>
        <v>0</v>
      </c>
    </row>
    <row r="863" spans="17:18">
      <c r="Q863" s="274">
        <f t="shared" si="26"/>
        <v>0</v>
      </c>
      <c r="R863" s="274">
        <f t="shared" si="27"/>
        <v>0</v>
      </c>
    </row>
    <row r="864" spans="17:18">
      <c r="Q864" s="274">
        <f t="shared" si="26"/>
        <v>0</v>
      </c>
      <c r="R864" s="274">
        <f t="shared" si="27"/>
        <v>0</v>
      </c>
    </row>
    <row r="865" spans="17:18">
      <c r="Q865" s="274">
        <f t="shared" si="26"/>
        <v>0</v>
      </c>
      <c r="R865" s="274">
        <f t="shared" si="27"/>
        <v>0</v>
      </c>
    </row>
    <row r="866" spans="17:18">
      <c r="Q866" s="274">
        <f t="shared" si="26"/>
        <v>0</v>
      </c>
      <c r="R866" s="274">
        <f t="shared" si="27"/>
        <v>0</v>
      </c>
    </row>
    <row r="867" spans="17:18">
      <c r="Q867" s="274">
        <f t="shared" si="26"/>
        <v>0</v>
      </c>
      <c r="R867" s="274">
        <f t="shared" si="27"/>
        <v>0</v>
      </c>
    </row>
    <row r="868" spans="17:18">
      <c r="Q868" s="274">
        <f t="shared" si="26"/>
        <v>0</v>
      </c>
      <c r="R868" s="274">
        <f t="shared" si="27"/>
        <v>0</v>
      </c>
    </row>
    <row r="869" spans="17:18">
      <c r="Q869" s="274">
        <f t="shared" si="26"/>
        <v>0</v>
      </c>
      <c r="R869" s="274">
        <f t="shared" si="27"/>
        <v>0</v>
      </c>
    </row>
    <row r="870" spans="17:18">
      <c r="Q870" s="274">
        <f t="shared" si="26"/>
        <v>0</v>
      </c>
      <c r="R870" s="274">
        <f t="shared" si="27"/>
        <v>0</v>
      </c>
    </row>
    <row r="871" spans="17:18">
      <c r="Q871" s="274">
        <f t="shared" si="26"/>
        <v>0</v>
      </c>
      <c r="R871" s="274">
        <f t="shared" si="27"/>
        <v>0</v>
      </c>
    </row>
    <row r="872" spans="17:18">
      <c r="Q872" s="274">
        <f t="shared" si="26"/>
        <v>0</v>
      </c>
      <c r="R872" s="274">
        <f t="shared" si="27"/>
        <v>0</v>
      </c>
    </row>
    <row r="873" spans="17:18">
      <c r="Q873" s="274">
        <f t="shared" si="26"/>
        <v>0</v>
      </c>
      <c r="R873" s="274">
        <f t="shared" si="27"/>
        <v>0</v>
      </c>
    </row>
    <row r="874" spans="17:18">
      <c r="Q874" s="274">
        <f t="shared" si="26"/>
        <v>0</v>
      </c>
      <c r="R874" s="274">
        <f t="shared" si="27"/>
        <v>0</v>
      </c>
    </row>
    <row r="875" spans="17:18">
      <c r="Q875" s="274">
        <f t="shared" si="26"/>
        <v>0</v>
      </c>
      <c r="R875" s="274">
        <f t="shared" si="27"/>
        <v>0</v>
      </c>
    </row>
    <row r="876" spans="17:18">
      <c r="Q876" s="274">
        <f t="shared" si="26"/>
        <v>0</v>
      </c>
      <c r="R876" s="274">
        <f t="shared" si="27"/>
        <v>0</v>
      </c>
    </row>
    <row r="877" spans="17:18">
      <c r="Q877" s="274">
        <f t="shared" si="26"/>
        <v>0</v>
      </c>
      <c r="R877" s="274">
        <f t="shared" si="27"/>
        <v>0</v>
      </c>
    </row>
    <row r="878" spans="17:18">
      <c r="Q878" s="274">
        <f t="shared" si="26"/>
        <v>0</v>
      </c>
      <c r="R878" s="274">
        <f t="shared" si="27"/>
        <v>0</v>
      </c>
    </row>
    <row r="879" spans="17:18">
      <c r="Q879" s="274">
        <f t="shared" si="26"/>
        <v>0</v>
      </c>
      <c r="R879" s="274">
        <f t="shared" si="27"/>
        <v>0</v>
      </c>
    </row>
    <row r="880" spans="17:18">
      <c r="Q880" s="274">
        <f t="shared" si="26"/>
        <v>0</v>
      </c>
      <c r="R880" s="274">
        <f t="shared" si="27"/>
        <v>0</v>
      </c>
    </row>
    <row r="881" spans="17:18">
      <c r="Q881" s="274">
        <f t="shared" si="26"/>
        <v>0</v>
      </c>
      <c r="R881" s="274">
        <f t="shared" si="27"/>
        <v>0</v>
      </c>
    </row>
    <row r="882" spans="17:18">
      <c r="Q882" s="274">
        <f t="shared" si="26"/>
        <v>0</v>
      </c>
      <c r="R882" s="274">
        <f t="shared" si="27"/>
        <v>0</v>
      </c>
    </row>
    <row r="883" spans="17:18">
      <c r="Q883" s="274">
        <f t="shared" si="26"/>
        <v>0</v>
      </c>
      <c r="R883" s="274">
        <f t="shared" si="27"/>
        <v>0</v>
      </c>
    </row>
    <row r="884" spans="17:18">
      <c r="Q884" s="274">
        <f t="shared" si="26"/>
        <v>0</v>
      </c>
      <c r="R884" s="274">
        <f t="shared" si="27"/>
        <v>0</v>
      </c>
    </row>
    <row r="885" spans="17:18">
      <c r="Q885" s="274">
        <f t="shared" si="26"/>
        <v>0</v>
      </c>
      <c r="R885" s="274">
        <f t="shared" si="27"/>
        <v>0</v>
      </c>
    </row>
    <row r="886" spans="17:18">
      <c r="Q886" s="274">
        <f t="shared" si="26"/>
        <v>0</v>
      </c>
      <c r="R886" s="274">
        <f t="shared" si="27"/>
        <v>0</v>
      </c>
    </row>
    <row r="887" spans="17:18">
      <c r="Q887" s="274">
        <f t="shared" si="26"/>
        <v>0</v>
      </c>
      <c r="R887" s="274">
        <f t="shared" si="27"/>
        <v>0</v>
      </c>
    </row>
    <row r="888" spans="17:18">
      <c r="Q888" s="274">
        <f t="shared" si="26"/>
        <v>0</v>
      </c>
      <c r="R888" s="274">
        <f t="shared" si="27"/>
        <v>0</v>
      </c>
    </row>
    <row r="889" spans="17:18">
      <c r="Q889" s="274">
        <f t="shared" si="26"/>
        <v>0</v>
      </c>
      <c r="R889" s="274">
        <f t="shared" si="27"/>
        <v>0</v>
      </c>
    </row>
    <row r="890" spans="17:18">
      <c r="Q890" s="274">
        <f t="shared" si="26"/>
        <v>0</v>
      </c>
      <c r="R890" s="274">
        <f t="shared" si="27"/>
        <v>0</v>
      </c>
    </row>
    <row r="891" spans="17:18">
      <c r="Q891" s="274">
        <f t="shared" si="26"/>
        <v>0</v>
      </c>
      <c r="R891" s="274">
        <f t="shared" si="27"/>
        <v>0</v>
      </c>
    </row>
    <row r="892" spans="17:18">
      <c r="Q892" s="274">
        <f t="shared" si="26"/>
        <v>0</v>
      </c>
      <c r="R892" s="274">
        <f t="shared" si="27"/>
        <v>0</v>
      </c>
    </row>
    <row r="893" spans="17:18">
      <c r="Q893" s="274">
        <f t="shared" si="26"/>
        <v>0</v>
      </c>
      <c r="R893" s="274">
        <f t="shared" si="27"/>
        <v>0</v>
      </c>
    </row>
    <row r="894" spans="17:18">
      <c r="Q894" s="274">
        <f t="shared" si="26"/>
        <v>0</v>
      </c>
      <c r="R894" s="274">
        <f t="shared" si="27"/>
        <v>0</v>
      </c>
    </row>
    <row r="895" spans="17:18">
      <c r="Q895" s="274">
        <f t="shared" si="26"/>
        <v>0</v>
      </c>
      <c r="R895" s="274">
        <f t="shared" si="27"/>
        <v>0</v>
      </c>
    </row>
    <row r="896" spans="17:18">
      <c r="Q896" s="274">
        <f t="shared" si="26"/>
        <v>0</v>
      </c>
      <c r="R896" s="274">
        <f t="shared" si="27"/>
        <v>0</v>
      </c>
    </row>
    <row r="897" spans="17:18">
      <c r="Q897" s="274">
        <f t="shared" si="26"/>
        <v>0</v>
      </c>
      <c r="R897" s="274">
        <f t="shared" si="27"/>
        <v>0</v>
      </c>
    </row>
    <row r="898" spans="17:18">
      <c r="Q898" s="274">
        <f t="shared" ref="Q898:Q961" si="28">IF($J900=$A$21,IF($M900=$A$16,$L900,0),0)</f>
        <v>0</v>
      </c>
      <c r="R898" s="274">
        <f t="shared" ref="R898:R961" si="29">IF($J900=$A$22,IF($M900=$A$16,$L900,0),0)</f>
        <v>0</v>
      </c>
    </row>
    <row r="899" spans="17:18">
      <c r="Q899" s="274">
        <f t="shared" si="28"/>
        <v>0</v>
      </c>
      <c r="R899" s="274">
        <f t="shared" si="29"/>
        <v>0</v>
      </c>
    </row>
    <row r="900" spans="17:18">
      <c r="Q900" s="274">
        <f t="shared" si="28"/>
        <v>0</v>
      </c>
      <c r="R900" s="274">
        <f t="shared" si="29"/>
        <v>0</v>
      </c>
    </row>
    <row r="901" spans="17:18">
      <c r="Q901" s="274">
        <f t="shared" si="28"/>
        <v>0</v>
      </c>
      <c r="R901" s="274">
        <f t="shared" si="29"/>
        <v>0</v>
      </c>
    </row>
    <row r="902" spans="17:18">
      <c r="Q902" s="274">
        <f t="shared" si="28"/>
        <v>0</v>
      </c>
      <c r="R902" s="274">
        <f t="shared" si="29"/>
        <v>0</v>
      </c>
    </row>
    <row r="903" spans="17:18">
      <c r="Q903" s="274">
        <f t="shared" si="28"/>
        <v>0</v>
      </c>
      <c r="R903" s="274">
        <f t="shared" si="29"/>
        <v>0</v>
      </c>
    </row>
    <row r="904" spans="17:18">
      <c r="Q904" s="274">
        <f t="shared" si="28"/>
        <v>0</v>
      </c>
      <c r="R904" s="274">
        <f t="shared" si="29"/>
        <v>0</v>
      </c>
    </row>
    <row r="905" spans="17:18">
      <c r="Q905" s="274">
        <f t="shared" si="28"/>
        <v>0</v>
      </c>
      <c r="R905" s="274">
        <f t="shared" si="29"/>
        <v>0</v>
      </c>
    </row>
    <row r="906" spans="17:18">
      <c r="Q906" s="274">
        <f t="shared" si="28"/>
        <v>0</v>
      </c>
      <c r="R906" s="274">
        <f t="shared" si="29"/>
        <v>0</v>
      </c>
    </row>
    <row r="907" spans="17:18">
      <c r="Q907" s="274">
        <f t="shared" si="28"/>
        <v>0</v>
      </c>
      <c r="R907" s="274">
        <f t="shared" si="29"/>
        <v>0</v>
      </c>
    </row>
    <row r="908" spans="17:18">
      <c r="Q908" s="274">
        <f t="shared" si="28"/>
        <v>0</v>
      </c>
      <c r="R908" s="274">
        <f t="shared" si="29"/>
        <v>0</v>
      </c>
    </row>
    <row r="909" spans="17:18">
      <c r="Q909" s="274">
        <f t="shared" si="28"/>
        <v>0</v>
      </c>
      <c r="R909" s="274">
        <f t="shared" si="29"/>
        <v>0</v>
      </c>
    </row>
    <row r="910" spans="17:18">
      <c r="Q910" s="274">
        <f t="shared" si="28"/>
        <v>0</v>
      </c>
      <c r="R910" s="274">
        <f t="shared" si="29"/>
        <v>0</v>
      </c>
    </row>
    <row r="911" spans="17:18">
      <c r="Q911" s="274">
        <f t="shared" si="28"/>
        <v>0</v>
      </c>
      <c r="R911" s="274">
        <f t="shared" si="29"/>
        <v>0</v>
      </c>
    </row>
    <row r="912" spans="17:18">
      <c r="Q912" s="274">
        <f t="shared" si="28"/>
        <v>0</v>
      </c>
      <c r="R912" s="274">
        <f t="shared" si="29"/>
        <v>0</v>
      </c>
    </row>
    <row r="913" spans="17:18">
      <c r="Q913" s="274">
        <f t="shared" si="28"/>
        <v>0</v>
      </c>
      <c r="R913" s="274">
        <f t="shared" si="29"/>
        <v>0</v>
      </c>
    </row>
    <row r="914" spans="17:18">
      <c r="Q914" s="274">
        <f t="shared" si="28"/>
        <v>0</v>
      </c>
      <c r="R914" s="274">
        <f t="shared" si="29"/>
        <v>0</v>
      </c>
    </row>
    <row r="915" spans="17:18">
      <c r="Q915" s="274">
        <f t="shared" si="28"/>
        <v>0</v>
      </c>
      <c r="R915" s="274">
        <f t="shared" si="29"/>
        <v>0</v>
      </c>
    </row>
    <row r="916" spans="17:18">
      <c r="Q916" s="274">
        <f t="shared" si="28"/>
        <v>0</v>
      </c>
      <c r="R916" s="274">
        <f t="shared" si="29"/>
        <v>0</v>
      </c>
    </row>
    <row r="917" spans="17:18">
      <c r="Q917" s="274">
        <f t="shared" si="28"/>
        <v>0</v>
      </c>
      <c r="R917" s="274">
        <f t="shared" si="29"/>
        <v>0</v>
      </c>
    </row>
    <row r="918" spans="17:18">
      <c r="Q918" s="274">
        <f t="shared" si="28"/>
        <v>0</v>
      </c>
      <c r="R918" s="274">
        <f t="shared" si="29"/>
        <v>0</v>
      </c>
    </row>
    <row r="919" spans="17:18">
      <c r="Q919" s="274">
        <f t="shared" si="28"/>
        <v>0</v>
      </c>
      <c r="R919" s="274">
        <f t="shared" si="29"/>
        <v>0</v>
      </c>
    </row>
    <row r="920" spans="17:18">
      <c r="Q920" s="274">
        <f t="shared" si="28"/>
        <v>0</v>
      </c>
      <c r="R920" s="274">
        <f t="shared" si="29"/>
        <v>0</v>
      </c>
    </row>
    <row r="921" spans="17:18">
      <c r="Q921" s="274">
        <f t="shared" si="28"/>
        <v>0</v>
      </c>
      <c r="R921" s="274">
        <f t="shared" si="29"/>
        <v>0</v>
      </c>
    </row>
    <row r="922" spans="17:18">
      <c r="Q922" s="274">
        <f t="shared" si="28"/>
        <v>0</v>
      </c>
      <c r="R922" s="274">
        <f t="shared" si="29"/>
        <v>0</v>
      </c>
    </row>
    <row r="923" spans="17:18">
      <c r="Q923" s="274">
        <f t="shared" si="28"/>
        <v>0</v>
      </c>
      <c r="R923" s="274">
        <f t="shared" si="29"/>
        <v>0</v>
      </c>
    </row>
    <row r="924" spans="17:18">
      <c r="Q924" s="274">
        <f t="shared" si="28"/>
        <v>0</v>
      </c>
      <c r="R924" s="274">
        <f t="shared" si="29"/>
        <v>0</v>
      </c>
    </row>
    <row r="925" spans="17:18">
      <c r="Q925" s="274">
        <f t="shared" si="28"/>
        <v>0</v>
      </c>
      <c r="R925" s="274">
        <f t="shared" si="29"/>
        <v>0</v>
      </c>
    </row>
    <row r="926" spans="17:18">
      <c r="Q926" s="274">
        <f t="shared" si="28"/>
        <v>0</v>
      </c>
      <c r="R926" s="274">
        <f t="shared" si="29"/>
        <v>0</v>
      </c>
    </row>
    <row r="927" spans="17:18">
      <c r="Q927" s="274">
        <f t="shared" si="28"/>
        <v>0</v>
      </c>
      <c r="R927" s="274">
        <f t="shared" si="29"/>
        <v>0</v>
      </c>
    </row>
    <row r="928" spans="17:18">
      <c r="Q928" s="274">
        <f t="shared" si="28"/>
        <v>0</v>
      </c>
      <c r="R928" s="274">
        <f t="shared" si="29"/>
        <v>0</v>
      </c>
    </row>
    <row r="929" spans="17:18">
      <c r="Q929" s="274">
        <f t="shared" si="28"/>
        <v>0</v>
      </c>
      <c r="R929" s="274">
        <f t="shared" si="29"/>
        <v>0</v>
      </c>
    </row>
    <row r="930" spans="17:18">
      <c r="Q930" s="274">
        <f t="shared" si="28"/>
        <v>0</v>
      </c>
      <c r="R930" s="274">
        <f t="shared" si="29"/>
        <v>0</v>
      </c>
    </row>
    <row r="931" spans="17:18">
      <c r="Q931" s="274">
        <f t="shared" si="28"/>
        <v>0</v>
      </c>
      <c r="R931" s="274">
        <f t="shared" si="29"/>
        <v>0</v>
      </c>
    </row>
    <row r="932" spans="17:18">
      <c r="Q932" s="274">
        <f t="shared" si="28"/>
        <v>0</v>
      </c>
      <c r="R932" s="274">
        <f t="shared" si="29"/>
        <v>0</v>
      </c>
    </row>
    <row r="933" spans="17:18">
      <c r="Q933" s="274">
        <f t="shared" si="28"/>
        <v>0</v>
      </c>
      <c r="R933" s="274">
        <f t="shared" si="29"/>
        <v>0</v>
      </c>
    </row>
    <row r="934" spans="17:18">
      <c r="Q934" s="274">
        <f t="shared" si="28"/>
        <v>0</v>
      </c>
      <c r="R934" s="274">
        <f t="shared" si="29"/>
        <v>0</v>
      </c>
    </row>
    <row r="935" spans="17:18">
      <c r="Q935" s="274">
        <f t="shared" si="28"/>
        <v>0</v>
      </c>
      <c r="R935" s="274">
        <f t="shared" si="29"/>
        <v>0</v>
      </c>
    </row>
    <row r="936" spans="17:18">
      <c r="Q936" s="274">
        <f t="shared" si="28"/>
        <v>0</v>
      </c>
      <c r="R936" s="274">
        <f t="shared" si="29"/>
        <v>0</v>
      </c>
    </row>
    <row r="937" spans="17:18">
      <c r="Q937" s="274">
        <f t="shared" si="28"/>
        <v>0</v>
      </c>
      <c r="R937" s="274">
        <f t="shared" si="29"/>
        <v>0</v>
      </c>
    </row>
    <row r="938" spans="17:18">
      <c r="Q938" s="274">
        <f t="shared" si="28"/>
        <v>0</v>
      </c>
      <c r="R938" s="274">
        <f t="shared" si="29"/>
        <v>0</v>
      </c>
    </row>
    <row r="939" spans="17:18">
      <c r="Q939" s="274">
        <f t="shared" si="28"/>
        <v>0</v>
      </c>
      <c r="R939" s="274">
        <f t="shared" si="29"/>
        <v>0</v>
      </c>
    </row>
    <row r="940" spans="17:18">
      <c r="Q940" s="274">
        <f t="shared" si="28"/>
        <v>0</v>
      </c>
      <c r="R940" s="274">
        <f t="shared" si="29"/>
        <v>0</v>
      </c>
    </row>
    <row r="941" spans="17:18">
      <c r="Q941" s="274">
        <f t="shared" si="28"/>
        <v>0</v>
      </c>
      <c r="R941" s="274">
        <f t="shared" si="29"/>
        <v>0</v>
      </c>
    </row>
    <row r="942" spans="17:18">
      <c r="Q942" s="274">
        <f t="shared" si="28"/>
        <v>0</v>
      </c>
      <c r="R942" s="274">
        <f t="shared" si="29"/>
        <v>0</v>
      </c>
    </row>
    <row r="943" spans="17:18">
      <c r="Q943" s="274">
        <f t="shared" si="28"/>
        <v>0</v>
      </c>
      <c r="R943" s="274">
        <f t="shared" si="29"/>
        <v>0</v>
      </c>
    </row>
    <row r="944" spans="17:18">
      <c r="Q944" s="274">
        <f t="shared" si="28"/>
        <v>0</v>
      </c>
      <c r="R944" s="274">
        <f t="shared" si="29"/>
        <v>0</v>
      </c>
    </row>
    <row r="945" spans="17:18">
      <c r="Q945" s="274">
        <f t="shared" si="28"/>
        <v>0</v>
      </c>
      <c r="R945" s="274">
        <f t="shared" si="29"/>
        <v>0</v>
      </c>
    </row>
    <row r="946" spans="17:18">
      <c r="Q946" s="274">
        <f t="shared" si="28"/>
        <v>0</v>
      </c>
      <c r="R946" s="274">
        <f t="shared" si="29"/>
        <v>0</v>
      </c>
    </row>
    <row r="947" spans="17:18">
      <c r="Q947" s="274">
        <f t="shared" si="28"/>
        <v>0</v>
      </c>
      <c r="R947" s="274">
        <f t="shared" si="29"/>
        <v>0</v>
      </c>
    </row>
    <row r="948" spans="17:18">
      <c r="Q948" s="274">
        <f t="shared" si="28"/>
        <v>0</v>
      </c>
      <c r="R948" s="274">
        <f t="shared" si="29"/>
        <v>0</v>
      </c>
    </row>
    <row r="949" spans="17:18">
      <c r="Q949" s="274">
        <f t="shared" si="28"/>
        <v>0</v>
      </c>
      <c r="R949" s="274">
        <f t="shared" si="29"/>
        <v>0</v>
      </c>
    </row>
    <row r="950" spans="17:18">
      <c r="Q950" s="274">
        <f t="shared" si="28"/>
        <v>0</v>
      </c>
      <c r="R950" s="274">
        <f t="shared" si="29"/>
        <v>0</v>
      </c>
    </row>
    <row r="951" spans="17:18">
      <c r="Q951" s="274">
        <f t="shared" si="28"/>
        <v>0</v>
      </c>
      <c r="R951" s="274">
        <f t="shared" si="29"/>
        <v>0</v>
      </c>
    </row>
    <row r="952" spans="17:18">
      <c r="Q952" s="274">
        <f t="shared" si="28"/>
        <v>0</v>
      </c>
      <c r="R952" s="274">
        <f t="shared" si="29"/>
        <v>0</v>
      </c>
    </row>
    <row r="953" spans="17:18">
      <c r="Q953" s="274">
        <f t="shared" si="28"/>
        <v>0</v>
      </c>
      <c r="R953" s="274">
        <f t="shared" si="29"/>
        <v>0</v>
      </c>
    </row>
    <row r="954" spans="17:18">
      <c r="Q954" s="274">
        <f t="shared" si="28"/>
        <v>0</v>
      </c>
      <c r="R954" s="274">
        <f t="shared" si="29"/>
        <v>0</v>
      </c>
    </row>
    <row r="955" spans="17:18">
      <c r="Q955" s="274">
        <f t="shared" si="28"/>
        <v>0</v>
      </c>
      <c r="R955" s="274">
        <f t="shared" si="29"/>
        <v>0</v>
      </c>
    </row>
    <row r="956" spans="17:18">
      <c r="Q956" s="274">
        <f t="shared" si="28"/>
        <v>0</v>
      </c>
      <c r="R956" s="274">
        <f t="shared" si="29"/>
        <v>0</v>
      </c>
    </row>
    <row r="957" spans="17:18">
      <c r="Q957" s="274">
        <f t="shared" si="28"/>
        <v>0</v>
      </c>
      <c r="R957" s="274">
        <f t="shared" si="29"/>
        <v>0</v>
      </c>
    </row>
    <row r="958" spans="17:18">
      <c r="Q958" s="274">
        <f t="shared" si="28"/>
        <v>0</v>
      </c>
      <c r="R958" s="274">
        <f t="shared" si="29"/>
        <v>0</v>
      </c>
    </row>
    <row r="959" spans="17:18">
      <c r="Q959" s="274">
        <f t="shared" si="28"/>
        <v>0</v>
      </c>
      <c r="R959" s="274">
        <f t="shared" si="29"/>
        <v>0</v>
      </c>
    </row>
    <row r="960" spans="17:18">
      <c r="Q960" s="274">
        <f t="shared" si="28"/>
        <v>0</v>
      </c>
      <c r="R960" s="274">
        <f t="shared" si="29"/>
        <v>0</v>
      </c>
    </row>
    <row r="961" spans="17:18">
      <c r="Q961" s="274">
        <f t="shared" si="28"/>
        <v>0</v>
      </c>
      <c r="R961" s="274">
        <f t="shared" si="29"/>
        <v>0</v>
      </c>
    </row>
    <row r="962" spans="17:18">
      <c r="Q962" s="274">
        <f t="shared" ref="Q962:Q1025" si="30">IF($J964=$A$21,IF($M964=$A$16,$L964,0),0)</f>
        <v>0</v>
      </c>
      <c r="R962" s="274">
        <f t="shared" ref="R962:R1025" si="31">IF($J964=$A$22,IF($M964=$A$16,$L964,0),0)</f>
        <v>0</v>
      </c>
    </row>
    <row r="963" spans="17:18">
      <c r="Q963" s="274">
        <f t="shared" si="30"/>
        <v>0</v>
      </c>
      <c r="R963" s="274">
        <f t="shared" si="31"/>
        <v>0</v>
      </c>
    </row>
    <row r="964" spans="17:18">
      <c r="Q964" s="274">
        <f t="shared" si="30"/>
        <v>0</v>
      </c>
      <c r="R964" s="274">
        <f t="shared" si="31"/>
        <v>0</v>
      </c>
    </row>
    <row r="965" spans="17:18">
      <c r="Q965" s="274">
        <f t="shared" si="30"/>
        <v>0</v>
      </c>
      <c r="R965" s="274">
        <f t="shared" si="31"/>
        <v>0</v>
      </c>
    </row>
    <row r="966" spans="17:18">
      <c r="Q966" s="274">
        <f t="shared" si="30"/>
        <v>0</v>
      </c>
      <c r="R966" s="274">
        <f t="shared" si="31"/>
        <v>0</v>
      </c>
    </row>
    <row r="967" spans="17:18">
      <c r="Q967" s="274">
        <f t="shared" si="30"/>
        <v>0</v>
      </c>
      <c r="R967" s="274">
        <f t="shared" si="31"/>
        <v>0</v>
      </c>
    </row>
    <row r="968" spans="17:18">
      <c r="Q968" s="274">
        <f t="shared" si="30"/>
        <v>0</v>
      </c>
      <c r="R968" s="274">
        <f t="shared" si="31"/>
        <v>0</v>
      </c>
    </row>
    <row r="969" spans="17:18">
      <c r="Q969" s="274">
        <f t="shared" si="30"/>
        <v>0</v>
      </c>
      <c r="R969" s="274">
        <f t="shared" si="31"/>
        <v>0</v>
      </c>
    </row>
    <row r="970" spans="17:18">
      <c r="Q970" s="274">
        <f t="shared" si="30"/>
        <v>0</v>
      </c>
      <c r="R970" s="274">
        <f t="shared" si="31"/>
        <v>0</v>
      </c>
    </row>
    <row r="971" spans="17:18">
      <c r="Q971" s="274">
        <f t="shared" si="30"/>
        <v>0</v>
      </c>
      <c r="R971" s="274">
        <f t="shared" si="31"/>
        <v>0</v>
      </c>
    </row>
    <row r="972" spans="17:18">
      <c r="Q972" s="274">
        <f t="shared" si="30"/>
        <v>0</v>
      </c>
      <c r="R972" s="274">
        <f t="shared" si="31"/>
        <v>0</v>
      </c>
    </row>
    <row r="973" spans="17:18">
      <c r="Q973" s="274">
        <f t="shared" si="30"/>
        <v>0</v>
      </c>
      <c r="R973" s="274">
        <f t="shared" si="31"/>
        <v>0</v>
      </c>
    </row>
    <row r="974" spans="17:18">
      <c r="Q974" s="274">
        <f t="shared" si="30"/>
        <v>0</v>
      </c>
      <c r="R974" s="274">
        <f t="shared" si="31"/>
        <v>0</v>
      </c>
    </row>
    <row r="975" spans="17:18">
      <c r="Q975" s="274">
        <f t="shared" si="30"/>
        <v>0</v>
      </c>
      <c r="R975" s="274">
        <f t="shared" si="31"/>
        <v>0</v>
      </c>
    </row>
    <row r="976" spans="17:18">
      <c r="Q976" s="274">
        <f t="shared" si="30"/>
        <v>0</v>
      </c>
      <c r="R976" s="274">
        <f t="shared" si="31"/>
        <v>0</v>
      </c>
    </row>
    <row r="977" spans="17:18">
      <c r="Q977" s="274">
        <f t="shared" si="30"/>
        <v>0</v>
      </c>
      <c r="R977" s="274">
        <f t="shared" si="31"/>
        <v>0</v>
      </c>
    </row>
    <row r="978" spans="17:18">
      <c r="Q978" s="274">
        <f t="shared" si="30"/>
        <v>0</v>
      </c>
      <c r="R978" s="274">
        <f t="shared" si="31"/>
        <v>0</v>
      </c>
    </row>
    <row r="979" spans="17:18">
      <c r="Q979" s="274">
        <f t="shared" si="30"/>
        <v>0</v>
      </c>
      <c r="R979" s="274">
        <f t="shared" si="31"/>
        <v>0</v>
      </c>
    </row>
    <row r="980" spans="17:18">
      <c r="Q980" s="274">
        <f t="shared" si="30"/>
        <v>0</v>
      </c>
      <c r="R980" s="274">
        <f t="shared" si="31"/>
        <v>0</v>
      </c>
    </row>
    <row r="981" spans="17:18">
      <c r="Q981" s="274">
        <f t="shared" si="30"/>
        <v>0</v>
      </c>
      <c r="R981" s="274">
        <f t="shared" si="31"/>
        <v>0</v>
      </c>
    </row>
    <row r="982" spans="17:18">
      <c r="Q982" s="274">
        <f t="shared" si="30"/>
        <v>0</v>
      </c>
      <c r="R982" s="274">
        <f t="shared" si="31"/>
        <v>0</v>
      </c>
    </row>
    <row r="983" spans="17:18">
      <c r="Q983" s="274">
        <f t="shared" si="30"/>
        <v>0</v>
      </c>
      <c r="R983" s="274">
        <f t="shared" si="31"/>
        <v>0</v>
      </c>
    </row>
    <row r="984" spans="17:18">
      <c r="Q984" s="274">
        <f t="shared" si="30"/>
        <v>0</v>
      </c>
      <c r="R984" s="274">
        <f t="shared" si="31"/>
        <v>0</v>
      </c>
    </row>
    <row r="985" spans="17:18">
      <c r="Q985" s="274">
        <f t="shared" si="30"/>
        <v>0</v>
      </c>
      <c r="R985" s="274">
        <f t="shared" si="31"/>
        <v>0</v>
      </c>
    </row>
    <row r="986" spans="17:18">
      <c r="Q986" s="274">
        <f t="shared" si="30"/>
        <v>0</v>
      </c>
      <c r="R986" s="274">
        <f t="shared" si="31"/>
        <v>0</v>
      </c>
    </row>
    <row r="987" spans="17:18">
      <c r="Q987" s="274">
        <f t="shared" si="30"/>
        <v>0</v>
      </c>
      <c r="R987" s="274">
        <f t="shared" si="31"/>
        <v>0</v>
      </c>
    </row>
    <row r="988" spans="17:18">
      <c r="Q988" s="274">
        <f t="shared" si="30"/>
        <v>0</v>
      </c>
      <c r="R988" s="274">
        <f t="shared" si="31"/>
        <v>0</v>
      </c>
    </row>
    <row r="989" spans="17:18">
      <c r="Q989" s="274">
        <f t="shared" si="30"/>
        <v>0</v>
      </c>
      <c r="R989" s="274">
        <f t="shared" si="31"/>
        <v>0</v>
      </c>
    </row>
    <row r="990" spans="17:18">
      <c r="Q990" s="274">
        <f t="shared" si="30"/>
        <v>0</v>
      </c>
      <c r="R990" s="274">
        <f t="shared" si="31"/>
        <v>0</v>
      </c>
    </row>
    <row r="991" spans="17:18">
      <c r="Q991" s="274">
        <f t="shared" si="30"/>
        <v>0</v>
      </c>
      <c r="R991" s="274">
        <f t="shared" si="31"/>
        <v>0</v>
      </c>
    </row>
    <row r="992" spans="17:18">
      <c r="Q992" s="274">
        <f t="shared" si="30"/>
        <v>0</v>
      </c>
      <c r="R992" s="274">
        <f t="shared" si="31"/>
        <v>0</v>
      </c>
    </row>
    <row r="993" spans="17:18">
      <c r="Q993" s="274">
        <f t="shared" si="30"/>
        <v>0</v>
      </c>
      <c r="R993" s="274">
        <f t="shared" si="31"/>
        <v>0</v>
      </c>
    </row>
    <row r="994" spans="17:18">
      <c r="Q994" s="274">
        <f t="shared" si="30"/>
        <v>0</v>
      </c>
      <c r="R994" s="274">
        <f t="shared" si="31"/>
        <v>0</v>
      </c>
    </row>
    <row r="995" spans="17:18">
      <c r="Q995" s="274">
        <f t="shared" si="30"/>
        <v>0</v>
      </c>
      <c r="R995" s="274">
        <f t="shared" si="31"/>
        <v>0</v>
      </c>
    </row>
    <row r="996" spans="17:18">
      <c r="Q996" s="274">
        <f t="shared" si="30"/>
        <v>0</v>
      </c>
      <c r="R996" s="274">
        <f t="shared" si="31"/>
        <v>0</v>
      </c>
    </row>
    <row r="997" spans="17:18">
      <c r="Q997" s="274">
        <f t="shared" si="30"/>
        <v>0</v>
      </c>
      <c r="R997" s="274">
        <f t="shared" si="31"/>
        <v>0</v>
      </c>
    </row>
    <row r="998" spans="17:18">
      <c r="Q998" s="274">
        <f t="shared" si="30"/>
        <v>0</v>
      </c>
      <c r="R998" s="274">
        <f t="shared" si="31"/>
        <v>0</v>
      </c>
    </row>
    <row r="999" spans="17:18">
      <c r="Q999" s="274">
        <f t="shared" si="30"/>
        <v>0</v>
      </c>
      <c r="R999" s="274">
        <f t="shared" si="31"/>
        <v>0</v>
      </c>
    </row>
    <row r="1000" spans="17:18">
      <c r="Q1000" s="274">
        <f t="shared" si="30"/>
        <v>0</v>
      </c>
      <c r="R1000" s="274">
        <f t="shared" si="31"/>
        <v>0</v>
      </c>
    </row>
    <row r="1001" spans="17:18">
      <c r="Q1001" s="274">
        <f t="shared" si="30"/>
        <v>0</v>
      </c>
      <c r="R1001" s="274">
        <f t="shared" si="31"/>
        <v>0</v>
      </c>
    </row>
    <row r="1002" spans="17:18">
      <c r="Q1002" s="274">
        <f t="shared" si="30"/>
        <v>0</v>
      </c>
      <c r="R1002" s="274">
        <f t="shared" si="31"/>
        <v>0</v>
      </c>
    </row>
    <row r="1003" spans="17:18">
      <c r="Q1003" s="274">
        <f t="shared" si="30"/>
        <v>0</v>
      </c>
      <c r="R1003" s="274">
        <f t="shared" si="31"/>
        <v>0</v>
      </c>
    </row>
    <row r="1004" spans="17:18">
      <c r="Q1004" s="274">
        <f t="shared" si="30"/>
        <v>0</v>
      </c>
      <c r="R1004" s="274">
        <f t="shared" si="31"/>
        <v>0</v>
      </c>
    </row>
    <row r="1005" spans="17:18">
      <c r="Q1005" s="274">
        <f t="shared" si="30"/>
        <v>0</v>
      </c>
      <c r="R1005" s="274">
        <f t="shared" si="31"/>
        <v>0</v>
      </c>
    </row>
    <row r="1006" spans="17:18">
      <c r="Q1006" s="274">
        <f t="shared" si="30"/>
        <v>0</v>
      </c>
      <c r="R1006" s="274">
        <f t="shared" si="31"/>
        <v>0</v>
      </c>
    </row>
    <row r="1007" spans="17:18">
      <c r="Q1007" s="274">
        <f t="shared" si="30"/>
        <v>0</v>
      </c>
      <c r="R1007" s="274">
        <f t="shared" si="31"/>
        <v>0</v>
      </c>
    </row>
    <row r="1008" spans="17:18">
      <c r="Q1008" s="274">
        <f t="shared" si="30"/>
        <v>0</v>
      </c>
      <c r="R1008" s="274">
        <f t="shared" si="31"/>
        <v>0</v>
      </c>
    </row>
    <row r="1009" spans="17:18">
      <c r="Q1009" s="274">
        <f t="shared" si="30"/>
        <v>0</v>
      </c>
      <c r="R1009" s="274">
        <f t="shared" si="31"/>
        <v>0</v>
      </c>
    </row>
    <row r="1010" spans="17:18">
      <c r="Q1010" s="274">
        <f t="shared" si="30"/>
        <v>0</v>
      </c>
      <c r="R1010" s="274">
        <f t="shared" si="31"/>
        <v>0</v>
      </c>
    </row>
    <row r="1011" spans="17:18">
      <c r="Q1011" s="274">
        <f t="shared" si="30"/>
        <v>0</v>
      </c>
      <c r="R1011" s="274">
        <f t="shared" si="31"/>
        <v>0</v>
      </c>
    </row>
    <row r="1012" spans="17:18">
      <c r="Q1012" s="274">
        <f t="shared" si="30"/>
        <v>0</v>
      </c>
      <c r="R1012" s="274">
        <f t="shared" si="31"/>
        <v>0</v>
      </c>
    </row>
    <row r="1013" spans="17:18">
      <c r="Q1013" s="274">
        <f t="shared" si="30"/>
        <v>0</v>
      </c>
      <c r="R1013" s="274">
        <f t="shared" si="31"/>
        <v>0</v>
      </c>
    </row>
    <row r="1014" spans="17:18">
      <c r="Q1014" s="274">
        <f t="shared" si="30"/>
        <v>0</v>
      </c>
      <c r="R1014" s="274">
        <f t="shared" si="31"/>
        <v>0</v>
      </c>
    </row>
    <row r="1015" spans="17:18">
      <c r="Q1015" s="274">
        <f t="shared" si="30"/>
        <v>0</v>
      </c>
      <c r="R1015" s="274">
        <f t="shared" si="31"/>
        <v>0</v>
      </c>
    </row>
    <row r="1016" spans="17:18">
      <c r="Q1016" s="274">
        <f t="shared" si="30"/>
        <v>0</v>
      </c>
      <c r="R1016" s="274">
        <f t="shared" si="31"/>
        <v>0</v>
      </c>
    </row>
    <row r="1017" spans="17:18">
      <c r="Q1017" s="274">
        <f t="shared" si="30"/>
        <v>0</v>
      </c>
      <c r="R1017" s="274">
        <f t="shared" si="31"/>
        <v>0</v>
      </c>
    </row>
    <row r="1018" spans="17:18">
      <c r="Q1018" s="274">
        <f t="shared" si="30"/>
        <v>0</v>
      </c>
      <c r="R1018" s="274">
        <f t="shared" si="31"/>
        <v>0</v>
      </c>
    </row>
    <row r="1019" spans="17:18">
      <c r="Q1019" s="274">
        <f t="shared" si="30"/>
        <v>0</v>
      </c>
      <c r="R1019" s="274">
        <f t="shared" si="31"/>
        <v>0</v>
      </c>
    </row>
    <row r="1020" spans="17:18">
      <c r="Q1020" s="274">
        <f t="shared" si="30"/>
        <v>0</v>
      </c>
      <c r="R1020" s="274">
        <f t="shared" si="31"/>
        <v>0</v>
      </c>
    </row>
    <row r="1021" spans="17:18">
      <c r="Q1021" s="274">
        <f t="shared" si="30"/>
        <v>0</v>
      </c>
      <c r="R1021" s="274">
        <f t="shared" si="31"/>
        <v>0</v>
      </c>
    </row>
    <row r="1022" spans="17:18">
      <c r="Q1022" s="274">
        <f t="shared" si="30"/>
        <v>0</v>
      </c>
      <c r="R1022" s="274">
        <f t="shared" si="31"/>
        <v>0</v>
      </c>
    </row>
    <row r="1023" spans="17:18">
      <c r="Q1023" s="274">
        <f t="shared" si="30"/>
        <v>0</v>
      </c>
      <c r="R1023" s="274">
        <f t="shared" si="31"/>
        <v>0</v>
      </c>
    </row>
    <row r="1024" spans="17:18">
      <c r="Q1024" s="274">
        <f t="shared" si="30"/>
        <v>0</v>
      </c>
      <c r="R1024" s="274">
        <f t="shared" si="31"/>
        <v>0</v>
      </c>
    </row>
    <row r="1025" spans="17:18">
      <c r="Q1025" s="274">
        <f t="shared" si="30"/>
        <v>0</v>
      </c>
      <c r="R1025" s="274">
        <f t="shared" si="31"/>
        <v>0</v>
      </c>
    </row>
    <row r="1026" spans="17:18">
      <c r="Q1026" s="274">
        <f t="shared" ref="Q1026:Q1089" si="32">IF($J1028=$A$21,IF($M1028=$A$16,$L1028,0),0)</f>
        <v>0</v>
      </c>
      <c r="R1026" s="274">
        <f t="shared" ref="R1026:R1089" si="33">IF($J1028=$A$22,IF($M1028=$A$16,$L1028,0),0)</f>
        <v>0</v>
      </c>
    </row>
    <row r="1027" spans="17:18">
      <c r="Q1027" s="274">
        <f t="shared" si="32"/>
        <v>0</v>
      </c>
      <c r="R1027" s="274">
        <f t="shared" si="33"/>
        <v>0</v>
      </c>
    </row>
    <row r="1028" spans="17:18">
      <c r="Q1028" s="274">
        <f t="shared" si="32"/>
        <v>0</v>
      </c>
      <c r="R1028" s="274">
        <f t="shared" si="33"/>
        <v>0</v>
      </c>
    </row>
    <row r="1029" spans="17:18">
      <c r="Q1029" s="274">
        <f t="shared" si="32"/>
        <v>0</v>
      </c>
      <c r="R1029" s="274">
        <f t="shared" si="33"/>
        <v>0</v>
      </c>
    </row>
    <row r="1030" spans="17:18">
      <c r="Q1030" s="274">
        <f t="shared" si="32"/>
        <v>0</v>
      </c>
      <c r="R1030" s="274">
        <f t="shared" si="33"/>
        <v>0</v>
      </c>
    </row>
    <row r="1031" spans="17:18">
      <c r="Q1031" s="274">
        <f t="shared" si="32"/>
        <v>0</v>
      </c>
      <c r="R1031" s="274">
        <f t="shared" si="33"/>
        <v>0</v>
      </c>
    </row>
    <row r="1032" spans="17:18">
      <c r="Q1032" s="274">
        <f t="shared" si="32"/>
        <v>0</v>
      </c>
      <c r="R1032" s="274">
        <f t="shared" si="33"/>
        <v>0</v>
      </c>
    </row>
    <row r="1033" spans="17:18">
      <c r="Q1033" s="274">
        <f t="shared" si="32"/>
        <v>0</v>
      </c>
      <c r="R1033" s="274">
        <f t="shared" si="33"/>
        <v>0</v>
      </c>
    </row>
    <row r="1034" spans="17:18">
      <c r="Q1034" s="274">
        <f t="shared" si="32"/>
        <v>0</v>
      </c>
      <c r="R1034" s="274">
        <f t="shared" si="33"/>
        <v>0</v>
      </c>
    </row>
    <row r="1035" spans="17:18">
      <c r="Q1035" s="274">
        <f t="shared" si="32"/>
        <v>0</v>
      </c>
      <c r="R1035" s="274">
        <f t="shared" si="33"/>
        <v>0</v>
      </c>
    </row>
    <row r="1036" spans="17:18">
      <c r="Q1036" s="274">
        <f t="shared" si="32"/>
        <v>0</v>
      </c>
      <c r="R1036" s="274">
        <f t="shared" si="33"/>
        <v>0</v>
      </c>
    </row>
    <row r="1037" spans="17:18">
      <c r="Q1037" s="274">
        <f t="shared" si="32"/>
        <v>0</v>
      </c>
      <c r="R1037" s="274">
        <f t="shared" si="33"/>
        <v>0</v>
      </c>
    </row>
    <row r="1038" spans="17:18">
      <c r="Q1038" s="274">
        <f t="shared" si="32"/>
        <v>0</v>
      </c>
      <c r="R1038" s="274">
        <f t="shared" si="33"/>
        <v>0</v>
      </c>
    </row>
    <row r="1039" spans="17:18">
      <c r="Q1039" s="274">
        <f t="shared" si="32"/>
        <v>0</v>
      </c>
      <c r="R1039" s="274">
        <f t="shared" si="33"/>
        <v>0</v>
      </c>
    </row>
    <row r="1040" spans="17:18">
      <c r="Q1040" s="274">
        <f t="shared" si="32"/>
        <v>0</v>
      </c>
      <c r="R1040" s="274">
        <f t="shared" si="33"/>
        <v>0</v>
      </c>
    </row>
    <row r="1041" spans="17:18">
      <c r="Q1041" s="274">
        <f t="shared" si="32"/>
        <v>0</v>
      </c>
      <c r="R1041" s="274">
        <f t="shared" si="33"/>
        <v>0</v>
      </c>
    </row>
    <row r="1042" spans="17:18">
      <c r="Q1042" s="274">
        <f t="shared" si="32"/>
        <v>0</v>
      </c>
      <c r="R1042" s="274">
        <f t="shared" si="33"/>
        <v>0</v>
      </c>
    </row>
    <row r="1043" spans="17:18">
      <c r="Q1043" s="274">
        <f t="shared" si="32"/>
        <v>0</v>
      </c>
      <c r="R1043" s="274">
        <f t="shared" si="33"/>
        <v>0</v>
      </c>
    </row>
    <row r="1044" spans="17:18">
      <c r="Q1044" s="274">
        <f t="shared" si="32"/>
        <v>0</v>
      </c>
      <c r="R1044" s="274">
        <f t="shared" si="33"/>
        <v>0</v>
      </c>
    </row>
    <row r="1045" spans="17:18">
      <c r="Q1045" s="274">
        <f t="shared" si="32"/>
        <v>0</v>
      </c>
      <c r="R1045" s="274">
        <f t="shared" si="33"/>
        <v>0</v>
      </c>
    </row>
    <row r="1046" spans="17:18">
      <c r="Q1046" s="274">
        <f t="shared" si="32"/>
        <v>0</v>
      </c>
      <c r="R1046" s="274">
        <f t="shared" si="33"/>
        <v>0</v>
      </c>
    </row>
    <row r="1047" spans="17:18">
      <c r="Q1047" s="274">
        <f t="shared" si="32"/>
        <v>0</v>
      </c>
      <c r="R1047" s="274">
        <f t="shared" si="33"/>
        <v>0</v>
      </c>
    </row>
    <row r="1048" spans="17:18">
      <c r="Q1048" s="274">
        <f t="shared" si="32"/>
        <v>0</v>
      </c>
      <c r="R1048" s="274">
        <f t="shared" si="33"/>
        <v>0</v>
      </c>
    </row>
    <row r="1049" spans="17:18">
      <c r="Q1049" s="274">
        <f t="shared" si="32"/>
        <v>0</v>
      </c>
      <c r="R1049" s="274">
        <f t="shared" si="33"/>
        <v>0</v>
      </c>
    </row>
    <row r="1050" spans="17:18">
      <c r="Q1050" s="274">
        <f t="shared" si="32"/>
        <v>0</v>
      </c>
      <c r="R1050" s="274">
        <f t="shared" si="33"/>
        <v>0</v>
      </c>
    </row>
    <row r="1051" spans="17:18">
      <c r="Q1051" s="274">
        <f t="shared" si="32"/>
        <v>0</v>
      </c>
      <c r="R1051" s="274">
        <f t="shared" si="33"/>
        <v>0</v>
      </c>
    </row>
    <row r="1052" spans="17:18">
      <c r="Q1052" s="274">
        <f t="shared" si="32"/>
        <v>0</v>
      </c>
      <c r="R1052" s="274">
        <f t="shared" si="33"/>
        <v>0</v>
      </c>
    </row>
    <row r="1053" spans="17:18">
      <c r="Q1053" s="274">
        <f t="shared" si="32"/>
        <v>0</v>
      </c>
      <c r="R1053" s="274">
        <f t="shared" si="33"/>
        <v>0</v>
      </c>
    </row>
    <row r="1054" spans="17:18">
      <c r="Q1054" s="274">
        <f t="shared" si="32"/>
        <v>0</v>
      </c>
      <c r="R1054" s="274">
        <f t="shared" si="33"/>
        <v>0</v>
      </c>
    </row>
    <row r="1055" spans="17:18">
      <c r="Q1055" s="274">
        <f t="shared" si="32"/>
        <v>0</v>
      </c>
      <c r="R1055" s="274">
        <f t="shared" si="33"/>
        <v>0</v>
      </c>
    </row>
    <row r="1056" spans="17:18">
      <c r="Q1056" s="274">
        <f t="shared" si="32"/>
        <v>0</v>
      </c>
      <c r="R1056" s="274">
        <f t="shared" si="33"/>
        <v>0</v>
      </c>
    </row>
    <row r="1057" spans="17:18">
      <c r="Q1057" s="274">
        <f t="shared" si="32"/>
        <v>0</v>
      </c>
      <c r="R1057" s="274">
        <f t="shared" si="33"/>
        <v>0</v>
      </c>
    </row>
    <row r="1058" spans="17:18">
      <c r="Q1058" s="274">
        <f t="shared" si="32"/>
        <v>0</v>
      </c>
      <c r="R1058" s="274">
        <f t="shared" si="33"/>
        <v>0</v>
      </c>
    </row>
    <row r="1059" spans="17:18">
      <c r="Q1059" s="274">
        <f t="shared" si="32"/>
        <v>0</v>
      </c>
      <c r="R1059" s="274">
        <f t="shared" si="33"/>
        <v>0</v>
      </c>
    </row>
    <row r="1060" spans="17:18">
      <c r="Q1060" s="274">
        <f t="shared" si="32"/>
        <v>0</v>
      </c>
      <c r="R1060" s="274">
        <f t="shared" si="33"/>
        <v>0</v>
      </c>
    </row>
    <row r="1061" spans="17:18">
      <c r="Q1061" s="274">
        <f t="shared" si="32"/>
        <v>0</v>
      </c>
      <c r="R1061" s="274">
        <f t="shared" si="33"/>
        <v>0</v>
      </c>
    </row>
    <row r="1062" spans="17:18">
      <c r="Q1062" s="274">
        <f t="shared" si="32"/>
        <v>0</v>
      </c>
      <c r="R1062" s="274">
        <f t="shared" si="33"/>
        <v>0</v>
      </c>
    </row>
    <row r="1063" spans="17:18">
      <c r="Q1063" s="274">
        <f t="shared" si="32"/>
        <v>0</v>
      </c>
      <c r="R1063" s="274">
        <f t="shared" si="33"/>
        <v>0</v>
      </c>
    </row>
    <row r="1064" spans="17:18">
      <c r="Q1064" s="274">
        <f t="shared" si="32"/>
        <v>0</v>
      </c>
      <c r="R1064" s="274">
        <f t="shared" si="33"/>
        <v>0</v>
      </c>
    </row>
    <row r="1065" spans="17:18">
      <c r="Q1065" s="274">
        <f t="shared" si="32"/>
        <v>0</v>
      </c>
      <c r="R1065" s="274">
        <f t="shared" si="33"/>
        <v>0</v>
      </c>
    </row>
    <row r="1066" spans="17:18">
      <c r="Q1066" s="274">
        <f t="shared" si="32"/>
        <v>0</v>
      </c>
      <c r="R1066" s="274">
        <f t="shared" si="33"/>
        <v>0</v>
      </c>
    </row>
    <row r="1067" spans="17:18">
      <c r="Q1067" s="274">
        <f t="shared" si="32"/>
        <v>0</v>
      </c>
      <c r="R1067" s="274">
        <f t="shared" si="33"/>
        <v>0</v>
      </c>
    </row>
    <row r="1068" spans="17:18">
      <c r="Q1068" s="274">
        <f t="shared" si="32"/>
        <v>0</v>
      </c>
      <c r="R1068" s="274">
        <f t="shared" si="33"/>
        <v>0</v>
      </c>
    </row>
    <row r="1069" spans="17:18">
      <c r="Q1069" s="274">
        <f t="shared" si="32"/>
        <v>0</v>
      </c>
      <c r="R1069" s="274">
        <f t="shared" si="33"/>
        <v>0</v>
      </c>
    </row>
    <row r="1070" spans="17:18">
      <c r="Q1070" s="274">
        <f t="shared" si="32"/>
        <v>0</v>
      </c>
      <c r="R1070" s="274">
        <f t="shared" si="33"/>
        <v>0</v>
      </c>
    </row>
    <row r="1071" spans="17:18">
      <c r="Q1071" s="274">
        <f t="shared" si="32"/>
        <v>0</v>
      </c>
      <c r="R1071" s="274">
        <f t="shared" si="33"/>
        <v>0</v>
      </c>
    </row>
    <row r="1072" spans="17:18">
      <c r="Q1072" s="274">
        <f t="shared" si="32"/>
        <v>0</v>
      </c>
      <c r="R1072" s="274">
        <f t="shared" si="33"/>
        <v>0</v>
      </c>
    </row>
    <row r="1073" spans="17:18">
      <c r="Q1073" s="274">
        <f t="shared" si="32"/>
        <v>0</v>
      </c>
      <c r="R1073" s="274">
        <f t="shared" si="33"/>
        <v>0</v>
      </c>
    </row>
    <row r="1074" spans="17:18">
      <c r="Q1074" s="274">
        <f t="shared" si="32"/>
        <v>0</v>
      </c>
      <c r="R1074" s="274">
        <f t="shared" si="33"/>
        <v>0</v>
      </c>
    </row>
    <row r="1075" spans="17:18">
      <c r="Q1075" s="274">
        <f t="shared" si="32"/>
        <v>0</v>
      </c>
      <c r="R1075" s="274">
        <f t="shared" si="33"/>
        <v>0</v>
      </c>
    </row>
    <row r="1076" spans="17:18">
      <c r="Q1076" s="274">
        <f t="shared" si="32"/>
        <v>0</v>
      </c>
      <c r="R1076" s="274">
        <f t="shared" si="33"/>
        <v>0</v>
      </c>
    </row>
    <row r="1077" spans="17:18">
      <c r="Q1077" s="274">
        <f t="shared" si="32"/>
        <v>0</v>
      </c>
      <c r="R1077" s="274">
        <f t="shared" si="33"/>
        <v>0</v>
      </c>
    </row>
    <row r="1078" spans="17:18">
      <c r="Q1078" s="274">
        <f t="shared" si="32"/>
        <v>0</v>
      </c>
      <c r="R1078" s="274">
        <f t="shared" si="33"/>
        <v>0</v>
      </c>
    </row>
    <row r="1079" spans="17:18">
      <c r="Q1079" s="274">
        <f t="shared" si="32"/>
        <v>0</v>
      </c>
      <c r="R1079" s="274">
        <f t="shared" si="33"/>
        <v>0</v>
      </c>
    </row>
    <row r="1080" spans="17:18">
      <c r="Q1080" s="274">
        <f t="shared" si="32"/>
        <v>0</v>
      </c>
      <c r="R1080" s="274">
        <f t="shared" si="33"/>
        <v>0</v>
      </c>
    </row>
    <row r="1081" spans="17:18">
      <c r="Q1081" s="274">
        <f t="shared" si="32"/>
        <v>0</v>
      </c>
      <c r="R1081" s="274">
        <f t="shared" si="33"/>
        <v>0</v>
      </c>
    </row>
    <row r="1082" spans="17:18">
      <c r="Q1082" s="274">
        <f t="shared" si="32"/>
        <v>0</v>
      </c>
      <c r="R1082" s="274">
        <f t="shared" si="33"/>
        <v>0</v>
      </c>
    </row>
    <row r="1083" spans="17:18">
      <c r="Q1083" s="274">
        <f t="shared" si="32"/>
        <v>0</v>
      </c>
      <c r="R1083" s="274">
        <f t="shared" si="33"/>
        <v>0</v>
      </c>
    </row>
    <row r="1084" spans="17:18">
      <c r="Q1084" s="274">
        <f t="shared" si="32"/>
        <v>0</v>
      </c>
      <c r="R1084" s="274">
        <f t="shared" si="33"/>
        <v>0</v>
      </c>
    </row>
    <row r="1085" spans="17:18">
      <c r="Q1085" s="274">
        <f t="shared" si="32"/>
        <v>0</v>
      </c>
      <c r="R1085" s="274">
        <f t="shared" si="33"/>
        <v>0</v>
      </c>
    </row>
    <row r="1086" spans="17:18">
      <c r="Q1086" s="274">
        <f t="shared" si="32"/>
        <v>0</v>
      </c>
      <c r="R1086" s="274">
        <f t="shared" si="33"/>
        <v>0</v>
      </c>
    </row>
    <row r="1087" spans="17:18">
      <c r="Q1087" s="274">
        <f t="shared" si="32"/>
        <v>0</v>
      </c>
      <c r="R1087" s="274">
        <f t="shared" si="33"/>
        <v>0</v>
      </c>
    </row>
    <row r="1088" spans="17:18">
      <c r="Q1088" s="274">
        <f t="shared" si="32"/>
        <v>0</v>
      </c>
      <c r="R1088" s="274">
        <f t="shared" si="33"/>
        <v>0</v>
      </c>
    </row>
    <row r="1089" spans="17:18">
      <c r="Q1089" s="274">
        <f t="shared" si="32"/>
        <v>0</v>
      </c>
      <c r="R1089" s="274">
        <f t="shared" si="33"/>
        <v>0</v>
      </c>
    </row>
    <row r="1090" spans="17:18">
      <c r="Q1090" s="274">
        <f t="shared" ref="Q1090:Q1153" si="34">IF($J1092=$A$21,IF($M1092=$A$16,$L1092,0),0)</f>
        <v>0</v>
      </c>
      <c r="R1090" s="274">
        <f t="shared" ref="R1090:R1153" si="35">IF($J1092=$A$22,IF($M1092=$A$16,$L1092,0),0)</f>
        <v>0</v>
      </c>
    </row>
    <row r="1091" spans="17:18">
      <c r="Q1091" s="274">
        <f t="shared" si="34"/>
        <v>0</v>
      </c>
      <c r="R1091" s="274">
        <f t="shared" si="35"/>
        <v>0</v>
      </c>
    </row>
    <row r="1092" spans="17:18">
      <c r="Q1092" s="274">
        <f t="shared" si="34"/>
        <v>0</v>
      </c>
      <c r="R1092" s="274">
        <f t="shared" si="35"/>
        <v>0</v>
      </c>
    </row>
    <row r="1093" spans="17:18">
      <c r="Q1093" s="274">
        <f t="shared" si="34"/>
        <v>0</v>
      </c>
      <c r="R1093" s="274">
        <f t="shared" si="35"/>
        <v>0</v>
      </c>
    </row>
    <row r="1094" spans="17:18">
      <c r="Q1094" s="274">
        <f t="shared" si="34"/>
        <v>0</v>
      </c>
      <c r="R1094" s="274">
        <f t="shared" si="35"/>
        <v>0</v>
      </c>
    </row>
    <row r="1095" spans="17:18">
      <c r="Q1095" s="274">
        <f t="shared" si="34"/>
        <v>0</v>
      </c>
      <c r="R1095" s="274">
        <f t="shared" si="35"/>
        <v>0</v>
      </c>
    </row>
    <row r="1096" spans="17:18">
      <c r="Q1096" s="274">
        <f t="shared" si="34"/>
        <v>0</v>
      </c>
      <c r="R1096" s="274">
        <f t="shared" si="35"/>
        <v>0</v>
      </c>
    </row>
    <row r="1097" spans="17:18">
      <c r="Q1097" s="274">
        <f t="shared" si="34"/>
        <v>0</v>
      </c>
      <c r="R1097" s="274">
        <f t="shared" si="35"/>
        <v>0</v>
      </c>
    </row>
    <row r="1098" spans="17:18">
      <c r="Q1098" s="274">
        <f t="shared" si="34"/>
        <v>0</v>
      </c>
      <c r="R1098" s="274">
        <f t="shared" si="35"/>
        <v>0</v>
      </c>
    </row>
    <row r="1099" spans="17:18">
      <c r="Q1099" s="274">
        <f t="shared" si="34"/>
        <v>0</v>
      </c>
      <c r="R1099" s="274">
        <f t="shared" si="35"/>
        <v>0</v>
      </c>
    </row>
    <row r="1100" spans="17:18">
      <c r="Q1100" s="274">
        <f t="shared" si="34"/>
        <v>0</v>
      </c>
      <c r="R1100" s="274">
        <f t="shared" si="35"/>
        <v>0</v>
      </c>
    </row>
    <row r="1101" spans="17:18">
      <c r="Q1101" s="274">
        <f t="shared" si="34"/>
        <v>0</v>
      </c>
      <c r="R1101" s="274">
        <f t="shared" si="35"/>
        <v>0</v>
      </c>
    </row>
    <row r="1102" spans="17:18">
      <c r="Q1102" s="274">
        <f t="shared" si="34"/>
        <v>0</v>
      </c>
      <c r="R1102" s="274">
        <f t="shared" si="35"/>
        <v>0</v>
      </c>
    </row>
    <row r="1103" spans="17:18">
      <c r="Q1103" s="274">
        <f t="shared" si="34"/>
        <v>0</v>
      </c>
      <c r="R1103" s="274">
        <f t="shared" si="35"/>
        <v>0</v>
      </c>
    </row>
    <row r="1104" spans="17:18">
      <c r="Q1104" s="274">
        <f t="shared" si="34"/>
        <v>0</v>
      </c>
      <c r="R1104" s="274">
        <f t="shared" si="35"/>
        <v>0</v>
      </c>
    </row>
    <row r="1105" spans="17:18">
      <c r="Q1105" s="274">
        <f t="shared" si="34"/>
        <v>0</v>
      </c>
      <c r="R1105" s="274">
        <f t="shared" si="35"/>
        <v>0</v>
      </c>
    </row>
    <row r="1106" spans="17:18">
      <c r="Q1106" s="274">
        <f t="shared" si="34"/>
        <v>0</v>
      </c>
      <c r="R1106" s="274">
        <f t="shared" si="35"/>
        <v>0</v>
      </c>
    </row>
    <row r="1107" spans="17:18">
      <c r="Q1107" s="274">
        <f t="shared" si="34"/>
        <v>0</v>
      </c>
      <c r="R1107" s="274">
        <f t="shared" si="35"/>
        <v>0</v>
      </c>
    </row>
    <row r="1108" spans="17:18">
      <c r="Q1108" s="274">
        <f t="shared" si="34"/>
        <v>0</v>
      </c>
      <c r="R1108" s="274">
        <f t="shared" si="35"/>
        <v>0</v>
      </c>
    </row>
    <row r="1109" spans="17:18">
      <c r="Q1109" s="274">
        <f t="shared" si="34"/>
        <v>0</v>
      </c>
      <c r="R1109" s="274">
        <f t="shared" si="35"/>
        <v>0</v>
      </c>
    </row>
    <row r="1110" spans="17:18">
      <c r="Q1110" s="274">
        <f t="shared" si="34"/>
        <v>0</v>
      </c>
      <c r="R1110" s="274">
        <f t="shared" si="35"/>
        <v>0</v>
      </c>
    </row>
    <row r="1111" spans="17:18">
      <c r="Q1111" s="274">
        <f t="shared" si="34"/>
        <v>0</v>
      </c>
      <c r="R1111" s="274">
        <f t="shared" si="35"/>
        <v>0</v>
      </c>
    </row>
    <row r="1112" spans="17:18">
      <c r="Q1112" s="274">
        <f t="shared" si="34"/>
        <v>0</v>
      </c>
      <c r="R1112" s="274">
        <f t="shared" si="35"/>
        <v>0</v>
      </c>
    </row>
    <row r="1113" spans="17:18">
      <c r="Q1113" s="274">
        <f t="shared" si="34"/>
        <v>0</v>
      </c>
      <c r="R1113" s="274">
        <f t="shared" si="35"/>
        <v>0</v>
      </c>
    </row>
    <row r="1114" spans="17:18">
      <c r="Q1114" s="274">
        <f t="shared" si="34"/>
        <v>0</v>
      </c>
      <c r="R1114" s="274">
        <f t="shared" si="35"/>
        <v>0</v>
      </c>
    </row>
    <row r="1115" spans="17:18">
      <c r="Q1115" s="274">
        <f t="shared" si="34"/>
        <v>0</v>
      </c>
      <c r="R1115" s="274">
        <f t="shared" si="35"/>
        <v>0</v>
      </c>
    </row>
    <row r="1116" spans="17:18">
      <c r="Q1116" s="274">
        <f t="shared" si="34"/>
        <v>0</v>
      </c>
      <c r="R1116" s="274">
        <f t="shared" si="35"/>
        <v>0</v>
      </c>
    </row>
    <row r="1117" spans="17:18">
      <c r="Q1117" s="274">
        <f t="shared" si="34"/>
        <v>0</v>
      </c>
      <c r="R1117" s="274">
        <f t="shared" si="35"/>
        <v>0</v>
      </c>
    </row>
    <row r="1118" spans="17:18">
      <c r="Q1118" s="274">
        <f t="shared" si="34"/>
        <v>0</v>
      </c>
      <c r="R1118" s="274">
        <f t="shared" si="35"/>
        <v>0</v>
      </c>
    </row>
    <row r="1119" spans="17:18">
      <c r="Q1119" s="274">
        <f t="shared" si="34"/>
        <v>0</v>
      </c>
      <c r="R1119" s="274">
        <f t="shared" si="35"/>
        <v>0</v>
      </c>
    </row>
    <row r="1120" spans="17:18">
      <c r="Q1120" s="274">
        <f t="shared" si="34"/>
        <v>0</v>
      </c>
      <c r="R1120" s="274">
        <f t="shared" si="35"/>
        <v>0</v>
      </c>
    </row>
    <row r="1121" spans="17:18">
      <c r="Q1121" s="274">
        <f t="shared" si="34"/>
        <v>0</v>
      </c>
      <c r="R1121" s="274">
        <f t="shared" si="35"/>
        <v>0</v>
      </c>
    </row>
    <row r="1122" spans="17:18">
      <c r="Q1122" s="274">
        <f t="shared" si="34"/>
        <v>0</v>
      </c>
      <c r="R1122" s="274">
        <f t="shared" si="35"/>
        <v>0</v>
      </c>
    </row>
    <row r="1123" spans="17:18">
      <c r="Q1123" s="274">
        <f t="shared" si="34"/>
        <v>0</v>
      </c>
      <c r="R1123" s="274">
        <f t="shared" si="35"/>
        <v>0</v>
      </c>
    </row>
    <row r="1124" spans="17:18">
      <c r="Q1124" s="274">
        <f t="shared" si="34"/>
        <v>0</v>
      </c>
      <c r="R1124" s="274">
        <f t="shared" si="35"/>
        <v>0</v>
      </c>
    </row>
    <row r="1125" spans="17:18">
      <c r="Q1125" s="274">
        <f t="shared" si="34"/>
        <v>0</v>
      </c>
      <c r="R1125" s="274">
        <f t="shared" si="35"/>
        <v>0</v>
      </c>
    </row>
    <row r="1126" spans="17:18">
      <c r="Q1126" s="274">
        <f t="shared" si="34"/>
        <v>0</v>
      </c>
      <c r="R1126" s="274">
        <f t="shared" si="35"/>
        <v>0</v>
      </c>
    </row>
    <row r="1127" spans="17:18">
      <c r="Q1127" s="274">
        <f t="shared" si="34"/>
        <v>0</v>
      </c>
      <c r="R1127" s="274">
        <f t="shared" si="35"/>
        <v>0</v>
      </c>
    </row>
    <row r="1128" spans="17:18">
      <c r="Q1128" s="274">
        <f t="shared" si="34"/>
        <v>0</v>
      </c>
      <c r="R1128" s="274">
        <f t="shared" si="35"/>
        <v>0</v>
      </c>
    </row>
    <row r="1129" spans="17:18">
      <c r="Q1129" s="274">
        <f t="shared" si="34"/>
        <v>0</v>
      </c>
      <c r="R1129" s="274">
        <f t="shared" si="35"/>
        <v>0</v>
      </c>
    </row>
    <row r="1130" spans="17:18">
      <c r="Q1130" s="274">
        <f t="shared" si="34"/>
        <v>0</v>
      </c>
      <c r="R1130" s="274">
        <f t="shared" si="35"/>
        <v>0</v>
      </c>
    </row>
    <row r="1131" spans="17:18">
      <c r="Q1131" s="274">
        <f t="shared" si="34"/>
        <v>0</v>
      </c>
      <c r="R1131" s="274">
        <f t="shared" si="35"/>
        <v>0</v>
      </c>
    </row>
    <row r="1132" spans="17:18">
      <c r="Q1132" s="274">
        <f t="shared" si="34"/>
        <v>0</v>
      </c>
      <c r="R1132" s="274">
        <f t="shared" si="35"/>
        <v>0</v>
      </c>
    </row>
    <row r="1133" spans="17:18">
      <c r="Q1133" s="274">
        <f t="shared" si="34"/>
        <v>0</v>
      </c>
      <c r="R1133" s="274">
        <f t="shared" si="35"/>
        <v>0</v>
      </c>
    </row>
    <row r="1134" spans="17:18">
      <c r="Q1134" s="274">
        <f t="shared" si="34"/>
        <v>0</v>
      </c>
      <c r="R1134" s="274">
        <f t="shared" si="35"/>
        <v>0</v>
      </c>
    </row>
    <row r="1135" spans="17:18">
      <c r="Q1135" s="274">
        <f t="shared" si="34"/>
        <v>0</v>
      </c>
      <c r="R1135" s="274">
        <f t="shared" si="35"/>
        <v>0</v>
      </c>
    </row>
    <row r="1136" spans="17:18">
      <c r="Q1136" s="274">
        <f t="shared" si="34"/>
        <v>0</v>
      </c>
      <c r="R1136" s="274">
        <f t="shared" si="35"/>
        <v>0</v>
      </c>
    </row>
    <row r="1137" spans="17:18">
      <c r="Q1137" s="274">
        <f t="shared" si="34"/>
        <v>0</v>
      </c>
      <c r="R1137" s="274">
        <f t="shared" si="35"/>
        <v>0</v>
      </c>
    </row>
    <row r="1138" spans="17:18">
      <c r="Q1138" s="274">
        <f t="shared" si="34"/>
        <v>0</v>
      </c>
      <c r="R1138" s="274">
        <f t="shared" si="35"/>
        <v>0</v>
      </c>
    </row>
    <row r="1139" spans="17:18">
      <c r="Q1139" s="274">
        <f t="shared" si="34"/>
        <v>0</v>
      </c>
      <c r="R1139" s="274">
        <f t="shared" si="35"/>
        <v>0</v>
      </c>
    </row>
    <row r="1140" spans="17:18">
      <c r="Q1140" s="274">
        <f t="shared" si="34"/>
        <v>0</v>
      </c>
      <c r="R1140" s="274">
        <f t="shared" si="35"/>
        <v>0</v>
      </c>
    </row>
    <row r="1141" spans="17:18">
      <c r="Q1141" s="274">
        <f t="shared" si="34"/>
        <v>0</v>
      </c>
      <c r="R1141" s="274">
        <f t="shared" si="35"/>
        <v>0</v>
      </c>
    </row>
    <row r="1142" spans="17:18">
      <c r="Q1142" s="274">
        <f t="shared" si="34"/>
        <v>0</v>
      </c>
      <c r="R1142" s="274">
        <f t="shared" si="35"/>
        <v>0</v>
      </c>
    </row>
    <row r="1143" spans="17:18">
      <c r="Q1143" s="274">
        <f t="shared" si="34"/>
        <v>0</v>
      </c>
      <c r="R1143" s="274">
        <f t="shared" si="35"/>
        <v>0</v>
      </c>
    </row>
    <row r="1144" spans="17:18">
      <c r="Q1144" s="274">
        <f t="shared" si="34"/>
        <v>0</v>
      </c>
      <c r="R1144" s="274">
        <f t="shared" si="35"/>
        <v>0</v>
      </c>
    </row>
    <row r="1145" spans="17:18">
      <c r="Q1145" s="274">
        <f t="shared" si="34"/>
        <v>0</v>
      </c>
      <c r="R1145" s="274">
        <f t="shared" si="35"/>
        <v>0</v>
      </c>
    </row>
    <row r="1146" spans="17:18">
      <c r="Q1146" s="274">
        <f t="shared" si="34"/>
        <v>0</v>
      </c>
      <c r="R1146" s="274">
        <f t="shared" si="35"/>
        <v>0</v>
      </c>
    </row>
    <row r="1147" spans="17:18">
      <c r="Q1147" s="274">
        <f t="shared" si="34"/>
        <v>0</v>
      </c>
      <c r="R1147" s="274">
        <f t="shared" si="35"/>
        <v>0</v>
      </c>
    </row>
    <row r="1148" spans="17:18">
      <c r="Q1148" s="274">
        <f t="shared" si="34"/>
        <v>0</v>
      </c>
      <c r="R1148" s="274">
        <f t="shared" si="35"/>
        <v>0</v>
      </c>
    </row>
    <row r="1149" spans="17:18">
      <c r="Q1149" s="274">
        <f t="shared" si="34"/>
        <v>0</v>
      </c>
      <c r="R1149" s="274">
        <f t="shared" si="35"/>
        <v>0</v>
      </c>
    </row>
    <row r="1150" spans="17:18">
      <c r="Q1150" s="274">
        <f t="shared" si="34"/>
        <v>0</v>
      </c>
      <c r="R1150" s="274">
        <f t="shared" si="35"/>
        <v>0</v>
      </c>
    </row>
    <row r="1151" spans="17:18">
      <c r="Q1151" s="274">
        <f t="shared" si="34"/>
        <v>0</v>
      </c>
      <c r="R1151" s="274">
        <f t="shared" si="35"/>
        <v>0</v>
      </c>
    </row>
    <row r="1152" spans="17:18">
      <c r="Q1152" s="274">
        <f t="shared" si="34"/>
        <v>0</v>
      </c>
      <c r="R1152" s="274">
        <f t="shared" si="35"/>
        <v>0</v>
      </c>
    </row>
    <row r="1153" spans="17:18">
      <c r="Q1153" s="274">
        <f t="shared" si="34"/>
        <v>0</v>
      </c>
      <c r="R1153" s="274">
        <f t="shared" si="35"/>
        <v>0</v>
      </c>
    </row>
    <row r="1154" spans="17:18">
      <c r="Q1154" s="274">
        <f t="shared" ref="Q1154:Q1217" si="36">IF($J1156=$A$21,IF($M1156=$A$16,$L1156,0),0)</f>
        <v>0</v>
      </c>
      <c r="R1154" s="274">
        <f t="shared" ref="R1154:R1217" si="37">IF($J1156=$A$22,IF($M1156=$A$16,$L1156,0),0)</f>
        <v>0</v>
      </c>
    </row>
    <row r="1155" spans="17:18">
      <c r="Q1155" s="274">
        <f t="shared" si="36"/>
        <v>0</v>
      </c>
      <c r="R1155" s="274">
        <f t="shared" si="37"/>
        <v>0</v>
      </c>
    </row>
    <row r="1156" spans="17:18">
      <c r="Q1156" s="274">
        <f t="shared" si="36"/>
        <v>0</v>
      </c>
      <c r="R1156" s="274">
        <f t="shared" si="37"/>
        <v>0</v>
      </c>
    </row>
    <row r="1157" spans="17:18">
      <c r="Q1157" s="274">
        <f t="shared" si="36"/>
        <v>0</v>
      </c>
      <c r="R1157" s="274">
        <f t="shared" si="37"/>
        <v>0</v>
      </c>
    </row>
    <row r="1158" spans="17:18">
      <c r="Q1158" s="274">
        <f t="shared" si="36"/>
        <v>0</v>
      </c>
      <c r="R1158" s="274">
        <f t="shared" si="37"/>
        <v>0</v>
      </c>
    </row>
    <row r="1159" spans="17:18">
      <c r="Q1159" s="274">
        <f t="shared" si="36"/>
        <v>0</v>
      </c>
      <c r="R1159" s="274">
        <f t="shared" si="37"/>
        <v>0</v>
      </c>
    </row>
    <row r="1160" spans="17:18">
      <c r="Q1160" s="274">
        <f t="shared" si="36"/>
        <v>0</v>
      </c>
      <c r="R1160" s="274">
        <f t="shared" si="37"/>
        <v>0</v>
      </c>
    </row>
    <row r="1161" spans="17:18">
      <c r="Q1161" s="274">
        <f t="shared" si="36"/>
        <v>0</v>
      </c>
      <c r="R1161" s="274">
        <f t="shared" si="37"/>
        <v>0</v>
      </c>
    </row>
    <row r="1162" spans="17:18">
      <c r="Q1162" s="274">
        <f t="shared" si="36"/>
        <v>0</v>
      </c>
      <c r="R1162" s="274">
        <f t="shared" si="37"/>
        <v>0</v>
      </c>
    </row>
    <row r="1163" spans="17:18">
      <c r="Q1163" s="274">
        <f t="shared" si="36"/>
        <v>0</v>
      </c>
      <c r="R1163" s="274">
        <f t="shared" si="37"/>
        <v>0</v>
      </c>
    </row>
    <row r="1164" spans="17:18">
      <c r="Q1164" s="274">
        <f t="shared" si="36"/>
        <v>0</v>
      </c>
      <c r="R1164" s="274">
        <f t="shared" si="37"/>
        <v>0</v>
      </c>
    </row>
    <row r="1165" spans="17:18">
      <c r="Q1165" s="274">
        <f t="shared" si="36"/>
        <v>0</v>
      </c>
      <c r="R1165" s="274">
        <f t="shared" si="37"/>
        <v>0</v>
      </c>
    </row>
    <row r="1166" spans="17:18">
      <c r="Q1166" s="274">
        <f t="shared" si="36"/>
        <v>0</v>
      </c>
      <c r="R1166" s="274">
        <f t="shared" si="37"/>
        <v>0</v>
      </c>
    </row>
    <row r="1167" spans="17:18">
      <c r="Q1167" s="274">
        <f t="shared" si="36"/>
        <v>0</v>
      </c>
      <c r="R1167" s="274">
        <f t="shared" si="37"/>
        <v>0</v>
      </c>
    </row>
    <row r="1168" spans="17:18">
      <c r="Q1168" s="274">
        <f t="shared" si="36"/>
        <v>0</v>
      </c>
      <c r="R1168" s="274">
        <f t="shared" si="37"/>
        <v>0</v>
      </c>
    </row>
    <row r="1169" spans="17:18">
      <c r="Q1169" s="274">
        <f t="shared" si="36"/>
        <v>0</v>
      </c>
      <c r="R1169" s="274">
        <f t="shared" si="37"/>
        <v>0</v>
      </c>
    </row>
    <row r="1170" spans="17:18">
      <c r="Q1170" s="274">
        <f t="shared" si="36"/>
        <v>0</v>
      </c>
      <c r="R1170" s="274">
        <f t="shared" si="37"/>
        <v>0</v>
      </c>
    </row>
    <row r="1171" spans="17:18">
      <c r="Q1171" s="274">
        <f t="shared" si="36"/>
        <v>0</v>
      </c>
      <c r="R1171" s="274">
        <f t="shared" si="37"/>
        <v>0</v>
      </c>
    </row>
    <row r="1172" spans="17:18">
      <c r="Q1172" s="274">
        <f t="shared" si="36"/>
        <v>0</v>
      </c>
      <c r="R1172" s="274">
        <f t="shared" si="37"/>
        <v>0</v>
      </c>
    </row>
    <row r="1173" spans="17:18">
      <c r="Q1173" s="274">
        <f t="shared" si="36"/>
        <v>0</v>
      </c>
      <c r="R1173" s="274">
        <f t="shared" si="37"/>
        <v>0</v>
      </c>
    </row>
    <row r="1174" spans="17:18">
      <c r="Q1174" s="274">
        <f t="shared" si="36"/>
        <v>0</v>
      </c>
      <c r="R1174" s="274">
        <f t="shared" si="37"/>
        <v>0</v>
      </c>
    </row>
    <row r="1175" spans="17:18">
      <c r="Q1175" s="274">
        <f t="shared" si="36"/>
        <v>0</v>
      </c>
      <c r="R1175" s="274">
        <f t="shared" si="37"/>
        <v>0</v>
      </c>
    </row>
    <row r="1176" spans="17:18">
      <c r="Q1176" s="274">
        <f t="shared" si="36"/>
        <v>0</v>
      </c>
      <c r="R1176" s="274">
        <f t="shared" si="37"/>
        <v>0</v>
      </c>
    </row>
    <row r="1177" spans="17:18">
      <c r="Q1177" s="274">
        <f t="shared" si="36"/>
        <v>0</v>
      </c>
      <c r="R1177" s="274">
        <f t="shared" si="37"/>
        <v>0</v>
      </c>
    </row>
    <row r="1178" spans="17:18">
      <c r="Q1178" s="274">
        <f t="shared" si="36"/>
        <v>0</v>
      </c>
      <c r="R1178" s="274">
        <f t="shared" si="37"/>
        <v>0</v>
      </c>
    </row>
    <row r="1179" spans="17:18">
      <c r="Q1179" s="274">
        <f t="shared" si="36"/>
        <v>0</v>
      </c>
      <c r="R1179" s="274">
        <f t="shared" si="37"/>
        <v>0</v>
      </c>
    </row>
    <row r="1180" spans="17:18">
      <c r="Q1180" s="274">
        <f t="shared" si="36"/>
        <v>0</v>
      </c>
      <c r="R1180" s="274">
        <f t="shared" si="37"/>
        <v>0</v>
      </c>
    </row>
    <row r="1181" spans="17:18">
      <c r="Q1181" s="274">
        <f t="shared" si="36"/>
        <v>0</v>
      </c>
      <c r="R1181" s="274">
        <f t="shared" si="37"/>
        <v>0</v>
      </c>
    </row>
    <row r="1182" spans="17:18">
      <c r="Q1182" s="274">
        <f t="shared" si="36"/>
        <v>0</v>
      </c>
      <c r="R1182" s="274">
        <f t="shared" si="37"/>
        <v>0</v>
      </c>
    </row>
    <row r="1183" spans="17:18">
      <c r="Q1183" s="274">
        <f t="shared" si="36"/>
        <v>0</v>
      </c>
      <c r="R1183" s="274">
        <f t="shared" si="37"/>
        <v>0</v>
      </c>
    </row>
    <row r="1184" spans="17:18">
      <c r="Q1184" s="274">
        <f t="shared" si="36"/>
        <v>0</v>
      </c>
      <c r="R1184" s="274">
        <f t="shared" si="37"/>
        <v>0</v>
      </c>
    </row>
    <row r="1185" spans="17:18">
      <c r="Q1185" s="274">
        <f t="shared" si="36"/>
        <v>0</v>
      </c>
      <c r="R1185" s="274">
        <f t="shared" si="37"/>
        <v>0</v>
      </c>
    </row>
    <row r="1186" spans="17:18">
      <c r="Q1186" s="274">
        <f t="shared" si="36"/>
        <v>0</v>
      </c>
      <c r="R1186" s="274">
        <f t="shared" si="37"/>
        <v>0</v>
      </c>
    </row>
    <row r="1187" spans="17:18">
      <c r="Q1187" s="274">
        <f t="shared" si="36"/>
        <v>0</v>
      </c>
      <c r="R1187" s="274">
        <f t="shared" si="37"/>
        <v>0</v>
      </c>
    </row>
    <row r="1188" spans="17:18">
      <c r="Q1188" s="274">
        <f t="shared" si="36"/>
        <v>0</v>
      </c>
      <c r="R1188" s="274">
        <f t="shared" si="37"/>
        <v>0</v>
      </c>
    </row>
    <row r="1189" spans="17:18">
      <c r="Q1189" s="274">
        <f t="shared" si="36"/>
        <v>0</v>
      </c>
      <c r="R1189" s="274">
        <f t="shared" si="37"/>
        <v>0</v>
      </c>
    </row>
    <row r="1190" spans="17:18">
      <c r="Q1190" s="274">
        <f t="shared" si="36"/>
        <v>0</v>
      </c>
      <c r="R1190" s="274">
        <f t="shared" si="37"/>
        <v>0</v>
      </c>
    </row>
    <row r="1191" spans="17:18">
      <c r="Q1191" s="274">
        <f t="shared" si="36"/>
        <v>0</v>
      </c>
      <c r="R1191" s="274">
        <f t="shared" si="37"/>
        <v>0</v>
      </c>
    </row>
    <row r="1192" spans="17:18">
      <c r="Q1192" s="274">
        <f t="shared" si="36"/>
        <v>0</v>
      </c>
      <c r="R1192" s="274">
        <f t="shared" si="37"/>
        <v>0</v>
      </c>
    </row>
    <row r="1193" spans="17:18">
      <c r="Q1193" s="274">
        <f t="shared" si="36"/>
        <v>0</v>
      </c>
      <c r="R1193" s="274">
        <f t="shared" si="37"/>
        <v>0</v>
      </c>
    </row>
    <row r="1194" spans="17:18">
      <c r="Q1194" s="274">
        <f t="shared" si="36"/>
        <v>0</v>
      </c>
      <c r="R1194" s="274">
        <f t="shared" si="37"/>
        <v>0</v>
      </c>
    </row>
    <row r="1195" spans="17:18">
      <c r="Q1195" s="274">
        <f t="shared" si="36"/>
        <v>0</v>
      </c>
      <c r="R1195" s="274">
        <f t="shared" si="37"/>
        <v>0</v>
      </c>
    </row>
    <row r="1196" spans="17:18">
      <c r="Q1196" s="274">
        <f t="shared" si="36"/>
        <v>0</v>
      </c>
      <c r="R1196" s="274">
        <f t="shared" si="37"/>
        <v>0</v>
      </c>
    </row>
    <row r="1197" spans="17:18">
      <c r="Q1197" s="274">
        <f t="shared" si="36"/>
        <v>0</v>
      </c>
      <c r="R1197" s="274">
        <f t="shared" si="37"/>
        <v>0</v>
      </c>
    </row>
    <row r="1198" spans="17:18">
      <c r="Q1198" s="274">
        <f t="shared" si="36"/>
        <v>0</v>
      </c>
      <c r="R1198" s="274">
        <f t="shared" si="37"/>
        <v>0</v>
      </c>
    </row>
    <row r="1199" spans="17:18">
      <c r="Q1199" s="274">
        <f t="shared" si="36"/>
        <v>0</v>
      </c>
      <c r="R1199" s="274">
        <f t="shared" si="37"/>
        <v>0</v>
      </c>
    </row>
    <row r="1200" spans="17:18">
      <c r="Q1200" s="274">
        <f t="shared" si="36"/>
        <v>0</v>
      </c>
      <c r="R1200" s="274">
        <f t="shared" si="37"/>
        <v>0</v>
      </c>
    </row>
    <row r="1201" spans="17:18">
      <c r="Q1201" s="274">
        <f t="shared" si="36"/>
        <v>0</v>
      </c>
      <c r="R1201" s="274">
        <f t="shared" si="37"/>
        <v>0</v>
      </c>
    </row>
    <row r="1202" spans="17:18">
      <c r="Q1202" s="274">
        <f t="shared" si="36"/>
        <v>0</v>
      </c>
      <c r="R1202" s="274">
        <f t="shared" si="37"/>
        <v>0</v>
      </c>
    </row>
    <row r="1203" spans="17:18">
      <c r="Q1203" s="274">
        <f t="shared" si="36"/>
        <v>0</v>
      </c>
      <c r="R1203" s="274">
        <f t="shared" si="37"/>
        <v>0</v>
      </c>
    </row>
    <row r="1204" spans="17:18">
      <c r="Q1204" s="274">
        <f t="shared" si="36"/>
        <v>0</v>
      </c>
      <c r="R1204" s="274">
        <f t="shared" si="37"/>
        <v>0</v>
      </c>
    </row>
    <row r="1205" spans="17:18">
      <c r="Q1205" s="274">
        <f t="shared" si="36"/>
        <v>0</v>
      </c>
      <c r="R1205" s="274">
        <f t="shared" si="37"/>
        <v>0</v>
      </c>
    </row>
    <row r="1206" spans="17:18">
      <c r="Q1206" s="274">
        <f t="shared" si="36"/>
        <v>0</v>
      </c>
      <c r="R1206" s="274">
        <f t="shared" si="37"/>
        <v>0</v>
      </c>
    </row>
    <row r="1207" spans="17:18">
      <c r="Q1207" s="274">
        <f t="shared" si="36"/>
        <v>0</v>
      </c>
      <c r="R1207" s="274">
        <f t="shared" si="37"/>
        <v>0</v>
      </c>
    </row>
    <row r="1208" spans="17:18">
      <c r="Q1208" s="274">
        <f t="shared" si="36"/>
        <v>0</v>
      </c>
      <c r="R1208" s="274">
        <f t="shared" si="37"/>
        <v>0</v>
      </c>
    </row>
    <row r="1209" spans="17:18">
      <c r="Q1209" s="274">
        <f t="shared" si="36"/>
        <v>0</v>
      </c>
      <c r="R1209" s="274">
        <f t="shared" si="37"/>
        <v>0</v>
      </c>
    </row>
    <row r="1210" spans="17:18">
      <c r="Q1210" s="274">
        <f t="shared" si="36"/>
        <v>0</v>
      </c>
      <c r="R1210" s="274">
        <f t="shared" si="37"/>
        <v>0</v>
      </c>
    </row>
    <row r="1211" spans="17:18">
      <c r="Q1211" s="274">
        <f t="shared" si="36"/>
        <v>0</v>
      </c>
      <c r="R1211" s="274">
        <f t="shared" si="37"/>
        <v>0</v>
      </c>
    </row>
    <row r="1212" spans="17:18">
      <c r="Q1212" s="274">
        <f t="shared" si="36"/>
        <v>0</v>
      </c>
      <c r="R1212" s="274">
        <f t="shared" si="37"/>
        <v>0</v>
      </c>
    </row>
    <row r="1213" spans="17:18">
      <c r="Q1213" s="274">
        <f t="shared" si="36"/>
        <v>0</v>
      </c>
      <c r="R1213" s="274">
        <f t="shared" si="37"/>
        <v>0</v>
      </c>
    </row>
    <row r="1214" spans="17:18">
      <c r="Q1214" s="274">
        <f t="shared" si="36"/>
        <v>0</v>
      </c>
      <c r="R1214" s="274">
        <f t="shared" si="37"/>
        <v>0</v>
      </c>
    </row>
    <row r="1215" spans="17:18">
      <c r="Q1215" s="274">
        <f t="shared" si="36"/>
        <v>0</v>
      </c>
      <c r="R1215" s="274">
        <f t="shared" si="37"/>
        <v>0</v>
      </c>
    </row>
    <row r="1216" spans="17:18">
      <c r="Q1216" s="274">
        <f t="shared" si="36"/>
        <v>0</v>
      </c>
      <c r="R1216" s="274">
        <f t="shared" si="37"/>
        <v>0</v>
      </c>
    </row>
    <row r="1217" spans="17:18">
      <c r="Q1217" s="274">
        <f t="shared" si="36"/>
        <v>0</v>
      </c>
      <c r="R1217" s="274">
        <f t="shared" si="37"/>
        <v>0</v>
      </c>
    </row>
    <row r="1218" spans="17:18">
      <c r="Q1218" s="274">
        <f t="shared" ref="Q1218:Q1281" si="38">IF($J1220=$A$21,IF($M1220=$A$16,$L1220,0),0)</f>
        <v>0</v>
      </c>
      <c r="R1218" s="274">
        <f t="shared" ref="R1218:R1281" si="39">IF($J1220=$A$22,IF($M1220=$A$16,$L1220,0),0)</f>
        <v>0</v>
      </c>
    </row>
    <row r="1219" spans="17:18">
      <c r="Q1219" s="274">
        <f t="shared" si="38"/>
        <v>0</v>
      </c>
      <c r="R1219" s="274">
        <f t="shared" si="39"/>
        <v>0</v>
      </c>
    </row>
    <row r="1220" spans="17:18">
      <c r="Q1220" s="274">
        <f t="shared" si="38"/>
        <v>0</v>
      </c>
      <c r="R1220" s="274">
        <f t="shared" si="39"/>
        <v>0</v>
      </c>
    </row>
    <row r="1221" spans="17:18">
      <c r="Q1221" s="274">
        <f t="shared" si="38"/>
        <v>0</v>
      </c>
      <c r="R1221" s="274">
        <f t="shared" si="39"/>
        <v>0</v>
      </c>
    </row>
    <row r="1222" spans="17:18">
      <c r="Q1222" s="274">
        <f t="shared" si="38"/>
        <v>0</v>
      </c>
      <c r="R1222" s="274">
        <f t="shared" si="39"/>
        <v>0</v>
      </c>
    </row>
    <row r="1223" spans="17:18">
      <c r="Q1223" s="274">
        <f t="shared" si="38"/>
        <v>0</v>
      </c>
      <c r="R1223" s="274">
        <f t="shared" si="39"/>
        <v>0</v>
      </c>
    </row>
    <row r="1224" spans="17:18">
      <c r="Q1224" s="274">
        <f t="shared" si="38"/>
        <v>0</v>
      </c>
      <c r="R1224" s="274">
        <f t="shared" si="39"/>
        <v>0</v>
      </c>
    </row>
    <row r="1225" spans="17:18">
      <c r="Q1225" s="274">
        <f t="shared" si="38"/>
        <v>0</v>
      </c>
      <c r="R1225" s="274">
        <f t="shared" si="39"/>
        <v>0</v>
      </c>
    </row>
    <row r="1226" spans="17:18">
      <c r="Q1226" s="274">
        <f t="shared" si="38"/>
        <v>0</v>
      </c>
      <c r="R1226" s="274">
        <f t="shared" si="39"/>
        <v>0</v>
      </c>
    </row>
    <row r="1227" spans="17:18">
      <c r="Q1227" s="274">
        <f t="shared" si="38"/>
        <v>0</v>
      </c>
      <c r="R1227" s="274">
        <f t="shared" si="39"/>
        <v>0</v>
      </c>
    </row>
    <row r="1228" spans="17:18">
      <c r="Q1228" s="274">
        <f t="shared" si="38"/>
        <v>0</v>
      </c>
      <c r="R1228" s="274">
        <f t="shared" si="39"/>
        <v>0</v>
      </c>
    </row>
    <row r="1229" spans="17:18">
      <c r="Q1229" s="274">
        <f t="shared" si="38"/>
        <v>0</v>
      </c>
      <c r="R1229" s="274">
        <f t="shared" si="39"/>
        <v>0</v>
      </c>
    </row>
    <row r="1230" spans="17:18">
      <c r="Q1230" s="274">
        <f t="shared" si="38"/>
        <v>0</v>
      </c>
      <c r="R1230" s="274">
        <f t="shared" si="39"/>
        <v>0</v>
      </c>
    </row>
    <row r="1231" spans="17:18">
      <c r="Q1231" s="274">
        <f t="shared" si="38"/>
        <v>0</v>
      </c>
      <c r="R1231" s="274">
        <f t="shared" si="39"/>
        <v>0</v>
      </c>
    </row>
    <row r="1232" spans="17:18">
      <c r="Q1232" s="274">
        <f t="shared" si="38"/>
        <v>0</v>
      </c>
      <c r="R1232" s="274">
        <f t="shared" si="39"/>
        <v>0</v>
      </c>
    </row>
    <row r="1233" spans="17:18">
      <c r="Q1233" s="274">
        <f t="shared" si="38"/>
        <v>0</v>
      </c>
      <c r="R1233" s="274">
        <f t="shared" si="39"/>
        <v>0</v>
      </c>
    </row>
    <row r="1234" spans="17:18">
      <c r="Q1234" s="274">
        <f t="shared" si="38"/>
        <v>0</v>
      </c>
      <c r="R1234" s="274">
        <f t="shared" si="39"/>
        <v>0</v>
      </c>
    </row>
    <row r="1235" spans="17:18">
      <c r="Q1235" s="274">
        <f t="shared" si="38"/>
        <v>0</v>
      </c>
      <c r="R1235" s="274">
        <f t="shared" si="39"/>
        <v>0</v>
      </c>
    </row>
    <row r="1236" spans="17:18">
      <c r="Q1236" s="274">
        <f t="shared" si="38"/>
        <v>0</v>
      </c>
      <c r="R1236" s="274">
        <f t="shared" si="39"/>
        <v>0</v>
      </c>
    </row>
    <row r="1237" spans="17:18">
      <c r="Q1237" s="274">
        <f t="shared" si="38"/>
        <v>0</v>
      </c>
      <c r="R1237" s="274">
        <f t="shared" si="39"/>
        <v>0</v>
      </c>
    </row>
    <row r="1238" spans="17:18">
      <c r="Q1238" s="274">
        <f t="shared" si="38"/>
        <v>0</v>
      </c>
      <c r="R1238" s="274">
        <f t="shared" si="39"/>
        <v>0</v>
      </c>
    </row>
    <row r="1239" spans="17:18">
      <c r="Q1239" s="274">
        <f t="shared" si="38"/>
        <v>0</v>
      </c>
      <c r="R1239" s="274">
        <f t="shared" si="39"/>
        <v>0</v>
      </c>
    </row>
    <row r="1240" spans="17:18">
      <c r="Q1240" s="274">
        <f t="shared" si="38"/>
        <v>0</v>
      </c>
      <c r="R1240" s="274">
        <f t="shared" si="39"/>
        <v>0</v>
      </c>
    </row>
    <row r="1241" spans="17:18">
      <c r="Q1241" s="274">
        <f t="shared" si="38"/>
        <v>0</v>
      </c>
      <c r="R1241" s="274">
        <f t="shared" si="39"/>
        <v>0</v>
      </c>
    </row>
    <row r="1242" spans="17:18">
      <c r="Q1242" s="274">
        <f t="shared" si="38"/>
        <v>0</v>
      </c>
      <c r="R1242" s="274">
        <f t="shared" si="39"/>
        <v>0</v>
      </c>
    </row>
    <row r="1243" spans="17:18">
      <c r="Q1243" s="274">
        <f t="shared" si="38"/>
        <v>0</v>
      </c>
      <c r="R1243" s="274">
        <f t="shared" si="39"/>
        <v>0</v>
      </c>
    </row>
    <row r="1244" spans="17:18">
      <c r="Q1244" s="274">
        <f t="shared" si="38"/>
        <v>0</v>
      </c>
      <c r="R1244" s="274">
        <f t="shared" si="39"/>
        <v>0</v>
      </c>
    </row>
    <row r="1245" spans="17:18">
      <c r="Q1245" s="274">
        <f t="shared" si="38"/>
        <v>0</v>
      </c>
      <c r="R1245" s="274">
        <f t="shared" si="39"/>
        <v>0</v>
      </c>
    </row>
    <row r="1246" spans="17:18">
      <c r="Q1246" s="274">
        <f t="shared" si="38"/>
        <v>0</v>
      </c>
      <c r="R1246" s="274">
        <f t="shared" si="39"/>
        <v>0</v>
      </c>
    </row>
    <row r="1247" spans="17:18">
      <c r="Q1247" s="274">
        <f t="shared" si="38"/>
        <v>0</v>
      </c>
      <c r="R1247" s="274">
        <f t="shared" si="39"/>
        <v>0</v>
      </c>
    </row>
    <row r="1248" spans="17:18">
      <c r="Q1248" s="274">
        <f t="shared" si="38"/>
        <v>0</v>
      </c>
      <c r="R1248" s="274">
        <f t="shared" si="39"/>
        <v>0</v>
      </c>
    </row>
    <row r="1249" spans="17:18">
      <c r="Q1249" s="274">
        <f t="shared" si="38"/>
        <v>0</v>
      </c>
      <c r="R1249" s="274">
        <f t="shared" si="39"/>
        <v>0</v>
      </c>
    </row>
    <row r="1250" spans="17:18">
      <c r="Q1250" s="274">
        <f t="shared" si="38"/>
        <v>0</v>
      </c>
      <c r="R1250" s="274">
        <f t="shared" si="39"/>
        <v>0</v>
      </c>
    </row>
    <row r="1251" spans="17:18">
      <c r="Q1251" s="274">
        <f t="shared" si="38"/>
        <v>0</v>
      </c>
      <c r="R1251" s="274">
        <f t="shared" si="39"/>
        <v>0</v>
      </c>
    </row>
    <row r="1252" spans="17:18">
      <c r="Q1252" s="274">
        <f t="shared" si="38"/>
        <v>0</v>
      </c>
      <c r="R1252" s="274">
        <f t="shared" si="39"/>
        <v>0</v>
      </c>
    </row>
    <row r="1253" spans="17:18">
      <c r="Q1253" s="274">
        <f t="shared" si="38"/>
        <v>0</v>
      </c>
      <c r="R1253" s="274">
        <f t="shared" si="39"/>
        <v>0</v>
      </c>
    </row>
    <row r="1254" spans="17:18">
      <c r="Q1254" s="274">
        <f t="shared" si="38"/>
        <v>0</v>
      </c>
      <c r="R1254" s="274">
        <f t="shared" si="39"/>
        <v>0</v>
      </c>
    </row>
    <row r="1255" spans="17:18">
      <c r="Q1255" s="274">
        <f t="shared" si="38"/>
        <v>0</v>
      </c>
      <c r="R1255" s="274">
        <f t="shared" si="39"/>
        <v>0</v>
      </c>
    </row>
    <row r="1256" spans="17:18">
      <c r="Q1256" s="274">
        <f t="shared" si="38"/>
        <v>0</v>
      </c>
      <c r="R1256" s="274">
        <f t="shared" si="39"/>
        <v>0</v>
      </c>
    </row>
    <row r="1257" spans="17:18">
      <c r="Q1257" s="274">
        <f t="shared" si="38"/>
        <v>0</v>
      </c>
      <c r="R1257" s="274">
        <f t="shared" si="39"/>
        <v>0</v>
      </c>
    </row>
    <row r="1258" spans="17:18">
      <c r="Q1258" s="274">
        <f t="shared" si="38"/>
        <v>0</v>
      </c>
      <c r="R1258" s="274">
        <f t="shared" si="39"/>
        <v>0</v>
      </c>
    </row>
    <row r="1259" spans="17:18">
      <c r="Q1259" s="274">
        <f t="shared" si="38"/>
        <v>0</v>
      </c>
      <c r="R1259" s="274">
        <f t="shared" si="39"/>
        <v>0</v>
      </c>
    </row>
    <row r="1260" spans="17:18">
      <c r="Q1260" s="274">
        <f t="shared" si="38"/>
        <v>0</v>
      </c>
      <c r="R1260" s="274">
        <f t="shared" si="39"/>
        <v>0</v>
      </c>
    </row>
    <row r="1261" spans="17:18">
      <c r="Q1261" s="274">
        <f t="shared" si="38"/>
        <v>0</v>
      </c>
      <c r="R1261" s="274">
        <f t="shared" si="39"/>
        <v>0</v>
      </c>
    </row>
    <row r="1262" spans="17:18">
      <c r="Q1262" s="274">
        <f t="shared" si="38"/>
        <v>0</v>
      </c>
      <c r="R1262" s="274">
        <f t="shared" si="39"/>
        <v>0</v>
      </c>
    </row>
    <row r="1263" spans="17:18">
      <c r="Q1263" s="274">
        <f t="shared" si="38"/>
        <v>0</v>
      </c>
      <c r="R1263" s="274">
        <f t="shared" si="39"/>
        <v>0</v>
      </c>
    </row>
    <row r="1264" spans="17:18">
      <c r="Q1264" s="274">
        <f t="shared" si="38"/>
        <v>0</v>
      </c>
      <c r="R1264" s="274">
        <f t="shared" si="39"/>
        <v>0</v>
      </c>
    </row>
    <row r="1265" spans="17:18">
      <c r="Q1265" s="274">
        <f t="shared" si="38"/>
        <v>0</v>
      </c>
      <c r="R1265" s="274">
        <f t="shared" si="39"/>
        <v>0</v>
      </c>
    </row>
    <row r="1266" spans="17:18">
      <c r="Q1266" s="274">
        <f t="shared" si="38"/>
        <v>0</v>
      </c>
      <c r="R1266" s="274">
        <f t="shared" si="39"/>
        <v>0</v>
      </c>
    </row>
    <row r="1267" spans="17:18">
      <c r="Q1267" s="274">
        <f t="shared" si="38"/>
        <v>0</v>
      </c>
      <c r="R1267" s="274">
        <f t="shared" si="39"/>
        <v>0</v>
      </c>
    </row>
    <row r="1268" spans="17:18">
      <c r="Q1268" s="274">
        <f t="shared" si="38"/>
        <v>0</v>
      </c>
      <c r="R1268" s="274">
        <f t="shared" si="39"/>
        <v>0</v>
      </c>
    </row>
    <row r="1269" spans="17:18">
      <c r="Q1269" s="274">
        <f t="shared" si="38"/>
        <v>0</v>
      </c>
      <c r="R1269" s="274">
        <f t="shared" si="39"/>
        <v>0</v>
      </c>
    </row>
    <row r="1270" spans="17:18">
      <c r="Q1270" s="274">
        <f t="shared" si="38"/>
        <v>0</v>
      </c>
      <c r="R1270" s="274">
        <f t="shared" si="39"/>
        <v>0</v>
      </c>
    </row>
    <row r="1271" spans="17:18">
      <c r="Q1271" s="274">
        <f t="shared" si="38"/>
        <v>0</v>
      </c>
      <c r="R1271" s="274">
        <f t="shared" si="39"/>
        <v>0</v>
      </c>
    </row>
    <row r="1272" spans="17:18">
      <c r="Q1272" s="274">
        <f t="shared" si="38"/>
        <v>0</v>
      </c>
      <c r="R1272" s="274">
        <f t="shared" si="39"/>
        <v>0</v>
      </c>
    </row>
    <row r="1273" spans="17:18">
      <c r="Q1273" s="274">
        <f t="shared" si="38"/>
        <v>0</v>
      </c>
      <c r="R1273" s="274">
        <f t="shared" si="39"/>
        <v>0</v>
      </c>
    </row>
    <row r="1274" spans="17:18">
      <c r="Q1274" s="274">
        <f t="shared" si="38"/>
        <v>0</v>
      </c>
      <c r="R1274" s="274">
        <f t="shared" si="39"/>
        <v>0</v>
      </c>
    </row>
    <row r="1275" spans="17:18">
      <c r="Q1275" s="274">
        <f t="shared" si="38"/>
        <v>0</v>
      </c>
      <c r="R1275" s="274">
        <f t="shared" si="39"/>
        <v>0</v>
      </c>
    </row>
    <row r="1276" spans="17:18">
      <c r="Q1276" s="274">
        <f t="shared" si="38"/>
        <v>0</v>
      </c>
      <c r="R1276" s="274">
        <f t="shared" si="39"/>
        <v>0</v>
      </c>
    </row>
    <row r="1277" spans="17:18">
      <c r="Q1277" s="274">
        <f t="shared" si="38"/>
        <v>0</v>
      </c>
      <c r="R1277" s="274">
        <f t="shared" si="39"/>
        <v>0</v>
      </c>
    </row>
    <row r="1278" spans="17:18">
      <c r="Q1278" s="274">
        <f t="shared" si="38"/>
        <v>0</v>
      </c>
      <c r="R1278" s="274">
        <f t="shared" si="39"/>
        <v>0</v>
      </c>
    </row>
    <row r="1279" spans="17:18">
      <c r="Q1279" s="274">
        <f t="shared" si="38"/>
        <v>0</v>
      </c>
      <c r="R1279" s="274">
        <f t="shared" si="39"/>
        <v>0</v>
      </c>
    </row>
    <row r="1280" spans="17:18">
      <c r="Q1280" s="274">
        <f t="shared" si="38"/>
        <v>0</v>
      </c>
      <c r="R1280" s="274">
        <f t="shared" si="39"/>
        <v>0</v>
      </c>
    </row>
    <row r="1281" spans="17:18">
      <c r="Q1281" s="274">
        <f t="shared" si="38"/>
        <v>0</v>
      </c>
      <c r="R1281" s="274">
        <f t="shared" si="39"/>
        <v>0</v>
      </c>
    </row>
    <row r="1282" spans="17:18">
      <c r="Q1282" s="274">
        <f t="shared" ref="Q1282:Q1345" si="40">IF($J1284=$A$21,IF($M1284=$A$16,$L1284,0),0)</f>
        <v>0</v>
      </c>
      <c r="R1282" s="274">
        <f t="shared" ref="R1282:R1345" si="41">IF($J1284=$A$22,IF($M1284=$A$16,$L1284,0),0)</f>
        <v>0</v>
      </c>
    </row>
    <row r="1283" spans="17:18">
      <c r="Q1283" s="274">
        <f t="shared" si="40"/>
        <v>0</v>
      </c>
      <c r="R1283" s="274">
        <f t="shared" si="41"/>
        <v>0</v>
      </c>
    </row>
    <row r="1284" spans="17:18">
      <c r="Q1284" s="274">
        <f t="shared" si="40"/>
        <v>0</v>
      </c>
      <c r="R1284" s="274">
        <f t="shared" si="41"/>
        <v>0</v>
      </c>
    </row>
    <row r="1285" spans="17:18">
      <c r="Q1285" s="274">
        <f t="shared" si="40"/>
        <v>0</v>
      </c>
      <c r="R1285" s="274">
        <f t="shared" si="41"/>
        <v>0</v>
      </c>
    </row>
    <row r="1286" spans="17:18">
      <c r="Q1286" s="274">
        <f t="shared" si="40"/>
        <v>0</v>
      </c>
      <c r="R1286" s="274">
        <f t="shared" si="41"/>
        <v>0</v>
      </c>
    </row>
    <row r="1287" spans="17:18">
      <c r="Q1287" s="274">
        <f t="shared" si="40"/>
        <v>0</v>
      </c>
      <c r="R1287" s="274">
        <f t="shared" si="41"/>
        <v>0</v>
      </c>
    </row>
    <row r="1288" spans="17:18">
      <c r="Q1288" s="274">
        <f t="shared" si="40"/>
        <v>0</v>
      </c>
      <c r="R1288" s="274">
        <f t="shared" si="41"/>
        <v>0</v>
      </c>
    </row>
    <row r="1289" spans="17:18">
      <c r="Q1289" s="274">
        <f t="shared" si="40"/>
        <v>0</v>
      </c>
      <c r="R1289" s="274">
        <f t="shared" si="41"/>
        <v>0</v>
      </c>
    </row>
    <row r="1290" spans="17:18">
      <c r="Q1290" s="274">
        <f t="shared" si="40"/>
        <v>0</v>
      </c>
      <c r="R1290" s="274">
        <f t="shared" si="41"/>
        <v>0</v>
      </c>
    </row>
    <row r="1291" spans="17:18">
      <c r="Q1291" s="274">
        <f t="shared" si="40"/>
        <v>0</v>
      </c>
      <c r="R1291" s="274">
        <f t="shared" si="41"/>
        <v>0</v>
      </c>
    </row>
    <row r="1292" spans="17:18">
      <c r="Q1292" s="274">
        <f t="shared" si="40"/>
        <v>0</v>
      </c>
      <c r="R1292" s="274">
        <f t="shared" si="41"/>
        <v>0</v>
      </c>
    </row>
    <row r="1293" spans="17:18">
      <c r="Q1293" s="274">
        <f t="shared" si="40"/>
        <v>0</v>
      </c>
      <c r="R1293" s="274">
        <f t="shared" si="41"/>
        <v>0</v>
      </c>
    </row>
    <row r="1294" spans="17:18">
      <c r="Q1294" s="274">
        <f t="shared" si="40"/>
        <v>0</v>
      </c>
      <c r="R1294" s="274">
        <f t="shared" si="41"/>
        <v>0</v>
      </c>
    </row>
    <row r="1295" spans="17:18">
      <c r="Q1295" s="274">
        <f t="shared" si="40"/>
        <v>0</v>
      </c>
      <c r="R1295" s="274">
        <f t="shared" si="41"/>
        <v>0</v>
      </c>
    </row>
    <row r="1296" spans="17:18">
      <c r="Q1296" s="274">
        <f t="shared" si="40"/>
        <v>0</v>
      </c>
      <c r="R1296" s="274">
        <f t="shared" si="41"/>
        <v>0</v>
      </c>
    </row>
    <row r="1297" spans="17:18">
      <c r="Q1297" s="274">
        <f t="shared" si="40"/>
        <v>0</v>
      </c>
      <c r="R1297" s="274">
        <f t="shared" si="41"/>
        <v>0</v>
      </c>
    </row>
    <row r="1298" spans="17:18">
      <c r="Q1298" s="274">
        <f t="shared" si="40"/>
        <v>0</v>
      </c>
      <c r="R1298" s="274">
        <f t="shared" si="41"/>
        <v>0</v>
      </c>
    </row>
    <row r="1299" spans="17:18">
      <c r="Q1299" s="274">
        <f t="shared" si="40"/>
        <v>0</v>
      </c>
      <c r="R1299" s="274">
        <f t="shared" si="41"/>
        <v>0</v>
      </c>
    </row>
    <row r="1300" spans="17:18">
      <c r="Q1300" s="274">
        <f t="shared" si="40"/>
        <v>0</v>
      </c>
      <c r="R1300" s="274">
        <f t="shared" si="41"/>
        <v>0</v>
      </c>
    </row>
    <row r="1301" spans="17:18">
      <c r="Q1301" s="274">
        <f t="shared" si="40"/>
        <v>0</v>
      </c>
      <c r="R1301" s="274">
        <f t="shared" si="41"/>
        <v>0</v>
      </c>
    </row>
    <row r="1302" spans="17:18">
      <c r="Q1302" s="274">
        <f t="shared" si="40"/>
        <v>0</v>
      </c>
      <c r="R1302" s="274">
        <f t="shared" si="41"/>
        <v>0</v>
      </c>
    </row>
    <row r="1303" spans="17:18">
      <c r="Q1303" s="274">
        <f t="shared" si="40"/>
        <v>0</v>
      </c>
      <c r="R1303" s="274">
        <f t="shared" si="41"/>
        <v>0</v>
      </c>
    </row>
    <row r="1304" spans="17:18">
      <c r="Q1304" s="274">
        <f t="shared" si="40"/>
        <v>0</v>
      </c>
      <c r="R1304" s="274">
        <f t="shared" si="41"/>
        <v>0</v>
      </c>
    </row>
    <row r="1305" spans="17:18">
      <c r="Q1305" s="274">
        <f t="shared" si="40"/>
        <v>0</v>
      </c>
      <c r="R1305" s="274">
        <f t="shared" si="41"/>
        <v>0</v>
      </c>
    </row>
    <row r="1306" spans="17:18">
      <c r="Q1306" s="274">
        <f t="shared" si="40"/>
        <v>0</v>
      </c>
      <c r="R1306" s="274">
        <f t="shared" si="41"/>
        <v>0</v>
      </c>
    </row>
    <row r="1307" spans="17:18">
      <c r="Q1307" s="274">
        <f t="shared" si="40"/>
        <v>0</v>
      </c>
      <c r="R1307" s="274">
        <f t="shared" si="41"/>
        <v>0</v>
      </c>
    </row>
    <row r="1308" spans="17:18">
      <c r="Q1308" s="274">
        <f t="shared" si="40"/>
        <v>0</v>
      </c>
      <c r="R1308" s="274">
        <f t="shared" si="41"/>
        <v>0</v>
      </c>
    </row>
    <row r="1309" spans="17:18">
      <c r="Q1309" s="274">
        <f t="shared" si="40"/>
        <v>0</v>
      </c>
      <c r="R1309" s="274">
        <f t="shared" si="41"/>
        <v>0</v>
      </c>
    </row>
    <row r="1310" spans="17:18">
      <c r="Q1310" s="274">
        <f t="shared" si="40"/>
        <v>0</v>
      </c>
      <c r="R1310" s="274">
        <f t="shared" si="41"/>
        <v>0</v>
      </c>
    </row>
    <row r="1311" spans="17:18">
      <c r="Q1311" s="274">
        <f t="shared" si="40"/>
        <v>0</v>
      </c>
      <c r="R1311" s="274">
        <f t="shared" si="41"/>
        <v>0</v>
      </c>
    </row>
    <row r="1312" spans="17:18">
      <c r="Q1312" s="274">
        <f t="shared" si="40"/>
        <v>0</v>
      </c>
      <c r="R1312" s="274">
        <f t="shared" si="41"/>
        <v>0</v>
      </c>
    </row>
    <row r="1313" spans="17:18">
      <c r="Q1313" s="274">
        <f t="shared" si="40"/>
        <v>0</v>
      </c>
      <c r="R1313" s="274">
        <f t="shared" si="41"/>
        <v>0</v>
      </c>
    </row>
    <row r="1314" spans="17:18">
      <c r="Q1314" s="274">
        <f t="shared" si="40"/>
        <v>0</v>
      </c>
      <c r="R1314" s="274">
        <f t="shared" si="41"/>
        <v>0</v>
      </c>
    </row>
    <row r="1315" spans="17:18">
      <c r="Q1315" s="274">
        <f t="shared" si="40"/>
        <v>0</v>
      </c>
      <c r="R1315" s="274">
        <f t="shared" si="41"/>
        <v>0</v>
      </c>
    </row>
    <row r="1316" spans="17:18">
      <c r="Q1316" s="274">
        <f t="shared" si="40"/>
        <v>0</v>
      </c>
      <c r="R1316" s="274">
        <f t="shared" si="41"/>
        <v>0</v>
      </c>
    </row>
    <row r="1317" spans="17:18">
      <c r="Q1317" s="274">
        <f t="shared" si="40"/>
        <v>0</v>
      </c>
      <c r="R1317" s="274">
        <f t="shared" si="41"/>
        <v>0</v>
      </c>
    </row>
    <row r="1318" spans="17:18">
      <c r="Q1318" s="274">
        <f t="shared" si="40"/>
        <v>0</v>
      </c>
      <c r="R1318" s="274">
        <f t="shared" si="41"/>
        <v>0</v>
      </c>
    </row>
    <row r="1319" spans="17:18">
      <c r="Q1319" s="274">
        <f t="shared" si="40"/>
        <v>0</v>
      </c>
      <c r="R1319" s="274">
        <f t="shared" si="41"/>
        <v>0</v>
      </c>
    </row>
    <row r="1320" spans="17:18">
      <c r="Q1320" s="274">
        <f t="shared" si="40"/>
        <v>0</v>
      </c>
      <c r="R1320" s="274">
        <f t="shared" si="41"/>
        <v>0</v>
      </c>
    </row>
    <row r="1321" spans="17:18">
      <c r="Q1321" s="274">
        <f t="shared" si="40"/>
        <v>0</v>
      </c>
      <c r="R1321" s="274">
        <f t="shared" si="41"/>
        <v>0</v>
      </c>
    </row>
    <row r="1322" spans="17:18">
      <c r="Q1322" s="274">
        <f t="shared" si="40"/>
        <v>0</v>
      </c>
      <c r="R1322" s="274">
        <f t="shared" si="41"/>
        <v>0</v>
      </c>
    </row>
    <row r="1323" spans="17:18">
      <c r="Q1323" s="274">
        <f t="shared" si="40"/>
        <v>0</v>
      </c>
      <c r="R1323" s="274">
        <f t="shared" si="41"/>
        <v>0</v>
      </c>
    </row>
    <row r="1324" spans="17:18">
      <c r="Q1324" s="274">
        <f t="shared" si="40"/>
        <v>0</v>
      </c>
      <c r="R1324" s="274">
        <f t="shared" si="41"/>
        <v>0</v>
      </c>
    </row>
    <row r="1325" spans="17:18">
      <c r="Q1325" s="274">
        <f t="shared" si="40"/>
        <v>0</v>
      </c>
      <c r="R1325" s="274">
        <f t="shared" si="41"/>
        <v>0</v>
      </c>
    </row>
    <row r="1326" spans="17:18">
      <c r="Q1326" s="274">
        <f t="shared" si="40"/>
        <v>0</v>
      </c>
      <c r="R1326" s="274">
        <f t="shared" si="41"/>
        <v>0</v>
      </c>
    </row>
    <row r="1327" spans="17:18">
      <c r="Q1327" s="274">
        <f t="shared" si="40"/>
        <v>0</v>
      </c>
      <c r="R1327" s="274">
        <f t="shared" si="41"/>
        <v>0</v>
      </c>
    </row>
    <row r="1328" spans="17:18">
      <c r="Q1328" s="274">
        <f t="shared" si="40"/>
        <v>0</v>
      </c>
      <c r="R1328" s="274">
        <f t="shared" si="41"/>
        <v>0</v>
      </c>
    </row>
    <row r="1329" spans="17:18">
      <c r="Q1329" s="274">
        <f t="shared" si="40"/>
        <v>0</v>
      </c>
      <c r="R1329" s="274">
        <f t="shared" si="41"/>
        <v>0</v>
      </c>
    </row>
    <row r="1330" spans="17:18">
      <c r="Q1330" s="274">
        <f t="shared" si="40"/>
        <v>0</v>
      </c>
      <c r="R1330" s="274">
        <f t="shared" si="41"/>
        <v>0</v>
      </c>
    </row>
    <row r="1331" spans="17:18">
      <c r="Q1331" s="274">
        <f t="shared" si="40"/>
        <v>0</v>
      </c>
      <c r="R1331" s="274">
        <f t="shared" si="41"/>
        <v>0</v>
      </c>
    </row>
    <row r="1332" spans="17:18">
      <c r="Q1332" s="274">
        <f t="shared" si="40"/>
        <v>0</v>
      </c>
      <c r="R1332" s="274">
        <f t="shared" si="41"/>
        <v>0</v>
      </c>
    </row>
    <row r="1333" spans="17:18">
      <c r="Q1333" s="274">
        <f t="shared" si="40"/>
        <v>0</v>
      </c>
      <c r="R1333" s="274">
        <f t="shared" si="41"/>
        <v>0</v>
      </c>
    </row>
    <row r="1334" spans="17:18">
      <c r="Q1334" s="274">
        <f t="shared" si="40"/>
        <v>0</v>
      </c>
      <c r="R1334" s="274">
        <f t="shared" si="41"/>
        <v>0</v>
      </c>
    </row>
    <row r="1335" spans="17:18">
      <c r="Q1335" s="274">
        <f t="shared" si="40"/>
        <v>0</v>
      </c>
      <c r="R1335" s="274">
        <f t="shared" si="41"/>
        <v>0</v>
      </c>
    </row>
    <row r="1336" spans="17:18">
      <c r="Q1336" s="274">
        <f t="shared" si="40"/>
        <v>0</v>
      </c>
      <c r="R1336" s="274">
        <f t="shared" si="41"/>
        <v>0</v>
      </c>
    </row>
    <row r="1337" spans="17:18">
      <c r="Q1337" s="274">
        <f t="shared" si="40"/>
        <v>0</v>
      </c>
      <c r="R1337" s="274">
        <f t="shared" si="41"/>
        <v>0</v>
      </c>
    </row>
    <row r="1338" spans="17:18">
      <c r="Q1338" s="274">
        <f t="shared" si="40"/>
        <v>0</v>
      </c>
      <c r="R1338" s="274">
        <f t="shared" si="41"/>
        <v>0</v>
      </c>
    </row>
    <row r="1339" spans="17:18">
      <c r="Q1339" s="274">
        <f t="shared" si="40"/>
        <v>0</v>
      </c>
      <c r="R1339" s="274">
        <f t="shared" si="41"/>
        <v>0</v>
      </c>
    </row>
    <row r="1340" spans="17:18">
      <c r="Q1340" s="274">
        <f t="shared" si="40"/>
        <v>0</v>
      </c>
      <c r="R1340" s="274">
        <f t="shared" si="41"/>
        <v>0</v>
      </c>
    </row>
    <row r="1341" spans="17:18">
      <c r="Q1341" s="274">
        <f t="shared" si="40"/>
        <v>0</v>
      </c>
      <c r="R1341" s="274">
        <f t="shared" si="41"/>
        <v>0</v>
      </c>
    </row>
    <row r="1342" spans="17:18">
      <c r="Q1342" s="274">
        <f t="shared" si="40"/>
        <v>0</v>
      </c>
      <c r="R1342" s="274">
        <f t="shared" si="41"/>
        <v>0</v>
      </c>
    </row>
    <row r="1343" spans="17:18">
      <c r="Q1343" s="274">
        <f t="shared" si="40"/>
        <v>0</v>
      </c>
      <c r="R1343" s="274">
        <f t="shared" si="41"/>
        <v>0</v>
      </c>
    </row>
    <row r="1344" spans="17:18">
      <c r="Q1344" s="274">
        <f t="shared" si="40"/>
        <v>0</v>
      </c>
      <c r="R1344" s="274">
        <f t="shared" si="41"/>
        <v>0</v>
      </c>
    </row>
    <row r="1345" spans="17:18">
      <c r="Q1345" s="274">
        <f t="shared" si="40"/>
        <v>0</v>
      </c>
      <c r="R1345" s="274">
        <f t="shared" si="41"/>
        <v>0</v>
      </c>
    </row>
    <row r="1346" spans="17:18">
      <c r="Q1346" s="274">
        <f t="shared" ref="Q1346:Q1409" si="42">IF($J1348=$A$21,IF($M1348=$A$16,$L1348,0),0)</f>
        <v>0</v>
      </c>
      <c r="R1346" s="274">
        <f t="shared" ref="R1346:R1409" si="43">IF($J1348=$A$22,IF($M1348=$A$16,$L1348,0),0)</f>
        <v>0</v>
      </c>
    </row>
    <row r="1347" spans="17:18">
      <c r="Q1347" s="274">
        <f t="shared" si="42"/>
        <v>0</v>
      </c>
      <c r="R1347" s="274">
        <f t="shared" si="43"/>
        <v>0</v>
      </c>
    </row>
    <row r="1348" spans="17:18">
      <c r="Q1348" s="274">
        <f t="shared" si="42"/>
        <v>0</v>
      </c>
      <c r="R1348" s="274">
        <f t="shared" si="43"/>
        <v>0</v>
      </c>
    </row>
    <row r="1349" spans="17:18">
      <c r="Q1349" s="274">
        <f t="shared" si="42"/>
        <v>0</v>
      </c>
      <c r="R1349" s="274">
        <f t="shared" si="43"/>
        <v>0</v>
      </c>
    </row>
    <row r="1350" spans="17:18">
      <c r="Q1350" s="274">
        <f t="shared" si="42"/>
        <v>0</v>
      </c>
      <c r="R1350" s="274">
        <f t="shared" si="43"/>
        <v>0</v>
      </c>
    </row>
    <row r="1351" spans="17:18">
      <c r="Q1351" s="274">
        <f t="shared" si="42"/>
        <v>0</v>
      </c>
      <c r="R1351" s="274">
        <f t="shared" si="43"/>
        <v>0</v>
      </c>
    </row>
    <row r="1352" spans="17:18">
      <c r="Q1352" s="274">
        <f t="shared" si="42"/>
        <v>0</v>
      </c>
      <c r="R1352" s="274">
        <f t="shared" si="43"/>
        <v>0</v>
      </c>
    </row>
    <row r="1353" spans="17:18">
      <c r="Q1353" s="274">
        <f t="shared" si="42"/>
        <v>0</v>
      </c>
      <c r="R1353" s="274">
        <f t="shared" si="43"/>
        <v>0</v>
      </c>
    </row>
    <row r="1354" spans="17:18">
      <c r="Q1354" s="274">
        <f t="shared" si="42"/>
        <v>0</v>
      </c>
      <c r="R1354" s="274">
        <f t="shared" si="43"/>
        <v>0</v>
      </c>
    </row>
    <row r="1355" spans="17:18">
      <c r="Q1355" s="274">
        <f t="shared" si="42"/>
        <v>0</v>
      </c>
      <c r="R1355" s="274">
        <f t="shared" si="43"/>
        <v>0</v>
      </c>
    </row>
    <row r="1356" spans="17:18">
      <c r="Q1356" s="274">
        <f t="shared" si="42"/>
        <v>0</v>
      </c>
      <c r="R1356" s="274">
        <f t="shared" si="43"/>
        <v>0</v>
      </c>
    </row>
    <row r="1357" spans="17:18">
      <c r="Q1357" s="274">
        <f t="shared" si="42"/>
        <v>0</v>
      </c>
      <c r="R1357" s="274">
        <f t="shared" si="43"/>
        <v>0</v>
      </c>
    </row>
    <row r="1358" spans="17:18">
      <c r="Q1358" s="274">
        <f t="shared" si="42"/>
        <v>0</v>
      </c>
      <c r="R1358" s="274">
        <f t="shared" si="43"/>
        <v>0</v>
      </c>
    </row>
    <row r="1359" spans="17:18">
      <c r="Q1359" s="274">
        <f t="shared" si="42"/>
        <v>0</v>
      </c>
      <c r="R1359" s="274">
        <f t="shared" si="43"/>
        <v>0</v>
      </c>
    </row>
    <row r="1360" spans="17:18">
      <c r="Q1360" s="274">
        <f t="shared" si="42"/>
        <v>0</v>
      </c>
      <c r="R1360" s="274">
        <f t="shared" si="43"/>
        <v>0</v>
      </c>
    </row>
    <row r="1361" spans="17:18">
      <c r="Q1361" s="274">
        <f t="shared" si="42"/>
        <v>0</v>
      </c>
      <c r="R1361" s="274">
        <f t="shared" si="43"/>
        <v>0</v>
      </c>
    </row>
    <row r="1362" spans="17:18">
      <c r="Q1362" s="274">
        <f t="shared" si="42"/>
        <v>0</v>
      </c>
      <c r="R1362" s="274">
        <f t="shared" si="43"/>
        <v>0</v>
      </c>
    </row>
    <row r="1363" spans="17:18">
      <c r="Q1363" s="274">
        <f t="shared" si="42"/>
        <v>0</v>
      </c>
      <c r="R1363" s="274">
        <f t="shared" si="43"/>
        <v>0</v>
      </c>
    </row>
    <row r="1364" spans="17:18">
      <c r="Q1364" s="274">
        <f t="shared" si="42"/>
        <v>0</v>
      </c>
      <c r="R1364" s="274">
        <f t="shared" si="43"/>
        <v>0</v>
      </c>
    </row>
    <row r="1365" spans="17:18">
      <c r="Q1365" s="274">
        <f t="shared" si="42"/>
        <v>0</v>
      </c>
      <c r="R1365" s="274">
        <f t="shared" si="43"/>
        <v>0</v>
      </c>
    </row>
    <row r="1366" spans="17:18">
      <c r="Q1366" s="274">
        <f t="shared" si="42"/>
        <v>0</v>
      </c>
      <c r="R1366" s="274">
        <f t="shared" si="43"/>
        <v>0</v>
      </c>
    </row>
    <row r="1367" spans="17:18">
      <c r="Q1367" s="274">
        <f t="shared" si="42"/>
        <v>0</v>
      </c>
      <c r="R1367" s="274">
        <f t="shared" si="43"/>
        <v>0</v>
      </c>
    </row>
    <row r="1368" spans="17:18">
      <c r="Q1368" s="274">
        <f t="shared" si="42"/>
        <v>0</v>
      </c>
      <c r="R1368" s="274">
        <f t="shared" si="43"/>
        <v>0</v>
      </c>
    </row>
    <row r="1369" spans="17:18">
      <c r="Q1369" s="274">
        <f t="shared" si="42"/>
        <v>0</v>
      </c>
      <c r="R1369" s="274">
        <f t="shared" si="43"/>
        <v>0</v>
      </c>
    </row>
    <row r="1370" spans="17:18">
      <c r="Q1370" s="274">
        <f t="shared" si="42"/>
        <v>0</v>
      </c>
      <c r="R1370" s="274">
        <f t="shared" si="43"/>
        <v>0</v>
      </c>
    </row>
    <row r="1371" spans="17:18">
      <c r="Q1371" s="274">
        <f t="shared" si="42"/>
        <v>0</v>
      </c>
      <c r="R1371" s="274">
        <f t="shared" si="43"/>
        <v>0</v>
      </c>
    </row>
    <row r="1372" spans="17:18">
      <c r="Q1372" s="274">
        <f t="shared" si="42"/>
        <v>0</v>
      </c>
      <c r="R1372" s="274">
        <f t="shared" si="43"/>
        <v>0</v>
      </c>
    </row>
    <row r="1373" spans="17:18">
      <c r="Q1373" s="274">
        <f t="shared" si="42"/>
        <v>0</v>
      </c>
      <c r="R1373" s="274">
        <f t="shared" si="43"/>
        <v>0</v>
      </c>
    </row>
    <row r="1374" spans="17:18">
      <c r="Q1374" s="274">
        <f t="shared" si="42"/>
        <v>0</v>
      </c>
      <c r="R1374" s="274">
        <f t="shared" si="43"/>
        <v>0</v>
      </c>
    </row>
    <row r="1375" spans="17:18">
      <c r="Q1375" s="274">
        <f t="shared" si="42"/>
        <v>0</v>
      </c>
      <c r="R1375" s="274">
        <f t="shared" si="43"/>
        <v>0</v>
      </c>
    </row>
    <row r="1376" spans="17:18">
      <c r="Q1376" s="274">
        <f t="shared" si="42"/>
        <v>0</v>
      </c>
      <c r="R1376" s="274">
        <f t="shared" si="43"/>
        <v>0</v>
      </c>
    </row>
    <row r="1377" spans="17:18">
      <c r="Q1377" s="274">
        <f t="shared" si="42"/>
        <v>0</v>
      </c>
      <c r="R1377" s="274">
        <f t="shared" si="43"/>
        <v>0</v>
      </c>
    </row>
    <row r="1378" spans="17:18">
      <c r="Q1378" s="274">
        <f t="shared" si="42"/>
        <v>0</v>
      </c>
      <c r="R1378" s="274">
        <f t="shared" si="43"/>
        <v>0</v>
      </c>
    </row>
    <row r="1379" spans="17:18">
      <c r="Q1379" s="274">
        <f t="shared" si="42"/>
        <v>0</v>
      </c>
      <c r="R1379" s="274">
        <f t="shared" si="43"/>
        <v>0</v>
      </c>
    </row>
    <row r="1380" spans="17:18">
      <c r="Q1380" s="274">
        <f t="shared" si="42"/>
        <v>0</v>
      </c>
      <c r="R1380" s="274">
        <f t="shared" si="43"/>
        <v>0</v>
      </c>
    </row>
    <row r="1381" spans="17:18">
      <c r="Q1381" s="274">
        <f t="shared" si="42"/>
        <v>0</v>
      </c>
      <c r="R1381" s="274">
        <f t="shared" si="43"/>
        <v>0</v>
      </c>
    </row>
    <row r="1382" spans="17:18">
      <c r="Q1382" s="274">
        <f t="shared" si="42"/>
        <v>0</v>
      </c>
      <c r="R1382" s="274">
        <f t="shared" si="43"/>
        <v>0</v>
      </c>
    </row>
    <row r="1383" spans="17:18">
      <c r="Q1383" s="274">
        <f t="shared" si="42"/>
        <v>0</v>
      </c>
      <c r="R1383" s="274">
        <f t="shared" si="43"/>
        <v>0</v>
      </c>
    </row>
    <row r="1384" spans="17:18">
      <c r="Q1384" s="274">
        <f t="shared" si="42"/>
        <v>0</v>
      </c>
      <c r="R1384" s="274">
        <f t="shared" si="43"/>
        <v>0</v>
      </c>
    </row>
    <row r="1385" spans="17:18">
      <c r="Q1385" s="274">
        <f t="shared" si="42"/>
        <v>0</v>
      </c>
      <c r="R1385" s="274">
        <f t="shared" si="43"/>
        <v>0</v>
      </c>
    </row>
    <row r="1386" spans="17:18">
      <c r="Q1386" s="274">
        <f t="shared" si="42"/>
        <v>0</v>
      </c>
      <c r="R1386" s="274">
        <f t="shared" si="43"/>
        <v>0</v>
      </c>
    </row>
    <row r="1387" spans="17:18">
      <c r="Q1387" s="274">
        <f t="shared" si="42"/>
        <v>0</v>
      </c>
      <c r="R1387" s="274">
        <f t="shared" si="43"/>
        <v>0</v>
      </c>
    </row>
    <row r="1388" spans="17:18">
      <c r="Q1388" s="274">
        <f t="shared" si="42"/>
        <v>0</v>
      </c>
      <c r="R1388" s="274">
        <f t="shared" si="43"/>
        <v>0</v>
      </c>
    </row>
    <row r="1389" spans="17:18">
      <c r="Q1389" s="274">
        <f t="shared" si="42"/>
        <v>0</v>
      </c>
      <c r="R1389" s="274">
        <f t="shared" si="43"/>
        <v>0</v>
      </c>
    </row>
    <row r="1390" spans="17:18">
      <c r="Q1390" s="274">
        <f t="shared" si="42"/>
        <v>0</v>
      </c>
      <c r="R1390" s="274">
        <f t="shared" si="43"/>
        <v>0</v>
      </c>
    </row>
    <row r="1391" spans="17:18">
      <c r="Q1391" s="274">
        <f t="shared" si="42"/>
        <v>0</v>
      </c>
      <c r="R1391" s="274">
        <f t="shared" si="43"/>
        <v>0</v>
      </c>
    </row>
    <row r="1392" spans="17:18">
      <c r="Q1392" s="274">
        <f t="shared" si="42"/>
        <v>0</v>
      </c>
      <c r="R1392" s="274">
        <f t="shared" si="43"/>
        <v>0</v>
      </c>
    </row>
    <row r="1393" spans="17:18">
      <c r="Q1393" s="274">
        <f t="shared" si="42"/>
        <v>0</v>
      </c>
      <c r="R1393" s="274">
        <f t="shared" si="43"/>
        <v>0</v>
      </c>
    </row>
    <row r="1394" spans="17:18">
      <c r="Q1394" s="274">
        <f t="shared" si="42"/>
        <v>0</v>
      </c>
      <c r="R1394" s="274">
        <f t="shared" si="43"/>
        <v>0</v>
      </c>
    </row>
    <row r="1395" spans="17:18">
      <c r="Q1395" s="274">
        <f t="shared" si="42"/>
        <v>0</v>
      </c>
      <c r="R1395" s="274">
        <f t="shared" si="43"/>
        <v>0</v>
      </c>
    </row>
    <row r="1396" spans="17:18">
      <c r="Q1396" s="274">
        <f t="shared" si="42"/>
        <v>0</v>
      </c>
      <c r="R1396" s="274">
        <f t="shared" si="43"/>
        <v>0</v>
      </c>
    </row>
    <row r="1397" spans="17:18">
      <c r="Q1397" s="274">
        <f t="shared" si="42"/>
        <v>0</v>
      </c>
      <c r="R1397" s="274">
        <f t="shared" si="43"/>
        <v>0</v>
      </c>
    </row>
    <row r="1398" spans="17:18">
      <c r="Q1398" s="274">
        <f t="shared" si="42"/>
        <v>0</v>
      </c>
      <c r="R1398" s="274">
        <f t="shared" si="43"/>
        <v>0</v>
      </c>
    </row>
    <row r="1399" spans="17:18">
      <c r="Q1399" s="274">
        <f t="shared" si="42"/>
        <v>0</v>
      </c>
      <c r="R1399" s="274">
        <f t="shared" si="43"/>
        <v>0</v>
      </c>
    </row>
    <row r="1400" spans="17:18">
      <c r="Q1400" s="274">
        <f t="shared" si="42"/>
        <v>0</v>
      </c>
      <c r="R1400" s="274">
        <f t="shared" si="43"/>
        <v>0</v>
      </c>
    </row>
    <row r="1401" spans="17:18">
      <c r="Q1401" s="274">
        <f t="shared" si="42"/>
        <v>0</v>
      </c>
      <c r="R1401" s="274">
        <f t="shared" si="43"/>
        <v>0</v>
      </c>
    </row>
    <row r="1402" spans="17:18">
      <c r="Q1402" s="274">
        <f t="shared" si="42"/>
        <v>0</v>
      </c>
      <c r="R1402" s="274">
        <f t="shared" si="43"/>
        <v>0</v>
      </c>
    </row>
    <row r="1403" spans="17:18">
      <c r="Q1403" s="274">
        <f t="shared" si="42"/>
        <v>0</v>
      </c>
      <c r="R1403" s="274">
        <f t="shared" si="43"/>
        <v>0</v>
      </c>
    </row>
    <row r="1404" spans="17:18">
      <c r="Q1404" s="274">
        <f t="shared" si="42"/>
        <v>0</v>
      </c>
      <c r="R1404" s="274">
        <f t="shared" si="43"/>
        <v>0</v>
      </c>
    </row>
    <row r="1405" spans="17:18">
      <c r="Q1405" s="274">
        <f t="shared" si="42"/>
        <v>0</v>
      </c>
      <c r="R1405" s="274">
        <f t="shared" si="43"/>
        <v>0</v>
      </c>
    </row>
    <row r="1406" spans="17:18">
      <c r="Q1406" s="274">
        <f t="shared" si="42"/>
        <v>0</v>
      </c>
      <c r="R1406" s="274">
        <f t="shared" si="43"/>
        <v>0</v>
      </c>
    </row>
    <row r="1407" spans="17:18">
      <c r="Q1407" s="274">
        <f t="shared" si="42"/>
        <v>0</v>
      </c>
      <c r="R1407" s="274">
        <f t="shared" si="43"/>
        <v>0</v>
      </c>
    </row>
    <row r="1408" spans="17:18">
      <c r="Q1408" s="274">
        <f t="shared" si="42"/>
        <v>0</v>
      </c>
      <c r="R1408" s="274">
        <f t="shared" si="43"/>
        <v>0</v>
      </c>
    </row>
    <row r="1409" spans="17:18">
      <c r="Q1409" s="274">
        <f t="shared" si="42"/>
        <v>0</v>
      </c>
      <c r="R1409" s="274">
        <f t="shared" si="43"/>
        <v>0</v>
      </c>
    </row>
    <row r="1410" spans="17:18">
      <c r="Q1410" s="274">
        <f t="shared" ref="Q1410:Q1473" si="44">IF($J1412=$A$21,IF($M1412=$A$16,$L1412,0),0)</f>
        <v>0</v>
      </c>
      <c r="R1410" s="274">
        <f t="shared" ref="R1410:R1473" si="45">IF($J1412=$A$22,IF($M1412=$A$16,$L1412,0),0)</f>
        <v>0</v>
      </c>
    </row>
    <row r="1411" spans="17:18">
      <c r="Q1411" s="274">
        <f t="shared" si="44"/>
        <v>0</v>
      </c>
      <c r="R1411" s="274">
        <f t="shared" si="45"/>
        <v>0</v>
      </c>
    </row>
    <row r="1412" spans="17:18">
      <c r="Q1412" s="274">
        <f t="shared" si="44"/>
        <v>0</v>
      </c>
      <c r="R1412" s="274">
        <f t="shared" si="45"/>
        <v>0</v>
      </c>
    </row>
    <row r="1413" spans="17:18">
      <c r="Q1413" s="274">
        <f t="shared" si="44"/>
        <v>0</v>
      </c>
      <c r="R1413" s="274">
        <f t="shared" si="45"/>
        <v>0</v>
      </c>
    </row>
    <row r="1414" spans="17:18">
      <c r="Q1414" s="274">
        <f t="shared" si="44"/>
        <v>0</v>
      </c>
      <c r="R1414" s="274">
        <f t="shared" si="45"/>
        <v>0</v>
      </c>
    </row>
    <row r="1415" spans="17:18">
      <c r="Q1415" s="274">
        <f t="shared" si="44"/>
        <v>0</v>
      </c>
      <c r="R1415" s="274">
        <f t="shared" si="45"/>
        <v>0</v>
      </c>
    </row>
    <row r="1416" spans="17:18">
      <c r="Q1416" s="274">
        <f t="shared" si="44"/>
        <v>0</v>
      </c>
      <c r="R1416" s="274">
        <f t="shared" si="45"/>
        <v>0</v>
      </c>
    </row>
    <row r="1417" spans="17:18">
      <c r="Q1417" s="274">
        <f t="shared" si="44"/>
        <v>0</v>
      </c>
      <c r="R1417" s="274">
        <f t="shared" si="45"/>
        <v>0</v>
      </c>
    </row>
    <row r="1418" spans="17:18">
      <c r="Q1418" s="274">
        <f t="shared" si="44"/>
        <v>0</v>
      </c>
      <c r="R1418" s="274">
        <f t="shared" si="45"/>
        <v>0</v>
      </c>
    </row>
    <row r="1419" spans="17:18">
      <c r="Q1419" s="274">
        <f t="shared" si="44"/>
        <v>0</v>
      </c>
      <c r="R1419" s="274">
        <f t="shared" si="45"/>
        <v>0</v>
      </c>
    </row>
    <row r="1420" spans="17:18">
      <c r="Q1420" s="274">
        <f t="shared" si="44"/>
        <v>0</v>
      </c>
      <c r="R1420" s="274">
        <f t="shared" si="45"/>
        <v>0</v>
      </c>
    </row>
    <row r="1421" spans="17:18">
      <c r="Q1421" s="274">
        <f t="shared" si="44"/>
        <v>0</v>
      </c>
      <c r="R1421" s="274">
        <f t="shared" si="45"/>
        <v>0</v>
      </c>
    </row>
    <row r="1422" spans="17:18">
      <c r="Q1422" s="274">
        <f t="shared" si="44"/>
        <v>0</v>
      </c>
      <c r="R1422" s="274">
        <f t="shared" si="45"/>
        <v>0</v>
      </c>
    </row>
    <row r="1423" spans="17:18">
      <c r="Q1423" s="274">
        <f t="shared" si="44"/>
        <v>0</v>
      </c>
      <c r="R1423" s="274">
        <f t="shared" si="45"/>
        <v>0</v>
      </c>
    </row>
    <row r="1424" spans="17:18">
      <c r="Q1424" s="274">
        <f t="shared" si="44"/>
        <v>0</v>
      </c>
      <c r="R1424" s="274">
        <f t="shared" si="45"/>
        <v>0</v>
      </c>
    </row>
    <row r="1425" spans="17:18">
      <c r="Q1425" s="274">
        <f t="shared" si="44"/>
        <v>0</v>
      </c>
      <c r="R1425" s="274">
        <f t="shared" si="45"/>
        <v>0</v>
      </c>
    </row>
    <row r="1426" spans="17:18">
      <c r="Q1426" s="274">
        <f t="shared" si="44"/>
        <v>0</v>
      </c>
      <c r="R1426" s="274">
        <f t="shared" si="45"/>
        <v>0</v>
      </c>
    </row>
    <row r="1427" spans="17:18">
      <c r="Q1427" s="274">
        <f t="shared" si="44"/>
        <v>0</v>
      </c>
      <c r="R1427" s="274">
        <f t="shared" si="45"/>
        <v>0</v>
      </c>
    </row>
    <row r="1428" spans="17:18">
      <c r="Q1428" s="274">
        <f t="shared" si="44"/>
        <v>0</v>
      </c>
      <c r="R1428" s="274">
        <f t="shared" si="45"/>
        <v>0</v>
      </c>
    </row>
    <row r="1429" spans="17:18">
      <c r="Q1429" s="274">
        <f t="shared" si="44"/>
        <v>0</v>
      </c>
      <c r="R1429" s="274">
        <f t="shared" si="45"/>
        <v>0</v>
      </c>
    </row>
    <row r="1430" spans="17:18">
      <c r="Q1430" s="274">
        <f t="shared" si="44"/>
        <v>0</v>
      </c>
      <c r="R1430" s="274">
        <f t="shared" si="45"/>
        <v>0</v>
      </c>
    </row>
    <row r="1431" spans="17:18">
      <c r="Q1431" s="274">
        <f t="shared" si="44"/>
        <v>0</v>
      </c>
      <c r="R1431" s="274">
        <f t="shared" si="45"/>
        <v>0</v>
      </c>
    </row>
    <row r="1432" spans="17:18">
      <c r="Q1432" s="274">
        <f t="shared" si="44"/>
        <v>0</v>
      </c>
      <c r="R1432" s="274">
        <f t="shared" si="45"/>
        <v>0</v>
      </c>
    </row>
    <row r="1433" spans="17:18">
      <c r="Q1433" s="274">
        <f t="shared" si="44"/>
        <v>0</v>
      </c>
      <c r="R1433" s="274">
        <f t="shared" si="45"/>
        <v>0</v>
      </c>
    </row>
    <row r="1434" spans="17:18">
      <c r="Q1434" s="274">
        <f t="shared" si="44"/>
        <v>0</v>
      </c>
      <c r="R1434" s="274">
        <f t="shared" si="45"/>
        <v>0</v>
      </c>
    </row>
    <row r="1435" spans="17:18">
      <c r="Q1435" s="274">
        <f t="shared" si="44"/>
        <v>0</v>
      </c>
      <c r="R1435" s="274">
        <f t="shared" si="45"/>
        <v>0</v>
      </c>
    </row>
    <row r="1436" spans="17:18">
      <c r="Q1436" s="274">
        <f t="shared" si="44"/>
        <v>0</v>
      </c>
      <c r="R1436" s="274">
        <f t="shared" si="45"/>
        <v>0</v>
      </c>
    </row>
    <row r="1437" spans="17:18">
      <c r="Q1437" s="274">
        <f t="shared" si="44"/>
        <v>0</v>
      </c>
      <c r="R1437" s="274">
        <f t="shared" si="45"/>
        <v>0</v>
      </c>
    </row>
    <row r="1438" spans="17:18">
      <c r="Q1438" s="274">
        <f t="shared" si="44"/>
        <v>0</v>
      </c>
      <c r="R1438" s="274">
        <f t="shared" si="45"/>
        <v>0</v>
      </c>
    </row>
    <row r="1439" spans="17:18">
      <c r="Q1439" s="274">
        <f t="shared" si="44"/>
        <v>0</v>
      </c>
      <c r="R1439" s="274">
        <f t="shared" si="45"/>
        <v>0</v>
      </c>
    </row>
    <row r="1440" spans="17:18">
      <c r="Q1440" s="274">
        <f t="shared" si="44"/>
        <v>0</v>
      </c>
      <c r="R1440" s="274">
        <f t="shared" si="45"/>
        <v>0</v>
      </c>
    </row>
    <row r="1441" spans="17:18">
      <c r="Q1441" s="274">
        <f t="shared" si="44"/>
        <v>0</v>
      </c>
      <c r="R1441" s="274">
        <f t="shared" si="45"/>
        <v>0</v>
      </c>
    </row>
    <row r="1442" spans="17:18">
      <c r="Q1442" s="274">
        <f t="shared" si="44"/>
        <v>0</v>
      </c>
      <c r="R1442" s="274">
        <f t="shared" si="45"/>
        <v>0</v>
      </c>
    </row>
    <row r="1443" spans="17:18">
      <c r="Q1443" s="274">
        <f t="shared" si="44"/>
        <v>0</v>
      </c>
      <c r="R1443" s="274">
        <f t="shared" si="45"/>
        <v>0</v>
      </c>
    </row>
    <row r="1444" spans="17:18">
      <c r="Q1444" s="274">
        <f t="shared" si="44"/>
        <v>0</v>
      </c>
      <c r="R1444" s="274">
        <f t="shared" si="45"/>
        <v>0</v>
      </c>
    </row>
    <row r="1445" spans="17:18">
      <c r="Q1445" s="274">
        <f t="shared" si="44"/>
        <v>0</v>
      </c>
      <c r="R1445" s="274">
        <f t="shared" si="45"/>
        <v>0</v>
      </c>
    </row>
    <row r="1446" spans="17:18">
      <c r="Q1446" s="274">
        <f t="shared" si="44"/>
        <v>0</v>
      </c>
      <c r="R1446" s="274">
        <f t="shared" si="45"/>
        <v>0</v>
      </c>
    </row>
    <row r="1447" spans="17:18">
      <c r="Q1447" s="274">
        <f t="shared" si="44"/>
        <v>0</v>
      </c>
      <c r="R1447" s="274">
        <f t="shared" si="45"/>
        <v>0</v>
      </c>
    </row>
    <row r="1448" spans="17:18">
      <c r="Q1448" s="274">
        <f t="shared" si="44"/>
        <v>0</v>
      </c>
      <c r="R1448" s="274">
        <f t="shared" si="45"/>
        <v>0</v>
      </c>
    </row>
    <row r="1449" spans="17:18">
      <c r="Q1449" s="274">
        <f t="shared" si="44"/>
        <v>0</v>
      </c>
      <c r="R1449" s="274">
        <f t="shared" si="45"/>
        <v>0</v>
      </c>
    </row>
    <row r="1450" spans="17:18">
      <c r="Q1450" s="274">
        <f t="shared" si="44"/>
        <v>0</v>
      </c>
      <c r="R1450" s="274">
        <f t="shared" si="45"/>
        <v>0</v>
      </c>
    </row>
    <row r="1451" spans="17:18">
      <c r="Q1451" s="274">
        <f t="shared" si="44"/>
        <v>0</v>
      </c>
      <c r="R1451" s="274">
        <f t="shared" si="45"/>
        <v>0</v>
      </c>
    </row>
    <row r="1452" spans="17:18">
      <c r="Q1452" s="274">
        <f t="shared" si="44"/>
        <v>0</v>
      </c>
      <c r="R1452" s="274">
        <f t="shared" si="45"/>
        <v>0</v>
      </c>
    </row>
    <row r="1453" spans="17:18">
      <c r="Q1453" s="274">
        <f t="shared" si="44"/>
        <v>0</v>
      </c>
      <c r="R1453" s="274">
        <f t="shared" si="45"/>
        <v>0</v>
      </c>
    </row>
    <row r="1454" spans="17:18">
      <c r="Q1454" s="274">
        <f t="shared" si="44"/>
        <v>0</v>
      </c>
      <c r="R1454" s="274">
        <f t="shared" si="45"/>
        <v>0</v>
      </c>
    </row>
    <row r="1455" spans="17:18">
      <c r="Q1455" s="274">
        <f t="shared" si="44"/>
        <v>0</v>
      </c>
      <c r="R1455" s="274">
        <f t="shared" si="45"/>
        <v>0</v>
      </c>
    </row>
    <row r="1456" spans="17:18">
      <c r="Q1456" s="274">
        <f t="shared" si="44"/>
        <v>0</v>
      </c>
      <c r="R1456" s="274">
        <f t="shared" si="45"/>
        <v>0</v>
      </c>
    </row>
    <row r="1457" spans="17:18">
      <c r="Q1457" s="274">
        <f t="shared" si="44"/>
        <v>0</v>
      </c>
      <c r="R1457" s="274">
        <f t="shared" si="45"/>
        <v>0</v>
      </c>
    </row>
    <row r="1458" spans="17:18">
      <c r="Q1458" s="274">
        <f t="shared" si="44"/>
        <v>0</v>
      </c>
      <c r="R1458" s="274">
        <f t="shared" si="45"/>
        <v>0</v>
      </c>
    </row>
    <row r="1459" spans="17:18">
      <c r="Q1459" s="274">
        <f t="shared" si="44"/>
        <v>0</v>
      </c>
      <c r="R1459" s="274">
        <f t="shared" si="45"/>
        <v>0</v>
      </c>
    </row>
    <row r="1460" spans="17:18">
      <c r="Q1460" s="274">
        <f t="shared" si="44"/>
        <v>0</v>
      </c>
      <c r="R1460" s="274">
        <f t="shared" si="45"/>
        <v>0</v>
      </c>
    </row>
    <row r="1461" spans="17:18">
      <c r="Q1461" s="274">
        <f t="shared" si="44"/>
        <v>0</v>
      </c>
      <c r="R1461" s="274">
        <f t="shared" si="45"/>
        <v>0</v>
      </c>
    </row>
    <row r="1462" spans="17:18">
      <c r="Q1462" s="274">
        <f t="shared" si="44"/>
        <v>0</v>
      </c>
      <c r="R1462" s="274">
        <f t="shared" si="45"/>
        <v>0</v>
      </c>
    </row>
    <row r="1463" spans="17:18">
      <c r="Q1463" s="274">
        <f t="shared" si="44"/>
        <v>0</v>
      </c>
      <c r="R1463" s="274">
        <f t="shared" si="45"/>
        <v>0</v>
      </c>
    </row>
    <row r="1464" spans="17:18">
      <c r="Q1464" s="274">
        <f t="shared" si="44"/>
        <v>0</v>
      </c>
      <c r="R1464" s="274">
        <f t="shared" si="45"/>
        <v>0</v>
      </c>
    </row>
    <row r="1465" spans="17:18">
      <c r="Q1465" s="274">
        <f t="shared" si="44"/>
        <v>0</v>
      </c>
      <c r="R1465" s="274">
        <f t="shared" si="45"/>
        <v>0</v>
      </c>
    </row>
    <row r="1466" spans="17:18">
      <c r="Q1466" s="274">
        <f t="shared" si="44"/>
        <v>0</v>
      </c>
      <c r="R1466" s="274">
        <f t="shared" si="45"/>
        <v>0</v>
      </c>
    </row>
    <row r="1467" spans="17:18">
      <c r="Q1467" s="274">
        <f t="shared" si="44"/>
        <v>0</v>
      </c>
      <c r="R1467" s="274">
        <f t="shared" si="45"/>
        <v>0</v>
      </c>
    </row>
    <row r="1468" spans="17:18">
      <c r="Q1468" s="274">
        <f t="shared" si="44"/>
        <v>0</v>
      </c>
      <c r="R1468" s="274">
        <f t="shared" si="45"/>
        <v>0</v>
      </c>
    </row>
    <row r="1469" spans="17:18">
      <c r="Q1469" s="274">
        <f t="shared" si="44"/>
        <v>0</v>
      </c>
      <c r="R1469" s="274">
        <f t="shared" si="45"/>
        <v>0</v>
      </c>
    </row>
    <row r="1470" spans="17:18">
      <c r="Q1470" s="274">
        <f t="shared" si="44"/>
        <v>0</v>
      </c>
      <c r="R1470" s="274">
        <f t="shared" si="45"/>
        <v>0</v>
      </c>
    </row>
    <row r="1471" spans="17:18">
      <c r="Q1471" s="274">
        <f t="shared" si="44"/>
        <v>0</v>
      </c>
      <c r="R1471" s="274">
        <f t="shared" si="45"/>
        <v>0</v>
      </c>
    </row>
    <row r="1472" spans="17:18">
      <c r="Q1472" s="274">
        <f t="shared" si="44"/>
        <v>0</v>
      </c>
      <c r="R1472" s="274">
        <f t="shared" si="45"/>
        <v>0</v>
      </c>
    </row>
    <row r="1473" spans="17:18">
      <c r="Q1473" s="274">
        <f t="shared" si="44"/>
        <v>0</v>
      </c>
      <c r="R1473" s="274">
        <f t="shared" si="45"/>
        <v>0</v>
      </c>
    </row>
    <row r="1474" spans="17:18">
      <c r="Q1474" s="274">
        <f t="shared" ref="Q1474:Q1537" si="46">IF($J1476=$A$21,IF($M1476=$A$16,$L1476,0),0)</f>
        <v>0</v>
      </c>
      <c r="R1474" s="274">
        <f t="shared" ref="R1474:R1537" si="47">IF($J1476=$A$22,IF($M1476=$A$16,$L1476,0),0)</f>
        <v>0</v>
      </c>
    </row>
    <row r="1475" spans="17:18">
      <c r="Q1475" s="274">
        <f t="shared" si="46"/>
        <v>0</v>
      </c>
      <c r="R1475" s="274">
        <f t="shared" si="47"/>
        <v>0</v>
      </c>
    </row>
    <row r="1476" spans="17:18">
      <c r="Q1476" s="274">
        <f t="shared" si="46"/>
        <v>0</v>
      </c>
      <c r="R1476" s="274">
        <f t="shared" si="47"/>
        <v>0</v>
      </c>
    </row>
    <row r="1477" spans="17:18">
      <c r="Q1477" s="274">
        <f t="shared" si="46"/>
        <v>0</v>
      </c>
      <c r="R1477" s="274">
        <f t="shared" si="47"/>
        <v>0</v>
      </c>
    </row>
    <row r="1478" spans="17:18">
      <c r="Q1478" s="274">
        <f t="shared" si="46"/>
        <v>0</v>
      </c>
      <c r="R1478" s="274">
        <f t="shared" si="47"/>
        <v>0</v>
      </c>
    </row>
    <row r="1479" spans="17:18">
      <c r="Q1479" s="274">
        <f t="shared" si="46"/>
        <v>0</v>
      </c>
      <c r="R1479" s="274">
        <f t="shared" si="47"/>
        <v>0</v>
      </c>
    </row>
    <row r="1480" spans="17:18">
      <c r="Q1480" s="274">
        <f t="shared" si="46"/>
        <v>0</v>
      </c>
      <c r="R1480" s="274">
        <f t="shared" si="47"/>
        <v>0</v>
      </c>
    </row>
    <row r="1481" spans="17:18">
      <c r="Q1481" s="274">
        <f t="shared" si="46"/>
        <v>0</v>
      </c>
      <c r="R1481" s="274">
        <f t="shared" si="47"/>
        <v>0</v>
      </c>
    </row>
    <row r="1482" spans="17:18">
      <c r="Q1482" s="274">
        <f t="shared" si="46"/>
        <v>0</v>
      </c>
      <c r="R1482" s="274">
        <f t="shared" si="47"/>
        <v>0</v>
      </c>
    </row>
    <row r="1483" spans="17:18">
      <c r="Q1483" s="274">
        <f t="shared" si="46"/>
        <v>0</v>
      </c>
      <c r="R1483" s="274">
        <f t="shared" si="47"/>
        <v>0</v>
      </c>
    </row>
    <row r="1484" spans="17:18">
      <c r="Q1484" s="274">
        <f t="shared" si="46"/>
        <v>0</v>
      </c>
      <c r="R1484" s="274">
        <f t="shared" si="47"/>
        <v>0</v>
      </c>
    </row>
    <row r="1485" spans="17:18">
      <c r="Q1485" s="274">
        <f t="shared" si="46"/>
        <v>0</v>
      </c>
      <c r="R1485" s="274">
        <f t="shared" si="47"/>
        <v>0</v>
      </c>
    </row>
    <row r="1486" spans="17:18">
      <c r="Q1486" s="274">
        <f t="shared" si="46"/>
        <v>0</v>
      </c>
      <c r="R1486" s="274">
        <f t="shared" si="47"/>
        <v>0</v>
      </c>
    </row>
    <row r="1487" spans="17:18">
      <c r="Q1487" s="274">
        <f t="shared" si="46"/>
        <v>0</v>
      </c>
      <c r="R1487" s="274">
        <f t="shared" si="47"/>
        <v>0</v>
      </c>
    </row>
    <row r="1488" spans="17:18">
      <c r="Q1488" s="274">
        <f t="shared" si="46"/>
        <v>0</v>
      </c>
      <c r="R1488" s="274">
        <f t="shared" si="47"/>
        <v>0</v>
      </c>
    </row>
    <row r="1489" spans="17:18">
      <c r="Q1489" s="274">
        <f t="shared" si="46"/>
        <v>0</v>
      </c>
      <c r="R1489" s="274">
        <f t="shared" si="47"/>
        <v>0</v>
      </c>
    </row>
    <row r="1490" spans="17:18">
      <c r="Q1490" s="274">
        <f t="shared" si="46"/>
        <v>0</v>
      </c>
      <c r="R1490" s="274">
        <f t="shared" si="47"/>
        <v>0</v>
      </c>
    </row>
    <row r="1491" spans="17:18">
      <c r="Q1491" s="274">
        <f t="shared" si="46"/>
        <v>0</v>
      </c>
      <c r="R1491" s="274">
        <f t="shared" si="47"/>
        <v>0</v>
      </c>
    </row>
    <row r="1492" spans="17:18">
      <c r="Q1492" s="274">
        <f t="shared" si="46"/>
        <v>0</v>
      </c>
      <c r="R1492" s="274">
        <f t="shared" si="47"/>
        <v>0</v>
      </c>
    </row>
    <row r="1493" spans="17:18">
      <c r="Q1493" s="274">
        <f t="shared" si="46"/>
        <v>0</v>
      </c>
      <c r="R1493" s="274">
        <f t="shared" si="47"/>
        <v>0</v>
      </c>
    </row>
    <row r="1494" spans="17:18">
      <c r="Q1494" s="274">
        <f t="shared" si="46"/>
        <v>0</v>
      </c>
      <c r="R1494" s="274">
        <f t="shared" si="47"/>
        <v>0</v>
      </c>
    </row>
    <row r="1495" spans="17:18">
      <c r="Q1495" s="274">
        <f t="shared" si="46"/>
        <v>0</v>
      </c>
      <c r="R1495" s="274">
        <f t="shared" si="47"/>
        <v>0</v>
      </c>
    </row>
    <row r="1496" spans="17:18">
      <c r="Q1496" s="274">
        <f t="shared" si="46"/>
        <v>0</v>
      </c>
      <c r="R1496" s="274">
        <f t="shared" si="47"/>
        <v>0</v>
      </c>
    </row>
    <row r="1497" spans="17:18">
      <c r="Q1497" s="274">
        <f t="shared" si="46"/>
        <v>0</v>
      </c>
      <c r="R1497" s="274">
        <f t="shared" si="47"/>
        <v>0</v>
      </c>
    </row>
    <row r="1498" spans="17:18">
      <c r="Q1498" s="274">
        <f t="shared" si="46"/>
        <v>0</v>
      </c>
      <c r="R1498" s="274">
        <f t="shared" si="47"/>
        <v>0</v>
      </c>
    </row>
    <row r="1499" spans="17:18">
      <c r="Q1499" s="274">
        <f t="shared" si="46"/>
        <v>0</v>
      </c>
      <c r="R1499" s="274">
        <f t="shared" si="47"/>
        <v>0</v>
      </c>
    </row>
    <row r="1500" spans="17:18">
      <c r="Q1500" s="274">
        <f t="shared" si="46"/>
        <v>0</v>
      </c>
      <c r="R1500" s="274">
        <f t="shared" si="47"/>
        <v>0</v>
      </c>
    </row>
    <row r="1501" spans="17:18">
      <c r="Q1501" s="274">
        <f t="shared" si="46"/>
        <v>0</v>
      </c>
      <c r="R1501" s="274">
        <f t="shared" si="47"/>
        <v>0</v>
      </c>
    </row>
    <row r="1502" spans="17:18">
      <c r="Q1502" s="274">
        <f t="shared" si="46"/>
        <v>0</v>
      </c>
      <c r="R1502" s="274">
        <f t="shared" si="47"/>
        <v>0</v>
      </c>
    </row>
    <row r="1503" spans="17:18">
      <c r="Q1503" s="274">
        <f t="shared" si="46"/>
        <v>0</v>
      </c>
      <c r="R1503" s="274">
        <f t="shared" si="47"/>
        <v>0</v>
      </c>
    </row>
    <row r="1504" spans="17:18">
      <c r="Q1504" s="274">
        <f t="shared" si="46"/>
        <v>0</v>
      </c>
      <c r="R1504" s="274">
        <f t="shared" si="47"/>
        <v>0</v>
      </c>
    </row>
    <row r="1505" spans="17:18">
      <c r="Q1505" s="274">
        <f t="shared" si="46"/>
        <v>0</v>
      </c>
      <c r="R1505" s="274">
        <f t="shared" si="47"/>
        <v>0</v>
      </c>
    </row>
    <row r="1506" spans="17:18">
      <c r="Q1506" s="274">
        <f t="shared" si="46"/>
        <v>0</v>
      </c>
      <c r="R1506" s="274">
        <f t="shared" si="47"/>
        <v>0</v>
      </c>
    </row>
    <row r="1507" spans="17:18">
      <c r="Q1507" s="274">
        <f t="shared" si="46"/>
        <v>0</v>
      </c>
      <c r="R1507" s="274">
        <f t="shared" si="47"/>
        <v>0</v>
      </c>
    </row>
    <row r="1508" spans="17:18">
      <c r="Q1508" s="274">
        <f t="shared" si="46"/>
        <v>0</v>
      </c>
      <c r="R1508" s="274">
        <f t="shared" si="47"/>
        <v>0</v>
      </c>
    </row>
    <row r="1509" spans="17:18">
      <c r="Q1509" s="274">
        <f t="shared" si="46"/>
        <v>0</v>
      </c>
      <c r="R1509" s="274">
        <f t="shared" si="47"/>
        <v>0</v>
      </c>
    </row>
    <row r="1510" spans="17:18">
      <c r="Q1510" s="274">
        <f t="shared" si="46"/>
        <v>0</v>
      </c>
      <c r="R1510" s="274">
        <f t="shared" si="47"/>
        <v>0</v>
      </c>
    </row>
    <row r="1511" spans="17:18">
      <c r="Q1511" s="274">
        <f t="shared" si="46"/>
        <v>0</v>
      </c>
      <c r="R1511" s="274">
        <f t="shared" si="47"/>
        <v>0</v>
      </c>
    </row>
    <row r="1512" spans="17:18">
      <c r="Q1512" s="274">
        <f t="shared" si="46"/>
        <v>0</v>
      </c>
      <c r="R1512" s="274">
        <f t="shared" si="47"/>
        <v>0</v>
      </c>
    </row>
    <row r="1513" spans="17:18">
      <c r="Q1513" s="274">
        <f t="shared" si="46"/>
        <v>0</v>
      </c>
      <c r="R1513" s="274">
        <f t="shared" si="47"/>
        <v>0</v>
      </c>
    </row>
    <row r="1514" spans="17:18">
      <c r="Q1514" s="274">
        <f t="shared" si="46"/>
        <v>0</v>
      </c>
      <c r="R1514" s="274">
        <f t="shared" si="47"/>
        <v>0</v>
      </c>
    </row>
    <row r="1515" spans="17:18">
      <c r="Q1515" s="274">
        <f t="shared" si="46"/>
        <v>0</v>
      </c>
      <c r="R1515" s="274">
        <f t="shared" si="47"/>
        <v>0</v>
      </c>
    </row>
    <row r="1516" spans="17:18">
      <c r="Q1516" s="274">
        <f t="shared" si="46"/>
        <v>0</v>
      </c>
      <c r="R1516" s="274">
        <f t="shared" si="47"/>
        <v>0</v>
      </c>
    </row>
    <row r="1517" spans="17:18">
      <c r="Q1517" s="274">
        <f t="shared" si="46"/>
        <v>0</v>
      </c>
      <c r="R1517" s="274">
        <f t="shared" si="47"/>
        <v>0</v>
      </c>
    </row>
    <row r="1518" spans="17:18">
      <c r="Q1518" s="274">
        <f t="shared" si="46"/>
        <v>0</v>
      </c>
      <c r="R1518" s="274">
        <f t="shared" si="47"/>
        <v>0</v>
      </c>
    </row>
    <row r="1519" spans="17:18">
      <c r="Q1519" s="274">
        <f t="shared" si="46"/>
        <v>0</v>
      </c>
      <c r="R1519" s="274">
        <f t="shared" si="47"/>
        <v>0</v>
      </c>
    </row>
    <row r="1520" spans="17:18">
      <c r="Q1520" s="274">
        <f t="shared" si="46"/>
        <v>0</v>
      </c>
      <c r="R1520" s="274">
        <f t="shared" si="47"/>
        <v>0</v>
      </c>
    </row>
    <row r="1521" spans="17:18">
      <c r="Q1521" s="274">
        <f t="shared" si="46"/>
        <v>0</v>
      </c>
      <c r="R1521" s="274">
        <f t="shared" si="47"/>
        <v>0</v>
      </c>
    </row>
    <row r="1522" spans="17:18">
      <c r="Q1522" s="274">
        <f t="shared" si="46"/>
        <v>0</v>
      </c>
      <c r="R1522" s="274">
        <f t="shared" si="47"/>
        <v>0</v>
      </c>
    </row>
    <row r="1523" spans="17:18">
      <c r="Q1523" s="274">
        <f t="shared" si="46"/>
        <v>0</v>
      </c>
      <c r="R1523" s="274">
        <f t="shared" si="47"/>
        <v>0</v>
      </c>
    </row>
    <row r="1524" spans="17:18">
      <c r="Q1524" s="274">
        <f t="shared" si="46"/>
        <v>0</v>
      </c>
      <c r="R1524" s="274">
        <f t="shared" si="47"/>
        <v>0</v>
      </c>
    </row>
    <row r="1525" spans="17:18">
      <c r="Q1525" s="274">
        <f t="shared" si="46"/>
        <v>0</v>
      </c>
      <c r="R1525" s="274">
        <f t="shared" si="47"/>
        <v>0</v>
      </c>
    </row>
    <row r="1526" spans="17:18">
      <c r="Q1526" s="274">
        <f t="shared" si="46"/>
        <v>0</v>
      </c>
      <c r="R1526" s="274">
        <f t="shared" si="47"/>
        <v>0</v>
      </c>
    </row>
    <row r="1527" spans="17:18">
      <c r="Q1527" s="274">
        <f t="shared" si="46"/>
        <v>0</v>
      </c>
      <c r="R1527" s="274">
        <f t="shared" si="47"/>
        <v>0</v>
      </c>
    </row>
    <row r="1528" spans="17:18">
      <c r="Q1528" s="274">
        <f t="shared" si="46"/>
        <v>0</v>
      </c>
      <c r="R1528" s="274">
        <f t="shared" si="47"/>
        <v>0</v>
      </c>
    </row>
    <row r="1529" spans="17:18">
      <c r="Q1529" s="274">
        <f t="shared" si="46"/>
        <v>0</v>
      </c>
      <c r="R1529" s="274">
        <f t="shared" si="47"/>
        <v>0</v>
      </c>
    </row>
    <row r="1530" spans="17:18">
      <c r="Q1530" s="274">
        <f t="shared" si="46"/>
        <v>0</v>
      </c>
      <c r="R1530" s="274">
        <f t="shared" si="47"/>
        <v>0</v>
      </c>
    </row>
    <row r="1531" spans="17:18">
      <c r="Q1531" s="274">
        <f t="shared" si="46"/>
        <v>0</v>
      </c>
      <c r="R1531" s="274">
        <f t="shared" si="47"/>
        <v>0</v>
      </c>
    </row>
    <row r="1532" spans="17:18">
      <c r="Q1532" s="274">
        <f t="shared" si="46"/>
        <v>0</v>
      </c>
      <c r="R1532" s="274">
        <f t="shared" si="47"/>
        <v>0</v>
      </c>
    </row>
    <row r="1533" spans="17:18">
      <c r="Q1533" s="274">
        <f t="shared" si="46"/>
        <v>0</v>
      </c>
      <c r="R1533" s="274">
        <f t="shared" si="47"/>
        <v>0</v>
      </c>
    </row>
    <row r="1534" spans="17:18">
      <c r="Q1534" s="274">
        <f t="shared" si="46"/>
        <v>0</v>
      </c>
      <c r="R1534" s="274">
        <f t="shared" si="47"/>
        <v>0</v>
      </c>
    </row>
    <row r="1535" spans="17:18">
      <c r="Q1535" s="274">
        <f t="shared" si="46"/>
        <v>0</v>
      </c>
      <c r="R1535" s="274">
        <f t="shared" si="47"/>
        <v>0</v>
      </c>
    </row>
    <row r="1536" spans="17:18">
      <c r="Q1536" s="274">
        <f t="shared" si="46"/>
        <v>0</v>
      </c>
      <c r="R1536" s="274">
        <f t="shared" si="47"/>
        <v>0</v>
      </c>
    </row>
    <row r="1537" spans="17:18">
      <c r="Q1537" s="274">
        <f t="shared" si="46"/>
        <v>0</v>
      </c>
      <c r="R1537" s="274">
        <f t="shared" si="47"/>
        <v>0</v>
      </c>
    </row>
    <row r="1538" spans="17:18">
      <c r="Q1538" s="274">
        <f t="shared" ref="Q1538:Q1601" si="48">IF($J1540=$A$21,IF($M1540=$A$16,$L1540,0),0)</f>
        <v>0</v>
      </c>
      <c r="R1538" s="274">
        <f t="shared" ref="R1538:R1601" si="49">IF($J1540=$A$22,IF($M1540=$A$16,$L1540,0),0)</f>
        <v>0</v>
      </c>
    </row>
    <row r="1539" spans="17:18">
      <c r="Q1539" s="274">
        <f t="shared" si="48"/>
        <v>0</v>
      </c>
      <c r="R1539" s="274">
        <f t="shared" si="49"/>
        <v>0</v>
      </c>
    </row>
    <row r="1540" spans="17:18">
      <c r="Q1540" s="274">
        <f t="shared" si="48"/>
        <v>0</v>
      </c>
      <c r="R1540" s="274">
        <f t="shared" si="49"/>
        <v>0</v>
      </c>
    </row>
    <row r="1541" spans="17:18">
      <c r="Q1541" s="274">
        <f t="shared" si="48"/>
        <v>0</v>
      </c>
      <c r="R1541" s="274">
        <f t="shared" si="49"/>
        <v>0</v>
      </c>
    </row>
    <row r="1542" spans="17:18">
      <c r="Q1542" s="274">
        <f t="shared" si="48"/>
        <v>0</v>
      </c>
      <c r="R1542" s="274">
        <f t="shared" si="49"/>
        <v>0</v>
      </c>
    </row>
    <row r="1543" spans="17:18">
      <c r="Q1543" s="274">
        <f t="shared" si="48"/>
        <v>0</v>
      </c>
      <c r="R1543" s="274">
        <f t="shared" si="49"/>
        <v>0</v>
      </c>
    </row>
    <row r="1544" spans="17:18">
      <c r="Q1544" s="274">
        <f t="shared" si="48"/>
        <v>0</v>
      </c>
      <c r="R1544" s="274">
        <f t="shared" si="49"/>
        <v>0</v>
      </c>
    </row>
    <row r="1545" spans="17:18">
      <c r="Q1545" s="274">
        <f t="shared" si="48"/>
        <v>0</v>
      </c>
      <c r="R1545" s="274">
        <f t="shared" si="49"/>
        <v>0</v>
      </c>
    </row>
    <row r="1546" spans="17:18">
      <c r="Q1546" s="274">
        <f t="shared" si="48"/>
        <v>0</v>
      </c>
      <c r="R1546" s="274">
        <f t="shared" si="49"/>
        <v>0</v>
      </c>
    </row>
    <row r="1547" spans="17:18">
      <c r="Q1547" s="274">
        <f t="shared" si="48"/>
        <v>0</v>
      </c>
      <c r="R1547" s="274">
        <f t="shared" si="49"/>
        <v>0</v>
      </c>
    </row>
    <row r="1548" spans="17:18">
      <c r="Q1548" s="274">
        <f t="shared" si="48"/>
        <v>0</v>
      </c>
      <c r="R1548" s="274">
        <f t="shared" si="49"/>
        <v>0</v>
      </c>
    </row>
    <row r="1549" spans="17:18">
      <c r="Q1549" s="274">
        <f t="shared" si="48"/>
        <v>0</v>
      </c>
      <c r="R1549" s="274">
        <f t="shared" si="49"/>
        <v>0</v>
      </c>
    </row>
    <row r="1550" spans="17:18">
      <c r="Q1550" s="274">
        <f t="shared" si="48"/>
        <v>0</v>
      </c>
      <c r="R1550" s="274">
        <f t="shared" si="49"/>
        <v>0</v>
      </c>
    </row>
    <row r="1551" spans="17:18">
      <c r="Q1551" s="274">
        <f t="shared" si="48"/>
        <v>0</v>
      </c>
      <c r="R1551" s="274">
        <f t="shared" si="49"/>
        <v>0</v>
      </c>
    </row>
    <row r="1552" spans="17:18">
      <c r="Q1552" s="274">
        <f t="shared" si="48"/>
        <v>0</v>
      </c>
      <c r="R1552" s="274">
        <f t="shared" si="49"/>
        <v>0</v>
      </c>
    </row>
    <row r="1553" spans="17:18">
      <c r="Q1553" s="274">
        <f t="shared" si="48"/>
        <v>0</v>
      </c>
      <c r="R1553" s="274">
        <f t="shared" si="49"/>
        <v>0</v>
      </c>
    </row>
    <row r="1554" spans="17:18">
      <c r="Q1554" s="274">
        <f t="shared" si="48"/>
        <v>0</v>
      </c>
      <c r="R1554" s="274">
        <f t="shared" si="49"/>
        <v>0</v>
      </c>
    </row>
    <row r="1555" spans="17:18">
      <c r="Q1555" s="274">
        <f t="shared" si="48"/>
        <v>0</v>
      </c>
      <c r="R1555" s="274">
        <f t="shared" si="49"/>
        <v>0</v>
      </c>
    </row>
    <row r="1556" spans="17:18">
      <c r="Q1556" s="274">
        <f t="shared" si="48"/>
        <v>0</v>
      </c>
      <c r="R1556" s="274">
        <f t="shared" si="49"/>
        <v>0</v>
      </c>
    </row>
    <row r="1557" spans="17:18">
      <c r="Q1557" s="274">
        <f t="shared" si="48"/>
        <v>0</v>
      </c>
      <c r="R1557" s="274">
        <f t="shared" si="49"/>
        <v>0</v>
      </c>
    </row>
    <row r="1558" spans="17:18">
      <c r="Q1558" s="274">
        <f t="shared" si="48"/>
        <v>0</v>
      </c>
      <c r="R1558" s="274">
        <f t="shared" si="49"/>
        <v>0</v>
      </c>
    </row>
    <row r="1559" spans="17:18">
      <c r="Q1559" s="274">
        <f t="shared" si="48"/>
        <v>0</v>
      </c>
      <c r="R1559" s="274">
        <f t="shared" si="49"/>
        <v>0</v>
      </c>
    </row>
    <row r="1560" spans="17:18">
      <c r="Q1560" s="274">
        <f t="shared" si="48"/>
        <v>0</v>
      </c>
      <c r="R1560" s="274">
        <f t="shared" si="49"/>
        <v>0</v>
      </c>
    </row>
    <row r="1561" spans="17:18">
      <c r="Q1561" s="274">
        <f t="shared" si="48"/>
        <v>0</v>
      </c>
      <c r="R1561" s="274">
        <f t="shared" si="49"/>
        <v>0</v>
      </c>
    </row>
    <row r="1562" spans="17:18">
      <c r="Q1562" s="274">
        <f t="shared" si="48"/>
        <v>0</v>
      </c>
      <c r="R1562" s="274">
        <f t="shared" si="49"/>
        <v>0</v>
      </c>
    </row>
    <row r="1563" spans="17:18">
      <c r="Q1563" s="274">
        <f t="shared" si="48"/>
        <v>0</v>
      </c>
      <c r="R1563" s="274">
        <f t="shared" si="49"/>
        <v>0</v>
      </c>
    </row>
    <row r="1564" spans="17:18">
      <c r="Q1564" s="274">
        <f t="shared" si="48"/>
        <v>0</v>
      </c>
      <c r="R1564" s="274">
        <f t="shared" si="49"/>
        <v>0</v>
      </c>
    </row>
    <row r="1565" spans="17:18">
      <c r="Q1565" s="274">
        <f t="shared" si="48"/>
        <v>0</v>
      </c>
      <c r="R1565" s="274">
        <f t="shared" si="49"/>
        <v>0</v>
      </c>
    </row>
    <row r="1566" spans="17:18">
      <c r="Q1566" s="274">
        <f t="shared" si="48"/>
        <v>0</v>
      </c>
      <c r="R1566" s="274">
        <f t="shared" si="49"/>
        <v>0</v>
      </c>
    </row>
    <row r="1567" spans="17:18">
      <c r="Q1567" s="274">
        <f t="shared" si="48"/>
        <v>0</v>
      </c>
      <c r="R1567" s="274">
        <f t="shared" si="49"/>
        <v>0</v>
      </c>
    </row>
    <row r="1568" spans="17:18">
      <c r="Q1568" s="274">
        <f t="shared" si="48"/>
        <v>0</v>
      </c>
      <c r="R1568" s="274">
        <f t="shared" si="49"/>
        <v>0</v>
      </c>
    </row>
    <row r="1569" spans="17:18">
      <c r="Q1569" s="274">
        <f t="shared" si="48"/>
        <v>0</v>
      </c>
      <c r="R1569" s="274">
        <f t="shared" si="49"/>
        <v>0</v>
      </c>
    </row>
    <row r="1570" spans="17:18">
      <c r="Q1570" s="274">
        <f t="shared" si="48"/>
        <v>0</v>
      </c>
      <c r="R1570" s="274">
        <f t="shared" si="49"/>
        <v>0</v>
      </c>
    </row>
    <row r="1571" spans="17:18">
      <c r="Q1571" s="274">
        <f t="shared" si="48"/>
        <v>0</v>
      </c>
      <c r="R1571" s="274">
        <f t="shared" si="49"/>
        <v>0</v>
      </c>
    </row>
    <row r="1572" spans="17:18">
      <c r="Q1572" s="274">
        <f t="shared" si="48"/>
        <v>0</v>
      </c>
      <c r="R1572" s="274">
        <f t="shared" si="49"/>
        <v>0</v>
      </c>
    </row>
    <row r="1573" spans="17:18">
      <c r="Q1573" s="274">
        <f t="shared" si="48"/>
        <v>0</v>
      </c>
      <c r="R1573" s="274">
        <f t="shared" si="49"/>
        <v>0</v>
      </c>
    </row>
    <row r="1574" spans="17:18">
      <c r="Q1574" s="274">
        <f t="shared" si="48"/>
        <v>0</v>
      </c>
      <c r="R1574" s="274">
        <f t="shared" si="49"/>
        <v>0</v>
      </c>
    </row>
    <row r="1575" spans="17:18">
      <c r="Q1575" s="274">
        <f t="shared" si="48"/>
        <v>0</v>
      </c>
      <c r="R1575" s="274">
        <f t="shared" si="49"/>
        <v>0</v>
      </c>
    </row>
    <row r="1576" spans="17:18">
      <c r="Q1576" s="274">
        <f t="shared" si="48"/>
        <v>0</v>
      </c>
      <c r="R1576" s="274">
        <f t="shared" si="49"/>
        <v>0</v>
      </c>
    </row>
    <row r="1577" spans="17:18">
      <c r="Q1577" s="274">
        <f t="shared" si="48"/>
        <v>0</v>
      </c>
      <c r="R1577" s="274">
        <f t="shared" si="49"/>
        <v>0</v>
      </c>
    </row>
    <row r="1578" spans="17:18">
      <c r="Q1578" s="274">
        <f t="shared" si="48"/>
        <v>0</v>
      </c>
      <c r="R1578" s="274">
        <f t="shared" si="49"/>
        <v>0</v>
      </c>
    </row>
    <row r="1579" spans="17:18">
      <c r="Q1579" s="274">
        <f t="shared" si="48"/>
        <v>0</v>
      </c>
      <c r="R1579" s="274">
        <f t="shared" si="49"/>
        <v>0</v>
      </c>
    </row>
    <row r="1580" spans="17:18">
      <c r="Q1580" s="274">
        <f t="shared" si="48"/>
        <v>0</v>
      </c>
      <c r="R1580" s="274">
        <f t="shared" si="49"/>
        <v>0</v>
      </c>
    </row>
    <row r="1581" spans="17:18">
      <c r="Q1581" s="274">
        <f t="shared" si="48"/>
        <v>0</v>
      </c>
      <c r="R1581" s="274">
        <f t="shared" si="49"/>
        <v>0</v>
      </c>
    </row>
    <row r="1582" spans="17:18">
      <c r="Q1582" s="274">
        <f t="shared" si="48"/>
        <v>0</v>
      </c>
      <c r="R1582" s="274">
        <f t="shared" si="49"/>
        <v>0</v>
      </c>
    </row>
    <row r="1583" spans="17:18">
      <c r="Q1583" s="274">
        <f t="shared" si="48"/>
        <v>0</v>
      </c>
      <c r="R1583" s="274">
        <f t="shared" si="49"/>
        <v>0</v>
      </c>
    </row>
    <row r="1584" spans="17:18">
      <c r="Q1584" s="274">
        <f t="shared" si="48"/>
        <v>0</v>
      </c>
      <c r="R1584" s="274">
        <f t="shared" si="49"/>
        <v>0</v>
      </c>
    </row>
    <row r="1585" spans="17:18">
      <c r="Q1585" s="274">
        <f t="shared" si="48"/>
        <v>0</v>
      </c>
      <c r="R1585" s="274">
        <f t="shared" si="49"/>
        <v>0</v>
      </c>
    </row>
    <row r="1586" spans="17:18">
      <c r="Q1586" s="274">
        <f t="shared" si="48"/>
        <v>0</v>
      </c>
      <c r="R1586" s="274">
        <f t="shared" si="49"/>
        <v>0</v>
      </c>
    </row>
    <row r="1587" spans="17:18">
      <c r="Q1587" s="274">
        <f t="shared" si="48"/>
        <v>0</v>
      </c>
      <c r="R1587" s="274">
        <f t="shared" si="49"/>
        <v>0</v>
      </c>
    </row>
    <row r="1588" spans="17:18">
      <c r="Q1588" s="274">
        <f t="shared" si="48"/>
        <v>0</v>
      </c>
      <c r="R1588" s="274">
        <f t="shared" si="49"/>
        <v>0</v>
      </c>
    </row>
    <row r="1589" spans="17:18">
      <c r="Q1589" s="274">
        <f t="shared" si="48"/>
        <v>0</v>
      </c>
      <c r="R1589" s="274">
        <f t="shared" si="49"/>
        <v>0</v>
      </c>
    </row>
    <row r="1590" spans="17:18">
      <c r="Q1590" s="274">
        <f t="shared" si="48"/>
        <v>0</v>
      </c>
      <c r="R1590" s="274">
        <f t="shared" si="49"/>
        <v>0</v>
      </c>
    </row>
    <row r="1591" spans="17:18">
      <c r="Q1591" s="274">
        <f t="shared" si="48"/>
        <v>0</v>
      </c>
      <c r="R1591" s="274">
        <f t="shared" si="49"/>
        <v>0</v>
      </c>
    </row>
    <row r="1592" spans="17:18">
      <c r="Q1592" s="274">
        <f t="shared" si="48"/>
        <v>0</v>
      </c>
      <c r="R1592" s="274">
        <f t="shared" si="49"/>
        <v>0</v>
      </c>
    </row>
    <row r="1593" spans="17:18">
      <c r="Q1593" s="274">
        <f t="shared" si="48"/>
        <v>0</v>
      </c>
      <c r="R1593" s="274">
        <f t="shared" si="49"/>
        <v>0</v>
      </c>
    </row>
    <row r="1594" spans="17:18">
      <c r="Q1594" s="274">
        <f t="shared" si="48"/>
        <v>0</v>
      </c>
      <c r="R1594" s="274">
        <f t="shared" si="49"/>
        <v>0</v>
      </c>
    </row>
    <row r="1595" spans="17:18">
      <c r="Q1595" s="274">
        <f t="shared" si="48"/>
        <v>0</v>
      </c>
      <c r="R1595" s="274">
        <f t="shared" si="49"/>
        <v>0</v>
      </c>
    </row>
    <row r="1596" spans="17:18">
      <c r="Q1596" s="274">
        <f t="shared" si="48"/>
        <v>0</v>
      </c>
      <c r="R1596" s="274">
        <f t="shared" si="49"/>
        <v>0</v>
      </c>
    </row>
    <row r="1597" spans="17:18">
      <c r="Q1597" s="274">
        <f t="shared" si="48"/>
        <v>0</v>
      </c>
      <c r="R1597" s="274">
        <f t="shared" si="49"/>
        <v>0</v>
      </c>
    </row>
    <row r="1598" spans="17:18">
      <c r="Q1598" s="274">
        <f t="shared" si="48"/>
        <v>0</v>
      </c>
      <c r="R1598" s="274">
        <f t="shared" si="49"/>
        <v>0</v>
      </c>
    </row>
    <row r="1599" spans="17:18">
      <c r="Q1599" s="274">
        <f t="shared" si="48"/>
        <v>0</v>
      </c>
      <c r="R1599" s="274">
        <f t="shared" si="49"/>
        <v>0</v>
      </c>
    </row>
    <row r="1600" spans="17:18">
      <c r="Q1600" s="274">
        <f t="shared" si="48"/>
        <v>0</v>
      </c>
      <c r="R1600" s="274">
        <f t="shared" si="49"/>
        <v>0</v>
      </c>
    </row>
    <row r="1601" spans="17:18">
      <c r="Q1601" s="274">
        <f t="shared" si="48"/>
        <v>0</v>
      </c>
      <c r="R1601" s="274">
        <f t="shared" si="49"/>
        <v>0</v>
      </c>
    </row>
    <row r="1602" spans="17:18">
      <c r="Q1602" s="274">
        <f t="shared" ref="Q1602:Q1665" si="50">IF($J1604=$A$21,IF($M1604=$A$16,$L1604,0),0)</f>
        <v>0</v>
      </c>
      <c r="R1602" s="274">
        <f t="shared" ref="R1602:R1665" si="51">IF($J1604=$A$22,IF($M1604=$A$16,$L1604,0),0)</f>
        <v>0</v>
      </c>
    </row>
    <row r="1603" spans="17:18">
      <c r="Q1603" s="274">
        <f t="shared" si="50"/>
        <v>0</v>
      </c>
      <c r="R1603" s="274">
        <f t="shared" si="51"/>
        <v>0</v>
      </c>
    </row>
    <row r="1604" spans="17:18">
      <c r="Q1604" s="274">
        <f t="shared" si="50"/>
        <v>0</v>
      </c>
      <c r="R1604" s="274">
        <f t="shared" si="51"/>
        <v>0</v>
      </c>
    </row>
    <row r="1605" spans="17:18">
      <c r="Q1605" s="274">
        <f t="shared" si="50"/>
        <v>0</v>
      </c>
      <c r="R1605" s="274">
        <f t="shared" si="51"/>
        <v>0</v>
      </c>
    </row>
    <row r="1606" spans="17:18">
      <c r="Q1606" s="274">
        <f t="shared" si="50"/>
        <v>0</v>
      </c>
      <c r="R1606" s="274">
        <f t="shared" si="51"/>
        <v>0</v>
      </c>
    </row>
    <row r="1607" spans="17:18">
      <c r="Q1607" s="274">
        <f t="shared" si="50"/>
        <v>0</v>
      </c>
      <c r="R1607" s="274">
        <f t="shared" si="51"/>
        <v>0</v>
      </c>
    </row>
    <row r="1608" spans="17:18">
      <c r="Q1608" s="274">
        <f t="shared" si="50"/>
        <v>0</v>
      </c>
      <c r="R1608" s="274">
        <f t="shared" si="51"/>
        <v>0</v>
      </c>
    </row>
    <row r="1609" spans="17:18">
      <c r="Q1609" s="274">
        <f t="shared" si="50"/>
        <v>0</v>
      </c>
      <c r="R1609" s="274">
        <f t="shared" si="51"/>
        <v>0</v>
      </c>
    </row>
    <row r="1610" spans="17:18">
      <c r="Q1610" s="274">
        <f t="shared" si="50"/>
        <v>0</v>
      </c>
      <c r="R1610" s="274">
        <f t="shared" si="51"/>
        <v>0</v>
      </c>
    </row>
    <row r="1611" spans="17:18">
      <c r="Q1611" s="274">
        <f t="shared" si="50"/>
        <v>0</v>
      </c>
      <c r="R1611" s="274">
        <f t="shared" si="51"/>
        <v>0</v>
      </c>
    </row>
    <row r="1612" spans="17:18">
      <c r="Q1612" s="274">
        <f t="shared" si="50"/>
        <v>0</v>
      </c>
      <c r="R1612" s="274">
        <f t="shared" si="51"/>
        <v>0</v>
      </c>
    </row>
    <row r="1613" spans="17:18">
      <c r="Q1613" s="274">
        <f t="shared" si="50"/>
        <v>0</v>
      </c>
      <c r="R1613" s="274">
        <f t="shared" si="51"/>
        <v>0</v>
      </c>
    </row>
    <row r="1614" spans="17:18">
      <c r="Q1614" s="274">
        <f t="shared" si="50"/>
        <v>0</v>
      </c>
      <c r="R1614" s="274">
        <f t="shared" si="51"/>
        <v>0</v>
      </c>
    </row>
    <row r="1615" spans="17:18">
      <c r="Q1615" s="274">
        <f t="shared" si="50"/>
        <v>0</v>
      </c>
      <c r="R1615" s="274">
        <f t="shared" si="51"/>
        <v>0</v>
      </c>
    </row>
    <row r="1616" spans="17:18">
      <c r="Q1616" s="274">
        <f t="shared" si="50"/>
        <v>0</v>
      </c>
      <c r="R1616" s="274">
        <f t="shared" si="51"/>
        <v>0</v>
      </c>
    </row>
    <row r="1617" spans="17:18">
      <c r="Q1617" s="274">
        <f t="shared" si="50"/>
        <v>0</v>
      </c>
      <c r="R1617" s="274">
        <f t="shared" si="51"/>
        <v>0</v>
      </c>
    </row>
    <row r="1618" spans="17:18">
      <c r="Q1618" s="274">
        <f t="shared" si="50"/>
        <v>0</v>
      </c>
      <c r="R1618" s="274">
        <f t="shared" si="51"/>
        <v>0</v>
      </c>
    </row>
    <row r="1619" spans="17:18">
      <c r="Q1619" s="274">
        <f t="shared" si="50"/>
        <v>0</v>
      </c>
      <c r="R1619" s="274">
        <f t="shared" si="51"/>
        <v>0</v>
      </c>
    </row>
    <row r="1620" spans="17:18">
      <c r="Q1620" s="274">
        <f t="shared" si="50"/>
        <v>0</v>
      </c>
      <c r="R1620" s="274">
        <f t="shared" si="51"/>
        <v>0</v>
      </c>
    </row>
    <row r="1621" spans="17:18">
      <c r="Q1621" s="274">
        <f t="shared" si="50"/>
        <v>0</v>
      </c>
      <c r="R1621" s="274">
        <f t="shared" si="51"/>
        <v>0</v>
      </c>
    </row>
    <row r="1622" spans="17:18">
      <c r="Q1622" s="274">
        <f t="shared" si="50"/>
        <v>0</v>
      </c>
      <c r="R1622" s="274">
        <f t="shared" si="51"/>
        <v>0</v>
      </c>
    </row>
    <row r="1623" spans="17:18">
      <c r="Q1623" s="274">
        <f t="shared" si="50"/>
        <v>0</v>
      </c>
      <c r="R1623" s="274">
        <f t="shared" si="51"/>
        <v>0</v>
      </c>
    </row>
    <row r="1624" spans="17:18">
      <c r="Q1624" s="274">
        <f t="shared" si="50"/>
        <v>0</v>
      </c>
      <c r="R1624" s="274">
        <f t="shared" si="51"/>
        <v>0</v>
      </c>
    </row>
    <row r="1625" spans="17:18">
      <c r="Q1625" s="274">
        <f t="shared" si="50"/>
        <v>0</v>
      </c>
      <c r="R1625" s="274">
        <f t="shared" si="51"/>
        <v>0</v>
      </c>
    </row>
    <row r="1626" spans="17:18">
      <c r="Q1626" s="274">
        <f t="shared" si="50"/>
        <v>0</v>
      </c>
      <c r="R1626" s="274">
        <f t="shared" si="51"/>
        <v>0</v>
      </c>
    </row>
    <row r="1627" spans="17:18">
      <c r="Q1627" s="274">
        <f t="shared" si="50"/>
        <v>0</v>
      </c>
      <c r="R1627" s="274">
        <f t="shared" si="51"/>
        <v>0</v>
      </c>
    </row>
    <row r="1628" spans="17:18">
      <c r="Q1628" s="274">
        <f t="shared" si="50"/>
        <v>0</v>
      </c>
      <c r="R1628" s="274">
        <f t="shared" si="51"/>
        <v>0</v>
      </c>
    </row>
    <row r="1629" spans="17:18">
      <c r="Q1629" s="274">
        <f t="shared" si="50"/>
        <v>0</v>
      </c>
      <c r="R1629" s="274">
        <f t="shared" si="51"/>
        <v>0</v>
      </c>
    </row>
    <row r="1630" spans="17:18">
      <c r="Q1630" s="274">
        <f t="shared" si="50"/>
        <v>0</v>
      </c>
      <c r="R1630" s="274">
        <f t="shared" si="51"/>
        <v>0</v>
      </c>
    </row>
    <row r="1631" spans="17:18">
      <c r="Q1631" s="274">
        <f t="shared" si="50"/>
        <v>0</v>
      </c>
      <c r="R1631" s="274">
        <f t="shared" si="51"/>
        <v>0</v>
      </c>
    </row>
    <row r="1632" spans="17:18">
      <c r="Q1632" s="274">
        <f t="shared" si="50"/>
        <v>0</v>
      </c>
      <c r="R1632" s="274">
        <f t="shared" si="51"/>
        <v>0</v>
      </c>
    </row>
    <row r="1633" spans="17:18">
      <c r="Q1633" s="274">
        <f t="shared" si="50"/>
        <v>0</v>
      </c>
      <c r="R1633" s="274">
        <f t="shared" si="51"/>
        <v>0</v>
      </c>
    </row>
    <row r="1634" spans="17:18">
      <c r="Q1634" s="274">
        <f t="shared" si="50"/>
        <v>0</v>
      </c>
      <c r="R1634" s="274">
        <f t="shared" si="51"/>
        <v>0</v>
      </c>
    </row>
    <row r="1635" spans="17:18">
      <c r="Q1635" s="274">
        <f t="shared" si="50"/>
        <v>0</v>
      </c>
      <c r="R1635" s="274">
        <f t="shared" si="51"/>
        <v>0</v>
      </c>
    </row>
    <row r="1636" spans="17:18">
      <c r="Q1636" s="274">
        <f t="shared" si="50"/>
        <v>0</v>
      </c>
      <c r="R1636" s="274">
        <f t="shared" si="51"/>
        <v>0</v>
      </c>
    </row>
    <row r="1637" spans="17:18">
      <c r="Q1637" s="274">
        <f t="shared" si="50"/>
        <v>0</v>
      </c>
      <c r="R1637" s="274">
        <f t="shared" si="51"/>
        <v>0</v>
      </c>
    </row>
    <row r="1638" spans="17:18">
      <c r="Q1638" s="274">
        <f t="shared" si="50"/>
        <v>0</v>
      </c>
      <c r="R1638" s="274">
        <f t="shared" si="51"/>
        <v>0</v>
      </c>
    </row>
    <row r="1639" spans="17:18">
      <c r="Q1639" s="274">
        <f t="shared" si="50"/>
        <v>0</v>
      </c>
      <c r="R1639" s="274">
        <f t="shared" si="51"/>
        <v>0</v>
      </c>
    </row>
    <row r="1640" spans="17:18">
      <c r="Q1640" s="274">
        <f t="shared" si="50"/>
        <v>0</v>
      </c>
      <c r="R1640" s="274">
        <f t="shared" si="51"/>
        <v>0</v>
      </c>
    </row>
    <row r="1641" spans="17:18">
      <c r="Q1641" s="274">
        <f t="shared" si="50"/>
        <v>0</v>
      </c>
      <c r="R1641" s="274">
        <f t="shared" si="51"/>
        <v>0</v>
      </c>
    </row>
    <row r="1642" spans="17:18">
      <c r="Q1642" s="274">
        <f t="shared" si="50"/>
        <v>0</v>
      </c>
      <c r="R1642" s="274">
        <f t="shared" si="51"/>
        <v>0</v>
      </c>
    </row>
    <row r="1643" spans="17:18">
      <c r="Q1643" s="274">
        <f t="shared" si="50"/>
        <v>0</v>
      </c>
      <c r="R1643" s="274">
        <f t="shared" si="51"/>
        <v>0</v>
      </c>
    </row>
    <row r="1644" spans="17:18">
      <c r="Q1644" s="274">
        <f t="shared" si="50"/>
        <v>0</v>
      </c>
      <c r="R1644" s="274">
        <f t="shared" si="51"/>
        <v>0</v>
      </c>
    </row>
    <row r="1645" spans="17:18">
      <c r="Q1645" s="274">
        <f t="shared" si="50"/>
        <v>0</v>
      </c>
      <c r="R1645" s="274">
        <f t="shared" si="51"/>
        <v>0</v>
      </c>
    </row>
    <row r="1646" spans="17:18">
      <c r="Q1646" s="274">
        <f t="shared" si="50"/>
        <v>0</v>
      </c>
      <c r="R1646" s="274">
        <f t="shared" si="51"/>
        <v>0</v>
      </c>
    </row>
    <row r="1647" spans="17:18">
      <c r="Q1647" s="274">
        <f t="shared" si="50"/>
        <v>0</v>
      </c>
      <c r="R1647" s="274">
        <f t="shared" si="51"/>
        <v>0</v>
      </c>
    </row>
    <row r="1648" spans="17:18">
      <c r="Q1648" s="274">
        <f t="shared" si="50"/>
        <v>0</v>
      </c>
      <c r="R1648" s="274">
        <f t="shared" si="51"/>
        <v>0</v>
      </c>
    </row>
    <row r="1649" spans="17:18">
      <c r="Q1649" s="274">
        <f t="shared" si="50"/>
        <v>0</v>
      </c>
      <c r="R1649" s="274">
        <f t="shared" si="51"/>
        <v>0</v>
      </c>
    </row>
    <row r="1650" spans="17:18">
      <c r="Q1650" s="274">
        <f t="shared" si="50"/>
        <v>0</v>
      </c>
      <c r="R1650" s="274">
        <f t="shared" si="51"/>
        <v>0</v>
      </c>
    </row>
    <row r="1651" spans="17:18">
      <c r="Q1651" s="274">
        <f t="shared" si="50"/>
        <v>0</v>
      </c>
      <c r="R1651" s="274">
        <f t="shared" si="51"/>
        <v>0</v>
      </c>
    </row>
    <row r="1652" spans="17:18">
      <c r="Q1652" s="274">
        <f t="shared" si="50"/>
        <v>0</v>
      </c>
      <c r="R1652" s="274">
        <f t="shared" si="51"/>
        <v>0</v>
      </c>
    </row>
    <row r="1653" spans="17:18">
      <c r="Q1653" s="274">
        <f t="shared" si="50"/>
        <v>0</v>
      </c>
      <c r="R1653" s="274">
        <f t="shared" si="51"/>
        <v>0</v>
      </c>
    </row>
    <row r="1654" spans="17:18">
      <c r="Q1654" s="274">
        <f t="shared" si="50"/>
        <v>0</v>
      </c>
      <c r="R1654" s="274">
        <f t="shared" si="51"/>
        <v>0</v>
      </c>
    </row>
    <row r="1655" spans="17:18">
      <c r="Q1655" s="274">
        <f t="shared" si="50"/>
        <v>0</v>
      </c>
      <c r="R1655" s="274">
        <f t="shared" si="51"/>
        <v>0</v>
      </c>
    </row>
    <row r="1656" spans="17:18">
      <c r="Q1656" s="274">
        <f t="shared" si="50"/>
        <v>0</v>
      </c>
      <c r="R1656" s="274">
        <f t="shared" si="51"/>
        <v>0</v>
      </c>
    </row>
    <row r="1657" spans="17:18">
      <c r="Q1657" s="274">
        <f t="shared" si="50"/>
        <v>0</v>
      </c>
      <c r="R1657" s="274">
        <f t="shared" si="51"/>
        <v>0</v>
      </c>
    </row>
    <row r="1658" spans="17:18">
      <c r="Q1658" s="274">
        <f t="shared" si="50"/>
        <v>0</v>
      </c>
      <c r="R1658" s="274">
        <f t="shared" si="51"/>
        <v>0</v>
      </c>
    </row>
    <row r="1659" spans="17:18">
      <c r="Q1659" s="274">
        <f t="shared" si="50"/>
        <v>0</v>
      </c>
      <c r="R1659" s="274">
        <f t="shared" si="51"/>
        <v>0</v>
      </c>
    </row>
    <row r="1660" spans="17:18">
      <c r="Q1660" s="274">
        <f t="shared" si="50"/>
        <v>0</v>
      </c>
      <c r="R1660" s="274">
        <f t="shared" si="51"/>
        <v>0</v>
      </c>
    </row>
    <row r="1661" spans="17:18">
      <c r="Q1661" s="274">
        <f t="shared" si="50"/>
        <v>0</v>
      </c>
      <c r="R1661" s="274">
        <f t="shared" si="51"/>
        <v>0</v>
      </c>
    </row>
    <row r="1662" spans="17:18">
      <c r="Q1662" s="274">
        <f t="shared" si="50"/>
        <v>0</v>
      </c>
      <c r="R1662" s="274">
        <f t="shared" si="51"/>
        <v>0</v>
      </c>
    </row>
    <row r="1663" spans="17:18">
      <c r="Q1663" s="274">
        <f t="shared" si="50"/>
        <v>0</v>
      </c>
      <c r="R1663" s="274">
        <f t="shared" si="51"/>
        <v>0</v>
      </c>
    </row>
    <row r="1664" spans="17:18">
      <c r="Q1664" s="274">
        <f t="shared" si="50"/>
        <v>0</v>
      </c>
      <c r="R1664" s="274">
        <f t="shared" si="51"/>
        <v>0</v>
      </c>
    </row>
    <row r="1665" spans="17:18">
      <c r="Q1665" s="274">
        <f t="shared" si="50"/>
        <v>0</v>
      </c>
      <c r="R1665" s="274">
        <f t="shared" si="51"/>
        <v>0</v>
      </c>
    </row>
    <row r="1666" spans="17:18">
      <c r="Q1666" s="274">
        <f t="shared" ref="Q1666:Q1729" si="52">IF($J1668=$A$21,IF($M1668=$A$16,$L1668,0),0)</f>
        <v>0</v>
      </c>
      <c r="R1666" s="274">
        <f t="shared" ref="R1666:R1729" si="53">IF($J1668=$A$22,IF($M1668=$A$16,$L1668,0),0)</f>
        <v>0</v>
      </c>
    </row>
    <row r="1667" spans="17:18">
      <c r="Q1667" s="274">
        <f t="shared" si="52"/>
        <v>0</v>
      </c>
      <c r="R1667" s="274">
        <f t="shared" si="53"/>
        <v>0</v>
      </c>
    </row>
    <row r="1668" spans="17:18">
      <c r="Q1668" s="274">
        <f t="shared" si="52"/>
        <v>0</v>
      </c>
      <c r="R1668" s="274">
        <f t="shared" si="53"/>
        <v>0</v>
      </c>
    </row>
    <row r="1669" spans="17:18">
      <c r="Q1669" s="274">
        <f t="shared" si="52"/>
        <v>0</v>
      </c>
      <c r="R1669" s="274">
        <f t="shared" si="53"/>
        <v>0</v>
      </c>
    </row>
    <row r="1670" spans="17:18">
      <c r="Q1670" s="274">
        <f t="shared" si="52"/>
        <v>0</v>
      </c>
      <c r="R1670" s="274">
        <f t="shared" si="53"/>
        <v>0</v>
      </c>
    </row>
    <row r="1671" spans="17:18">
      <c r="Q1671" s="274">
        <f t="shared" si="52"/>
        <v>0</v>
      </c>
      <c r="R1671" s="274">
        <f t="shared" si="53"/>
        <v>0</v>
      </c>
    </row>
    <row r="1672" spans="17:18">
      <c r="Q1672" s="274">
        <f t="shared" si="52"/>
        <v>0</v>
      </c>
      <c r="R1672" s="274">
        <f t="shared" si="53"/>
        <v>0</v>
      </c>
    </row>
    <row r="1673" spans="17:18">
      <c r="Q1673" s="274">
        <f t="shared" si="52"/>
        <v>0</v>
      </c>
      <c r="R1673" s="274">
        <f t="shared" si="53"/>
        <v>0</v>
      </c>
    </row>
    <row r="1674" spans="17:18">
      <c r="Q1674" s="274">
        <f t="shared" si="52"/>
        <v>0</v>
      </c>
      <c r="R1674" s="274">
        <f t="shared" si="53"/>
        <v>0</v>
      </c>
    </row>
    <row r="1675" spans="17:18">
      <c r="Q1675" s="274">
        <f t="shared" si="52"/>
        <v>0</v>
      </c>
      <c r="R1675" s="274">
        <f t="shared" si="53"/>
        <v>0</v>
      </c>
    </row>
    <row r="1676" spans="17:18">
      <c r="Q1676" s="274">
        <f t="shared" si="52"/>
        <v>0</v>
      </c>
      <c r="R1676" s="274">
        <f t="shared" si="53"/>
        <v>0</v>
      </c>
    </row>
    <row r="1677" spans="17:18">
      <c r="Q1677" s="274">
        <f t="shared" si="52"/>
        <v>0</v>
      </c>
      <c r="R1677" s="274">
        <f t="shared" si="53"/>
        <v>0</v>
      </c>
    </row>
    <row r="1678" spans="17:18">
      <c r="Q1678" s="274">
        <f t="shared" si="52"/>
        <v>0</v>
      </c>
      <c r="R1678" s="274">
        <f t="shared" si="53"/>
        <v>0</v>
      </c>
    </row>
    <row r="1679" spans="17:18">
      <c r="Q1679" s="274">
        <f t="shared" si="52"/>
        <v>0</v>
      </c>
      <c r="R1679" s="274">
        <f t="shared" si="53"/>
        <v>0</v>
      </c>
    </row>
    <row r="1680" spans="17:18">
      <c r="Q1680" s="274">
        <f t="shared" si="52"/>
        <v>0</v>
      </c>
      <c r="R1680" s="274">
        <f t="shared" si="53"/>
        <v>0</v>
      </c>
    </row>
    <row r="1681" spans="17:18">
      <c r="Q1681" s="274">
        <f t="shared" si="52"/>
        <v>0</v>
      </c>
      <c r="R1681" s="274">
        <f t="shared" si="53"/>
        <v>0</v>
      </c>
    </row>
    <row r="1682" spans="17:18">
      <c r="Q1682" s="274">
        <f t="shared" si="52"/>
        <v>0</v>
      </c>
      <c r="R1682" s="274">
        <f t="shared" si="53"/>
        <v>0</v>
      </c>
    </row>
    <row r="1683" spans="17:18">
      <c r="Q1683" s="274">
        <f t="shared" si="52"/>
        <v>0</v>
      </c>
      <c r="R1683" s="274">
        <f t="shared" si="53"/>
        <v>0</v>
      </c>
    </row>
    <row r="1684" spans="17:18">
      <c r="Q1684" s="274">
        <f t="shared" si="52"/>
        <v>0</v>
      </c>
      <c r="R1684" s="274">
        <f t="shared" si="53"/>
        <v>0</v>
      </c>
    </row>
    <row r="1685" spans="17:18">
      <c r="Q1685" s="274">
        <f t="shared" si="52"/>
        <v>0</v>
      </c>
      <c r="R1685" s="274">
        <f t="shared" si="53"/>
        <v>0</v>
      </c>
    </row>
    <row r="1686" spans="17:18">
      <c r="Q1686" s="274">
        <f t="shared" si="52"/>
        <v>0</v>
      </c>
      <c r="R1686" s="274">
        <f t="shared" si="53"/>
        <v>0</v>
      </c>
    </row>
    <row r="1687" spans="17:18">
      <c r="Q1687" s="274">
        <f t="shared" si="52"/>
        <v>0</v>
      </c>
      <c r="R1687" s="274">
        <f t="shared" si="53"/>
        <v>0</v>
      </c>
    </row>
    <row r="1688" spans="17:18">
      <c r="Q1688" s="274">
        <f t="shared" si="52"/>
        <v>0</v>
      </c>
      <c r="R1688" s="274">
        <f t="shared" si="53"/>
        <v>0</v>
      </c>
    </row>
    <row r="1689" spans="17:18">
      <c r="Q1689" s="274">
        <f t="shared" si="52"/>
        <v>0</v>
      </c>
      <c r="R1689" s="274">
        <f t="shared" si="53"/>
        <v>0</v>
      </c>
    </row>
    <row r="1690" spans="17:18">
      <c r="Q1690" s="274">
        <f t="shared" si="52"/>
        <v>0</v>
      </c>
      <c r="R1690" s="274">
        <f t="shared" si="53"/>
        <v>0</v>
      </c>
    </row>
    <row r="1691" spans="17:18">
      <c r="Q1691" s="274">
        <f t="shared" si="52"/>
        <v>0</v>
      </c>
      <c r="R1691" s="274">
        <f t="shared" si="53"/>
        <v>0</v>
      </c>
    </row>
    <row r="1692" spans="17:18">
      <c r="Q1692" s="274">
        <f t="shared" si="52"/>
        <v>0</v>
      </c>
      <c r="R1692" s="274">
        <f t="shared" si="53"/>
        <v>0</v>
      </c>
    </row>
    <row r="1693" spans="17:18">
      <c r="Q1693" s="274">
        <f t="shared" si="52"/>
        <v>0</v>
      </c>
      <c r="R1693" s="274">
        <f t="shared" si="53"/>
        <v>0</v>
      </c>
    </row>
    <row r="1694" spans="17:18">
      <c r="Q1694" s="274">
        <f t="shared" si="52"/>
        <v>0</v>
      </c>
      <c r="R1694" s="274">
        <f t="shared" si="53"/>
        <v>0</v>
      </c>
    </row>
    <row r="1695" spans="17:18">
      <c r="Q1695" s="274">
        <f t="shared" si="52"/>
        <v>0</v>
      </c>
      <c r="R1695" s="274">
        <f t="shared" si="53"/>
        <v>0</v>
      </c>
    </row>
    <row r="1696" spans="17:18">
      <c r="Q1696" s="274">
        <f t="shared" si="52"/>
        <v>0</v>
      </c>
      <c r="R1696" s="274">
        <f t="shared" si="53"/>
        <v>0</v>
      </c>
    </row>
    <row r="1697" spans="17:18">
      <c r="Q1697" s="274">
        <f t="shared" si="52"/>
        <v>0</v>
      </c>
      <c r="R1697" s="274">
        <f t="shared" si="53"/>
        <v>0</v>
      </c>
    </row>
    <row r="1698" spans="17:18">
      <c r="Q1698" s="274">
        <f t="shared" si="52"/>
        <v>0</v>
      </c>
      <c r="R1698" s="274">
        <f t="shared" si="53"/>
        <v>0</v>
      </c>
    </row>
    <row r="1699" spans="17:18">
      <c r="Q1699" s="274">
        <f t="shared" si="52"/>
        <v>0</v>
      </c>
      <c r="R1699" s="274">
        <f t="shared" si="53"/>
        <v>0</v>
      </c>
    </row>
    <row r="1700" spans="17:18">
      <c r="Q1700" s="274">
        <f t="shared" si="52"/>
        <v>0</v>
      </c>
      <c r="R1700" s="274">
        <f t="shared" si="53"/>
        <v>0</v>
      </c>
    </row>
    <row r="1701" spans="17:18">
      <c r="Q1701" s="274">
        <f t="shared" si="52"/>
        <v>0</v>
      </c>
      <c r="R1701" s="274">
        <f t="shared" si="53"/>
        <v>0</v>
      </c>
    </row>
    <row r="1702" spans="17:18">
      <c r="Q1702" s="274">
        <f t="shared" si="52"/>
        <v>0</v>
      </c>
      <c r="R1702" s="274">
        <f t="shared" si="53"/>
        <v>0</v>
      </c>
    </row>
    <row r="1703" spans="17:18">
      <c r="Q1703" s="274">
        <f t="shared" si="52"/>
        <v>0</v>
      </c>
      <c r="R1703" s="274">
        <f t="shared" si="53"/>
        <v>0</v>
      </c>
    </row>
    <row r="1704" spans="17:18">
      <c r="Q1704" s="274">
        <f t="shared" si="52"/>
        <v>0</v>
      </c>
      <c r="R1704" s="274">
        <f t="shared" si="53"/>
        <v>0</v>
      </c>
    </row>
    <row r="1705" spans="17:18">
      <c r="Q1705" s="274">
        <f t="shared" si="52"/>
        <v>0</v>
      </c>
      <c r="R1705" s="274">
        <f t="shared" si="53"/>
        <v>0</v>
      </c>
    </row>
    <row r="1706" spans="17:18">
      <c r="Q1706" s="274">
        <f t="shared" si="52"/>
        <v>0</v>
      </c>
      <c r="R1706" s="274">
        <f t="shared" si="53"/>
        <v>0</v>
      </c>
    </row>
    <row r="1707" spans="17:18">
      <c r="Q1707" s="274">
        <f t="shared" si="52"/>
        <v>0</v>
      </c>
      <c r="R1707" s="274">
        <f t="shared" si="53"/>
        <v>0</v>
      </c>
    </row>
    <row r="1708" spans="17:18">
      <c r="Q1708" s="274">
        <f t="shared" si="52"/>
        <v>0</v>
      </c>
      <c r="R1708" s="274">
        <f t="shared" si="53"/>
        <v>0</v>
      </c>
    </row>
    <row r="1709" spans="17:18">
      <c r="Q1709" s="274">
        <f t="shared" si="52"/>
        <v>0</v>
      </c>
      <c r="R1709" s="274">
        <f t="shared" si="53"/>
        <v>0</v>
      </c>
    </row>
    <row r="1710" spans="17:18">
      <c r="Q1710" s="274">
        <f t="shared" si="52"/>
        <v>0</v>
      </c>
      <c r="R1710" s="274">
        <f t="shared" si="53"/>
        <v>0</v>
      </c>
    </row>
    <row r="1711" spans="17:18">
      <c r="Q1711" s="274">
        <f t="shared" si="52"/>
        <v>0</v>
      </c>
      <c r="R1711" s="274">
        <f t="shared" si="53"/>
        <v>0</v>
      </c>
    </row>
    <row r="1712" spans="17:18">
      <c r="Q1712" s="274">
        <f t="shared" si="52"/>
        <v>0</v>
      </c>
      <c r="R1712" s="274">
        <f t="shared" si="53"/>
        <v>0</v>
      </c>
    </row>
    <row r="1713" spans="17:18">
      <c r="Q1713" s="274">
        <f t="shared" si="52"/>
        <v>0</v>
      </c>
      <c r="R1713" s="274">
        <f t="shared" si="53"/>
        <v>0</v>
      </c>
    </row>
    <row r="1714" spans="17:18">
      <c r="Q1714" s="274">
        <f t="shared" si="52"/>
        <v>0</v>
      </c>
      <c r="R1714" s="274">
        <f t="shared" si="53"/>
        <v>0</v>
      </c>
    </row>
    <row r="1715" spans="17:18">
      <c r="Q1715" s="274">
        <f t="shared" si="52"/>
        <v>0</v>
      </c>
      <c r="R1715" s="274">
        <f t="shared" si="53"/>
        <v>0</v>
      </c>
    </row>
    <row r="1716" spans="17:18">
      <c r="Q1716" s="274">
        <f t="shared" si="52"/>
        <v>0</v>
      </c>
      <c r="R1716" s="274">
        <f t="shared" si="53"/>
        <v>0</v>
      </c>
    </row>
    <row r="1717" spans="17:18">
      <c r="Q1717" s="274">
        <f t="shared" si="52"/>
        <v>0</v>
      </c>
      <c r="R1717" s="274">
        <f t="shared" si="53"/>
        <v>0</v>
      </c>
    </row>
    <row r="1718" spans="17:18">
      <c r="Q1718" s="274">
        <f t="shared" si="52"/>
        <v>0</v>
      </c>
      <c r="R1718" s="274">
        <f t="shared" si="53"/>
        <v>0</v>
      </c>
    </row>
    <row r="1719" spans="17:18">
      <c r="Q1719" s="274">
        <f t="shared" si="52"/>
        <v>0</v>
      </c>
      <c r="R1719" s="274">
        <f t="shared" si="53"/>
        <v>0</v>
      </c>
    </row>
    <row r="1720" spans="17:18">
      <c r="Q1720" s="274">
        <f t="shared" si="52"/>
        <v>0</v>
      </c>
      <c r="R1720" s="274">
        <f t="shared" si="53"/>
        <v>0</v>
      </c>
    </row>
    <row r="1721" spans="17:18">
      <c r="Q1721" s="274">
        <f t="shared" si="52"/>
        <v>0</v>
      </c>
      <c r="R1721" s="274">
        <f t="shared" si="53"/>
        <v>0</v>
      </c>
    </row>
    <row r="1722" spans="17:18">
      <c r="Q1722" s="274">
        <f t="shared" si="52"/>
        <v>0</v>
      </c>
      <c r="R1722" s="274">
        <f t="shared" si="53"/>
        <v>0</v>
      </c>
    </row>
    <row r="1723" spans="17:18">
      <c r="Q1723" s="274">
        <f t="shared" si="52"/>
        <v>0</v>
      </c>
      <c r="R1723" s="274">
        <f t="shared" si="53"/>
        <v>0</v>
      </c>
    </row>
    <row r="1724" spans="17:18">
      <c r="Q1724" s="274">
        <f t="shared" si="52"/>
        <v>0</v>
      </c>
      <c r="R1724" s="274">
        <f t="shared" si="53"/>
        <v>0</v>
      </c>
    </row>
    <row r="1725" spans="17:18">
      <c r="Q1725" s="274">
        <f t="shared" si="52"/>
        <v>0</v>
      </c>
      <c r="R1725" s="274">
        <f t="shared" si="53"/>
        <v>0</v>
      </c>
    </row>
    <row r="1726" spans="17:18">
      <c r="Q1726" s="274">
        <f t="shared" si="52"/>
        <v>0</v>
      </c>
      <c r="R1726" s="274">
        <f t="shared" si="53"/>
        <v>0</v>
      </c>
    </row>
    <row r="1727" spans="17:18">
      <c r="Q1727" s="274">
        <f t="shared" si="52"/>
        <v>0</v>
      </c>
      <c r="R1727" s="274">
        <f t="shared" si="53"/>
        <v>0</v>
      </c>
    </row>
    <row r="1728" spans="17:18">
      <c r="Q1728" s="274">
        <f t="shared" si="52"/>
        <v>0</v>
      </c>
      <c r="R1728" s="274">
        <f t="shared" si="53"/>
        <v>0</v>
      </c>
    </row>
    <row r="1729" spans="17:18">
      <c r="Q1729" s="274">
        <f t="shared" si="52"/>
        <v>0</v>
      </c>
      <c r="R1729" s="274">
        <f t="shared" si="53"/>
        <v>0</v>
      </c>
    </row>
    <row r="1730" spans="17:18">
      <c r="Q1730" s="274">
        <f t="shared" ref="Q1730:Q1793" si="54">IF($J1732=$A$21,IF($M1732=$A$16,$L1732,0),0)</f>
        <v>0</v>
      </c>
      <c r="R1730" s="274">
        <f t="shared" ref="R1730:R1793" si="55">IF($J1732=$A$22,IF($M1732=$A$16,$L1732,0),0)</f>
        <v>0</v>
      </c>
    </row>
    <row r="1731" spans="17:18">
      <c r="Q1731" s="274">
        <f t="shared" si="54"/>
        <v>0</v>
      </c>
      <c r="R1731" s="274">
        <f t="shared" si="55"/>
        <v>0</v>
      </c>
    </row>
    <row r="1732" spans="17:18">
      <c r="Q1732" s="274">
        <f t="shared" si="54"/>
        <v>0</v>
      </c>
      <c r="R1732" s="274">
        <f t="shared" si="55"/>
        <v>0</v>
      </c>
    </row>
    <row r="1733" spans="17:18">
      <c r="Q1733" s="274">
        <f t="shared" si="54"/>
        <v>0</v>
      </c>
      <c r="R1733" s="274">
        <f t="shared" si="55"/>
        <v>0</v>
      </c>
    </row>
    <row r="1734" spans="17:18">
      <c r="Q1734" s="274">
        <f t="shared" si="54"/>
        <v>0</v>
      </c>
      <c r="R1734" s="274">
        <f t="shared" si="55"/>
        <v>0</v>
      </c>
    </row>
    <row r="1735" spans="17:18">
      <c r="Q1735" s="274">
        <f t="shared" si="54"/>
        <v>0</v>
      </c>
      <c r="R1735" s="274">
        <f t="shared" si="55"/>
        <v>0</v>
      </c>
    </row>
    <row r="1736" spans="17:18">
      <c r="Q1736" s="274">
        <f t="shared" si="54"/>
        <v>0</v>
      </c>
      <c r="R1736" s="274">
        <f t="shared" si="55"/>
        <v>0</v>
      </c>
    </row>
    <row r="1737" spans="17:18">
      <c r="Q1737" s="274">
        <f t="shared" si="54"/>
        <v>0</v>
      </c>
      <c r="R1737" s="274">
        <f t="shared" si="55"/>
        <v>0</v>
      </c>
    </row>
    <row r="1738" spans="17:18">
      <c r="Q1738" s="274">
        <f t="shared" si="54"/>
        <v>0</v>
      </c>
      <c r="R1738" s="274">
        <f t="shared" si="55"/>
        <v>0</v>
      </c>
    </row>
    <row r="1739" spans="17:18">
      <c r="Q1739" s="274">
        <f t="shared" si="54"/>
        <v>0</v>
      </c>
      <c r="R1739" s="274">
        <f t="shared" si="55"/>
        <v>0</v>
      </c>
    </row>
    <row r="1740" spans="17:18">
      <c r="Q1740" s="274">
        <f t="shared" si="54"/>
        <v>0</v>
      </c>
      <c r="R1740" s="274">
        <f t="shared" si="55"/>
        <v>0</v>
      </c>
    </row>
    <row r="1741" spans="17:18">
      <c r="Q1741" s="274">
        <f t="shared" si="54"/>
        <v>0</v>
      </c>
      <c r="R1741" s="274">
        <f t="shared" si="55"/>
        <v>0</v>
      </c>
    </row>
    <row r="1742" spans="17:18">
      <c r="Q1742" s="274">
        <f t="shared" si="54"/>
        <v>0</v>
      </c>
      <c r="R1742" s="274">
        <f t="shared" si="55"/>
        <v>0</v>
      </c>
    </row>
    <row r="1743" spans="17:18">
      <c r="Q1743" s="274">
        <f t="shared" si="54"/>
        <v>0</v>
      </c>
      <c r="R1743" s="274">
        <f t="shared" si="55"/>
        <v>0</v>
      </c>
    </row>
    <row r="1744" spans="17:18">
      <c r="Q1744" s="274">
        <f t="shared" si="54"/>
        <v>0</v>
      </c>
      <c r="R1744" s="274">
        <f t="shared" si="55"/>
        <v>0</v>
      </c>
    </row>
    <row r="1745" spans="17:18">
      <c r="Q1745" s="274">
        <f t="shared" si="54"/>
        <v>0</v>
      </c>
      <c r="R1745" s="274">
        <f t="shared" si="55"/>
        <v>0</v>
      </c>
    </row>
    <row r="1746" spans="17:18">
      <c r="Q1746" s="274">
        <f t="shared" si="54"/>
        <v>0</v>
      </c>
      <c r="R1746" s="274">
        <f t="shared" si="55"/>
        <v>0</v>
      </c>
    </row>
    <row r="1747" spans="17:18">
      <c r="Q1747" s="274">
        <f t="shared" si="54"/>
        <v>0</v>
      </c>
      <c r="R1747" s="274">
        <f t="shared" si="55"/>
        <v>0</v>
      </c>
    </row>
    <row r="1748" spans="17:18">
      <c r="Q1748" s="274">
        <f t="shared" si="54"/>
        <v>0</v>
      </c>
      <c r="R1748" s="274">
        <f t="shared" si="55"/>
        <v>0</v>
      </c>
    </row>
    <row r="1749" spans="17:18">
      <c r="Q1749" s="274">
        <f t="shared" si="54"/>
        <v>0</v>
      </c>
      <c r="R1749" s="274">
        <f t="shared" si="55"/>
        <v>0</v>
      </c>
    </row>
    <row r="1750" spans="17:18">
      <c r="Q1750" s="274">
        <f t="shared" si="54"/>
        <v>0</v>
      </c>
      <c r="R1750" s="274">
        <f t="shared" si="55"/>
        <v>0</v>
      </c>
    </row>
    <row r="1751" spans="17:18">
      <c r="Q1751" s="274">
        <f t="shared" si="54"/>
        <v>0</v>
      </c>
      <c r="R1751" s="274">
        <f t="shared" si="55"/>
        <v>0</v>
      </c>
    </row>
    <row r="1752" spans="17:18">
      <c r="Q1752" s="274">
        <f t="shared" si="54"/>
        <v>0</v>
      </c>
      <c r="R1752" s="274">
        <f t="shared" si="55"/>
        <v>0</v>
      </c>
    </row>
    <row r="1753" spans="17:18">
      <c r="Q1753" s="274">
        <f t="shared" si="54"/>
        <v>0</v>
      </c>
      <c r="R1753" s="274">
        <f t="shared" si="55"/>
        <v>0</v>
      </c>
    </row>
    <row r="1754" spans="17:18">
      <c r="Q1754" s="274">
        <f t="shared" si="54"/>
        <v>0</v>
      </c>
      <c r="R1754" s="274">
        <f t="shared" si="55"/>
        <v>0</v>
      </c>
    </row>
    <row r="1755" spans="17:18">
      <c r="Q1755" s="274">
        <f t="shared" si="54"/>
        <v>0</v>
      </c>
      <c r="R1755" s="274">
        <f t="shared" si="55"/>
        <v>0</v>
      </c>
    </row>
    <row r="1756" spans="17:18">
      <c r="Q1756" s="274">
        <f t="shared" si="54"/>
        <v>0</v>
      </c>
      <c r="R1756" s="274">
        <f t="shared" si="55"/>
        <v>0</v>
      </c>
    </row>
    <row r="1757" spans="17:18">
      <c r="Q1757" s="274">
        <f t="shared" si="54"/>
        <v>0</v>
      </c>
      <c r="R1757" s="274">
        <f t="shared" si="55"/>
        <v>0</v>
      </c>
    </row>
    <row r="1758" spans="17:18">
      <c r="Q1758" s="274">
        <f t="shared" si="54"/>
        <v>0</v>
      </c>
      <c r="R1758" s="274">
        <f t="shared" si="55"/>
        <v>0</v>
      </c>
    </row>
    <row r="1759" spans="17:18">
      <c r="Q1759" s="274">
        <f t="shared" si="54"/>
        <v>0</v>
      </c>
      <c r="R1759" s="274">
        <f t="shared" si="55"/>
        <v>0</v>
      </c>
    </row>
    <row r="1760" spans="17:18">
      <c r="Q1760" s="274">
        <f t="shared" si="54"/>
        <v>0</v>
      </c>
      <c r="R1760" s="274">
        <f t="shared" si="55"/>
        <v>0</v>
      </c>
    </row>
    <row r="1761" spans="17:18">
      <c r="Q1761" s="274">
        <f t="shared" si="54"/>
        <v>0</v>
      </c>
      <c r="R1761" s="274">
        <f t="shared" si="55"/>
        <v>0</v>
      </c>
    </row>
    <row r="1762" spans="17:18">
      <c r="Q1762" s="274">
        <f t="shared" si="54"/>
        <v>0</v>
      </c>
      <c r="R1762" s="274">
        <f t="shared" si="55"/>
        <v>0</v>
      </c>
    </row>
    <row r="1763" spans="17:18">
      <c r="Q1763" s="274">
        <f t="shared" si="54"/>
        <v>0</v>
      </c>
      <c r="R1763" s="274">
        <f t="shared" si="55"/>
        <v>0</v>
      </c>
    </row>
    <row r="1764" spans="17:18">
      <c r="Q1764" s="274">
        <f t="shared" si="54"/>
        <v>0</v>
      </c>
      <c r="R1764" s="274">
        <f t="shared" si="55"/>
        <v>0</v>
      </c>
    </row>
    <row r="1765" spans="17:18">
      <c r="Q1765" s="274">
        <f t="shared" si="54"/>
        <v>0</v>
      </c>
      <c r="R1765" s="274">
        <f t="shared" si="55"/>
        <v>0</v>
      </c>
    </row>
    <row r="1766" spans="17:18">
      <c r="Q1766" s="274">
        <f t="shared" si="54"/>
        <v>0</v>
      </c>
      <c r="R1766" s="274">
        <f t="shared" si="55"/>
        <v>0</v>
      </c>
    </row>
    <row r="1767" spans="17:18">
      <c r="Q1767" s="274">
        <f t="shared" si="54"/>
        <v>0</v>
      </c>
      <c r="R1767" s="274">
        <f t="shared" si="55"/>
        <v>0</v>
      </c>
    </row>
    <row r="1768" spans="17:18">
      <c r="Q1768" s="274">
        <f t="shared" si="54"/>
        <v>0</v>
      </c>
      <c r="R1768" s="274">
        <f t="shared" si="55"/>
        <v>0</v>
      </c>
    </row>
    <row r="1769" spans="17:18">
      <c r="Q1769" s="274">
        <f t="shared" si="54"/>
        <v>0</v>
      </c>
      <c r="R1769" s="274">
        <f t="shared" si="55"/>
        <v>0</v>
      </c>
    </row>
    <row r="1770" spans="17:18">
      <c r="Q1770" s="274">
        <f t="shared" si="54"/>
        <v>0</v>
      </c>
      <c r="R1770" s="274">
        <f t="shared" si="55"/>
        <v>0</v>
      </c>
    </row>
    <row r="1771" spans="17:18">
      <c r="Q1771" s="274">
        <f t="shared" si="54"/>
        <v>0</v>
      </c>
      <c r="R1771" s="274">
        <f t="shared" si="55"/>
        <v>0</v>
      </c>
    </row>
    <row r="1772" spans="17:18">
      <c r="Q1772" s="274">
        <f t="shared" si="54"/>
        <v>0</v>
      </c>
      <c r="R1772" s="274">
        <f t="shared" si="55"/>
        <v>0</v>
      </c>
    </row>
    <row r="1773" spans="17:18">
      <c r="Q1773" s="274">
        <f t="shared" si="54"/>
        <v>0</v>
      </c>
      <c r="R1773" s="274">
        <f t="shared" si="55"/>
        <v>0</v>
      </c>
    </row>
    <row r="1774" spans="17:18">
      <c r="Q1774" s="274">
        <f t="shared" si="54"/>
        <v>0</v>
      </c>
      <c r="R1774" s="274">
        <f t="shared" si="55"/>
        <v>0</v>
      </c>
    </row>
    <row r="1775" spans="17:18">
      <c r="Q1775" s="274">
        <f t="shared" si="54"/>
        <v>0</v>
      </c>
      <c r="R1775" s="274">
        <f t="shared" si="55"/>
        <v>0</v>
      </c>
    </row>
    <row r="1776" spans="17:18">
      <c r="Q1776" s="274">
        <f t="shared" si="54"/>
        <v>0</v>
      </c>
      <c r="R1776" s="274">
        <f t="shared" si="55"/>
        <v>0</v>
      </c>
    </row>
    <row r="1777" spans="17:18">
      <c r="Q1777" s="274">
        <f t="shared" si="54"/>
        <v>0</v>
      </c>
      <c r="R1777" s="274">
        <f t="shared" si="55"/>
        <v>0</v>
      </c>
    </row>
    <row r="1778" spans="17:18">
      <c r="Q1778" s="274">
        <f t="shared" si="54"/>
        <v>0</v>
      </c>
      <c r="R1778" s="274">
        <f t="shared" si="55"/>
        <v>0</v>
      </c>
    </row>
    <row r="1779" spans="17:18">
      <c r="Q1779" s="274">
        <f t="shared" si="54"/>
        <v>0</v>
      </c>
      <c r="R1779" s="274">
        <f t="shared" si="55"/>
        <v>0</v>
      </c>
    </row>
    <row r="1780" spans="17:18">
      <c r="Q1780" s="274">
        <f t="shared" si="54"/>
        <v>0</v>
      </c>
      <c r="R1780" s="274">
        <f t="shared" si="55"/>
        <v>0</v>
      </c>
    </row>
    <row r="1781" spans="17:18">
      <c r="Q1781" s="274">
        <f t="shared" si="54"/>
        <v>0</v>
      </c>
      <c r="R1781" s="274">
        <f t="shared" si="55"/>
        <v>0</v>
      </c>
    </row>
    <row r="1782" spans="17:18">
      <c r="Q1782" s="274">
        <f t="shared" si="54"/>
        <v>0</v>
      </c>
      <c r="R1782" s="274">
        <f t="shared" si="55"/>
        <v>0</v>
      </c>
    </row>
    <row r="1783" spans="17:18">
      <c r="Q1783" s="274">
        <f t="shared" si="54"/>
        <v>0</v>
      </c>
      <c r="R1783" s="274">
        <f t="shared" si="55"/>
        <v>0</v>
      </c>
    </row>
    <row r="1784" spans="17:18">
      <c r="Q1784" s="274">
        <f t="shared" si="54"/>
        <v>0</v>
      </c>
      <c r="R1784" s="274">
        <f t="shared" si="55"/>
        <v>0</v>
      </c>
    </row>
    <row r="1785" spans="17:18">
      <c r="Q1785" s="274">
        <f t="shared" si="54"/>
        <v>0</v>
      </c>
      <c r="R1785" s="274">
        <f t="shared" si="55"/>
        <v>0</v>
      </c>
    </row>
    <row r="1786" spans="17:18">
      <c r="Q1786" s="274">
        <f t="shared" si="54"/>
        <v>0</v>
      </c>
      <c r="R1786" s="274">
        <f t="shared" si="55"/>
        <v>0</v>
      </c>
    </row>
    <row r="1787" spans="17:18">
      <c r="Q1787" s="274">
        <f t="shared" si="54"/>
        <v>0</v>
      </c>
      <c r="R1787" s="274">
        <f t="shared" si="55"/>
        <v>0</v>
      </c>
    </row>
    <row r="1788" spans="17:18">
      <c r="Q1788" s="274">
        <f t="shared" si="54"/>
        <v>0</v>
      </c>
      <c r="R1788" s="274">
        <f t="shared" si="55"/>
        <v>0</v>
      </c>
    </row>
    <row r="1789" spans="17:18">
      <c r="Q1789" s="274">
        <f t="shared" si="54"/>
        <v>0</v>
      </c>
      <c r="R1789" s="274">
        <f t="shared" si="55"/>
        <v>0</v>
      </c>
    </row>
    <row r="1790" spans="17:18">
      <c r="Q1790" s="274">
        <f t="shared" si="54"/>
        <v>0</v>
      </c>
      <c r="R1790" s="274">
        <f t="shared" si="55"/>
        <v>0</v>
      </c>
    </row>
    <row r="1791" spans="17:18">
      <c r="Q1791" s="274">
        <f t="shared" si="54"/>
        <v>0</v>
      </c>
      <c r="R1791" s="274">
        <f t="shared" si="55"/>
        <v>0</v>
      </c>
    </row>
    <row r="1792" spans="17:18">
      <c r="Q1792" s="274">
        <f t="shared" si="54"/>
        <v>0</v>
      </c>
      <c r="R1792" s="274">
        <f t="shared" si="55"/>
        <v>0</v>
      </c>
    </row>
    <row r="1793" spans="17:18">
      <c r="Q1793" s="274">
        <f t="shared" si="54"/>
        <v>0</v>
      </c>
      <c r="R1793" s="274">
        <f t="shared" si="55"/>
        <v>0</v>
      </c>
    </row>
    <row r="1794" spans="17:18">
      <c r="Q1794" s="274">
        <f t="shared" ref="Q1794:Q1857" si="56">IF($J1796=$A$21,IF($M1796=$A$16,$L1796,0),0)</f>
        <v>0</v>
      </c>
      <c r="R1794" s="274">
        <f t="shared" ref="R1794:R1857" si="57">IF($J1796=$A$22,IF($M1796=$A$16,$L1796,0),0)</f>
        <v>0</v>
      </c>
    </row>
    <row r="1795" spans="17:18">
      <c r="Q1795" s="274">
        <f t="shared" si="56"/>
        <v>0</v>
      </c>
      <c r="R1795" s="274">
        <f t="shared" si="57"/>
        <v>0</v>
      </c>
    </row>
    <row r="1796" spans="17:18">
      <c r="Q1796" s="274">
        <f t="shared" si="56"/>
        <v>0</v>
      </c>
      <c r="R1796" s="274">
        <f t="shared" si="57"/>
        <v>0</v>
      </c>
    </row>
    <row r="1797" spans="17:18">
      <c r="Q1797" s="274">
        <f t="shared" si="56"/>
        <v>0</v>
      </c>
      <c r="R1797" s="274">
        <f t="shared" si="57"/>
        <v>0</v>
      </c>
    </row>
    <row r="1798" spans="17:18">
      <c r="Q1798" s="274">
        <f t="shared" si="56"/>
        <v>0</v>
      </c>
      <c r="R1798" s="274">
        <f t="shared" si="57"/>
        <v>0</v>
      </c>
    </row>
    <row r="1799" spans="17:18">
      <c r="Q1799" s="274">
        <f t="shared" si="56"/>
        <v>0</v>
      </c>
      <c r="R1799" s="274">
        <f t="shared" si="57"/>
        <v>0</v>
      </c>
    </row>
    <row r="1800" spans="17:18">
      <c r="Q1800" s="274">
        <f t="shared" si="56"/>
        <v>0</v>
      </c>
      <c r="R1800" s="274">
        <f t="shared" si="57"/>
        <v>0</v>
      </c>
    </row>
    <row r="1801" spans="17:18">
      <c r="Q1801" s="274">
        <f t="shared" si="56"/>
        <v>0</v>
      </c>
      <c r="R1801" s="274">
        <f t="shared" si="57"/>
        <v>0</v>
      </c>
    </row>
    <row r="1802" spans="17:18">
      <c r="Q1802" s="274">
        <f t="shared" si="56"/>
        <v>0</v>
      </c>
      <c r="R1802" s="274">
        <f t="shared" si="57"/>
        <v>0</v>
      </c>
    </row>
    <row r="1803" spans="17:18">
      <c r="Q1803" s="274">
        <f t="shared" si="56"/>
        <v>0</v>
      </c>
      <c r="R1803" s="274">
        <f t="shared" si="57"/>
        <v>0</v>
      </c>
    </row>
    <row r="1804" spans="17:18">
      <c r="Q1804" s="274">
        <f t="shared" si="56"/>
        <v>0</v>
      </c>
      <c r="R1804" s="274">
        <f t="shared" si="57"/>
        <v>0</v>
      </c>
    </row>
    <row r="1805" spans="17:18">
      <c r="Q1805" s="274">
        <f t="shared" si="56"/>
        <v>0</v>
      </c>
      <c r="R1805" s="274">
        <f t="shared" si="57"/>
        <v>0</v>
      </c>
    </row>
    <row r="1806" spans="17:18">
      <c r="Q1806" s="274">
        <f t="shared" si="56"/>
        <v>0</v>
      </c>
      <c r="R1806" s="274">
        <f t="shared" si="57"/>
        <v>0</v>
      </c>
    </row>
    <row r="1807" spans="17:18">
      <c r="Q1807" s="274">
        <f t="shared" si="56"/>
        <v>0</v>
      </c>
      <c r="R1807" s="274">
        <f t="shared" si="57"/>
        <v>0</v>
      </c>
    </row>
    <row r="1808" spans="17:18">
      <c r="Q1808" s="274">
        <f t="shared" si="56"/>
        <v>0</v>
      </c>
      <c r="R1808" s="274">
        <f t="shared" si="57"/>
        <v>0</v>
      </c>
    </row>
    <row r="1809" spans="17:18">
      <c r="Q1809" s="274">
        <f t="shared" si="56"/>
        <v>0</v>
      </c>
      <c r="R1809" s="274">
        <f t="shared" si="57"/>
        <v>0</v>
      </c>
    </row>
    <row r="1810" spans="17:18">
      <c r="Q1810" s="274">
        <f t="shared" si="56"/>
        <v>0</v>
      </c>
      <c r="R1810" s="274">
        <f t="shared" si="57"/>
        <v>0</v>
      </c>
    </row>
    <row r="1811" spans="17:18">
      <c r="Q1811" s="274">
        <f t="shared" si="56"/>
        <v>0</v>
      </c>
      <c r="R1811" s="274">
        <f t="shared" si="57"/>
        <v>0</v>
      </c>
    </row>
    <row r="1812" spans="17:18">
      <c r="Q1812" s="274">
        <f t="shared" si="56"/>
        <v>0</v>
      </c>
      <c r="R1812" s="274">
        <f t="shared" si="57"/>
        <v>0</v>
      </c>
    </row>
    <row r="1813" spans="17:18">
      <c r="Q1813" s="274">
        <f t="shared" si="56"/>
        <v>0</v>
      </c>
      <c r="R1813" s="274">
        <f t="shared" si="57"/>
        <v>0</v>
      </c>
    </row>
    <row r="1814" spans="17:18">
      <c r="Q1814" s="274">
        <f t="shared" si="56"/>
        <v>0</v>
      </c>
      <c r="R1814" s="274">
        <f t="shared" si="57"/>
        <v>0</v>
      </c>
    </row>
    <row r="1815" spans="17:18">
      <c r="Q1815" s="274">
        <f t="shared" si="56"/>
        <v>0</v>
      </c>
      <c r="R1815" s="274">
        <f t="shared" si="57"/>
        <v>0</v>
      </c>
    </row>
    <row r="1816" spans="17:18">
      <c r="Q1816" s="274">
        <f t="shared" si="56"/>
        <v>0</v>
      </c>
      <c r="R1816" s="274">
        <f t="shared" si="57"/>
        <v>0</v>
      </c>
    </row>
    <row r="1817" spans="17:18">
      <c r="Q1817" s="274">
        <f t="shared" si="56"/>
        <v>0</v>
      </c>
      <c r="R1817" s="274">
        <f t="shared" si="57"/>
        <v>0</v>
      </c>
    </row>
    <row r="1818" spans="17:18">
      <c r="Q1818" s="274">
        <f t="shared" si="56"/>
        <v>0</v>
      </c>
      <c r="R1818" s="274">
        <f t="shared" si="57"/>
        <v>0</v>
      </c>
    </row>
    <row r="1819" spans="17:18">
      <c r="Q1819" s="274">
        <f t="shared" si="56"/>
        <v>0</v>
      </c>
      <c r="R1819" s="274">
        <f t="shared" si="57"/>
        <v>0</v>
      </c>
    </row>
    <row r="1820" spans="17:18">
      <c r="Q1820" s="274">
        <f t="shared" si="56"/>
        <v>0</v>
      </c>
      <c r="R1820" s="274">
        <f t="shared" si="57"/>
        <v>0</v>
      </c>
    </row>
    <row r="1821" spans="17:18">
      <c r="Q1821" s="274">
        <f t="shared" si="56"/>
        <v>0</v>
      </c>
      <c r="R1821" s="274">
        <f t="shared" si="57"/>
        <v>0</v>
      </c>
    </row>
    <row r="1822" spans="17:18">
      <c r="Q1822" s="274">
        <f t="shared" si="56"/>
        <v>0</v>
      </c>
      <c r="R1822" s="274">
        <f t="shared" si="57"/>
        <v>0</v>
      </c>
    </row>
    <row r="1823" spans="17:18">
      <c r="Q1823" s="274">
        <f t="shared" si="56"/>
        <v>0</v>
      </c>
      <c r="R1823" s="274">
        <f t="shared" si="57"/>
        <v>0</v>
      </c>
    </row>
    <row r="1824" spans="17:18">
      <c r="Q1824" s="274">
        <f t="shared" si="56"/>
        <v>0</v>
      </c>
      <c r="R1824" s="274">
        <f t="shared" si="57"/>
        <v>0</v>
      </c>
    </row>
    <row r="1825" spans="17:18">
      <c r="Q1825" s="274">
        <f t="shared" si="56"/>
        <v>0</v>
      </c>
      <c r="R1825" s="274">
        <f t="shared" si="57"/>
        <v>0</v>
      </c>
    </row>
    <row r="1826" spans="17:18">
      <c r="Q1826" s="274">
        <f t="shared" si="56"/>
        <v>0</v>
      </c>
      <c r="R1826" s="274">
        <f t="shared" si="57"/>
        <v>0</v>
      </c>
    </row>
    <row r="1827" spans="17:18">
      <c r="Q1827" s="274">
        <f t="shared" si="56"/>
        <v>0</v>
      </c>
      <c r="R1827" s="274">
        <f t="shared" si="57"/>
        <v>0</v>
      </c>
    </row>
    <row r="1828" spans="17:18">
      <c r="Q1828" s="274">
        <f t="shared" si="56"/>
        <v>0</v>
      </c>
      <c r="R1828" s="274">
        <f t="shared" si="57"/>
        <v>0</v>
      </c>
    </row>
    <row r="1829" spans="17:18">
      <c r="Q1829" s="274">
        <f t="shared" si="56"/>
        <v>0</v>
      </c>
      <c r="R1829" s="274">
        <f t="shared" si="57"/>
        <v>0</v>
      </c>
    </row>
    <row r="1830" spans="17:18">
      <c r="Q1830" s="274">
        <f t="shared" si="56"/>
        <v>0</v>
      </c>
      <c r="R1830" s="274">
        <f t="shared" si="57"/>
        <v>0</v>
      </c>
    </row>
    <row r="1831" spans="17:18">
      <c r="Q1831" s="274">
        <f t="shared" si="56"/>
        <v>0</v>
      </c>
      <c r="R1831" s="274">
        <f t="shared" si="57"/>
        <v>0</v>
      </c>
    </row>
    <row r="1832" spans="17:18">
      <c r="Q1832" s="274">
        <f t="shared" si="56"/>
        <v>0</v>
      </c>
      <c r="R1832" s="274">
        <f t="shared" si="57"/>
        <v>0</v>
      </c>
    </row>
    <row r="1833" spans="17:18">
      <c r="Q1833" s="274">
        <f t="shared" si="56"/>
        <v>0</v>
      </c>
      <c r="R1833" s="274">
        <f t="shared" si="57"/>
        <v>0</v>
      </c>
    </row>
    <row r="1834" spans="17:18">
      <c r="Q1834" s="274">
        <f t="shared" si="56"/>
        <v>0</v>
      </c>
      <c r="R1834" s="274">
        <f t="shared" si="57"/>
        <v>0</v>
      </c>
    </row>
    <row r="1835" spans="17:18">
      <c r="Q1835" s="274">
        <f t="shared" si="56"/>
        <v>0</v>
      </c>
      <c r="R1835" s="274">
        <f t="shared" si="57"/>
        <v>0</v>
      </c>
    </row>
    <row r="1836" spans="17:18">
      <c r="Q1836" s="274">
        <f t="shared" si="56"/>
        <v>0</v>
      </c>
      <c r="R1836" s="274">
        <f t="shared" si="57"/>
        <v>0</v>
      </c>
    </row>
    <row r="1837" spans="17:18">
      <c r="Q1837" s="274">
        <f t="shared" si="56"/>
        <v>0</v>
      </c>
      <c r="R1837" s="274">
        <f t="shared" si="57"/>
        <v>0</v>
      </c>
    </row>
    <row r="1838" spans="17:18">
      <c r="Q1838" s="274">
        <f t="shared" si="56"/>
        <v>0</v>
      </c>
      <c r="R1838" s="274">
        <f t="shared" si="57"/>
        <v>0</v>
      </c>
    </row>
    <row r="1839" spans="17:18">
      <c r="Q1839" s="274">
        <f t="shared" si="56"/>
        <v>0</v>
      </c>
      <c r="R1839" s="274">
        <f t="shared" si="57"/>
        <v>0</v>
      </c>
    </row>
    <row r="1840" spans="17:18">
      <c r="Q1840" s="274">
        <f t="shared" si="56"/>
        <v>0</v>
      </c>
      <c r="R1840" s="274">
        <f t="shared" si="57"/>
        <v>0</v>
      </c>
    </row>
    <row r="1841" spans="17:18">
      <c r="Q1841" s="274">
        <f t="shared" si="56"/>
        <v>0</v>
      </c>
      <c r="R1841" s="274">
        <f t="shared" si="57"/>
        <v>0</v>
      </c>
    </row>
    <row r="1842" spans="17:18">
      <c r="Q1842" s="274">
        <f t="shared" si="56"/>
        <v>0</v>
      </c>
      <c r="R1842" s="274">
        <f t="shared" si="57"/>
        <v>0</v>
      </c>
    </row>
    <row r="1843" spans="17:18">
      <c r="Q1843" s="274">
        <f t="shared" si="56"/>
        <v>0</v>
      </c>
      <c r="R1843" s="274">
        <f t="shared" si="57"/>
        <v>0</v>
      </c>
    </row>
    <row r="1844" spans="17:18">
      <c r="Q1844" s="274">
        <f t="shared" si="56"/>
        <v>0</v>
      </c>
      <c r="R1844" s="274">
        <f t="shared" si="57"/>
        <v>0</v>
      </c>
    </row>
    <row r="1845" spans="17:18">
      <c r="Q1845" s="274">
        <f t="shared" si="56"/>
        <v>0</v>
      </c>
      <c r="R1845" s="274">
        <f t="shared" si="57"/>
        <v>0</v>
      </c>
    </row>
    <row r="1846" spans="17:18">
      <c r="Q1846" s="274">
        <f t="shared" si="56"/>
        <v>0</v>
      </c>
      <c r="R1846" s="274">
        <f t="shared" si="57"/>
        <v>0</v>
      </c>
    </row>
    <row r="1847" spans="17:18">
      <c r="Q1847" s="274">
        <f t="shared" si="56"/>
        <v>0</v>
      </c>
      <c r="R1847" s="274">
        <f t="shared" si="57"/>
        <v>0</v>
      </c>
    </row>
    <row r="1848" spans="17:18">
      <c r="Q1848" s="274">
        <f t="shared" si="56"/>
        <v>0</v>
      </c>
      <c r="R1848" s="274">
        <f t="shared" si="57"/>
        <v>0</v>
      </c>
    </row>
    <row r="1849" spans="17:18">
      <c r="Q1849" s="274">
        <f t="shared" si="56"/>
        <v>0</v>
      </c>
      <c r="R1849" s="274">
        <f t="shared" si="57"/>
        <v>0</v>
      </c>
    </row>
    <row r="1850" spans="17:18">
      <c r="Q1850" s="274">
        <f t="shared" si="56"/>
        <v>0</v>
      </c>
      <c r="R1850" s="274">
        <f t="shared" si="57"/>
        <v>0</v>
      </c>
    </row>
    <row r="1851" spans="17:18">
      <c r="Q1851" s="274">
        <f t="shared" si="56"/>
        <v>0</v>
      </c>
      <c r="R1851" s="274">
        <f t="shared" si="57"/>
        <v>0</v>
      </c>
    </row>
    <row r="1852" spans="17:18">
      <c r="Q1852" s="274">
        <f t="shared" si="56"/>
        <v>0</v>
      </c>
      <c r="R1852" s="274">
        <f t="shared" si="57"/>
        <v>0</v>
      </c>
    </row>
    <row r="1853" spans="17:18">
      <c r="Q1853" s="274">
        <f t="shared" si="56"/>
        <v>0</v>
      </c>
      <c r="R1853" s="274">
        <f t="shared" si="57"/>
        <v>0</v>
      </c>
    </row>
    <row r="1854" spans="17:18">
      <c r="Q1854" s="274">
        <f t="shared" si="56"/>
        <v>0</v>
      </c>
      <c r="R1854" s="274">
        <f t="shared" si="57"/>
        <v>0</v>
      </c>
    </row>
    <row r="1855" spans="17:18">
      <c r="Q1855" s="274">
        <f t="shared" si="56"/>
        <v>0</v>
      </c>
      <c r="R1855" s="274">
        <f t="shared" si="57"/>
        <v>0</v>
      </c>
    </row>
    <row r="1856" spans="17:18">
      <c r="Q1856" s="274">
        <f t="shared" si="56"/>
        <v>0</v>
      </c>
      <c r="R1856" s="274">
        <f t="shared" si="57"/>
        <v>0</v>
      </c>
    </row>
    <row r="1857" spans="17:18">
      <c r="Q1857" s="274">
        <f t="shared" si="56"/>
        <v>0</v>
      </c>
      <c r="R1857" s="274">
        <f t="shared" si="57"/>
        <v>0</v>
      </c>
    </row>
    <row r="1858" spans="17:18">
      <c r="Q1858" s="274">
        <f t="shared" ref="Q1858:Q1921" si="58">IF($J1860=$A$21,IF($M1860=$A$16,$L1860,0),0)</f>
        <v>0</v>
      </c>
      <c r="R1858" s="274">
        <f t="shared" ref="R1858:R1921" si="59">IF($J1860=$A$22,IF($M1860=$A$16,$L1860,0),0)</f>
        <v>0</v>
      </c>
    </row>
    <row r="1859" spans="17:18">
      <c r="Q1859" s="274">
        <f t="shared" si="58"/>
        <v>0</v>
      </c>
      <c r="R1859" s="274">
        <f t="shared" si="59"/>
        <v>0</v>
      </c>
    </row>
    <row r="1860" spans="17:18">
      <c r="Q1860" s="274">
        <f t="shared" si="58"/>
        <v>0</v>
      </c>
      <c r="R1860" s="274">
        <f t="shared" si="59"/>
        <v>0</v>
      </c>
    </row>
    <row r="1861" spans="17:18">
      <c r="Q1861" s="274">
        <f t="shared" si="58"/>
        <v>0</v>
      </c>
      <c r="R1861" s="274">
        <f t="shared" si="59"/>
        <v>0</v>
      </c>
    </row>
    <row r="1862" spans="17:18">
      <c r="Q1862" s="274">
        <f t="shared" si="58"/>
        <v>0</v>
      </c>
      <c r="R1862" s="274">
        <f t="shared" si="59"/>
        <v>0</v>
      </c>
    </row>
    <row r="1863" spans="17:18">
      <c r="Q1863" s="274">
        <f t="shared" si="58"/>
        <v>0</v>
      </c>
      <c r="R1863" s="274">
        <f t="shared" si="59"/>
        <v>0</v>
      </c>
    </row>
    <row r="1864" spans="17:18">
      <c r="Q1864" s="274">
        <f t="shared" si="58"/>
        <v>0</v>
      </c>
      <c r="R1864" s="274">
        <f t="shared" si="59"/>
        <v>0</v>
      </c>
    </row>
    <row r="1865" spans="17:18">
      <c r="Q1865" s="274">
        <f t="shared" si="58"/>
        <v>0</v>
      </c>
      <c r="R1865" s="274">
        <f t="shared" si="59"/>
        <v>0</v>
      </c>
    </row>
    <row r="1866" spans="17:18">
      <c r="Q1866" s="274">
        <f t="shared" si="58"/>
        <v>0</v>
      </c>
      <c r="R1866" s="274">
        <f t="shared" si="59"/>
        <v>0</v>
      </c>
    </row>
    <row r="1867" spans="17:18">
      <c r="Q1867" s="274">
        <f t="shared" si="58"/>
        <v>0</v>
      </c>
      <c r="R1867" s="274">
        <f t="shared" si="59"/>
        <v>0</v>
      </c>
    </row>
    <row r="1868" spans="17:18">
      <c r="Q1868" s="274">
        <f t="shared" si="58"/>
        <v>0</v>
      </c>
      <c r="R1868" s="274">
        <f t="shared" si="59"/>
        <v>0</v>
      </c>
    </row>
    <row r="1869" spans="17:18">
      <c r="Q1869" s="274">
        <f t="shared" si="58"/>
        <v>0</v>
      </c>
      <c r="R1869" s="274">
        <f t="shared" si="59"/>
        <v>0</v>
      </c>
    </row>
    <row r="1870" spans="17:18">
      <c r="Q1870" s="274">
        <f t="shared" si="58"/>
        <v>0</v>
      </c>
      <c r="R1870" s="274">
        <f t="shared" si="59"/>
        <v>0</v>
      </c>
    </row>
    <row r="1871" spans="17:18">
      <c r="Q1871" s="274">
        <f t="shared" si="58"/>
        <v>0</v>
      </c>
      <c r="R1871" s="274">
        <f t="shared" si="59"/>
        <v>0</v>
      </c>
    </row>
    <row r="1872" spans="17:18">
      <c r="Q1872" s="274">
        <f t="shared" si="58"/>
        <v>0</v>
      </c>
      <c r="R1872" s="274">
        <f t="shared" si="59"/>
        <v>0</v>
      </c>
    </row>
    <row r="1873" spans="17:18">
      <c r="Q1873" s="274">
        <f t="shared" si="58"/>
        <v>0</v>
      </c>
      <c r="R1873" s="274">
        <f t="shared" si="59"/>
        <v>0</v>
      </c>
    </row>
    <row r="1874" spans="17:18">
      <c r="Q1874" s="274">
        <f t="shared" si="58"/>
        <v>0</v>
      </c>
      <c r="R1874" s="274">
        <f t="shared" si="59"/>
        <v>0</v>
      </c>
    </row>
    <row r="1875" spans="17:18">
      <c r="Q1875" s="274">
        <f t="shared" si="58"/>
        <v>0</v>
      </c>
      <c r="R1875" s="274">
        <f t="shared" si="59"/>
        <v>0</v>
      </c>
    </row>
    <row r="1876" spans="17:18">
      <c r="Q1876" s="274">
        <f t="shared" si="58"/>
        <v>0</v>
      </c>
      <c r="R1876" s="274">
        <f t="shared" si="59"/>
        <v>0</v>
      </c>
    </row>
    <row r="1877" spans="17:18">
      <c r="Q1877" s="274">
        <f t="shared" si="58"/>
        <v>0</v>
      </c>
      <c r="R1877" s="274">
        <f t="shared" si="59"/>
        <v>0</v>
      </c>
    </row>
    <row r="1878" spans="17:18">
      <c r="Q1878" s="274">
        <f t="shared" si="58"/>
        <v>0</v>
      </c>
      <c r="R1878" s="274">
        <f t="shared" si="59"/>
        <v>0</v>
      </c>
    </row>
    <row r="1879" spans="17:18">
      <c r="Q1879" s="274">
        <f t="shared" si="58"/>
        <v>0</v>
      </c>
      <c r="R1879" s="274">
        <f t="shared" si="59"/>
        <v>0</v>
      </c>
    </row>
    <row r="1880" spans="17:18">
      <c r="Q1880" s="274">
        <f t="shared" si="58"/>
        <v>0</v>
      </c>
      <c r="R1880" s="274">
        <f t="shared" si="59"/>
        <v>0</v>
      </c>
    </row>
    <row r="1881" spans="17:18">
      <c r="Q1881" s="274">
        <f t="shared" si="58"/>
        <v>0</v>
      </c>
      <c r="R1881" s="274">
        <f t="shared" si="59"/>
        <v>0</v>
      </c>
    </row>
    <row r="1882" spans="17:18">
      <c r="Q1882" s="274">
        <f t="shared" si="58"/>
        <v>0</v>
      </c>
      <c r="R1882" s="274">
        <f t="shared" si="59"/>
        <v>0</v>
      </c>
    </row>
    <row r="1883" spans="17:18">
      <c r="Q1883" s="274">
        <f t="shared" si="58"/>
        <v>0</v>
      </c>
      <c r="R1883" s="274">
        <f t="shared" si="59"/>
        <v>0</v>
      </c>
    </row>
    <row r="1884" spans="17:18">
      <c r="Q1884" s="274">
        <f t="shared" si="58"/>
        <v>0</v>
      </c>
      <c r="R1884" s="274">
        <f t="shared" si="59"/>
        <v>0</v>
      </c>
    </row>
    <row r="1885" spans="17:18">
      <c r="Q1885" s="274">
        <f t="shared" si="58"/>
        <v>0</v>
      </c>
      <c r="R1885" s="274">
        <f t="shared" si="59"/>
        <v>0</v>
      </c>
    </row>
    <row r="1886" spans="17:18">
      <c r="Q1886" s="274">
        <f t="shared" si="58"/>
        <v>0</v>
      </c>
      <c r="R1886" s="274">
        <f t="shared" si="59"/>
        <v>0</v>
      </c>
    </row>
    <row r="1887" spans="17:18">
      <c r="Q1887" s="274">
        <f t="shared" si="58"/>
        <v>0</v>
      </c>
      <c r="R1887" s="274">
        <f t="shared" si="59"/>
        <v>0</v>
      </c>
    </row>
    <row r="1888" spans="17:18">
      <c r="Q1888" s="274">
        <f t="shared" si="58"/>
        <v>0</v>
      </c>
      <c r="R1888" s="274">
        <f t="shared" si="59"/>
        <v>0</v>
      </c>
    </row>
    <row r="1889" spans="17:18">
      <c r="Q1889" s="274">
        <f t="shared" si="58"/>
        <v>0</v>
      </c>
      <c r="R1889" s="274">
        <f t="shared" si="59"/>
        <v>0</v>
      </c>
    </row>
    <row r="1890" spans="17:18">
      <c r="Q1890" s="274">
        <f t="shared" si="58"/>
        <v>0</v>
      </c>
      <c r="R1890" s="274">
        <f t="shared" si="59"/>
        <v>0</v>
      </c>
    </row>
    <row r="1891" spans="17:18">
      <c r="Q1891" s="274">
        <f t="shared" si="58"/>
        <v>0</v>
      </c>
      <c r="R1891" s="274">
        <f t="shared" si="59"/>
        <v>0</v>
      </c>
    </row>
    <row r="1892" spans="17:18">
      <c r="Q1892" s="274">
        <f t="shared" si="58"/>
        <v>0</v>
      </c>
      <c r="R1892" s="274">
        <f t="shared" si="59"/>
        <v>0</v>
      </c>
    </row>
    <row r="1893" spans="17:18">
      <c r="Q1893" s="274">
        <f t="shared" si="58"/>
        <v>0</v>
      </c>
      <c r="R1893" s="274">
        <f t="shared" si="59"/>
        <v>0</v>
      </c>
    </row>
    <row r="1894" spans="17:18">
      <c r="Q1894" s="274">
        <f t="shared" si="58"/>
        <v>0</v>
      </c>
      <c r="R1894" s="274">
        <f t="shared" si="59"/>
        <v>0</v>
      </c>
    </row>
    <row r="1895" spans="17:18">
      <c r="Q1895" s="274">
        <f t="shared" si="58"/>
        <v>0</v>
      </c>
      <c r="R1895" s="274">
        <f t="shared" si="59"/>
        <v>0</v>
      </c>
    </row>
    <row r="1896" spans="17:18">
      <c r="Q1896" s="274">
        <f t="shared" si="58"/>
        <v>0</v>
      </c>
      <c r="R1896" s="274">
        <f t="shared" si="59"/>
        <v>0</v>
      </c>
    </row>
    <row r="1897" spans="17:18">
      <c r="Q1897" s="274">
        <f t="shared" si="58"/>
        <v>0</v>
      </c>
      <c r="R1897" s="274">
        <f t="shared" si="59"/>
        <v>0</v>
      </c>
    </row>
    <row r="1898" spans="17:18">
      <c r="Q1898" s="274">
        <f t="shared" si="58"/>
        <v>0</v>
      </c>
      <c r="R1898" s="274">
        <f t="shared" si="59"/>
        <v>0</v>
      </c>
    </row>
    <row r="1899" spans="17:18">
      <c r="Q1899" s="274">
        <f t="shared" si="58"/>
        <v>0</v>
      </c>
      <c r="R1899" s="274">
        <f t="shared" si="59"/>
        <v>0</v>
      </c>
    </row>
    <row r="1900" spans="17:18">
      <c r="Q1900" s="274">
        <f t="shared" si="58"/>
        <v>0</v>
      </c>
      <c r="R1900" s="274">
        <f t="shared" si="59"/>
        <v>0</v>
      </c>
    </row>
    <row r="1901" spans="17:18">
      <c r="Q1901" s="274">
        <f t="shared" si="58"/>
        <v>0</v>
      </c>
      <c r="R1901" s="274">
        <f t="shared" si="59"/>
        <v>0</v>
      </c>
    </row>
    <row r="1902" spans="17:18">
      <c r="Q1902" s="274">
        <f t="shared" si="58"/>
        <v>0</v>
      </c>
      <c r="R1902" s="274">
        <f t="shared" si="59"/>
        <v>0</v>
      </c>
    </row>
    <row r="1903" spans="17:18">
      <c r="Q1903" s="274">
        <f t="shared" si="58"/>
        <v>0</v>
      </c>
      <c r="R1903" s="274">
        <f t="shared" si="59"/>
        <v>0</v>
      </c>
    </row>
    <row r="1904" spans="17:18">
      <c r="Q1904" s="274">
        <f t="shared" si="58"/>
        <v>0</v>
      </c>
      <c r="R1904" s="274">
        <f t="shared" si="59"/>
        <v>0</v>
      </c>
    </row>
    <row r="1905" spans="17:18">
      <c r="Q1905" s="274">
        <f t="shared" si="58"/>
        <v>0</v>
      </c>
      <c r="R1905" s="274">
        <f t="shared" si="59"/>
        <v>0</v>
      </c>
    </row>
    <row r="1906" spans="17:18">
      <c r="Q1906" s="274">
        <f t="shared" si="58"/>
        <v>0</v>
      </c>
      <c r="R1906" s="274">
        <f t="shared" si="59"/>
        <v>0</v>
      </c>
    </row>
    <row r="1907" spans="17:18">
      <c r="Q1907" s="274">
        <f t="shared" si="58"/>
        <v>0</v>
      </c>
      <c r="R1907" s="274">
        <f t="shared" si="59"/>
        <v>0</v>
      </c>
    </row>
    <row r="1908" spans="17:18">
      <c r="Q1908" s="274">
        <f t="shared" si="58"/>
        <v>0</v>
      </c>
      <c r="R1908" s="274">
        <f t="shared" si="59"/>
        <v>0</v>
      </c>
    </row>
    <row r="1909" spans="17:18">
      <c r="Q1909" s="274">
        <f t="shared" si="58"/>
        <v>0</v>
      </c>
      <c r="R1909" s="274">
        <f t="shared" si="59"/>
        <v>0</v>
      </c>
    </row>
    <row r="1910" spans="17:18">
      <c r="Q1910" s="274">
        <f t="shared" si="58"/>
        <v>0</v>
      </c>
      <c r="R1910" s="274">
        <f t="shared" si="59"/>
        <v>0</v>
      </c>
    </row>
    <row r="1911" spans="17:18">
      <c r="Q1911" s="274">
        <f t="shared" si="58"/>
        <v>0</v>
      </c>
      <c r="R1911" s="274">
        <f t="shared" si="59"/>
        <v>0</v>
      </c>
    </row>
    <row r="1912" spans="17:18">
      <c r="Q1912" s="274">
        <f t="shared" si="58"/>
        <v>0</v>
      </c>
      <c r="R1912" s="274">
        <f t="shared" si="59"/>
        <v>0</v>
      </c>
    </row>
    <row r="1913" spans="17:18">
      <c r="Q1913" s="274">
        <f t="shared" si="58"/>
        <v>0</v>
      </c>
      <c r="R1913" s="274">
        <f t="shared" si="59"/>
        <v>0</v>
      </c>
    </row>
    <row r="1914" spans="17:18">
      <c r="Q1914" s="274">
        <f t="shared" si="58"/>
        <v>0</v>
      </c>
      <c r="R1914" s="274">
        <f t="shared" si="59"/>
        <v>0</v>
      </c>
    </row>
    <row r="1915" spans="17:18">
      <c r="Q1915" s="274">
        <f t="shared" si="58"/>
        <v>0</v>
      </c>
      <c r="R1915" s="274">
        <f t="shared" si="59"/>
        <v>0</v>
      </c>
    </row>
    <row r="1916" spans="17:18">
      <c r="Q1916" s="274">
        <f t="shared" si="58"/>
        <v>0</v>
      </c>
      <c r="R1916" s="274">
        <f t="shared" si="59"/>
        <v>0</v>
      </c>
    </row>
    <row r="1917" spans="17:18">
      <c r="Q1917" s="274">
        <f t="shared" si="58"/>
        <v>0</v>
      </c>
      <c r="R1917" s="274">
        <f t="shared" si="59"/>
        <v>0</v>
      </c>
    </row>
    <row r="1918" spans="17:18">
      <c r="Q1918" s="274">
        <f t="shared" si="58"/>
        <v>0</v>
      </c>
      <c r="R1918" s="274">
        <f t="shared" si="59"/>
        <v>0</v>
      </c>
    </row>
    <row r="1919" spans="17:18">
      <c r="Q1919" s="274">
        <f t="shared" si="58"/>
        <v>0</v>
      </c>
      <c r="R1919" s="274">
        <f t="shared" si="59"/>
        <v>0</v>
      </c>
    </row>
    <row r="1920" spans="17:18">
      <c r="Q1920" s="274">
        <f t="shared" si="58"/>
        <v>0</v>
      </c>
      <c r="R1920" s="274">
        <f t="shared" si="59"/>
        <v>0</v>
      </c>
    </row>
    <row r="1921" spans="17:18">
      <c r="Q1921" s="274">
        <f t="shared" si="58"/>
        <v>0</v>
      </c>
      <c r="R1921" s="274">
        <f t="shared" si="59"/>
        <v>0</v>
      </c>
    </row>
    <row r="1922" spans="17:18">
      <c r="Q1922" s="274">
        <f t="shared" ref="Q1922:Q1985" si="60">IF($J1924=$A$21,IF($M1924=$A$16,$L1924,0),0)</f>
        <v>0</v>
      </c>
      <c r="R1922" s="274">
        <f t="shared" ref="R1922:R1985" si="61">IF($J1924=$A$22,IF($M1924=$A$16,$L1924,0),0)</f>
        <v>0</v>
      </c>
    </row>
    <row r="1923" spans="17:18">
      <c r="Q1923" s="274">
        <f t="shared" si="60"/>
        <v>0</v>
      </c>
      <c r="R1923" s="274">
        <f t="shared" si="61"/>
        <v>0</v>
      </c>
    </row>
    <row r="1924" spans="17:18">
      <c r="Q1924" s="274">
        <f t="shared" si="60"/>
        <v>0</v>
      </c>
      <c r="R1924" s="274">
        <f t="shared" si="61"/>
        <v>0</v>
      </c>
    </row>
    <row r="1925" spans="17:18">
      <c r="Q1925" s="274">
        <f t="shared" si="60"/>
        <v>0</v>
      </c>
      <c r="R1925" s="274">
        <f t="shared" si="61"/>
        <v>0</v>
      </c>
    </row>
    <row r="1926" spans="17:18">
      <c r="Q1926" s="274">
        <f t="shared" si="60"/>
        <v>0</v>
      </c>
      <c r="R1926" s="274">
        <f t="shared" si="61"/>
        <v>0</v>
      </c>
    </row>
    <row r="1927" spans="17:18">
      <c r="Q1927" s="274">
        <f t="shared" si="60"/>
        <v>0</v>
      </c>
      <c r="R1927" s="274">
        <f t="shared" si="61"/>
        <v>0</v>
      </c>
    </row>
    <row r="1928" spans="17:18">
      <c r="Q1928" s="274">
        <f t="shared" si="60"/>
        <v>0</v>
      </c>
      <c r="R1928" s="274">
        <f t="shared" si="61"/>
        <v>0</v>
      </c>
    </row>
    <row r="1929" spans="17:18">
      <c r="Q1929" s="274">
        <f t="shared" si="60"/>
        <v>0</v>
      </c>
      <c r="R1929" s="274">
        <f t="shared" si="61"/>
        <v>0</v>
      </c>
    </row>
    <row r="1930" spans="17:18">
      <c r="Q1930" s="274">
        <f t="shared" si="60"/>
        <v>0</v>
      </c>
      <c r="R1930" s="274">
        <f t="shared" si="61"/>
        <v>0</v>
      </c>
    </row>
    <row r="1931" spans="17:18">
      <c r="Q1931" s="274">
        <f t="shared" si="60"/>
        <v>0</v>
      </c>
      <c r="R1931" s="274">
        <f t="shared" si="61"/>
        <v>0</v>
      </c>
    </row>
    <row r="1932" spans="17:18">
      <c r="Q1932" s="274">
        <f t="shared" si="60"/>
        <v>0</v>
      </c>
      <c r="R1932" s="274">
        <f t="shared" si="61"/>
        <v>0</v>
      </c>
    </row>
    <row r="1933" spans="17:18">
      <c r="Q1933" s="274">
        <f t="shared" si="60"/>
        <v>0</v>
      </c>
      <c r="R1933" s="274">
        <f t="shared" si="61"/>
        <v>0</v>
      </c>
    </row>
    <row r="1934" spans="17:18">
      <c r="Q1934" s="274">
        <f t="shared" si="60"/>
        <v>0</v>
      </c>
      <c r="R1934" s="274">
        <f t="shared" si="61"/>
        <v>0</v>
      </c>
    </row>
    <row r="1935" spans="17:18">
      <c r="Q1935" s="274">
        <f t="shared" si="60"/>
        <v>0</v>
      </c>
      <c r="R1935" s="274">
        <f t="shared" si="61"/>
        <v>0</v>
      </c>
    </row>
    <row r="1936" spans="17:18">
      <c r="Q1936" s="274">
        <f t="shared" si="60"/>
        <v>0</v>
      </c>
      <c r="R1936" s="274">
        <f t="shared" si="61"/>
        <v>0</v>
      </c>
    </row>
    <row r="1937" spans="17:18">
      <c r="Q1937" s="274">
        <f t="shared" si="60"/>
        <v>0</v>
      </c>
      <c r="R1937" s="274">
        <f t="shared" si="61"/>
        <v>0</v>
      </c>
    </row>
    <row r="1938" spans="17:18">
      <c r="Q1938" s="274">
        <f t="shared" si="60"/>
        <v>0</v>
      </c>
      <c r="R1938" s="274">
        <f t="shared" si="61"/>
        <v>0</v>
      </c>
    </row>
    <row r="1939" spans="17:18">
      <c r="Q1939" s="274">
        <f t="shared" si="60"/>
        <v>0</v>
      </c>
      <c r="R1939" s="274">
        <f t="shared" si="61"/>
        <v>0</v>
      </c>
    </row>
    <row r="1940" spans="17:18">
      <c r="Q1940" s="274">
        <f t="shared" si="60"/>
        <v>0</v>
      </c>
      <c r="R1940" s="274">
        <f t="shared" si="61"/>
        <v>0</v>
      </c>
    </row>
    <row r="1941" spans="17:18">
      <c r="Q1941" s="274">
        <f t="shared" si="60"/>
        <v>0</v>
      </c>
      <c r="R1941" s="274">
        <f t="shared" si="61"/>
        <v>0</v>
      </c>
    </row>
    <row r="1942" spans="17:18">
      <c r="Q1942" s="274">
        <f t="shared" si="60"/>
        <v>0</v>
      </c>
      <c r="R1942" s="274">
        <f t="shared" si="61"/>
        <v>0</v>
      </c>
    </row>
    <row r="1943" spans="17:18">
      <c r="Q1943" s="274">
        <f t="shared" si="60"/>
        <v>0</v>
      </c>
      <c r="R1943" s="274">
        <f t="shared" si="61"/>
        <v>0</v>
      </c>
    </row>
    <row r="1944" spans="17:18">
      <c r="Q1944" s="274">
        <f t="shared" si="60"/>
        <v>0</v>
      </c>
      <c r="R1944" s="274">
        <f t="shared" si="61"/>
        <v>0</v>
      </c>
    </row>
    <row r="1945" spans="17:18">
      <c r="Q1945" s="274">
        <f t="shared" si="60"/>
        <v>0</v>
      </c>
      <c r="R1945" s="274">
        <f t="shared" si="61"/>
        <v>0</v>
      </c>
    </row>
    <row r="1946" spans="17:18">
      <c r="Q1946" s="274">
        <f t="shared" si="60"/>
        <v>0</v>
      </c>
      <c r="R1946" s="274">
        <f t="shared" si="61"/>
        <v>0</v>
      </c>
    </row>
    <row r="1947" spans="17:18">
      <c r="Q1947" s="274">
        <f t="shared" si="60"/>
        <v>0</v>
      </c>
      <c r="R1947" s="274">
        <f t="shared" si="61"/>
        <v>0</v>
      </c>
    </row>
    <row r="1948" spans="17:18">
      <c r="Q1948" s="274">
        <f t="shared" si="60"/>
        <v>0</v>
      </c>
      <c r="R1948" s="274">
        <f t="shared" si="61"/>
        <v>0</v>
      </c>
    </row>
    <row r="1949" spans="17:18">
      <c r="Q1949" s="274">
        <f t="shared" si="60"/>
        <v>0</v>
      </c>
      <c r="R1949" s="274">
        <f t="shared" si="61"/>
        <v>0</v>
      </c>
    </row>
    <row r="1950" spans="17:18">
      <c r="Q1950" s="274">
        <f t="shared" si="60"/>
        <v>0</v>
      </c>
      <c r="R1950" s="274">
        <f t="shared" si="61"/>
        <v>0</v>
      </c>
    </row>
    <row r="1951" spans="17:18">
      <c r="Q1951" s="274">
        <f t="shared" si="60"/>
        <v>0</v>
      </c>
      <c r="R1951" s="274">
        <f t="shared" si="61"/>
        <v>0</v>
      </c>
    </row>
    <row r="1952" spans="17:18">
      <c r="Q1952" s="274">
        <f t="shared" si="60"/>
        <v>0</v>
      </c>
      <c r="R1952" s="274">
        <f t="shared" si="61"/>
        <v>0</v>
      </c>
    </row>
    <row r="1953" spans="17:18">
      <c r="Q1953" s="274">
        <f t="shared" si="60"/>
        <v>0</v>
      </c>
      <c r="R1953" s="274">
        <f t="shared" si="61"/>
        <v>0</v>
      </c>
    </row>
    <row r="1954" spans="17:18">
      <c r="Q1954" s="274">
        <f t="shared" si="60"/>
        <v>0</v>
      </c>
      <c r="R1954" s="274">
        <f t="shared" si="61"/>
        <v>0</v>
      </c>
    </row>
    <row r="1955" spans="17:18">
      <c r="Q1955" s="274">
        <f t="shared" si="60"/>
        <v>0</v>
      </c>
      <c r="R1955" s="274">
        <f t="shared" si="61"/>
        <v>0</v>
      </c>
    </row>
    <row r="1956" spans="17:18">
      <c r="Q1956" s="274">
        <f t="shared" si="60"/>
        <v>0</v>
      </c>
      <c r="R1956" s="274">
        <f t="shared" si="61"/>
        <v>0</v>
      </c>
    </row>
    <row r="1957" spans="17:18">
      <c r="Q1957" s="274">
        <f t="shared" si="60"/>
        <v>0</v>
      </c>
      <c r="R1957" s="274">
        <f t="shared" si="61"/>
        <v>0</v>
      </c>
    </row>
    <row r="1958" spans="17:18">
      <c r="Q1958" s="274">
        <f t="shared" si="60"/>
        <v>0</v>
      </c>
      <c r="R1958" s="274">
        <f t="shared" si="61"/>
        <v>0</v>
      </c>
    </row>
    <row r="1959" spans="17:18">
      <c r="Q1959" s="274">
        <f t="shared" si="60"/>
        <v>0</v>
      </c>
      <c r="R1959" s="274">
        <f t="shared" si="61"/>
        <v>0</v>
      </c>
    </row>
    <row r="1960" spans="17:18">
      <c r="Q1960" s="274">
        <f t="shared" si="60"/>
        <v>0</v>
      </c>
      <c r="R1960" s="274">
        <f t="shared" si="61"/>
        <v>0</v>
      </c>
    </row>
    <row r="1961" spans="17:18">
      <c r="Q1961" s="274">
        <f t="shared" si="60"/>
        <v>0</v>
      </c>
      <c r="R1961" s="274">
        <f t="shared" si="61"/>
        <v>0</v>
      </c>
    </row>
    <row r="1962" spans="17:18">
      <c r="Q1962" s="274">
        <f t="shared" si="60"/>
        <v>0</v>
      </c>
      <c r="R1962" s="274">
        <f t="shared" si="61"/>
        <v>0</v>
      </c>
    </row>
    <row r="1963" spans="17:18">
      <c r="Q1963" s="274">
        <f t="shared" si="60"/>
        <v>0</v>
      </c>
      <c r="R1963" s="274">
        <f t="shared" si="61"/>
        <v>0</v>
      </c>
    </row>
    <row r="1964" spans="17:18">
      <c r="Q1964" s="274">
        <f t="shared" si="60"/>
        <v>0</v>
      </c>
      <c r="R1964" s="274">
        <f t="shared" si="61"/>
        <v>0</v>
      </c>
    </row>
    <row r="1965" spans="17:18">
      <c r="Q1965" s="274">
        <f t="shared" si="60"/>
        <v>0</v>
      </c>
      <c r="R1965" s="274">
        <f t="shared" si="61"/>
        <v>0</v>
      </c>
    </row>
    <row r="1966" spans="17:18">
      <c r="Q1966" s="274">
        <f t="shared" si="60"/>
        <v>0</v>
      </c>
      <c r="R1966" s="274">
        <f t="shared" si="61"/>
        <v>0</v>
      </c>
    </row>
    <row r="1967" spans="17:18">
      <c r="Q1967" s="274">
        <f t="shared" si="60"/>
        <v>0</v>
      </c>
      <c r="R1967" s="274">
        <f t="shared" si="61"/>
        <v>0</v>
      </c>
    </row>
    <row r="1968" spans="17:18">
      <c r="Q1968" s="274">
        <f t="shared" si="60"/>
        <v>0</v>
      </c>
      <c r="R1968" s="274">
        <f t="shared" si="61"/>
        <v>0</v>
      </c>
    </row>
    <row r="1969" spans="17:18">
      <c r="Q1969" s="274">
        <f t="shared" si="60"/>
        <v>0</v>
      </c>
      <c r="R1969" s="274">
        <f t="shared" si="61"/>
        <v>0</v>
      </c>
    </row>
    <row r="1970" spans="17:18">
      <c r="Q1970" s="274">
        <f t="shared" si="60"/>
        <v>0</v>
      </c>
      <c r="R1970" s="274">
        <f t="shared" si="61"/>
        <v>0</v>
      </c>
    </row>
    <row r="1971" spans="17:18">
      <c r="Q1971" s="274">
        <f t="shared" si="60"/>
        <v>0</v>
      </c>
      <c r="R1971" s="274">
        <f t="shared" si="61"/>
        <v>0</v>
      </c>
    </row>
    <row r="1972" spans="17:18">
      <c r="Q1972" s="274">
        <f t="shared" si="60"/>
        <v>0</v>
      </c>
      <c r="R1972" s="274">
        <f t="shared" si="61"/>
        <v>0</v>
      </c>
    </row>
    <row r="1973" spans="17:18">
      <c r="Q1973" s="274">
        <f t="shared" si="60"/>
        <v>0</v>
      </c>
      <c r="R1973" s="274">
        <f t="shared" si="61"/>
        <v>0</v>
      </c>
    </row>
    <row r="1974" spans="17:18">
      <c r="Q1974" s="274">
        <f t="shared" si="60"/>
        <v>0</v>
      </c>
      <c r="R1974" s="274">
        <f t="shared" si="61"/>
        <v>0</v>
      </c>
    </row>
    <row r="1975" spans="17:18">
      <c r="Q1975" s="274">
        <f t="shared" si="60"/>
        <v>0</v>
      </c>
      <c r="R1975" s="274">
        <f t="shared" si="61"/>
        <v>0</v>
      </c>
    </row>
    <row r="1976" spans="17:18">
      <c r="Q1976" s="274">
        <f t="shared" si="60"/>
        <v>0</v>
      </c>
      <c r="R1976" s="274">
        <f t="shared" si="61"/>
        <v>0</v>
      </c>
    </row>
    <row r="1977" spans="17:18">
      <c r="Q1977" s="274">
        <f t="shared" si="60"/>
        <v>0</v>
      </c>
      <c r="R1977" s="274">
        <f t="shared" si="61"/>
        <v>0</v>
      </c>
    </row>
    <row r="1978" spans="17:18">
      <c r="Q1978" s="274">
        <f t="shared" si="60"/>
        <v>0</v>
      </c>
      <c r="R1978" s="274">
        <f t="shared" si="61"/>
        <v>0</v>
      </c>
    </row>
    <row r="1979" spans="17:18">
      <c r="Q1979" s="274">
        <f t="shared" si="60"/>
        <v>0</v>
      </c>
      <c r="R1979" s="274">
        <f t="shared" si="61"/>
        <v>0</v>
      </c>
    </row>
    <row r="1980" spans="17:18">
      <c r="Q1980" s="274">
        <f t="shared" si="60"/>
        <v>0</v>
      </c>
      <c r="R1980" s="274">
        <f t="shared" si="61"/>
        <v>0</v>
      </c>
    </row>
    <row r="1981" spans="17:18">
      <c r="Q1981" s="274">
        <f t="shared" si="60"/>
        <v>0</v>
      </c>
      <c r="R1981" s="274">
        <f t="shared" si="61"/>
        <v>0</v>
      </c>
    </row>
    <row r="1982" spans="17:18">
      <c r="Q1982" s="274">
        <f t="shared" si="60"/>
        <v>0</v>
      </c>
      <c r="R1982" s="274">
        <f t="shared" si="61"/>
        <v>0</v>
      </c>
    </row>
    <row r="1983" spans="17:18">
      <c r="Q1983" s="274">
        <f t="shared" si="60"/>
        <v>0</v>
      </c>
      <c r="R1983" s="274">
        <f t="shared" si="61"/>
        <v>0</v>
      </c>
    </row>
    <row r="1984" spans="17:18">
      <c r="Q1984" s="274">
        <f t="shared" si="60"/>
        <v>0</v>
      </c>
      <c r="R1984" s="274">
        <f t="shared" si="61"/>
        <v>0</v>
      </c>
    </row>
    <row r="1985" spans="17:18">
      <c r="Q1985" s="274">
        <f t="shared" si="60"/>
        <v>0</v>
      </c>
      <c r="R1985" s="274">
        <f t="shared" si="61"/>
        <v>0</v>
      </c>
    </row>
    <row r="1986" spans="17:18">
      <c r="Q1986" s="274">
        <f t="shared" ref="Q1986:Q2049" si="62">IF($J1988=$A$21,IF($M1988=$A$16,$L1988,0),0)</f>
        <v>0</v>
      </c>
      <c r="R1986" s="274">
        <f t="shared" ref="R1986:R2049" si="63">IF($J1988=$A$22,IF($M1988=$A$16,$L1988,0),0)</f>
        <v>0</v>
      </c>
    </row>
    <row r="1987" spans="17:18">
      <c r="Q1987" s="274">
        <f t="shared" si="62"/>
        <v>0</v>
      </c>
      <c r="R1987" s="274">
        <f t="shared" si="63"/>
        <v>0</v>
      </c>
    </row>
    <row r="1988" spans="17:18">
      <c r="Q1988" s="274">
        <f t="shared" si="62"/>
        <v>0</v>
      </c>
      <c r="R1988" s="274">
        <f t="shared" si="63"/>
        <v>0</v>
      </c>
    </row>
    <row r="1989" spans="17:18">
      <c r="Q1989" s="274">
        <f t="shared" si="62"/>
        <v>0</v>
      </c>
      <c r="R1989" s="274">
        <f t="shared" si="63"/>
        <v>0</v>
      </c>
    </row>
    <row r="1990" spans="17:18">
      <c r="Q1990" s="274">
        <f t="shared" si="62"/>
        <v>0</v>
      </c>
      <c r="R1990" s="274">
        <f t="shared" si="63"/>
        <v>0</v>
      </c>
    </row>
    <row r="1991" spans="17:18">
      <c r="Q1991" s="274">
        <f t="shared" si="62"/>
        <v>0</v>
      </c>
      <c r="R1991" s="274">
        <f t="shared" si="63"/>
        <v>0</v>
      </c>
    </row>
    <row r="1992" spans="17:18">
      <c r="Q1992" s="274">
        <f t="shared" si="62"/>
        <v>0</v>
      </c>
      <c r="R1992" s="274">
        <f t="shared" si="63"/>
        <v>0</v>
      </c>
    </row>
    <row r="1993" spans="17:18">
      <c r="Q1993" s="274">
        <f t="shared" si="62"/>
        <v>0</v>
      </c>
      <c r="R1993" s="274">
        <f t="shared" si="63"/>
        <v>0</v>
      </c>
    </row>
    <row r="1994" spans="17:18">
      <c r="Q1994" s="274">
        <f t="shared" si="62"/>
        <v>0</v>
      </c>
      <c r="R1994" s="274">
        <f t="shared" si="63"/>
        <v>0</v>
      </c>
    </row>
    <row r="1995" spans="17:18">
      <c r="Q1995" s="274">
        <f t="shared" si="62"/>
        <v>0</v>
      </c>
      <c r="R1995" s="274">
        <f t="shared" si="63"/>
        <v>0</v>
      </c>
    </row>
    <row r="1996" spans="17:18">
      <c r="Q1996" s="274">
        <f t="shared" si="62"/>
        <v>0</v>
      </c>
      <c r="R1996" s="274">
        <f t="shared" si="63"/>
        <v>0</v>
      </c>
    </row>
    <row r="1997" spans="17:18">
      <c r="Q1997" s="274">
        <f t="shared" si="62"/>
        <v>0</v>
      </c>
      <c r="R1997" s="274">
        <f t="shared" si="63"/>
        <v>0</v>
      </c>
    </row>
    <row r="1998" spans="17:18">
      <c r="Q1998" s="274">
        <f t="shared" si="62"/>
        <v>0</v>
      </c>
      <c r="R1998" s="274">
        <f t="shared" si="63"/>
        <v>0</v>
      </c>
    </row>
    <row r="1999" spans="17:18">
      <c r="Q1999" s="274">
        <f t="shared" si="62"/>
        <v>0</v>
      </c>
      <c r="R1999" s="274">
        <f t="shared" si="63"/>
        <v>0</v>
      </c>
    </row>
    <row r="2000" spans="17:18">
      <c r="Q2000" s="274">
        <f t="shared" si="62"/>
        <v>0</v>
      </c>
      <c r="R2000" s="274">
        <f t="shared" si="63"/>
        <v>0</v>
      </c>
    </row>
    <row r="2001" spans="17:18">
      <c r="Q2001" s="274">
        <f t="shared" si="62"/>
        <v>0</v>
      </c>
      <c r="R2001" s="274">
        <f t="shared" si="63"/>
        <v>0</v>
      </c>
    </row>
  </sheetData>
  <conditionalFormatting sqref="D2:O6">
    <cfRule type="expression" dxfId="63" priority="1">
      <formula xml:space="preserve"> "تسویه شد" = $M2</formula>
    </cfRule>
    <cfRule type="expression" dxfId="62" priority="2">
      <formula xml:space="preserve"> "----------" = $M2</formula>
    </cfRule>
    <cfRule type="expression" dxfId="61" priority="3">
      <formula>"-" = $M2</formula>
    </cfRule>
  </conditionalFormatting>
  <dataValidations count="3">
    <dataValidation type="list" allowBlank="1" showInputMessage="1" showErrorMessage="1" sqref="H2:H6" xr:uid="{7C4D5CDD-7D9D-47C2-9180-4D6E95168ACC}">
      <formula1>$A$25:$A$33</formula1>
    </dataValidation>
    <dataValidation type="list" allowBlank="1" showInputMessage="1" showErrorMessage="1" sqref="J2:J6" xr:uid="{C78128B0-7BC5-4D9D-99A2-96185267C9E3}">
      <formula1>$A$21:$A$22</formula1>
    </dataValidation>
    <dataValidation type="list" allowBlank="1" showInputMessage="1" showErrorMessage="1" sqref="M2:M6" xr:uid="{D6E38A0A-6455-4002-94A0-2DE147AB35DC}">
      <formula1>$A$16:$A$18</formula1>
    </dataValidation>
  </dataValidations>
  <hyperlinks>
    <hyperlink ref="A3" location="فهرست!A1" display="فهرست" xr:uid="{87EE3D99-6BCA-49EC-A28E-C3BFE91C1183}"/>
    <hyperlink ref="A4" location="تراکنش‌ها!A1" display="تراکنش‌ها" xr:uid="{10ADEABA-3B3C-469A-9E7F-691B2DA5FAB0}"/>
  </hyperlink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>
      <c r="A1" s="9" t="s">
        <v>8</v>
      </c>
      <c r="B1" s="35" t="s">
        <v>115</v>
      </c>
      <c r="C1" s="50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/>
    <row r="3" spans="1:23" ht="15.75">
      <c r="A3" s="317" t="s">
        <v>157</v>
      </c>
      <c r="B3" s="317"/>
      <c r="D3" s="41"/>
      <c r="F3" s="41"/>
      <c r="H3" s="41"/>
      <c r="J3" s="41"/>
      <c r="L3" s="41"/>
      <c r="N3" s="41"/>
      <c r="P3" s="48"/>
      <c r="Q3" s="48"/>
      <c r="R3" s="41"/>
      <c r="S3" s="41"/>
      <c r="T3" s="41"/>
      <c r="U3" s="41"/>
      <c r="V3" s="41"/>
      <c r="W3" s="41"/>
    </row>
    <row r="4" spans="1:23" ht="15.75" customHeight="1">
      <c r="A4" s="43" t="s">
        <v>156</v>
      </c>
      <c r="B4" s="43" t="s">
        <v>168</v>
      </c>
      <c r="D4" s="41"/>
      <c r="F4" s="41"/>
      <c r="H4" s="41"/>
      <c r="J4" s="41"/>
      <c r="L4" s="41"/>
      <c r="N4" s="41"/>
      <c r="P4" s="48"/>
      <c r="Q4" s="48"/>
      <c r="R4" s="41"/>
      <c r="S4" s="41"/>
      <c r="T4" s="41"/>
      <c r="U4" s="41"/>
      <c r="V4" s="41"/>
      <c r="W4" s="41"/>
    </row>
    <row r="5" spans="1:23" ht="15.75">
      <c r="A5" s="42">
        <v>1</v>
      </c>
      <c r="B5" s="42" t="s">
        <v>306</v>
      </c>
      <c r="D5" s="67" t="s">
        <v>306</v>
      </c>
      <c r="F5" s="67" t="s">
        <v>158</v>
      </c>
      <c r="G5" s="48"/>
      <c r="H5" s="67" t="s">
        <v>160</v>
      </c>
      <c r="I5" s="48"/>
      <c r="J5" s="67" t="s">
        <v>162</v>
      </c>
      <c r="K5" s="48"/>
      <c r="L5" s="67" t="s">
        <v>164</v>
      </c>
      <c r="N5" s="67" t="s">
        <v>165</v>
      </c>
      <c r="O5" s="48"/>
      <c r="P5" s="67" t="s">
        <v>163</v>
      </c>
      <c r="Q5" s="48"/>
      <c r="R5" s="68" t="s">
        <v>316</v>
      </c>
    </row>
    <row r="6" spans="1:23" ht="15.75">
      <c r="A6" s="42">
        <v>2</v>
      </c>
      <c r="B6" s="65" t="s">
        <v>158</v>
      </c>
      <c r="D6" s="67" t="s">
        <v>317</v>
      </c>
      <c r="F6" s="67" t="s">
        <v>159</v>
      </c>
      <c r="G6" s="48"/>
      <c r="H6" s="67" t="s">
        <v>161</v>
      </c>
      <c r="I6" s="48"/>
      <c r="J6" s="67" t="s">
        <v>318</v>
      </c>
      <c r="K6" s="48"/>
      <c r="L6" s="67" t="s">
        <v>317</v>
      </c>
      <c r="M6" s="48"/>
      <c r="N6" s="67" t="s">
        <v>153</v>
      </c>
      <c r="O6" s="48"/>
      <c r="P6" s="67" t="s">
        <v>319</v>
      </c>
      <c r="Q6" s="48"/>
      <c r="R6" s="66" t="s">
        <v>314</v>
      </c>
    </row>
    <row r="7" spans="1:23" ht="15.75">
      <c r="A7" s="42">
        <v>3</v>
      </c>
      <c r="B7" s="42" t="s">
        <v>310</v>
      </c>
      <c r="F7" s="47"/>
      <c r="G7" s="48"/>
      <c r="H7" s="47"/>
      <c r="I7" s="48"/>
      <c r="J7" s="47"/>
      <c r="K7" s="48"/>
      <c r="L7" s="67" t="s">
        <v>311</v>
      </c>
      <c r="M7" s="48"/>
      <c r="N7" s="47"/>
      <c r="O7" s="48"/>
      <c r="P7" s="47"/>
      <c r="Q7" s="48"/>
    </row>
    <row r="8" spans="1:23" ht="15.75">
      <c r="A8" s="42">
        <v>4</v>
      </c>
      <c r="B8" s="42" t="s">
        <v>307</v>
      </c>
      <c r="F8" s="47"/>
      <c r="G8" s="48"/>
      <c r="H8" s="47"/>
      <c r="I8" s="48"/>
      <c r="J8" s="47"/>
      <c r="K8" s="48"/>
      <c r="L8" s="67" t="s">
        <v>312</v>
      </c>
      <c r="M8" s="48"/>
      <c r="N8" s="47"/>
      <c r="O8" s="48"/>
      <c r="P8" s="47"/>
      <c r="Q8" s="48"/>
    </row>
    <row r="9" spans="1:23" ht="15.75">
      <c r="A9" s="42">
        <v>5</v>
      </c>
      <c r="B9" s="42" t="s">
        <v>313</v>
      </c>
      <c r="H9" s="47"/>
      <c r="I9" s="48"/>
      <c r="J9" s="47"/>
      <c r="K9" s="48"/>
      <c r="L9" s="47"/>
      <c r="M9" s="48"/>
      <c r="N9" s="47"/>
      <c r="O9" s="48"/>
    </row>
    <row r="10" spans="1:23" ht="15.75">
      <c r="A10" s="42">
        <v>6</v>
      </c>
      <c r="B10" s="42" t="s">
        <v>308</v>
      </c>
      <c r="L10" s="47"/>
    </row>
    <row r="11" spans="1:23" ht="15.75">
      <c r="A11" s="42">
        <v>7</v>
      </c>
      <c r="B11" s="42" t="s">
        <v>309</v>
      </c>
      <c r="L11" s="47"/>
    </row>
    <row r="12" spans="1:23" ht="15.75">
      <c r="A12" s="42">
        <v>8</v>
      </c>
      <c r="B12" s="42" t="s">
        <v>315</v>
      </c>
    </row>
    <row r="13" spans="1:23" ht="15.75">
      <c r="A13" s="42"/>
      <c r="B13" s="42"/>
    </row>
    <row r="14" spans="1:23" ht="15.75">
      <c r="A14" s="42"/>
      <c r="B14" s="42"/>
    </row>
    <row r="15" spans="1:23" ht="15.75">
      <c r="A15" s="42"/>
      <c r="B15" s="42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/>
  <sheetData>
    <row r="1" spans="1:2">
      <c r="A1" t="s">
        <v>12</v>
      </c>
    </row>
    <row r="4" spans="1:2">
      <c r="B4" t="s">
        <v>142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D11" sqref="D11"/>
    </sheetView>
  </sheetViews>
  <sheetFormatPr defaultRowHeight="1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60" customWidth="1"/>
    <col min="6" max="6" width="21.42578125" customWidth="1"/>
    <col min="7" max="7" width="0.7109375" style="60" customWidth="1"/>
    <col min="8" max="8" width="15.7109375" customWidth="1"/>
    <col min="9" max="9" width="0.7109375" style="60" customWidth="1"/>
    <col min="10" max="10" width="20.7109375" customWidth="1"/>
    <col min="11" max="11" width="0.7109375" style="60" customWidth="1"/>
    <col min="12" max="12" width="21.42578125" customWidth="1"/>
    <col min="13" max="13" width="0.7109375" style="60" customWidth="1"/>
    <col min="14" max="14" width="14.28515625" customWidth="1"/>
    <col min="15" max="15" width="0.7109375" style="60" customWidth="1"/>
    <col min="16" max="16" width="18.85546875" customWidth="1"/>
    <col min="17" max="17" width="0.7109375" style="60" customWidth="1"/>
    <col min="18" max="18" width="17.140625" customWidth="1"/>
    <col min="19" max="19" width="0.7109375" style="60" customWidth="1"/>
    <col min="20" max="20" width="17.140625" customWidth="1"/>
    <col min="21" max="21" width="0.7109375" style="60" customWidth="1"/>
    <col min="22" max="22" width="30.7109375" customWidth="1"/>
    <col min="23" max="23" width="0.7109375" style="60" customWidth="1"/>
    <col min="24" max="24" width="22.85546875" customWidth="1"/>
    <col min="25" max="25" width="0.7109375" style="60" customWidth="1"/>
    <col min="26" max="26" width="17.140625" customWidth="1"/>
    <col min="27" max="27" width="0.7109375" style="60" customWidth="1"/>
    <col min="28" max="28" width="22.85546875" customWidth="1"/>
    <col min="29" max="29" width="0.7109375" style="60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>
      <c r="A1" s="9" t="s">
        <v>8</v>
      </c>
      <c r="B1" s="35" t="s">
        <v>115</v>
      </c>
      <c r="C1" s="49"/>
      <c r="D1" s="60"/>
      <c r="F1" s="41"/>
      <c r="H1" s="41"/>
      <c r="J1" s="41"/>
      <c r="L1" s="41"/>
      <c r="N1" s="60"/>
      <c r="P1" s="60"/>
      <c r="R1" s="60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>
      <c r="A2" s="9" t="s">
        <v>8</v>
      </c>
      <c r="B2" s="35" t="s">
        <v>115</v>
      </c>
      <c r="C2" s="49"/>
      <c r="D2" s="60"/>
      <c r="F2" s="41"/>
      <c r="H2" s="41"/>
      <c r="J2" s="41"/>
      <c r="L2" s="41"/>
      <c r="N2" s="60"/>
      <c r="P2" s="60"/>
      <c r="R2" s="60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>
      <c r="D3" s="60"/>
      <c r="E3" s="60"/>
      <c r="G3" s="60"/>
      <c r="I3" s="60"/>
      <c r="K3" s="60"/>
      <c r="M3" s="60"/>
      <c r="N3" s="60"/>
      <c r="O3" s="60"/>
      <c r="P3" s="60"/>
      <c r="Q3" s="60"/>
      <c r="R3" s="60"/>
      <c r="S3" s="60"/>
      <c r="U3" s="60"/>
      <c r="W3" s="60"/>
      <c r="Y3" s="60"/>
      <c r="AA3" s="60"/>
      <c r="AC3" s="60"/>
    </row>
    <row r="4" spans="1:55" ht="15.75">
      <c r="A4" s="318" t="s">
        <v>166</v>
      </c>
      <c r="B4" s="318"/>
      <c r="D4" s="42" t="s">
        <v>184</v>
      </c>
      <c r="E4" s="61"/>
      <c r="F4" s="42" t="s">
        <v>188</v>
      </c>
      <c r="G4" s="61"/>
      <c r="H4" s="42" t="s">
        <v>182</v>
      </c>
      <c r="I4" s="61"/>
      <c r="J4" s="42" t="s">
        <v>172</v>
      </c>
      <c r="K4" s="61"/>
      <c r="L4" s="42" t="s">
        <v>171</v>
      </c>
      <c r="M4" s="61"/>
      <c r="N4" s="42" t="s">
        <v>173</v>
      </c>
      <c r="O4" s="61"/>
      <c r="P4" s="42" t="s">
        <v>177</v>
      </c>
      <c r="Q4" s="61"/>
      <c r="R4" s="42" t="s">
        <v>183</v>
      </c>
      <c r="S4" s="61"/>
      <c r="T4" s="42" t="s">
        <v>198</v>
      </c>
      <c r="U4" s="61"/>
      <c r="V4" s="42" t="s">
        <v>181</v>
      </c>
      <c r="W4" s="61"/>
      <c r="X4" s="42" t="s">
        <v>260</v>
      </c>
      <c r="Y4" s="61"/>
      <c r="Z4" s="42" t="s">
        <v>185</v>
      </c>
      <c r="AA4" s="61"/>
      <c r="AB4" s="42" t="s">
        <v>202</v>
      </c>
      <c r="AC4" s="61"/>
      <c r="AD4" s="42" t="s">
        <v>270</v>
      </c>
      <c r="AE4" s="62"/>
      <c r="AF4" s="42" t="s">
        <v>273</v>
      </c>
      <c r="AG4" s="62"/>
      <c r="AH4" s="42" t="s">
        <v>275</v>
      </c>
      <c r="AI4" s="62"/>
      <c r="AJ4" s="42" t="s">
        <v>175</v>
      </c>
      <c r="AK4" s="62"/>
      <c r="AL4" s="42" t="s">
        <v>224</v>
      </c>
      <c r="AM4" s="62"/>
      <c r="AN4" s="42" t="s">
        <v>238</v>
      </c>
      <c r="AO4" s="62"/>
      <c r="AP4" s="42" t="s">
        <v>174</v>
      </c>
      <c r="AQ4" s="62"/>
      <c r="AR4" s="42" t="s">
        <v>276</v>
      </c>
      <c r="AS4" s="62"/>
      <c r="AT4" s="42" t="s">
        <v>243</v>
      </c>
      <c r="AU4" s="62"/>
      <c r="AV4" s="42" t="s">
        <v>176</v>
      </c>
      <c r="AW4" s="48"/>
      <c r="AX4" s="47" t="s">
        <v>170</v>
      </c>
      <c r="AY4" s="47"/>
      <c r="AZ4" s="47"/>
      <c r="BA4" s="47"/>
    </row>
    <row r="5" spans="1:55" ht="15.75">
      <c r="A5" s="42" t="s">
        <v>167</v>
      </c>
      <c r="B5" s="42" t="s">
        <v>169</v>
      </c>
      <c r="D5" s="42" t="s">
        <v>263</v>
      </c>
      <c r="E5" s="61"/>
      <c r="F5" s="42" t="s">
        <v>193</v>
      </c>
      <c r="G5" s="61"/>
      <c r="H5" s="42" t="s">
        <v>212</v>
      </c>
      <c r="I5" s="61"/>
      <c r="J5" s="42" t="s">
        <v>217</v>
      </c>
      <c r="K5" s="61"/>
      <c r="L5" s="42" t="s">
        <v>221</v>
      </c>
      <c r="M5" s="61"/>
      <c r="N5" s="42" t="s">
        <v>199</v>
      </c>
      <c r="O5" s="61"/>
      <c r="P5" s="42" t="s">
        <v>266</v>
      </c>
      <c r="Q5" s="61"/>
      <c r="R5" s="42" t="s">
        <v>234</v>
      </c>
      <c r="S5" s="61"/>
      <c r="T5" s="42" t="s">
        <v>203</v>
      </c>
      <c r="U5" s="61"/>
      <c r="V5" s="42" t="s">
        <v>208</v>
      </c>
      <c r="W5" s="61"/>
      <c r="X5" s="42" t="s">
        <v>267</v>
      </c>
      <c r="Y5" s="61"/>
      <c r="Z5" s="42" t="s">
        <v>268</v>
      </c>
      <c r="AA5" s="61"/>
      <c r="AB5" s="42" t="s">
        <v>265</v>
      </c>
      <c r="AC5" s="61"/>
      <c r="AD5" s="42" t="s">
        <v>279</v>
      </c>
      <c r="AE5" s="62"/>
      <c r="AF5" s="42" t="s">
        <v>274</v>
      </c>
      <c r="AG5" s="62"/>
      <c r="AH5" s="42" t="s">
        <v>302</v>
      </c>
      <c r="AI5" s="62"/>
      <c r="AJ5" s="42" t="s">
        <v>252</v>
      </c>
      <c r="AK5" s="62"/>
      <c r="AL5" s="42" t="s">
        <v>250</v>
      </c>
      <c r="AM5" s="62"/>
      <c r="AN5" s="42" t="s">
        <v>240</v>
      </c>
      <c r="AO5" s="62"/>
      <c r="AP5" s="42" t="s">
        <v>198</v>
      </c>
      <c r="AQ5" s="62"/>
      <c r="AR5" s="42" t="s">
        <v>277</v>
      </c>
      <c r="AS5" s="62"/>
      <c r="AT5" s="42" t="s">
        <v>245</v>
      </c>
      <c r="AU5" s="62"/>
      <c r="AV5" s="42" t="s">
        <v>255</v>
      </c>
      <c r="AW5" s="48"/>
      <c r="AX5" s="47" t="s">
        <v>298</v>
      </c>
      <c r="AY5" s="47"/>
      <c r="AZ5" s="47"/>
      <c r="BA5" s="47"/>
    </row>
    <row r="6" spans="1:55" ht="15.75">
      <c r="A6" s="42">
        <v>1</v>
      </c>
      <c r="B6" s="58" t="s">
        <v>184</v>
      </c>
      <c r="D6" s="42" t="s">
        <v>264</v>
      </c>
      <c r="E6" s="61"/>
      <c r="F6" s="42" t="s">
        <v>192</v>
      </c>
      <c r="G6" s="61"/>
      <c r="H6" s="42" t="s">
        <v>213</v>
      </c>
      <c r="I6" s="61"/>
      <c r="J6" s="42" t="s">
        <v>220</v>
      </c>
      <c r="K6" s="61"/>
      <c r="L6" s="42" t="s">
        <v>222</v>
      </c>
      <c r="M6" s="61"/>
      <c r="N6" s="42" t="s">
        <v>198</v>
      </c>
      <c r="O6" s="61"/>
      <c r="P6" s="42" t="s">
        <v>153</v>
      </c>
      <c r="Q6" s="61"/>
      <c r="R6" s="42" t="s">
        <v>235</v>
      </c>
      <c r="S6" s="61"/>
      <c r="T6" s="42" t="s">
        <v>207</v>
      </c>
      <c r="U6" s="61"/>
      <c r="V6" s="42" t="s">
        <v>209</v>
      </c>
      <c r="W6" s="61"/>
      <c r="X6" s="42" t="s">
        <v>153</v>
      </c>
      <c r="Y6" s="61"/>
      <c r="Z6" s="42" t="s">
        <v>269</v>
      </c>
      <c r="AA6" s="61"/>
      <c r="AB6" s="42" t="s">
        <v>230</v>
      </c>
      <c r="AC6" s="61"/>
      <c r="AD6" s="42" t="s">
        <v>278</v>
      </c>
      <c r="AE6" s="62"/>
      <c r="AF6" s="42" t="s">
        <v>301</v>
      </c>
      <c r="AG6" s="62"/>
      <c r="AH6" s="42" t="s">
        <v>317</v>
      </c>
      <c r="AI6" s="62"/>
      <c r="AJ6" s="42" t="s">
        <v>251</v>
      </c>
      <c r="AK6" s="62"/>
      <c r="AL6" s="42" t="s">
        <v>225</v>
      </c>
      <c r="AM6" s="62"/>
      <c r="AN6" s="42" t="s">
        <v>239</v>
      </c>
      <c r="AO6" s="62"/>
      <c r="AP6" s="42" t="s">
        <v>247</v>
      </c>
      <c r="AQ6" s="62"/>
      <c r="AR6" s="42" t="s">
        <v>303</v>
      </c>
      <c r="AS6" s="62"/>
      <c r="AT6" s="42" t="s">
        <v>244</v>
      </c>
      <c r="AU6" s="62"/>
      <c r="AV6" s="42" t="s">
        <v>256</v>
      </c>
      <c r="AW6" s="48"/>
      <c r="AX6" s="47" t="s">
        <v>297</v>
      </c>
      <c r="AY6" s="47"/>
      <c r="AZ6" s="47"/>
      <c r="BA6" s="47"/>
    </row>
    <row r="7" spans="1:55" ht="15.75">
      <c r="A7" s="42">
        <v>2</v>
      </c>
      <c r="B7" s="59" t="s">
        <v>282</v>
      </c>
      <c r="D7" s="42" t="s">
        <v>261</v>
      </c>
      <c r="E7" s="61"/>
      <c r="F7" s="42" t="s">
        <v>191</v>
      </c>
      <c r="G7" s="61"/>
      <c r="H7" s="42" t="s">
        <v>214</v>
      </c>
      <c r="I7" s="61"/>
      <c r="J7" s="42" t="s">
        <v>218</v>
      </c>
      <c r="K7" s="61"/>
      <c r="L7" s="42"/>
      <c r="M7" s="61"/>
      <c r="N7" s="42" t="s">
        <v>200</v>
      </c>
      <c r="O7" s="61"/>
      <c r="P7" s="42"/>
      <c r="Q7" s="61"/>
      <c r="R7" s="42" t="s">
        <v>236</v>
      </c>
      <c r="S7" s="61"/>
      <c r="T7" s="42" t="s">
        <v>204</v>
      </c>
      <c r="U7" s="61"/>
      <c r="V7" s="42" t="s">
        <v>210</v>
      </c>
      <c r="W7" s="61"/>
      <c r="X7" s="42"/>
      <c r="Y7" s="61"/>
      <c r="Z7" s="42"/>
      <c r="AA7" s="61"/>
      <c r="AB7" s="42"/>
      <c r="AC7" s="61"/>
      <c r="AD7" s="42" t="s">
        <v>271</v>
      </c>
      <c r="AE7" s="62"/>
      <c r="AF7" s="42"/>
      <c r="AG7" s="62"/>
      <c r="AH7" s="42"/>
      <c r="AI7" s="62"/>
      <c r="AJ7" s="42"/>
      <c r="AK7" s="62"/>
      <c r="AL7" s="42" t="s">
        <v>226</v>
      </c>
      <c r="AM7" s="62"/>
      <c r="AN7" s="42" t="s">
        <v>241</v>
      </c>
      <c r="AO7" s="62"/>
      <c r="AP7" s="42" t="s">
        <v>248</v>
      </c>
      <c r="AQ7" s="62"/>
      <c r="AR7" s="42"/>
      <c r="AS7" s="62"/>
      <c r="AT7" s="42" t="s">
        <v>246</v>
      </c>
      <c r="AU7" s="62"/>
      <c r="AV7" s="42" t="s">
        <v>257</v>
      </c>
      <c r="AW7" s="48"/>
      <c r="AX7" s="47" t="s">
        <v>299</v>
      </c>
      <c r="AY7" s="47"/>
      <c r="AZ7" s="47"/>
      <c r="BA7" s="47"/>
    </row>
    <row r="8" spans="1:55" ht="15.75">
      <c r="A8" s="42">
        <v>3</v>
      </c>
      <c r="B8" s="59" t="s">
        <v>283</v>
      </c>
      <c r="D8" s="42" t="s">
        <v>262</v>
      </c>
      <c r="E8" s="61"/>
      <c r="F8" s="42" t="s">
        <v>189</v>
      </c>
      <c r="G8" s="61"/>
      <c r="H8" s="42" t="s">
        <v>215</v>
      </c>
      <c r="I8" s="61"/>
      <c r="J8" s="42" t="s">
        <v>223</v>
      </c>
      <c r="K8" s="61"/>
      <c r="L8" s="42"/>
      <c r="M8" s="61"/>
      <c r="N8" s="42" t="s">
        <v>201</v>
      </c>
      <c r="O8" s="61"/>
      <c r="P8" s="42"/>
      <c r="Q8" s="61"/>
      <c r="R8" s="42" t="s">
        <v>237</v>
      </c>
      <c r="S8" s="61"/>
      <c r="T8" s="42" t="s">
        <v>205</v>
      </c>
      <c r="U8" s="61"/>
      <c r="V8" s="42" t="s">
        <v>211</v>
      </c>
      <c r="W8" s="61"/>
      <c r="X8" s="42"/>
      <c r="Y8" s="61"/>
      <c r="Z8" s="42"/>
      <c r="AA8" s="61"/>
      <c r="AB8" s="42"/>
      <c r="AC8" s="61"/>
      <c r="AD8" s="42" t="s">
        <v>272</v>
      </c>
      <c r="AE8" s="62"/>
      <c r="AF8" s="42"/>
      <c r="AG8" s="62"/>
      <c r="AH8" s="42"/>
      <c r="AI8" s="62"/>
      <c r="AJ8" s="42"/>
      <c r="AK8" s="62"/>
      <c r="AL8" s="42" t="s">
        <v>227</v>
      </c>
      <c r="AM8" s="62"/>
      <c r="AN8" s="42" t="s">
        <v>242</v>
      </c>
      <c r="AO8" s="62"/>
      <c r="AP8" s="42" t="s">
        <v>249</v>
      </c>
      <c r="AQ8" s="62"/>
      <c r="AR8" s="42"/>
      <c r="AS8" s="62"/>
      <c r="AT8" s="42"/>
      <c r="AU8" s="62"/>
      <c r="AV8" s="42" t="s">
        <v>253</v>
      </c>
      <c r="AW8" s="48"/>
      <c r="AX8" s="47"/>
      <c r="AY8" s="47"/>
      <c r="AZ8" s="47"/>
      <c r="BA8" s="47"/>
    </row>
    <row r="9" spans="1:55" ht="15.75">
      <c r="A9" s="42">
        <v>4</v>
      </c>
      <c r="B9" s="58" t="s">
        <v>284</v>
      </c>
      <c r="D9" s="42"/>
      <c r="E9" s="61"/>
      <c r="F9" s="42" t="s">
        <v>190</v>
      </c>
      <c r="G9" s="61"/>
      <c r="H9" s="42" t="s">
        <v>216</v>
      </c>
      <c r="I9" s="61"/>
      <c r="J9" s="42" t="s">
        <v>219</v>
      </c>
      <c r="K9" s="61"/>
      <c r="L9" s="42"/>
      <c r="M9" s="61"/>
      <c r="N9" s="42"/>
      <c r="O9" s="61"/>
      <c r="P9" s="42"/>
      <c r="Q9" s="61"/>
      <c r="R9" s="42"/>
      <c r="S9" s="61"/>
      <c r="T9" s="42" t="s">
        <v>206</v>
      </c>
      <c r="U9" s="61"/>
      <c r="V9" s="42"/>
      <c r="W9" s="61"/>
      <c r="X9" s="42"/>
      <c r="Y9" s="61"/>
      <c r="Z9" s="42"/>
      <c r="AA9" s="61"/>
      <c r="AB9" s="42"/>
      <c r="AC9" s="61"/>
      <c r="AD9" s="42"/>
      <c r="AE9" s="62"/>
      <c r="AF9" s="42"/>
      <c r="AG9" s="62"/>
      <c r="AH9" s="42"/>
      <c r="AI9" s="62"/>
      <c r="AJ9" s="42"/>
      <c r="AK9" s="62"/>
      <c r="AL9" s="42" t="s">
        <v>233</v>
      </c>
      <c r="AM9" s="62"/>
      <c r="AN9" s="42"/>
      <c r="AO9" s="62"/>
      <c r="AP9" s="42"/>
      <c r="AQ9" s="62"/>
      <c r="AR9" s="42"/>
      <c r="AS9" s="62"/>
      <c r="AT9" s="42"/>
      <c r="AU9" s="62"/>
      <c r="AV9" s="42" t="s">
        <v>254</v>
      </c>
      <c r="AW9" s="48"/>
      <c r="AX9" s="47"/>
      <c r="AY9" s="47"/>
      <c r="AZ9" s="47"/>
      <c r="BA9" s="47"/>
    </row>
    <row r="10" spans="1:55" ht="15.75">
      <c r="A10" s="42">
        <v>5</v>
      </c>
      <c r="B10" s="58" t="s">
        <v>285</v>
      </c>
      <c r="D10" s="42"/>
      <c r="E10" s="61"/>
      <c r="F10" s="42" t="s">
        <v>194</v>
      </c>
      <c r="G10" s="61"/>
      <c r="H10" s="42"/>
      <c r="I10" s="61"/>
      <c r="J10" s="42"/>
      <c r="K10" s="61"/>
      <c r="L10" s="42"/>
      <c r="M10" s="61"/>
      <c r="N10" s="42"/>
      <c r="O10" s="61"/>
      <c r="P10" s="42"/>
      <c r="Q10" s="61"/>
      <c r="R10" s="42"/>
      <c r="S10" s="61"/>
      <c r="T10" s="42"/>
      <c r="U10" s="61"/>
      <c r="V10" s="42"/>
      <c r="W10" s="61"/>
      <c r="X10" s="42"/>
      <c r="Y10" s="61"/>
      <c r="Z10" s="42"/>
      <c r="AA10" s="61"/>
      <c r="AB10" s="42"/>
      <c r="AC10" s="61"/>
      <c r="AD10" s="42"/>
      <c r="AE10" s="62"/>
      <c r="AF10" s="42"/>
      <c r="AG10" s="62"/>
      <c r="AH10" s="42"/>
      <c r="AI10" s="62"/>
      <c r="AJ10" s="42"/>
      <c r="AK10" s="62"/>
      <c r="AL10" s="42" t="s">
        <v>228</v>
      </c>
      <c r="AM10" s="62"/>
      <c r="AN10" s="42"/>
      <c r="AO10" s="62"/>
      <c r="AP10" s="42"/>
      <c r="AQ10" s="62"/>
      <c r="AR10" s="42"/>
      <c r="AS10" s="62"/>
      <c r="AT10" s="42"/>
      <c r="AU10" s="62"/>
      <c r="AV10" s="42" t="s">
        <v>258</v>
      </c>
      <c r="AW10" s="48"/>
      <c r="AX10" s="47"/>
      <c r="AY10" s="47"/>
      <c r="AZ10" s="47"/>
      <c r="BA10" s="47"/>
    </row>
    <row r="11" spans="1:55" ht="15.75">
      <c r="A11" s="42">
        <v>6</v>
      </c>
      <c r="B11" s="59" t="s">
        <v>173</v>
      </c>
      <c r="D11" s="42"/>
      <c r="E11" s="61"/>
      <c r="F11" s="42" t="s">
        <v>197</v>
      </c>
      <c r="G11" s="61"/>
      <c r="H11" s="42"/>
      <c r="I11" s="61"/>
      <c r="J11" s="42"/>
      <c r="K11" s="61"/>
      <c r="L11" s="42"/>
      <c r="M11" s="61"/>
      <c r="N11" s="42"/>
      <c r="O11" s="61"/>
      <c r="P11" s="42"/>
      <c r="Q11" s="61"/>
      <c r="R11" s="42"/>
      <c r="S11" s="61"/>
      <c r="T11" s="42"/>
      <c r="U11" s="61"/>
      <c r="V11" s="42"/>
      <c r="W11" s="61"/>
      <c r="X11" s="42"/>
      <c r="Y11" s="61"/>
      <c r="Z11" s="42"/>
      <c r="AA11" s="61"/>
      <c r="AB11" s="42"/>
      <c r="AC11" s="61"/>
      <c r="AD11" s="42"/>
      <c r="AE11" s="62"/>
      <c r="AF11" s="42"/>
      <c r="AG11" s="62"/>
      <c r="AH11" s="42"/>
      <c r="AI11" s="62"/>
      <c r="AJ11" s="42"/>
      <c r="AK11" s="62"/>
      <c r="AL11" s="42" t="s">
        <v>232</v>
      </c>
      <c r="AM11" s="62"/>
      <c r="AN11" s="42"/>
      <c r="AO11" s="62"/>
      <c r="AP11" s="42"/>
      <c r="AQ11" s="62"/>
      <c r="AR11" s="42"/>
      <c r="AS11" s="62"/>
      <c r="AT11" s="42"/>
      <c r="AU11" s="62"/>
      <c r="AV11" s="42" t="s">
        <v>259</v>
      </c>
      <c r="AW11" s="48"/>
      <c r="AX11" s="47"/>
      <c r="AY11" s="47"/>
      <c r="AZ11" s="47"/>
      <c r="BA11" s="47"/>
    </row>
    <row r="12" spans="1:55" ht="15.75">
      <c r="A12" s="42">
        <v>7</v>
      </c>
      <c r="B12" s="59" t="s">
        <v>286</v>
      </c>
      <c r="D12" s="42"/>
      <c r="E12" s="61"/>
      <c r="F12" s="42" t="s">
        <v>195</v>
      </c>
      <c r="G12" s="61"/>
      <c r="H12" s="42"/>
      <c r="I12" s="61"/>
      <c r="J12" s="42"/>
      <c r="K12" s="61"/>
      <c r="L12" s="42"/>
      <c r="M12" s="61"/>
      <c r="N12" s="42"/>
      <c r="O12" s="61"/>
      <c r="P12" s="42"/>
      <c r="Q12" s="61"/>
      <c r="R12" s="42"/>
      <c r="S12" s="61"/>
      <c r="T12" s="42"/>
      <c r="U12" s="61"/>
      <c r="V12" s="42"/>
      <c r="W12" s="61"/>
      <c r="X12" s="42"/>
      <c r="Y12" s="61"/>
      <c r="Z12" s="42"/>
      <c r="AA12" s="61"/>
      <c r="AB12" s="42"/>
      <c r="AC12" s="61"/>
      <c r="AD12" s="42"/>
      <c r="AE12" s="62"/>
      <c r="AF12" s="42"/>
      <c r="AG12" s="62"/>
      <c r="AH12" s="42"/>
      <c r="AI12" s="62"/>
      <c r="AJ12" s="42"/>
      <c r="AK12" s="62"/>
      <c r="AL12" s="42" t="s">
        <v>247</v>
      </c>
      <c r="AM12" s="62"/>
      <c r="AN12" s="42"/>
      <c r="AO12" s="62"/>
      <c r="AP12" s="42"/>
      <c r="AQ12" s="62"/>
      <c r="AR12" s="42"/>
      <c r="AS12" s="62"/>
      <c r="AT12" s="42"/>
      <c r="AU12" s="62"/>
      <c r="AV12" s="42"/>
      <c r="AW12" s="48"/>
      <c r="AX12" s="47"/>
      <c r="AY12" s="47"/>
      <c r="AZ12" s="47"/>
      <c r="BA12" s="47"/>
    </row>
    <row r="13" spans="1:55" ht="15.75">
      <c r="A13" s="42">
        <v>8</v>
      </c>
      <c r="B13" s="59" t="s">
        <v>287</v>
      </c>
      <c r="D13" s="42"/>
      <c r="E13" s="61"/>
      <c r="F13" s="42" t="s">
        <v>196</v>
      </c>
      <c r="G13" s="61"/>
      <c r="H13" s="42"/>
      <c r="I13" s="61"/>
      <c r="J13" s="42"/>
      <c r="K13" s="61"/>
      <c r="L13" s="42"/>
      <c r="M13" s="61"/>
      <c r="N13" s="42"/>
      <c r="O13" s="61"/>
      <c r="P13" s="42"/>
      <c r="Q13" s="61"/>
      <c r="R13" s="42"/>
      <c r="S13" s="63"/>
      <c r="T13" s="42"/>
      <c r="U13" s="61"/>
      <c r="V13" s="42"/>
      <c r="W13" s="61"/>
      <c r="X13" s="42"/>
      <c r="Y13" s="61"/>
      <c r="Z13" s="42"/>
      <c r="AA13" s="61"/>
      <c r="AB13" s="42"/>
      <c r="AC13" s="61"/>
      <c r="AD13" s="42"/>
      <c r="AE13" s="62"/>
      <c r="AF13" s="42"/>
      <c r="AG13" s="62"/>
      <c r="AH13" s="42"/>
      <c r="AI13" s="62"/>
      <c r="AJ13" s="42"/>
      <c r="AK13" s="62"/>
      <c r="AL13" s="42" t="s">
        <v>231</v>
      </c>
      <c r="AM13" s="62"/>
      <c r="AN13" s="42"/>
      <c r="AO13" s="62"/>
      <c r="AP13" s="42"/>
      <c r="AQ13" s="62"/>
      <c r="AR13" s="42"/>
      <c r="AS13" s="62"/>
      <c r="AT13" s="42"/>
      <c r="AU13" s="62"/>
      <c r="AV13" s="42"/>
      <c r="AW13" s="48"/>
      <c r="AX13" s="47"/>
      <c r="AY13" s="47"/>
      <c r="AZ13" s="47"/>
      <c r="BA13" s="47"/>
    </row>
    <row r="14" spans="1:55" ht="15.75">
      <c r="A14" s="42">
        <v>9</v>
      </c>
      <c r="B14" s="58" t="s">
        <v>198</v>
      </c>
      <c r="D14" s="42"/>
      <c r="E14" s="61"/>
      <c r="F14" s="42"/>
      <c r="G14" s="61"/>
      <c r="H14" s="42"/>
      <c r="I14" s="61"/>
      <c r="J14" s="42"/>
      <c r="K14" s="61"/>
      <c r="L14" s="42"/>
      <c r="M14" s="61"/>
      <c r="N14" s="42"/>
      <c r="O14" s="61"/>
      <c r="P14" s="42"/>
      <c r="Q14" s="61"/>
      <c r="R14" s="42"/>
      <c r="S14" s="61"/>
      <c r="T14" s="42"/>
      <c r="U14" s="61"/>
      <c r="V14" s="42"/>
      <c r="W14" s="61"/>
      <c r="X14" s="42"/>
      <c r="Y14" s="61"/>
      <c r="Z14" s="42"/>
      <c r="AA14" s="61"/>
      <c r="AB14" s="42"/>
      <c r="AC14" s="61"/>
      <c r="AD14" s="42"/>
      <c r="AE14" s="62"/>
      <c r="AF14" s="42"/>
      <c r="AG14" s="62"/>
      <c r="AH14" s="42"/>
      <c r="AI14" s="62"/>
      <c r="AJ14" s="42"/>
      <c r="AK14" s="62"/>
      <c r="AL14" s="42" t="s">
        <v>229</v>
      </c>
      <c r="AM14" s="62"/>
      <c r="AN14" s="42"/>
      <c r="AO14" s="62"/>
      <c r="AP14" s="42"/>
      <c r="AQ14" s="62"/>
      <c r="AR14" s="42"/>
      <c r="AS14" s="62"/>
      <c r="AT14" s="42"/>
      <c r="AU14" s="62"/>
      <c r="AV14" s="42"/>
      <c r="AW14" s="48"/>
      <c r="AX14" s="47"/>
      <c r="AY14" s="47"/>
      <c r="AZ14" s="47"/>
      <c r="BA14" s="47"/>
    </row>
    <row r="15" spans="1:55" ht="15.75">
      <c r="A15" s="42">
        <v>10</v>
      </c>
      <c r="B15" s="59" t="s">
        <v>288</v>
      </c>
      <c r="D15" s="42"/>
      <c r="E15" s="61"/>
      <c r="F15" s="42"/>
      <c r="G15" s="61"/>
      <c r="H15" s="42"/>
      <c r="I15" s="61"/>
      <c r="J15" s="42"/>
      <c r="K15" s="61"/>
      <c r="L15" s="42"/>
      <c r="M15" s="61"/>
      <c r="N15" s="42"/>
      <c r="O15" s="61"/>
      <c r="P15" s="42"/>
      <c r="Q15" s="61"/>
      <c r="R15" s="42"/>
      <c r="S15" s="61"/>
      <c r="T15" s="42"/>
      <c r="U15" s="61"/>
      <c r="V15" s="42"/>
      <c r="W15" s="61"/>
      <c r="X15" s="42"/>
      <c r="Y15" s="61"/>
      <c r="Z15" s="42"/>
      <c r="AA15" s="61"/>
      <c r="AB15" s="42"/>
      <c r="AC15" s="61"/>
      <c r="AD15" s="42"/>
      <c r="AE15" s="62"/>
      <c r="AF15" s="42"/>
      <c r="AG15" s="62"/>
      <c r="AH15" s="42"/>
      <c r="AI15" s="62"/>
      <c r="AJ15" s="42"/>
      <c r="AK15" s="62"/>
      <c r="AL15" s="42" t="s">
        <v>230</v>
      </c>
      <c r="AM15" s="62"/>
      <c r="AN15" s="42"/>
      <c r="AO15" s="62"/>
      <c r="AP15" s="42"/>
      <c r="AQ15" s="62"/>
      <c r="AR15" s="42"/>
      <c r="AS15" s="62"/>
      <c r="AT15" s="42"/>
      <c r="AU15" s="62"/>
      <c r="AV15" s="42"/>
      <c r="AW15" s="48"/>
      <c r="AX15" s="47"/>
      <c r="AY15" s="47"/>
      <c r="AZ15" s="47"/>
      <c r="BA15" s="47"/>
    </row>
    <row r="16" spans="1:55" ht="15.75">
      <c r="A16" s="42">
        <v>11</v>
      </c>
      <c r="B16" s="59" t="s">
        <v>281</v>
      </c>
      <c r="D16" s="42"/>
      <c r="E16" s="61"/>
      <c r="F16" s="42"/>
      <c r="G16" s="61"/>
      <c r="H16" s="42"/>
      <c r="I16" s="61"/>
      <c r="J16" s="42"/>
      <c r="K16" s="61"/>
      <c r="L16" s="42"/>
      <c r="M16" s="61"/>
      <c r="N16" s="42"/>
      <c r="O16" s="61"/>
      <c r="P16" s="42"/>
      <c r="Q16" s="61"/>
      <c r="R16" s="42"/>
      <c r="S16" s="61"/>
      <c r="T16" s="42"/>
      <c r="U16" s="61"/>
      <c r="V16" s="42"/>
      <c r="W16" s="61"/>
      <c r="X16" s="42"/>
      <c r="Y16" s="61"/>
      <c r="Z16" s="42"/>
      <c r="AA16" s="61"/>
      <c r="AB16" s="42"/>
      <c r="AC16" s="61"/>
      <c r="AD16" s="42"/>
      <c r="AE16" s="62"/>
      <c r="AF16" s="42"/>
      <c r="AG16" s="62"/>
      <c r="AH16" s="42"/>
      <c r="AI16" s="62"/>
      <c r="AJ16" s="42"/>
      <c r="AK16" s="62"/>
      <c r="AL16" s="42"/>
      <c r="AM16" s="62"/>
      <c r="AN16" s="42"/>
      <c r="AO16" s="62"/>
      <c r="AP16" s="42"/>
      <c r="AQ16" s="62"/>
      <c r="AR16" s="42"/>
      <c r="AS16" s="62"/>
      <c r="AT16" s="42"/>
      <c r="AU16" s="62"/>
      <c r="AV16" s="42"/>
      <c r="AW16" s="48"/>
      <c r="AX16" s="47"/>
      <c r="AY16" s="47"/>
      <c r="AZ16" s="47"/>
      <c r="BA16" s="47"/>
    </row>
    <row r="17" spans="1:53" ht="15.75">
      <c r="A17" s="42">
        <v>12</v>
      </c>
      <c r="B17" s="59" t="s">
        <v>185</v>
      </c>
      <c r="D17" s="47"/>
      <c r="E17" s="64"/>
      <c r="F17" s="47"/>
      <c r="G17" s="64"/>
      <c r="H17" s="47"/>
      <c r="I17" s="64"/>
      <c r="J17" s="47"/>
      <c r="K17" s="64"/>
      <c r="L17" s="47"/>
      <c r="M17" s="64"/>
      <c r="N17" s="47"/>
      <c r="O17" s="64"/>
      <c r="P17" s="47"/>
      <c r="Q17" s="64"/>
      <c r="R17" s="47"/>
      <c r="S17" s="64"/>
      <c r="T17" s="47"/>
      <c r="U17" s="64"/>
      <c r="V17" s="47"/>
      <c r="W17" s="64"/>
      <c r="X17" s="47"/>
      <c r="Y17" s="64"/>
      <c r="Z17" s="47"/>
      <c r="AA17" s="64"/>
      <c r="AB17" s="47"/>
      <c r="AC17" s="64"/>
      <c r="AD17" s="47"/>
      <c r="AE17" s="48"/>
      <c r="AF17" s="47"/>
      <c r="AG17" s="48"/>
      <c r="AH17" s="47"/>
      <c r="AI17" s="48"/>
      <c r="AJ17" s="47"/>
      <c r="AK17" s="48"/>
      <c r="AL17" s="47"/>
      <c r="AM17" s="48"/>
      <c r="AN17" s="47"/>
      <c r="AO17" s="48"/>
      <c r="AP17" s="47"/>
      <c r="AQ17" s="48"/>
      <c r="AR17" s="47"/>
      <c r="AS17" s="48"/>
      <c r="AT17" s="47"/>
      <c r="AU17" s="48"/>
      <c r="AV17" s="47"/>
      <c r="AW17" s="48"/>
      <c r="AX17" s="47"/>
      <c r="AY17" s="47"/>
      <c r="AZ17" s="47"/>
      <c r="BA17" s="47"/>
    </row>
    <row r="18" spans="1:53" ht="15.75">
      <c r="A18" s="42">
        <v>13</v>
      </c>
      <c r="B18" s="58" t="s">
        <v>202</v>
      </c>
      <c r="D18" s="47"/>
      <c r="E18" s="64"/>
      <c r="F18" s="47"/>
      <c r="G18" s="64"/>
      <c r="H18" s="47"/>
      <c r="I18" s="64"/>
      <c r="J18" s="47"/>
      <c r="K18" s="64"/>
      <c r="L18" s="47"/>
      <c r="M18" s="64"/>
      <c r="N18" s="47"/>
      <c r="O18" s="64"/>
      <c r="P18" s="47"/>
      <c r="Q18" s="64"/>
      <c r="R18" s="47"/>
      <c r="S18" s="64"/>
      <c r="T18" s="47"/>
      <c r="U18" s="64"/>
      <c r="V18" s="47"/>
      <c r="W18" s="64"/>
      <c r="X18" s="47"/>
      <c r="Y18" s="64"/>
      <c r="Z18" s="47"/>
      <c r="AA18" s="64"/>
      <c r="AB18" s="47"/>
      <c r="AC18" s="64"/>
      <c r="AD18" s="47"/>
      <c r="AE18" s="48"/>
      <c r="AF18" s="47"/>
      <c r="AG18" s="48"/>
      <c r="AH18" s="47"/>
      <c r="AI18" s="48"/>
      <c r="AJ18" s="47"/>
      <c r="AK18" s="48"/>
      <c r="AL18" s="47"/>
      <c r="AM18" s="48"/>
      <c r="AN18" s="47"/>
      <c r="AO18" s="48"/>
      <c r="AP18" s="47"/>
      <c r="AQ18" s="48"/>
      <c r="AR18" s="47"/>
      <c r="AS18" s="48"/>
      <c r="AT18" s="47"/>
      <c r="AU18" s="48"/>
      <c r="AV18" s="47"/>
      <c r="AW18" s="48"/>
      <c r="AX18" s="47"/>
      <c r="AY18" s="47"/>
      <c r="AZ18" s="47"/>
      <c r="BA18" s="47"/>
    </row>
    <row r="19" spans="1:53" ht="15.75">
      <c r="A19" s="42">
        <v>14</v>
      </c>
      <c r="B19" s="59" t="s">
        <v>289</v>
      </c>
      <c r="D19" s="47"/>
      <c r="E19" s="64"/>
      <c r="F19" s="47"/>
      <c r="G19" s="64"/>
      <c r="H19" s="47"/>
      <c r="I19" s="64"/>
      <c r="J19" s="47"/>
      <c r="K19" s="64"/>
      <c r="L19" s="47"/>
      <c r="M19" s="64"/>
      <c r="N19" s="47"/>
      <c r="O19" s="64"/>
      <c r="P19" s="47"/>
      <c r="Q19" s="64"/>
      <c r="R19" s="47"/>
      <c r="S19" s="64"/>
      <c r="T19" s="47"/>
      <c r="U19" s="64"/>
      <c r="V19" s="47"/>
      <c r="W19" s="64"/>
      <c r="X19" s="47"/>
      <c r="Y19" s="64"/>
      <c r="Z19" s="47"/>
      <c r="AA19" s="64"/>
      <c r="AB19" s="47"/>
      <c r="AC19" s="64"/>
      <c r="AD19" s="47"/>
      <c r="AE19" s="48"/>
      <c r="AF19" s="47"/>
      <c r="AG19" s="48"/>
      <c r="AH19" s="47"/>
      <c r="AI19" s="48"/>
      <c r="AJ19" s="47"/>
      <c r="AK19" s="48"/>
      <c r="AL19" s="47"/>
      <c r="AM19" s="48"/>
      <c r="AN19" s="47"/>
      <c r="AO19" s="48"/>
      <c r="AP19" s="47"/>
      <c r="AQ19" s="48"/>
      <c r="AR19" s="47"/>
      <c r="AS19" s="48"/>
      <c r="AT19" s="47"/>
      <c r="AU19" s="48"/>
      <c r="AV19" s="47"/>
      <c r="AW19" s="48"/>
      <c r="AX19" s="47"/>
      <c r="AY19" s="47"/>
      <c r="AZ19" s="47"/>
      <c r="BA19" s="47"/>
    </row>
    <row r="20" spans="1:53" ht="15.75">
      <c r="A20" s="42">
        <v>15</v>
      </c>
      <c r="B20" s="59" t="s">
        <v>290</v>
      </c>
      <c r="D20" s="47"/>
      <c r="E20" s="64"/>
      <c r="F20" s="47"/>
      <c r="G20" s="64"/>
      <c r="H20" s="47"/>
      <c r="I20" s="64"/>
      <c r="J20" s="47"/>
      <c r="K20" s="64"/>
      <c r="L20" s="47"/>
      <c r="M20" s="64"/>
      <c r="N20" s="47"/>
      <c r="O20" s="64"/>
      <c r="P20" s="47"/>
      <c r="Q20" s="64"/>
      <c r="R20" s="47"/>
      <c r="S20" s="64"/>
      <c r="T20" s="47"/>
      <c r="U20" s="64"/>
      <c r="V20" s="47"/>
      <c r="W20" s="64"/>
      <c r="X20" s="47"/>
      <c r="Y20" s="64"/>
      <c r="Z20" s="47"/>
      <c r="AA20" s="64"/>
      <c r="AB20" s="47"/>
      <c r="AC20" s="64"/>
      <c r="AD20" s="47"/>
      <c r="AE20" s="48"/>
      <c r="AF20" s="47"/>
      <c r="AG20" s="48"/>
      <c r="AH20" s="47"/>
      <c r="AI20" s="48"/>
      <c r="AJ20" s="47"/>
      <c r="AK20" s="48"/>
      <c r="AL20" s="47"/>
      <c r="AM20" s="48"/>
      <c r="AN20" s="47"/>
      <c r="AO20" s="48"/>
      <c r="AP20" s="47"/>
      <c r="AQ20" s="48"/>
      <c r="AR20" s="47"/>
      <c r="AS20" s="48"/>
      <c r="AT20" s="47"/>
      <c r="AU20" s="48"/>
      <c r="AV20" s="47"/>
      <c r="AW20" s="48"/>
      <c r="AX20" s="47"/>
      <c r="AY20" s="47"/>
      <c r="AZ20" s="47"/>
      <c r="BA20" s="47"/>
    </row>
    <row r="21" spans="1:53" ht="15.75">
      <c r="A21" s="42">
        <v>16</v>
      </c>
      <c r="B21" s="59" t="s">
        <v>291</v>
      </c>
      <c r="D21" s="47"/>
      <c r="E21" s="64"/>
      <c r="F21" s="47"/>
      <c r="G21" s="64"/>
      <c r="H21" s="47"/>
      <c r="I21" s="64"/>
      <c r="J21" s="47"/>
      <c r="K21" s="64"/>
      <c r="L21" s="47"/>
      <c r="M21" s="64"/>
      <c r="N21" s="47"/>
      <c r="O21" s="64"/>
      <c r="P21" s="47"/>
      <c r="Q21" s="64"/>
      <c r="R21" s="47"/>
      <c r="S21" s="64"/>
      <c r="T21" s="47"/>
      <c r="U21" s="64"/>
      <c r="V21" s="47"/>
      <c r="W21" s="64"/>
      <c r="X21" s="47"/>
      <c r="Y21" s="64"/>
      <c r="Z21" s="47"/>
      <c r="AA21" s="64"/>
      <c r="AB21" s="47"/>
      <c r="AC21" s="64"/>
      <c r="AD21" s="47"/>
      <c r="AE21" s="48"/>
      <c r="AF21" s="47"/>
      <c r="AG21" s="48"/>
      <c r="AH21" s="47"/>
      <c r="AI21" s="48"/>
      <c r="AJ21" s="47"/>
      <c r="AK21" s="48"/>
      <c r="AL21" s="47"/>
      <c r="AM21" s="48"/>
      <c r="AN21" s="47"/>
      <c r="AO21" s="48"/>
      <c r="AP21" s="47"/>
      <c r="AQ21" s="48"/>
      <c r="AR21" s="47"/>
      <c r="AS21" s="48"/>
      <c r="AT21" s="47"/>
      <c r="AU21" s="48"/>
      <c r="AV21" s="47"/>
      <c r="AW21" s="48"/>
      <c r="AX21" s="47"/>
      <c r="AY21" s="47"/>
      <c r="AZ21" s="47"/>
      <c r="BA21" s="47"/>
    </row>
    <row r="22" spans="1:53" ht="15.75">
      <c r="A22" s="42">
        <v>17</v>
      </c>
      <c r="B22" s="59" t="s">
        <v>292</v>
      </c>
      <c r="D22" s="47"/>
      <c r="E22" s="64"/>
      <c r="F22" s="47"/>
      <c r="G22" s="64"/>
      <c r="H22" s="47"/>
      <c r="I22" s="64"/>
      <c r="J22" s="47"/>
      <c r="K22" s="64"/>
      <c r="L22" s="47"/>
      <c r="M22" s="64"/>
      <c r="N22" s="47"/>
      <c r="O22" s="64"/>
      <c r="P22" s="47"/>
      <c r="Q22" s="64"/>
      <c r="R22" s="47"/>
      <c r="S22" s="64"/>
      <c r="T22" s="47"/>
      <c r="U22" s="64"/>
      <c r="V22" s="47"/>
      <c r="W22" s="64"/>
      <c r="X22" s="47"/>
      <c r="Y22" s="64"/>
      <c r="Z22" s="47"/>
      <c r="AA22" s="64"/>
      <c r="AB22" s="47"/>
      <c r="AC22" s="64"/>
      <c r="AD22" s="47"/>
      <c r="AE22" s="48"/>
      <c r="AF22" s="47"/>
      <c r="AG22" s="48"/>
      <c r="AH22" s="47"/>
      <c r="AI22" s="48"/>
      <c r="AJ22" s="47"/>
      <c r="AK22" s="48"/>
      <c r="AL22" s="47"/>
      <c r="AM22" s="48"/>
      <c r="AN22" s="47"/>
      <c r="AO22" s="48"/>
      <c r="AP22" s="47"/>
      <c r="AQ22" s="48"/>
      <c r="AR22" s="47"/>
      <c r="AS22" s="48"/>
      <c r="AT22" s="47"/>
      <c r="AU22" s="48"/>
      <c r="AV22" s="47"/>
      <c r="AW22" s="48"/>
      <c r="AX22" s="47"/>
      <c r="AY22" s="47"/>
      <c r="AZ22" s="47"/>
      <c r="BA22" s="47"/>
    </row>
    <row r="23" spans="1:53" ht="15.75">
      <c r="A23" s="42">
        <v>18</v>
      </c>
      <c r="B23" s="58" t="s">
        <v>300</v>
      </c>
    </row>
    <row r="24" spans="1:53" ht="15.75">
      <c r="A24" s="42">
        <v>19</v>
      </c>
      <c r="B24" s="59" t="s">
        <v>293</v>
      </c>
    </row>
    <row r="25" spans="1:53" ht="15.75">
      <c r="A25" s="42">
        <v>20</v>
      </c>
      <c r="B25" s="59" t="s">
        <v>174</v>
      </c>
    </row>
    <row r="26" spans="1:53" ht="15.75">
      <c r="A26" s="42">
        <v>21</v>
      </c>
      <c r="B26" s="59" t="s">
        <v>294</v>
      </c>
    </row>
    <row r="27" spans="1:53" ht="15.75">
      <c r="A27" s="42">
        <v>22</v>
      </c>
      <c r="B27" s="59" t="s">
        <v>295</v>
      </c>
    </row>
    <row r="28" spans="1:53" ht="15.75">
      <c r="A28" s="42">
        <v>23</v>
      </c>
      <c r="B28" s="58" t="s">
        <v>243</v>
      </c>
    </row>
    <row r="29" spans="1:53" ht="15.75">
      <c r="A29" s="42">
        <v>24</v>
      </c>
      <c r="B29" s="59" t="s">
        <v>296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/>
  <sheetData>
    <row r="1" spans="1:2">
      <c r="A1" t="s">
        <v>12</v>
      </c>
    </row>
    <row r="7" spans="1:2">
      <c r="B7" t="s">
        <v>143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/>
  <sheetData>
    <row r="4" spans="4:4">
      <c r="D4" t="s">
        <v>178</v>
      </c>
    </row>
    <row r="5" spans="4:4">
      <c r="D5" t="s">
        <v>179</v>
      </c>
    </row>
    <row r="6" spans="4:4">
      <c r="D6" t="s">
        <v>180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</sheetViews>
  <sheetFormatPr defaultRowHeight="15"/>
  <cols>
    <col min="2" max="2" width="25" customWidth="1"/>
    <col min="3" max="3" width="29.7109375" customWidth="1"/>
  </cols>
  <sheetData>
    <row r="1" spans="1:3">
      <c r="A1" t="s">
        <v>43</v>
      </c>
    </row>
    <row r="6" spans="1:3">
      <c r="B6" t="s">
        <v>44</v>
      </c>
      <c r="C6" t="s">
        <v>45</v>
      </c>
    </row>
    <row r="9" spans="1:3">
      <c r="B9" t="s">
        <v>52</v>
      </c>
      <c r="C9" t="s">
        <v>46</v>
      </c>
    </row>
    <row r="10" spans="1:3">
      <c r="B10" t="s">
        <v>53</v>
      </c>
    </row>
    <row r="13" spans="1:3">
      <c r="B13" t="s">
        <v>51</v>
      </c>
    </row>
    <row r="14" spans="1:3">
      <c r="B14" t="s">
        <v>47</v>
      </c>
      <c r="C14" t="s">
        <v>48</v>
      </c>
    </row>
    <row r="15" spans="1:3">
      <c r="B15" t="s">
        <v>49</v>
      </c>
      <c r="C15" t="s">
        <v>50</v>
      </c>
    </row>
    <row r="18" spans="2:2">
      <c r="B18" t="s">
        <v>54</v>
      </c>
    </row>
    <row r="20" spans="2:2">
      <c r="B20" t="s">
        <v>55</v>
      </c>
    </row>
    <row r="22" spans="2:2">
      <c r="B22" t="s">
        <v>56</v>
      </c>
    </row>
    <row r="24" spans="2:2">
      <c r="B24" t="s">
        <v>57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>
      <selection activeCell="A4" sqref="A4"/>
    </sheetView>
  </sheetViews>
  <sheetFormatPr defaultRowHeight="15"/>
  <cols>
    <col min="1" max="1" width="32.7109375" style="153" customWidth="1"/>
    <col min="2" max="2" width="0.7109375" style="153" customWidth="1"/>
    <col min="3" max="3" width="4.5703125" style="154" customWidth="1"/>
    <col min="4" max="4" width="36.5703125" style="193" customWidth="1"/>
    <col min="5" max="5" width="4.5703125" style="194" customWidth="1"/>
    <col min="6" max="6" width="18.140625" style="194" bestFit="1" customWidth="1"/>
    <col min="7" max="7" width="27.28515625" style="194" bestFit="1" customWidth="1"/>
    <col min="8" max="8" width="30.5703125" style="194" bestFit="1" customWidth="1"/>
    <col min="9" max="9" width="11" style="194" customWidth="1"/>
    <col min="10" max="10" width="17.7109375" style="194" customWidth="1"/>
    <col min="11" max="11" width="27.28515625" style="194" customWidth="1"/>
    <col min="12" max="12" width="10.7109375" style="194" customWidth="1"/>
    <col min="13" max="13" width="11.85546875" style="194" customWidth="1"/>
    <col min="14" max="15" width="18.28515625" style="194" customWidth="1"/>
    <col min="16" max="16384" width="9.140625" style="194"/>
  </cols>
  <sheetData>
    <row r="1" spans="1:10" ht="24" customHeight="1">
      <c r="A1" s="170" t="s">
        <v>976</v>
      </c>
      <c r="C1" s="194"/>
      <c r="D1" s="319" t="s">
        <v>401</v>
      </c>
      <c r="E1" s="319"/>
      <c r="F1" s="319"/>
      <c r="G1" s="319"/>
      <c r="H1" s="319"/>
      <c r="I1" s="319"/>
      <c r="J1" s="319"/>
    </row>
    <row r="2" spans="1:10" ht="3.75" customHeight="1">
      <c r="D2" s="194"/>
    </row>
    <row r="3" spans="1:10" ht="18.75">
      <c r="A3" s="159" t="s">
        <v>8</v>
      </c>
      <c r="D3" s="44" t="s">
        <v>981</v>
      </c>
      <c r="H3" s="186"/>
    </row>
    <row r="4" spans="1:10" ht="18.75">
      <c r="A4" s="160" t="s">
        <v>115</v>
      </c>
      <c r="D4" s="27" t="s">
        <v>138</v>
      </c>
      <c r="F4" s="195"/>
      <c r="G4" s="195"/>
      <c r="H4" s="196"/>
      <c r="I4" s="195"/>
    </row>
    <row r="5" spans="1:10" ht="18.75">
      <c r="A5" s="161" t="s">
        <v>102</v>
      </c>
      <c r="D5" s="27" t="s">
        <v>949</v>
      </c>
      <c r="F5" s="195"/>
      <c r="G5" s="195"/>
      <c r="H5" s="196"/>
      <c r="I5" s="195"/>
    </row>
    <row r="6" spans="1:10" ht="18.75">
      <c r="A6" s="162" t="s">
        <v>103</v>
      </c>
      <c r="D6" s="27" t="s">
        <v>967</v>
      </c>
      <c r="F6" s="195"/>
      <c r="G6" s="195"/>
      <c r="H6" s="195"/>
      <c r="I6" s="195"/>
    </row>
    <row r="7" spans="1:10" ht="18.75">
      <c r="A7" s="163" t="s">
        <v>104</v>
      </c>
      <c r="D7" s="27" t="s">
        <v>950</v>
      </c>
      <c r="F7" s="195"/>
      <c r="G7" s="195"/>
      <c r="H7" s="195"/>
      <c r="I7" s="195"/>
    </row>
    <row r="8" spans="1:10" ht="18.75">
      <c r="A8" s="146" t="s">
        <v>110</v>
      </c>
      <c r="D8" s="27" t="s">
        <v>321</v>
      </c>
      <c r="F8" s="195"/>
      <c r="G8" s="195"/>
      <c r="H8" s="195"/>
      <c r="I8" s="195"/>
    </row>
    <row r="9" spans="1:10" ht="18.75">
      <c r="A9" s="164" t="s">
        <v>89</v>
      </c>
      <c r="D9" s="27" t="s">
        <v>956</v>
      </c>
      <c r="F9" s="195"/>
      <c r="G9" s="195"/>
      <c r="H9" s="195"/>
      <c r="I9" s="195"/>
    </row>
    <row r="10" spans="1:10" ht="18.75">
      <c r="A10" s="165" t="s">
        <v>111</v>
      </c>
      <c r="D10" s="27" t="s">
        <v>959</v>
      </c>
      <c r="F10" s="195"/>
      <c r="G10" s="195"/>
      <c r="H10" s="195"/>
      <c r="I10" s="195"/>
    </row>
    <row r="11" spans="1:10" ht="18.75">
      <c r="A11" s="166" t="s">
        <v>105</v>
      </c>
      <c r="D11" s="27" t="s">
        <v>960</v>
      </c>
      <c r="F11" s="195"/>
      <c r="G11" s="195"/>
      <c r="H11" s="195"/>
    </row>
    <row r="12" spans="1:10" ht="18.75">
      <c r="A12" s="167" t="s">
        <v>98</v>
      </c>
      <c r="D12" s="27" t="s">
        <v>961</v>
      </c>
      <c r="F12" s="195"/>
      <c r="G12" s="195"/>
      <c r="H12" s="195"/>
    </row>
    <row r="13" spans="1:10" ht="15.75">
      <c r="A13" s="187"/>
      <c r="D13" s="27" t="s">
        <v>965</v>
      </c>
      <c r="F13" s="195"/>
      <c r="G13" s="195"/>
      <c r="H13" s="195"/>
    </row>
    <row r="14" spans="1:10" ht="15.75">
      <c r="A14" s="187"/>
      <c r="D14" s="27" t="s">
        <v>977</v>
      </c>
      <c r="F14" s="195"/>
      <c r="G14" s="195"/>
      <c r="H14" s="195"/>
    </row>
    <row r="15" spans="1:10" ht="15.75">
      <c r="A15" s="187"/>
      <c r="D15" s="27" t="s">
        <v>978</v>
      </c>
      <c r="F15" s="195"/>
      <c r="G15" s="195"/>
      <c r="H15" s="195"/>
    </row>
    <row r="16" spans="1:10" ht="15.75">
      <c r="A16" s="187"/>
      <c r="D16" s="27" t="s">
        <v>979</v>
      </c>
      <c r="F16" s="195"/>
      <c r="G16" s="195"/>
      <c r="H16" s="195"/>
    </row>
    <row r="17" spans="1:8" ht="15.75">
      <c r="A17" s="187"/>
      <c r="D17" s="27" t="s">
        <v>980</v>
      </c>
      <c r="F17" s="195"/>
      <c r="G17" s="195"/>
      <c r="H17" s="195"/>
    </row>
    <row r="18" spans="1:8" ht="15.75">
      <c r="A18" s="187"/>
      <c r="D18" s="27" t="s">
        <v>982</v>
      </c>
    </row>
    <row r="19" spans="1:8" ht="15.75">
      <c r="A19" s="187"/>
      <c r="D19" s="27"/>
    </row>
    <row r="20" spans="1:8" ht="15.75">
      <c r="A20" s="187"/>
      <c r="D20" s="27"/>
    </row>
    <row r="21" spans="1:8" ht="15.75">
      <c r="A21" s="187"/>
      <c r="D21" s="27"/>
    </row>
    <row r="22" spans="1:8" ht="15.75">
      <c r="A22" s="187"/>
      <c r="D22" s="27"/>
    </row>
    <row r="23" spans="1:8" ht="15.75">
      <c r="A23" s="187"/>
      <c r="D23" s="27"/>
    </row>
    <row r="24" spans="1:8" ht="15.75">
      <c r="D24" s="27"/>
    </row>
    <row r="25" spans="1:8" ht="15.75">
      <c r="D25" s="27"/>
    </row>
    <row r="26" spans="1:8" ht="15.75">
      <c r="D26" s="27"/>
    </row>
    <row r="27" spans="1:8" ht="15.75">
      <c r="D27" s="27"/>
    </row>
    <row r="28" spans="1:8" ht="15.75">
      <c r="D28" s="27"/>
    </row>
    <row r="29" spans="1:8" ht="15.75">
      <c r="D29" s="27"/>
    </row>
    <row r="30" spans="1:8" ht="15.75">
      <c r="D30" s="27"/>
    </row>
    <row r="31" spans="1:8" ht="15.75">
      <c r="D31" s="27"/>
    </row>
    <row r="32" spans="1:8" ht="15.75">
      <c r="D32" s="27"/>
    </row>
    <row r="33" spans="4:4" ht="15.75">
      <c r="D33" s="27"/>
    </row>
    <row r="34" spans="4:4" ht="15.75">
      <c r="D34" s="27"/>
    </row>
    <row r="35" spans="4:4" ht="15.75">
      <c r="D35" s="27"/>
    </row>
    <row r="36" spans="4:4" ht="15.75">
      <c r="D36" s="27"/>
    </row>
    <row r="37" spans="4:4" ht="15.75">
      <c r="D37" s="27"/>
    </row>
    <row r="38" spans="4:4" ht="15.75">
      <c r="D38" s="27"/>
    </row>
    <row r="39" spans="4:4" ht="15.75">
      <c r="D39" s="27"/>
    </row>
    <row r="40" spans="4:4" ht="15.75">
      <c r="D40" s="27"/>
    </row>
    <row r="41" spans="4:4" ht="15.75">
      <c r="D41" s="27"/>
    </row>
    <row r="42" spans="4:4" ht="15.75">
      <c r="D42" s="27"/>
    </row>
    <row r="43" spans="4:4" ht="15.75">
      <c r="D43" s="27"/>
    </row>
    <row r="44" spans="4:4" ht="15.75">
      <c r="D44" s="27"/>
    </row>
    <row r="45" spans="4:4" ht="15.75">
      <c r="D45" s="27"/>
    </row>
    <row r="46" spans="4:4" ht="15.75">
      <c r="D46" s="27"/>
    </row>
    <row r="47" spans="4:4" ht="15.75">
      <c r="D47" s="27"/>
    </row>
    <row r="48" spans="4:4" ht="15.75">
      <c r="D48" s="27"/>
    </row>
    <row r="49" spans="4:4" ht="15.75">
      <c r="D49" s="27"/>
    </row>
    <row r="50" spans="4:4" ht="15.75">
      <c r="D50" s="27"/>
    </row>
    <row r="51" spans="4:4" ht="15.75">
      <c r="D51" s="27"/>
    </row>
    <row r="52" spans="4:4" ht="15.75">
      <c r="D52" s="27"/>
    </row>
    <row r="53" spans="4:4" ht="15.75">
      <c r="D53" s="27"/>
    </row>
    <row r="54" spans="4:4" ht="15.75">
      <c r="D54" s="27"/>
    </row>
    <row r="55" spans="4:4" ht="15.75">
      <c r="D55" s="27"/>
    </row>
    <row r="56" spans="4:4" ht="15.75">
      <c r="D56" s="27"/>
    </row>
    <row r="57" spans="4:4" ht="15.75">
      <c r="D57" s="27"/>
    </row>
    <row r="58" spans="4:4" ht="15.75">
      <c r="D58" s="27"/>
    </row>
    <row r="59" spans="4:4" ht="15.75">
      <c r="D59" s="27"/>
    </row>
    <row r="60" spans="4:4" ht="15.75">
      <c r="D60" s="27"/>
    </row>
    <row r="61" spans="4:4" ht="15.75">
      <c r="D61" s="27"/>
    </row>
    <row r="62" spans="4:4" ht="15.75">
      <c r="D62" s="27"/>
    </row>
    <row r="63" spans="4:4" ht="15.75">
      <c r="D63" s="27"/>
    </row>
    <row r="64" spans="4:4" ht="15.75">
      <c r="D64" s="27"/>
    </row>
    <row r="65" spans="4:4" ht="15.75">
      <c r="D65" s="27"/>
    </row>
  </sheetData>
  <mergeCells count="1">
    <mergeCell ref="D1:J1"/>
  </mergeCells>
  <phoneticPr fontId="29" type="noConversion"/>
  <hyperlinks>
    <hyperlink ref="A3" location="فهرست!A1" display="فهرست" xr:uid="{8FF52D09-3C28-4081-AFD1-48F9B29B46EB}"/>
    <hyperlink ref="A5" location="'مدیریت وام و اقساط'!A1" display="وام و اقساط" xr:uid="{15DFB650-48CC-48A9-A3BD-DCB149A21626}"/>
    <hyperlink ref="A6" location="'مدیریت چک‌ها'!A1" display="چک‌ها" xr:uid="{47D0D153-95B7-4E0F-8364-8DA241F271D3}"/>
    <hyperlink ref="A7" location="'مدیریت بدهی‌ها-طلب‌ها'!A1" display="بدهی‌ها و طلب‌ها" xr:uid="{9BFEC45E-85CF-4A1F-8460-49AF35C93893}"/>
    <hyperlink ref="A8" location="'برنامه ریزی پرداخت‌ها'!A1" display="برنامه ریزی" xr:uid="{20D80FBE-1D5B-42F4-8CFC-62528609909A}"/>
    <hyperlink ref="A9" location="تقویم!A1" display="تقویم" xr:uid="{4D6DC6F8-F885-4837-B29A-C029A724DBE4}"/>
    <hyperlink ref="A10" location="'برنامه و بودجه بندی'!A1" display="بودجه بندی" xr:uid="{7BC75EF9-D3A9-4B73-A677-7AC8E23E723E}"/>
    <hyperlink ref="A11" location="'گزارش فعالیت‌های ماه جاری'!A1" display="ماه جاری" xr:uid="{B91F396F-8382-4E18-8886-B54904080CBE}"/>
    <hyperlink ref="A12" location="'جست و جو'!A1" display="جست و جو" xr:uid="{E1AE5110-42DE-421D-99BC-7FFB24220202}"/>
    <hyperlink ref="A4" location="تراکنش‌ها!A1" display="تراکنش‌ها" xr:uid="{858DF72D-ABCF-42EA-8168-A5D648A34C95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4"/>
  <sheetViews>
    <sheetView showGridLines="0" rightToLeft="1" workbookViewId="0">
      <selection activeCell="E27" sqref="E27"/>
    </sheetView>
  </sheetViews>
  <sheetFormatPr defaultRowHeight="15"/>
  <cols>
    <col min="1" max="1" width="32.7109375" style="153" customWidth="1"/>
    <col min="2" max="2" width="0.7109375" style="153" customWidth="1"/>
    <col min="3" max="3" width="4.5703125" style="154" customWidth="1"/>
    <col min="4" max="4" width="5.85546875" style="154" customWidth="1"/>
    <col min="5" max="5" width="44" style="154" customWidth="1"/>
    <col min="6" max="6" width="28.5703125" style="154" customWidth="1"/>
    <col min="7" max="7" width="18.28515625" style="154" customWidth="1"/>
    <col min="8" max="8" width="36.5703125" style="154" customWidth="1"/>
    <col min="9" max="9" width="32" style="154" customWidth="1"/>
    <col min="10" max="10" width="18.28515625" style="154" customWidth="1"/>
    <col min="11" max="11" width="34.28515625" style="154" customWidth="1"/>
    <col min="12" max="12" width="30" style="154" customWidth="1"/>
    <col min="13" max="13" width="31.42578125" style="154" customWidth="1"/>
    <col min="14" max="14" width="39.42578125" style="154" customWidth="1"/>
    <col min="15" max="15" width="21.42578125" style="154" customWidth="1"/>
    <col min="16" max="16" width="24.42578125" style="154" bestFit="1" customWidth="1"/>
    <col min="17" max="17" width="18.28515625" style="154" customWidth="1"/>
    <col min="18" max="19" width="9.140625" style="154"/>
    <col min="20" max="16384" width="9.140625" style="158"/>
  </cols>
  <sheetData>
    <row r="1" spans="1:18" ht="24" customHeight="1">
      <c r="A1" s="170" t="s">
        <v>398</v>
      </c>
      <c r="D1" s="319" t="s">
        <v>401</v>
      </c>
      <c r="E1" s="319"/>
      <c r="F1" s="319"/>
      <c r="G1" s="319"/>
      <c r="H1" s="319"/>
      <c r="I1" s="319"/>
      <c r="J1" s="319"/>
      <c r="K1" s="155"/>
      <c r="L1" s="156"/>
      <c r="M1" s="157"/>
    </row>
    <row r="2" spans="1:18" ht="3.75" customHeight="1">
      <c r="F2" s="154" t="s">
        <v>3</v>
      </c>
    </row>
    <row r="3" spans="1:18" ht="18.75">
      <c r="A3" s="159" t="s">
        <v>8</v>
      </c>
      <c r="D3" s="120" t="s">
        <v>124</v>
      </c>
      <c r="E3" s="120" t="s">
        <v>117</v>
      </c>
      <c r="F3" s="120" t="s">
        <v>128</v>
      </c>
      <c r="G3" s="120" t="s">
        <v>129</v>
      </c>
      <c r="H3" s="120" t="s">
        <v>130</v>
      </c>
      <c r="I3" s="120" t="s">
        <v>131</v>
      </c>
      <c r="J3" s="120" t="s">
        <v>132</v>
      </c>
      <c r="K3" s="120" t="s">
        <v>133</v>
      </c>
      <c r="L3" s="120" t="s">
        <v>134</v>
      </c>
    </row>
    <row r="4" spans="1:18" ht="18.75">
      <c r="A4" s="160" t="s">
        <v>115</v>
      </c>
      <c r="D4" s="27">
        <v>0</v>
      </c>
      <c r="E4" s="27" t="s">
        <v>119</v>
      </c>
      <c r="F4" s="168">
        <v>1234567890</v>
      </c>
      <c r="G4" s="31" t="s">
        <v>947</v>
      </c>
      <c r="H4" s="169" t="s">
        <v>948</v>
      </c>
      <c r="I4" s="31" t="s">
        <v>135</v>
      </c>
      <c r="J4" s="27"/>
      <c r="K4" s="27"/>
      <c r="L4" s="27"/>
    </row>
    <row r="5" spans="1:18" ht="24" customHeight="1">
      <c r="A5" s="161" t="s">
        <v>102</v>
      </c>
    </row>
    <row r="6" spans="1:18" ht="34.5" customHeight="1">
      <c r="A6" s="162" t="s">
        <v>103</v>
      </c>
    </row>
    <row r="7" spans="1:18" ht="18.75">
      <c r="A7" s="163" t="s">
        <v>104</v>
      </c>
      <c r="D7" s="171"/>
      <c r="E7" s="171"/>
      <c r="F7" s="171"/>
      <c r="G7" s="171"/>
      <c r="H7" s="171"/>
      <c r="I7" s="171"/>
      <c r="J7" s="171"/>
    </row>
    <row r="8" spans="1:18" ht="18.75">
      <c r="A8" s="146" t="s">
        <v>110</v>
      </c>
      <c r="D8" s="121" t="s">
        <v>124</v>
      </c>
      <c r="E8" s="121" t="s">
        <v>125</v>
      </c>
      <c r="F8" s="121" t="s">
        <v>951</v>
      </c>
      <c r="G8" s="122" t="s">
        <v>127</v>
      </c>
      <c r="H8" s="121" t="s">
        <v>330</v>
      </c>
      <c r="I8" s="121" t="s">
        <v>329</v>
      </c>
      <c r="J8" s="121" t="s">
        <v>331</v>
      </c>
      <c r="K8" s="121" t="s">
        <v>332</v>
      </c>
      <c r="L8" s="121" t="s">
        <v>399</v>
      </c>
      <c r="M8" s="121" t="s">
        <v>126</v>
      </c>
      <c r="N8" s="121" t="s">
        <v>120</v>
      </c>
      <c r="O8" s="121" t="s">
        <v>400</v>
      </c>
      <c r="P8" s="123" t="s">
        <v>121</v>
      </c>
      <c r="Q8" s="123" t="s">
        <v>136</v>
      </c>
      <c r="R8" s="121" t="s">
        <v>122</v>
      </c>
    </row>
    <row r="9" spans="1:18" ht="18.75">
      <c r="A9" s="164" t="s">
        <v>89</v>
      </c>
      <c r="D9" s="27">
        <v>0</v>
      </c>
      <c r="E9" s="27" t="s">
        <v>138</v>
      </c>
      <c r="F9" s="27" t="s">
        <v>958</v>
      </c>
      <c r="G9" s="25">
        <v>0</v>
      </c>
      <c r="H9" s="172" t="e">
        <v>#REF!</v>
      </c>
      <c r="I9" s="172" t="e">
        <v>#REF!</v>
      </c>
      <c r="J9" s="172" t="e">
        <f>(FinancialAccountsTable[[#This Row],[جمع دریافتی]]+FinancialAccountsTable[[#This Row],[موجودی اولیه]])-FinancialAccountsTable[[#This Row],[جمع پرداختی]]</f>
        <v>#REF!</v>
      </c>
      <c r="K9" s="139" t="e">
        <f>IF(FinancialAccountsTable[[#This Row],[مانده]]=0,"",IF(FinancialAccountsTable[[#This Row],[مانده]]&gt;0,"بدهکار","بستانکار"))</f>
        <v>#REF!</v>
      </c>
      <c r="L9" s="27" t="s">
        <v>123</v>
      </c>
      <c r="M9" s="27" t="s">
        <v>123</v>
      </c>
      <c r="N9" s="27" t="s">
        <v>123</v>
      </c>
      <c r="O9" s="27" t="s">
        <v>123</v>
      </c>
      <c r="P9" s="31" t="s">
        <v>123</v>
      </c>
      <c r="Q9" s="31" t="s">
        <v>123</v>
      </c>
      <c r="R9" s="27" t="s">
        <v>123</v>
      </c>
    </row>
    <row r="10" spans="1:18" ht="31.5">
      <c r="A10" s="165" t="s">
        <v>111</v>
      </c>
      <c r="D10" s="27">
        <v>1</v>
      </c>
      <c r="E10" s="27" t="s">
        <v>949</v>
      </c>
      <c r="F10" s="27" t="s">
        <v>955</v>
      </c>
      <c r="G10" s="25">
        <v>0</v>
      </c>
      <c r="H10" s="172" t="e">
        <v>#REF!</v>
      </c>
      <c r="I10" s="172" t="e">
        <v>#REF!</v>
      </c>
      <c r="J10" s="172" t="e">
        <f>(FinancialAccountsTable[[#This Row],[جمع دریافتی]]+FinancialAccountsTable[[#This Row],[موجودی اولیه]])-FinancialAccountsTable[[#This Row],[جمع پرداختی]]</f>
        <v>#REF!</v>
      </c>
      <c r="K10" s="139" t="e">
        <f>IF(FinancialAccountsTable[[#This Row],[مانده]]=0,"",IF(FinancialAccountsTable[[#This Row],[مانده]]&gt;0,"بدهکار","بستانکار"))</f>
        <v>#REF!</v>
      </c>
      <c r="L10" s="27" t="s">
        <v>968</v>
      </c>
      <c r="M10" s="27" t="s">
        <v>973</v>
      </c>
      <c r="N10" s="27"/>
      <c r="O10" s="27"/>
      <c r="P10" s="31"/>
      <c r="Q10" s="31"/>
      <c r="R10" s="27"/>
    </row>
    <row r="11" spans="1:18" ht="31.5">
      <c r="A11" s="166" t="s">
        <v>105</v>
      </c>
      <c r="D11" s="27">
        <v>2</v>
      </c>
      <c r="E11" s="27" t="s">
        <v>967</v>
      </c>
      <c r="F11" s="27" t="s">
        <v>952</v>
      </c>
      <c r="G11" s="25">
        <v>0</v>
      </c>
      <c r="H11" s="172" t="e">
        <v>#REF!</v>
      </c>
      <c r="I11" s="172" t="e">
        <v>#REF!</v>
      </c>
      <c r="J11" s="172" t="e">
        <f>(FinancialAccountsTable[[#This Row],[جمع دریافتی]]+FinancialAccountsTable[[#This Row],[موجودی اولیه]])-FinancialAccountsTable[[#This Row],[جمع پرداختی]]</f>
        <v>#REF!</v>
      </c>
      <c r="K11" s="139" t="e">
        <f>IF(FinancialAccountsTable[[#This Row],[مانده]]=0,"",IF(FinancialAccountsTable[[#This Row],[مانده]]&gt;0,"بدهکار","بستانکار"))</f>
        <v>#REF!</v>
      </c>
      <c r="L11" s="27" t="s">
        <v>969</v>
      </c>
      <c r="M11" s="27"/>
      <c r="N11" s="27"/>
      <c r="O11" s="27"/>
      <c r="P11" s="31"/>
      <c r="Q11" s="31"/>
      <c r="R11" s="27"/>
    </row>
    <row r="12" spans="1:18" ht="24" customHeight="1">
      <c r="A12" s="167" t="s">
        <v>98</v>
      </c>
      <c r="D12" s="27">
        <v>3</v>
      </c>
      <c r="E12" s="27" t="s">
        <v>950</v>
      </c>
      <c r="F12" s="27" t="s">
        <v>953</v>
      </c>
      <c r="G12" s="25">
        <v>0</v>
      </c>
      <c r="H12" s="172" t="e">
        <v>#REF!</v>
      </c>
      <c r="I12" s="172" t="e">
        <v>#REF!</v>
      </c>
      <c r="J12" s="172" t="e">
        <f>(FinancialAccountsTable[[#This Row],[جمع دریافتی]]+FinancialAccountsTable[[#This Row],[موجودی اولیه]])-FinancialAccountsTable[[#This Row],[جمع پرداختی]]</f>
        <v>#REF!</v>
      </c>
      <c r="K12" s="139" t="e">
        <f>IF(FinancialAccountsTable[[#This Row],[مانده]]=0,"",IF(FinancialAccountsTable[[#This Row],[مانده]]&gt;0,"بدهکار","بستانکار"))</f>
        <v>#REF!</v>
      </c>
      <c r="L12" s="27" t="s">
        <v>970</v>
      </c>
      <c r="M12" s="27"/>
      <c r="N12" s="27"/>
      <c r="O12" s="27"/>
      <c r="P12" s="31"/>
      <c r="Q12" s="31"/>
      <c r="R12" s="27"/>
    </row>
    <row r="13" spans="1:18" ht="24" customHeight="1">
      <c r="A13" s="124"/>
      <c r="D13" s="27">
        <v>4</v>
      </c>
      <c r="E13" s="27" t="s">
        <v>321</v>
      </c>
      <c r="F13" s="27" t="s">
        <v>954</v>
      </c>
      <c r="G13" s="25">
        <v>0</v>
      </c>
      <c r="H13" s="172" t="e">
        <v>#REF!</v>
      </c>
      <c r="I13" s="172" t="e">
        <v>#REF!</v>
      </c>
      <c r="J13" s="172" t="e">
        <f>(FinancialAccountsTable[[#This Row],[جمع دریافتی]]+FinancialAccountsTable[[#This Row],[موجودی اولیه]])-FinancialAccountsTable[[#This Row],[جمع پرداختی]]</f>
        <v>#REF!</v>
      </c>
      <c r="K13" s="139" t="e">
        <f>IF(FinancialAccountsTable[[#This Row],[مانده]]=0,"",IF(FinancialAccountsTable[[#This Row],[مانده]]&gt;0,"بدهکار","بستانکار"))</f>
        <v>#REF!</v>
      </c>
      <c r="L13" s="27" t="s">
        <v>971</v>
      </c>
      <c r="M13" s="27"/>
      <c r="N13" s="27"/>
      <c r="O13" s="27"/>
      <c r="P13" s="31"/>
      <c r="Q13" s="31"/>
      <c r="R13" s="27"/>
    </row>
    <row r="14" spans="1:18" ht="34.5" customHeight="1">
      <c r="A14" s="124"/>
      <c r="D14" s="27">
        <v>5</v>
      </c>
      <c r="E14" s="27" t="s">
        <v>956</v>
      </c>
      <c r="F14" s="27" t="s">
        <v>957</v>
      </c>
      <c r="G14" s="25">
        <v>0</v>
      </c>
      <c r="H14" s="172" t="e">
        <v>#REF!</v>
      </c>
      <c r="I14" s="172" t="e">
        <v>#REF!</v>
      </c>
      <c r="J14" s="172" t="e">
        <f>(FinancialAccountsTable[[#This Row],[جمع دریافتی]]+FinancialAccountsTable[[#This Row],[موجودی اولیه]])-FinancialAccountsTable[[#This Row],[جمع پرداختی]]</f>
        <v>#REF!</v>
      </c>
      <c r="K14" s="139" t="e">
        <f>IF(FinancialAccountsTable[[#This Row],[مانده]]=0,"",IF(FinancialAccountsTable[[#This Row],[مانده]]&gt;0,"بدهکار","بستانکار"))</f>
        <v>#REF!</v>
      </c>
      <c r="L14" s="27" t="s">
        <v>972</v>
      </c>
      <c r="M14" s="27"/>
      <c r="N14" s="27"/>
      <c r="O14" s="27"/>
      <c r="P14" s="31"/>
      <c r="Q14" s="31"/>
      <c r="R14" s="27"/>
    </row>
    <row r="15" spans="1:18" ht="24" customHeight="1">
      <c r="A15" s="124"/>
      <c r="D15" s="27">
        <v>6</v>
      </c>
      <c r="E15" s="27" t="s">
        <v>959</v>
      </c>
      <c r="F15" s="27" t="s">
        <v>964</v>
      </c>
      <c r="G15" s="25">
        <v>0</v>
      </c>
      <c r="H15" s="172" t="e">
        <v>#REF!</v>
      </c>
      <c r="I15" s="172" t="e">
        <v>#REF!</v>
      </c>
      <c r="J15" s="172" t="e">
        <f>(FinancialAccountsTable[[#This Row],[جمع دریافتی]]+FinancialAccountsTable[[#This Row],[موجودی اولیه]])-FinancialAccountsTable[[#This Row],[جمع پرداختی]]</f>
        <v>#REF!</v>
      </c>
      <c r="K15" s="173" t="e">
        <f>IF(FinancialAccountsTable[[#This Row],[مانده]]=0,"",IF(FinancialAccountsTable[[#This Row],[مانده]]&gt;0,"بدهکار","بستانکار"))</f>
        <v>#REF!</v>
      </c>
      <c r="L15" s="27"/>
      <c r="M15" s="27"/>
      <c r="N15" s="27"/>
      <c r="O15" s="27"/>
      <c r="P15" s="31"/>
      <c r="Q15" s="31"/>
      <c r="R15" s="27"/>
    </row>
    <row r="16" spans="1:18" ht="24" customHeight="1">
      <c r="A16" s="124"/>
      <c r="D16" s="27">
        <v>7</v>
      </c>
      <c r="E16" s="27" t="s">
        <v>960</v>
      </c>
      <c r="F16" s="27" t="s">
        <v>962</v>
      </c>
      <c r="G16" s="25">
        <v>0</v>
      </c>
      <c r="H16" s="172" t="e">
        <v>#REF!</v>
      </c>
      <c r="I16" s="172" t="e">
        <v>#REF!</v>
      </c>
      <c r="J16" s="172" t="e">
        <f>(FinancialAccountsTable[[#This Row],[جمع دریافتی]]+FinancialAccountsTable[[#This Row],[موجودی اولیه]])-FinancialAccountsTable[[#This Row],[جمع پرداختی]]</f>
        <v>#REF!</v>
      </c>
      <c r="K16" s="173" t="e">
        <f>IF(FinancialAccountsTable[[#This Row],[مانده]]=0,"",IF(FinancialAccountsTable[[#This Row],[مانده]]&gt;0,"بدهکار","بستانکار"))</f>
        <v>#REF!</v>
      </c>
      <c r="L16" s="27"/>
      <c r="M16" s="27"/>
      <c r="N16" s="27"/>
      <c r="O16" s="27"/>
      <c r="P16" s="31"/>
      <c r="Q16" s="31"/>
      <c r="R16" s="27"/>
    </row>
    <row r="17" spans="1:18" ht="24" customHeight="1">
      <c r="A17" s="124"/>
      <c r="D17" s="27">
        <v>8</v>
      </c>
      <c r="E17" s="27" t="s">
        <v>961</v>
      </c>
      <c r="F17" s="27" t="s">
        <v>963</v>
      </c>
      <c r="G17" s="25">
        <v>0</v>
      </c>
      <c r="H17" s="172" t="e">
        <v>#REF!</v>
      </c>
      <c r="I17" s="172" t="e">
        <v>#REF!</v>
      </c>
      <c r="J17" s="172" t="e">
        <f>(FinancialAccountsTable[[#This Row],[جمع دریافتی]]+FinancialAccountsTable[[#This Row],[موجودی اولیه]])-FinancialAccountsTable[[#This Row],[جمع پرداختی]]</f>
        <v>#REF!</v>
      </c>
      <c r="K17" s="173" t="e">
        <f>IF(FinancialAccountsTable[[#This Row],[مانده]]=0,"",IF(FinancialAccountsTable[[#This Row],[مانده]]&gt;0,"بدهکار","بستانکار"))</f>
        <v>#REF!</v>
      </c>
      <c r="L17" s="27"/>
      <c r="M17" s="27"/>
      <c r="N17" s="27"/>
      <c r="O17" s="27"/>
      <c r="P17" s="31"/>
      <c r="Q17" s="31"/>
      <c r="R17" s="27"/>
    </row>
    <row r="18" spans="1:18" ht="24" customHeight="1">
      <c r="A18" s="124"/>
      <c r="D18" s="27">
        <v>9</v>
      </c>
      <c r="E18" s="27" t="s">
        <v>965</v>
      </c>
      <c r="F18" s="27" t="s">
        <v>966</v>
      </c>
      <c r="G18" s="25">
        <v>0</v>
      </c>
      <c r="H18" s="172" t="e">
        <v>#REF!</v>
      </c>
      <c r="I18" s="172" t="e">
        <v>#REF!</v>
      </c>
      <c r="J18" s="172" t="e">
        <f>(FinancialAccountsTable[[#This Row],[جمع دریافتی]]+FinancialAccountsTable[[#This Row],[موجودی اولیه]])-FinancialAccountsTable[[#This Row],[جمع پرداختی]]</f>
        <v>#REF!</v>
      </c>
      <c r="K18" s="173" t="e">
        <f>IF(FinancialAccountsTable[[#This Row],[مانده]]=0,"",IF(FinancialAccountsTable[[#This Row],[مانده]]&gt;0,"بدهکار","بستانکار"))</f>
        <v>#REF!</v>
      </c>
      <c r="L18" s="27"/>
      <c r="M18" s="27"/>
      <c r="N18" s="27"/>
      <c r="O18" s="27"/>
      <c r="P18" s="31"/>
      <c r="Q18" s="31"/>
      <c r="R18" s="27"/>
    </row>
    <row r="19" spans="1:18" ht="15.75">
      <c r="A19" s="124"/>
      <c r="D19" s="139" t="s">
        <v>145</v>
      </c>
      <c r="E19" s="174"/>
      <c r="F19" s="174"/>
      <c r="G19" s="172">
        <f>SUBTOTAL(109,FinancialAccountsTable[موجودی اولیه])-G14</f>
        <v>0</v>
      </c>
      <c r="H19" s="172" t="e">
        <f>SUBTOTAL(109,FinancialAccountsTable[جمع پرداختی])-H14</f>
        <v>#REF!</v>
      </c>
      <c r="I19" s="172" t="e">
        <f>SUBTOTAL(109,FinancialAccountsTable[جمع دریافتی])-I14</f>
        <v>#REF!</v>
      </c>
      <c r="J19" s="172" t="e">
        <f>SUBTOTAL(109,FinancialAccountsTable[مانده])-J14</f>
        <v>#REF!</v>
      </c>
      <c r="K19" s="174"/>
      <c r="L19" s="174"/>
      <c r="M19" s="174"/>
      <c r="N19" s="175"/>
      <c r="O19" s="175"/>
      <c r="P19" s="175"/>
      <c r="Q19" s="175"/>
      <c r="R19" s="175"/>
    </row>
    <row r="20" spans="1:18">
      <c r="A20" s="124"/>
    </row>
    <row r="21" spans="1:18">
      <c r="A21" s="124"/>
      <c r="I21" s="176"/>
      <c r="K21" s="176"/>
    </row>
    <row r="22" spans="1:18">
      <c r="A22" s="124"/>
      <c r="I22" s="176"/>
    </row>
    <row r="23" spans="1:18" ht="15.75">
      <c r="A23" s="124"/>
      <c r="D23" s="143"/>
      <c r="E23" s="143"/>
      <c r="F23" s="143"/>
      <c r="G23" s="177"/>
      <c r="H23" s="130"/>
      <c r="I23" s="178"/>
      <c r="J23" s="179"/>
      <c r="K23" s="143"/>
    </row>
    <row r="24" spans="1:18" ht="15.75">
      <c r="D24" s="143"/>
      <c r="E24" s="143"/>
      <c r="F24" s="143"/>
      <c r="G24" s="177"/>
      <c r="H24" s="130"/>
      <c r="I24" s="178"/>
      <c r="J24" s="179"/>
      <c r="K24" s="143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A3" location="فهرست!A1" display="فهرست" xr:uid="{4F6B46F5-B604-4D10-8DD3-606E96272B47}"/>
    <hyperlink ref="A5" location="'مدیریت وام و اقساط'!A1" display="وام و اقساط" xr:uid="{A6D37948-345A-49EE-8816-33D82A36B161}"/>
    <hyperlink ref="A6" location="'مدیریت چک‌ها'!A1" display="چک‌ها" xr:uid="{7330B469-9E7F-492C-8CDF-041B172B9712}"/>
    <hyperlink ref="A7" location="'مدیریت بدهی‌ها-طلب‌ها'!A1" display="بدهی‌ها و طلب‌ها" xr:uid="{CA17C9E8-A3E7-47F4-970C-8F9373BD7F2C}"/>
    <hyperlink ref="A8" location="'برنامه ریزی پرداخت‌ها'!A1" display="برنامه ریزی" xr:uid="{412461CE-645B-4D62-9AA1-69CEA8AF729E}"/>
    <hyperlink ref="A9" location="تقویم!A1" display="تقویم" xr:uid="{C8E9CC36-7132-4754-AD08-2368D6E417E8}"/>
    <hyperlink ref="A10" location="'برنامه و بودجه بندی'!A1" display="بودجه بندی" xr:uid="{6A232AEC-2E3A-47E4-A524-0B4EBF13B033}"/>
    <hyperlink ref="A11" location="'گزارش فعالیت‌های ماه جاری'!A1" display="ماه جاری" xr:uid="{45A7BF37-FD66-46DE-9911-795E95637D13}"/>
    <hyperlink ref="A12" location="'جست و جو'!A1" display="جست و جو" xr:uid="{45E43685-D8E2-4D91-9B11-5ADC16980FF4}"/>
    <hyperlink ref="A4" location="تراکنش‌ها!A1" display="تراکنش‌ها" xr:uid="{583659C4-8F3D-4BD8-8EF6-BCC533EDD37F}"/>
    <hyperlink ref="H4" r:id="rId1" xr:uid="{CC8DF5A8-4880-4A98-A23C-6AE99BD2C84A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B365"/>
  <sheetViews>
    <sheetView showGridLines="0" rightToLeft="1" topLeftCell="J1" workbookViewId="0">
      <selection activeCell="O6" sqref="O6"/>
    </sheetView>
  </sheetViews>
  <sheetFormatPr defaultRowHeight="15"/>
  <cols>
    <col min="1" max="1" width="29.7109375" style="131" customWidth="1"/>
    <col min="2" max="2" width="0.7109375" style="132" customWidth="1"/>
    <col min="3" max="3" width="4.5703125" style="130" customWidth="1"/>
    <col min="4" max="4" width="18.28515625" style="130" customWidth="1"/>
    <col min="5" max="5" width="0.7109375" style="130" customWidth="1"/>
    <col min="6" max="6" width="24.85546875" style="130" bestFit="1" customWidth="1"/>
    <col min="7" max="7" width="0.7109375" style="130" customWidth="1"/>
    <col min="8" max="8" width="28.5703125" style="130" customWidth="1"/>
    <col min="9" max="9" width="0.7109375" style="130" customWidth="1"/>
    <col min="10" max="10" width="26.28515625" style="130" bestFit="1" customWidth="1"/>
    <col min="11" max="11" width="20.7109375" style="133" bestFit="1" customWidth="1"/>
    <col min="12" max="12" width="4.5703125" style="130" customWidth="1"/>
    <col min="13" max="13" width="28.5703125" style="130" customWidth="1"/>
    <col min="14" max="14" width="14.28515625" style="133" customWidth="1"/>
    <col min="15" max="15" width="18.85546875" style="130" customWidth="1"/>
    <col min="16" max="16" width="0.7109375" style="130" customWidth="1"/>
    <col min="17" max="17" width="28.5703125" style="130" customWidth="1"/>
    <col min="18" max="18" width="14.28515625" style="130" customWidth="1"/>
    <col min="19" max="19" width="18.85546875" style="130" customWidth="1"/>
    <col min="20" max="20" width="0.7109375" style="130" customWidth="1"/>
    <col min="21" max="21" width="28.5703125" style="130" customWidth="1"/>
    <col min="22" max="22" width="18.85546875" style="130" customWidth="1"/>
    <col min="23" max="23" width="0.7109375" style="130" customWidth="1"/>
    <col min="24" max="24" width="28.5703125" style="130" customWidth="1"/>
    <col min="25" max="25" width="18.85546875" style="130" customWidth="1"/>
    <col min="26" max="26" width="0.7109375" style="130" customWidth="1"/>
    <col min="27" max="27" width="28.5703125" style="130" customWidth="1"/>
    <col min="28" max="28" width="18.85546875" style="130" customWidth="1"/>
    <col min="29" max="16384" width="9.140625" style="130"/>
  </cols>
  <sheetData>
    <row r="1" spans="1:28" ht="24" customHeight="1">
      <c r="A1" s="127" t="s">
        <v>397</v>
      </c>
      <c r="B1" s="128"/>
      <c r="C1" s="129"/>
      <c r="D1" s="322" t="s">
        <v>395</v>
      </c>
      <c r="E1" s="322"/>
      <c r="F1" s="322"/>
      <c r="G1" s="322"/>
      <c r="H1" s="322"/>
      <c r="I1" s="322"/>
      <c r="J1" s="322"/>
      <c r="K1" s="322"/>
      <c r="M1" s="323" t="s">
        <v>396</v>
      </c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3"/>
      <c r="Z1" s="323"/>
      <c r="AA1" s="323"/>
      <c r="AB1" s="323"/>
    </row>
    <row r="2" spans="1:28" ht="3.75" customHeight="1"/>
    <row r="3" spans="1:28" ht="18.75">
      <c r="A3" s="134" t="s">
        <v>8</v>
      </c>
      <c r="D3" s="120" t="s">
        <v>112</v>
      </c>
      <c r="F3" s="135" t="s">
        <v>139</v>
      </c>
      <c r="H3" s="136" t="s">
        <v>147</v>
      </c>
      <c r="J3" s="325" t="s">
        <v>393</v>
      </c>
      <c r="K3" s="325"/>
      <c r="M3" s="326" t="s">
        <v>360</v>
      </c>
      <c r="N3" s="326"/>
      <c r="O3" s="326"/>
      <c r="P3" s="137"/>
      <c r="Q3" s="327" t="s">
        <v>361</v>
      </c>
      <c r="R3" s="327"/>
      <c r="S3" s="327"/>
      <c r="U3" s="328" t="s">
        <v>385</v>
      </c>
      <c r="V3" s="328"/>
      <c r="X3" s="320" t="s">
        <v>362</v>
      </c>
      <c r="Y3" s="320"/>
      <c r="AA3" s="321" t="s">
        <v>363</v>
      </c>
      <c r="AB3" s="321"/>
    </row>
    <row r="4" spans="1:28" ht="18.75">
      <c r="A4" s="138" t="s">
        <v>115</v>
      </c>
      <c r="D4" s="139" t="s">
        <v>113</v>
      </c>
      <c r="E4" s="129"/>
      <c r="F4" s="139" t="s">
        <v>280</v>
      </c>
      <c r="G4" s="140"/>
      <c r="H4" s="136" t="s">
        <v>151</v>
      </c>
      <c r="J4" s="136" t="s">
        <v>124</v>
      </c>
      <c r="K4" s="141" t="s">
        <v>380</v>
      </c>
      <c r="M4" s="136" t="s">
        <v>364</v>
      </c>
      <c r="N4" s="141" t="s">
        <v>377</v>
      </c>
      <c r="O4" s="141" t="s">
        <v>376</v>
      </c>
      <c r="P4" s="133"/>
      <c r="Q4" s="136" t="s">
        <v>365</v>
      </c>
      <c r="R4" s="136" t="s">
        <v>377</v>
      </c>
      <c r="S4" s="136" t="s">
        <v>376</v>
      </c>
      <c r="U4" s="136" t="s">
        <v>366</v>
      </c>
      <c r="V4" s="136" t="s">
        <v>394</v>
      </c>
      <c r="X4" s="136" t="s">
        <v>367</v>
      </c>
      <c r="Y4" s="136" t="s">
        <v>394</v>
      </c>
      <c r="AA4" s="180" t="s">
        <v>368</v>
      </c>
      <c r="AB4" s="180" t="s">
        <v>394</v>
      </c>
    </row>
    <row r="5" spans="1:28" ht="30">
      <c r="A5" s="142" t="s">
        <v>102</v>
      </c>
      <c r="D5" s="139" t="s">
        <v>114</v>
      </c>
      <c r="E5" s="143"/>
      <c r="F5" s="139" t="s">
        <v>304</v>
      </c>
      <c r="G5" s="143"/>
      <c r="H5" s="136" t="s">
        <v>148</v>
      </c>
      <c r="J5" s="136">
        <v>0</v>
      </c>
      <c r="K5" s="141" t="s">
        <v>384</v>
      </c>
      <c r="M5" s="141" t="s">
        <v>378</v>
      </c>
      <c r="N5" s="141" t="s">
        <v>369</v>
      </c>
      <c r="O5" s="136" t="str">
        <f>CONCATENATE(تقویم!$A$2,HolidayTable[[#This Row],[روز و ماه]])</f>
        <v>14000101</v>
      </c>
      <c r="Q5" s="181" t="s">
        <v>421</v>
      </c>
      <c r="R5" s="141" t="s">
        <v>370</v>
      </c>
      <c r="S5" s="136" t="str">
        <f>CONCATENATE(تقویم!$A$2,EventsTable[[#This Row],[روز و ماه]])</f>
        <v>14000102</v>
      </c>
      <c r="U5" s="141" t="s">
        <v>790</v>
      </c>
      <c r="V5" s="141" t="s">
        <v>791</v>
      </c>
      <c r="X5" s="181" t="s">
        <v>826</v>
      </c>
      <c r="Y5" s="141" t="s">
        <v>369</v>
      </c>
      <c r="AA5" s="141" t="s">
        <v>907</v>
      </c>
      <c r="AB5" s="141" t="s">
        <v>369</v>
      </c>
    </row>
    <row r="6" spans="1:28" ht="18.75">
      <c r="A6" s="144" t="s">
        <v>103</v>
      </c>
      <c r="D6" s="139" t="s">
        <v>141</v>
      </c>
      <c r="E6" s="143"/>
      <c r="F6" s="139" t="s">
        <v>140</v>
      </c>
      <c r="G6" s="143"/>
      <c r="H6" s="136" t="s">
        <v>149</v>
      </c>
      <c r="J6" s="136">
        <v>1</v>
      </c>
      <c r="K6" s="141"/>
      <c r="M6" s="141" t="s">
        <v>379</v>
      </c>
      <c r="N6" s="141" t="s">
        <v>370</v>
      </c>
      <c r="O6" s="136" t="str">
        <f>CONCATENATE(تقویم!$A$2,HolidayTable[[#This Row],[روز و ماه]])</f>
        <v>14000102</v>
      </c>
      <c r="Q6" s="181" t="s">
        <v>422</v>
      </c>
      <c r="R6" s="141" t="s">
        <v>370</v>
      </c>
      <c r="S6" s="136" t="str">
        <f>CONCATENATE(تقویم!$A$2,EventsTable[[#This Row],[روز و ماه]])</f>
        <v>14000102</v>
      </c>
      <c r="U6" s="141" t="s">
        <v>792</v>
      </c>
      <c r="V6" s="141" t="s">
        <v>793</v>
      </c>
      <c r="X6" s="181" t="s">
        <v>827</v>
      </c>
      <c r="Y6" s="141" t="s">
        <v>828</v>
      </c>
      <c r="AA6" s="141" t="s">
        <v>908</v>
      </c>
      <c r="AB6" s="141" t="s">
        <v>909</v>
      </c>
    </row>
    <row r="7" spans="1:28" ht="30">
      <c r="A7" s="145" t="s">
        <v>104</v>
      </c>
      <c r="E7" s="143"/>
      <c r="F7" s="139"/>
      <c r="G7" s="143"/>
      <c r="H7" s="136" t="s">
        <v>305</v>
      </c>
      <c r="J7" s="136">
        <v>2</v>
      </c>
      <c r="K7" s="141"/>
      <c r="M7" s="141" t="s">
        <v>379</v>
      </c>
      <c r="N7" s="141" t="s">
        <v>371</v>
      </c>
      <c r="O7" s="136" t="str">
        <f>CONCATENATE(تقویم!$A$2,HolidayTable[[#This Row],[روز و ماه]])</f>
        <v>14000103</v>
      </c>
      <c r="Q7" s="181" t="s">
        <v>423</v>
      </c>
      <c r="R7" s="141" t="s">
        <v>424</v>
      </c>
      <c r="S7" s="136" t="str">
        <f>CONCATENATE(تقویم!$A$2,EventsTable[[#This Row],[روز و ماه]])</f>
        <v>14000106</v>
      </c>
      <c r="U7" s="141" t="s">
        <v>794</v>
      </c>
      <c r="V7" s="141" t="s">
        <v>795</v>
      </c>
      <c r="X7" s="181" t="s">
        <v>829</v>
      </c>
      <c r="Y7" s="141" t="s">
        <v>373</v>
      </c>
      <c r="AA7" s="141" t="s">
        <v>910</v>
      </c>
      <c r="AB7" s="141" t="s">
        <v>911</v>
      </c>
    </row>
    <row r="8" spans="1:28" ht="30">
      <c r="A8" s="146" t="s">
        <v>110</v>
      </c>
      <c r="G8" s="143"/>
      <c r="H8" s="136" t="s">
        <v>152</v>
      </c>
      <c r="J8" s="136">
        <v>3</v>
      </c>
      <c r="K8" s="141"/>
      <c r="M8" s="141" t="s">
        <v>379</v>
      </c>
      <c r="N8" s="141" t="s">
        <v>372</v>
      </c>
      <c r="O8" s="136" t="str">
        <f>CONCATENATE(تقویم!$A$2,HolidayTable[[#This Row],[روز و ماه]])</f>
        <v>14000104</v>
      </c>
      <c r="Q8" s="181" t="s">
        <v>425</v>
      </c>
      <c r="R8" s="141" t="s">
        <v>426</v>
      </c>
      <c r="S8" s="136" t="str">
        <f>CONCATENATE(تقویم!$A$2,EventsTable[[#This Row],[روز و ماه]])</f>
        <v>14000107</v>
      </c>
      <c r="U8" s="141" t="s">
        <v>796</v>
      </c>
      <c r="V8" s="141" t="s">
        <v>476</v>
      </c>
      <c r="X8" s="181" t="s">
        <v>830</v>
      </c>
      <c r="Y8" s="141" t="s">
        <v>438</v>
      </c>
      <c r="AA8" s="141" t="s">
        <v>912</v>
      </c>
      <c r="AB8" s="141" t="s">
        <v>913</v>
      </c>
    </row>
    <row r="9" spans="1:28" ht="30">
      <c r="A9" s="147" t="s">
        <v>89</v>
      </c>
      <c r="H9" s="136" t="s">
        <v>77</v>
      </c>
      <c r="J9" s="136"/>
      <c r="K9" s="141"/>
      <c r="M9" s="141" t="s">
        <v>375</v>
      </c>
      <c r="N9" s="141" t="s">
        <v>373</v>
      </c>
      <c r="O9" s="136" t="str">
        <f>CONCATENATE(تقویم!$A$2,HolidayTable[[#This Row],[روز و ماه]])</f>
        <v>14000112</v>
      </c>
      <c r="Q9" s="181" t="s">
        <v>427</v>
      </c>
      <c r="R9" s="141" t="s">
        <v>418</v>
      </c>
      <c r="S9" s="136" t="str">
        <f>CONCATENATE(تقویم!$A$2,EventsTable[[#This Row],[روز و ماه]])</f>
        <v>14000115</v>
      </c>
      <c r="U9" s="141" t="s">
        <v>797</v>
      </c>
      <c r="V9" s="141" t="s">
        <v>476</v>
      </c>
      <c r="X9" s="181" t="s">
        <v>831</v>
      </c>
      <c r="Y9" s="141" t="s">
        <v>454</v>
      </c>
      <c r="AA9" s="141" t="s">
        <v>914</v>
      </c>
      <c r="AB9" s="141" t="s">
        <v>915</v>
      </c>
    </row>
    <row r="10" spans="1:28" ht="18.75">
      <c r="A10" s="148" t="s">
        <v>111</v>
      </c>
      <c r="H10" s="136" t="s">
        <v>150</v>
      </c>
      <c r="J10" s="136"/>
      <c r="K10" s="141"/>
      <c r="M10" s="141" t="s">
        <v>412</v>
      </c>
      <c r="N10" s="141" t="s">
        <v>374</v>
      </c>
      <c r="O10" s="136" t="str">
        <f>CONCATENATE(تقویم!$A$2,HolidayTable[[#This Row],[روز و ماه]])</f>
        <v>14000113</v>
      </c>
      <c r="Q10" s="182" t="s">
        <v>428</v>
      </c>
      <c r="R10" s="141" t="s">
        <v>429</v>
      </c>
      <c r="S10" s="136" t="str">
        <f>CONCATENATE(تقویم!$A$2,EventsTable[[#This Row],[روز و ماه]])</f>
        <v>14000118</v>
      </c>
      <c r="U10" s="141" t="s">
        <v>798</v>
      </c>
      <c r="V10" s="141" t="s">
        <v>799</v>
      </c>
      <c r="X10" s="141" t="s">
        <v>832</v>
      </c>
      <c r="Y10" s="141" t="s">
        <v>833</v>
      </c>
      <c r="AA10" s="141" t="s">
        <v>916</v>
      </c>
      <c r="AB10" s="141" t="s">
        <v>552</v>
      </c>
    </row>
    <row r="11" spans="1:28" ht="45">
      <c r="A11" s="149" t="s">
        <v>105</v>
      </c>
      <c r="M11" s="183" t="s">
        <v>413</v>
      </c>
      <c r="N11" s="141" t="s">
        <v>417</v>
      </c>
      <c r="O11" s="150" t="str">
        <f>CONCATENATE(تقویم!$A$2,HolidayTable[[#This Row],[روز و ماه]])</f>
        <v>14000314</v>
      </c>
      <c r="Q11" s="182" t="s">
        <v>430</v>
      </c>
      <c r="R11" s="141" t="s">
        <v>431</v>
      </c>
      <c r="S11" s="150" t="str">
        <f>CONCATENATE(تقویم!$A$2,EventsTable[[#This Row],[روز و ماه]])</f>
        <v>14000119</v>
      </c>
      <c r="U11" s="141" t="s">
        <v>800</v>
      </c>
      <c r="V11" s="141" t="s">
        <v>801</v>
      </c>
      <c r="X11" s="181" t="s">
        <v>834</v>
      </c>
      <c r="Y11" s="141" t="s">
        <v>474</v>
      </c>
      <c r="AA11" s="141" t="s">
        <v>917</v>
      </c>
      <c r="AB11" s="141" t="s">
        <v>556</v>
      </c>
    </row>
    <row r="12" spans="1:28" ht="30">
      <c r="A12" s="151" t="s">
        <v>98</v>
      </c>
      <c r="J12" s="324" t="s">
        <v>388</v>
      </c>
      <c r="K12" s="324"/>
      <c r="M12" s="141" t="s">
        <v>414</v>
      </c>
      <c r="N12" s="141" t="s">
        <v>418</v>
      </c>
      <c r="O12" s="150" t="str">
        <f>CONCATENATE(تقویم!$A$2,HolidayTable[[#This Row],[روز و ماه]])</f>
        <v>14000115</v>
      </c>
      <c r="Q12" s="182" t="s">
        <v>432</v>
      </c>
      <c r="R12" s="141" t="s">
        <v>433</v>
      </c>
      <c r="S12" s="150" t="str">
        <f>CONCATENATE(تقویم!$A$2,EventsTable[[#This Row],[روز و ماه]])</f>
        <v>14000120</v>
      </c>
      <c r="U12" s="141" t="s">
        <v>802</v>
      </c>
      <c r="V12" s="141" t="s">
        <v>801</v>
      </c>
      <c r="X12" s="181" t="s">
        <v>835</v>
      </c>
      <c r="Y12" s="141" t="s">
        <v>482</v>
      </c>
      <c r="AA12" s="141" t="s">
        <v>918</v>
      </c>
      <c r="AB12" s="141" t="s">
        <v>571</v>
      </c>
    </row>
    <row r="13" spans="1:28" ht="45">
      <c r="J13" s="136" t="s">
        <v>386</v>
      </c>
      <c r="K13" s="136" t="s">
        <v>387</v>
      </c>
      <c r="M13" s="141" t="s">
        <v>415</v>
      </c>
      <c r="N13" s="141" t="s">
        <v>419</v>
      </c>
      <c r="O13" s="150" t="str">
        <f>CONCATENATE(تقویم!$A$2,HolidayTable[[#This Row],[روز و ماه]])</f>
        <v>14001122</v>
      </c>
      <c r="Q13" s="182" t="s">
        <v>434</v>
      </c>
      <c r="R13" s="141" t="s">
        <v>433</v>
      </c>
      <c r="S13" s="150" t="str">
        <f>CONCATENATE(تقویم!$A$2,EventsTable[[#This Row],[روز و ماه]])</f>
        <v>14000120</v>
      </c>
      <c r="U13" s="141" t="s">
        <v>803</v>
      </c>
      <c r="V13" s="141" t="s">
        <v>804</v>
      </c>
      <c r="X13" s="181" t="s">
        <v>836</v>
      </c>
      <c r="Y13" s="141" t="s">
        <v>837</v>
      </c>
      <c r="AA13" s="141" t="s">
        <v>919</v>
      </c>
      <c r="AB13" s="141" t="s">
        <v>586</v>
      </c>
    </row>
    <row r="14" spans="1:28" ht="30">
      <c r="J14" s="136" t="s">
        <v>149</v>
      </c>
      <c r="K14" s="136"/>
      <c r="M14" s="141" t="s">
        <v>416</v>
      </c>
      <c r="N14" s="141" t="s">
        <v>420</v>
      </c>
      <c r="O14" s="150" t="str">
        <f>CONCATENATE(تقویم!$A$2,HolidayTable[[#This Row],[روز و ماه]])</f>
        <v>14001229</v>
      </c>
      <c r="Q14" s="182" t="s">
        <v>435</v>
      </c>
      <c r="R14" s="141" t="s">
        <v>436</v>
      </c>
      <c r="S14" s="150" t="str">
        <f>CONCATENATE(تقویم!$A$2,EventsTable[[#This Row],[روز و ماه]])</f>
        <v>14000121</v>
      </c>
      <c r="U14" s="141" t="s">
        <v>805</v>
      </c>
      <c r="V14" s="141" t="s">
        <v>804</v>
      </c>
      <c r="X14" s="181" t="s">
        <v>838</v>
      </c>
      <c r="Y14" s="141" t="s">
        <v>837</v>
      </c>
      <c r="AA14" s="141" t="s">
        <v>920</v>
      </c>
      <c r="AB14" s="141" t="s">
        <v>598</v>
      </c>
    </row>
    <row r="15" spans="1:28" ht="60">
      <c r="J15" s="136" t="s">
        <v>389</v>
      </c>
      <c r="K15" s="136"/>
      <c r="O15" s="152"/>
      <c r="Q15" s="182" t="s">
        <v>437</v>
      </c>
      <c r="R15" s="141" t="s">
        <v>436</v>
      </c>
      <c r="S15" s="150" t="str">
        <f>CONCATENATE(تقویم!$A$2,EventsTable[[#This Row],[روز و ماه]])</f>
        <v>14000121</v>
      </c>
      <c r="U15" s="141" t="s">
        <v>806</v>
      </c>
      <c r="V15" s="141" t="s">
        <v>594</v>
      </c>
      <c r="X15" s="141" t="s">
        <v>839</v>
      </c>
      <c r="Y15" s="141" t="s">
        <v>840</v>
      </c>
      <c r="AA15" s="141" t="s">
        <v>921</v>
      </c>
      <c r="AB15" s="141" t="s">
        <v>617</v>
      </c>
    </row>
    <row r="16" spans="1:28" ht="30">
      <c r="J16" s="136" t="s">
        <v>390</v>
      </c>
      <c r="K16" s="136"/>
      <c r="O16" s="152"/>
      <c r="Q16" s="182" t="s">
        <v>823</v>
      </c>
      <c r="R16" s="141" t="s">
        <v>438</v>
      </c>
      <c r="S16" s="150" t="str">
        <f>CONCATENATE(تقویم!$A$2,EventsTable[[#This Row],[روز و ماه]])</f>
        <v>14000125</v>
      </c>
      <c r="U16" s="141" t="s">
        <v>807</v>
      </c>
      <c r="V16" s="141" t="s">
        <v>642</v>
      </c>
      <c r="X16" s="141" t="s">
        <v>841</v>
      </c>
      <c r="Y16" s="141" t="s">
        <v>517</v>
      </c>
      <c r="AA16" s="141" t="s">
        <v>922</v>
      </c>
      <c r="AB16" s="141" t="s">
        <v>923</v>
      </c>
    </row>
    <row r="17" spans="10:28" ht="30">
      <c r="J17" s="136" t="s">
        <v>391</v>
      </c>
      <c r="K17" s="136"/>
      <c r="O17" s="152"/>
      <c r="Q17" s="182" t="s">
        <v>439</v>
      </c>
      <c r="R17" s="141" t="s">
        <v>440</v>
      </c>
      <c r="S17" s="150" t="str">
        <f>CONCATENATE(تقویم!$A$2,EventsTable[[#This Row],[روز و ماه]])</f>
        <v>14000129</v>
      </c>
      <c r="U17" s="141" t="s">
        <v>808</v>
      </c>
      <c r="V17" s="141" t="s">
        <v>809</v>
      </c>
      <c r="X17" s="141" t="s">
        <v>842</v>
      </c>
      <c r="Y17" s="141" t="s">
        <v>519</v>
      </c>
      <c r="AA17" s="141" t="s">
        <v>924</v>
      </c>
      <c r="AB17" s="141" t="s">
        <v>660</v>
      </c>
    </row>
    <row r="18" spans="10:28" ht="45">
      <c r="J18" s="136" t="s">
        <v>392</v>
      </c>
      <c r="K18" s="136"/>
      <c r="O18" s="152"/>
      <c r="Q18" s="182" t="s">
        <v>441</v>
      </c>
      <c r="R18" s="141" t="s">
        <v>442</v>
      </c>
      <c r="S18" s="150" t="str">
        <f>CONCATENATE(تقویم!$A$2,EventsTable[[#This Row],[روز و ماه]])</f>
        <v>14000201</v>
      </c>
      <c r="U18" s="141" t="s">
        <v>810</v>
      </c>
      <c r="V18" s="141" t="s">
        <v>811</v>
      </c>
      <c r="X18" s="141" t="s">
        <v>843</v>
      </c>
      <c r="Y18" s="141" t="s">
        <v>552</v>
      </c>
      <c r="AA18" s="141" t="s">
        <v>925</v>
      </c>
      <c r="AB18" s="141" t="s">
        <v>926</v>
      </c>
    </row>
    <row r="19" spans="10:28" ht="30">
      <c r="J19" s="136"/>
      <c r="K19" s="141"/>
      <c r="O19" s="152"/>
      <c r="Q19" s="182" t="s">
        <v>443</v>
      </c>
      <c r="R19" s="141" t="s">
        <v>444</v>
      </c>
      <c r="S19" s="150" t="str">
        <f>CONCATENATE(تقویم!$A$2,EventsTable[[#This Row],[روز و ماه]])</f>
        <v>14000202</v>
      </c>
      <c r="U19" s="141" t="s">
        <v>812</v>
      </c>
      <c r="V19" s="141" t="s">
        <v>813</v>
      </c>
      <c r="X19" s="141" t="s">
        <v>844</v>
      </c>
      <c r="Y19" s="141" t="s">
        <v>845</v>
      </c>
      <c r="AA19" s="141" t="s">
        <v>927</v>
      </c>
      <c r="AB19" s="141" t="s">
        <v>712</v>
      </c>
    </row>
    <row r="20" spans="10:28" ht="30">
      <c r="J20" s="136"/>
      <c r="K20" s="141"/>
      <c r="O20" s="152"/>
      <c r="Q20" s="182" t="s">
        <v>445</v>
      </c>
      <c r="R20" s="141" t="s">
        <v>444</v>
      </c>
      <c r="S20" s="150" t="str">
        <f>CONCATENATE(تقویم!$A$2,EventsTable[[#This Row],[روز و ماه]])</f>
        <v>14000202</v>
      </c>
      <c r="U20" s="141" t="s">
        <v>814</v>
      </c>
      <c r="V20" s="141" t="s">
        <v>815</v>
      </c>
      <c r="X20" s="141" t="s">
        <v>846</v>
      </c>
      <c r="Y20" s="141" t="s">
        <v>612</v>
      </c>
      <c r="AA20" s="141" t="s">
        <v>928</v>
      </c>
      <c r="AB20" s="141" t="s">
        <v>717</v>
      </c>
    </row>
    <row r="21" spans="10:28">
      <c r="J21" s="136"/>
      <c r="K21" s="141"/>
      <c r="O21" s="152"/>
      <c r="Q21" s="182" t="s">
        <v>446</v>
      </c>
      <c r="R21" s="141" t="s">
        <v>444</v>
      </c>
      <c r="S21" s="150" t="str">
        <f>CONCATENATE(تقویم!$A$2,EventsTable[[#This Row],[روز و ماه]])</f>
        <v>14000202</v>
      </c>
      <c r="U21" s="141" t="s">
        <v>816</v>
      </c>
      <c r="V21" s="141" t="s">
        <v>817</v>
      </c>
      <c r="X21" s="141" t="s">
        <v>847</v>
      </c>
      <c r="Y21" s="141" t="s">
        <v>612</v>
      </c>
      <c r="AA21" s="141" t="s">
        <v>929</v>
      </c>
      <c r="AB21" s="141" t="s">
        <v>717</v>
      </c>
    </row>
    <row r="22" spans="10:28" ht="30">
      <c r="J22" s="136"/>
      <c r="K22" s="141"/>
      <c r="O22" s="152"/>
      <c r="Q22" s="182" t="s">
        <v>447</v>
      </c>
      <c r="R22" s="141" t="s">
        <v>448</v>
      </c>
      <c r="S22" s="150" t="str">
        <f>CONCATENATE(تقویم!$A$2,EventsTable[[#This Row],[روز و ماه]])</f>
        <v>14000203</v>
      </c>
      <c r="U22" s="141" t="s">
        <v>818</v>
      </c>
      <c r="V22" s="141" t="s">
        <v>819</v>
      </c>
      <c r="X22" s="141" t="s">
        <v>848</v>
      </c>
      <c r="Y22" s="141" t="s">
        <v>621</v>
      </c>
      <c r="AA22" s="141" t="s">
        <v>930</v>
      </c>
      <c r="AB22" s="141" t="s">
        <v>815</v>
      </c>
    </row>
    <row r="23" spans="10:28" ht="45">
      <c r="J23" s="136"/>
      <c r="K23" s="141"/>
      <c r="O23" s="152"/>
      <c r="Q23" s="182" t="s">
        <v>449</v>
      </c>
      <c r="R23" s="141" t="s">
        <v>448</v>
      </c>
      <c r="S23" s="150" t="str">
        <f>CONCATENATE(تقویم!$A$2,EventsTable[[#This Row],[روز و ماه]])</f>
        <v>14000203</v>
      </c>
      <c r="U23" s="141" t="s">
        <v>820</v>
      </c>
      <c r="V23" s="141" t="s">
        <v>821</v>
      </c>
      <c r="X23" s="141" t="s">
        <v>849</v>
      </c>
      <c r="Y23" s="141" t="s">
        <v>621</v>
      </c>
      <c r="AA23" s="141" t="s">
        <v>931</v>
      </c>
      <c r="AB23" s="141" t="s">
        <v>726</v>
      </c>
    </row>
    <row r="24" spans="10:28" ht="30">
      <c r="J24" s="136"/>
      <c r="K24" s="141"/>
      <c r="O24" s="152"/>
      <c r="Q24" s="182" t="s">
        <v>450</v>
      </c>
      <c r="R24" s="141" t="s">
        <v>448</v>
      </c>
      <c r="S24" s="150" t="str">
        <f>CONCATENATE(تقویم!$A$2,EventsTable[[#This Row],[روز و ماه]])</f>
        <v>14000203</v>
      </c>
      <c r="U24" s="141" t="s">
        <v>822</v>
      </c>
      <c r="V24" s="141" t="s">
        <v>778</v>
      </c>
      <c r="X24" s="141" t="s">
        <v>850</v>
      </c>
      <c r="Y24" s="141" t="s">
        <v>621</v>
      </c>
      <c r="AA24" s="141" t="s">
        <v>932</v>
      </c>
      <c r="AB24" s="141" t="s">
        <v>728</v>
      </c>
    </row>
    <row r="25" spans="10:28" ht="30">
      <c r="J25" s="136"/>
      <c r="K25" s="141"/>
      <c r="O25" s="152"/>
      <c r="Q25" s="182" t="s">
        <v>451</v>
      </c>
      <c r="R25" s="141" t="s">
        <v>452</v>
      </c>
      <c r="S25" s="150" t="str">
        <f>CONCATENATE(تقویم!$A$2,EventsTable[[#This Row],[روز و ماه]])</f>
        <v>14000205</v>
      </c>
      <c r="X25" s="141" t="s">
        <v>851</v>
      </c>
      <c r="Y25" s="141" t="s">
        <v>852</v>
      </c>
      <c r="AA25" s="141" t="s">
        <v>933</v>
      </c>
      <c r="AB25" s="141" t="s">
        <v>934</v>
      </c>
    </row>
    <row r="26" spans="10:28" ht="30">
      <c r="J26" s="136"/>
      <c r="K26" s="141"/>
      <c r="O26" s="152"/>
      <c r="Q26" s="182" t="s">
        <v>453</v>
      </c>
      <c r="R26" s="141" t="s">
        <v>454</v>
      </c>
      <c r="S26" s="150" t="str">
        <f>CONCATENATE(تقویم!$A$2,EventsTable[[#This Row],[روز و ماه]])</f>
        <v>14000207</v>
      </c>
      <c r="X26" s="141" t="s">
        <v>853</v>
      </c>
      <c r="Y26" s="141" t="s">
        <v>854</v>
      </c>
      <c r="AA26" s="141" t="s">
        <v>935</v>
      </c>
      <c r="AB26" s="141" t="s">
        <v>936</v>
      </c>
    </row>
    <row r="27" spans="10:28" ht="30">
      <c r="J27" s="136"/>
      <c r="K27" s="141"/>
      <c r="O27" s="152"/>
      <c r="Q27" s="182" t="s">
        <v>455</v>
      </c>
      <c r="R27" s="141" t="s">
        <v>456</v>
      </c>
      <c r="S27" s="150" t="str">
        <f>CONCATENATE(تقویم!$A$2,EventsTable[[#This Row],[روز و ماه]])</f>
        <v>14000209</v>
      </c>
      <c r="X27" s="141" t="s">
        <v>855</v>
      </c>
      <c r="Y27" s="141" t="s">
        <v>856</v>
      </c>
      <c r="AA27" s="141" t="s">
        <v>937</v>
      </c>
      <c r="AB27" s="141" t="s">
        <v>938</v>
      </c>
    </row>
    <row r="28" spans="10:28" ht="30">
      <c r="J28" s="136"/>
      <c r="K28" s="141"/>
      <c r="O28" s="152"/>
      <c r="Q28" s="182" t="s">
        <v>457</v>
      </c>
      <c r="R28" s="141" t="s">
        <v>458</v>
      </c>
      <c r="S28" s="150" t="str">
        <f>CONCATENATE(تقویم!$A$2,EventsTable[[#This Row],[روز و ماه]])</f>
        <v>14000210</v>
      </c>
      <c r="X28" s="141" t="s">
        <v>857</v>
      </c>
      <c r="Y28" s="141" t="s">
        <v>642</v>
      </c>
      <c r="AA28" s="141" t="s">
        <v>939</v>
      </c>
      <c r="AB28" s="141" t="s">
        <v>940</v>
      </c>
    </row>
    <row r="29" spans="10:28" ht="30">
      <c r="J29" s="136"/>
      <c r="K29" s="141"/>
      <c r="O29" s="152"/>
      <c r="Q29" s="182" t="s">
        <v>459</v>
      </c>
      <c r="R29" s="141" t="s">
        <v>458</v>
      </c>
      <c r="S29" s="150" t="str">
        <f>CONCATENATE(تقویم!$A$2,EventsTable[[#This Row],[روز و ماه]])</f>
        <v>14000210</v>
      </c>
      <c r="X29" s="141" t="s">
        <v>858</v>
      </c>
      <c r="Y29" s="141" t="s">
        <v>642</v>
      </c>
      <c r="AA29" s="141" t="s">
        <v>941</v>
      </c>
      <c r="AB29" s="141" t="s">
        <v>895</v>
      </c>
    </row>
    <row r="30" spans="10:28" ht="30">
      <c r="J30" s="136"/>
      <c r="K30" s="141"/>
      <c r="O30" s="152"/>
      <c r="Q30" s="182" t="s">
        <v>460</v>
      </c>
      <c r="R30" s="141" t="s">
        <v>461</v>
      </c>
      <c r="S30" s="150" t="str">
        <f>CONCATENATE(تقویم!$A$2,EventsTable[[#This Row],[روز و ماه]])</f>
        <v>14000212</v>
      </c>
      <c r="X30" s="141" t="s">
        <v>859</v>
      </c>
      <c r="Y30" s="141" t="s">
        <v>647</v>
      </c>
      <c r="AA30" s="141" t="s">
        <v>942</v>
      </c>
      <c r="AB30" s="141" t="s">
        <v>763</v>
      </c>
    </row>
    <row r="31" spans="10:28" ht="30">
      <c r="J31" s="136"/>
      <c r="K31" s="141"/>
      <c r="O31" s="152"/>
      <c r="Q31" s="182" t="s">
        <v>462</v>
      </c>
      <c r="R31" s="141" t="s">
        <v>463</v>
      </c>
      <c r="S31" s="150" t="str">
        <f>CONCATENATE(تقویم!$A$2,EventsTable[[#This Row],[روز و ماه]])</f>
        <v>14000215</v>
      </c>
      <c r="X31" s="141" t="s">
        <v>860</v>
      </c>
      <c r="Y31" s="141" t="s">
        <v>647</v>
      </c>
      <c r="AA31" s="141" t="s">
        <v>943</v>
      </c>
      <c r="AB31" s="141" t="s">
        <v>900</v>
      </c>
    </row>
    <row r="32" spans="10:28" ht="30">
      <c r="J32" s="136"/>
      <c r="K32" s="141"/>
      <c r="O32" s="152"/>
      <c r="Q32" s="182" t="s">
        <v>464</v>
      </c>
      <c r="R32" s="141" t="s">
        <v>465</v>
      </c>
      <c r="S32" s="150" t="str">
        <f>CONCATENATE(تقویم!$A$2,EventsTable[[#This Row],[روز و ماه]])</f>
        <v>14000218</v>
      </c>
      <c r="X32" s="141" t="s">
        <v>861</v>
      </c>
      <c r="Y32" s="141" t="s">
        <v>862</v>
      </c>
      <c r="AA32" s="141" t="s">
        <v>944</v>
      </c>
      <c r="AB32" s="141" t="s">
        <v>787</v>
      </c>
    </row>
    <row r="33" spans="10:25" ht="30">
      <c r="J33" s="136"/>
      <c r="K33" s="141"/>
      <c r="O33" s="152"/>
      <c r="Q33" s="182" t="s">
        <v>466</v>
      </c>
      <c r="R33" s="141" t="s">
        <v>467</v>
      </c>
      <c r="S33" s="150" t="str">
        <f>CONCATENATE(تقویم!$A$2,EventsTable[[#This Row],[روز و ماه]])</f>
        <v>14000219</v>
      </c>
      <c r="X33" s="141" t="s">
        <v>863</v>
      </c>
      <c r="Y33" s="141" t="s">
        <v>864</v>
      </c>
    </row>
    <row r="34" spans="10:25" ht="30">
      <c r="J34" s="136"/>
      <c r="K34" s="141"/>
      <c r="O34" s="152"/>
      <c r="Q34" s="182" t="s">
        <v>468</v>
      </c>
      <c r="R34" s="141" t="s">
        <v>467</v>
      </c>
      <c r="S34" s="150" t="str">
        <f>CONCATENATE(تقویم!$A$2,EventsTable[[#This Row],[روز و ماه]])</f>
        <v>14000219</v>
      </c>
      <c r="X34" s="141" t="s">
        <v>865</v>
      </c>
      <c r="Y34" s="141" t="s">
        <v>663</v>
      </c>
    </row>
    <row r="35" spans="10:25" ht="30">
      <c r="J35" s="136"/>
      <c r="K35" s="141"/>
      <c r="O35" s="152"/>
      <c r="Q35" s="182" t="s">
        <v>469</v>
      </c>
      <c r="R35" s="141" t="s">
        <v>470</v>
      </c>
      <c r="S35" s="150" t="str">
        <f>CONCATENATE(تقویم!$A$2,EventsTable[[#This Row],[روز و ماه]])</f>
        <v>14000224</v>
      </c>
      <c r="X35" s="141" t="s">
        <v>866</v>
      </c>
      <c r="Y35" s="141" t="s">
        <v>867</v>
      </c>
    </row>
    <row r="36" spans="10:25" ht="30">
      <c r="J36" s="136"/>
      <c r="K36" s="141"/>
      <c r="O36" s="152"/>
      <c r="Q36" s="182" t="s">
        <v>471</v>
      </c>
      <c r="R36" s="141" t="s">
        <v>472</v>
      </c>
      <c r="S36" s="150" t="str">
        <f>CONCATENATE(تقویم!$A$2,EventsTable[[#This Row],[روز و ماه]])</f>
        <v>14000225</v>
      </c>
      <c r="X36" s="141" t="s">
        <v>868</v>
      </c>
      <c r="Y36" s="141" t="s">
        <v>869</v>
      </c>
    </row>
    <row r="37" spans="10:25">
      <c r="J37" s="136"/>
      <c r="K37" s="141"/>
      <c r="O37" s="152"/>
      <c r="Q37" s="182" t="s">
        <v>473</v>
      </c>
      <c r="R37" s="141" t="s">
        <v>474</v>
      </c>
      <c r="S37" s="150" t="str">
        <f>CONCATENATE(تقویم!$A$2,EventsTable[[#This Row],[روز و ماه]])</f>
        <v>14000227</v>
      </c>
      <c r="X37" s="141" t="s">
        <v>870</v>
      </c>
      <c r="Y37" s="141" t="s">
        <v>811</v>
      </c>
    </row>
    <row r="38" spans="10:25" ht="30">
      <c r="J38" s="136"/>
      <c r="K38" s="141"/>
      <c r="O38" s="152"/>
      <c r="Q38" s="182" t="s">
        <v>475</v>
      </c>
      <c r="R38" s="141" t="s">
        <v>476</v>
      </c>
      <c r="S38" s="150" t="str">
        <f>CONCATENATE(تقویم!$A$2,EventsTable[[#This Row],[روز و ماه]])</f>
        <v>14000228</v>
      </c>
      <c r="X38" s="141" t="s">
        <v>871</v>
      </c>
      <c r="Y38" s="141" t="s">
        <v>692</v>
      </c>
    </row>
    <row r="39" spans="10:25" ht="30">
      <c r="J39" s="136"/>
      <c r="K39" s="141"/>
      <c r="O39" s="152"/>
      <c r="Q39" s="182" t="s">
        <v>477</v>
      </c>
      <c r="R39" s="141" t="s">
        <v>478</v>
      </c>
      <c r="S39" s="150" t="str">
        <f>CONCATENATE(تقویم!$A$2,EventsTable[[#This Row],[روز و ماه]])</f>
        <v>14000230</v>
      </c>
      <c r="X39" s="141" t="s">
        <v>872</v>
      </c>
      <c r="Y39" s="141" t="s">
        <v>873</v>
      </c>
    </row>
    <row r="40" spans="10:25">
      <c r="J40" s="136"/>
      <c r="K40" s="141"/>
      <c r="O40" s="152"/>
      <c r="Q40" s="182" t="s">
        <v>479</v>
      </c>
      <c r="R40" s="141" t="s">
        <v>480</v>
      </c>
      <c r="S40" s="150" t="str">
        <f>CONCATENATE(تقویم!$A$2,EventsTable[[#This Row],[روز و ماه]])</f>
        <v>14000231</v>
      </c>
      <c r="X40" s="141" t="s">
        <v>874</v>
      </c>
      <c r="Y40" s="141" t="s">
        <v>873</v>
      </c>
    </row>
    <row r="41" spans="10:25">
      <c r="J41" s="136"/>
      <c r="K41" s="141"/>
      <c r="O41" s="152"/>
      <c r="Q41" s="182" t="s">
        <v>481</v>
      </c>
      <c r="R41" s="141" t="s">
        <v>482</v>
      </c>
      <c r="S41" s="150" t="str">
        <f>CONCATENATE(تقویم!$A$2,EventsTable[[#This Row],[روز و ماه]])</f>
        <v>14000301</v>
      </c>
      <c r="X41" s="141" t="s">
        <v>875</v>
      </c>
      <c r="Y41" s="141" t="s">
        <v>702</v>
      </c>
    </row>
    <row r="42" spans="10:25" ht="30">
      <c r="O42" s="152"/>
      <c r="Q42" s="182" t="s">
        <v>483</v>
      </c>
      <c r="R42" s="141" t="s">
        <v>482</v>
      </c>
      <c r="S42" s="150" t="str">
        <f>CONCATENATE(تقویم!$A$2,EventsTable[[#This Row],[روز و ماه]])</f>
        <v>14000301</v>
      </c>
      <c r="X42" s="141" t="s">
        <v>876</v>
      </c>
      <c r="Y42" s="141" t="s">
        <v>704</v>
      </c>
    </row>
    <row r="43" spans="10:25" ht="45">
      <c r="O43" s="152"/>
      <c r="Q43" s="182" t="s">
        <v>484</v>
      </c>
      <c r="R43" s="141" t="s">
        <v>485</v>
      </c>
      <c r="S43" s="150" t="str">
        <f>CONCATENATE(تقویم!$A$2,EventsTable[[#This Row],[روز و ماه]])</f>
        <v>14000303</v>
      </c>
      <c r="X43" s="141" t="s">
        <v>875</v>
      </c>
      <c r="Y43" s="141" t="s">
        <v>706</v>
      </c>
    </row>
    <row r="44" spans="10:25">
      <c r="O44" s="152"/>
      <c r="Q44" s="182" t="s">
        <v>824</v>
      </c>
      <c r="R44" s="141" t="s">
        <v>486</v>
      </c>
      <c r="S44" s="150" t="str">
        <f>CONCATENATE(تقویم!$A$2,EventsTable[[#This Row],[روز و ماه]])</f>
        <v>14000304</v>
      </c>
      <c r="X44" s="141" t="s">
        <v>875</v>
      </c>
      <c r="Y44" s="141" t="s">
        <v>877</v>
      </c>
    </row>
    <row r="45" spans="10:25" ht="30">
      <c r="O45" s="152"/>
      <c r="Q45" s="182" t="s">
        <v>487</v>
      </c>
      <c r="R45" s="141" t="s">
        <v>486</v>
      </c>
      <c r="S45" s="150" t="str">
        <f>CONCATENATE(تقویم!$A$2,EventsTable[[#This Row],[روز و ماه]])</f>
        <v>14000304</v>
      </c>
      <c r="X45" s="141" t="s">
        <v>878</v>
      </c>
      <c r="Y45" s="141" t="s">
        <v>879</v>
      </c>
    </row>
    <row r="46" spans="10:25" ht="30">
      <c r="O46" s="152"/>
      <c r="Q46" s="182" t="s">
        <v>488</v>
      </c>
      <c r="R46" s="141" t="s">
        <v>489</v>
      </c>
      <c r="S46" s="150" t="str">
        <f>CONCATENATE(تقویم!$A$2,EventsTable[[#This Row],[روز و ماه]])</f>
        <v>14000305</v>
      </c>
      <c r="X46" s="141" t="s">
        <v>880</v>
      </c>
      <c r="Y46" s="141" t="s">
        <v>733</v>
      </c>
    </row>
    <row r="47" spans="10:25" ht="30">
      <c r="O47" s="152"/>
      <c r="Q47" s="182" t="s">
        <v>490</v>
      </c>
      <c r="R47" s="141" t="s">
        <v>491</v>
      </c>
      <c r="S47" s="150" t="str">
        <f>CONCATENATE(تقویم!$A$2,EventsTable[[#This Row],[روز و ماه]])</f>
        <v>14000307</v>
      </c>
      <c r="X47" s="141" t="s">
        <v>881</v>
      </c>
      <c r="Y47" s="141" t="s">
        <v>882</v>
      </c>
    </row>
    <row r="48" spans="10:25" ht="30">
      <c r="O48" s="152"/>
      <c r="Q48" s="182" t="s">
        <v>492</v>
      </c>
      <c r="R48" s="141" t="s">
        <v>417</v>
      </c>
      <c r="S48" s="150" t="str">
        <f>CONCATENATE(تقویم!$A$2,EventsTable[[#This Row],[روز و ماه]])</f>
        <v>14000314</v>
      </c>
      <c r="X48" s="141" t="s">
        <v>883</v>
      </c>
      <c r="Y48" s="141" t="s">
        <v>884</v>
      </c>
    </row>
    <row r="49" spans="15:25" ht="45">
      <c r="O49" s="152"/>
      <c r="Q49" s="182" t="s">
        <v>493</v>
      </c>
      <c r="R49" s="141" t="s">
        <v>494</v>
      </c>
      <c r="S49" s="150" t="str">
        <f>CONCATENATE(تقویم!$A$2,EventsTable[[#This Row],[روز و ماه]])</f>
        <v>14000315</v>
      </c>
      <c r="X49" s="141" t="s">
        <v>885</v>
      </c>
      <c r="Y49" s="141" t="s">
        <v>886</v>
      </c>
    </row>
    <row r="50" spans="15:25" ht="30">
      <c r="O50" s="152"/>
      <c r="Q50" s="182" t="s">
        <v>495</v>
      </c>
      <c r="R50" s="141" t="s">
        <v>496</v>
      </c>
      <c r="S50" s="150" t="str">
        <f>CONCATENATE(تقویم!$A$2,EventsTable[[#This Row],[روز و ماه]])</f>
        <v>14000320</v>
      </c>
      <c r="X50" s="141" t="s">
        <v>887</v>
      </c>
      <c r="Y50" s="141" t="s">
        <v>886</v>
      </c>
    </row>
    <row r="51" spans="15:25" ht="45">
      <c r="O51" s="152"/>
      <c r="Q51" s="182" t="s">
        <v>497</v>
      </c>
      <c r="R51" s="141" t="s">
        <v>496</v>
      </c>
      <c r="S51" s="150" t="str">
        <f>CONCATENATE(تقویم!$A$2,EventsTable[[#This Row],[روز و ماه]])</f>
        <v>14000320</v>
      </c>
      <c r="X51" s="141" t="s">
        <v>888</v>
      </c>
      <c r="Y51" s="141" t="s">
        <v>748</v>
      </c>
    </row>
    <row r="52" spans="15:25" ht="45">
      <c r="O52" s="152"/>
      <c r="Q52" s="182" t="s">
        <v>498</v>
      </c>
      <c r="R52" s="141" t="s">
        <v>499</v>
      </c>
      <c r="S52" s="150" t="str">
        <f>CONCATENATE(تقویم!$A$2,EventsTable[[#This Row],[روز و ماه]])</f>
        <v>14000326</v>
      </c>
      <c r="X52" s="141" t="s">
        <v>889</v>
      </c>
      <c r="Y52" s="141" t="s">
        <v>890</v>
      </c>
    </row>
    <row r="53" spans="15:25" ht="45">
      <c r="O53" s="152"/>
      <c r="Q53" s="182" t="s">
        <v>500</v>
      </c>
      <c r="R53" s="141" t="s">
        <v>501</v>
      </c>
      <c r="S53" s="150" t="str">
        <f>CONCATENATE(تقویم!$A$2,EventsTable[[#This Row],[روز و ماه]])</f>
        <v>14000327</v>
      </c>
      <c r="X53" s="141" t="s">
        <v>891</v>
      </c>
      <c r="Y53" s="141" t="s">
        <v>760</v>
      </c>
    </row>
    <row r="54" spans="15:25" ht="30">
      <c r="O54" s="152"/>
      <c r="Q54" s="182" t="s">
        <v>502</v>
      </c>
      <c r="R54" s="141" t="s">
        <v>503</v>
      </c>
      <c r="S54" s="150" t="str">
        <f>CONCATENATE(تقویم!$A$2,EventsTable[[#This Row],[روز و ماه]])</f>
        <v>14000329</v>
      </c>
      <c r="X54" s="141" t="s">
        <v>892</v>
      </c>
      <c r="Y54" s="141" t="s">
        <v>893</v>
      </c>
    </row>
    <row r="55" spans="15:25" ht="45">
      <c r="O55" s="152"/>
      <c r="Q55" s="182" t="s">
        <v>504</v>
      </c>
      <c r="R55" s="141" t="s">
        <v>505</v>
      </c>
      <c r="S55" s="150" t="str">
        <f>CONCATENATE(تقویم!$A$2,EventsTable[[#This Row],[روز و ماه]])</f>
        <v>14000330</v>
      </c>
      <c r="X55" s="141" t="s">
        <v>894</v>
      </c>
      <c r="Y55" s="141" t="s">
        <v>895</v>
      </c>
    </row>
    <row r="56" spans="15:25" ht="30">
      <c r="O56" s="152"/>
      <c r="Q56" s="182" t="s">
        <v>506</v>
      </c>
      <c r="R56" s="141" t="s">
        <v>507</v>
      </c>
      <c r="S56" s="150" t="str">
        <f>CONCATENATE(تقویم!$A$2,EventsTable[[#This Row],[روز و ماه]])</f>
        <v>14000331</v>
      </c>
      <c r="X56" s="141" t="s">
        <v>896</v>
      </c>
      <c r="Y56" s="141" t="s">
        <v>895</v>
      </c>
    </row>
    <row r="57" spans="15:25" ht="45">
      <c r="O57" s="152"/>
      <c r="Q57" s="182" t="s">
        <v>508</v>
      </c>
      <c r="R57" s="141" t="s">
        <v>507</v>
      </c>
      <c r="S57" s="150" t="str">
        <f>CONCATENATE(تقویم!$A$2,EventsTable[[#This Row],[روز و ماه]])</f>
        <v>14000331</v>
      </c>
      <c r="X57" s="141" t="s">
        <v>897</v>
      </c>
      <c r="Y57" s="141" t="s">
        <v>898</v>
      </c>
    </row>
    <row r="58" spans="15:25" ht="60">
      <c r="O58" s="152"/>
      <c r="Q58" s="182" t="s">
        <v>509</v>
      </c>
      <c r="R58" s="141" t="s">
        <v>510</v>
      </c>
      <c r="S58" s="150" t="str">
        <f>CONCATENATE(تقویم!$A$2,EventsTable[[#This Row],[روز و ماه]])</f>
        <v>14000401</v>
      </c>
      <c r="X58" s="141" t="s">
        <v>899</v>
      </c>
      <c r="Y58" s="141" t="s">
        <v>900</v>
      </c>
    </row>
    <row r="59" spans="15:25">
      <c r="O59" s="152"/>
      <c r="Q59" s="182" t="s">
        <v>511</v>
      </c>
      <c r="R59" s="141" t="s">
        <v>510</v>
      </c>
      <c r="S59" s="150" t="str">
        <f>CONCATENATE(تقویم!$A$2,EventsTable[[#This Row],[روز و ماه]])</f>
        <v>14000401</v>
      </c>
      <c r="X59" s="141" t="s">
        <v>901</v>
      </c>
      <c r="Y59" s="141" t="s">
        <v>771</v>
      </c>
    </row>
    <row r="60" spans="15:25" ht="60">
      <c r="O60" s="152"/>
      <c r="Q60" s="182" t="s">
        <v>512</v>
      </c>
      <c r="R60" s="141" t="s">
        <v>513</v>
      </c>
      <c r="S60" s="150" t="str">
        <f>CONCATENATE(تقویم!$A$2,EventsTable[[#This Row],[روز و ماه]])</f>
        <v>14000407</v>
      </c>
      <c r="X60" s="141" t="s">
        <v>902</v>
      </c>
      <c r="Y60" s="141" t="s">
        <v>776</v>
      </c>
    </row>
    <row r="61" spans="15:25" ht="30">
      <c r="O61" s="152"/>
      <c r="Q61" s="182" t="s">
        <v>514</v>
      </c>
      <c r="R61" s="141" t="s">
        <v>513</v>
      </c>
      <c r="S61" s="150" t="str">
        <f>CONCATENATE(تقویم!$A$2,EventsTable[[#This Row],[روز و ماه]])</f>
        <v>14000407</v>
      </c>
      <c r="X61" s="141" t="s">
        <v>903</v>
      </c>
      <c r="Y61" s="141" t="s">
        <v>781</v>
      </c>
    </row>
    <row r="62" spans="15:25" ht="30">
      <c r="O62" s="152"/>
      <c r="Q62" s="182" t="s">
        <v>515</v>
      </c>
      <c r="R62" s="141" t="s">
        <v>513</v>
      </c>
      <c r="S62" s="150" t="str">
        <f>CONCATENATE(تقویم!$A$2,EventsTable[[#This Row],[روز و ماه]])</f>
        <v>14000407</v>
      </c>
      <c r="X62" s="141" t="s">
        <v>904</v>
      </c>
      <c r="Y62" s="141" t="s">
        <v>905</v>
      </c>
    </row>
    <row r="63" spans="15:25" ht="30">
      <c r="O63" s="152"/>
      <c r="Q63" s="182" t="s">
        <v>516</v>
      </c>
      <c r="R63" s="141" t="s">
        <v>517</v>
      </c>
      <c r="S63" s="150" t="str">
        <f>CONCATENATE(تقویم!$A$2,EventsTable[[#This Row],[روز و ماه]])</f>
        <v>14000408</v>
      </c>
      <c r="X63" s="141" t="s">
        <v>906</v>
      </c>
      <c r="Y63" s="141" t="s">
        <v>787</v>
      </c>
    </row>
    <row r="64" spans="15:25">
      <c r="O64" s="152"/>
      <c r="Q64" s="182" t="s">
        <v>518</v>
      </c>
      <c r="R64" s="141" t="s">
        <v>519</v>
      </c>
      <c r="S64" s="150" t="str">
        <f>CONCATENATE(تقویم!$A$2,EventsTable[[#This Row],[روز و ماه]])</f>
        <v>14000410</v>
      </c>
    </row>
    <row r="65" spans="15:19">
      <c r="O65" s="152"/>
      <c r="Q65" s="182" t="s">
        <v>520</v>
      </c>
      <c r="R65" s="141" t="s">
        <v>519</v>
      </c>
      <c r="S65" s="150" t="str">
        <f>CONCATENATE(تقویم!$A$2,EventsTable[[#This Row],[روز و ماه]])</f>
        <v>14000410</v>
      </c>
    </row>
    <row r="66" spans="15:19">
      <c r="O66" s="152"/>
      <c r="Q66" s="182" t="s">
        <v>521</v>
      </c>
      <c r="R66" s="141" t="s">
        <v>519</v>
      </c>
      <c r="S66" s="150" t="str">
        <f>CONCATENATE(تقویم!$A$2,EventsTable[[#This Row],[روز و ماه]])</f>
        <v>14000410</v>
      </c>
    </row>
    <row r="67" spans="15:19" ht="45">
      <c r="O67" s="152"/>
      <c r="Q67" s="182" t="s">
        <v>522</v>
      </c>
      <c r="R67" s="141" t="s">
        <v>523</v>
      </c>
      <c r="S67" s="150" t="str">
        <f>CONCATENATE(تقویم!$A$2,EventsTable[[#This Row],[روز و ماه]])</f>
        <v>14000411</v>
      </c>
    </row>
    <row r="68" spans="15:19" ht="45">
      <c r="O68" s="152"/>
      <c r="Q68" s="182" t="s">
        <v>524</v>
      </c>
      <c r="R68" s="141" t="s">
        <v>525</v>
      </c>
      <c r="S68" s="150" t="str">
        <f>CONCATENATE(تقویم!$A$2,EventsTable[[#This Row],[روز و ماه]])</f>
        <v>14000412</v>
      </c>
    </row>
    <row r="69" spans="15:19">
      <c r="O69" s="152"/>
      <c r="Q69" s="182" t="s">
        <v>526</v>
      </c>
      <c r="R69" s="141" t="s">
        <v>525</v>
      </c>
      <c r="S69" s="150" t="str">
        <f>CONCATENATE(تقویم!$A$2,EventsTable[[#This Row],[روز و ماه]])</f>
        <v>14000412</v>
      </c>
    </row>
    <row r="70" spans="15:19" ht="30">
      <c r="O70" s="152"/>
      <c r="Q70" s="182" t="s">
        <v>527</v>
      </c>
      <c r="R70" s="141" t="s">
        <v>525</v>
      </c>
      <c r="S70" s="150" t="str">
        <f>CONCATENATE(تقویم!$A$2,EventsTable[[#This Row],[روز و ماه]])</f>
        <v>14000412</v>
      </c>
    </row>
    <row r="71" spans="15:19">
      <c r="O71" s="152"/>
      <c r="Q71" s="182" t="s">
        <v>945</v>
      </c>
      <c r="R71" s="141" t="s">
        <v>529</v>
      </c>
      <c r="S71" s="150" t="str">
        <f>CONCATENATE(تقویم!$A$2,EventsTable[[#This Row],[روز و ماه]])</f>
        <v>14000414</v>
      </c>
    </row>
    <row r="72" spans="15:19">
      <c r="O72" s="152"/>
      <c r="Q72" s="182" t="s">
        <v>528</v>
      </c>
      <c r="R72" s="141" t="s">
        <v>529</v>
      </c>
      <c r="S72" s="150" t="str">
        <f>CONCATENATE(تقویم!$A$2,EventsTable[[#This Row],[روز و ماه]])</f>
        <v>14000414</v>
      </c>
    </row>
    <row r="73" spans="15:19">
      <c r="O73" s="152"/>
      <c r="Q73" s="182" t="s">
        <v>530</v>
      </c>
      <c r="R73" s="141" t="s">
        <v>531</v>
      </c>
      <c r="S73" s="150" t="str">
        <f>CONCATENATE(تقویم!$A$2,EventsTable[[#This Row],[روز و ماه]])</f>
        <v>14000416</v>
      </c>
    </row>
    <row r="74" spans="15:19">
      <c r="O74" s="152"/>
      <c r="Q74" s="182" t="s">
        <v>532</v>
      </c>
      <c r="R74" s="141" t="s">
        <v>533</v>
      </c>
      <c r="S74" s="150" t="str">
        <f>CONCATENATE(تقویم!$A$2,EventsTable[[#This Row],[روز و ماه]])</f>
        <v>14000418</v>
      </c>
    </row>
    <row r="75" spans="15:19" ht="45">
      <c r="O75" s="152"/>
      <c r="Q75" s="182" t="s">
        <v>534</v>
      </c>
      <c r="R75" s="141" t="s">
        <v>533</v>
      </c>
      <c r="S75" s="150" t="str">
        <f>CONCATENATE(تقویم!$A$2,EventsTable[[#This Row],[روز و ماه]])</f>
        <v>14000418</v>
      </c>
    </row>
    <row r="76" spans="15:19">
      <c r="O76" s="152"/>
      <c r="Q76" s="182" t="s">
        <v>535</v>
      </c>
      <c r="R76" s="141" t="s">
        <v>536</v>
      </c>
      <c r="S76" s="150" t="str">
        <f>CONCATENATE(تقویم!$A$2,EventsTable[[#This Row],[روز و ماه]])</f>
        <v>14000421</v>
      </c>
    </row>
    <row r="77" spans="15:19" ht="30">
      <c r="O77" s="152"/>
      <c r="Q77" s="182" t="s">
        <v>537</v>
      </c>
      <c r="R77" s="141" t="s">
        <v>536</v>
      </c>
      <c r="S77" s="150" t="str">
        <f>CONCATENATE(تقویم!$A$2,EventsTable[[#This Row],[روز و ماه]])</f>
        <v>14000421</v>
      </c>
    </row>
    <row r="78" spans="15:19" ht="30">
      <c r="O78" s="152"/>
      <c r="Q78" s="182" t="s">
        <v>538</v>
      </c>
      <c r="R78" s="141" t="s">
        <v>539</v>
      </c>
      <c r="S78" s="150" t="str">
        <f>CONCATENATE(تقویم!$A$2,EventsTable[[#This Row],[روز و ماه]])</f>
        <v>14000423</v>
      </c>
    </row>
    <row r="79" spans="15:19" ht="30">
      <c r="O79" s="152"/>
      <c r="Q79" s="182" t="s">
        <v>540</v>
      </c>
      <c r="R79" s="141" t="s">
        <v>539</v>
      </c>
      <c r="S79" s="150" t="str">
        <f>CONCATENATE(تقویم!$A$2,EventsTable[[#This Row],[روز و ماه]])</f>
        <v>14000423</v>
      </c>
    </row>
    <row r="80" spans="15:19">
      <c r="O80" s="152"/>
      <c r="Q80" s="182" t="s">
        <v>541</v>
      </c>
      <c r="R80" s="141" t="s">
        <v>542</v>
      </c>
      <c r="S80" s="150" t="str">
        <f>CONCATENATE(تقویم!$A$2,EventsTable[[#This Row],[روز و ماه]])</f>
        <v>14000425</v>
      </c>
    </row>
    <row r="81" spans="15:19" ht="30">
      <c r="O81" s="152"/>
      <c r="Q81" s="182" t="s">
        <v>543</v>
      </c>
      <c r="R81" s="141" t="s">
        <v>544</v>
      </c>
      <c r="S81" s="150" t="str">
        <f>CONCATENATE(تقویم!$A$2,EventsTable[[#This Row],[روز و ماه]])</f>
        <v>14000426</v>
      </c>
    </row>
    <row r="82" spans="15:19" ht="30">
      <c r="O82" s="152"/>
      <c r="Q82" s="182" t="s">
        <v>545</v>
      </c>
      <c r="R82" s="141" t="s">
        <v>546</v>
      </c>
      <c r="S82" s="150" t="str">
        <f>CONCATENATE(تقویم!$A$2,EventsTable[[#This Row],[روز و ماه]])</f>
        <v>14000427</v>
      </c>
    </row>
    <row r="83" spans="15:19" ht="30">
      <c r="O83" s="152"/>
      <c r="Q83" s="182" t="s">
        <v>547</v>
      </c>
      <c r="R83" s="141" t="s">
        <v>548</v>
      </c>
      <c r="S83" s="150" t="str">
        <f>CONCATENATE(تقویم!$A$2,EventsTable[[#This Row],[روز و ماه]])</f>
        <v>14000730</v>
      </c>
    </row>
    <row r="84" spans="15:19">
      <c r="O84" s="152"/>
      <c r="Q84" s="182" t="s">
        <v>549</v>
      </c>
      <c r="R84" s="141" t="s">
        <v>550</v>
      </c>
      <c r="S84" s="150" t="str">
        <f>CONCATENATE(تقویم!$A$2,EventsTable[[#This Row],[روز و ماه]])</f>
        <v>14000504</v>
      </c>
    </row>
    <row r="85" spans="15:19" ht="30">
      <c r="O85" s="152"/>
      <c r="Q85" s="182" t="s">
        <v>551</v>
      </c>
      <c r="R85" s="141" t="s">
        <v>552</v>
      </c>
      <c r="S85" s="150" t="str">
        <f>CONCATENATE(تقویم!$A$2,EventsTable[[#This Row],[روز و ماه]])</f>
        <v>14000505</v>
      </c>
    </row>
    <row r="86" spans="15:19" ht="30">
      <c r="O86" s="152"/>
      <c r="Q86" s="182" t="s">
        <v>553</v>
      </c>
      <c r="R86" s="141" t="s">
        <v>554</v>
      </c>
      <c r="S86" s="150" t="str">
        <f>CONCATENATE(تقویم!$A$2,EventsTable[[#This Row],[روز و ماه]])</f>
        <v>14000506</v>
      </c>
    </row>
    <row r="87" spans="15:19" ht="30">
      <c r="O87" s="152"/>
      <c r="Q87" s="182" t="s">
        <v>555</v>
      </c>
      <c r="R87" s="141" t="s">
        <v>556</v>
      </c>
      <c r="S87" s="150" t="str">
        <f>CONCATENATE(تقویم!$A$2,EventsTable[[#This Row],[روز و ماه]])</f>
        <v>14000508</v>
      </c>
    </row>
    <row r="88" spans="15:19">
      <c r="O88" s="152"/>
      <c r="Q88" s="182" t="s">
        <v>557</v>
      </c>
      <c r="R88" s="141" t="s">
        <v>558</v>
      </c>
      <c r="S88" s="150" t="str">
        <f>CONCATENATE(تقویم!$A$2,EventsTable[[#This Row],[روز و ماه]])</f>
        <v>14000509</v>
      </c>
    </row>
    <row r="89" spans="15:19" ht="30">
      <c r="O89" s="152"/>
      <c r="Q89" s="182" t="s">
        <v>559</v>
      </c>
      <c r="R89" s="141" t="s">
        <v>560</v>
      </c>
      <c r="S89" s="150" t="str">
        <f>CONCATENATE(تقویم!$A$2,EventsTable[[#This Row],[روز و ماه]])</f>
        <v>14000511</v>
      </c>
    </row>
    <row r="90" spans="15:19" ht="30">
      <c r="O90" s="152"/>
      <c r="Q90" s="182" t="s">
        <v>825</v>
      </c>
      <c r="R90" s="141" t="s">
        <v>561</v>
      </c>
      <c r="S90" s="150" t="str">
        <f>CONCATENATE(تقویم!$A$2,EventsTable[[#This Row],[روز و ماه]])</f>
        <v>14000514</v>
      </c>
    </row>
    <row r="91" spans="15:19">
      <c r="O91" s="152"/>
      <c r="Q91" s="182" t="s">
        <v>562</v>
      </c>
      <c r="R91" s="141" t="s">
        <v>561</v>
      </c>
      <c r="S91" s="150" t="str">
        <f>CONCATENATE(تقویم!$A$2,EventsTable[[#This Row],[روز و ماه]])</f>
        <v>14000514</v>
      </c>
    </row>
    <row r="92" spans="15:19" ht="45">
      <c r="O92" s="152"/>
      <c r="Q92" s="182" t="s">
        <v>563</v>
      </c>
      <c r="R92" s="141" t="s">
        <v>564</v>
      </c>
      <c r="S92" s="150" t="str">
        <f>CONCATENATE(تقویم!$A$2,EventsTable[[#This Row],[روز و ماه]])</f>
        <v>14000515</v>
      </c>
    </row>
    <row r="93" spans="15:19" ht="30">
      <c r="O93" s="152"/>
      <c r="Q93" s="182" t="s">
        <v>565</v>
      </c>
      <c r="R93" s="141" t="s">
        <v>564</v>
      </c>
      <c r="S93" s="150" t="str">
        <f>CONCATENATE(تقویم!$A$2,EventsTable[[#This Row],[روز و ماه]])</f>
        <v>14000515</v>
      </c>
    </row>
    <row r="94" spans="15:19">
      <c r="O94" s="152"/>
      <c r="Q94" s="182" t="s">
        <v>566</v>
      </c>
      <c r="R94" s="141" t="s">
        <v>567</v>
      </c>
      <c r="S94" s="150" t="str">
        <f>CONCATENATE(تقویم!$A$2,EventsTable[[#This Row],[روز و ماه]])</f>
        <v>14000516</v>
      </c>
    </row>
    <row r="95" spans="15:19">
      <c r="O95" s="152"/>
      <c r="Q95" s="182" t="s">
        <v>568</v>
      </c>
      <c r="R95" s="141" t="s">
        <v>569</v>
      </c>
      <c r="S95" s="150" t="str">
        <f>CONCATENATE(تقویم!$A$2,EventsTable[[#This Row],[روز و ماه]])</f>
        <v>14000517</v>
      </c>
    </row>
    <row r="96" spans="15:19">
      <c r="O96" s="152"/>
      <c r="Q96" s="182" t="s">
        <v>570</v>
      </c>
      <c r="R96" s="141" t="s">
        <v>571</v>
      </c>
      <c r="S96" s="150" t="str">
        <f>CONCATENATE(تقویم!$A$2,EventsTable[[#This Row],[روز و ماه]])</f>
        <v>14000518</v>
      </c>
    </row>
    <row r="97" spans="15:19">
      <c r="O97" s="152"/>
      <c r="Q97" s="182" t="s">
        <v>572</v>
      </c>
      <c r="R97" s="141" t="s">
        <v>573</v>
      </c>
      <c r="S97" s="150" t="str">
        <f>CONCATENATE(تقویم!$A$2,EventsTable[[#This Row],[روز و ماه]])</f>
        <v>14000521</v>
      </c>
    </row>
    <row r="98" spans="15:19">
      <c r="O98" s="152"/>
      <c r="Q98" s="182" t="s">
        <v>574</v>
      </c>
      <c r="R98" s="141" t="s">
        <v>575</v>
      </c>
      <c r="S98" s="150" t="str">
        <f>CONCATENATE(تقویم!$A$2,EventsTable[[#This Row],[روز و ماه]])</f>
        <v>14000522</v>
      </c>
    </row>
    <row r="99" spans="15:19">
      <c r="O99" s="152"/>
      <c r="Q99" s="182" t="s">
        <v>576</v>
      </c>
      <c r="R99" s="141" t="s">
        <v>577</v>
      </c>
      <c r="S99" s="150" t="str">
        <f>CONCATENATE(تقویم!$A$2,EventsTable[[#This Row],[روز و ماه]])</f>
        <v>14000523</v>
      </c>
    </row>
    <row r="100" spans="15:19" ht="30">
      <c r="O100" s="152"/>
      <c r="Q100" s="182" t="s">
        <v>578</v>
      </c>
      <c r="R100" s="141" t="s">
        <v>579</v>
      </c>
      <c r="S100" s="150" t="str">
        <f>CONCATENATE(تقویم!$A$2,EventsTable[[#This Row],[روز و ماه]])</f>
        <v>14000526</v>
      </c>
    </row>
    <row r="101" spans="15:19" ht="30">
      <c r="O101" s="152"/>
      <c r="Q101" s="182" t="s">
        <v>580</v>
      </c>
      <c r="R101" s="141" t="s">
        <v>581</v>
      </c>
      <c r="S101" s="150" t="str">
        <f>CONCATENATE(تقویم!$A$2,EventsTable[[#This Row],[روز و ماه]])</f>
        <v>14000528</v>
      </c>
    </row>
    <row r="102" spans="15:19" ht="45">
      <c r="O102" s="152"/>
      <c r="Q102" s="182" t="s">
        <v>582</v>
      </c>
      <c r="R102" s="141" t="s">
        <v>581</v>
      </c>
      <c r="S102" s="150" t="str">
        <f>CONCATENATE(تقویم!$A$2,EventsTable[[#This Row],[روز و ماه]])</f>
        <v>14000528</v>
      </c>
    </row>
    <row r="103" spans="15:19">
      <c r="O103" s="152"/>
      <c r="Q103" s="182" t="s">
        <v>583</v>
      </c>
      <c r="R103" s="141" t="s">
        <v>584</v>
      </c>
      <c r="S103" s="150" t="str">
        <f>CONCATENATE(تقویم!$A$2,EventsTable[[#This Row],[روز و ماه]])</f>
        <v>14000530</v>
      </c>
    </row>
    <row r="104" spans="15:19">
      <c r="O104" s="152"/>
      <c r="Q104" s="182" t="s">
        <v>585</v>
      </c>
      <c r="R104" s="141" t="s">
        <v>586</v>
      </c>
      <c r="S104" s="150" t="str">
        <f>CONCATENATE(تقویم!$A$2,EventsTable[[#This Row],[روز و ماه]])</f>
        <v>14000531</v>
      </c>
    </row>
    <row r="105" spans="15:19">
      <c r="O105" s="152"/>
      <c r="Q105" s="182" t="s">
        <v>587</v>
      </c>
      <c r="R105" s="141" t="s">
        <v>588</v>
      </c>
      <c r="S105" s="150" t="str">
        <f>CONCATENATE(تقویم!$A$2,EventsTable[[#This Row],[روز و ماه]])</f>
        <v>14000601</v>
      </c>
    </row>
    <row r="106" spans="15:19">
      <c r="O106" s="152"/>
      <c r="Q106" s="182" t="s">
        <v>589</v>
      </c>
      <c r="R106" s="141" t="s">
        <v>588</v>
      </c>
      <c r="S106" s="150" t="str">
        <f>CONCATENATE(تقویم!$A$2,EventsTable[[#This Row],[روز و ماه]])</f>
        <v>14000601</v>
      </c>
    </row>
    <row r="107" spans="15:19">
      <c r="O107" s="152"/>
      <c r="Q107" s="182" t="s">
        <v>590</v>
      </c>
      <c r="R107" s="141" t="s">
        <v>591</v>
      </c>
      <c r="S107" s="150" t="str">
        <f>CONCATENATE(تقویم!$A$2,EventsTable[[#This Row],[روز و ماه]])</f>
        <v>14000602</v>
      </c>
    </row>
    <row r="108" spans="15:19" ht="30">
      <c r="O108" s="152"/>
      <c r="Q108" s="182" t="s">
        <v>592</v>
      </c>
      <c r="R108" s="141" t="s">
        <v>591</v>
      </c>
      <c r="S108" s="150" t="str">
        <f>CONCATENATE(تقویم!$A$2,EventsTable[[#This Row],[روز و ماه]])</f>
        <v>14000602</v>
      </c>
    </row>
    <row r="109" spans="15:19" ht="30">
      <c r="O109" s="152"/>
      <c r="Q109" s="182" t="s">
        <v>593</v>
      </c>
      <c r="R109" s="141" t="s">
        <v>594</v>
      </c>
      <c r="S109" s="150" t="str">
        <f>CONCATENATE(تقویم!$A$2,EventsTable[[#This Row],[روز و ماه]])</f>
        <v>14000603</v>
      </c>
    </row>
    <row r="110" spans="15:19">
      <c r="O110" s="152"/>
      <c r="Q110" s="182" t="s">
        <v>595</v>
      </c>
      <c r="R110" s="141" t="s">
        <v>596</v>
      </c>
      <c r="S110" s="150" t="str">
        <f>CONCATENATE(تقویم!$A$2,EventsTable[[#This Row],[روز و ماه]])</f>
        <v>14000604</v>
      </c>
    </row>
    <row r="111" spans="15:19">
      <c r="O111" s="152"/>
      <c r="Q111" s="182" t="s">
        <v>597</v>
      </c>
      <c r="R111" s="141" t="s">
        <v>598</v>
      </c>
      <c r="S111" s="150" t="str">
        <f>CONCATENATE(تقویم!$A$2,EventsTable[[#This Row],[روز و ماه]])</f>
        <v>14000605</v>
      </c>
    </row>
    <row r="112" spans="15:19">
      <c r="O112" s="152"/>
      <c r="Q112" s="182" t="s">
        <v>599</v>
      </c>
      <c r="R112" s="141" t="s">
        <v>598</v>
      </c>
      <c r="S112" s="150" t="str">
        <f>CONCATENATE(تقویم!$A$2,EventsTable[[#This Row],[روز و ماه]])</f>
        <v>14000605</v>
      </c>
    </row>
    <row r="113" spans="15:19">
      <c r="O113" s="152"/>
      <c r="Q113" s="182" t="s">
        <v>600</v>
      </c>
      <c r="R113" s="141" t="s">
        <v>598</v>
      </c>
      <c r="S113" s="150" t="str">
        <f>CONCATENATE(تقویم!$A$2,EventsTable[[#This Row],[روز و ماه]])</f>
        <v>14000605</v>
      </c>
    </row>
    <row r="114" spans="15:19" ht="60">
      <c r="O114" s="152"/>
      <c r="Q114" s="182" t="s">
        <v>601</v>
      </c>
      <c r="R114" s="141" t="s">
        <v>602</v>
      </c>
      <c r="S114" s="150" t="str">
        <f>CONCATENATE(تقویم!$A$2,EventsTable[[#This Row],[روز و ماه]])</f>
        <v>14000608</v>
      </c>
    </row>
    <row r="115" spans="15:19" ht="45">
      <c r="O115" s="152"/>
      <c r="Q115" s="182" t="s">
        <v>603</v>
      </c>
      <c r="R115" s="141" t="s">
        <v>604</v>
      </c>
      <c r="S115" s="150" t="str">
        <f>CONCATENATE(تقویم!$A$2,EventsTable[[#This Row],[روز و ماه]])</f>
        <v>14000610</v>
      </c>
    </row>
    <row r="116" spans="15:19" ht="45">
      <c r="O116" s="152"/>
      <c r="Q116" s="182" t="s">
        <v>605</v>
      </c>
      <c r="R116" s="141" t="s">
        <v>604</v>
      </c>
      <c r="S116" s="150" t="str">
        <f>CONCATENATE(تقویم!$A$2,EventsTable[[#This Row],[روز و ماه]])</f>
        <v>14000610</v>
      </c>
    </row>
    <row r="117" spans="15:19">
      <c r="O117" s="152"/>
      <c r="Q117" s="182" t="s">
        <v>606</v>
      </c>
      <c r="R117" s="141" t="s">
        <v>607</v>
      </c>
      <c r="S117" s="150" t="str">
        <f>CONCATENATE(تقویم!$A$2,EventsTable[[#This Row],[روز و ماه]])</f>
        <v>14000611</v>
      </c>
    </row>
    <row r="118" spans="15:19" ht="45">
      <c r="O118" s="152"/>
      <c r="Q118" s="182" t="s">
        <v>608</v>
      </c>
      <c r="R118" s="141" t="s">
        <v>609</v>
      </c>
      <c r="S118" s="150" t="str">
        <f>CONCATENATE(تقویم!$A$2,EventsTable[[#This Row],[روز و ماه]])</f>
        <v>14000612</v>
      </c>
    </row>
    <row r="119" spans="15:19">
      <c r="O119" s="152"/>
      <c r="Q119" s="182" t="s">
        <v>610</v>
      </c>
      <c r="R119" s="141" t="s">
        <v>609</v>
      </c>
      <c r="S119" s="150" t="str">
        <f>CONCATENATE(تقویم!$A$2,EventsTable[[#This Row],[روز و ماه]])</f>
        <v>14000612</v>
      </c>
    </row>
    <row r="120" spans="15:19">
      <c r="O120" s="152"/>
      <c r="Q120" s="141" t="s">
        <v>611</v>
      </c>
      <c r="R120" s="141" t="s">
        <v>612</v>
      </c>
      <c r="S120" s="150" t="str">
        <f>CONCATENATE(تقویم!$A$2,EventsTable[[#This Row],[روز و ماه]])</f>
        <v>14000613</v>
      </c>
    </row>
    <row r="121" spans="15:19">
      <c r="O121" s="152"/>
      <c r="Q121" s="141" t="s">
        <v>613</v>
      </c>
      <c r="R121" s="141" t="s">
        <v>612</v>
      </c>
      <c r="S121" s="150" t="str">
        <f>CONCATENATE(تقویم!$A$2,EventsTable[[#This Row],[روز و ماه]])</f>
        <v>14000613</v>
      </c>
    </row>
    <row r="122" spans="15:19">
      <c r="O122" s="152"/>
      <c r="Q122" s="141" t="s">
        <v>946</v>
      </c>
      <c r="R122" s="141" t="s">
        <v>612</v>
      </c>
      <c r="S122" s="150" t="str">
        <f>CONCATENATE(تقویم!$A$2,EventsTable[[#This Row],[روز و ماه]])</f>
        <v>14000613</v>
      </c>
    </row>
    <row r="123" spans="15:19" ht="30">
      <c r="O123" s="152"/>
      <c r="Q123" s="141" t="s">
        <v>614</v>
      </c>
      <c r="R123" s="141" t="s">
        <v>615</v>
      </c>
      <c r="S123" s="150" t="str">
        <f>CONCATENATE(تقویم!$A$2,EventsTable[[#This Row],[روز و ماه]])</f>
        <v>14000614</v>
      </c>
    </row>
    <row r="124" spans="15:19" ht="45">
      <c r="O124" s="152"/>
      <c r="Q124" s="141" t="s">
        <v>616</v>
      </c>
      <c r="R124" s="141" t="s">
        <v>617</v>
      </c>
      <c r="S124" s="150" t="str">
        <f>CONCATENATE(تقویم!$A$2,EventsTable[[#This Row],[روز و ماه]])</f>
        <v>14000617</v>
      </c>
    </row>
    <row r="125" spans="15:19" ht="45">
      <c r="O125" s="152"/>
      <c r="Q125" s="141" t="s">
        <v>618</v>
      </c>
      <c r="R125" s="141" t="s">
        <v>619</v>
      </c>
      <c r="S125" s="150" t="str">
        <f>CONCATENATE(تقویم!$A$2,EventsTable[[#This Row],[روز و ماه]])</f>
        <v>14000619</v>
      </c>
    </row>
    <row r="126" spans="15:19" ht="30">
      <c r="O126" s="152"/>
      <c r="Q126" s="141" t="s">
        <v>620</v>
      </c>
      <c r="R126" s="141" t="s">
        <v>621</v>
      </c>
      <c r="S126" s="150" t="str">
        <f>CONCATENATE(تقویم!$A$2,EventsTable[[#This Row],[روز و ماه]])</f>
        <v>14000620</v>
      </c>
    </row>
    <row r="127" spans="15:19">
      <c r="O127" s="152"/>
      <c r="Q127" s="141" t="s">
        <v>622</v>
      </c>
      <c r="R127" s="141" t="s">
        <v>623</v>
      </c>
      <c r="S127" s="150" t="str">
        <f>CONCATENATE(تقویم!$A$2,EventsTable[[#This Row],[روز و ماه]])</f>
        <v>14000621</v>
      </c>
    </row>
    <row r="128" spans="15:19">
      <c r="O128" s="152"/>
      <c r="Q128" s="141" t="s">
        <v>624</v>
      </c>
      <c r="R128" s="141" t="s">
        <v>625</v>
      </c>
      <c r="S128" s="150" t="str">
        <f>CONCATENATE(تقویم!$A$2,EventsTable[[#This Row],[روز و ماه]])</f>
        <v>14000627</v>
      </c>
    </row>
    <row r="129" spans="15:19" ht="30">
      <c r="O129" s="152"/>
      <c r="Q129" s="141" t="s">
        <v>626</v>
      </c>
      <c r="R129" s="141" t="s">
        <v>625</v>
      </c>
      <c r="S129" s="150" t="str">
        <f>CONCATENATE(تقویم!$A$2,EventsTable[[#This Row],[روز و ماه]])</f>
        <v>14000627</v>
      </c>
    </row>
    <row r="130" spans="15:19">
      <c r="O130" s="152"/>
      <c r="Q130" s="141" t="s">
        <v>627</v>
      </c>
      <c r="R130" s="141" t="s">
        <v>628</v>
      </c>
      <c r="S130" s="150" t="str">
        <f>CONCATENATE(تقویم!$A$2,EventsTable[[#This Row],[روز و ماه]])</f>
        <v>14000631</v>
      </c>
    </row>
    <row r="131" spans="15:19">
      <c r="O131" s="152"/>
      <c r="Q131" s="141" t="s">
        <v>629</v>
      </c>
      <c r="R131" s="141" t="s">
        <v>628</v>
      </c>
      <c r="S131" s="150" t="str">
        <f>CONCATENATE(تقویم!$A$2,EventsTable[[#This Row],[روز و ماه]])</f>
        <v>14000631</v>
      </c>
    </row>
    <row r="132" spans="15:19" ht="30">
      <c r="O132" s="152"/>
      <c r="Q132" s="141" t="s">
        <v>630</v>
      </c>
      <c r="R132" s="141" t="s">
        <v>631</v>
      </c>
      <c r="S132" s="150" t="str">
        <f>CONCATENATE(تقویم!$A$2,EventsTable[[#This Row],[روز و ماه]])</f>
        <v>14000705</v>
      </c>
    </row>
    <row r="133" spans="15:19" ht="30">
      <c r="O133" s="152"/>
      <c r="Q133" s="141" t="s">
        <v>632</v>
      </c>
      <c r="R133" s="141" t="s">
        <v>633</v>
      </c>
      <c r="S133" s="150" t="str">
        <f>CONCATENATE(تقویم!$A$2,EventsTable[[#This Row],[روز و ماه]])</f>
        <v>14000707</v>
      </c>
    </row>
    <row r="134" spans="15:19" ht="45">
      <c r="O134" s="152"/>
      <c r="Q134" s="141" t="s">
        <v>634</v>
      </c>
      <c r="R134" s="141" t="s">
        <v>633</v>
      </c>
      <c r="S134" s="150" t="str">
        <f>CONCATENATE(تقویم!$A$2,EventsTable[[#This Row],[روز و ماه]])</f>
        <v>14000707</v>
      </c>
    </row>
    <row r="135" spans="15:19">
      <c r="O135" s="152"/>
      <c r="Q135" s="141" t="s">
        <v>635</v>
      </c>
      <c r="R135" s="141" t="s">
        <v>633</v>
      </c>
      <c r="S135" s="150" t="str">
        <f>CONCATENATE(تقویم!$A$2,EventsTable[[#This Row],[روز و ماه]])</f>
        <v>14000707</v>
      </c>
    </row>
    <row r="136" spans="15:19">
      <c r="O136" s="152"/>
      <c r="Q136" s="141" t="s">
        <v>636</v>
      </c>
      <c r="R136" s="141" t="s">
        <v>633</v>
      </c>
      <c r="S136" s="150" t="str">
        <f>CONCATENATE(تقویم!$A$2,EventsTable[[#This Row],[روز و ماه]])</f>
        <v>14000707</v>
      </c>
    </row>
    <row r="137" spans="15:19">
      <c r="O137" s="152"/>
      <c r="Q137" s="141" t="s">
        <v>637</v>
      </c>
      <c r="R137" s="141" t="s">
        <v>638</v>
      </c>
      <c r="S137" s="150" t="str">
        <f>CONCATENATE(تقویم!$A$2,EventsTable[[#This Row],[روز و ماه]])</f>
        <v>14000708</v>
      </c>
    </row>
    <row r="138" spans="15:19" ht="30">
      <c r="O138" s="152"/>
      <c r="Q138" s="141" t="s">
        <v>639</v>
      </c>
      <c r="R138" s="141" t="s">
        <v>640</v>
      </c>
      <c r="S138" s="150" t="str">
        <f>CONCATENATE(تقویم!$A$2,EventsTable[[#This Row],[روز و ماه]])</f>
        <v>14000709</v>
      </c>
    </row>
    <row r="139" spans="15:19" ht="30">
      <c r="O139" s="152"/>
      <c r="Q139" s="141" t="s">
        <v>641</v>
      </c>
      <c r="R139" s="141" t="s">
        <v>642</v>
      </c>
      <c r="S139" s="150" t="str">
        <f>CONCATENATE(تقویم!$A$2,EventsTable[[#This Row],[روز و ماه]])</f>
        <v>14000713</v>
      </c>
    </row>
    <row r="140" spans="15:19">
      <c r="O140" s="152"/>
      <c r="Q140" s="141" t="s">
        <v>643</v>
      </c>
      <c r="R140" s="141" t="s">
        <v>642</v>
      </c>
      <c r="S140" s="150" t="str">
        <f>CONCATENATE(تقویم!$A$2,EventsTable[[#This Row],[روز و ماه]])</f>
        <v>14000713</v>
      </c>
    </row>
    <row r="141" spans="15:19">
      <c r="O141" s="152"/>
      <c r="Q141" s="141" t="s">
        <v>644</v>
      </c>
      <c r="R141" s="141" t="s">
        <v>645</v>
      </c>
      <c r="S141" s="150" t="str">
        <f>CONCATENATE(تقویم!$A$2,EventsTable[[#This Row],[روز و ماه]])</f>
        <v>14000714</v>
      </c>
    </row>
    <row r="142" spans="15:19">
      <c r="O142" s="152"/>
      <c r="Q142" s="141" t="s">
        <v>646</v>
      </c>
      <c r="R142" s="141" t="s">
        <v>647</v>
      </c>
      <c r="S142" s="150" t="str">
        <f>CONCATENATE(تقویم!$A$2,EventsTable[[#This Row],[روز و ماه]])</f>
        <v>14000715</v>
      </c>
    </row>
    <row r="143" spans="15:19">
      <c r="O143" s="152"/>
      <c r="Q143" s="141" t="s">
        <v>648</v>
      </c>
      <c r="R143" s="141" t="s">
        <v>649</v>
      </c>
      <c r="S143" s="150" t="str">
        <f>CONCATENATE(تقویم!$A$2,EventsTable[[#This Row],[روز و ماه]])</f>
        <v>14000720</v>
      </c>
    </row>
    <row r="144" spans="15:19" ht="45">
      <c r="O144" s="152"/>
      <c r="Q144" s="141" t="s">
        <v>650</v>
      </c>
      <c r="R144" s="141" t="s">
        <v>577</v>
      </c>
      <c r="S144" s="150" t="str">
        <f>CONCATENATE(تقویم!$A$2,EventsTable[[#This Row],[روز و ماه]])</f>
        <v>14000523</v>
      </c>
    </row>
    <row r="145" spans="15:19">
      <c r="O145" s="152"/>
      <c r="Q145" s="141" t="s">
        <v>651</v>
      </c>
      <c r="R145" s="141" t="s">
        <v>652</v>
      </c>
      <c r="S145" s="150" t="str">
        <f>CONCATENATE(تقویم!$A$2,EventsTable[[#This Row],[روز و ماه]])</f>
        <v>14000724</v>
      </c>
    </row>
    <row r="146" spans="15:19">
      <c r="O146" s="152"/>
      <c r="Q146" s="141" t="s">
        <v>653</v>
      </c>
      <c r="R146" s="141" t="s">
        <v>652</v>
      </c>
      <c r="S146" s="150" t="str">
        <f>CONCATENATE(تقویم!$A$2,EventsTable[[#This Row],[روز و ماه]])</f>
        <v>14000724</v>
      </c>
    </row>
    <row r="147" spans="15:19" ht="45">
      <c r="O147" s="152"/>
      <c r="Q147" s="141" t="s">
        <v>654</v>
      </c>
      <c r="R147" s="141" t="s">
        <v>652</v>
      </c>
      <c r="S147" s="150" t="str">
        <f>CONCATENATE(تقویم!$A$2,EventsTable[[#This Row],[روز و ماه]])</f>
        <v>14000724</v>
      </c>
    </row>
    <row r="148" spans="15:19">
      <c r="O148" s="152"/>
      <c r="Q148" s="141" t="s">
        <v>655</v>
      </c>
      <c r="R148" s="141" t="s">
        <v>656</v>
      </c>
      <c r="S148" s="150" t="str">
        <f>CONCATENATE(تقویم!$A$2,EventsTable[[#This Row],[روز و ماه]])</f>
        <v>14000726</v>
      </c>
    </row>
    <row r="149" spans="15:19">
      <c r="O149" s="152"/>
      <c r="Q149" s="141" t="s">
        <v>657</v>
      </c>
      <c r="R149" s="141" t="s">
        <v>658</v>
      </c>
      <c r="S149" s="150" t="str">
        <f>CONCATENATE(تقویم!$A$2,EventsTable[[#This Row],[روز و ماه]])</f>
        <v>14000729</v>
      </c>
    </row>
    <row r="150" spans="15:19" ht="30">
      <c r="O150" s="152"/>
      <c r="Q150" s="141" t="s">
        <v>659</v>
      </c>
      <c r="R150" s="141" t="s">
        <v>660</v>
      </c>
      <c r="S150" s="150" t="str">
        <f>CONCATENATE(تقویم!$A$2,EventsTable[[#This Row],[روز و ماه]])</f>
        <v>14000801</v>
      </c>
    </row>
    <row r="151" spans="15:19">
      <c r="O151" s="152"/>
      <c r="Q151" s="141" t="s">
        <v>661</v>
      </c>
      <c r="R151" s="141" t="s">
        <v>660</v>
      </c>
      <c r="S151" s="150" t="str">
        <f>CONCATENATE(تقویم!$A$2,EventsTable[[#This Row],[روز و ماه]])</f>
        <v>14000801</v>
      </c>
    </row>
    <row r="152" spans="15:19" ht="45">
      <c r="O152" s="152"/>
      <c r="Q152" s="141" t="s">
        <v>662</v>
      </c>
      <c r="R152" s="141" t="s">
        <v>663</v>
      </c>
      <c r="S152" s="150" t="str">
        <f>CONCATENATE(تقویم!$A$2,EventsTable[[#This Row],[روز و ماه]])</f>
        <v>14000804</v>
      </c>
    </row>
    <row r="153" spans="15:19" ht="30">
      <c r="O153" s="152"/>
      <c r="Q153" s="141" t="s">
        <v>664</v>
      </c>
      <c r="R153" s="141" t="s">
        <v>665</v>
      </c>
      <c r="S153" s="150" t="str">
        <f>CONCATENATE(تقویم!$A$2,EventsTable[[#This Row],[روز و ماه]])</f>
        <v>14000808</v>
      </c>
    </row>
    <row r="154" spans="15:19">
      <c r="O154" s="152"/>
      <c r="Q154" s="141"/>
      <c r="R154" s="141"/>
      <c r="S154" s="150" t="str">
        <f>CONCATENATE(تقویم!$A$2,EventsTable[[#This Row],[روز و ماه]])</f>
        <v>1400</v>
      </c>
    </row>
    <row r="155" spans="15:19">
      <c r="O155" s="152"/>
      <c r="Q155" s="141" t="s">
        <v>666</v>
      </c>
      <c r="R155" s="141" t="s">
        <v>665</v>
      </c>
      <c r="S155" s="150" t="str">
        <f>CONCATENATE(تقویم!$A$2,EventsTable[[#This Row],[روز و ماه]])</f>
        <v>14000808</v>
      </c>
    </row>
    <row r="156" spans="15:19">
      <c r="O156" s="152"/>
      <c r="Q156" s="141" t="s">
        <v>667</v>
      </c>
      <c r="R156" s="141" t="s">
        <v>665</v>
      </c>
      <c r="S156" s="150" t="str">
        <f>CONCATENATE(تقویم!$A$2,EventsTable[[#This Row],[روز و ماه]])</f>
        <v>14000808</v>
      </c>
    </row>
    <row r="157" spans="15:19" ht="45">
      <c r="O157" s="152"/>
      <c r="Q157" s="141" t="s">
        <v>668</v>
      </c>
      <c r="R157" s="141" t="s">
        <v>669</v>
      </c>
      <c r="S157" s="150" t="str">
        <f>CONCATENATE(تقویم!$A$2,EventsTable[[#This Row],[روز و ماه]])</f>
        <v>14000810</v>
      </c>
    </row>
    <row r="158" spans="15:19" ht="45">
      <c r="O158" s="152"/>
      <c r="Q158" s="141" t="s">
        <v>670</v>
      </c>
      <c r="R158" s="141" t="s">
        <v>671</v>
      </c>
      <c r="S158" s="150" t="str">
        <f>CONCATENATE(تقویم!$A$2,EventsTable[[#This Row],[روز و ماه]])</f>
        <v>14000813</v>
      </c>
    </row>
    <row r="159" spans="15:19">
      <c r="O159" s="152"/>
      <c r="Q159" s="141" t="s">
        <v>672</v>
      </c>
      <c r="R159" s="141" t="s">
        <v>671</v>
      </c>
      <c r="S159" s="150" t="str">
        <f>CONCATENATE(تقویم!$A$2,EventsTable[[#This Row],[روز و ماه]])</f>
        <v>14000813</v>
      </c>
    </row>
    <row r="160" spans="15:19">
      <c r="O160" s="152"/>
      <c r="Q160" s="141" t="s">
        <v>673</v>
      </c>
      <c r="R160" s="141" t="s">
        <v>671</v>
      </c>
      <c r="S160" s="150" t="str">
        <f>CONCATENATE(تقویم!$A$2,EventsTable[[#This Row],[روز و ماه]])</f>
        <v>14000813</v>
      </c>
    </row>
    <row r="161" spans="15:19" ht="30">
      <c r="O161" s="152"/>
      <c r="Q161" s="141" t="s">
        <v>674</v>
      </c>
      <c r="R161" s="141" t="s">
        <v>671</v>
      </c>
      <c r="S161" s="150" t="str">
        <f>CONCATENATE(تقویم!$A$2,EventsTable[[#This Row],[روز و ماه]])</f>
        <v>14000813</v>
      </c>
    </row>
    <row r="162" spans="15:19">
      <c r="O162" s="152"/>
      <c r="Q162" s="141" t="s">
        <v>675</v>
      </c>
      <c r="R162" s="141" t="s">
        <v>676</v>
      </c>
      <c r="S162" s="150" t="str">
        <f>CONCATENATE(تقویم!$A$2,EventsTable[[#This Row],[روز و ماه]])</f>
        <v>14000814</v>
      </c>
    </row>
    <row r="163" spans="15:19">
      <c r="O163" s="152"/>
      <c r="Q163" s="141" t="s">
        <v>677</v>
      </c>
      <c r="R163" s="141" t="s">
        <v>678</v>
      </c>
      <c r="S163" s="150" t="str">
        <f>CONCATENATE(تقویم!$A$2,EventsTable[[#This Row],[روز و ماه]])</f>
        <v>14000818</v>
      </c>
    </row>
    <row r="164" spans="15:19">
      <c r="O164" s="152"/>
      <c r="Q164" s="141" t="s">
        <v>679</v>
      </c>
      <c r="R164" s="141" t="s">
        <v>680</v>
      </c>
      <c r="S164" s="150" t="str">
        <f>CONCATENATE(تقویم!$A$2,EventsTable[[#This Row],[روز و ماه]])</f>
        <v>14000824</v>
      </c>
    </row>
    <row r="165" spans="15:19" ht="45">
      <c r="O165" s="152"/>
      <c r="Q165" s="141" t="s">
        <v>681</v>
      </c>
      <c r="R165" s="141" t="s">
        <v>680</v>
      </c>
      <c r="S165" s="150" t="str">
        <f>CONCATENATE(تقویم!$A$2,EventsTable[[#This Row],[روز و ماه]])</f>
        <v>14000824</v>
      </c>
    </row>
    <row r="166" spans="15:19" ht="30">
      <c r="O166" s="152"/>
      <c r="Q166" s="141" t="s">
        <v>682</v>
      </c>
      <c r="R166" s="141" t="s">
        <v>683</v>
      </c>
      <c r="S166" s="150" t="str">
        <f>CONCATENATE(تقویم!$A$2,EventsTable[[#This Row],[روز و ماه]])</f>
        <v>14000826</v>
      </c>
    </row>
    <row r="167" spans="15:19" ht="45">
      <c r="O167" s="152"/>
      <c r="Q167" s="141" t="s">
        <v>684</v>
      </c>
      <c r="R167" s="141" t="s">
        <v>685</v>
      </c>
      <c r="S167" s="150" t="str">
        <f>CONCATENATE(تقویم!$A$2,EventsTable[[#This Row],[روز و ماه]])</f>
        <v>14000905</v>
      </c>
    </row>
    <row r="168" spans="15:19">
      <c r="O168" s="152"/>
      <c r="Q168" s="141" t="s">
        <v>686</v>
      </c>
      <c r="R168" s="141" t="s">
        <v>685</v>
      </c>
      <c r="S168" s="150" t="str">
        <f>CONCATENATE(تقویم!$A$2,EventsTable[[#This Row],[روز و ماه]])</f>
        <v>14000905</v>
      </c>
    </row>
    <row r="169" spans="15:19">
      <c r="O169" s="152"/>
      <c r="Q169" s="141" t="s">
        <v>687</v>
      </c>
      <c r="R169" s="141" t="s">
        <v>688</v>
      </c>
      <c r="S169" s="150" t="str">
        <f>CONCATENATE(تقویم!$A$2,EventsTable[[#This Row],[روز و ماه]])</f>
        <v>14000907</v>
      </c>
    </row>
    <row r="170" spans="15:19">
      <c r="O170" s="152"/>
      <c r="Q170" s="141" t="s">
        <v>689</v>
      </c>
      <c r="R170" s="141" t="s">
        <v>690</v>
      </c>
      <c r="S170" s="150" t="str">
        <f>CONCATENATE(تقویم!$A$2,EventsTable[[#This Row],[روز و ماه]])</f>
        <v>14000909</v>
      </c>
    </row>
    <row r="171" spans="15:19" ht="30">
      <c r="O171" s="152"/>
      <c r="Q171" s="141" t="s">
        <v>691</v>
      </c>
      <c r="R171" s="141" t="s">
        <v>692</v>
      </c>
      <c r="S171" s="150" t="str">
        <f>CONCATENATE(تقویم!$A$2,EventsTable[[#This Row],[روز و ماه]])</f>
        <v>14000910</v>
      </c>
    </row>
    <row r="172" spans="15:19" ht="30">
      <c r="O172" s="152"/>
      <c r="Q172" s="141" t="s">
        <v>693</v>
      </c>
      <c r="R172" s="141" t="s">
        <v>694</v>
      </c>
      <c r="S172" s="150" t="str">
        <f>CONCATENATE(تقویم!$A$2,EventsTable[[#This Row],[روز و ماه]])</f>
        <v>14000911</v>
      </c>
    </row>
    <row r="173" spans="15:19" ht="45">
      <c r="O173" s="152"/>
      <c r="Q173" s="141" t="s">
        <v>695</v>
      </c>
      <c r="R173" s="141" t="s">
        <v>696</v>
      </c>
      <c r="S173" s="150" t="str">
        <f>CONCATENATE(تقویم!$A$2,EventsTable[[#This Row],[روز و ماه]])</f>
        <v>14000912</v>
      </c>
    </row>
    <row r="174" spans="15:19">
      <c r="O174" s="152"/>
      <c r="Q174" s="141" t="s">
        <v>697</v>
      </c>
      <c r="R174" s="141" t="s">
        <v>698</v>
      </c>
      <c r="S174" s="150" t="str">
        <f>CONCATENATE(تقویم!$A$2,EventsTable[[#This Row],[روز و ماه]])</f>
        <v>14000913</v>
      </c>
    </row>
    <row r="175" spans="15:19">
      <c r="O175" s="152"/>
      <c r="Q175" s="141" t="s">
        <v>699</v>
      </c>
      <c r="R175" s="141" t="s">
        <v>700</v>
      </c>
      <c r="S175" s="150" t="str">
        <f>CONCATENATE(تقویم!$A$2,EventsTable[[#This Row],[روز و ماه]])</f>
        <v>14000916</v>
      </c>
    </row>
    <row r="176" spans="15:19" ht="45">
      <c r="O176" s="152"/>
      <c r="Q176" s="141" t="s">
        <v>701</v>
      </c>
      <c r="R176" s="141" t="s">
        <v>702</v>
      </c>
      <c r="S176" s="150" t="str">
        <f>CONCATENATE(تقویم!$A$2,EventsTable[[#This Row],[روز و ماه]])</f>
        <v>14000918</v>
      </c>
    </row>
    <row r="177" spans="15:19" ht="45">
      <c r="O177" s="152"/>
      <c r="Q177" s="141" t="s">
        <v>703</v>
      </c>
      <c r="R177" s="141" t="s">
        <v>704</v>
      </c>
      <c r="S177" s="150" t="str">
        <f>CONCATENATE(تقویم!$A$2,EventsTable[[#This Row],[روز و ماه]])</f>
        <v>14000919</v>
      </c>
    </row>
    <row r="178" spans="15:19" ht="45">
      <c r="O178" s="152"/>
      <c r="Q178" s="141" t="s">
        <v>705</v>
      </c>
      <c r="R178" s="141" t="s">
        <v>706</v>
      </c>
      <c r="S178" s="150" t="str">
        <f>CONCATENATE(تقویم!$A$2,EventsTable[[#This Row],[روز و ماه]])</f>
        <v>14000920</v>
      </c>
    </row>
    <row r="179" spans="15:19">
      <c r="O179" s="152"/>
      <c r="Q179" s="141" t="s">
        <v>707</v>
      </c>
      <c r="R179" s="141" t="s">
        <v>708</v>
      </c>
      <c r="S179" s="150" t="str">
        <f>CONCATENATE(تقویم!$A$2,EventsTable[[#This Row],[روز و ماه]])</f>
        <v>14000925</v>
      </c>
    </row>
    <row r="180" spans="15:19">
      <c r="O180" s="152"/>
      <c r="Q180" s="141" t="s">
        <v>709</v>
      </c>
      <c r="R180" s="141" t="s">
        <v>710</v>
      </c>
      <c r="S180" s="150" t="str">
        <f>CONCATENATE(تقویم!$A$2,EventsTable[[#This Row],[روز و ماه]])</f>
        <v>14000926</v>
      </c>
    </row>
    <row r="181" spans="15:19" ht="30">
      <c r="O181" s="152"/>
      <c r="Q181" s="141" t="s">
        <v>711</v>
      </c>
      <c r="R181" s="141" t="s">
        <v>712</v>
      </c>
      <c r="S181" s="150" t="str">
        <f>CONCATENATE(تقویم!$A$2,EventsTable[[#This Row],[روز و ماه]])</f>
        <v>14000927</v>
      </c>
    </row>
    <row r="182" spans="15:19">
      <c r="O182" s="152"/>
      <c r="Q182" s="141" t="s">
        <v>713</v>
      </c>
      <c r="R182" s="141" t="s">
        <v>712</v>
      </c>
      <c r="S182" s="150" t="str">
        <f>CONCATENATE(تقویم!$A$2,EventsTable[[#This Row],[روز و ماه]])</f>
        <v>14000927</v>
      </c>
    </row>
    <row r="183" spans="15:19">
      <c r="O183" s="152"/>
      <c r="Q183" s="141" t="s">
        <v>714</v>
      </c>
      <c r="R183" s="141" t="s">
        <v>715</v>
      </c>
      <c r="S183" s="150" t="str">
        <f>CONCATENATE(تقویم!$A$2,EventsTable[[#This Row],[روز و ماه]])</f>
        <v>14000929</v>
      </c>
    </row>
    <row r="184" spans="15:19">
      <c r="O184" s="152"/>
      <c r="Q184" s="141" t="s">
        <v>716</v>
      </c>
      <c r="R184" s="141" t="s">
        <v>717</v>
      </c>
      <c r="S184" s="150" t="str">
        <f>CONCATENATE(تقویم!$A$2,EventsTable[[#This Row],[روز و ماه]])</f>
        <v>14000930</v>
      </c>
    </row>
    <row r="185" spans="15:19">
      <c r="O185" s="152"/>
      <c r="Q185" s="141" t="s">
        <v>718</v>
      </c>
      <c r="R185" s="141" t="s">
        <v>719</v>
      </c>
      <c r="S185" s="150" t="str">
        <f>CONCATENATE(تقویم!$A$2,EventsTable[[#This Row],[روز و ماه]])</f>
        <v>14001003</v>
      </c>
    </row>
    <row r="186" spans="15:19" ht="30">
      <c r="O186" s="152"/>
      <c r="Q186" s="141" t="s">
        <v>720</v>
      </c>
      <c r="R186" s="141" t="s">
        <v>721</v>
      </c>
      <c r="S186" s="150" t="str">
        <f>CONCATENATE(تقویم!$A$2,EventsTable[[#This Row],[روز و ماه]])</f>
        <v>14001005</v>
      </c>
    </row>
    <row r="187" spans="15:19" ht="45">
      <c r="O187" s="152"/>
      <c r="Q187" s="141" t="s">
        <v>722</v>
      </c>
      <c r="R187" s="141" t="s">
        <v>723</v>
      </c>
      <c r="S187" s="150" t="str">
        <f>CONCATENATE(تقویم!$A$2,EventsTable[[#This Row],[روز و ماه]])</f>
        <v>14001007</v>
      </c>
    </row>
    <row r="188" spans="15:19" ht="45">
      <c r="O188" s="152"/>
      <c r="Q188" s="141" t="s">
        <v>724</v>
      </c>
      <c r="R188" s="141" t="s">
        <v>723</v>
      </c>
      <c r="S188" s="150" t="str">
        <f>CONCATENATE(تقویم!$A$2,EventsTable[[#This Row],[روز و ماه]])</f>
        <v>14001007</v>
      </c>
    </row>
    <row r="189" spans="15:19">
      <c r="O189" s="152"/>
      <c r="Q189" s="141" t="s">
        <v>725</v>
      </c>
      <c r="R189" s="141" t="s">
        <v>726</v>
      </c>
      <c r="S189" s="150" t="str">
        <f>CONCATENATE(تقویم!$A$2,EventsTable[[#This Row],[روز و ماه]])</f>
        <v>14001008</v>
      </c>
    </row>
    <row r="190" spans="15:19" ht="30">
      <c r="O190" s="152"/>
      <c r="Q190" s="141" t="s">
        <v>727</v>
      </c>
      <c r="R190" s="141" t="s">
        <v>728</v>
      </c>
      <c r="S190" s="150" t="str">
        <f>CONCATENATE(تقویم!$A$2,EventsTable[[#This Row],[روز و ماه]])</f>
        <v>14001009</v>
      </c>
    </row>
    <row r="191" spans="15:19" ht="60">
      <c r="O191" s="152"/>
      <c r="Q191" s="141" t="s">
        <v>729</v>
      </c>
      <c r="R191" s="141" t="s">
        <v>730</v>
      </c>
      <c r="S191" s="150" t="str">
        <f>CONCATENATE(تقویم!$A$2,EventsTable[[#This Row],[روز و ماه]])</f>
        <v>14001013</v>
      </c>
    </row>
    <row r="192" spans="15:19" ht="45">
      <c r="O192" s="152"/>
      <c r="Q192" s="141" t="s">
        <v>731</v>
      </c>
      <c r="R192" s="141" t="s">
        <v>730</v>
      </c>
      <c r="S192" s="150" t="str">
        <f>CONCATENATE(تقویم!$A$2,EventsTable[[#This Row],[روز و ماه]])</f>
        <v>14001013</v>
      </c>
    </row>
    <row r="193" spans="15:19" ht="45">
      <c r="O193" s="152"/>
      <c r="Q193" s="141" t="s">
        <v>732</v>
      </c>
      <c r="R193" s="141" t="s">
        <v>733</v>
      </c>
      <c r="S193" s="150" t="str">
        <f>CONCATENATE(تقویم!$A$2,EventsTable[[#This Row],[روز و ماه]])</f>
        <v>14001017</v>
      </c>
    </row>
    <row r="194" spans="15:19">
      <c r="O194" s="152"/>
      <c r="Q194" s="141" t="s">
        <v>734</v>
      </c>
      <c r="R194" s="141" t="s">
        <v>733</v>
      </c>
      <c r="S194" s="150" t="str">
        <f>CONCATENATE(تقویم!$A$2,EventsTable[[#This Row],[روز و ماه]])</f>
        <v>14001017</v>
      </c>
    </row>
    <row r="195" spans="15:19">
      <c r="O195" s="152"/>
      <c r="Q195" s="141" t="s">
        <v>735</v>
      </c>
      <c r="R195" s="141" t="s">
        <v>736</v>
      </c>
      <c r="S195" s="150" t="str">
        <f>CONCATENATE(تقویم!$A$2,EventsTable[[#This Row],[روز و ماه]])</f>
        <v>14001019</v>
      </c>
    </row>
    <row r="196" spans="15:19" ht="30">
      <c r="O196" s="152"/>
      <c r="Q196" s="141" t="s">
        <v>737</v>
      </c>
      <c r="R196" s="141" t="s">
        <v>738</v>
      </c>
      <c r="S196" s="150" t="str">
        <f>CONCATENATE(تقویم!$A$2,EventsTable[[#This Row],[روز و ماه]])</f>
        <v>14001020</v>
      </c>
    </row>
    <row r="197" spans="15:19" ht="45">
      <c r="O197" s="152"/>
      <c r="Q197" s="141" t="s">
        <v>739</v>
      </c>
      <c r="R197" s="141" t="s">
        <v>740</v>
      </c>
      <c r="S197" s="150" t="str">
        <f>CONCATENATE(تقویم!$A$2,EventsTable[[#This Row],[روز و ماه]])</f>
        <v>14001022</v>
      </c>
    </row>
    <row r="198" spans="15:19">
      <c r="O198" s="152"/>
      <c r="Q198" s="141" t="s">
        <v>741</v>
      </c>
      <c r="R198" s="141" t="s">
        <v>742</v>
      </c>
      <c r="S198" s="150" t="str">
        <f>CONCATENATE(تقویم!$A$2,EventsTable[[#This Row],[روز و ماه]])</f>
        <v>14001026</v>
      </c>
    </row>
    <row r="199" spans="15:19" ht="45">
      <c r="O199" s="152"/>
      <c r="Q199" s="141" t="s">
        <v>743</v>
      </c>
      <c r="R199" s="141" t="s">
        <v>744</v>
      </c>
      <c r="S199" s="150" t="str">
        <f>CONCATENATE(تقویم!$A$2,EventsTable[[#This Row],[روز و ماه]])</f>
        <v>14001027</v>
      </c>
    </row>
    <row r="200" spans="15:19">
      <c r="O200" s="152"/>
      <c r="Q200" s="141" t="s">
        <v>745</v>
      </c>
      <c r="R200" s="141" t="s">
        <v>746</v>
      </c>
      <c r="S200" s="150" t="str">
        <f>CONCATENATE(تقویم!$A$2,EventsTable[[#This Row],[روز و ماه]])</f>
        <v>14001029</v>
      </c>
    </row>
    <row r="201" spans="15:19">
      <c r="O201" s="152"/>
      <c r="Q201" s="141" t="s">
        <v>747</v>
      </c>
      <c r="R201" s="141" t="s">
        <v>748</v>
      </c>
      <c r="S201" s="150" t="str">
        <f>CONCATENATE(تقویم!$A$2,EventsTable[[#This Row],[روز و ماه]])</f>
        <v>14001106</v>
      </c>
    </row>
    <row r="202" spans="15:19" ht="45">
      <c r="O202" s="152"/>
      <c r="Q202" s="141" t="s">
        <v>749</v>
      </c>
      <c r="R202" s="141" t="s">
        <v>750</v>
      </c>
      <c r="S202" s="150" t="str">
        <f>CONCATENATE(تقویم!$A$2,EventsTable[[#This Row],[روز و ماه]])</f>
        <v>14001112</v>
      </c>
    </row>
    <row r="203" spans="15:19">
      <c r="O203" s="152"/>
      <c r="Q203" s="141" t="s">
        <v>751</v>
      </c>
      <c r="R203" s="141" t="s">
        <v>752</v>
      </c>
      <c r="S203" s="150" t="str">
        <f>CONCATENATE(تقویم!$A$2,EventsTable[[#This Row],[روز و ماه]])</f>
        <v>14001114</v>
      </c>
    </row>
    <row r="204" spans="15:19">
      <c r="O204" s="152"/>
      <c r="Q204" s="141" t="s">
        <v>753</v>
      </c>
      <c r="R204" s="141" t="s">
        <v>754</v>
      </c>
      <c r="S204" s="150" t="str">
        <f>CONCATENATE(تقویم!$A$2,EventsTable[[#This Row],[روز و ماه]])</f>
        <v>14001119</v>
      </c>
    </row>
    <row r="205" spans="15:19" ht="45">
      <c r="O205" s="152"/>
      <c r="Q205" s="141" t="s">
        <v>755</v>
      </c>
      <c r="R205" s="141" t="s">
        <v>756</v>
      </c>
      <c r="S205" s="150" t="str">
        <f>CONCATENATE(تقویم!$A$2,EventsTable[[#This Row],[روز و ماه]])</f>
        <v>14001121</v>
      </c>
    </row>
    <row r="206" spans="15:19" ht="60">
      <c r="O206" s="152"/>
      <c r="Q206" s="141" t="s">
        <v>757</v>
      </c>
      <c r="R206" s="141" t="s">
        <v>758</v>
      </c>
      <c r="S206" s="150" t="str">
        <f>CONCATENATE(تقویم!$A$2,EventsTable[[#This Row],[روز و ماه]])</f>
        <v>14001125</v>
      </c>
    </row>
    <row r="207" spans="15:19" ht="30">
      <c r="O207" s="152"/>
      <c r="Q207" s="141" t="s">
        <v>759</v>
      </c>
      <c r="R207" s="141" t="s">
        <v>760</v>
      </c>
      <c r="S207" s="150" t="str">
        <f>CONCATENATE(تقویم!$A$2,EventsTable[[#This Row],[روز و ماه]])</f>
        <v>14001129</v>
      </c>
    </row>
    <row r="208" spans="15:19">
      <c r="O208" s="152"/>
      <c r="Q208" s="141" t="s">
        <v>761</v>
      </c>
      <c r="R208" s="141" t="s">
        <v>760</v>
      </c>
      <c r="S208" s="150" t="str">
        <f>CONCATENATE(تقویم!$A$2,EventsTable[[#This Row],[روز و ماه]])</f>
        <v>14001129</v>
      </c>
    </row>
    <row r="209" spans="15:19" ht="30">
      <c r="O209" s="152"/>
      <c r="Q209" s="141" t="s">
        <v>762</v>
      </c>
      <c r="R209" s="141" t="s">
        <v>763</v>
      </c>
      <c r="S209" s="150" t="str">
        <f>CONCATENATE(تقویم!$A$2,EventsTable[[#This Row],[روز و ماه]])</f>
        <v>14001203</v>
      </c>
    </row>
    <row r="210" spans="15:19">
      <c r="O210" s="152"/>
      <c r="Q210" s="141" t="s">
        <v>764</v>
      </c>
      <c r="R210" s="141" t="s">
        <v>765</v>
      </c>
      <c r="S210" s="150" t="str">
        <f>CONCATENATE(تقویم!$A$2,EventsTable[[#This Row],[روز و ماه]])</f>
        <v>14001205</v>
      </c>
    </row>
    <row r="211" spans="15:19">
      <c r="O211" s="152"/>
      <c r="Q211" s="141" t="s">
        <v>766</v>
      </c>
      <c r="R211" s="141" t="s">
        <v>765</v>
      </c>
      <c r="S211" s="150" t="str">
        <f>CONCATENATE(تقویم!$A$2,EventsTable[[#This Row],[روز و ماه]])</f>
        <v>14001205</v>
      </c>
    </row>
    <row r="212" spans="15:19">
      <c r="O212" s="152"/>
      <c r="Q212" s="141" t="s">
        <v>767</v>
      </c>
      <c r="R212" s="141" t="s">
        <v>768</v>
      </c>
      <c r="S212" s="150" t="str">
        <f>CONCATENATE(تقویم!$A$2,EventsTable[[#This Row],[روز و ماه]])</f>
        <v>14001208</v>
      </c>
    </row>
    <row r="213" spans="15:19" ht="30">
      <c r="O213" s="152"/>
      <c r="Q213" s="141" t="s">
        <v>769</v>
      </c>
      <c r="R213" s="141" t="s">
        <v>768</v>
      </c>
      <c r="S213" s="150" t="str">
        <f>CONCATENATE(تقویم!$A$2,EventsTable[[#This Row],[روز و ماه]])</f>
        <v>14001208</v>
      </c>
    </row>
    <row r="214" spans="15:19">
      <c r="O214" s="152"/>
      <c r="Q214" s="141" t="s">
        <v>770</v>
      </c>
      <c r="R214" s="141" t="s">
        <v>771</v>
      </c>
      <c r="S214" s="150" t="str">
        <f>CONCATENATE(تقویم!$A$2,EventsTable[[#This Row],[روز و ماه]])</f>
        <v>14001209</v>
      </c>
    </row>
    <row r="215" spans="15:19">
      <c r="O215" s="152"/>
      <c r="Q215" s="141" t="s">
        <v>772</v>
      </c>
      <c r="R215" s="141" t="s">
        <v>773</v>
      </c>
      <c r="S215" s="150" t="str">
        <f>CONCATENATE(تقویم!$A$2,EventsTable[[#This Row],[روز و ماه]])</f>
        <v>14001214</v>
      </c>
    </row>
    <row r="216" spans="15:19">
      <c r="O216" s="152"/>
      <c r="Q216" s="141" t="s">
        <v>774</v>
      </c>
      <c r="R216" s="141" t="s">
        <v>773</v>
      </c>
      <c r="S216" s="150" t="str">
        <f>CONCATENATE(تقویم!$A$2,EventsTable[[#This Row],[روز و ماه]])</f>
        <v>14001214</v>
      </c>
    </row>
    <row r="217" spans="15:19">
      <c r="O217" s="152"/>
      <c r="Q217" s="141" t="s">
        <v>775</v>
      </c>
      <c r="R217" s="141" t="s">
        <v>776</v>
      </c>
      <c r="S217" s="150" t="str">
        <f>CONCATENATE(تقویم!$A$2,EventsTable[[#This Row],[روز و ماه]])</f>
        <v>14001215</v>
      </c>
    </row>
    <row r="218" spans="15:19">
      <c r="O218" s="152"/>
      <c r="Q218" s="141" t="s">
        <v>777</v>
      </c>
      <c r="R218" s="141" t="s">
        <v>778</v>
      </c>
      <c r="S218" s="150" t="str">
        <f>CONCATENATE(تقویم!$A$2,EventsTable[[#This Row],[روز و ماه]])</f>
        <v>14001218</v>
      </c>
    </row>
    <row r="219" spans="15:19" ht="30">
      <c r="O219" s="152"/>
      <c r="Q219" s="141" t="s">
        <v>779</v>
      </c>
      <c r="R219" s="141" t="s">
        <v>778</v>
      </c>
      <c r="S219" s="150" t="str">
        <f>CONCATENATE(تقویم!$A$2,EventsTable[[#This Row],[روز و ماه]])</f>
        <v>14001218</v>
      </c>
    </row>
    <row r="220" spans="15:19">
      <c r="O220" s="152"/>
      <c r="Q220" s="141" t="s">
        <v>780</v>
      </c>
      <c r="R220" s="141" t="s">
        <v>781</v>
      </c>
      <c r="S220" s="150" t="str">
        <f>CONCATENATE(تقویم!$A$2,EventsTable[[#This Row],[روز و ماه]])</f>
        <v>14001220</v>
      </c>
    </row>
    <row r="221" spans="15:19">
      <c r="O221" s="152"/>
      <c r="Q221" s="141" t="s">
        <v>782</v>
      </c>
      <c r="R221" s="141" t="s">
        <v>783</v>
      </c>
      <c r="S221" s="150" t="str">
        <f>CONCATENATE(تقویم!$A$2,EventsTable[[#This Row],[روز و ماه]])</f>
        <v>14001221</v>
      </c>
    </row>
    <row r="222" spans="15:19" ht="60">
      <c r="O222" s="152"/>
      <c r="Q222" s="141" t="s">
        <v>784</v>
      </c>
      <c r="R222" s="141" t="s">
        <v>785</v>
      </c>
      <c r="S222" s="150" t="str">
        <f>CONCATENATE(تقویم!$A$2,EventsTable[[#This Row],[روز و ماه]])</f>
        <v>14001222</v>
      </c>
    </row>
    <row r="223" spans="15:19" ht="30">
      <c r="O223" s="152"/>
      <c r="Q223" s="141" t="s">
        <v>786</v>
      </c>
      <c r="R223" s="141" t="s">
        <v>787</v>
      </c>
      <c r="S223" s="150" t="str">
        <f>CONCATENATE(تقویم!$A$2,EventsTable[[#This Row],[روز و ماه]])</f>
        <v>14001225</v>
      </c>
    </row>
    <row r="224" spans="15:19" ht="30">
      <c r="O224" s="152"/>
      <c r="Q224" s="141" t="s">
        <v>788</v>
      </c>
      <c r="R224" s="141" t="s">
        <v>789</v>
      </c>
      <c r="S224" s="150" t="str">
        <f>CONCATENATE(تقویم!$A$2,EventsTable[[#This Row],[روز و ماه]])</f>
        <v>14001230</v>
      </c>
    </row>
    <row r="225" spans="15:19">
      <c r="O225" s="152"/>
      <c r="S225" s="152"/>
    </row>
    <row r="226" spans="15:19">
      <c r="O226" s="152"/>
      <c r="S226" s="152"/>
    </row>
    <row r="227" spans="15:19">
      <c r="O227" s="152"/>
      <c r="S227" s="152"/>
    </row>
    <row r="228" spans="15:19">
      <c r="O228" s="152"/>
      <c r="S228" s="152"/>
    </row>
    <row r="229" spans="15:19">
      <c r="O229" s="152"/>
      <c r="S229" s="152"/>
    </row>
    <row r="230" spans="15:19">
      <c r="O230" s="152"/>
      <c r="S230" s="152"/>
    </row>
    <row r="231" spans="15:19">
      <c r="O231" s="152"/>
      <c r="S231" s="152"/>
    </row>
    <row r="232" spans="15:19">
      <c r="O232" s="152"/>
      <c r="S232" s="152"/>
    </row>
    <row r="233" spans="15:19">
      <c r="O233" s="152"/>
      <c r="S233" s="152"/>
    </row>
    <row r="234" spans="15:19">
      <c r="O234" s="152"/>
      <c r="S234" s="152"/>
    </row>
    <row r="235" spans="15:19">
      <c r="O235" s="152"/>
      <c r="S235" s="152"/>
    </row>
    <row r="236" spans="15:19">
      <c r="O236" s="152"/>
      <c r="S236" s="152"/>
    </row>
    <row r="237" spans="15:19">
      <c r="O237" s="152"/>
      <c r="S237" s="152"/>
    </row>
    <row r="238" spans="15:19">
      <c r="O238" s="152"/>
      <c r="S238" s="152"/>
    </row>
    <row r="239" spans="15:19">
      <c r="O239" s="152"/>
      <c r="S239" s="152"/>
    </row>
    <row r="240" spans="15:19">
      <c r="O240" s="152"/>
      <c r="S240" s="152"/>
    </row>
    <row r="241" spans="15:19">
      <c r="O241" s="152"/>
      <c r="S241" s="152"/>
    </row>
    <row r="242" spans="15:19">
      <c r="O242" s="152"/>
      <c r="S242" s="152"/>
    </row>
    <row r="243" spans="15:19">
      <c r="O243" s="152"/>
      <c r="S243" s="152"/>
    </row>
    <row r="244" spans="15:19">
      <c r="O244" s="152"/>
      <c r="S244" s="152"/>
    </row>
    <row r="245" spans="15:19">
      <c r="O245" s="152"/>
      <c r="S245" s="152"/>
    </row>
    <row r="246" spans="15:19">
      <c r="O246" s="152"/>
      <c r="S246" s="152"/>
    </row>
    <row r="247" spans="15:19">
      <c r="O247" s="152"/>
      <c r="S247" s="152"/>
    </row>
    <row r="248" spans="15:19">
      <c r="O248" s="152"/>
      <c r="S248" s="152"/>
    </row>
    <row r="249" spans="15:19">
      <c r="O249" s="152"/>
      <c r="S249" s="152"/>
    </row>
    <row r="250" spans="15:19">
      <c r="O250" s="152"/>
      <c r="S250" s="152"/>
    </row>
    <row r="251" spans="15:19">
      <c r="O251" s="152"/>
      <c r="S251" s="152"/>
    </row>
    <row r="252" spans="15:19">
      <c r="O252" s="152"/>
      <c r="S252" s="152"/>
    </row>
    <row r="253" spans="15:19">
      <c r="O253" s="152"/>
      <c r="S253" s="152"/>
    </row>
    <row r="254" spans="15:19">
      <c r="O254" s="152"/>
      <c r="S254" s="152"/>
    </row>
    <row r="255" spans="15:19">
      <c r="O255" s="152"/>
      <c r="S255" s="152"/>
    </row>
    <row r="256" spans="15:19">
      <c r="O256" s="152"/>
      <c r="S256" s="152"/>
    </row>
    <row r="257" spans="15:19">
      <c r="O257" s="152"/>
      <c r="S257" s="152"/>
    </row>
    <row r="258" spans="15:19">
      <c r="O258" s="152"/>
      <c r="S258" s="152"/>
    </row>
    <row r="259" spans="15:19">
      <c r="O259" s="152"/>
      <c r="S259" s="152"/>
    </row>
    <row r="260" spans="15:19">
      <c r="O260" s="152"/>
      <c r="S260" s="152"/>
    </row>
    <row r="261" spans="15:19">
      <c r="O261" s="152"/>
      <c r="S261" s="152"/>
    </row>
    <row r="262" spans="15:19">
      <c r="O262" s="152"/>
      <c r="S262" s="152"/>
    </row>
    <row r="263" spans="15:19">
      <c r="O263" s="152"/>
      <c r="S263" s="152"/>
    </row>
    <row r="264" spans="15:19">
      <c r="O264" s="152"/>
      <c r="S264" s="152"/>
    </row>
    <row r="265" spans="15:19">
      <c r="O265" s="152"/>
      <c r="S265" s="152"/>
    </row>
    <row r="266" spans="15:19">
      <c r="O266" s="152"/>
      <c r="S266" s="152"/>
    </row>
    <row r="267" spans="15:19">
      <c r="O267" s="152"/>
      <c r="S267" s="152"/>
    </row>
    <row r="268" spans="15:19">
      <c r="O268" s="152"/>
      <c r="S268" s="152"/>
    </row>
    <row r="269" spans="15:19">
      <c r="O269" s="152"/>
      <c r="S269" s="152"/>
    </row>
    <row r="270" spans="15:19">
      <c r="O270" s="152"/>
      <c r="S270" s="152"/>
    </row>
    <row r="271" spans="15:19">
      <c r="O271" s="152"/>
      <c r="S271" s="152"/>
    </row>
    <row r="272" spans="15:19">
      <c r="O272" s="152"/>
      <c r="S272" s="152"/>
    </row>
    <row r="273" spans="15:19">
      <c r="O273" s="152"/>
      <c r="S273" s="152"/>
    </row>
    <row r="274" spans="15:19">
      <c r="O274" s="152"/>
      <c r="S274" s="152"/>
    </row>
    <row r="275" spans="15:19">
      <c r="O275" s="152"/>
      <c r="S275" s="152"/>
    </row>
    <row r="276" spans="15:19">
      <c r="O276" s="152"/>
      <c r="S276" s="152"/>
    </row>
    <row r="277" spans="15:19">
      <c r="O277" s="152"/>
      <c r="S277" s="152"/>
    </row>
    <row r="278" spans="15:19">
      <c r="O278" s="152"/>
      <c r="S278" s="152"/>
    </row>
    <row r="279" spans="15:19">
      <c r="O279" s="152"/>
      <c r="S279" s="152"/>
    </row>
    <row r="280" spans="15:19">
      <c r="O280" s="152"/>
      <c r="S280" s="152"/>
    </row>
    <row r="281" spans="15:19">
      <c r="O281" s="152"/>
      <c r="S281" s="152"/>
    </row>
    <row r="282" spans="15:19">
      <c r="O282" s="152"/>
      <c r="S282" s="152"/>
    </row>
    <row r="283" spans="15:19">
      <c r="O283" s="152"/>
      <c r="S283" s="152"/>
    </row>
    <row r="284" spans="15:19">
      <c r="O284" s="152"/>
      <c r="S284" s="152"/>
    </row>
    <row r="285" spans="15:19">
      <c r="O285" s="152"/>
      <c r="S285" s="152"/>
    </row>
    <row r="286" spans="15:19">
      <c r="O286" s="152"/>
      <c r="S286" s="152"/>
    </row>
    <row r="287" spans="15:19">
      <c r="O287" s="152"/>
      <c r="S287" s="152"/>
    </row>
    <row r="288" spans="15:19">
      <c r="O288" s="152"/>
      <c r="S288" s="152"/>
    </row>
    <row r="289" spans="15:19">
      <c r="O289" s="152"/>
      <c r="S289" s="152"/>
    </row>
    <row r="290" spans="15:19">
      <c r="O290" s="152"/>
      <c r="S290" s="152"/>
    </row>
    <row r="291" spans="15:19">
      <c r="O291" s="152"/>
      <c r="S291" s="152"/>
    </row>
    <row r="292" spans="15:19">
      <c r="O292" s="152"/>
      <c r="S292" s="152"/>
    </row>
    <row r="293" spans="15:19">
      <c r="O293" s="152"/>
      <c r="S293" s="152"/>
    </row>
    <row r="294" spans="15:19">
      <c r="O294" s="152"/>
      <c r="S294" s="152"/>
    </row>
    <row r="295" spans="15:19">
      <c r="O295" s="152"/>
      <c r="S295" s="152"/>
    </row>
    <row r="296" spans="15:19">
      <c r="O296" s="152"/>
      <c r="S296" s="152"/>
    </row>
    <row r="297" spans="15:19">
      <c r="O297" s="152"/>
      <c r="S297" s="152"/>
    </row>
    <row r="298" spans="15:19">
      <c r="O298" s="152"/>
      <c r="S298" s="152"/>
    </row>
    <row r="299" spans="15:19">
      <c r="O299" s="152"/>
      <c r="S299" s="152"/>
    </row>
    <row r="300" spans="15:19">
      <c r="O300" s="152"/>
      <c r="S300" s="152"/>
    </row>
    <row r="301" spans="15:19">
      <c r="O301" s="152"/>
      <c r="S301" s="152"/>
    </row>
    <row r="302" spans="15:19">
      <c r="O302" s="152"/>
      <c r="S302" s="152"/>
    </row>
    <row r="303" spans="15:19">
      <c r="O303" s="152"/>
      <c r="S303" s="152"/>
    </row>
    <row r="304" spans="15:19">
      <c r="O304" s="152"/>
      <c r="S304" s="152"/>
    </row>
    <row r="305" spans="15:19">
      <c r="O305" s="152"/>
      <c r="S305" s="152"/>
    </row>
    <row r="306" spans="15:19">
      <c r="O306" s="152"/>
      <c r="S306" s="152"/>
    </row>
    <row r="307" spans="15:19">
      <c r="O307" s="152"/>
      <c r="S307" s="152"/>
    </row>
    <row r="308" spans="15:19">
      <c r="O308" s="152"/>
      <c r="S308" s="152"/>
    </row>
    <row r="309" spans="15:19">
      <c r="O309" s="152"/>
      <c r="S309" s="152"/>
    </row>
    <row r="310" spans="15:19">
      <c r="O310" s="152"/>
      <c r="S310" s="152"/>
    </row>
    <row r="311" spans="15:19">
      <c r="O311" s="152"/>
      <c r="S311" s="152"/>
    </row>
    <row r="312" spans="15:19">
      <c r="O312" s="152"/>
      <c r="S312" s="152"/>
    </row>
    <row r="313" spans="15:19">
      <c r="O313" s="152"/>
      <c r="S313" s="152"/>
    </row>
    <row r="314" spans="15:19">
      <c r="O314" s="152"/>
      <c r="S314" s="152"/>
    </row>
    <row r="315" spans="15:19">
      <c r="O315" s="152"/>
      <c r="S315" s="152"/>
    </row>
    <row r="316" spans="15:19">
      <c r="O316" s="152"/>
      <c r="S316" s="152"/>
    </row>
    <row r="317" spans="15:19">
      <c r="O317" s="152"/>
      <c r="S317" s="152"/>
    </row>
    <row r="318" spans="15:19">
      <c r="O318" s="152"/>
      <c r="S318" s="152"/>
    </row>
    <row r="319" spans="15:19">
      <c r="O319" s="152"/>
      <c r="S319" s="152"/>
    </row>
    <row r="320" spans="15:19">
      <c r="O320" s="152"/>
      <c r="S320" s="152"/>
    </row>
    <row r="321" spans="15:19">
      <c r="O321" s="152"/>
      <c r="S321" s="152"/>
    </row>
    <row r="322" spans="15:19">
      <c r="O322" s="152"/>
      <c r="S322" s="152"/>
    </row>
    <row r="323" spans="15:19">
      <c r="O323" s="152"/>
      <c r="S323" s="152"/>
    </row>
    <row r="324" spans="15:19">
      <c r="O324" s="152"/>
      <c r="S324" s="152"/>
    </row>
    <row r="325" spans="15:19">
      <c r="O325" s="152"/>
      <c r="S325" s="152"/>
    </row>
    <row r="326" spans="15:19">
      <c r="O326" s="152"/>
      <c r="S326" s="152"/>
    </row>
    <row r="327" spans="15:19">
      <c r="O327" s="152"/>
      <c r="S327" s="152"/>
    </row>
    <row r="328" spans="15:19">
      <c r="O328" s="152"/>
      <c r="S328" s="152"/>
    </row>
    <row r="329" spans="15:19">
      <c r="O329" s="152"/>
      <c r="S329" s="152"/>
    </row>
    <row r="330" spans="15:19">
      <c r="O330" s="152"/>
      <c r="S330" s="152"/>
    </row>
    <row r="331" spans="15:19">
      <c r="O331" s="152"/>
      <c r="S331" s="152"/>
    </row>
    <row r="332" spans="15:19">
      <c r="O332" s="152"/>
      <c r="S332" s="152"/>
    </row>
    <row r="333" spans="15:19">
      <c r="O333" s="152"/>
      <c r="S333" s="152"/>
    </row>
    <row r="334" spans="15:19">
      <c r="O334" s="152"/>
      <c r="S334" s="152"/>
    </row>
    <row r="335" spans="15:19">
      <c r="O335" s="152"/>
      <c r="S335" s="152"/>
    </row>
    <row r="336" spans="15:19">
      <c r="O336" s="152"/>
      <c r="S336" s="152"/>
    </row>
    <row r="337" spans="15:19">
      <c r="O337" s="152"/>
      <c r="S337" s="152"/>
    </row>
    <row r="338" spans="15:19">
      <c r="O338" s="152"/>
      <c r="S338" s="152"/>
    </row>
    <row r="339" spans="15:19">
      <c r="O339" s="152"/>
      <c r="S339" s="152"/>
    </row>
    <row r="340" spans="15:19">
      <c r="O340" s="152"/>
      <c r="S340" s="152"/>
    </row>
    <row r="341" spans="15:19">
      <c r="O341" s="152"/>
      <c r="S341" s="152"/>
    </row>
    <row r="342" spans="15:19">
      <c r="O342" s="152"/>
      <c r="S342" s="152"/>
    </row>
    <row r="343" spans="15:19">
      <c r="O343" s="152"/>
      <c r="S343" s="152"/>
    </row>
    <row r="344" spans="15:19">
      <c r="O344" s="152"/>
      <c r="S344" s="152"/>
    </row>
    <row r="345" spans="15:19">
      <c r="O345" s="152"/>
      <c r="S345" s="152"/>
    </row>
    <row r="346" spans="15:19">
      <c r="O346" s="152"/>
      <c r="S346" s="152"/>
    </row>
    <row r="347" spans="15:19">
      <c r="O347" s="152"/>
      <c r="S347" s="152"/>
    </row>
    <row r="348" spans="15:19">
      <c r="O348" s="152"/>
      <c r="S348" s="152"/>
    </row>
    <row r="349" spans="15:19">
      <c r="O349" s="152"/>
      <c r="S349" s="152"/>
    </row>
    <row r="350" spans="15:19">
      <c r="O350" s="152"/>
      <c r="S350" s="152"/>
    </row>
    <row r="351" spans="15:19">
      <c r="O351" s="152"/>
      <c r="S351" s="152"/>
    </row>
    <row r="352" spans="15:19">
      <c r="O352" s="152"/>
      <c r="S352" s="152"/>
    </row>
    <row r="353" spans="15:19">
      <c r="O353" s="152"/>
      <c r="S353" s="152"/>
    </row>
    <row r="354" spans="15:19">
      <c r="O354" s="152"/>
      <c r="S354" s="152"/>
    </row>
    <row r="355" spans="15:19">
      <c r="O355" s="152"/>
      <c r="S355" s="152"/>
    </row>
    <row r="356" spans="15:19">
      <c r="O356" s="152"/>
      <c r="S356" s="152"/>
    </row>
    <row r="357" spans="15:19">
      <c r="O357" s="152"/>
      <c r="S357" s="152"/>
    </row>
    <row r="358" spans="15:19">
      <c r="O358" s="152"/>
      <c r="S358" s="152"/>
    </row>
    <row r="359" spans="15:19">
      <c r="O359" s="152"/>
      <c r="S359" s="152"/>
    </row>
    <row r="360" spans="15:19">
      <c r="O360" s="152"/>
      <c r="S360" s="152"/>
    </row>
    <row r="361" spans="15:19">
      <c r="O361" s="152"/>
      <c r="S361" s="152"/>
    </row>
    <row r="362" spans="15:19">
      <c r="O362" s="152"/>
      <c r="S362" s="152"/>
    </row>
    <row r="363" spans="15:19">
      <c r="O363" s="152"/>
      <c r="S363" s="152"/>
    </row>
    <row r="364" spans="15:19">
      <c r="O364" s="152"/>
      <c r="S364" s="152"/>
    </row>
    <row r="365" spans="15:19">
      <c r="O365" s="152"/>
      <c r="S365" s="152"/>
    </row>
  </sheetData>
  <mergeCells count="9">
    <mergeCell ref="X3:Y3"/>
    <mergeCell ref="AA3:AB3"/>
    <mergeCell ref="D1:K1"/>
    <mergeCell ref="M1:AB1"/>
    <mergeCell ref="J12:K12"/>
    <mergeCell ref="J3:K3"/>
    <mergeCell ref="M3:O3"/>
    <mergeCell ref="Q3:S3"/>
    <mergeCell ref="U3:V3"/>
  </mergeCells>
  <hyperlinks>
    <hyperlink ref="A3" location="فهرست!A1" display="فهرست" xr:uid="{00000000-0004-0000-1600-000000000000}"/>
    <hyperlink ref="A5" location="'مدیریت وام و اقساط'!A1" display="وام و اقساط" xr:uid="{00000000-0004-0000-1600-000001000000}"/>
    <hyperlink ref="A6" location="'مدیریت چک‌ها'!A1" display="چک‌ها" xr:uid="{00000000-0004-0000-1600-000002000000}"/>
    <hyperlink ref="A7" location="'مدیریت بدهی‌ها-طلب‌ها'!A1" display="بدهی‌ها و طلب‌ها" xr:uid="{00000000-0004-0000-1600-000003000000}"/>
    <hyperlink ref="A8" location="'برنامه ریزی پرداخت‌ها'!A1" display="برنامه ریزی" xr:uid="{00000000-0004-0000-1600-000004000000}"/>
    <hyperlink ref="A9" location="تقویم!A1" display="تقویم" xr:uid="{00000000-0004-0000-1600-000005000000}"/>
    <hyperlink ref="A10" location="'بودجه بندی'!A1" display="بودجه بندی" xr:uid="{00000000-0004-0000-1600-000006000000}"/>
    <hyperlink ref="A11" location="'گزارش فعالیت‌های ماه جاری'!A1" display="ماه جاری" xr:uid="{00000000-0004-0000-1600-000007000000}"/>
    <hyperlink ref="A12" location="'جست و جو'!A1" display="جست و جو" xr:uid="{00000000-0004-0000-1600-000008000000}"/>
    <hyperlink ref="A4" location="تراکنش‌ها!A1" display="تراکنش‌ها" xr:uid="{00000000-0004-0000-1600-000009000000}"/>
  </hyperlinks>
  <pageMargins left="0.7" right="0.7" top="0.75" bottom="0.75" header="0.3" footer="0.3"/>
  <pageSetup orientation="portrait" r:id="rId1"/>
  <ignoredErrors>
    <ignoredError sqref="M5:O14" numberStoredAsText="1"/>
  </ignoredErrors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7"/>
  <sheetViews>
    <sheetView rightToLeft="1" workbookViewId="0">
      <pane ySplit="2" topLeftCell="A3" activePane="bottomLeft" state="frozen"/>
      <selection pane="bottomLeft" activeCell="D17" sqref="D17"/>
    </sheetView>
  </sheetViews>
  <sheetFormatPr defaultRowHeight="15"/>
  <cols>
    <col min="1" max="1" width="30.5703125" style="187" customWidth="1"/>
    <col min="2" max="2" width="0.7109375" style="187" customWidth="1"/>
    <col min="3" max="3" width="4.5703125" style="189" customWidth="1"/>
    <col min="4" max="4" width="18.28515625" style="189" customWidth="1"/>
    <col min="5" max="5" width="36.5703125" style="189" customWidth="1"/>
    <col min="6" max="6" width="28.5703125" style="189" customWidth="1"/>
    <col min="7" max="10" width="18.28515625" style="189" customWidth="1"/>
    <col min="11" max="11" width="61.5703125" style="189" customWidth="1"/>
    <col min="12" max="12" width="20.85546875" style="189" customWidth="1"/>
    <col min="13" max="13" width="28.7109375" style="189" customWidth="1"/>
    <col min="14" max="16384" width="9.140625" style="189"/>
  </cols>
  <sheetData>
    <row r="1" spans="1:8" s="186" customFormat="1" ht="21" customHeight="1">
      <c r="A1" s="184" t="s">
        <v>402</v>
      </c>
      <c r="B1" s="185"/>
      <c r="D1" s="330" t="s">
        <v>409</v>
      </c>
      <c r="E1" s="330"/>
      <c r="F1" s="171"/>
      <c r="G1" s="171"/>
      <c r="H1" s="171"/>
    </row>
    <row r="2" spans="1:8" s="186" customFormat="1" ht="3" customHeight="1">
      <c r="A2" s="187"/>
      <c r="B2" s="187"/>
    </row>
    <row r="3" spans="1:8" ht="18.75">
      <c r="A3" s="9" t="s">
        <v>8</v>
      </c>
      <c r="B3" s="188"/>
    </row>
    <row r="4" spans="1:8" ht="18.75">
      <c r="A4" s="15" t="s">
        <v>98</v>
      </c>
      <c r="D4" s="329" t="s">
        <v>403</v>
      </c>
      <c r="E4" s="329"/>
      <c r="F4" s="329"/>
    </row>
    <row r="5" spans="1:8">
      <c r="D5" s="190" t="s">
        <v>404</v>
      </c>
      <c r="E5" s="190" t="s">
        <v>40</v>
      </c>
      <c r="F5" s="190" t="s">
        <v>405</v>
      </c>
    </row>
    <row r="6" spans="1:8" ht="45">
      <c r="D6" s="191" t="s">
        <v>8</v>
      </c>
      <c r="E6" s="192" t="s">
        <v>406</v>
      </c>
      <c r="F6" s="192" t="s">
        <v>123</v>
      </c>
    </row>
    <row r="7" spans="1:8" ht="75">
      <c r="D7" s="191" t="s">
        <v>107</v>
      </c>
      <c r="E7" s="192" t="s">
        <v>407</v>
      </c>
      <c r="F7" s="192" t="s">
        <v>408</v>
      </c>
    </row>
  </sheetData>
  <mergeCells count="2">
    <mergeCell ref="D4:F4"/>
    <mergeCell ref="D1:E1"/>
  </mergeCells>
  <hyperlinks>
    <hyperlink ref="A3" location="فهرست!A1" display="فهرست" xr:uid="{00000000-0004-0000-1700-000000000000}"/>
    <hyperlink ref="A4" location="'جست و جو'!A1" display="جست و جو" xr:uid="{00000000-0004-0000-1700-000001000000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36</vt:i4>
      </vt:variant>
    </vt:vector>
  </HeadingPairs>
  <TitlesOfParts>
    <vt:vector size="61" baseType="lpstr">
      <vt:lpstr>چک نویس</vt:lpstr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2021-12-25T12:48:48Z</dcterms:modified>
</cp:coreProperties>
</file>