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6200" windowWidth="25200" windowHeight="12015" tabRatio="907" firstSheet="14" activeTab="2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C18" i="1" l="1"/>
  <c r="G32" i="18"/>
  <c r="P14" i="18"/>
  <c r="Z5" i="18"/>
  <c r="G23" i="18"/>
  <c r="E7" i="21"/>
  <c r="B7" i="21"/>
  <c r="T14" i="18"/>
  <c r="P32" i="18"/>
  <c r="P23" i="18"/>
  <c r="R14" i="18"/>
  <c r="E8" i="21"/>
  <c r="Q5" i="18"/>
  <c r="E6" i="21"/>
  <c r="R32" i="18"/>
  <c r="Z32" i="18"/>
  <c r="H32" i="18"/>
  <c r="F14" i="18"/>
  <c r="Z23" i="18"/>
  <c r="Q14" i="18"/>
  <c r="H23" i="18"/>
  <c r="Z14" i="18"/>
  <c r="S14" i="18"/>
  <c r="S32" i="18"/>
  <c r="B6" i="21"/>
  <c r="E11" i="21"/>
  <c r="E10" i="21"/>
  <c r="P5" i="18"/>
  <c r="F32" i="18"/>
  <c r="E5" i="21"/>
  <c r="E9" i="21"/>
  <c r="AA14" i="18"/>
  <c r="F23" i="18"/>
  <c r="Q32" i="18"/>
  <c r="B5" i="21"/>
  <c r="T5" i="18"/>
  <c r="F5" i="18"/>
  <c r="S5" i="18"/>
  <c r="AA32" i="18"/>
  <c r="M28" i="22" l="1"/>
  <c r="M25" i="22"/>
  <c r="I25" i="22" s="1"/>
  <c r="M23" i="22"/>
  <c r="M24" i="22" s="1"/>
  <c r="AB32" i="18"/>
  <c r="AC32" i="18"/>
  <c r="G5" i="18"/>
  <c r="U5" i="18"/>
  <c r="T32" i="18"/>
  <c r="I32" i="18"/>
  <c r="J23" i="18"/>
  <c r="AB14" i="18"/>
  <c r="G14" i="18"/>
  <c r="U14" i="18"/>
  <c r="U32" i="18"/>
  <c r="AA5" i="18"/>
  <c r="R5" i="18"/>
  <c r="Q23" i="18"/>
  <c r="J32" i="18"/>
  <c r="I23" i="18"/>
  <c r="AA23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C14" i="18"/>
  <c r="R23" i="18"/>
  <c r="AD14" i="18"/>
  <c r="AB23" i="18"/>
  <c r="AB5" i="18"/>
  <c r="V32" i="18"/>
  <c r="H14" i="18"/>
  <c r="AD32" i="18"/>
  <c r="K32" i="18"/>
  <c r="V14" i="18"/>
  <c r="V5" i="18"/>
  <c r="K23" i="18"/>
  <c r="H5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AE32" i="18"/>
  <c r="AF32" i="18" s="1"/>
  <c r="AC23" i="18"/>
  <c r="I14" i="18"/>
  <c r="S23" i="18"/>
  <c r="L23" i="18"/>
  <c r="AE14" i="18"/>
  <c r="AC5" i="18"/>
  <c r="L32" i="18"/>
  <c r="I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Z37" i="18"/>
  <c r="AA37" i="18" s="1"/>
  <c r="AB37" i="18" s="1"/>
  <c r="AC37" i="18" s="1"/>
  <c r="AD37" i="18" s="1"/>
  <c r="AE37" i="18" s="1"/>
  <c r="AF37" i="18" s="1"/>
  <c r="G3" i="1"/>
  <c r="I9" i="3"/>
  <c r="I10" i="3"/>
  <c r="I11" i="3"/>
  <c r="I12" i="3"/>
  <c r="I13" i="3"/>
  <c r="H9" i="3"/>
  <c r="H10" i="3"/>
  <c r="H11" i="3"/>
  <c r="H12" i="3"/>
  <c r="H13" i="3"/>
  <c r="E3" i="1"/>
  <c r="C3" i="1"/>
  <c r="AD23" i="18"/>
  <c r="AD5" i="18"/>
  <c r="T23" i="18"/>
  <c r="J14" i="18"/>
  <c r="AF14" i="18"/>
  <c r="J5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J10" i="3"/>
  <c r="K10" i="3" s="1"/>
  <c r="J12" i="3"/>
  <c r="K12" i="3" s="1"/>
  <c r="J13" i="3"/>
  <c r="K13" i="3" s="1"/>
  <c r="H14" i="3"/>
  <c r="J9" i="3"/>
  <c r="K9" i="3" s="1"/>
  <c r="J11" i="3"/>
  <c r="K11" i="3" s="1"/>
  <c r="I14" i="3"/>
  <c r="R8" i="22"/>
  <c r="R7" i="22"/>
  <c r="R6" i="22"/>
  <c r="AE5" i="18"/>
  <c r="U23" i="18"/>
  <c r="K14" i="18"/>
  <c r="K5" i="18"/>
  <c r="AE23" i="18"/>
  <c r="J14" i="3" l="1"/>
  <c r="I3" i="1" s="1"/>
  <c r="AF23" i="18"/>
  <c r="V23" i="18"/>
  <c r="L5" i="18"/>
  <c r="AF5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G14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<sst xmlns="http://schemas.openxmlformats.org/spreadsheetml/2006/main" count="751" uniqueCount="424">
  <si>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</si>
  <si>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</si>
  <si>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</si>
  <si>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</si>
  <si>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</si>
  <si>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</si>
  <si>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</si>
  <si>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</si>
  <si>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</si>
  <si>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</si>
  <si>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</si>
  <si>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</si>
  <si>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</si>
  <si>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</si>
  <si>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</si>
  <si>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</si>
  <si>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</si>
  <si>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</si>
  <si>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</si>
  <si>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</si>
  <si>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</si>
  <si>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</si>
  <si>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</si>
  <si>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</si>
  <si>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</si>
  <si>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</si>
  <si>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</si>
  <si>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</si>
  <si>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</si>
  <si>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</si>
  <si>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</si>
  <si>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</si>
  <si>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</si>
  <si>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</si>
  <si>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</si>
  <si>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</si>
  <si>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</si>
  <si>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</si>
  <si>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</si>
  <si>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</si>
  <si>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</si>
  <si>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</si>
  <si>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</si>
  <si>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</si>
  <si>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</si>
  <si>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</si>
  <si>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</si>
  <si>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</si>
  <si>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</si>
  <si>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</si>
  <si>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</si>
  <si>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</si>
  <si>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</si>
  <si>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</si>
  <si>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</si>
  <si>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</si>
  <si>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</si>
  <si>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</si>
  <si>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</si>
  <si>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</si>
  <si>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</si>
  <si>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</si>
  <si>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</si>
  <si>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</si>
  <si>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</si>
  <si>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</si>
  <si>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</si>
  <si>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</si>
  <si>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</si>
  <si>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</si>
  <si>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</si>
  <si>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</si>
  <si>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</si>
  <si>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</si>
  <si>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</si>
  <si>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</si>
  <si>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</si>
  <si>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</si>
  <si>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</si>
  <si>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</si>
  <si>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</si>
  <si>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</si>
  <si>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</si>
  <si>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</si>
  <si>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</si>
  <si>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</si>
  <si>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</si>
  <si>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</si>
  <si>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</si>
  <si>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</si>
  <si>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</si>
  <si>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</si>
  <si>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</si>
  <si>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</si>
  <si>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</si>
  <si>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</si>
  <si>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</si>
  <si>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</si>
  <si>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</si>
  <si>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</si>
  <si>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</si>
  <si>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</si>
  <si>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</si>
  <si>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</si>
  <si>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</si>
  <si>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</si>
  <si>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</si>
  <si>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</si>
  <si>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</si>
  <si>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</si>
  <si>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</si>
  <si>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</si>
  <si>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</si>
  <si>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</si>
  <si>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</si>
  <si>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</si>
  <si>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</si>
  <si>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</si>
  <si>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</si>
  <si>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</si>
  <si>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</si>
  <si>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</si>
  <si>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</si>
  <si>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</si>
  <si>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</si>
  <si>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</si>
  <si>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</si>
  <si>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</si>
  <si>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</si>
  <si>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</si>
  <si>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</si>
  <si>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</si>
  <si>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</si>
  <si>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</si>
  <si>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</si>
  <si>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</si>
  <si>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</si>
  <si>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</si>
  <si>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</si>
  <si>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</si>
  <si>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</si>
  <si>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</si>
  <si>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</si>
  <si>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</si>
  <si>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</si>
  <si>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</si>
  <si>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</si>
  <si>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</si>
  <si>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</si>
  <si>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</si>
  <si>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</si>
  <si>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</si>
  <si>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</si>
  <si>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</si>
  <si>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</si>
  <si>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</si>
  <si>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</si>
  <si>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</si>
  <si>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</si>
  <si>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</si>
  <si>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</si>
  <si>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</si>
  <si>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</si>
  <si>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</si>
  <si>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</si>
  <si>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</si>
  <si>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</si>
  <si>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</si>
  <si>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</si>
  <si>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</si>
  <si>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</si>
  <si>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</si>
  <si>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</si>
  <si>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</si>
  <si>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</si>
  <si>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</si>
  <si>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</si>
  <si>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</si>
  <si>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</si>
  <si>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</si>
  <si>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</si>
  <si>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</si>
  <si>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</si>
  <si>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</si>
  <si>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</si>
  <si>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</si>
  <si>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</si>
  <si>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</si>
  <si>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</si>
  <si>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</si>
  <si>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</si>
  <si>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</si>
  <si>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</si>
  <si>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</si>
  <si>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</si>
  <si>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</si>
  <si>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</si>
  <si>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</si>
  <si>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</si>
  <si>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</si>
  <si>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</si>
  <si>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</si>
  <si>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</si>
  <si>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</si>
  <si>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</si>
  <si>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</si>
  <si>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</si>
  <si>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</si>
  <si>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</si>
  <si>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</si>
  <si>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</si>
  <si>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</si>
  <si>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</si>
  <si>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</si>
  <si>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</si>
  <si>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</si>
  <si>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</si>
  <si>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</si>
  <si>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</si>
  <si>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</si>
  <si>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</si>
  <si>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</si>
  <si>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</si>
  <si>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</si>
  <si>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</si>
  <si>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</si>
  <si>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</si>
  <si>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</si>
  <si>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</si>
  <si>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</si>
  <si>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</si>
  <si>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</si>
  <si>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</si>
  <si>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</si>
  <si>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</si>
  <si>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</si>
  <si>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</si>
  <si>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</si>
  <si>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</si>
  <si>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</si>
  <si>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</si>
  <si>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</si>
  <si>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</si>
  <si>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</si>
  <si>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</si>
  <si>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</si>
  <si>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</si>
  <si>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</si>
  <si>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</si>
  <si>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</si>
  <si>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</si>
  <si>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</si>
  <si>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</si>
  <si>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</si>
  <si>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</si>
  <si>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</si>
  <si>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</si>
  <si>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</si>
  <si>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</si>
  <si>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</si>
  <si>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</si>
  <si>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</si>
  <si>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</si>
  <si>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</si>
  <si>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</si>
  <si>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</si>
  <si>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</si>
  <si>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</si>
  <si>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</si>
  <si>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</si>
  <si>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</si>
  <si>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</si>
  <si>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</si>
  <si>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</si>
  <si>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</si>
  <si>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</si>
  <si>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</si>
  <si>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</si>
  <si>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</si>
  <si>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</si>
  <si>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</si>
  <si>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</si>
  <si>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</si>
  <si>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</si>
  <si>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</si>
  <si>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</si>
  <si>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</si>
  <si>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</si>
  <si>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</si>
  <si>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</si>
  <si>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</si>
  <si>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</si>
  <si>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</si>
  <si>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</si>
  <si>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</si>
  <si>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</si>
  <si>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</si>
  <si>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</si>
  <si>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</si>
  <si>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</si>
  <si>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</si>
  <si>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</si>
  <si>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</si>
  <si>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</si>
  <si>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</si>
  <si>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</si>
  <si>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</si>
  <si>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</si>
  <si>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</si>
  <si>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</si>
  <si>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</si>
  <si>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</si>
  <si>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</si>
  <si>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</si>
  <si>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</si>
  <si>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</si>
  <si>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</si>
  <si>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</si>
  <si>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</si>
  <si>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</si>
  <si>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</si>
  <si>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</si>
  <si>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</si>
  <si>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</si>
  <si>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</si>
  <si>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</si>
  <si>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</si>
  <si>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</si>
  <si>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</si>
  <si>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</si>
  <si>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</si>
  <si>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</si>
  <si>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</si>
  <si>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</si>
  <si>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</si>
  <si>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</si>
  <si>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</si>
  <si>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</si>
  <si>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</si>
  <si>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</si>
  <si>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</si>
  <si>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</si>
  <si>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</si>
  <si>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</si>
  <si>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</si>
  <si>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</si>
  <si>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</si>
  <si>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</si>
  <si>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راهنمای توابع موجود در ماژول modDateShamsi.bas</t>
  </si>
  <si>
    <t>shamsi()</t>
  </si>
  <si>
    <t>نمایش تاریخ روز</t>
  </si>
  <si>
    <t>Slash(Shamsi())</t>
  </si>
  <si>
    <t>نمایش تاریخ روز جدا شده اسلش</t>
  </si>
  <si>
    <t>تابع</t>
  </si>
  <si>
    <t>توضیح</t>
  </si>
  <si>
    <t>سال جاری</t>
  </si>
  <si>
    <t>فروردین</t>
  </si>
  <si>
    <t>شنبه</t>
  </si>
  <si>
    <t>جمعه</t>
  </si>
  <si>
    <t>DayWeekNo(یک تاریخ)</t>
  </si>
  <si>
    <t>یک شنبه</t>
  </si>
  <si>
    <t>دو شنبه</t>
  </si>
  <si>
    <t>سه شنبه</t>
  </si>
  <si>
    <t>چهار شنبه</t>
  </si>
  <si>
    <t>پنج شنبه</t>
  </si>
  <si>
    <t>این تابع با دریافت تاریخ روز هفته رو با عدد مشخص می‌کند. از ۰ تا ۶ ( ۰ = شنبه و ۶ = جمعه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</si>
  <si>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</si>
  <si>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</si>
  <si>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</si>
  <si>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</si>
  <si>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</si>
  <si>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</si>
  <si>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</si>
  <si>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</si>
  <si>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</si>
  <si>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</si>
  <si>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</si>
  <si>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</si>
  <si>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</si>
  <si>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</si>
  <si>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</si>
  <si>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</si>
  <si>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</si>
  <si>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</si>
  <si>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</si>
  <si>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</si>
  <si>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</si>
  <si>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</si>
  <si>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</si>
  <si>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</si>
  <si>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</si>
  <si>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</si>
  <si>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</si>
  <si>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</si>
  <si>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</si>
  <si>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</si>
  <si>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جشن سیزده به در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</si>
  <si>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</si>
  <si>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</si>
  <si>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</si>
  <si>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</si>
  <si>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</si>
  <si>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</si>
  <si>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</si>
  <si>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</si>
  <si>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</si>
  <si>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</si>
  <si>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</si>
  <si>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</si>
  <si>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</si>
  <si>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</si>
  <si>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</si>
  <si>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</si>
  <si>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</si>
  <si>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</si>
  <si>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</si>
  <si>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</si>
  <si>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</si>
  <si>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</si>
  <si>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</si>
  <si>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</si>
  <si>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شعبه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</si>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</sst>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name val="B Nazanin"/>
      <charset val="178"/>
    </font>
    <font>
      <sz val="12"/>
      <name val="Arial"/>
      <family val="2"/>
    </font>
    <font>
      <b/>
      <sz val="14"/>
      <color theme="0"/>
      <name val="B Nazanin"/>
      <charset val="178"/>
    </font>
    <font>
      <b/>
      <sz val="11"/>
      <color theme="0"/>
      <name val="B Nazanin"/>
      <charset val="178"/>
    </font>
  </fonts>
  <fills count="3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205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0" fontId="0" fillId="0" borderId="0" xfId="0" applyNumberFormat="1"/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0" fillId="11" borderId="0" xfId="0" applyFill="1" applyProtection="1">
      <protection locked="0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6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6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3" fillId="29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2" borderId="0" xfId="0" applyFont="1" applyFill="1" applyAlignment="1">
      <alignment horizontal="center" vertical="center"/>
    </xf>
    <xf numFmtId="0" fontId="19" fillId="3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31" borderId="0" xfId="0" applyFont="1" applyFill="1" applyAlignment="1">
      <alignment horizontal="center" vertical="center" wrapText="1" readingOrder="2"/>
    </xf>
    <xf numFmtId="0" fontId="21" fillId="0" borderId="4" xfId="0" applyFont="1" applyBorder="1" applyAlignment="1">
      <alignment horizontal="center" vertical="center" wrapText="1" readingOrder="2"/>
    </xf>
    <xf numFmtId="0" fontId="0" fillId="31" borderId="0" xfId="0" applyFill="1"/>
    <xf numFmtId="0" fontId="0" fillId="0" borderId="0" xfId="0" applyFill="1"/>
    <xf numFmtId="0" fontId="20" fillId="32" borderId="0" xfId="0" applyFont="1" applyFill="1" applyAlignment="1">
      <alignment horizontal="center" vertical="center" wrapText="1" readingOrder="2"/>
    </xf>
    <xf numFmtId="0" fontId="0" fillId="32" borderId="0" xfId="0" applyFill="1"/>
    <xf numFmtId="0" fontId="24" fillId="19" borderId="0" xfId="0" applyFont="1" applyFill="1" applyAlignment="1">
      <alignment horizontal="center" vertical="center" wrapText="1" readingOrder="2"/>
    </xf>
    <xf numFmtId="0" fontId="25" fillId="19" borderId="0" xfId="0" applyFont="1" applyFill="1"/>
    <xf numFmtId="0" fontId="0" fillId="19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3" borderId="0" xfId="0" applyFont="1" applyFill="1" applyAlignment="1">
      <alignment horizontal="center" vertical="center" wrapText="1" readingOrder="2"/>
    </xf>
    <xf numFmtId="0" fontId="25" fillId="33" borderId="0" xfId="0" applyFont="1" applyFill="1"/>
    <xf numFmtId="0" fontId="0" fillId="33" borderId="0" xfId="0" applyFill="1"/>
    <xf numFmtId="0" fontId="17" fillId="34" borderId="0" xfId="1" applyFont="1" applyFill="1" applyAlignment="1">
      <alignment horizontal="center" vertical="center"/>
    </xf>
    <xf numFmtId="49" fontId="5" fillId="6" borderId="0" xfId="1" applyNumberFormat="1" applyFont="1" applyFill="1" applyBorder="1" applyAlignment="1" applyProtection="1">
      <alignment horizontal="center" vertical="center" readingOrder="2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17" fillId="19" borderId="0" xfId="1" applyFont="1" applyFill="1" applyAlignment="1" applyProtection="1">
      <alignment horizontal="center" vertical="center" wrapText="1"/>
    </xf>
    <xf numFmtId="0" fontId="27" fillId="32" borderId="0" xfId="0" applyFont="1" applyFill="1" applyAlignment="1">
      <alignment horizontal="center" vertical="center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6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textRotation="180" wrapText="1" readingOrder="2"/>
    </xf>
    <xf numFmtId="0" fontId="27" fillId="19" borderId="0" xfId="0" applyFont="1" applyFill="1" applyAlignment="1">
      <alignment horizontal="center" vertical="center" wrapText="1" readingOrder="2"/>
    </xf>
    <xf numFmtId="0" fontId="22" fillId="5" borderId="0" xfId="0" applyFont="1" applyFill="1" applyAlignment="1">
      <alignment horizontal="center" vertical="center" textRotation="180" wrapText="1" readingOrder="2"/>
    </xf>
    <xf numFmtId="0" fontId="27" fillId="33" borderId="0" xfId="0" applyFont="1" applyFill="1" applyAlignment="1">
      <alignment horizontal="center" vertical="center" wrapText="1" readingOrder="2"/>
    </xf>
    <xf numFmtId="0" fontId="22" fillId="17" borderId="0" xfId="0" applyFont="1" applyFill="1" applyAlignment="1">
      <alignment horizontal="center" vertical="center" textRotation="180" wrapText="1" readingOrder="2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  <xf numFmtId="0" fontId="8" fillId="5" borderId="0" xfId="0" applyFont="1" applyFill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readingOrder="2"/>
    </xf>
    <xf numFmtId="0" fontId="5" fillId="17" borderId="0" xfId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readingOrder="2"/>
    </xf>
    <xf numFmtId="0" fontId="4" fillId="11" borderId="0" xfId="0" applyFont="1" applyFill="1" applyAlignment="1" applyProtection="1">
      <alignment horizontal="center" vertical="center" readingOrder="2"/>
    </xf>
    <xf numFmtId="0" fontId="8" fillId="18" borderId="0" xfId="0" applyFont="1" applyFill="1" applyAlignment="1" applyProtection="1">
      <alignment horizontal="center" vertical="center" readingOrder="2"/>
    </xf>
    <xf numFmtId="0" fontId="8" fillId="11" borderId="0" xfId="0" applyFont="1" applyFill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readingOrder="2"/>
    </xf>
    <xf numFmtId="0" fontId="9" fillId="11" borderId="0" xfId="0" applyFont="1" applyFill="1" applyAlignment="1" applyProtection="1">
      <alignment horizontal="center" vertical="center" readingOrder="2"/>
    </xf>
    <xf numFmtId="0" fontId="18" fillId="0" borderId="0" xfId="0" applyFont="1" applyAlignment="1" applyProtection="1">
      <alignment horizontal="center" vertical="center" readingOrder="2"/>
    </xf>
    <xf numFmtId="0" fontId="18" fillId="11" borderId="0" xfId="0" applyFont="1" applyFill="1" applyAlignment="1" applyProtection="1">
      <alignment horizontal="center" vertical="center" readingOrder="2"/>
    </xf>
    <xf numFmtId="0" fontId="0" fillId="11" borderId="0" xfId="0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11" borderId="0" xfId="0" applyNumberFormat="1" applyFill="1" applyAlignment="1" applyProtection="1">
      <alignment horizontal="center" readingOrder="2"/>
    </xf>
    <xf numFmtId="49" fontId="0" fillId="0" borderId="0" xfId="0" applyNumberFormat="1" applyAlignment="1" applyProtection="1">
      <alignment horizontal="center" vertical="center" readingOrder="2"/>
    </xf>
    <xf numFmtId="0" fontId="0" fillId="23" borderId="0" xfId="0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</xf>
    <xf numFmtId="0" fontId="23" fillId="23" borderId="0" xfId="0" applyFont="1" applyFill="1" applyAlignment="1" applyProtection="1">
      <alignment horizontal="center" vertical="center"/>
      <protection locked="0"/>
    </xf>
    <xf numFmtId="0" fontId="23" fillId="35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0" fontId="0" fillId="17" borderId="0" xfId="0" applyFill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0" fillId="11" borderId="0" xfId="0" applyFont="1" applyFill="1" applyAlignment="1" applyProtection="1">
      <alignment vertical="center"/>
    </xf>
    <xf numFmtId="0" fontId="26" fillId="38" borderId="0" xfId="0" applyFont="1" applyFill="1" applyAlignment="1" applyProtection="1">
      <alignment horizontal="center" vertical="center"/>
    </xf>
    <xf numFmtId="0" fontId="20" fillId="22" borderId="0" xfId="0" applyFont="1" applyFill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1" fillId="29" borderId="0" xfId="0" applyFont="1" applyFill="1" applyAlignment="1" applyProtection="1">
      <alignment horizontal="right" vertical="center"/>
    </xf>
    <xf numFmtId="0" fontId="23" fillId="11" borderId="0" xfId="0" applyFont="1" applyFill="1" applyAlignment="1" applyProtection="1">
      <alignment horizontal="center" vertical="center"/>
    </xf>
    <xf numFmtId="49" fontId="0" fillId="11" borderId="0" xfId="0" applyNumberFormat="1" applyFill="1" applyAlignment="1" applyProtection="1">
      <alignment horizontal="center" vertical="center" readingOrder="2"/>
    </xf>
    <xf numFmtId="0" fontId="20" fillId="37" borderId="0" xfId="0" applyFont="1" applyFill="1" applyAlignment="1" applyProtection="1">
      <alignment vertical="center"/>
    </xf>
    <xf numFmtId="0" fontId="25" fillId="37" borderId="0" xfId="0" applyFont="1" applyFill="1" applyProtection="1"/>
    <xf numFmtId="0" fontId="0" fillId="37" borderId="0" xfId="0" applyFill="1" applyProtection="1"/>
    <xf numFmtId="0" fontId="5" fillId="11" borderId="0" xfId="1" applyFont="1" applyFill="1" applyBorder="1" applyAlignment="1" applyProtection="1">
      <alignment horizontal="center" vertical="center"/>
    </xf>
    <xf numFmtId="0" fontId="6" fillId="11" borderId="0" xfId="1" applyFont="1" applyFill="1" applyBorder="1" applyAlignment="1" applyProtection="1">
      <alignment horizontal="center" vertical="center"/>
    </xf>
    <xf numFmtId="0" fontId="29" fillId="20" borderId="0" xfId="0" applyFont="1" applyFill="1" applyAlignment="1">
      <alignment horizontal="center" vertical="center" wrapText="1" readingOrder="2"/>
    </xf>
    <xf numFmtId="165" fontId="9" fillId="11" borderId="0" xfId="0" applyNumberFormat="1" applyFont="1" applyFill="1" applyAlignment="1">
      <alignment horizontal="center" vertical="center" wrapText="1" readingOrder="2"/>
    </xf>
    <xf numFmtId="0" fontId="12" fillId="11" borderId="0" xfId="0" applyFont="1" applyFill="1" applyAlignment="1">
      <alignment horizontal="center" vertical="center" wrapText="1" readingOrder="2"/>
    </xf>
    <xf numFmtId="49" fontId="13" fillId="11" borderId="0" xfId="0" applyNumberFormat="1" applyFont="1" applyFill="1" applyAlignment="1">
      <alignment horizontal="center" vertical="center" wrapText="1"/>
    </xf>
    <xf numFmtId="49" fontId="13" fillId="11" borderId="0" xfId="0" applyNumberFormat="1" applyFont="1" applyFill="1" applyAlignment="1">
      <alignment horizontal="center" vertical="center" wrapText="1" readingOrder="2"/>
    </xf>
    <xf numFmtId="0" fontId="11" fillId="11" borderId="0" xfId="0" applyFont="1" applyFill="1" applyAlignment="1">
      <alignment horizontal="center" vertical="center" wrapText="1" readingOrder="2"/>
    </xf>
    <xf numFmtId="0" fontId="10" fillId="11" borderId="0" xfId="0" applyFont="1" applyFill="1" applyAlignment="1">
      <alignment horizontal="center" vertical="center" wrapText="1" readingOrder="2"/>
    </xf>
    <xf numFmtId="49" fontId="11" fillId="11" borderId="0" xfId="0" applyNumberFormat="1" applyFont="1" applyFill="1" applyAlignment="1">
      <alignment horizontal="center" vertical="center" wrapText="1"/>
    </xf>
    <xf numFmtId="49" fontId="11" fillId="11" borderId="0" xfId="0" applyNumberFormat="1" applyFont="1" applyFill="1" applyAlignment="1">
      <alignment horizontal="center" vertical="center" wrapText="1" readingOrder="2"/>
    </xf>
    <xf numFmtId="0" fontId="31" fillId="38" borderId="0" xfId="1" applyFont="1" applyFill="1" applyBorder="1" applyAlignment="1" applyProtection="1">
      <alignment horizontal="center" vertical="center"/>
    </xf>
    <xf numFmtId="0" fontId="30" fillId="38" borderId="0" xfId="1" applyFont="1" applyFill="1" applyBorder="1" applyAlignment="1" applyProtection="1">
      <alignment horizontal="center" vertical="center"/>
    </xf>
    <xf numFmtId="0" fontId="21" fillId="11" borderId="0" xfId="0" applyFont="1" applyFill="1" applyAlignment="1">
      <alignment vertical="center"/>
    </xf>
    <xf numFmtId="0" fontId="28" fillId="2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</cellXfs>
  <cellStyles count="3">
    <cellStyle name="Currency" xfId="2" builtinId="4"/>
    <cellStyle name="Hyperlink" xfId="1" builtinId="8"/>
    <cellStyle name="Normal" xfId="0" builtinId="0"/>
  </cellStyles>
  <dxfs count="21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right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0" indent="0" justifyLastLine="0" shrinkToFit="0" readingOrder="2"/>
      <protection locked="0" hidden="0"/>
    </dxf>
    <dxf>
      <alignment horizontal="center" vertical="center" textRotation="0" wrapText="0" indent="0" justifyLastLine="0" shrinkToFit="0"/>
      <protection locked="0" hidden="0"/>
    </dxf>
    <dxf>
      <alignment horizontal="center" vertical="center" textRotation="0" wrapText="0" indent="0" justifyLastLine="0" shrinkToFit="0"/>
      <protection locked="1" hidden="0"/>
    </dxf>
    <dxf>
      <numFmt numFmtId="30" formatCode="@"/>
      <alignment horizontal="center" vertical="center" textRotation="0" wrapText="0" indent="0" justifyLastLine="0" shrinkToFit="0" readingOrder="2"/>
      <protection locked="1" hidden="0"/>
    </dxf>
    <dxf>
      <alignment horizontal="center" vertical="center" textRotation="0" wrapText="0" indent="0" justifyLastLine="0" shrinkToFit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213" dataDxfId="212">
  <autoFilter ref="A7:N507"/>
  <tableColumns count="14">
    <tableColumn id="1" name="ردیف" dataDxfId="211"/>
    <tableColumn id="2" name="افراد (اعضا)" dataDxfId="210"/>
    <tableColumn id="4" name="تاریخ" dataDxfId="209"/>
    <tableColumn id="5" name="عنوان" dataDxfId="208"/>
    <tableColumn id="14" name="تراکنش" dataDxfId="207"/>
    <tableColumn id="6" name="گروه (درآمد/هزینه)" dataDxfId="206"/>
    <tableColumn id="7" name="زیر گروه" dataDxfId="205"/>
    <tableColumn id="3" name="روش تراکنش" dataDxfId="204"/>
    <tableColumn id="8" name="مبلغ (ریال)" dataDxfId="203"/>
    <tableColumn id="9" name="پرداخت کننده" dataDxfId="202"/>
    <tableColumn id="10" name="دریافت کننده" dataDxfId="201"/>
    <tableColumn id="11" name="مانده حساب‌ها" dataDxfId="200" dataCellStyle="Currency"/>
    <tableColumn id="12" name="نوع خرج" dataDxfId="199"/>
    <tableColumn id="13" name="شرح" dataDxfId="19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97" dataDxfId="196">
  <autoFilter ref="A4:B12"/>
  <tableColumns count="2">
    <tableColumn id="1" name="کد گروه درآمدی" dataDxfId="195"/>
    <tableColumn id="2" name="نام گروه درآمد" dataDxfId="19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93" dataDxfId="192">
  <autoFilter ref="F5:F6"/>
  <tableColumns count="1">
    <tableColumn id="1" name="دستمزد" dataDxfId="19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90" dataDxfId="189">
  <autoFilter ref="H5:H6"/>
  <tableColumns count="1">
    <tableColumn id="1" name="منفعت کسب" dataDxfId="18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87" dataDxfId="186">
  <autoFilter ref="J5:J6"/>
  <tableColumns count="1">
    <tableColumn id="1" name="سود سرمایه‌گذاری" dataDxfId="18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84" dataDxfId="183">
  <autoFilter ref="L5:L8"/>
  <sortState ref="L6:L8">
    <sortCondition ref="L5:L8"/>
  </sortState>
  <tableColumns count="1">
    <tableColumn id="1" name="تشویقی‌ها، جوایز و عیدی‌ها" dataDxfId="182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81" dataDxfId="180">
  <autoFilter ref="N5:N6"/>
  <tableColumns count="1">
    <tableColumn id="1" name="دریافت رهن و اجاره" dataDxfId="179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78" dataDxfId="177">
  <autoFilter ref="P5:P6"/>
  <tableColumns count="1">
    <tableColumn id="1" name="دریافت وام" dataDxfId="176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75" dataDxfId="174">
  <autoFilter ref="R5:R6"/>
  <tableColumns count="1">
    <tableColumn id="1" name="درآمد متفرقه" dataDxfId="17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72" dataDxfId="171">
  <autoFilter ref="D5:D6"/>
  <tableColumns count="1">
    <tableColumn id="1" name="حقوق" dataDxfId="17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69">
  <autoFilter ref="A5:B29"/>
  <sortState ref="A5:B28">
    <sortCondition ref="B4:B28"/>
  </sortState>
  <tableColumns count="2">
    <tableColumn id="1" name="کد گروه هزینه" dataDxfId="168"/>
    <tableColumn id="2" name="نام گروه هزینه" dataDxfId="16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66" dataDxfId="165">
  <autoFilter ref="F4:F13"/>
  <sortState ref="F4:F12">
    <sortCondition ref="F3:F12"/>
  </sortState>
  <tableColumns count="1">
    <tableColumn id="1" name="ایاب و ذهاب" dataDxfId="16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63" dataDxfId="162">
  <autoFilter ref="D4:D8"/>
  <sortState ref="D4:D7">
    <sortCondition ref="D3:D7"/>
  </sortState>
  <tableColumns count="1">
    <tableColumn id="1" name="ارتباطات" dataDxfId="16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60" dataDxfId="159">
  <autoFilter ref="H4:H9"/>
  <sortState ref="H4:H8">
    <sortCondition ref="H3:H8"/>
  </sortState>
  <tableColumns count="1">
    <tableColumn id="1" name="بهداشت و درمان" dataDxfId="158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57" dataDxfId="156">
  <autoFilter ref="J4:J9"/>
  <sortState ref="J4:J8">
    <sortCondition ref="J3:J8"/>
  </sortState>
  <tableColumns count="1">
    <tableColumn id="1" name="بهداشت و نظافت فردی" dataDxfId="155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54" dataDxfId="153">
  <autoFilter ref="L4:L6"/>
  <sortState ref="L4:L5">
    <sortCondition ref="L3:L5"/>
  </sortState>
  <tableColumns count="1">
    <tableColumn id="1" name="بهداشت و نظافت محیط" dataDxfId="152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51" dataDxfId="150">
  <autoFilter ref="N4:N8"/>
  <sortState ref="N4:N7">
    <sortCondition ref="N3:N7"/>
  </sortState>
  <tableColumns count="1">
    <tableColumn id="1" name="بیمه" dataDxfId="14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48" dataDxfId="147">
  <autoFilter ref="P4:P6"/>
  <sortState ref="P4">
    <sortCondition ref="P3:P4"/>
  </sortState>
  <tableColumns count="1">
    <tableColumn id="1" name="پرداخت اقساط" dataDxfId="146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45" dataDxfId="144">
  <autoFilter ref="R4:R8"/>
  <sortState ref="R4:R7">
    <sortCondition ref="R3:R7"/>
  </sortState>
  <tableColumns count="1">
    <tableColumn id="1" name="پوشاک و کفش" dataDxfId="14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42" dataDxfId="141">
  <autoFilter ref="T4:T9"/>
  <sortState ref="T4:T8">
    <sortCondition ref="T3:T8"/>
  </sortState>
  <tableColumns count="1">
    <tableColumn id="1" name="خودرو" dataDxfId="140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139" dataDxfId="138">
  <autoFilter ref="V4:V8"/>
  <sortState ref="V4:V7">
    <sortCondition ref="V3:V7"/>
  </sortState>
  <tableColumns count="1">
    <tableColumn id="1" name="خوراکی‌ها و آشامیدنی‌ها" dataDxfId="137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136" dataDxfId="135">
  <autoFilter ref="X4:X6"/>
  <sortState ref="X4">
    <sortCondition ref="X3:X4"/>
  </sortState>
  <tableColumns count="1">
    <tableColumn id="1" name="خیریه و امور فرهنگی" dataDxfId="134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133" dataDxfId="132">
  <autoFilter ref="Z4:Z6"/>
  <sortState ref="Z4:Z5">
    <sortCondition ref="Z3:Z5"/>
  </sortState>
  <tableColumns count="1">
    <tableColumn id="1" name="دخانیات" dataDxfId="131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130" dataDxfId="129">
  <autoFilter ref="AB4:AB6"/>
  <sortState ref="AB4:AB5">
    <sortCondition ref="AB3:AB5"/>
  </sortState>
  <tableColumns count="1">
    <tableColumn id="1" name="دوچرخه" dataDxfId="12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127" dataDxfId="126">
  <autoFilter ref="AD4:AD8"/>
  <sortState ref="AD4:AD7">
    <sortCondition ref="AD3:AD7"/>
  </sortState>
  <tableColumns count="1">
    <tableColumn id="1" name="زیورآلات سرمایه" dataDxfId="12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124" dataDxfId="123">
  <autoFilter ref="AF4:AF6"/>
  <sortState ref="AF4">
    <sortCondition ref="AF3:AF4"/>
  </sortState>
  <tableColumns count="1">
    <tableColumn id="1" name=" زیورآلات غیر سرمایه" dataDxfId="122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121" dataDxfId="120">
  <autoFilter ref="AH4:AH6"/>
  <sortState ref="AH5:AH6">
    <sortCondition ref="AH4:AH6"/>
  </sortState>
  <tableColumns count="1">
    <tableColumn id="1" name=" سرمایه گذاری" dataDxfId="119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118" dataDxfId="117">
  <autoFilter ref="AJ4:AJ6"/>
  <sortState ref="AJ4">
    <sortCondition ref="AJ3:AJ4"/>
  </sortState>
  <tableColumns count="1">
    <tableColumn id="1" name="سفر و گردش" dataDxfId="11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115" dataDxfId="114">
  <autoFilter ref="AL4:AL15"/>
  <sortState ref="AL4:AL14">
    <sortCondition ref="AL3:AL14"/>
  </sortState>
  <tableColumns count="1">
    <tableColumn id="1" name="صورتحاب‌های مسکن" dataDxfId="113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112" dataDxfId="111">
  <autoFilter ref="AN4:AN8"/>
  <sortState ref="AN4:AN7">
    <sortCondition ref="AN3:AN7"/>
  </sortState>
  <tableColumns count="1">
    <tableColumn id="1" name="فراغت و سرگرمی" dataDxfId="110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109" dataDxfId="108">
  <autoFilter ref="AP4:AP8"/>
  <tableColumns count="1">
    <tableColumn id="1" name="مالیات" dataDxfId="10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106" dataDxfId="105">
  <autoFilter ref="AR4:AR6"/>
  <sortState ref="AR4">
    <sortCondition ref="AR3:AR4"/>
  </sortState>
  <tableColumns count="1">
    <tableColumn id="1" name=" مدرک و تحصیل" dataDxfId="104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103" dataDxfId="102">
  <autoFilter ref="AT4:AT7"/>
  <sortState ref="AT4:AT6">
    <sortCondition ref="AT3:AT6"/>
  </sortState>
  <tableColumns count="1">
    <tableColumn id="1" name="ورزش" dataDxfId="101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100" dataDxfId="99">
  <autoFilter ref="AV4:AV11"/>
  <tableColumns count="1">
    <tableColumn id="1" name="هدیه و کادو" dataDxfId="98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97" dataDxfId="96">
  <autoFilter ref="AX4:AX7"/>
  <tableColumns count="1">
    <tableColumn id="1" name="یادگیری و توسعه فردی" dataDxfId="95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94" dataDxfId="93" dataCellStyle="Normal">
  <autoFilter ref="A3:A14"/>
  <tableColumns count="1">
    <tableColumn id="1" name="دریافت کننده - پرداخت کنندگان" dataDxfId="92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91" dataDxfId="90">
  <autoFilter ref="C3:E19"/>
  <tableColumns count="3">
    <tableColumn id="4" uniqueName="4" name="Accounts" queryTableFieldId="1" dataDxfId="89"/>
    <tableColumn id="5" uniqueName="5" name="ReceiversAndPayers" queryTableFieldId="2" dataDxfId="88"/>
    <tableColumn id="6" uniqueName="6" name="Accounts and ReceiversAndPayers" queryTableFieldId="3" dataDxfId="87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D3:L4" totalsRowShown="0" headerRowDxfId="1" dataDxfId="86">
  <autoFilter ref="D3:L4"/>
  <tableColumns count="9">
    <tableColumn id="6" name="ID" dataDxfId="85"/>
    <tableColumn id="1" name="افراد" dataDxfId="84"/>
    <tableColumn id="2" name="کد ملی" dataDxfId="83"/>
    <tableColumn id="3" name="شماره تماس" dataDxfId="82"/>
    <tableColumn id="4" name="آدرس ایمیل" dataDxfId="81" dataCellStyle="Hyperlink"/>
    <tableColumn id="5" name="سایت اینترنتی" dataDxfId="80"/>
    <tableColumn id="7" name="آدرس محل کار" dataDxfId="79"/>
    <tableColumn id="8" name="آدرس منزل" dataDxfId="78"/>
    <tableColumn id="9" name="توضیحات" dataDxfId="77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D8:R14" totalsRowCount="1" headerRowDxfId="0" dataDxfId="76">
  <autoFilter ref="D8:R13"/>
  <tableColumns count="15">
    <tableColumn id="1" name="ID" totalsRowLabel="Total" dataDxfId="75" totalsRowDxfId="21"/>
    <tableColumn id="2" name="نام حساب" dataDxfId="74" totalsRowDxfId="20"/>
    <tableColumn id="3" name="نوع حساب" dataDxfId="73" totalsRowDxfId="19"/>
    <tableColumn id="4" name="موجودی اولیه" totalsRowFunction="sum" dataDxfId="72" totalsRowDxfId="18"/>
    <tableColumn id="9" name="جمع پرداختی" totalsRowFunction="sum" totalsRowDxfId="17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71" totalsRowDxfId="16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70" totalsRowDxfId="15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69" totalsRowDxfId="14">
      <calculatedColumnFormula>IF(FinancialAccountsTable[[#This Row],[مانده]]=0,"",IF(FinancialAccountsTable[[#This Row],[مانده]]&gt;0,"بدهکار","بستانکار"))</calculatedColumnFormula>
    </tableColumn>
    <tableColumn id="17" name="نام بانک" dataDxfId="24" totalsRowDxfId="13"/>
    <tableColumn id="18" name="شعبه بانک" dataDxfId="23" totalsRowDxfId="12"/>
    <tableColumn id="10" name="شماره حساب" totalsRowDxfId="11"/>
    <tableColumn id="19" name="شماره شبا" dataDxfId="22" totalsRowDxfId="10"/>
    <tableColumn id="14" name="شماره کارت" totalsRowDxfId="9"/>
    <tableColumn id="15" name="تاریخ انقضاء کارت" totalsRowDxfId="8"/>
    <tableColumn id="16" name="CVV2" totalsRowDxfId="7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D3:D6" totalsRowShown="0" headerRowDxfId="62" dataDxfId="61">
  <autoFilter ref="D3:D6"/>
  <tableColumns count="1">
    <tableColumn id="1" name="نوع خرج" dataDxfId="63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F3:F7" totalsRowShown="0" headerRowDxfId="59" dataDxfId="58">
  <autoFilter ref="F3:F7"/>
  <tableColumns count="1">
    <tableColumn id="1" name="نوع تراکنش" dataDxfId="60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H3:H10" totalsRowShown="0" headerRowDxfId="56" dataDxfId="55">
  <autoFilter ref="H3:H10"/>
  <tableColumns count="1">
    <tableColumn id="1" name="روش تراکنش" dataDxfId="57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M4:O365" totalsRowShown="0" headerRowDxfId="29" dataDxfId="53">
  <autoFilter ref="M4:O365"/>
  <tableColumns count="3">
    <tableColumn id="1" name="عنوان تعطیلات" dataDxfId="27"/>
    <tableColumn id="2" name="روز و ماه" dataDxfId="28"/>
    <tableColumn id="3" name="Date" dataDxfId="35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4.xml><?xml version="1.0" encoding="utf-8"?>
<table xmlns="http://schemas.openxmlformats.org/spreadsheetml/2006/main" id="45" name="showDateTable" displayName="showDateTable" ref="J4:K10" totalsRowShown="0" headerRowDxfId="54" dataDxfId="30">
  <autoFilter ref="J4:K10"/>
  <tableColumns count="2">
    <tableColumn id="1" name="ID" dataDxfId="32"/>
    <tableColumn id="2" name="شیوه نمایش تاریخ" dataDxfId="31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6" name="EventsTable" displayName="EventsTable" ref="Q4:S365" totalsRowShown="0" headerRowDxfId="51" dataDxfId="50">
  <autoFilter ref="Q4:S365"/>
  <tableColumns count="3">
    <tableColumn id="1" name="عنوان مناسبت" dataDxfId="52"/>
    <tableColumn id="2" name="روز و ماه" dataDxfId="34"/>
    <tableColumn id="3" name="Date" dataDxfId="33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6.xml><?xml version="1.0" encoding="utf-8"?>
<table xmlns="http://schemas.openxmlformats.org/spreadsheetml/2006/main" id="47" name="LunarCalendarHolidaysTable" displayName="LunarCalendarHolidaysTable" ref="U4:V365" totalsRowShown="0" headerRowDxfId="47" dataDxfId="46">
  <autoFilter ref="U4:V365"/>
  <tableColumns count="2">
    <tableColumn id="1" name="تعطیلات قمری" dataDxfId="49"/>
    <tableColumn id="2" name="Day and Month" dataDxfId="48"/>
  </tableColumns>
  <tableStyleInfo name="TableStyleMedium11" showFirstColumn="0" showLastColumn="0" showRowStripes="1" showColumnStripes="0"/>
</table>
</file>

<file path=xl/tables/table47.xml><?xml version="1.0" encoding="utf-8"?>
<table xmlns="http://schemas.openxmlformats.org/spreadsheetml/2006/main" id="48" name="LunarCalendarEventsTable" displayName="LunarCalendarEventsTable" ref="X4:Y365" totalsRowShown="0" headerRowDxfId="43" dataDxfId="42">
  <autoFilter ref="X4:Y365"/>
  <tableColumns count="2">
    <tableColumn id="1" name="مناسبت قمری" dataDxfId="45"/>
    <tableColumn id="2" name="Day and Month" dataDxfId="44"/>
  </tableColumns>
  <tableStyleInfo name="TableStyleMedium14" showFirstColumn="0" showLastColumn="0" showRowStripes="1" showColumnStripes="0"/>
</table>
</file>

<file path=xl/tables/table48.xml><?xml version="1.0" encoding="utf-8"?>
<table xmlns="http://schemas.openxmlformats.org/spreadsheetml/2006/main" id="49" name="GregorianCalendarEventsTable" displayName="GregorianCalendarEventsTable" ref="AA4:AB365" totalsRowShown="0" headerRowDxfId="25" dataDxfId="26">
  <autoFilter ref="AA4:AB365"/>
  <tableColumns count="2">
    <tableColumn id="1" name="مناسبت میلادی" dataDxfId="41"/>
    <tableColumn id="2" name="Day and Month" dataDxfId="40"/>
  </tableColumns>
  <tableStyleInfo name="TableStyleMedium12" showFirstColumn="0" showLastColumn="0" showRowStripes="1" showColumnStripes="0"/>
</table>
</file>

<file path=xl/tables/table49.xml><?xml version="1.0" encoding="utf-8"?>
<table xmlns="http://schemas.openxmlformats.org/spreadsheetml/2006/main" id="50" name="BankFeesTable" displayName="BankFeesTable" ref="J13:K41" totalsRowShown="0" headerRowDxfId="37" dataDxfId="36">
  <autoFilter ref="J13:K41"/>
  <tableColumns count="2">
    <tableColumn id="1" name="عملیات" dataDxfId="39"/>
    <tableColumn id="2" name="Wage" dataDxfId="38"/>
  </tableColumns>
  <tableStyleInfo name="TableStyleMedium14" showFirstColumn="0" showLastColumn="0" showRowStripes="1" showColumnStripes="0"/>
</table>
</file>

<file path=xl/tables/table50.xml><?xml version="1.0" encoding="utf-8"?>
<table xmlns="http://schemas.openxmlformats.org/spreadsheetml/2006/main" id="43" name="Table43" displayName="Table43" ref="A4:C13" totalsRowShown="0" headerRowDxfId="68" dataDxfId="67">
  <autoFilter ref="A4:C13"/>
  <tableColumns count="3">
    <tableColumn id="1" name="تابع" dataDxfId="66"/>
    <tableColumn id="2" name="نمونه" dataDxfId="65">
      <calculatedColumnFormula>Slash(Shamsi())</calculatedColumnFormula>
    </tableColumn>
    <tableColumn id="3" name="توضیح" dataDxfId="6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4.xml"/><Relationship Id="rId11" Type="http://schemas.openxmlformats.org/officeDocument/2006/relationships/table" Target="../tables/table49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83" t="s">
        <v>1</v>
      </c>
      <c r="Q5" s="84" t="s">
        <v>119</v>
      </c>
      <c r="R5" s="84" t="s">
        <v>0</v>
      </c>
      <c r="S5" s="85" t="s">
        <v>18</v>
      </c>
      <c r="T5" s="86" t="s">
        <v>108</v>
      </c>
      <c r="U5" s="87" t="s">
        <v>152</v>
      </c>
      <c r="V5" s="84" t="s">
        <v>117</v>
      </c>
      <c r="W5" s="84" t="s">
        <v>153</v>
      </c>
      <c r="X5" s="88" t="s">
        <v>2</v>
      </c>
      <c r="Y5" s="84" t="s">
        <v>6</v>
      </c>
      <c r="Z5" s="84" t="s">
        <v>5</v>
      </c>
      <c r="AA5" s="84" t="s">
        <v>161</v>
      </c>
      <c r="AB5" s="85" t="s">
        <v>113</v>
      </c>
      <c r="AC5" s="85" t="s">
        <v>41</v>
      </c>
    </row>
    <row r="6" spans="1:29" ht="15.75" x14ac:dyDescent="0.25">
      <c r="P6" s="89">
        <v>1</v>
      </c>
      <c r="Q6" s="90" t="s">
        <v>120</v>
      </c>
      <c r="R6" s="91">
        <f>DATE(2021,6,26)</f>
        <v>44373</v>
      </c>
      <c r="S6" s="92" t="s">
        <v>160</v>
      </c>
      <c r="T6" s="93" t="s">
        <v>286</v>
      </c>
      <c r="U6" s="90" t="s">
        <v>190</v>
      </c>
      <c r="V6" s="90" t="s">
        <v>274</v>
      </c>
      <c r="W6" s="90" t="s">
        <v>157</v>
      </c>
      <c r="X6" s="94">
        <v>80000</v>
      </c>
      <c r="Y6" s="90" t="s">
        <v>138</v>
      </c>
      <c r="Z6" s="90" t="s">
        <v>334</v>
      </c>
      <c r="AA6" s="90"/>
      <c r="AB6" s="92" t="s">
        <v>114</v>
      </c>
      <c r="AC6" s="92"/>
    </row>
    <row r="7" spans="1:29" ht="15.75" x14ac:dyDescent="0.25">
      <c r="P7" s="95">
        <v>2</v>
      </c>
      <c r="Q7" s="96"/>
      <c r="R7" s="97">
        <f>DATE(2021,6,26)</f>
        <v>44373</v>
      </c>
      <c r="S7" s="98"/>
      <c r="T7" s="99" t="s">
        <v>286</v>
      </c>
      <c r="U7" s="96"/>
      <c r="V7" s="96"/>
      <c r="W7" s="96"/>
      <c r="X7" s="100"/>
      <c r="Y7" s="96"/>
      <c r="Z7" s="96"/>
      <c r="AA7" s="96"/>
      <c r="AB7" s="98"/>
      <c r="AC7" s="98"/>
    </row>
    <row r="8" spans="1:29" ht="15.75" x14ac:dyDescent="0.25">
      <c r="P8" s="89">
        <v>3</v>
      </c>
      <c r="Q8" s="90"/>
      <c r="R8" s="91">
        <f>DATE(2021,8,17)</f>
        <v>44425</v>
      </c>
      <c r="S8" s="92"/>
      <c r="T8" s="93" t="s">
        <v>310</v>
      </c>
      <c r="U8" s="90" t="s">
        <v>313</v>
      </c>
      <c r="V8" s="90" t="s">
        <v>324</v>
      </c>
      <c r="W8" s="90"/>
      <c r="X8" s="94"/>
      <c r="Y8" s="90"/>
      <c r="Z8" s="90"/>
      <c r="AA8" s="90"/>
      <c r="AB8" s="92"/>
      <c r="AC8" s="92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346</v>
      </c>
    </row>
    <row r="16" spans="1:29" ht="18.75" x14ac:dyDescent="0.25">
      <c r="A16" s="11" t="e">
        <f>S24a</f>
        <v>#NAME?</v>
      </c>
      <c r="B16" s="37" t="s">
        <v>116</v>
      </c>
      <c r="C16" s="12" t="s">
        <v>103</v>
      </c>
      <c r="D16" s="13" t="s">
        <v>104</v>
      </c>
      <c r="E16" s="35" t="s">
        <v>105</v>
      </c>
      <c r="F16" s="14" t="s">
        <v>111</v>
      </c>
      <c r="G16" s="15" t="s">
        <v>90</v>
      </c>
      <c r="H16" s="25" t="s">
        <v>112</v>
      </c>
      <c r="I16" s="16" t="s">
        <v>106</v>
      </c>
      <c r="J16" s="17" t="s">
        <v>99</v>
      </c>
      <c r="Q16">
        <v>1</v>
      </c>
      <c r="U16" t="s">
        <v>345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35" t="str">
        <f>Slash(14000525)</f>
        <v>1400/05/25</v>
      </c>
      <c r="Q22">
        <v>7</v>
      </c>
    </row>
    <row r="23" spans="3:17" x14ac:dyDescent="0.25">
      <c r="K23" s="111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150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K1" sqref="K1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111</v>
      </c>
      <c r="G1" s="15" t="s">
        <v>90</v>
      </c>
      <c r="H1" s="112" t="s">
        <v>112</v>
      </c>
      <c r="I1" s="16" t="s">
        <v>106</v>
      </c>
      <c r="J1" s="17" t="s">
        <v>99</v>
      </c>
      <c r="K1" s="113" t="s">
        <v>7</v>
      </c>
      <c r="L1" s="6"/>
      <c r="M1" s="30"/>
      <c r="N1" s="6"/>
      <c r="O1" s="56"/>
      <c r="P1" s="56"/>
      <c r="Q1" s="56"/>
      <c r="R1" s="56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56"/>
      <c r="P2" s="56"/>
      <c r="Q2" s="56"/>
      <c r="R2" s="56"/>
    </row>
    <row r="3" spans="1:19" ht="24" customHeight="1" x14ac:dyDescent="0.25">
      <c r="A3" s="18"/>
      <c r="B3" s="7" t="s">
        <v>109</v>
      </c>
      <c r="C3" s="106">
        <f>SUMIF(Tarakonesh[تراکنش],"دریافت_درآمد",Tarakonesh[مبلغ (ریال)])</f>
        <v>5525000</v>
      </c>
      <c r="D3" s="8" t="s">
        <v>110</v>
      </c>
      <c r="E3" s="105">
        <f>SUMIF(Tarakonesh[تراکنش],"پرداخت_هزینه",Tarakonesh[مبلغ (ریال)])</f>
        <v>3093000</v>
      </c>
      <c r="F3" s="39" t="s">
        <v>344</v>
      </c>
      <c r="G3" s="104">
        <f>SUMIF(Tarakonesh[تراکنش],"انتقال",Tarakonesh[مبلغ (ریال)])</f>
        <v>520000</v>
      </c>
      <c r="H3" s="108" t="s">
        <v>347</v>
      </c>
      <c r="I3" s="110">
        <f>FinancialAccountsTable[[#Totals],[مانده]]</f>
        <v>4427000</v>
      </c>
      <c r="J3" s="138" t="s">
        <v>150</v>
      </c>
      <c r="K3" s="138"/>
      <c r="L3" s="6"/>
      <c r="M3" s="31"/>
      <c r="N3" s="6"/>
      <c r="O3" s="56"/>
      <c r="P3" s="56"/>
      <c r="Q3" s="56"/>
      <c r="R3" s="56"/>
    </row>
    <row r="4" spans="1:19" s="69" customFormat="1" ht="3.75" customHeight="1" x14ac:dyDescent="0.25">
      <c r="A4" s="18"/>
      <c r="B4" s="65"/>
      <c r="C4" s="65"/>
      <c r="D4" s="65"/>
      <c r="E4" s="66"/>
      <c r="F4" s="66"/>
      <c r="G4" s="109"/>
      <c r="H4" s="67"/>
      <c r="I4" s="6"/>
      <c r="J4" s="68"/>
      <c r="K4" s="68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65"/>
      <c r="C5" s="136">
        <v>0</v>
      </c>
      <c r="D5" s="65"/>
      <c r="E5" s="66"/>
      <c r="F5" s="36"/>
      <c r="G5" s="6"/>
      <c r="H5" s="67"/>
      <c r="I5" s="6"/>
      <c r="J5" s="64" t="s">
        <v>192</v>
      </c>
      <c r="K5" s="70" t="s">
        <v>193</v>
      </c>
      <c r="L5" s="6"/>
      <c r="M5" s="31"/>
      <c r="N5" s="6"/>
      <c r="O5" s="56"/>
      <c r="P5" s="56"/>
      <c r="Q5" s="56"/>
      <c r="R5" s="56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56"/>
      <c r="P6" s="56"/>
      <c r="Q6" s="56"/>
      <c r="R6" s="56"/>
    </row>
    <row r="7" spans="1:19" ht="24" customHeight="1" x14ac:dyDescent="0.25">
      <c r="A7" s="20" t="s">
        <v>1</v>
      </c>
      <c r="B7" s="10" t="s">
        <v>119</v>
      </c>
      <c r="C7" s="10" t="s">
        <v>0</v>
      </c>
      <c r="D7" s="32" t="s">
        <v>18</v>
      </c>
      <c r="E7" s="40" t="s">
        <v>108</v>
      </c>
      <c r="F7" s="59" t="s">
        <v>152</v>
      </c>
      <c r="G7" s="10" t="s">
        <v>117</v>
      </c>
      <c r="H7" s="10" t="s">
        <v>153</v>
      </c>
      <c r="I7" s="23" t="s">
        <v>2</v>
      </c>
      <c r="J7" s="10" t="s">
        <v>6</v>
      </c>
      <c r="K7" s="10" t="s">
        <v>5</v>
      </c>
      <c r="L7" s="10" t="s">
        <v>161</v>
      </c>
      <c r="M7" s="32" t="s">
        <v>113</v>
      </c>
      <c r="N7" s="32" t="s">
        <v>41</v>
      </c>
      <c r="O7" s="56"/>
      <c r="P7" s="56"/>
      <c r="Q7" s="56"/>
      <c r="R7" s="56"/>
      <c r="S7" s="56"/>
    </row>
    <row r="8" spans="1:19" x14ac:dyDescent="0.25">
      <c r="A8" s="28">
        <v>1</v>
      </c>
      <c r="B8" s="29" t="s">
        <v>120</v>
      </c>
      <c r="C8" s="33" t="s">
        <v>403</v>
      </c>
      <c r="D8" s="33" t="s">
        <v>160</v>
      </c>
      <c r="E8" s="41" t="s">
        <v>286</v>
      </c>
      <c r="F8" s="29" t="s">
        <v>288</v>
      </c>
      <c r="G8" s="29"/>
      <c r="H8" s="29" t="s">
        <v>311</v>
      </c>
      <c r="I8" s="27">
        <v>80000</v>
      </c>
      <c r="J8" s="29" t="s">
        <v>327</v>
      </c>
      <c r="K8" s="29" t="s">
        <v>337</v>
      </c>
      <c r="L8" s="107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114</v>
      </c>
      <c r="N8" s="33"/>
    </row>
    <row r="9" spans="1:19" ht="31.5" x14ac:dyDescent="0.25">
      <c r="A9" s="28">
        <v>2</v>
      </c>
      <c r="B9" s="29"/>
      <c r="C9" s="33" t="s">
        <v>404</v>
      </c>
      <c r="D9" s="33"/>
      <c r="E9" s="41" t="s">
        <v>310</v>
      </c>
      <c r="F9" s="29"/>
      <c r="G9" s="29"/>
      <c r="H9" s="29" t="s">
        <v>156</v>
      </c>
      <c r="I9" s="27">
        <v>1000000</v>
      </c>
      <c r="J9" s="29" t="s">
        <v>332</v>
      </c>
      <c r="K9" s="29" t="s">
        <v>327</v>
      </c>
      <c r="L9" s="107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33" t="s">
        <v>402</v>
      </c>
      <c r="D10" s="33"/>
      <c r="E10" s="41" t="s">
        <v>142</v>
      </c>
      <c r="F10" s="29"/>
      <c r="G10" s="29"/>
      <c r="H10" s="29" t="s">
        <v>155</v>
      </c>
      <c r="I10" s="27">
        <v>20000</v>
      </c>
      <c r="J10" s="29" t="s">
        <v>138</v>
      </c>
      <c r="K10" s="29" t="s">
        <v>327</v>
      </c>
      <c r="L10" s="107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01"/>
    </row>
    <row r="11" spans="1:19" x14ac:dyDescent="0.25">
      <c r="A11" s="28">
        <v>4</v>
      </c>
      <c r="B11" s="29"/>
      <c r="C11" s="33"/>
      <c r="D11" s="33"/>
      <c r="E11" s="41" t="s">
        <v>310</v>
      </c>
      <c r="F11" s="29"/>
      <c r="G11" s="29"/>
      <c r="H11" s="29" t="s">
        <v>154</v>
      </c>
      <c r="I11" s="27">
        <v>20000</v>
      </c>
      <c r="J11" s="29" t="s">
        <v>330</v>
      </c>
      <c r="K11" s="29" t="s">
        <v>328</v>
      </c>
      <c r="L11" s="107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01"/>
    </row>
    <row r="12" spans="1:19" x14ac:dyDescent="0.25">
      <c r="A12" s="28">
        <v>5</v>
      </c>
      <c r="B12" s="29"/>
      <c r="C12" s="33"/>
      <c r="D12" s="33"/>
      <c r="E12" s="41" t="s">
        <v>286</v>
      </c>
      <c r="F12" s="29"/>
      <c r="G12" s="29"/>
      <c r="H12" s="29"/>
      <c r="I12" s="27">
        <v>3000</v>
      </c>
      <c r="J12" s="29" t="s">
        <v>328</v>
      </c>
      <c r="K12" s="29" t="s">
        <v>334</v>
      </c>
      <c r="L12" s="107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33"/>
      <c r="D13" s="33"/>
      <c r="E13" s="41" t="s">
        <v>310</v>
      </c>
      <c r="F13" s="29"/>
      <c r="G13" s="29"/>
      <c r="H13" s="29"/>
      <c r="I13" s="27">
        <v>500000</v>
      </c>
      <c r="J13" s="29" t="s">
        <v>331</v>
      </c>
      <c r="K13" s="29" t="s">
        <v>138</v>
      </c>
      <c r="L13" s="107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33"/>
      <c r="D14" s="33"/>
      <c r="E14" s="41" t="s">
        <v>142</v>
      </c>
      <c r="F14" s="29"/>
      <c r="G14" s="29"/>
      <c r="H14" s="29"/>
      <c r="I14" s="27">
        <v>500000</v>
      </c>
      <c r="J14" s="29" t="s">
        <v>329</v>
      </c>
      <c r="K14" s="29" t="s">
        <v>328</v>
      </c>
      <c r="L14" s="107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33"/>
      <c r="D15" s="33"/>
      <c r="E15" s="41" t="s">
        <v>286</v>
      </c>
      <c r="F15" s="29"/>
      <c r="G15" s="29"/>
      <c r="H15" s="29"/>
      <c r="I15" s="27">
        <v>10000</v>
      </c>
      <c r="J15" s="29" t="s">
        <v>327</v>
      </c>
      <c r="K15" s="29" t="s">
        <v>331</v>
      </c>
      <c r="L15" s="107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33"/>
      <c r="D16" s="33"/>
      <c r="E16" s="41" t="s">
        <v>286</v>
      </c>
      <c r="F16" s="29"/>
      <c r="G16" s="29"/>
      <c r="H16" s="29"/>
      <c r="I16" s="27">
        <v>3000000</v>
      </c>
      <c r="J16" s="29" t="s">
        <v>328</v>
      </c>
      <c r="K16" s="29" t="s">
        <v>332</v>
      </c>
      <c r="L16" s="107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33"/>
      <c r="D17" s="33"/>
      <c r="E17" s="41" t="s">
        <v>310</v>
      </c>
      <c r="F17" s="29"/>
      <c r="G17" s="29"/>
      <c r="H17" s="29"/>
      <c r="I17" s="27">
        <v>4000000</v>
      </c>
      <c r="J17" s="29" t="s">
        <v>333</v>
      </c>
      <c r="K17" s="29" t="s">
        <v>138</v>
      </c>
      <c r="L17" s="107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 t="s">
        <v>120</v>
      </c>
      <c r="C18" s="33">
        <f>DATE(2021,8,19)</f>
        <v>44427</v>
      </c>
      <c r="D18" s="33"/>
      <c r="E18" s="41" t="s">
        <v>310</v>
      </c>
      <c r="F18" s="29"/>
      <c r="G18" s="29"/>
      <c r="H18" s="29"/>
      <c r="I18" s="27">
        <v>5000</v>
      </c>
      <c r="J18" s="29"/>
      <c r="K18" s="29"/>
      <c r="L18" s="107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3"/>
      <c r="N18" s="33"/>
    </row>
    <row r="19" spans="1:14" x14ac:dyDescent="0.25">
      <c r="A19" s="28">
        <v>12</v>
      </c>
      <c r="B19" s="29"/>
      <c r="C19" s="33"/>
      <c r="D19" s="33"/>
      <c r="E19" s="41"/>
      <c r="F19" s="29"/>
      <c r="G19" s="29"/>
      <c r="H19" s="29"/>
      <c r="I19" s="27"/>
      <c r="J19" s="29"/>
      <c r="K19" s="29"/>
      <c r="L19" s="107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33"/>
      <c r="D20" s="33"/>
      <c r="E20" s="41"/>
      <c r="F20" s="29"/>
      <c r="G20" s="29"/>
      <c r="H20" s="29"/>
      <c r="I20" s="27"/>
      <c r="J20" s="29"/>
      <c r="K20" s="29"/>
      <c r="L20" s="107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33" t="s">
        <v>403</v>
      </c>
      <c r="D21" s="33"/>
      <c r="E21" s="41"/>
      <c r="F21" s="29"/>
      <c r="G21" s="29"/>
      <c r="H21" s="29"/>
      <c r="I21" s="27"/>
      <c r="J21" s="29"/>
      <c r="K21" s="29"/>
      <c r="L21" s="107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33"/>
      <c r="D22" s="33"/>
      <c r="E22" s="41"/>
      <c r="F22" s="29"/>
      <c r="G22" s="29"/>
      <c r="H22" s="29"/>
      <c r="I22" s="27"/>
      <c r="J22" s="29"/>
      <c r="K22" s="29"/>
      <c r="L22" s="107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33"/>
      <c r="D23" s="33"/>
      <c r="E23" s="41"/>
      <c r="F23" s="29"/>
      <c r="G23" s="29"/>
      <c r="H23" s="29"/>
      <c r="I23" s="27"/>
      <c r="J23" s="29"/>
      <c r="K23" s="29"/>
      <c r="L23" s="107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33"/>
      <c r="D24" s="33"/>
      <c r="E24" s="41"/>
      <c r="F24" s="29"/>
      <c r="G24" s="29"/>
      <c r="H24" s="29"/>
      <c r="I24" s="27"/>
      <c r="J24" s="29"/>
      <c r="K24" s="29"/>
      <c r="L24" s="107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33"/>
      <c r="D25" s="33"/>
      <c r="E25" s="41"/>
      <c r="F25" s="29"/>
      <c r="G25" s="29"/>
      <c r="H25" s="29"/>
      <c r="I25" s="27"/>
      <c r="J25" s="29"/>
      <c r="K25" s="29"/>
      <c r="L25" s="107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33"/>
      <c r="D26" s="33"/>
      <c r="E26" s="41"/>
      <c r="F26" s="29"/>
      <c r="G26" s="29"/>
      <c r="H26" s="29"/>
      <c r="I26" s="27"/>
      <c r="J26" s="29"/>
      <c r="K26" s="29"/>
      <c r="L26" s="107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33"/>
      <c r="D27" s="33"/>
      <c r="E27" s="41"/>
      <c r="F27" s="29"/>
      <c r="G27" s="29"/>
      <c r="H27" s="29"/>
      <c r="I27" s="27"/>
      <c r="J27" s="29"/>
      <c r="K27" s="29"/>
      <c r="L27" s="107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33"/>
      <c r="D28" s="33"/>
      <c r="E28" s="41"/>
      <c r="F28" s="29"/>
      <c r="G28" s="29"/>
      <c r="H28" s="29"/>
      <c r="I28" s="27"/>
      <c r="J28" s="29"/>
      <c r="K28" s="29"/>
      <c r="L28" s="107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33"/>
      <c r="D29" s="33"/>
      <c r="E29" s="41"/>
      <c r="F29" s="29"/>
      <c r="G29" s="29"/>
      <c r="H29" s="29"/>
      <c r="I29" s="27"/>
      <c r="J29" s="29"/>
      <c r="K29" s="29"/>
      <c r="L29" s="107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33"/>
      <c r="D30" s="33"/>
      <c r="E30" s="41"/>
      <c r="F30" s="29"/>
      <c r="G30" s="29"/>
      <c r="H30" s="29"/>
      <c r="I30" s="27"/>
      <c r="J30" s="29"/>
      <c r="K30" s="29"/>
      <c r="L30" s="107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33"/>
      <c r="D31" s="33"/>
      <c r="E31" s="41"/>
      <c r="F31" s="29"/>
      <c r="G31" s="29"/>
      <c r="H31" s="29"/>
      <c r="I31" s="27"/>
      <c r="J31" s="29"/>
      <c r="K31" s="29"/>
      <c r="L31" s="107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33"/>
      <c r="D32" s="33"/>
      <c r="E32" s="41"/>
      <c r="F32" s="29"/>
      <c r="G32" s="29"/>
      <c r="H32" s="29"/>
      <c r="I32" s="27"/>
      <c r="J32" s="29"/>
      <c r="K32" s="29"/>
      <c r="L32" s="107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33"/>
      <c r="D33" s="33"/>
      <c r="E33" s="41"/>
      <c r="F33" s="29"/>
      <c r="G33" s="29"/>
      <c r="H33" s="29"/>
      <c r="I33" s="27"/>
      <c r="J33" s="29"/>
      <c r="K33" s="29"/>
      <c r="L33" s="107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33"/>
      <c r="D34" s="33"/>
      <c r="E34" s="41"/>
      <c r="F34" s="29"/>
      <c r="G34" s="29"/>
      <c r="H34" s="29"/>
      <c r="I34" s="27"/>
      <c r="J34" s="29"/>
      <c r="K34" s="29"/>
      <c r="L34" s="107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33"/>
      <c r="D35" s="33"/>
      <c r="E35" s="41"/>
      <c r="F35" s="29"/>
      <c r="G35" s="29"/>
      <c r="H35" s="29"/>
      <c r="I35" s="27"/>
      <c r="J35" s="29"/>
      <c r="K35" s="29"/>
      <c r="L35" s="107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33"/>
      <c r="D36" s="33"/>
      <c r="E36" s="41"/>
      <c r="F36" s="29"/>
      <c r="G36" s="29"/>
      <c r="H36" s="29"/>
      <c r="I36" s="27"/>
      <c r="J36" s="29"/>
      <c r="K36" s="29"/>
      <c r="L36" s="107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33"/>
      <c r="D37" s="33"/>
      <c r="E37" s="41"/>
      <c r="F37" s="29"/>
      <c r="G37" s="29"/>
      <c r="H37" s="29"/>
      <c r="I37" s="27"/>
      <c r="J37" s="29"/>
      <c r="K37" s="29"/>
      <c r="L37" s="107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33"/>
      <c r="D38" s="33"/>
      <c r="E38" s="41"/>
      <c r="F38" s="29"/>
      <c r="G38" s="29"/>
      <c r="H38" s="29"/>
      <c r="I38" s="27"/>
      <c r="J38" s="29"/>
      <c r="K38" s="29"/>
      <c r="L38" s="107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33"/>
      <c r="D39" s="33"/>
      <c r="E39" s="41"/>
      <c r="F39" s="29"/>
      <c r="G39" s="29"/>
      <c r="H39" s="29"/>
      <c r="I39" s="27"/>
      <c r="J39" s="29"/>
      <c r="K39" s="29"/>
      <c r="L39" s="107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33"/>
      <c r="D40" s="33"/>
      <c r="E40" s="41"/>
      <c r="F40" s="29"/>
      <c r="G40" s="29"/>
      <c r="H40" s="29"/>
      <c r="I40" s="27"/>
      <c r="J40" s="29"/>
      <c r="K40" s="29"/>
      <c r="L40" s="107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33"/>
      <c r="D41" s="33"/>
      <c r="E41" s="41"/>
      <c r="F41" s="29"/>
      <c r="G41" s="29"/>
      <c r="H41" s="29"/>
      <c r="I41" s="27"/>
      <c r="J41" s="29"/>
      <c r="K41" s="29"/>
      <c r="L41" s="107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33"/>
      <c r="D42" s="33"/>
      <c r="E42" s="41"/>
      <c r="F42" s="29"/>
      <c r="G42" s="29"/>
      <c r="H42" s="29"/>
      <c r="I42" s="27"/>
      <c r="J42" s="29"/>
      <c r="K42" s="29"/>
      <c r="L42" s="107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33"/>
      <c r="D43" s="33"/>
      <c r="E43" s="41"/>
      <c r="F43" s="29"/>
      <c r="G43" s="29"/>
      <c r="H43" s="29"/>
      <c r="I43" s="27"/>
      <c r="J43" s="29"/>
      <c r="K43" s="29"/>
      <c r="L43" s="107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33"/>
      <c r="D44" s="33"/>
      <c r="E44" s="41"/>
      <c r="F44" s="29"/>
      <c r="G44" s="29"/>
      <c r="H44" s="29"/>
      <c r="I44" s="27"/>
      <c r="J44" s="29"/>
      <c r="K44" s="29"/>
      <c r="L44" s="107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33"/>
      <c r="D45" s="33"/>
      <c r="E45" s="41"/>
      <c r="F45" s="29"/>
      <c r="G45" s="29"/>
      <c r="H45" s="29"/>
      <c r="I45" s="27"/>
      <c r="J45" s="29"/>
      <c r="K45" s="29"/>
      <c r="L45" s="107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33"/>
      <c r="D46" s="33"/>
      <c r="E46" s="41"/>
      <c r="F46" s="29"/>
      <c r="G46" s="29"/>
      <c r="H46" s="29"/>
      <c r="I46" s="27"/>
      <c r="J46" s="29"/>
      <c r="K46" s="29"/>
      <c r="L46" s="107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33"/>
      <c r="D47" s="33"/>
      <c r="E47" s="41"/>
      <c r="F47" s="29"/>
      <c r="G47" s="29"/>
      <c r="H47" s="29"/>
      <c r="I47" s="27"/>
      <c r="J47" s="29"/>
      <c r="K47" s="29"/>
      <c r="L47" s="107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33"/>
      <c r="D48" s="33"/>
      <c r="E48" s="41"/>
      <c r="F48" s="29"/>
      <c r="G48" s="29"/>
      <c r="H48" s="29"/>
      <c r="I48" s="27"/>
      <c r="J48" s="29"/>
      <c r="K48" s="29"/>
      <c r="L48" s="107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33"/>
      <c r="D49" s="33"/>
      <c r="E49" s="41"/>
      <c r="F49" s="29"/>
      <c r="G49" s="29"/>
      <c r="H49" s="29"/>
      <c r="I49" s="27"/>
      <c r="J49" s="29"/>
      <c r="K49" s="29"/>
      <c r="L49" s="107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33"/>
      <c r="D50" s="33"/>
      <c r="E50" s="41"/>
      <c r="F50" s="29"/>
      <c r="G50" s="29"/>
      <c r="H50" s="29"/>
      <c r="I50" s="27"/>
      <c r="J50" s="29"/>
      <c r="K50" s="29"/>
      <c r="L50" s="107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33"/>
      <c r="D51" s="33"/>
      <c r="E51" s="41"/>
      <c r="F51" s="29"/>
      <c r="G51" s="29"/>
      <c r="H51" s="29"/>
      <c r="I51" s="27"/>
      <c r="J51" s="29"/>
      <c r="K51" s="29"/>
      <c r="L51" s="107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33"/>
      <c r="D52" s="33"/>
      <c r="E52" s="41"/>
      <c r="F52" s="29"/>
      <c r="G52" s="29"/>
      <c r="H52" s="29"/>
      <c r="I52" s="27"/>
      <c r="J52" s="29"/>
      <c r="K52" s="29"/>
      <c r="L52" s="107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33"/>
      <c r="D53" s="33"/>
      <c r="E53" s="41"/>
      <c r="F53" s="29"/>
      <c r="G53" s="29"/>
      <c r="H53" s="29"/>
      <c r="I53" s="27"/>
      <c r="J53" s="29"/>
      <c r="K53" s="29"/>
      <c r="L53" s="107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33"/>
      <c r="D54" s="33"/>
      <c r="E54" s="41"/>
      <c r="F54" s="29"/>
      <c r="G54" s="29"/>
      <c r="H54" s="29"/>
      <c r="I54" s="27"/>
      <c r="J54" s="29"/>
      <c r="K54" s="29"/>
      <c r="L54" s="107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33"/>
      <c r="D55" s="33"/>
      <c r="E55" s="41"/>
      <c r="F55" s="29"/>
      <c r="G55" s="29"/>
      <c r="H55" s="29"/>
      <c r="I55" s="27"/>
      <c r="J55" s="29"/>
      <c r="K55" s="29"/>
      <c r="L55" s="107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33"/>
      <c r="D56" s="33"/>
      <c r="E56" s="41"/>
      <c r="F56" s="29"/>
      <c r="G56" s="29"/>
      <c r="H56" s="29"/>
      <c r="I56" s="27"/>
      <c r="J56" s="29"/>
      <c r="K56" s="29"/>
      <c r="L56" s="107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33"/>
      <c r="D57" s="33"/>
      <c r="E57" s="41"/>
      <c r="F57" s="29"/>
      <c r="G57" s="29"/>
      <c r="H57" s="29"/>
      <c r="I57" s="27"/>
      <c r="J57" s="29"/>
      <c r="K57" s="29"/>
      <c r="L57" s="107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33"/>
      <c r="D58" s="33"/>
      <c r="E58" s="41"/>
      <c r="F58" s="29"/>
      <c r="G58" s="29"/>
      <c r="H58" s="29"/>
      <c r="I58" s="27"/>
      <c r="J58" s="29"/>
      <c r="K58" s="29"/>
      <c r="L58" s="107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33"/>
      <c r="D59" s="33"/>
      <c r="E59" s="41"/>
      <c r="F59" s="29"/>
      <c r="G59" s="29"/>
      <c r="H59" s="29"/>
      <c r="I59" s="27"/>
      <c r="J59" s="29"/>
      <c r="K59" s="29"/>
      <c r="L59" s="107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33"/>
      <c r="D60" s="33"/>
      <c r="E60" s="41"/>
      <c r="F60" s="29"/>
      <c r="G60" s="29"/>
      <c r="H60" s="29"/>
      <c r="I60" s="27"/>
      <c r="J60" s="29"/>
      <c r="K60" s="29"/>
      <c r="L60" s="107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33"/>
      <c r="D61" s="33"/>
      <c r="E61" s="41"/>
      <c r="F61" s="29"/>
      <c r="G61" s="29"/>
      <c r="H61" s="29"/>
      <c r="I61" s="27"/>
      <c r="J61" s="29"/>
      <c r="K61" s="29"/>
      <c r="L61" s="107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33"/>
      <c r="D62" s="33"/>
      <c r="E62" s="41"/>
      <c r="F62" s="29"/>
      <c r="G62" s="29"/>
      <c r="H62" s="29"/>
      <c r="I62" s="27"/>
      <c r="J62" s="29"/>
      <c r="K62" s="29"/>
      <c r="L62" s="107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33"/>
      <c r="D63" s="33"/>
      <c r="E63" s="41"/>
      <c r="F63" s="29"/>
      <c r="G63" s="29"/>
      <c r="H63" s="29"/>
      <c r="I63" s="27"/>
      <c r="J63" s="29"/>
      <c r="K63" s="29"/>
      <c r="L63" s="107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33"/>
      <c r="D64" s="33"/>
      <c r="E64" s="41"/>
      <c r="F64" s="29"/>
      <c r="G64" s="29"/>
      <c r="H64" s="29"/>
      <c r="I64" s="27"/>
      <c r="J64" s="29"/>
      <c r="K64" s="29"/>
      <c r="L64" s="107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33"/>
      <c r="D65" s="33"/>
      <c r="E65" s="41"/>
      <c r="F65" s="29"/>
      <c r="G65" s="29"/>
      <c r="H65" s="29"/>
      <c r="I65" s="27"/>
      <c r="J65" s="29"/>
      <c r="K65" s="29"/>
      <c r="L65" s="107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33"/>
      <c r="D66" s="33"/>
      <c r="E66" s="41"/>
      <c r="F66" s="29"/>
      <c r="G66" s="29"/>
      <c r="H66" s="29"/>
      <c r="I66" s="27"/>
      <c r="J66" s="29"/>
      <c r="K66" s="29"/>
      <c r="L66" s="107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33"/>
      <c r="D67" s="33"/>
      <c r="E67" s="41"/>
      <c r="F67" s="29"/>
      <c r="G67" s="29"/>
      <c r="H67" s="29"/>
      <c r="I67" s="27"/>
      <c r="J67" s="29"/>
      <c r="K67" s="29"/>
      <c r="L67" s="107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33"/>
      <c r="D68" s="33"/>
      <c r="E68" s="41"/>
      <c r="F68" s="29"/>
      <c r="G68" s="29"/>
      <c r="H68" s="29"/>
      <c r="I68" s="27"/>
      <c r="J68" s="29"/>
      <c r="K68" s="29"/>
      <c r="L68" s="107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33"/>
      <c r="D69" s="33"/>
      <c r="E69" s="41"/>
      <c r="F69" s="29"/>
      <c r="G69" s="29"/>
      <c r="H69" s="29"/>
      <c r="I69" s="27"/>
      <c r="J69" s="29"/>
      <c r="K69" s="29"/>
      <c r="L69" s="107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33"/>
      <c r="D70" s="33"/>
      <c r="E70" s="41"/>
      <c r="F70" s="29"/>
      <c r="G70" s="29"/>
      <c r="H70" s="29"/>
      <c r="I70" s="27"/>
      <c r="J70" s="29"/>
      <c r="K70" s="29"/>
      <c r="L70" s="107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33"/>
      <c r="D71" s="33"/>
      <c r="E71" s="41"/>
      <c r="F71" s="29"/>
      <c r="G71" s="29"/>
      <c r="H71" s="29"/>
      <c r="I71" s="27"/>
      <c r="J71" s="29"/>
      <c r="K71" s="29"/>
      <c r="L71" s="107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33"/>
      <c r="D72" s="33"/>
      <c r="E72" s="41"/>
      <c r="F72" s="29"/>
      <c r="G72" s="29"/>
      <c r="H72" s="29"/>
      <c r="I72" s="27"/>
      <c r="J72" s="29"/>
      <c r="K72" s="29"/>
      <c r="L72" s="107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33"/>
      <c r="D73" s="33"/>
      <c r="E73" s="41"/>
      <c r="F73" s="29"/>
      <c r="G73" s="29"/>
      <c r="H73" s="29"/>
      <c r="I73" s="27"/>
      <c r="J73" s="29"/>
      <c r="K73" s="29"/>
      <c r="L73" s="107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33"/>
      <c r="D74" s="33"/>
      <c r="E74" s="41"/>
      <c r="F74" s="29"/>
      <c r="G74" s="29"/>
      <c r="H74" s="29"/>
      <c r="I74" s="27"/>
      <c r="J74" s="29"/>
      <c r="K74" s="29"/>
      <c r="L74" s="107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33"/>
      <c r="D75" s="33"/>
      <c r="E75" s="41"/>
      <c r="F75" s="29"/>
      <c r="G75" s="29"/>
      <c r="H75" s="29"/>
      <c r="I75" s="27"/>
      <c r="J75" s="29"/>
      <c r="K75" s="29"/>
      <c r="L75" s="107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33"/>
      <c r="D76" s="33"/>
      <c r="E76" s="41"/>
      <c r="F76" s="29"/>
      <c r="G76" s="29"/>
      <c r="H76" s="29"/>
      <c r="I76" s="27"/>
      <c r="J76" s="29"/>
      <c r="K76" s="29"/>
      <c r="L76" s="107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33"/>
      <c r="D77" s="33"/>
      <c r="E77" s="41"/>
      <c r="F77" s="29"/>
      <c r="G77" s="29"/>
      <c r="H77" s="29"/>
      <c r="I77" s="27"/>
      <c r="J77" s="29"/>
      <c r="K77" s="29"/>
      <c r="L77" s="107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33"/>
      <c r="D78" s="33"/>
      <c r="E78" s="41"/>
      <c r="F78" s="29"/>
      <c r="G78" s="29"/>
      <c r="H78" s="29"/>
      <c r="I78" s="27"/>
      <c r="J78" s="29"/>
      <c r="K78" s="29"/>
      <c r="L78" s="107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33"/>
      <c r="D79" s="33"/>
      <c r="E79" s="41"/>
      <c r="F79" s="29"/>
      <c r="G79" s="29"/>
      <c r="H79" s="29"/>
      <c r="I79" s="27"/>
      <c r="J79" s="29"/>
      <c r="K79" s="29"/>
      <c r="L79" s="107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33"/>
      <c r="D80" s="33"/>
      <c r="E80" s="41"/>
      <c r="F80" s="29"/>
      <c r="G80" s="29"/>
      <c r="H80" s="29"/>
      <c r="I80" s="27"/>
      <c r="J80" s="29"/>
      <c r="K80" s="29"/>
      <c r="L80" s="107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33"/>
      <c r="D81" s="33"/>
      <c r="E81" s="41"/>
      <c r="F81" s="29"/>
      <c r="G81" s="29"/>
      <c r="H81" s="29"/>
      <c r="I81" s="27"/>
      <c r="J81" s="29"/>
      <c r="K81" s="29"/>
      <c r="L81" s="107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33"/>
      <c r="D82" s="33"/>
      <c r="E82" s="41"/>
      <c r="F82" s="29"/>
      <c r="G82" s="29"/>
      <c r="H82" s="29"/>
      <c r="I82" s="27"/>
      <c r="J82" s="29"/>
      <c r="K82" s="29"/>
      <c r="L82" s="107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33"/>
      <c r="D83" s="33"/>
      <c r="E83" s="41"/>
      <c r="F83" s="29"/>
      <c r="G83" s="29"/>
      <c r="H83" s="29"/>
      <c r="I83" s="27"/>
      <c r="J83" s="29"/>
      <c r="K83" s="29"/>
      <c r="L83" s="107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33"/>
      <c r="D84" s="33"/>
      <c r="E84" s="41"/>
      <c r="F84" s="29"/>
      <c r="G84" s="29"/>
      <c r="H84" s="29"/>
      <c r="I84" s="27"/>
      <c r="J84" s="29"/>
      <c r="K84" s="29"/>
      <c r="L84" s="107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33"/>
      <c r="D85" s="33"/>
      <c r="E85" s="41"/>
      <c r="F85" s="29"/>
      <c r="G85" s="29"/>
      <c r="H85" s="29"/>
      <c r="I85" s="27"/>
      <c r="J85" s="29"/>
      <c r="K85" s="29"/>
      <c r="L85" s="107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33"/>
      <c r="D86" s="33"/>
      <c r="E86" s="41"/>
      <c r="F86" s="29"/>
      <c r="G86" s="29"/>
      <c r="H86" s="29"/>
      <c r="I86" s="27"/>
      <c r="J86" s="29"/>
      <c r="K86" s="29"/>
      <c r="L86" s="107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33"/>
      <c r="D87" s="33"/>
      <c r="E87" s="41"/>
      <c r="F87" s="29"/>
      <c r="G87" s="29"/>
      <c r="H87" s="29"/>
      <c r="I87" s="27"/>
      <c r="J87" s="29"/>
      <c r="K87" s="29"/>
      <c r="L87" s="107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33"/>
      <c r="D88" s="33"/>
      <c r="E88" s="41"/>
      <c r="F88" s="29"/>
      <c r="G88" s="29"/>
      <c r="H88" s="29"/>
      <c r="I88" s="27"/>
      <c r="J88" s="29"/>
      <c r="K88" s="29"/>
      <c r="L88" s="107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33"/>
      <c r="D89" s="33"/>
      <c r="E89" s="41"/>
      <c r="F89" s="29"/>
      <c r="G89" s="29"/>
      <c r="H89" s="29"/>
      <c r="I89" s="27"/>
      <c r="J89" s="29"/>
      <c r="K89" s="29"/>
      <c r="L89" s="107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33"/>
      <c r="D90" s="33"/>
      <c r="E90" s="41"/>
      <c r="F90" s="29"/>
      <c r="G90" s="29"/>
      <c r="H90" s="29"/>
      <c r="I90" s="27"/>
      <c r="J90" s="29"/>
      <c r="K90" s="29"/>
      <c r="L90" s="107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33"/>
      <c r="D91" s="33"/>
      <c r="E91" s="41"/>
      <c r="F91" s="29"/>
      <c r="G91" s="29"/>
      <c r="H91" s="29"/>
      <c r="I91" s="27"/>
      <c r="J91" s="29"/>
      <c r="K91" s="29"/>
      <c r="L91" s="107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33"/>
      <c r="D92" s="33"/>
      <c r="E92" s="41"/>
      <c r="F92" s="29"/>
      <c r="G92" s="29"/>
      <c r="H92" s="29"/>
      <c r="I92" s="27"/>
      <c r="J92" s="29"/>
      <c r="K92" s="29"/>
      <c r="L92" s="107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33"/>
      <c r="D93" s="33"/>
      <c r="E93" s="41"/>
      <c r="F93" s="29"/>
      <c r="G93" s="29"/>
      <c r="H93" s="29"/>
      <c r="I93" s="27"/>
      <c r="J93" s="29"/>
      <c r="K93" s="29"/>
      <c r="L93" s="107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33"/>
      <c r="D94" s="33"/>
      <c r="E94" s="41"/>
      <c r="F94" s="29"/>
      <c r="G94" s="29"/>
      <c r="H94" s="29"/>
      <c r="I94" s="27"/>
      <c r="J94" s="29"/>
      <c r="K94" s="29"/>
      <c r="L94" s="107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33"/>
      <c r="D95" s="33"/>
      <c r="E95" s="41"/>
      <c r="F95" s="29"/>
      <c r="G95" s="29"/>
      <c r="H95" s="29"/>
      <c r="I95" s="27"/>
      <c r="J95" s="29"/>
      <c r="K95" s="29"/>
      <c r="L95" s="107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33"/>
      <c r="D96" s="33"/>
      <c r="E96" s="41"/>
      <c r="F96" s="29"/>
      <c r="G96" s="29"/>
      <c r="H96" s="29"/>
      <c r="I96" s="27"/>
      <c r="J96" s="29"/>
      <c r="K96" s="29"/>
      <c r="L96" s="107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33"/>
      <c r="D97" s="33"/>
      <c r="E97" s="41"/>
      <c r="F97" s="29"/>
      <c r="G97" s="29"/>
      <c r="H97" s="29"/>
      <c r="I97" s="27"/>
      <c r="J97" s="29"/>
      <c r="K97" s="29"/>
      <c r="L97" s="107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33"/>
      <c r="D98" s="33"/>
      <c r="E98" s="41"/>
      <c r="F98" s="29"/>
      <c r="G98" s="29"/>
      <c r="H98" s="29"/>
      <c r="I98" s="27"/>
      <c r="J98" s="29"/>
      <c r="K98" s="29"/>
      <c r="L98" s="107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33"/>
      <c r="D99" s="33"/>
      <c r="E99" s="41"/>
      <c r="F99" s="29"/>
      <c r="G99" s="29"/>
      <c r="H99" s="29"/>
      <c r="I99" s="27"/>
      <c r="J99" s="29"/>
      <c r="K99" s="29"/>
      <c r="L99" s="107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33"/>
      <c r="D100" s="33"/>
      <c r="E100" s="41"/>
      <c r="F100" s="29"/>
      <c r="G100" s="29"/>
      <c r="H100" s="29"/>
      <c r="I100" s="27"/>
      <c r="J100" s="29"/>
      <c r="K100" s="29"/>
      <c r="L100" s="107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33"/>
      <c r="D101" s="33"/>
      <c r="E101" s="41"/>
      <c r="F101" s="29"/>
      <c r="G101" s="29"/>
      <c r="H101" s="29"/>
      <c r="I101" s="27"/>
      <c r="J101" s="29"/>
      <c r="K101" s="29"/>
      <c r="L101" s="107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33"/>
      <c r="D102" s="33"/>
      <c r="E102" s="41"/>
      <c r="F102" s="29"/>
      <c r="G102" s="29"/>
      <c r="H102" s="29"/>
      <c r="I102" s="27"/>
      <c r="J102" s="29"/>
      <c r="K102" s="29"/>
      <c r="L102" s="107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33"/>
      <c r="D103" s="33"/>
      <c r="E103" s="41"/>
      <c r="F103" s="29"/>
      <c r="G103" s="29"/>
      <c r="H103" s="29"/>
      <c r="I103" s="27"/>
      <c r="J103" s="29"/>
      <c r="K103" s="29"/>
      <c r="L103" s="107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33"/>
      <c r="D104" s="33"/>
      <c r="E104" s="41"/>
      <c r="F104" s="29"/>
      <c r="G104" s="29"/>
      <c r="H104" s="29"/>
      <c r="I104" s="27"/>
      <c r="J104" s="29"/>
      <c r="K104" s="29"/>
      <c r="L104" s="107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33"/>
      <c r="D105" s="33"/>
      <c r="E105" s="41"/>
      <c r="F105" s="29"/>
      <c r="G105" s="29"/>
      <c r="H105" s="29"/>
      <c r="I105" s="27"/>
      <c r="J105" s="29"/>
      <c r="K105" s="29"/>
      <c r="L105" s="107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33"/>
      <c r="D106" s="33"/>
      <c r="E106" s="41"/>
      <c r="F106" s="29"/>
      <c r="G106" s="29"/>
      <c r="H106" s="29"/>
      <c r="I106" s="27"/>
      <c r="J106" s="29"/>
      <c r="K106" s="29"/>
      <c r="L106" s="107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33"/>
      <c r="D107" s="33"/>
      <c r="E107" s="41"/>
      <c r="F107" s="29"/>
      <c r="G107" s="29"/>
      <c r="H107" s="29"/>
      <c r="I107" s="27"/>
      <c r="J107" s="29"/>
      <c r="K107" s="29"/>
      <c r="L107" s="107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33"/>
      <c r="D108" s="33"/>
      <c r="E108" s="41"/>
      <c r="F108" s="29"/>
      <c r="G108" s="29"/>
      <c r="H108" s="29"/>
      <c r="I108" s="27"/>
      <c r="J108" s="29"/>
      <c r="K108" s="29"/>
      <c r="L108" s="107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33"/>
      <c r="D109" s="33"/>
      <c r="E109" s="41"/>
      <c r="F109" s="29"/>
      <c r="G109" s="29"/>
      <c r="H109" s="29"/>
      <c r="I109" s="27"/>
      <c r="J109" s="29"/>
      <c r="K109" s="29"/>
      <c r="L109" s="107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33"/>
      <c r="D110" s="33"/>
      <c r="E110" s="41"/>
      <c r="F110" s="29"/>
      <c r="G110" s="29"/>
      <c r="H110" s="29"/>
      <c r="I110" s="27"/>
      <c r="J110" s="29"/>
      <c r="K110" s="29"/>
      <c r="L110" s="107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33"/>
      <c r="D111" s="33"/>
      <c r="E111" s="41"/>
      <c r="F111" s="29"/>
      <c r="G111" s="29"/>
      <c r="H111" s="29"/>
      <c r="I111" s="27"/>
      <c r="J111" s="29"/>
      <c r="K111" s="29"/>
      <c r="L111" s="107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33"/>
      <c r="D112" s="33"/>
      <c r="E112" s="41"/>
      <c r="F112" s="29"/>
      <c r="G112" s="29"/>
      <c r="H112" s="29"/>
      <c r="I112" s="27"/>
      <c r="J112" s="29"/>
      <c r="K112" s="29"/>
      <c r="L112" s="107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33"/>
      <c r="D113" s="33"/>
      <c r="E113" s="41"/>
      <c r="F113" s="29"/>
      <c r="G113" s="29"/>
      <c r="H113" s="29"/>
      <c r="I113" s="27"/>
      <c r="J113" s="29"/>
      <c r="K113" s="29"/>
      <c r="L113" s="107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33"/>
      <c r="D114" s="33"/>
      <c r="E114" s="41"/>
      <c r="F114" s="29"/>
      <c r="G114" s="29"/>
      <c r="H114" s="29"/>
      <c r="I114" s="27"/>
      <c r="J114" s="29"/>
      <c r="K114" s="29"/>
      <c r="L114" s="107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33"/>
      <c r="D115" s="33"/>
      <c r="E115" s="41"/>
      <c r="F115" s="29"/>
      <c r="G115" s="29"/>
      <c r="H115" s="29"/>
      <c r="I115" s="27"/>
      <c r="J115" s="29"/>
      <c r="K115" s="29"/>
      <c r="L115" s="107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33"/>
      <c r="D116" s="33"/>
      <c r="E116" s="41"/>
      <c r="F116" s="29"/>
      <c r="G116" s="29"/>
      <c r="H116" s="29"/>
      <c r="I116" s="27"/>
      <c r="J116" s="29"/>
      <c r="K116" s="29"/>
      <c r="L116" s="107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33"/>
      <c r="D117" s="33"/>
      <c r="E117" s="41"/>
      <c r="F117" s="29"/>
      <c r="G117" s="29"/>
      <c r="H117" s="29"/>
      <c r="I117" s="27"/>
      <c r="J117" s="29"/>
      <c r="K117" s="29"/>
      <c r="L117" s="107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33"/>
      <c r="D118" s="33"/>
      <c r="E118" s="41"/>
      <c r="F118" s="29"/>
      <c r="G118" s="29"/>
      <c r="H118" s="29"/>
      <c r="I118" s="27"/>
      <c r="J118" s="29"/>
      <c r="K118" s="29"/>
      <c r="L118" s="107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33"/>
      <c r="D119" s="33"/>
      <c r="E119" s="41"/>
      <c r="F119" s="29"/>
      <c r="G119" s="29"/>
      <c r="H119" s="29"/>
      <c r="I119" s="27"/>
      <c r="J119" s="29"/>
      <c r="K119" s="29"/>
      <c r="L119" s="107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33"/>
      <c r="D120" s="33"/>
      <c r="E120" s="41"/>
      <c r="F120" s="29"/>
      <c r="G120" s="29"/>
      <c r="H120" s="29"/>
      <c r="I120" s="27"/>
      <c r="J120" s="29"/>
      <c r="K120" s="29"/>
      <c r="L120" s="107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33"/>
      <c r="D121" s="33"/>
      <c r="E121" s="41"/>
      <c r="F121" s="29"/>
      <c r="G121" s="29"/>
      <c r="H121" s="29"/>
      <c r="I121" s="27"/>
      <c r="J121" s="29"/>
      <c r="K121" s="29"/>
      <c r="L121" s="107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33"/>
      <c r="D122" s="33"/>
      <c r="E122" s="41"/>
      <c r="F122" s="29"/>
      <c r="G122" s="29"/>
      <c r="H122" s="29"/>
      <c r="I122" s="27"/>
      <c r="J122" s="29"/>
      <c r="K122" s="29"/>
      <c r="L122" s="107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33"/>
      <c r="D123" s="33"/>
      <c r="E123" s="41"/>
      <c r="F123" s="29"/>
      <c r="G123" s="29"/>
      <c r="H123" s="29"/>
      <c r="I123" s="27"/>
      <c r="J123" s="29"/>
      <c r="K123" s="29"/>
      <c r="L123" s="107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33"/>
      <c r="D124" s="33"/>
      <c r="E124" s="41"/>
      <c r="F124" s="29"/>
      <c r="G124" s="29"/>
      <c r="H124" s="29"/>
      <c r="I124" s="27"/>
      <c r="J124" s="29"/>
      <c r="K124" s="29"/>
      <c r="L124" s="107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33"/>
      <c r="D125" s="33"/>
      <c r="E125" s="41"/>
      <c r="F125" s="29"/>
      <c r="G125" s="29"/>
      <c r="H125" s="29"/>
      <c r="I125" s="27"/>
      <c r="J125" s="29"/>
      <c r="K125" s="29"/>
      <c r="L125" s="107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33"/>
      <c r="D126" s="33"/>
      <c r="E126" s="41"/>
      <c r="F126" s="29"/>
      <c r="G126" s="29"/>
      <c r="H126" s="29"/>
      <c r="I126" s="27"/>
      <c r="J126" s="29"/>
      <c r="K126" s="29"/>
      <c r="L126" s="107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33"/>
      <c r="D127" s="33"/>
      <c r="E127" s="41"/>
      <c r="F127" s="29"/>
      <c r="G127" s="29"/>
      <c r="H127" s="29"/>
      <c r="I127" s="27"/>
      <c r="J127" s="29"/>
      <c r="K127" s="29"/>
      <c r="L127" s="107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33"/>
      <c r="D128" s="33"/>
      <c r="E128" s="41"/>
      <c r="F128" s="29"/>
      <c r="G128" s="29"/>
      <c r="H128" s="29"/>
      <c r="I128" s="27"/>
      <c r="J128" s="29"/>
      <c r="K128" s="29"/>
      <c r="L128" s="107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33"/>
      <c r="D129" s="33"/>
      <c r="E129" s="41"/>
      <c r="F129" s="29"/>
      <c r="G129" s="29"/>
      <c r="H129" s="29"/>
      <c r="I129" s="27"/>
      <c r="J129" s="29"/>
      <c r="K129" s="29"/>
      <c r="L129" s="107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33"/>
      <c r="D130" s="33"/>
      <c r="E130" s="41"/>
      <c r="F130" s="29"/>
      <c r="G130" s="29"/>
      <c r="H130" s="29"/>
      <c r="I130" s="27"/>
      <c r="J130" s="29"/>
      <c r="K130" s="29"/>
      <c r="L130" s="107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33"/>
      <c r="D131" s="33"/>
      <c r="E131" s="41"/>
      <c r="F131" s="29"/>
      <c r="G131" s="29"/>
      <c r="H131" s="29"/>
      <c r="I131" s="27"/>
      <c r="J131" s="29"/>
      <c r="K131" s="29"/>
      <c r="L131" s="107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33"/>
      <c r="D132" s="33"/>
      <c r="E132" s="41"/>
      <c r="F132" s="29"/>
      <c r="G132" s="29"/>
      <c r="H132" s="29"/>
      <c r="I132" s="27"/>
      <c r="J132" s="29"/>
      <c r="K132" s="29"/>
      <c r="L132" s="107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33"/>
      <c r="D133" s="33"/>
      <c r="E133" s="41"/>
      <c r="F133" s="29"/>
      <c r="G133" s="29"/>
      <c r="H133" s="29"/>
      <c r="I133" s="27"/>
      <c r="J133" s="29"/>
      <c r="K133" s="29"/>
      <c r="L133" s="107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33"/>
      <c r="D134" s="33"/>
      <c r="E134" s="41"/>
      <c r="F134" s="29"/>
      <c r="G134" s="29"/>
      <c r="H134" s="29"/>
      <c r="I134" s="27"/>
      <c r="J134" s="29"/>
      <c r="K134" s="29"/>
      <c r="L134" s="107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33"/>
      <c r="D135" s="33"/>
      <c r="E135" s="41"/>
      <c r="F135" s="29"/>
      <c r="G135" s="29"/>
      <c r="H135" s="29"/>
      <c r="I135" s="27"/>
      <c r="J135" s="29"/>
      <c r="K135" s="29"/>
      <c r="L135" s="107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33"/>
      <c r="D136" s="33"/>
      <c r="E136" s="41"/>
      <c r="F136" s="29"/>
      <c r="G136" s="29"/>
      <c r="H136" s="29"/>
      <c r="I136" s="27"/>
      <c r="J136" s="29"/>
      <c r="K136" s="29"/>
      <c r="L136" s="107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33"/>
      <c r="D137" s="33"/>
      <c r="E137" s="41"/>
      <c r="F137" s="29"/>
      <c r="G137" s="29"/>
      <c r="H137" s="29"/>
      <c r="I137" s="27"/>
      <c r="J137" s="29"/>
      <c r="K137" s="29"/>
      <c r="L137" s="107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33"/>
      <c r="D138" s="33"/>
      <c r="E138" s="41"/>
      <c r="F138" s="29"/>
      <c r="G138" s="29"/>
      <c r="H138" s="29"/>
      <c r="I138" s="27"/>
      <c r="J138" s="29"/>
      <c r="K138" s="29"/>
      <c r="L138" s="107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33"/>
      <c r="D139" s="33"/>
      <c r="E139" s="41"/>
      <c r="F139" s="29"/>
      <c r="G139" s="29"/>
      <c r="H139" s="29"/>
      <c r="I139" s="27"/>
      <c r="J139" s="29"/>
      <c r="K139" s="29"/>
      <c r="L139" s="107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33"/>
      <c r="D140" s="33"/>
      <c r="E140" s="41"/>
      <c r="F140" s="29"/>
      <c r="G140" s="29"/>
      <c r="H140" s="29"/>
      <c r="I140" s="27"/>
      <c r="J140" s="29"/>
      <c r="K140" s="29"/>
      <c r="L140" s="107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33"/>
      <c r="D141" s="33"/>
      <c r="E141" s="41"/>
      <c r="F141" s="29"/>
      <c r="G141" s="29"/>
      <c r="H141" s="29"/>
      <c r="I141" s="27"/>
      <c r="J141" s="29"/>
      <c r="K141" s="29"/>
      <c r="L141" s="107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33"/>
      <c r="D142" s="33"/>
      <c r="E142" s="41"/>
      <c r="F142" s="29"/>
      <c r="G142" s="29"/>
      <c r="H142" s="29"/>
      <c r="I142" s="27"/>
      <c r="J142" s="29"/>
      <c r="K142" s="29"/>
      <c r="L142" s="107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33"/>
      <c r="D143" s="33"/>
      <c r="E143" s="41"/>
      <c r="F143" s="29"/>
      <c r="G143" s="29"/>
      <c r="H143" s="29"/>
      <c r="I143" s="27"/>
      <c r="J143" s="29"/>
      <c r="K143" s="29"/>
      <c r="L143" s="107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33"/>
      <c r="D144" s="33"/>
      <c r="E144" s="41"/>
      <c r="F144" s="29"/>
      <c r="G144" s="29"/>
      <c r="H144" s="29"/>
      <c r="I144" s="27"/>
      <c r="J144" s="29"/>
      <c r="K144" s="29"/>
      <c r="L144" s="107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33"/>
      <c r="D145" s="33"/>
      <c r="E145" s="41"/>
      <c r="F145" s="29"/>
      <c r="G145" s="29"/>
      <c r="H145" s="29"/>
      <c r="I145" s="27"/>
      <c r="J145" s="29"/>
      <c r="K145" s="29"/>
      <c r="L145" s="107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33"/>
      <c r="D146" s="33"/>
      <c r="E146" s="41"/>
      <c r="F146" s="29"/>
      <c r="G146" s="29"/>
      <c r="H146" s="29"/>
      <c r="I146" s="27"/>
      <c r="J146" s="29"/>
      <c r="K146" s="29"/>
      <c r="L146" s="107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33"/>
      <c r="D147" s="33"/>
      <c r="E147" s="41"/>
      <c r="F147" s="29"/>
      <c r="G147" s="29"/>
      <c r="H147" s="29"/>
      <c r="I147" s="27"/>
      <c r="J147" s="29"/>
      <c r="K147" s="29"/>
      <c r="L147" s="107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33"/>
      <c r="D148" s="33"/>
      <c r="E148" s="41"/>
      <c r="F148" s="29"/>
      <c r="G148" s="29"/>
      <c r="H148" s="29"/>
      <c r="I148" s="27"/>
      <c r="J148" s="29"/>
      <c r="K148" s="29"/>
      <c r="L148" s="107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33"/>
      <c r="D149" s="33"/>
      <c r="E149" s="41"/>
      <c r="F149" s="29"/>
      <c r="G149" s="29"/>
      <c r="H149" s="29"/>
      <c r="I149" s="27"/>
      <c r="J149" s="29"/>
      <c r="K149" s="29"/>
      <c r="L149" s="107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33"/>
      <c r="D150" s="33"/>
      <c r="E150" s="41"/>
      <c r="F150" s="29"/>
      <c r="G150" s="29"/>
      <c r="H150" s="29"/>
      <c r="I150" s="27"/>
      <c r="J150" s="29"/>
      <c r="K150" s="29"/>
      <c r="L150" s="107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33"/>
      <c r="D151" s="33"/>
      <c r="E151" s="41"/>
      <c r="F151" s="29"/>
      <c r="G151" s="29"/>
      <c r="H151" s="29"/>
      <c r="I151" s="27"/>
      <c r="J151" s="29"/>
      <c r="K151" s="29"/>
      <c r="L151" s="107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33"/>
      <c r="D152" s="33"/>
      <c r="E152" s="41"/>
      <c r="F152" s="29"/>
      <c r="G152" s="29"/>
      <c r="H152" s="29"/>
      <c r="I152" s="27"/>
      <c r="J152" s="29"/>
      <c r="K152" s="29"/>
      <c r="L152" s="107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33"/>
      <c r="D153" s="33"/>
      <c r="E153" s="41"/>
      <c r="F153" s="29"/>
      <c r="G153" s="29"/>
      <c r="H153" s="29"/>
      <c r="I153" s="27"/>
      <c r="J153" s="29"/>
      <c r="K153" s="29"/>
      <c r="L153" s="107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33"/>
      <c r="D154" s="33"/>
      <c r="E154" s="41"/>
      <c r="F154" s="29"/>
      <c r="G154" s="29"/>
      <c r="H154" s="29"/>
      <c r="I154" s="27"/>
      <c r="J154" s="29"/>
      <c r="K154" s="29"/>
      <c r="L154" s="107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33"/>
      <c r="D155" s="33"/>
      <c r="E155" s="41"/>
      <c r="F155" s="29"/>
      <c r="G155" s="29"/>
      <c r="H155" s="29"/>
      <c r="I155" s="27"/>
      <c r="J155" s="29"/>
      <c r="K155" s="29"/>
      <c r="L155" s="107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33"/>
      <c r="D156" s="33"/>
      <c r="E156" s="41"/>
      <c r="F156" s="29"/>
      <c r="G156" s="29"/>
      <c r="H156" s="29"/>
      <c r="I156" s="27"/>
      <c r="J156" s="29"/>
      <c r="K156" s="29"/>
      <c r="L156" s="107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33"/>
      <c r="D157" s="33"/>
      <c r="E157" s="41"/>
      <c r="F157" s="29"/>
      <c r="G157" s="29"/>
      <c r="H157" s="29"/>
      <c r="I157" s="27"/>
      <c r="J157" s="29"/>
      <c r="K157" s="29"/>
      <c r="L157" s="107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33"/>
      <c r="D158" s="33"/>
      <c r="E158" s="41"/>
      <c r="F158" s="29"/>
      <c r="G158" s="29"/>
      <c r="H158" s="29"/>
      <c r="I158" s="27"/>
      <c r="J158" s="29"/>
      <c r="K158" s="29"/>
      <c r="L158" s="107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33"/>
      <c r="D159" s="33"/>
      <c r="E159" s="41"/>
      <c r="F159" s="29"/>
      <c r="G159" s="29"/>
      <c r="H159" s="29"/>
      <c r="I159" s="27"/>
      <c r="J159" s="29"/>
      <c r="K159" s="29"/>
      <c r="L159" s="107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33"/>
      <c r="D160" s="33"/>
      <c r="E160" s="41"/>
      <c r="F160" s="29"/>
      <c r="G160" s="29"/>
      <c r="H160" s="29"/>
      <c r="I160" s="27"/>
      <c r="J160" s="29"/>
      <c r="K160" s="29"/>
      <c r="L160" s="107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33"/>
      <c r="D161" s="33"/>
      <c r="E161" s="41"/>
      <c r="F161" s="29"/>
      <c r="G161" s="29"/>
      <c r="H161" s="29"/>
      <c r="I161" s="27"/>
      <c r="J161" s="29"/>
      <c r="K161" s="29"/>
      <c r="L161" s="107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33"/>
      <c r="D162" s="33"/>
      <c r="E162" s="41"/>
      <c r="F162" s="29"/>
      <c r="G162" s="29"/>
      <c r="H162" s="29"/>
      <c r="I162" s="27"/>
      <c r="J162" s="29"/>
      <c r="K162" s="29"/>
      <c r="L162" s="107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33"/>
      <c r="D163" s="33"/>
      <c r="E163" s="41"/>
      <c r="F163" s="29"/>
      <c r="G163" s="29"/>
      <c r="H163" s="29"/>
      <c r="I163" s="27"/>
      <c r="J163" s="29"/>
      <c r="K163" s="29"/>
      <c r="L163" s="107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33"/>
      <c r="D164" s="33"/>
      <c r="E164" s="41"/>
      <c r="F164" s="29"/>
      <c r="G164" s="29"/>
      <c r="H164" s="29"/>
      <c r="I164" s="27"/>
      <c r="J164" s="29"/>
      <c r="K164" s="29"/>
      <c r="L164" s="107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33"/>
      <c r="D165" s="33"/>
      <c r="E165" s="41"/>
      <c r="F165" s="29"/>
      <c r="G165" s="29"/>
      <c r="H165" s="29"/>
      <c r="I165" s="27"/>
      <c r="J165" s="29"/>
      <c r="K165" s="29"/>
      <c r="L165" s="107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33"/>
      <c r="D166" s="33"/>
      <c r="E166" s="41"/>
      <c r="F166" s="29"/>
      <c r="G166" s="29"/>
      <c r="H166" s="29"/>
      <c r="I166" s="27"/>
      <c r="J166" s="29"/>
      <c r="K166" s="29"/>
      <c r="L166" s="107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33"/>
      <c r="D167" s="33"/>
      <c r="E167" s="41"/>
      <c r="F167" s="29"/>
      <c r="G167" s="29"/>
      <c r="H167" s="29"/>
      <c r="I167" s="27"/>
      <c r="J167" s="29"/>
      <c r="K167" s="29"/>
      <c r="L167" s="107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33"/>
      <c r="D168" s="33"/>
      <c r="E168" s="41"/>
      <c r="F168" s="29"/>
      <c r="G168" s="29"/>
      <c r="H168" s="29"/>
      <c r="I168" s="27"/>
      <c r="J168" s="29"/>
      <c r="K168" s="29"/>
      <c r="L168" s="107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33"/>
      <c r="D169" s="33"/>
      <c r="E169" s="41"/>
      <c r="F169" s="29"/>
      <c r="G169" s="29"/>
      <c r="H169" s="29"/>
      <c r="I169" s="27"/>
      <c r="J169" s="29"/>
      <c r="K169" s="29"/>
      <c r="L169" s="107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33"/>
      <c r="D170" s="33"/>
      <c r="E170" s="41"/>
      <c r="F170" s="29"/>
      <c r="G170" s="29"/>
      <c r="H170" s="29"/>
      <c r="I170" s="27"/>
      <c r="J170" s="29"/>
      <c r="K170" s="29"/>
      <c r="L170" s="107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33"/>
      <c r="D171" s="33"/>
      <c r="E171" s="41"/>
      <c r="F171" s="29"/>
      <c r="G171" s="29"/>
      <c r="H171" s="29"/>
      <c r="I171" s="27"/>
      <c r="J171" s="29"/>
      <c r="K171" s="29"/>
      <c r="L171" s="107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33"/>
      <c r="D172" s="33"/>
      <c r="E172" s="41"/>
      <c r="F172" s="29"/>
      <c r="G172" s="29"/>
      <c r="H172" s="29"/>
      <c r="I172" s="27"/>
      <c r="J172" s="29"/>
      <c r="K172" s="29"/>
      <c r="L172" s="107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33"/>
      <c r="D173" s="33"/>
      <c r="E173" s="41"/>
      <c r="F173" s="29"/>
      <c r="G173" s="29"/>
      <c r="H173" s="29"/>
      <c r="I173" s="27"/>
      <c r="J173" s="29"/>
      <c r="K173" s="29"/>
      <c r="L173" s="107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33"/>
      <c r="D174" s="33"/>
      <c r="E174" s="41"/>
      <c r="F174" s="29"/>
      <c r="G174" s="29"/>
      <c r="H174" s="29"/>
      <c r="I174" s="27"/>
      <c r="J174" s="29"/>
      <c r="K174" s="29"/>
      <c r="L174" s="107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33"/>
      <c r="D175" s="33"/>
      <c r="E175" s="41"/>
      <c r="F175" s="29"/>
      <c r="G175" s="29"/>
      <c r="H175" s="29"/>
      <c r="I175" s="27"/>
      <c r="J175" s="29"/>
      <c r="K175" s="29"/>
      <c r="L175" s="107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33"/>
      <c r="D176" s="33"/>
      <c r="E176" s="41"/>
      <c r="F176" s="29"/>
      <c r="G176" s="29"/>
      <c r="H176" s="29"/>
      <c r="I176" s="27"/>
      <c r="J176" s="29"/>
      <c r="K176" s="29"/>
      <c r="L176" s="107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33"/>
      <c r="D177" s="33"/>
      <c r="E177" s="41"/>
      <c r="F177" s="29"/>
      <c r="G177" s="29"/>
      <c r="H177" s="29"/>
      <c r="I177" s="27"/>
      <c r="J177" s="29"/>
      <c r="K177" s="29"/>
      <c r="L177" s="107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33"/>
      <c r="D178" s="33"/>
      <c r="E178" s="41"/>
      <c r="F178" s="29"/>
      <c r="G178" s="29"/>
      <c r="H178" s="29"/>
      <c r="I178" s="27"/>
      <c r="J178" s="29"/>
      <c r="K178" s="29"/>
      <c r="L178" s="107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33"/>
      <c r="D179" s="33"/>
      <c r="E179" s="41"/>
      <c r="F179" s="29"/>
      <c r="G179" s="29"/>
      <c r="H179" s="29"/>
      <c r="I179" s="27"/>
      <c r="J179" s="29"/>
      <c r="K179" s="29"/>
      <c r="L179" s="107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33"/>
      <c r="D180" s="33"/>
      <c r="E180" s="41"/>
      <c r="F180" s="29"/>
      <c r="G180" s="29"/>
      <c r="H180" s="29"/>
      <c r="I180" s="27"/>
      <c r="J180" s="29"/>
      <c r="K180" s="29"/>
      <c r="L180" s="107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33"/>
      <c r="D181" s="33"/>
      <c r="E181" s="41"/>
      <c r="F181" s="29"/>
      <c r="G181" s="29"/>
      <c r="H181" s="29"/>
      <c r="I181" s="27"/>
      <c r="J181" s="29"/>
      <c r="K181" s="29"/>
      <c r="L181" s="107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33"/>
      <c r="D182" s="33"/>
      <c r="E182" s="41"/>
      <c r="F182" s="29"/>
      <c r="G182" s="29"/>
      <c r="H182" s="29"/>
      <c r="I182" s="27"/>
      <c r="J182" s="29"/>
      <c r="K182" s="29"/>
      <c r="L182" s="107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33"/>
      <c r="D183" s="33"/>
      <c r="E183" s="41"/>
      <c r="F183" s="29"/>
      <c r="G183" s="29"/>
      <c r="H183" s="29"/>
      <c r="I183" s="27"/>
      <c r="J183" s="29"/>
      <c r="K183" s="29"/>
      <c r="L183" s="107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33"/>
      <c r="D184" s="33"/>
      <c r="E184" s="41"/>
      <c r="F184" s="29"/>
      <c r="G184" s="29"/>
      <c r="H184" s="29"/>
      <c r="I184" s="27"/>
      <c r="J184" s="29"/>
      <c r="K184" s="29"/>
      <c r="L184" s="107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33"/>
      <c r="D185" s="33"/>
      <c r="E185" s="41"/>
      <c r="F185" s="29"/>
      <c r="G185" s="29"/>
      <c r="H185" s="29"/>
      <c r="I185" s="27"/>
      <c r="J185" s="29"/>
      <c r="K185" s="29"/>
      <c r="L185" s="107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33"/>
      <c r="D186" s="33"/>
      <c r="E186" s="41"/>
      <c r="F186" s="29"/>
      <c r="G186" s="29"/>
      <c r="H186" s="29"/>
      <c r="I186" s="27"/>
      <c r="J186" s="29"/>
      <c r="K186" s="29"/>
      <c r="L186" s="107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33"/>
      <c r="D187" s="33"/>
      <c r="E187" s="41"/>
      <c r="F187" s="29"/>
      <c r="G187" s="29"/>
      <c r="H187" s="29"/>
      <c r="I187" s="27"/>
      <c r="J187" s="29"/>
      <c r="K187" s="29"/>
      <c r="L187" s="107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33"/>
      <c r="D188" s="33"/>
      <c r="E188" s="41"/>
      <c r="F188" s="29"/>
      <c r="G188" s="29"/>
      <c r="H188" s="29"/>
      <c r="I188" s="27"/>
      <c r="J188" s="29"/>
      <c r="K188" s="29"/>
      <c r="L188" s="107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33"/>
      <c r="D189" s="33"/>
      <c r="E189" s="41"/>
      <c r="F189" s="29"/>
      <c r="G189" s="29"/>
      <c r="H189" s="29"/>
      <c r="I189" s="27"/>
      <c r="J189" s="29"/>
      <c r="K189" s="29"/>
      <c r="L189" s="107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33"/>
      <c r="D190" s="33"/>
      <c r="E190" s="41"/>
      <c r="F190" s="29"/>
      <c r="G190" s="29"/>
      <c r="H190" s="29"/>
      <c r="I190" s="27"/>
      <c r="J190" s="29"/>
      <c r="K190" s="29"/>
      <c r="L190" s="107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33"/>
      <c r="D191" s="33"/>
      <c r="E191" s="41"/>
      <c r="F191" s="29"/>
      <c r="G191" s="29"/>
      <c r="H191" s="29"/>
      <c r="I191" s="27"/>
      <c r="J191" s="29"/>
      <c r="K191" s="29"/>
      <c r="L191" s="107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33"/>
      <c r="D192" s="33"/>
      <c r="E192" s="41"/>
      <c r="F192" s="29"/>
      <c r="G192" s="29"/>
      <c r="H192" s="29"/>
      <c r="I192" s="27"/>
      <c r="J192" s="29"/>
      <c r="K192" s="29"/>
      <c r="L192" s="107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33"/>
      <c r="D193" s="33"/>
      <c r="E193" s="41"/>
      <c r="F193" s="29"/>
      <c r="G193" s="29"/>
      <c r="H193" s="29"/>
      <c r="I193" s="27"/>
      <c r="J193" s="29"/>
      <c r="K193" s="29"/>
      <c r="L193" s="107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33"/>
      <c r="D194" s="33"/>
      <c r="E194" s="41"/>
      <c r="F194" s="29"/>
      <c r="G194" s="29"/>
      <c r="H194" s="29"/>
      <c r="I194" s="27"/>
      <c r="J194" s="29"/>
      <c r="K194" s="29"/>
      <c r="L194" s="107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33"/>
      <c r="D195" s="33"/>
      <c r="E195" s="41"/>
      <c r="F195" s="29"/>
      <c r="G195" s="29"/>
      <c r="H195" s="29"/>
      <c r="I195" s="27"/>
      <c r="J195" s="29"/>
      <c r="K195" s="29"/>
      <c r="L195" s="107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33"/>
      <c r="D196" s="33"/>
      <c r="E196" s="41"/>
      <c r="F196" s="29"/>
      <c r="G196" s="29"/>
      <c r="H196" s="29"/>
      <c r="I196" s="27"/>
      <c r="J196" s="29"/>
      <c r="K196" s="29"/>
      <c r="L196" s="107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33"/>
      <c r="D197" s="33"/>
      <c r="E197" s="41"/>
      <c r="F197" s="29"/>
      <c r="G197" s="29"/>
      <c r="H197" s="29"/>
      <c r="I197" s="27"/>
      <c r="J197" s="29"/>
      <c r="K197" s="29"/>
      <c r="L197" s="107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33"/>
      <c r="D198" s="33"/>
      <c r="E198" s="41"/>
      <c r="F198" s="29"/>
      <c r="G198" s="29"/>
      <c r="H198" s="29"/>
      <c r="I198" s="27"/>
      <c r="J198" s="29"/>
      <c r="K198" s="29"/>
      <c r="L198" s="107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33"/>
      <c r="D199" s="33"/>
      <c r="E199" s="41"/>
      <c r="F199" s="29"/>
      <c r="G199" s="29"/>
      <c r="H199" s="29"/>
      <c r="I199" s="27"/>
      <c r="J199" s="29"/>
      <c r="K199" s="29"/>
      <c r="L199" s="107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33"/>
      <c r="D200" s="33"/>
      <c r="E200" s="41"/>
      <c r="F200" s="29"/>
      <c r="G200" s="29"/>
      <c r="H200" s="29"/>
      <c r="I200" s="27"/>
      <c r="J200" s="29"/>
      <c r="K200" s="29"/>
      <c r="L200" s="107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33"/>
      <c r="D201" s="33"/>
      <c r="E201" s="41"/>
      <c r="F201" s="29"/>
      <c r="G201" s="29"/>
      <c r="H201" s="29"/>
      <c r="I201" s="27"/>
      <c r="J201" s="29"/>
      <c r="K201" s="29"/>
      <c r="L201" s="107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33"/>
      <c r="D202" s="33"/>
      <c r="E202" s="41"/>
      <c r="F202" s="29"/>
      <c r="G202" s="29"/>
      <c r="H202" s="29"/>
      <c r="I202" s="27"/>
      <c r="J202" s="29"/>
      <c r="K202" s="29"/>
      <c r="L202" s="107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33"/>
      <c r="D203" s="33"/>
      <c r="E203" s="41"/>
      <c r="F203" s="29"/>
      <c r="G203" s="29"/>
      <c r="H203" s="29"/>
      <c r="I203" s="27"/>
      <c r="J203" s="29"/>
      <c r="K203" s="29"/>
      <c r="L203" s="107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33"/>
      <c r="D204" s="33"/>
      <c r="E204" s="41"/>
      <c r="F204" s="29"/>
      <c r="G204" s="29"/>
      <c r="H204" s="29"/>
      <c r="I204" s="27"/>
      <c r="J204" s="29"/>
      <c r="K204" s="29"/>
      <c r="L204" s="107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33"/>
      <c r="D205" s="33"/>
      <c r="E205" s="41"/>
      <c r="F205" s="29"/>
      <c r="G205" s="29"/>
      <c r="H205" s="29"/>
      <c r="I205" s="27"/>
      <c r="J205" s="29"/>
      <c r="K205" s="29"/>
      <c r="L205" s="107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33"/>
      <c r="D206" s="33"/>
      <c r="E206" s="41"/>
      <c r="F206" s="29"/>
      <c r="G206" s="29"/>
      <c r="H206" s="29"/>
      <c r="I206" s="27"/>
      <c r="J206" s="29"/>
      <c r="K206" s="29"/>
      <c r="L206" s="107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33"/>
      <c r="D207" s="33"/>
      <c r="E207" s="41"/>
      <c r="F207" s="29"/>
      <c r="G207" s="29"/>
      <c r="H207" s="29"/>
      <c r="I207" s="27"/>
      <c r="J207" s="29"/>
      <c r="K207" s="29"/>
      <c r="L207" s="107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33"/>
      <c r="D208" s="33"/>
      <c r="E208" s="41"/>
      <c r="F208" s="29"/>
      <c r="G208" s="29"/>
      <c r="H208" s="29"/>
      <c r="I208" s="27"/>
      <c r="J208" s="29"/>
      <c r="K208" s="29"/>
      <c r="L208" s="107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33"/>
      <c r="D209" s="33"/>
      <c r="E209" s="41"/>
      <c r="F209" s="29"/>
      <c r="G209" s="29"/>
      <c r="H209" s="29"/>
      <c r="I209" s="27"/>
      <c r="J209" s="29"/>
      <c r="K209" s="29"/>
      <c r="L209" s="107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33"/>
      <c r="D210" s="33"/>
      <c r="E210" s="41"/>
      <c r="F210" s="29"/>
      <c r="G210" s="29"/>
      <c r="H210" s="29"/>
      <c r="I210" s="27"/>
      <c r="J210" s="29"/>
      <c r="K210" s="29"/>
      <c r="L210" s="107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33"/>
      <c r="D211" s="33"/>
      <c r="E211" s="41"/>
      <c r="F211" s="29"/>
      <c r="G211" s="29"/>
      <c r="H211" s="29"/>
      <c r="I211" s="27"/>
      <c r="J211" s="29"/>
      <c r="K211" s="29"/>
      <c r="L211" s="107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33"/>
      <c r="D212" s="33"/>
      <c r="E212" s="41"/>
      <c r="F212" s="29"/>
      <c r="G212" s="29"/>
      <c r="H212" s="29"/>
      <c r="I212" s="27"/>
      <c r="J212" s="29"/>
      <c r="K212" s="29"/>
      <c r="L212" s="107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33"/>
      <c r="D213" s="33"/>
      <c r="E213" s="41"/>
      <c r="F213" s="29"/>
      <c r="G213" s="29"/>
      <c r="H213" s="29"/>
      <c r="I213" s="27"/>
      <c r="J213" s="29"/>
      <c r="K213" s="29"/>
      <c r="L213" s="107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33"/>
      <c r="D214" s="33"/>
      <c r="E214" s="41"/>
      <c r="F214" s="29"/>
      <c r="G214" s="29"/>
      <c r="H214" s="29"/>
      <c r="I214" s="27"/>
      <c r="J214" s="29"/>
      <c r="K214" s="29"/>
      <c r="L214" s="107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33"/>
      <c r="D215" s="33"/>
      <c r="E215" s="41"/>
      <c r="F215" s="29"/>
      <c r="G215" s="29"/>
      <c r="H215" s="29"/>
      <c r="I215" s="27"/>
      <c r="J215" s="29"/>
      <c r="K215" s="29"/>
      <c r="L215" s="107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33"/>
      <c r="D216" s="33"/>
      <c r="E216" s="41"/>
      <c r="F216" s="29"/>
      <c r="G216" s="29"/>
      <c r="H216" s="29"/>
      <c r="I216" s="27"/>
      <c r="J216" s="29"/>
      <c r="K216" s="29"/>
      <c r="L216" s="107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33"/>
      <c r="D217" s="33"/>
      <c r="E217" s="41"/>
      <c r="F217" s="29"/>
      <c r="G217" s="29"/>
      <c r="H217" s="29"/>
      <c r="I217" s="27"/>
      <c r="J217" s="29"/>
      <c r="K217" s="29"/>
      <c r="L217" s="107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33"/>
      <c r="D218" s="33"/>
      <c r="E218" s="41"/>
      <c r="F218" s="29"/>
      <c r="G218" s="29"/>
      <c r="H218" s="29"/>
      <c r="I218" s="27"/>
      <c r="J218" s="29"/>
      <c r="K218" s="29"/>
      <c r="L218" s="107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33"/>
      <c r="D219" s="33"/>
      <c r="E219" s="41"/>
      <c r="F219" s="29"/>
      <c r="G219" s="29"/>
      <c r="H219" s="29"/>
      <c r="I219" s="27"/>
      <c r="J219" s="29"/>
      <c r="K219" s="29"/>
      <c r="L219" s="107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33"/>
      <c r="D220" s="33"/>
      <c r="E220" s="41"/>
      <c r="F220" s="29"/>
      <c r="G220" s="29"/>
      <c r="H220" s="29"/>
      <c r="I220" s="27"/>
      <c r="J220" s="29"/>
      <c r="K220" s="29"/>
      <c r="L220" s="107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33"/>
      <c r="D221" s="33"/>
      <c r="E221" s="41"/>
      <c r="F221" s="29"/>
      <c r="G221" s="29"/>
      <c r="H221" s="29"/>
      <c r="I221" s="27"/>
      <c r="J221" s="29"/>
      <c r="K221" s="29"/>
      <c r="L221" s="107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33"/>
      <c r="D222" s="33"/>
      <c r="E222" s="41"/>
      <c r="F222" s="29"/>
      <c r="G222" s="29"/>
      <c r="H222" s="29"/>
      <c r="I222" s="27"/>
      <c r="J222" s="29"/>
      <c r="K222" s="29"/>
      <c r="L222" s="107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33"/>
      <c r="D223" s="33"/>
      <c r="E223" s="41"/>
      <c r="F223" s="29"/>
      <c r="G223" s="29"/>
      <c r="H223" s="29"/>
      <c r="I223" s="27"/>
      <c r="J223" s="29"/>
      <c r="K223" s="29"/>
      <c r="L223" s="107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33"/>
      <c r="D224" s="33"/>
      <c r="E224" s="41"/>
      <c r="F224" s="29"/>
      <c r="G224" s="29"/>
      <c r="H224" s="29"/>
      <c r="I224" s="27"/>
      <c r="J224" s="29"/>
      <c r="K224" s="29"/>
      <c r="L224" s="107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33"/>
      <c r="D225" s="33"/>
      <c r="E225" s="41"/>
      <c r="F225" s="29"/>
      <c r="G225" s="29"/>
      <c r="H225" s="29"/>
      <c r="I225" s="27"/>
      <c r="J225" s="29"/>
      <c r="K225" s="29"/>
      <c r="L225" s="107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33"/>
      <c r="D226" s="33"/>
      <c r="E226" s="41"/>
      <c r="F226" s="29"/>
      <c r="G226" s="29"/>
      <c r="H226" s="29"/>
      <c r="I226" s="27"/>
      <c r="J226" s="29"/>
      <c r="K226" s="29"/>
      <c r="L226" s="107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33"/>
      <c r="D227" s="33"/>
      <c r="E227" s="41"/>
      <c r="F227" s="29"/>
      <c r="G227" s="29"/>
      <c r="H227" s="29"/>
      <c r="I227" s="27"/>
      <c r="J227" s="29"/>
      <c r="K227" s="29"/>
      <c r="L227" s="107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33"/>
      <c r="D228" s="33"/>
      <c r="E228" s="41"/>
      <c r="F228" s="29"/>
      <c r="G228" s="29"/>
      <c r="H228" s="29"/>
      <c r="I228" s="27"/>
      <c r="J228" s="29"/>
      <c r="K228" s="29"/>
      <c r="L228" s="107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33"/>
      <c r="D229" s="33"/>
      <c r="E229" s="41"/>
      <c r="F229" s="29"/>
      <c r="G229" s="29"/>
      <c r="H229" s="29"/>
      <c r="I229" s="27"/>
      <c r="J229" s="29"/>
      <c r="K229" s="29"/>
      <c r="L229" s="107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33"/>
      <c r="D230" s="33"/>
      <c r="E230" s="41"/>
      <c r="F230" s="29"/>
      <c r="G230" s="29"/>
      <c r="H230" s="29"/>
      <c r="I230" s="27"/>
      <c r="J230" s="29"/>
      <c r="K230" s="29"/>
      <c r="L230" s="107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33"/>
      <c r="D231" s="33"/>
      <c r="E231" s="41"/>
      <c r="F231" s="29"/>
      <c r="G231" s="29"/>
      <c r="H231" s="29"/>
      <c r="I231" s="27"/>
      <c r="J231" s="29"/>
      <c r="K231" s="29"/>
      <c r="L231" s="107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33"/>
      <c r="D232" s="33"/>
      <c r="E232" s="41"/>
      <c r="F232" s="29"/>
      <c r="G232" s="29"/>
      <c r="H232" s="29"/>
      <c r="I232" s="27"/>
      <c r="J232" s="29"/>
      <c r="K232" s="29"/>
      <c r="L232" s="107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33"/>
      <c r="D233" s="33"/>
      <c r="E233" s="41"/>
      <c r="F233" s="29"/>
      <c r="G233" s="29"/>
      <c r="H233" s="29"/>
      <c r="I233" s="27"/>
      <c r="J233" s="29"/>
      <c r="K233" s="29"/>
      <c r="L233" s="107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33"/>
      <c r="D234" s="33"/>
      <c r="E234" s="41"/>
      <c r="F234" s="29"/>
      <c r="G234" s="29"/>
      <c r="H234" s="29"/>
      <c r="I234" s="27"/>
      <c r="J234" s="29"/>
      <c r="K234" s="29"/>
      <c r="L234" s="107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33"/>
      <c r="D235" s="33"/>
      <c r="E235" s="41"/>
      <c r="F235" s="29"/>
      <c r="G235" s="29"/>
      <c r="H235" s="29"/>
      <c r="I235" s="27"/>
      <c r="J235" s="29"/>
      <c r="K235" s="29"/>
      <c r="L235" s="107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33"/>
      <c r="D236" s="33"/>
      <c r="E236" s="41"/>
      <c r="F236" s="29"/>
      <c r="G236" s="29"/>
      <c r="H236" s="29"/>
      <c r="I236" s="27"/>
      <c r="J236" s="29"/>
      <c r="K236" s="29"/>
      <c r="L236" s="107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33"/>
      <c r="D237" s="33"/>
      <c r="E237" s="41"/>
      <c r="F237" s="29"/>
      <c r="G237" s="29"/>
      <c r="H237" s="29"/>
      <c r="I237" s="27"/>
      <c r="J237" s="29"/>
      <c r="K237" s="29"/>
      <c r="L237" s="107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33"/>
      <c r="D238" s="33"/>
      <c r="E238" s="41"/>
      <c r="F238" s="29"/>
      <c r="G238" s="29"/>
      <c r="H238" s="29"/>
      <c r="I238" s="27"/>
      <c r="J238" s="29"/>
      <c r="K238" s="29"/>
      <c r="L238" s="107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33"/>
      <c r="D239" s="33"/>
      <c r="E239" s="41"/>
      <c r="F239" s="29"/>
      <c r="G239" s="29"/>
      <c r="H239" s="29"/>
      <c r="I239" s="27"/>
      <c r="J239" s="29"/>
      <c r="K239" s="29"/>
      <c r="L239" s="107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33"/>
      <c r="D240" s="33"/>
      <c r="E240" s="41"/>
      <c r="F240" s="29"/>
      <c r="G240" s="29"/>
      <c r="H240" s="29"/>
      <c r="I240" s="27"/>
      <c r="J240" s="29"/>
      <c r="K240" s="29"/>
      <c r="L240" s="107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33"/>
      <c r="D241" s="33"/>
      <c r="E241" s="41"/>
      <c r="F241" s="29"/>
      <c r="G241" s="29"/>
      <c r="H241" s="29"/>
      <c r="I241" s="27"/>
      <c r="J241" s="29"/>
      <c r="K241" s="29"/>
      <c r="L241" s="107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33"/>
      <c r="D242" s="33"/>
      <c r="E242" s="41"/>
      <c r="F242" s="29"/>
      <c r="G242" s="29"/>
      <c r="H242" s="29"/>
      <c r="I242" s="27"/>
      <c r="J242" s="29"/>
      <c r="K242" s="29"/>
      <c r="L242" s="107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33"/>
      <c r="D243" s="33"/>
      <c r="E243" s="41"/>
      <c r="F243" s="29"/>
      <c r="G243" s="29"/>
      <c r="H243" s="29"/>
      <c r="I243" s="27"/>
      <c r="J243" s="29"/>
      <c r="K243" s="29"/>
      <c r="L243" s="107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33"/>
      <c r="D244" s="33"/>
      <c r="E244" s="41"/>
      <c r="F244" s="29"/>
      <c r="G244" s="29"/>
      <c r="H244" s="29"/>
      <c r="I244" s="27"/>
      <c r="J244" s="29"/>
      <c r="K244" s="29"/>
      <c r="L244" s="107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33"/>
      <c r="D245" s="33"/>
      <c r="E245" s="41"/>
      <c r="F245" s="29"/>
      <c r="G245" s="29"/>
      <c r="H245" s="29"/>
      <c r="I245" s="27"/>
      <c r="J245" s="29"/>
      <c r="K245" s="29"/>
      <c r="L245" s="107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33"/>
      <c r="D246" s="33"/>
      <c r="E246" s="41"/>
      <c r="F246" s="29"/>
      <c r="G246" s="29"/>
      <c r="H246" s="29"/>
      <c r="I246" s="27"/>
      <c r="J246" s="29"/>
      <c r="K246" s="29"/>
      <c r="L246" s="107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33"/>
      <c r="D247" s="33"/>
      <c r="E247" s="41"/>
      <c r="F247" s="29"/>
      <c r="G247" s="29"/>
      <c r="H247" s="29"/>
      <c r="I247" s="27"/>
      <c r="J247" s="29"/>
      <c r="K247" s="29"/>
      <c r="L247" s="107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33"/>
      <c r="D248" s="33"/>
      <c r="E248" s="41"/>
      <c r="F248" s="29"/>
      <c r="G248" s="29"/>
      <c r="H248" s="29"/>
      <c r="I248" s="27"/>
      <c r="J248" s="29"/>
      <c r="K248" s="29"/>
      <c r="L248" s="107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33"/>
      <c r="D249" s="33"/>
      <c r="E249" s="41"/>
      <c r="F249" s="29"/>
      <c r="G249" s="29"/>
      <c r="H249" s="29"/>
      <c r="I249" s="27"/>
      <c r="J249" s="29"/>
      <c r="K249" s="29"/>
      <c r="L249" s="107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33"/>
      <c r="D250" s="33"/>
      <c r="E250" s="41"/>
      <c r="F250" s="29"/>
      <c r="G250" s="29"/>
      <c r="H250" s="29"/>
      <c r="I250" s="27"/>
      <c r="J250" s="29"/>
      <c r="K250" s="29"/>
      <c r="L250" s="107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33"/>
      <c r="D251" s="33"/>
      <c r="E251" s="41"/>
      <c r="F251" s="29"/>
      <c r="G251" s="29"/>
      <c r="H251" s="29"/>
      <c r="I251" s="27"/>
      <c r="J251" s="29"/>
      <c r="K251" s="29"/>
      <c r="L251" s="107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33"/>
      <c r="D252" s="33"/>
      <c r="E252" s="41"/>
      <c r="F252" s="29"/>
      <c r="G252" s="29"/>
      <c r="H252" s="29"/>
      <c r="I252" s="27"/>
      <c r="J252" s="29"/>
      <c r="K252" s="29"/>
      <c r="L252" s="107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33"/>
      <c r="D253" s="33"/>
      <c r="E253" s="41"/>
      <c r="F253" s="29"/>
      <c r="G253" s="29"/>
      <c r="H253" s="29"/>
      <c r="I253" s="27"/>
      <c r="J253" s="29"/>
      <c r="K253" s="29"/>
      <c r="L253" s="107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33"/>
      <c r="D254" s="33"/>
      <c r="E254" s="41"/>
      <c r="F254" s="29"/>
      <c r="G254" s="29"/>
      <c r="H254" s="29"/>
      <c r="I254" s="27"/>
      <c r="J254" s="29"/>
      <c r="K254" s="29"/>
      <c r="L254" s="107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33"/>
      <c r="D255" s="33"/>
      <c r="E255" s="41"/>
      <c r="F255" s="29"/>
      <c r="G255" s="29"/>
      <c r="H255" s="29"/>
      <c r="I255" s="27"/>
      <c r="J255" s="29"/>
      <c r="K255" s="29"/>
      <c r="L255" s="107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33"/>
      <c r="D256" s="33"/>
      <c r="E256" s="41"/>
      <c r="F256" s="29"/>
      <c r="G256" s="29"/>
      <c r="H256" s="29"/>
      <c r="I256" s="27"/>
      <c r="J256" s="29"/>
      <c r="K256" s="29"/>
      <c r="L256" s="107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33"/>
      <c r="D257" s="33"/>
      <c r="E257" s="41"/>
      <c r="F257" s="29"/>
      <c r="G257" s="29"/>
      <c r="H257" s="29"/>
      <c r="I257" s="27"/>
      <c r="J257" s="29"/>
      <c r="K257" s="29"/>
      <c r="L257" s="107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33"/>
      <c r="D258" s="33"/>
      <c r="E258" s="41"/>
      <c r="F258" s="29"/>
      <c r="G258" s="29"/>
      <c r="H258" s="29"/>
      <c r="I258" s="27"/>
      <c r="J258" s="29"/>
      <c r="K258" s="29"/>
      <c r="L258" s="107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33"/>
      <c r="D259" s="33"/>
      <c r="E259" s="41"/>
      <c r="F259" s="29"/>
      <c r="G259" s="29"/>
      <c r="H259" s="29"/>
      <c r="I259" s="27"/>
      <c r="J259" s="29"/>
      <c r="K259" s="29"/>
      <c r="L259" s="107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33"/>
      <c r="D260" s="33"/>
      <c r="E260" s="41"/>
      <c r="F260" s="29"/>
      <c r="G260" s="29"/>
      <c r="H260" s="29"/>
      <c r="I260" s="27"/>
      <c r="J260" s="29"/>
      <c r="K260" s="29"/>
      <c r="L260" s="107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33"/>
      <c r="D261" s="33"/>
      <c r="E261" s="41"/>
      <c r="F261" s="29"/>
      <c r="G261" s="29"/>
      <c r="H261" s="29"/>
      <c r="I261" s="27"/>
      <c r="J261" s="29"/>
      <c r="K261" s="29"/>
      <c r="L261" s="107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33"/>
      <c r="D262" s="33"/>
      <c r="E262" s="41"/>
      <c r="F262" s="29"/>
      <c r="G262" s="29"/>
      <c r="H262" s="29"/>
      <c r="I262" s="27"/>
      <c r="J262" s="29"/>
      <c r="K262" s="29"/>
      <c r="L262" s="107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33"/>
      <c r="D263" s="33"/>
      <c r="E263" s="41"/>
      <c r="F263" s="29"/>
      <c r="G263" s="29"/>
      <c r="H263" s="29"/>
      <c r="I263" s="27"/>
      <c r="J263" s="29"/>
      <c r="K263" s="29"/>
      <c r="L263" s="107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33"/>
      <c r="D264" s="33"/>
      <c r="E264" s="41"/>
      <c r="F264" s="29"/>
      <c r="G264" s="29"/>
      <c r="H264" s="29"/>
      <c r="I264" s="27"/>
      <c r="J264" s="29"/>
      <c r="K264" s="29"/>
      <c r="L264" s="107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33"/>
      <c r="D265" s="33"/>
      <c r="E265" s="41"/>
      <c r="F265" s="29"/>
      <c r="G265" s="29"/>
      <c r="H265" s="29"/>
      <c r="I265" s="27"/>
      <c r="J265" s="29"/>
      <c r="K265" s="29"/>
      <c r="L265" s="107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33"/>
      <c r="D266" s="33"/>
      <c r="E266" s="41"/>
      <c r="F266" s="29"/>
      <c r="G266" s="29"/>
      <c r="H266" s="29"/>
      <c r="I266" s="27"/>
      <c r="J266" s="29"/>
      <c r="K266" s="29"/>
      <c r="L266" s="107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33"/>
      <c r="D267" s="33"/>
      <c r="E267" s="41"/>
      <c r="F267" s="29"/>
      <c r="G267" s="29"/>
      <c r="H267" s="29"/>
      <c r="I267" s="27"/>
      <c r="J267" s="29"/>
      <c r="K267" s="29"/>
      <c r="L267" s="107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33"/>
      <c r="D268" s="33"/>
      <c r="E268" s="41"/>
      <c r="F268" s="29"/>
      <c r="G268" s="29"/>
      <c r="H268" s="29"/>
      <c r="I268" s="27"/>
      <c r="J268" s="29"/>
      <c r="K268" s="29"/>
      <c r="L268" s="107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33"/>
      <c r="D269" s="33"/>
      <c r="E269" s="41"/>
      <c r="F269" s="29"/>
      <c r="G269" s="29"/>
      <c r="H269" s="29"/>
      <c r="I269" s="27"/>
      <c r="J269" s="29"/>
      <c r="K269" s="29"/>
      <c r="L269" s="107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33"/>
      <c r="D270" s="33"/>
      <c r="E270" s="41"/>
      <c r="F270" s="29"/>
      <c r="G270" s="29"/>
      <c r="H270" s="29"/>
      <c r="I270" s="27"/>
      <c r="J270" s="29"/>
      <c r="K270" s="29"/>
      <c r="L270" s="107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33"/>
      <c r="D271" s="33"/>
      <c r="E271" s="41"/>
      <c r="F271" s="29"/>
      <c r="G271" s="29"/>
      <c r="H271" s="29"/>
      <c r="I271" s="27"/>
      <c r="J271" s="29"/>
      <c r="K271" s="29"/>
      <c r="L271" s="107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33"/>
      <c r="D272" s="33"/>
      <c r="E272" s="41"/>
      <c r="F272" s="29"/>
      <c r="G272" s="29"/>
      <c r="H272" s="29"/>
      <c r="I272" s="27"/>
      <c r="J272" s="29"/>
      <c r="K272" s="29"/>
      <c r="L272" s="107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33"/>
      <c r="D273" s="33"/>
      <c r="E273" s="41"/>
      <c r="F273" s="29"/>
      <c r="G273" s="29"/>
      <c r="H273" s="29"/>
      <c r="I273" s="27"/>
      <c r="J273" s="29"/>
      <c r="K273" s="29"/>
      <c r="L273" s="107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33"/>
      <c r="D274" s="33"/>
      <c r="E274" s="41"/>
      <c r="F274" s="29"/>
      <c r="G274" s="29"/>
      <c r="H274" s="29"/>
      <c r="I274" s="27"/>
      <c r="J274" s="29"/>
      <c r="K274" s="29"/>
      <c r="L274" s="107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33"/>
      <c r="D275" s="33"/>
      <c r="E275" s="41"/>
      <c r="F275" s="29"/>
      <c r="G275" s="29"/>
      <c r="H275" s="29"/>
      <c r="I275" s="27"/>
      <c r="J275" s="29"/>
      <c r="K275" s="29"/>
      <c r="L275" s="107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33"/>
      <c r="D276" s="33"/>
      <c r="E276" s="41"/>
      <c r="F276" s="29"/>
      <c r="G276" s="29"/>
      <c r="H276" s="29"/>
      <c r="I276" s="27"/>
      <c r="J276" s="29"/>
      <c r="K276" s="29"/>
      <c r="L276" s="107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33"/>
      <c r="D277" s="33"/>
      <c r="E277" s="41"/>
      <c r="F277" s="29"/>
      <c r="G277" s="29"/>
      <c r="H277" s="29"/>
      <c r="I277" s="27"/>
      <c r="J277" s="29"/>
      <c r="K277" s="29"/>
      <c r="L277" s="107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33"/>
      <c r="D278" s="33"/>
      <c r="E278" s="41"/>
      <c r="F278" s="29"/>
      <c r="G278" s="29"/>
      <c r="H278" s="29"/>
      <c r="I278" s="27"/>
      <c r="J278" s="29"/>
      <c r="K278" s="29"/>
      <c r="L278" s="107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33"/>
      <c r="D279" s="33"/>
      <c r="E279" s="41"/>
      <c r="F279" s="29"/>
      <c r="G279" s="29"/>
      <c r="H279" s="29"/>
      <c r="I279" s="27"/>
      <c r="J279" s="29"/>
      <c r="K279" s="29"/>
      <c r="L279" s="107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33"/>
      <c r="D280" s="33"/>
      <c r="E280" s="41"/>
      <c r="F280" s="29"/>
      <c r="G280" s="29"/>
      <c r="H280" s="29"/>
      <c r="I280" s="27"/>
      <c r="J280" s="29"/>
      <c r="K280" s="29"/>
      <c r="L280" s="107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33"/>
      <c r="D281" s="33"/>
      <c r="E281" s="41"/>
      <c r="F281" s="29"/>
      <c r="G281" s="29"/>
      <c r="H281" s="29"/>
      <c r="I281" s="27"/>
      <c r="J281" s="29"/>
      <c r="K281" s="29"/>
      <c r="L281" s="107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33"/>
      <c r="D282" s="33"/>
      <c r="E282" s="41"/>
      <c r="F282" s="29"/>
      <c r="G282" s="29"/>
      <c r="H282" s="29"/>
      <c r="I282" s="27"/>
      <c r="J282" s="29"/>
      <c r="K282" s="29"/>
      <c r="L282" s="107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33"/>
      <c r="D283" s="33"/>
      <c r="E283" s="41"/>
      <c r="F283" s="29"/>
      <c r="G283" s="29"/>
      <c r="H283" s="29"/>
      <c r="I283" s="27"/>
      <c r="J283" s="29"/>
      <c r="K283" s="29"/>
      <c r="L283" s="107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33"/>
      <c r="D284" s="33"/>
      <c r="E284" s="41"/>
      <c r="F284" s="29"/>
      <c r="G284" s="29"/>
      <c r="H284" s="29"/>
      <c r="I284" s="27"/>
      <c r="J284" s="29"/>
      <c r="K284" s="29"/>
      <c r="L284" s="107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33"/>
      <c r="D285" s="33"/>
      <c r="E285" s="41"/>
      <c r="F285" s="29"/>
      <c r="G285" s="29"/>
      <c r="H285" s="29"/>
      <c r="I285" s="27"/>
      <c r="J285" s="29"/>
      <c r="K285" s="29"/>
      <c r="L285" s="107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33"/>
      <c r="D286" s="33"/>
      <c r="E286" s="41"/>
      <c r="F286" s="29"/>
      <c r="G286" s="29"/>
      <c r="H286" s="29"/>
      <c r="I286" s="27"/>
      <c r="J286" s="29"/>
      <c r="K286" s="29"/>
      <c r="L286" s="107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33"/>
      <c r="D287" s="33"/>
      <c r="E287" s="41"/>
      <c r="F287" s="29"/>
      <c r="G287" s="29"/>
      <c r="H287" s="29"/>
      <c r="I287" s="27"/>
      <c r="J287" s="29"/>
      <c r="K287" s="29"/>
      <c r="L287" s="107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33"/>
      <c r="D288" s="33"/>
      <c r="E288" s="41"/>
      <c r="F288" s="29"/>
      <c r="G288" s="29"/>
      <c r="H288" s="29"/>
      <c r="I288" s="27"/>
      <c r="J288" s="29"/>
      <c r="K288" s="29"/>
      <c r="L288" s="107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33"/>
      <c r="D289" s="33"/>
      <c r="E289" s="41"/>
      <c r="F289" s="29"/>
      <c r="G289" s="29"/>
      <c r="H289" s="29"/>
      <c r="I289" s="27"/>
      <c r="J289" s="29"/>
      <c r="K289" s="29"/>
      <c r="L289" s="107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33"/>
      <c r="D290" s="33"/>
      <c r="E290" s="41"/>
      <c r="F290" s="29"/>
      <c r="G290" s="29"/>
      <c r="H290" s="29"/>
      <c r="I290" s="27"/>
      <c r="J290" s="29"/>
      <c r="K290" s="29"/>
      <c r="L290" s="107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33"/>
      <c r="D291" s="33"/>
      <c r="E291" s="41"/>
      <c r="F291" s="29"/>
      <c r="G291" s="29"/>
      <c r="H291" s="29"/>
      <c r="I291" s="27"/>
      <c r="J291" s="29"/>
      <c r="K291" s="29"/>
      <c r="L291" s="107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33"/>
      <c r="D292" s="33"/>
      <c r="E292" s="41"/>
      <c r="F292" s="29"/>
      <c r="G292" s="29"/>
      <c r="H292" s="29"/>
      <c r="I292" s="27"/>
      <c r="J292" s="29"/>
      <c r="K292" s="29"/>
      <c r="L292" s="107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33"/>
      <c r="D293" s="33"/>
      <c r="E293" s="41"/>
      <c r="F293" s="29"/>
      <c r="G293" s="29"/>
      <c r="H293" s="29"/>
      <c r="I293" s="27"/>
      <c r="J293" s="29"/>
      <c r="K293" s="29"/>
      <c r="L293" s="107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33"/>
      <c r="D294" s="33"/>
      <c r="E294" s="41"/>
      <c r="F294" s="29"/>
      <c r="G294" s="29"/>
      <c r="H294" s="29"/>
      <c r="I294" s="27"/>
      <c r="J294" s="29"/>
      <c r="K294" s="29"/>
      <c r="L294" s="107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33"/>
      <c r="D295" s="33"/>
      <c r="E295" s="41"/>
      <c r="F295" s="29"/>
      <c r="G295" s="29"/>
      <c r="H295" s="29"/>
      <c r="I295" s="27"/>
      <c r="J295" s="29"/>
      <c r="K295" s="29"/>
      <c r="L295" s="107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33"/>
      <c r="D296" s="33"/>
      <c r="E296" s="41"/>
      <c r="F296" s="29"/>
      <c r="G296" s="29"/>
      <c r="H296" s="29"/>
      <c r="I296" s="27"/>
      <c r="J296" s="29"/>
      <c r="K296" s="29"/>
      <c r="L296" s="107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33"/>
      <c r="D297" s="33"/>
      <c r="E297" s="41"/>
      <c r="F297" s="29"/>
      <c r="G297" s="29"/>
      <c r="H297" s="29"/>
      <c r="I297" s="27"/>
      <c r="J297" s="29"/>
      <c r="K297" s="29"/>
      <c r="L297" s="107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33"/>
      <c r="D298" s="33"/>
      <c r="E298" s="41"/>
      <c r="F298" s="29"/>
      <c r="G298" s="29"/>
      <c r="H298" s="29"/>
      <c r="I298" s="27"/>
      <c r="J298" s="29"/>
      <c r="K298" s="29"/>
      <c r="L298" s="107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33"/>
      <c r="D299" s="33"/>
      <c r="E299" s="41"/>
      <c r="F299" s="29"/>
      <c r="G299" s="29"/>
      <c r="H299" s="29"/>
      <c r="I299" s="27"/>
      <c r="J299" s="29"/>
      <c r="K299" s="29"/>
      <c r="L299" s="107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33"/>
      <c r="D300" s="33"/>
      <c r="E300" s="41"/>
      <c r="F300" s="29"/>
      <c r="G300" s="29"/>
      <c r="H300" s="29"/>
      <c r="I300" s="27"/>
      <c r="J300" s="29"/>
      <c r="K300" s="29"/>
      <c r="L300" s="107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33"/>
      <c r="D301" s="33"/>
      <c r="E301" s="41"/>
      <c r="F301" s="29"/>
      <c r="G301" s="29"/>
      <c r="H301" s="29"/>
      <c r="I301" s="27"/>
      <c r="J301" s="29"/>
      <c r="K301" s="29"/>
      <c r="L301" s="107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33"/>
      <c r="D302" s="33"/>
      <c r="E302" s="41"/>
      <c r="F302" s="29"/>
      <c r="G302" s="29"/>
      <c r="H302" s="29"/>
      <c r="I302" s="27"/>
      <c r="J302" s="29"/>
      <c r="K302" s="29"/>
      <c r="L302" s="107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33"/>
      <c r="D303" s="33"/>
      <c r="E303" s="41"/>
      <c r="F303" s="29"/>
      <c r="G303" s="29"/>
      <c r="H303" s="29"/>
      <c r="I303" s="27"/>
      <c r="J303" s="29"/>
      <c r="K303" s="29"/>
      <c r="L303" s="107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33"/>
      <c r="D304" s="33"/>
      <c r="E304" s="41"/>
      <c r="F304" s="29"/>
      <c r="G304" s="29"/>
      <c r="H304" s="29"/>
      <c r="I304" s="27"/>
      <c r="J304" s="29"/>
      <c r="K304" s="29"/>
      <c r="L304" s="107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33"/>
      <c r="D305" s="33"/>
      <c r="E305" s="41"/>
      <c r="F305" s="29"/>
      <c r="G305" s="29"/>
      <c r="H305" s="29"/>
      <c r="I305" s="27"/>
      <c r="J305" s="29"/>
      <c r="K305" s="29"/>
      <c r="L305" s="107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33"/>
      <c r="D306" s="33"/>
      <c r="E306" s="41"/>
      <c r="F306" s="29"/>
      <c r="G306" s="29"/>
      <c r="H306" s="29"/>
      <c r="I306" s="27"/>
      <c r="J306" s="29"/>
      <c r="K306" s="29"/>
      <c r="L306" s="107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33"/>
      <c r="D307" s="33"/>
      <c r="E307" s="41"/>
      <c r="F307" s="29"/>
      <c r="G307" s="29"/>
      <c r="H307" s="29"/>
      <c r="I307" s="27"/>
      <c r="J307" s="29"/>
      <c r="K307" s="29"/>
      <c r="L307" s="107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33"/>
      <c r="D308" s="33"/>
      <c r="E308" s="41"/>
      <c r="F308" s="29"/>
      <c r="G308" s="29"/>
      <c r="H308" s="29"/>
      <c r="I308" s="27"/>
      <c r="J308" s="29"/>
      <c r="K308" s="29"/>
      <c r="L308" s="107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33"/>
      <c r="D309" s="33"/>
      <c r="E309" s="41"/>
      <c r="F309" s="29"/>
      <c r="G309" s="29"/>
      <c r="H309" s="29"/>
      <c r="I309" s="27"/>
      <c r="J309" s="29"/>
      <c r="K309" s="29"/>
      <c r="L309" s="107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33"/>
      <c r="D310" s="33"/>
      <c r="E310" s="41"/>
      <c r="F310" s="29"/>
      <c r="G310" s="29"/>
      <c r="H310" s="29"/>
      <c r="I310" s="27"/>
      <c r="J310" s="29"/>
      <c r="K310" s="29"/>
      <c r="L310" s="107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33"/>
      <c r="D311" s="33"/>
      <c r="E311" s="41"/>
      <c r="F311" s="29"/>
      <c r="G311" s="29"/>
      <c r="H311" s="29"/>
      <c r="I311" s="27"/>
      <c r="J311" s="29"/>
      <c r="K311" s="29"/>
      <c r="L311" s="107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33"/>
      <c r="D312" s="33"/>
      <c r="E312" s="41"/>
      <c r="F312" s="29"/>
      <c r="G312" s="29"/>
      <c r="H312" s="29"/>
      <c r="I312" s="27"/>
      <c r="J312" s="29"/>
      <c r="K312" s="29"/>
      <c r="L312" s="107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33"/>
      <c r="D313" s="33"/>
      <c r="E313" s="41"/>
      <c r="F313" s="29"/>
      <c r="G313" s="29"/>
      <c r="H313" s="29"/>
      <c r="I313" s="27"/>
      <c r="J313" s="29"/>
      <c r="K313" s="29"/>
      <c r="L313" s="107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33"/>
      <c r="D314" s="33"/>
      <c r="E314" s="41"/>
      <c r="F314" s="29"/>
      <c r="G314" s="29"/>
      <c r="H314" s="29"/>
      <c r="I314" s="27"/>
      <c r="J314" s="29"/>
      <c r="K314" s="29"/>
      <c r="L314" s="107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33"/>
      <c r="D315" s="33"/>
      <c r="E315" s="41"/>
      <c r="F315" s="29"/>
      <c r="G315" s="29"/>
      <c r="H315" s="29"/>
      <c r="I315" s="27"/>
      <c r="J315" s="29"/>
      <c r="K315" s="29"/>
      <c r="L315" s="107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33"/>
      <c r="D316" s="33"/>
      <c r="E316" s="41"/>
      <c r="F316" s="29"/>
      <c r="G316" s="29"/>
      <c r="H316" s="29"/>
      <c r="I316" s="27"/>
      <c r="J316" s="29"/>
      <c r="K316" s="29"/>
      <c r="L316" s="107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33"/>
      <c r="D317" s="33"/>
      <c r="E317" s="41"/>
      <c r="F317" s="29"/>
      <c r="G317" s="29"/>
      <c r="H317" s="29"/>
      <c r="I317" s="27"/>
      <c r="J317" s="29"/>
      <c r="K317" s="29"/>
      <c r="L317" s="107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33"/>
      <c r="D318" s="33"/>
      <c r="E318" s="41"/>
      <c r="F318" s="29"/>
      <c r="G318" s="29"/>
      <c r="H318" s="29"/>
      <c r="I318" s="27"/>
      <c r="J318" s="29"/>
      <c r="K318" s="29"/>
      <c r="L318" s="107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33"/>
      <c r="D319" s="33"/>
      <c r="E319" s="41"/>
      <c r="F319" s="29"/>
      <c r="G319" s="29"/>
      <c r="H319" s="29"/>
      <c r="I319" s="27"/>
      <c r="J319" s="29"/>
      <c r="K319" s="29"/>
      <c r="L319" s="107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33"/>
      <c r="D320" s="33"/>
      <c r="E320" s="41"/>
      <c r="F320" s="29"/>
      <c r="G320" s="29"/>
      <c r="H320" s="29"/>
      <c r="I320" s="27"/>
      <c r="J320" s="29"/>
      <c r="K320" s="29"/>
      <c r="L320" s="107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33"/>
      <c r="D321" s="33"/>
      <c r="E321" s="41"/>
      <c r="F321" s="29"/>
      <c r="G321" s="29"/>
      <c r="H321" s="29"/>
      <c r="I321" s="27"/>
      <c r="J321" s="29"/>
      <c r="K321" s="29"/>
      <c r="L321" s="107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33"/>
      <c r="D322" s="33"/>
      <c r="E322" s="41"/>
      <c r="F322" s="29"/>
      <c r="G322" s="29"/>
      <c r="H322" s="29"/>
      <c r="I322" s="27"/>
      <c r="J322" s="29"/>
      <c r="K322" s="29"/>
      <c r="L322" s="107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33"/>
      <c r="D323" s="33"/>
      <c r="E323" s="41"/>
      <c r="F323" s="29"/>
      <c r="G323" s="29"/>
      <c r="H323" s="29"/>
      <c r="I323" s="27"/>
      <c r="J323" s="29"/>
      <c r="K323" s="29"/>
      <c r="L323" s="107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33"/>
      <c r="D324" s="33"/>
      <c r="E324" s="41"/>
      <c r="F324" s="29"/>
      <c r="G324" s="29"/>
      <c r="H324" s="29"/>
      <c r="I324" s="27"/>
      <c r="J324" s="29"/>
      <c r="K324" s="29"/>
      <c r="L324" s="107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33"/>
      <c r="D325" s="33"/>
      <c r="E325" s="41"/>
      <c r="F325" s="29"/>
      <c r="G325" s="29"/>
      <c r="H325" s="29"/>
      <c r="I325" s="27"/>
      <c r="J325" s="29"/>
      <c r="K325" s="29"/>
      <c r="L325" s="107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33"/>
      <c r="D326" s="33"/>
      <c r="E326" s="41"/>
      <c r="F326" s="29"/>
      <c r="G326" s="29"/>
      <c r="H326" s="29"/>
      <c r="I326" s="27"/>
      <c r="J326" s="29"/>
      <c r="K326" s="29"/>
      <c r="L326" s="107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33"/>
      <c r="D327" s="33"/>
      <c r="E327" s="41"/>
      <c r="F327" s="29"/>
      <c r="G327" s="29"/>
      <c r="H327" s="29"/>
      <c r="I327" s="27"/>
      <c r="J327" s="29"/>
      <c r="K327" s="29"/>
      <c r="L327" s="107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33"/>
      <c r="D328" s="33"/>
      <c r="E328" s="41"/>
      <c r="F328" s="29"/>
      <c r="G328" s="29"/>
      <c r="H328" s="29"/>
      <c r="I328" s="27"/>
      <c r="J328" s="29"/>
      <c r="K328" s="29"/>
      <c r="L328" s="107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33"/>
      <c r="D329" s="33"/>
      <c r="E329" s="41"/>
      <c r="F329" s="29"/>
      <c r="G329" s="29"/>
      <c r="H329" s="29"/>
      <c r="I329" s="27"/>
      <c r="J329" s="29"/>
      <c r="K329" s="29"/>
      <c r="L329" s="107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33"/>
      <c r="D330" s="33"/>
      <c r="E330" s="41"/>
      <c r="F330" s="29"/>
      <c r="G330" s="29"/>
      <c r="H330" s="29"/>
      <c r="I330" s="27"/>
      <c r="J330" s="29"/>
      <c r="K330" s="29"/>
      <c r="L330" s="107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33"/>
      <c r="D331" s="33"/>
      <c r="E331" s="41"/>
      <c r="F331" s="29"/>
      <c r="G331" s="29"/>
      <c r="H331" s="29"/>
      <c r="I331" s="27"/>
      <c r="J331" s="29"/>
      <c r="K331" s="29"/>
      <c r="L331" s="107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33"/>
      <c r="D332" s="33"/>
      <c r="E332" s="41"/>
      <c r="F332" s="29"/>
      <c r="G332" s="29"/>
      <c r="H332" s="29"/>
      <c r="I332" s="27"/>
      <c r="J332" s="29"/>
      <c r="K332" s="29"/>
      <c r="L332" s="107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33"/>
      <c r="D333" s="33"/>
      <c r="E333" s="41"/>
      <c r="F333" s="29"/>
      <c r="G333" s="29"/>
      <c r="H333" s="29"/>
      <c r="I333" s="27"/>
      <c r="J333" s="29"/>
      <c r="K333" s="29"/>
      <c r="L333" s="107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33"/>
      <c r="D334" s="33"/>
      <c r="E334" s="41"/>
      <c r="F334" s="29"/>
      <c r="G334" s="29"/>
      <c r="H334" s="29"/>
      <c r="I334" s="27"/>
      <c r="J334" s="29"/>
      <c r="K334" s="29"/>
      <c r="L334" s="107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33"/>
      <c r="D335" s="33"/>
      <c r="E335" s="41"/>
      <c r="F335" s="29"/>
      <c r="G335" s="29"/>
      <c r="H335" s="29"/>
      <c r="I335" s="27"/>
      <c r="J335" s="29"/>
      <c r="K335" s="29"/>
      <c r="L335" s="107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33"/>
      <c r="D336" s="33"/>
      <c r="E336" s="41"/>
      <c r="F336" s="29"/>
      <c r="G336" s="29"/>
      <c r="H336" s="29"/>
      <c r="I336" s="27"/>
      <c r="J336" s="29"/>
      <c r="K336" s="29"/>
      <c r="L336" s="107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33"/>
      <c r="D337" s="33"/>
      <c r="E337" s="41"/>
      <c r="F337" s="29"/>
      <c r="G337" s="29"/>
      <c r="H337" s="29"/>
      <c r="I337" s="27"/>
      <c r="J337" s="29"/>
      <c r="K337" s="29"/>
      <c r="L337" s="107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33"/>
      <c r="D338" s="33"/>
      <c r="E338" s="41"/>
      <c r="F338" s="29"/>
      <c r="G338" s="29"/>
      <c r="H338" s="29"/>
      <c r="I338" s="27"/>
      <c r="J338" s="29"/>
      <c r="K338" s="29"/>
      <c r="L338" s="107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33"/>
      <c r="D339" s="33"/>
      <c r="E339" s="41"/>
      <c r="F339" s="29"/>
      <c r="G339" s="29"/>
      <c r="H339" s="29"/>
      <c r="I339" s="27"/>
      <c r="J339" s="29"/>
      <c r="K339" s="29"/>
      <c r="L339" s="107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33"/>
      <c r="D340" s="33"/>
      <c r="E340" s="41"/>
      <c r="F340" s="29"/>
      <c r="G340" s="29"/>
      <c r="H340" s="29"/>
      <c r="I340" s="27"/>
      <c r="J340" s="29"/>
      <c r="K340" s="29"/>
      <c r="L340" s="107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33"/>
      <c r="D341" s="33"/>
      <c r="E341" s="41"/>
      <c r="F341" s="29"/>
      <c r="G341" s="29"/>
      <c r="H341" s="29"/>
      <c r="I341" s="27"/>
      <c r="J341" s="29"/>
      <c r="K341" s="29"/>
      <c r="L341" s="107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33"/>
      <c r="D342" s="33"/>
      <c r="E342" s="41"/>
      <c r="F342" s="29"/>
      <c r="G342" s="29"/>
      <c r="H342" s="29"/>
      <c r="I342" s="27"/>
      <c r="J342" s="29"/>
      <c r="K342" s="29"/>
      <c r="L342" s="107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33"/>
      <c r="D343" s="33"/>
      <c r="E343" s="41"/>
      <c r="F343" s="29"/>
      <c r="G343" s="29"/>
      <c r="H343" s="29"/>
      <c r="I343" s="27"/>
      <c r="J343" s="29"/>
      <c r="K343" s="29"/>
      <c r="L343" s="107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33"/>
      <c r="D344" s="33"/>
      <c r="E344" s="41"/>
      <c r="F344" s="29"/>
      <c r="G344" s="29"/>
      <c r="H344" s="29"/>
      <c r="I344" s="27"/>
      <c r="J344" s="29"/>
      <c r="K344" s="29"/>
      <c r="L344" s="107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33"/>
      <c r="D345" s="33"/>
      <c r="E345" s="41"/>
      <c r="F345" s="29"/>
      <c r="G345" s="29"/>
      <c r="H345" s="29"/>
      <c r="I345" s="27"/>
      <c r="J345" s="29"/>
      <c r="K345" s="29"/>
      <c r="L345" s="107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33"/>
      <c r="D346" s="33"/>
      <c r="E346" s="41"/>
      <c r="F346" s="29"/>
      <c r="G346" s="29"/>
      <c r="H346" s="29"/>
      <c r="I346" s="27"/>
      <c r="J346" s="29"/>
      <c r="K346" s="29"/>
      <c r="L346" s="107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33"/>
      <c r="D347" s="33"/>
      <c r="E347" s="41"/>
      <c r="F347" s="29"/>
      <c r="G347" s="29"/>
      <c r="H347" s="29"/>
      <c r="I347" s="27"/>
      <c r="J347" s="29"/>
      <c r="K347" s="29"/>
      <c r="L347" s="107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33"/>
      <c r="D348" s="33"/>
      <c r="E348" s="41"/>
      <c r="F348" s="29"/>
      <c r="G348" s="29"/>
      <c r="H348" s="29"/>
      <c r="I348" s="27"/>
      <c r="J348" s="29"/>
      <c r="K348" s="29"/>
      <c r="L348" s="107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33"/>
      <c r="D349" s="33"/>
      <c r="E349" s="41"/>
      <c r="F349" s="29"/>
      <c r="G349" s="29"/>
      <c r="H349" s="29"/>
      <c r="I349" s="27"/>
      <c r="J349" s="29"/>
      <c r="K349" s="29"/>
      <c r="L349" s="107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33"/>
      <c r="D350" s="33"/>
      <c r="E350" s="41"/>
      <c r="F350" s="29"/>
      <c r="G350" s="29"/>
      <c r="H350" s="29"/>
      <c r="I350" s="27"/>
      <c r="J350" s="29"/>
      <c r="K350" s="29"/>
      <c r="L350" s="107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33"/>
      <c r="D351" s="33"/>
      <c r="E351" s="41"/>
      <c r="F351" s="29"/>
      <c r="G351" s="29"/>
      <c r="H351" s="29"/>
      <c r="I351" s="27"/>
      <c r="J351" s="29"/>
      <c r="K351" s="29"/>
      <c r="L351" s="107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33"/>
      <c r="D352" s="33"/>
      <c r="E352" s="41"/>
      <c r="F352" s="29"/>
      <c r="G352" s="29"/>
      <c r="H352" s="29"/>
      <c r="I352" s="27"/>
      <c r="J352" s="29"/>
      <c r="K352" s="29"/>
      <c r="L352" s="107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33"/>
      <c r="D353" s="33"/>
      <c r="E353" s="41"/>
      <c r="F353" s="29"/>
      <c r="G353" s="29"/>
      <c r="H353" s="29"/>
      <c r="I353" s="27"/>
      <c r="J353" s="29"/>
      <c r="K353" s="29"/>
      <c r="L353" s="107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33"/>
      <c r="D354" s="33"/>
      <c r="E354" s="41"/>
      <c r="F354" s="29"/>
      <c r="G354" s="29"/>
      <c r="H354" s="29"/>
      <c r="I354" s="27"/>
      <c r="J354" s="29"/>
      <c r="K354" s="29"/>
      <c r="L354" s="107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33"/>
      <c r="D355" s="33"/>
      <c r="E355" s="41"/>
      <c r="F355" s="29"/>
      <c r="G355" s="29"/>
      <c r="H355" s="29"/>
      <c r="I355" s="27"/>
      <c r="J355" s="29"/>
      <c r="K355" s="29"/>
      <c r="L355" s="107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33"/>
      <c r="D356" s="33"/>
      <c r="E356" s="41"/>
      <c r="F356" s="29"/>
      <c r="G356" s="29"/>
      <c r="H356" s="29"/>
      <c r="I356" s="27"/>
      <c r="J356" s="29"/>
      <c r="K356" s="29"/>
      <c r="L356" s="107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33"/>
      <c r="D357" s="33"/>
      <c r="E357" s="41"/>
      <c r="F357" s="29"/>
      <c r="G357" s="29"/>
      <c r="H357" s="29"/>
      <c r="I357" s="27"/>
      <c r="J357" s="29"/>
      <c r="K357" s="29"/>
      <c r="L357" s="107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33"/>
      <c r="D358" s="33"/>
      <c r="E358" s="41"/>
      <c r="F358" s="29"/>
      <c r="G358" s="29"/>
      <c r="H358" s="29"/>
      <c r="I358" s="27"/>
      <c r="J358" s="29"/>
      <c r="K358" s="29"/>
      <c r="L358" s="107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33"/>
      <c r="D359" s="33"/>
      <c r="E359" s="41"/>
      <c r="F359" s="29"/>
      <c r="G359" s="29"/>
      <c r="H359" s="29"/>
      <c r="I359" s="27"/>
      <c r="J359" s="29"/>
      <c r="K359" s="29"/>
      <c r="L359" s="107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33"/>
      <c r="D360" s="33"/>
      <c r="E360" s="41"/>
      <c r="F360" s="29"/>
      <c r="G360" s="29"/>
      <c r="H360" s="29"/>
      <c r="I360" s="27"/>
      <c r="J360" s="29"/>
      <c r="K360" s="29"/>
      <c r="L360" s="107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33"/>
      <c r="D361" s="33"/>
      <c r="E361" s="41"/>
      <c r="F361" s="29"/>
      <c r="G361" s="29"/>
      <c r="H361" s="29"/>
      <c r="I361" s="27"/>
      <c r="J361" s="29"/>
      <c r="K361" s="29"/>
      <c r="L361" s="107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33"/>
      <c r="D362" s="33"/>
      <c r="E362" s="41"/>
      <c r="F362" s="29"/>
      <c r="G362" s="29"/>
      <c r="H362" s="29"/>
      <c r="I362" s="27"/>
      <c r="J362" s="29"/>
      <c r="K362" s="29"/>
      <c r="L362" s="107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33"/>
      <c r="D363" s="33"/>
      <c r="E363" s="41"/>
      <c r="F363" s="29"/>
      <c r="G363" s="29"/>
      <c r="H363" s="29"/>
      <c r="I363" s="27"/>
      <c r="J363" s="29"/>
      <c r="K363" s="29"/>
      <c r="L363" s="107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33"/>
      <c r="D364" s="33"/>
      <c r="E364" s="41"/>
      <c r="F364" s="29"/>
      <c r="G364" s="29"/>
      <c r="H364" s="29"/>
      <c r="I364" s="27"/>
      <c r="J364" s="29"/>
      <c r="K364" s="29"/>
      <c r="L364" s="107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33"/>
      <c r="D365" s="33"/>
      <c r="E365" s="41"/>
      <c r="F365" s="29"/>
      <c r="G365" s="29"/>
      <c r="H365" s="29"/>
      <c r="I365" s="27"/>
      <c r="J365" s="29"/>
      <c r="K365" s="29"/>
      <c r="L365" s="107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33"/>
      <c r="D366" s="33"/>
      <c r="E366" s="41"/>
      <c r="F366" s="29"/>
      <c r="G366" s="29"/>
      <c r="H366" s="29"/>
      <c r="I366" s="27"/>
      <c r="J366" s="29"/>
      <c r="K366" s="29"/>
      <c r="L366" s="107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33"/>
      <c r="D367" s="33"/>
      <c r="E367" s="41"/>
      <c r="F367" s="29"/>
      <c r="G367" s="29"/>
      <c r="H367" s="29"/>
      <c r="I367" s="27"/>
      <c r="J367" s="29"/>
      <c r="K367" s="29"/>
      <c r="L367" s="107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33"/>
      <c r="D368" s="33"/>
      <c r="E368" s="41"/>
      <c r="F368" s="29"/>
      <c r="G368" s="29"/>
      <c r="H368" s="29"/>
      <c r="I368" s="27"/>
      <c r="J368" s="29"/>
      <c r="K368" s="29"/>
      <c r="L368" s="107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33"/>
      <c r="D369" s="33"/>
      <c r="E369" s="41"/>
      <c r="F369" s="29"/>
      <c r="G369" s="29"/>
      <c r="H369" s="29"/>
      <c r="I369" s="27"/>
      <c r="J369" s="29"/>
      <c r="K369" s="29"/>
      <c r="L369" s="107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33"/>
      <c r="D370" s="33"/>
      <c r="E370" s="41"/>
      <c r="F370" s="29"/>
      <c r="G370" s="29"/>
      <c r="H370" s="29"/>
      <c r="I370" s="27"/>
      <c r="J370" s="29"/>
      <c r="K370" s="29"/>
      <c r="L370" s="107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33"/>
      <c r="D371" s="33"/>
      <c r="E371" s="41"/>
      <c r="F371" s="29"/>
      <c r="G371" s="29"/>
      <c r="H371" s="29"/>
      <c r="I371" s="27"/>
      <c r="J371" s="29"/>
      <c r="K371" s="29"/>
      <c r="L371" s="107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33"/>
      <c r="D372" s="33"/>
      <c r="E372" s="41"/>
      <c r="F372" s="29"/>
      <c r="G372" s="29"/>
      <c r="H372" s="29"/>
      <c r="I372" s="27"/>
      <c r="J372" s="29"/>
      <c r="K372" s="29"/>
      <c r="L372" s="107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33"/>
      <c r="D373" s="33"/>
      <c r="E373" s="41"/>
      <c r="F373" s="29"/>
      <c r="G373" s="29"/>
      <c r="H373" s="29"/>
      <c r="I373" s="27"/>
      <c r="J373" s="29"/>
      <c r="K373" s="29"/>
      <c r="L373" s="107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33"/>
      <c r="D374" s="33"/>
      <c r="E374" s="41"/>
      <c r="F374" s="29"/>
      <c r="G374" s="29"/>
      <c r="H374" s="29"/>
      <c r="I374" s="27"/>
      <c r="J374" s="29"/>
      <c r="K374" s="29"/>
      <c r="L374" s="107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33"/>
      <c r="D375" s="33"/>
      <c r="E375" s="41"/>
      <c r="F375" s="29"/>
      <c r="G375" s="29"/>
      <c r="H375" s="29"/>
      <c r="I375" s="27"/>
      <c r="J375" s="29"/>
      <c r="K375" s="29"/>
      <c r="L375" s="107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33"/>
      <c r="D376" s="33"/>
      <c r="E376" s="41"/>
      <c r="F376" s="29"/>
      <c r="G376" s="29"/>
      <c r="H376" s="29"/>
      <c r="I376" s="27"/>
      <c r="J376" s="29"/>
      <c r="K376" s="29"/>
      <c r="L376" s="107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33"/>
      <c r="D377" s="33"/>
      <c r="E377" s="41"/>
      <c r="F377" s="29"/>
      <c r="G377" s="29"/>
      <c r="H377" s="29"/>
      <c r="I377" s="27"/>
      <c r="J377" s="29"/>
      <c r="K377" s="29"/>
      <c r="L377" s="107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33"/>
      <c r="D378" s="33"/>
      <c r="E378" s="41"/>
      <c r="F378" s="29"/>
      <c r="G378" s="29"/>
      <c r="H378" s="29"/>
      <c r="I378" s="27"/>
      <c r="J378" s="29"/>
      <c r="K378" s="29"/>
      <c r="L378" s="107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33"/>
      <c r="D379" s="33"/>
      <c r="E379" s="41"/>
      <c r="F379" s="29"/>
      <c r="G379" s="29"/>
      <c r="H379" s="29"/>
      <c r="I379" s="27"/>
      <c r="J379" s="29"/>
      <c r="K379" s="29"/>
      <c r="L379" s="107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33"/>
      <c r="D380" s="33"/>
      <c r="E380" s="41"/>
      <c r="F380" s="29"/>
      <c r="G380" s="29"/>
      <c r="H380" s="29"/>
      <c r="I380" s="27"/>
      <c r="J380" s="29"/>
      <c r="K380" s="29"/>
      <c r="L380" s="107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33"/>
      <c r="D381" s="33"/>
      <c r="E381" s="41"/>
      <c r="F381" s="29"/>
      <c r="G381" s="29"/>
      <c r="H381" s="29"/>
      <c r="I381" s="27"/>
      <c r="J381" s="29"/>
      <c r="K381" s="29"/>
      <c r="L381" s="107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33"/>
      <c r="D382" s="33"/>
      <c r="E382" s="41"/>
      <c r="F382" s="29"/>
      <c r="G382" s="29"/>
      <c r="H382" s="29"/>
      <c r="I382" s="27"/>
      <c r="J382" s="29"/>
      <c r="K382" s="29"/>
      <c r="L382" s="107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33"/>
      <c r="D383" s="33"/>
      <c r="E383" s="41"/>
      <c r="F383" s="29"/>
      <c r="G383" s="29"/>
      <c r="H383" s="29"/>
      <c r="I383" s="27"/>
      <c r="J383" s="29"/>
      <c r="K383" s="29"/>
      <c r="L383" s="107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33"/>
      <c r="D384" s="33"/>
      <c r="E384" s="41"/>
      <c r="F384" s="29"/>
      <c r="G384" s="29"/>
      <c r="H384" s="29"/>
      <c r="I384" s="27"/>
      <c r="J384" s="29"/>
      <c r="K384" s="29"/>
      <c r="L384" s="107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33"/>
      <c r="D385" s="33"/>
      <c r="E385" s="41"/>
      <c r="F385" s="29"/>
      <c r="G385" s="29"/>
      <c r="H385" s="29"/>
      <c r="I385" s="27"/>
      <c r="J385" s="29"/>
      <c r="K385" s="29"/>
      <c r="L385" s="107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33"/>
      <c r="D386" s="33"/>
      <c r="E386" s="41"/>
      <c r="F386" s="29"/>
      <c r="G386" s="29"/>
      <c r="H386" s="29"/>
      <c r="I386" s="27"/>
      <c r="J386" s="29"/>
      <c r="K386" s="29"/>
      <c r="L386" s="107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33"/>
      <c r="D387" s="33"/>
      <c r="E387" s="41"/>
      <c r="F387" s="29"/>
      <c r="G387" s="29"/>
      <c r="H387" s="29"/>
      <c r="I387" s="27"/>
      <c r="J387" s="29"/>
      <c r="K387" s="29"/>
      <c r="L387" s="107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33"/>
      <c r="D388" s="33"/>
      <c r="E388" s="41"/>
      <c r="F388" s="29"/>
      <c r="G388" s="29"/>
      <c r="H388" s="29"/>
      <c r="I388" s="27"/>
      <c r="J388" s="29"/>
      <c r="K388" s="29"/>
      <c r="L388" s="107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33"/>
      <c r="D389" s="33"/>
      <c r="E389" s="41"/>
      <c r="F389" s="29"/>
      <c r="G389" s="29"/>
      <c r="H389" s="29"/>
      <c r="I389" s="27"/>
      <c r="J389" s="29"/>
      <c r="K389" s="29"/>
      <c r="L389" s="107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33"/>
      <c r="D390" s="33"/>
      <c r="E390" s="41"/>
      <c r="F390" s="29"/>
      <c r="G390" s="29"/>
      <c r="H390" s="29"/>
      <c r="I390" s="27"/>
      <c r="J390" s="29"/>
      <c r="K390" s="29"/>
      <c r="L390" s="107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33"/>
      <c r="D391" s="33"/>
      <c r="E391" s="41"/>
      <c r="F391" s="29"/>
      <c r="G391" s="29"/>
      <c r="H391" s="29"/>
      <c r="I391" s="27"/>
      <c r="J391" s="29"/>
      <c r="K391" s="29"/>
      <c r="L391" s="107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33"/>
      <c r="D392" s="33"/>
      <c r="E392" s="41"/>
      <c r="F392" s="29"/>
      <c r="G392" s="29"/>
      <c r="H392" s="29"/>
      <c r="I392" s="27"/>
      <c r="J392" s="29"/>
      <c r="K392" s="29"/>
      <c r="L392" s="107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33"/>
      <c r="D393" s="33"/>
      <c r="E393" s="41"/>
      <c r="F393" s="29"/>
      <c r="G393" s="29"/>
      <c r="H393" s="29"/>
      <c r="I393" s="27"/>
      <c r="J393" s="29"/>
      <c r="K393" s="29"/>
      <c r="L393" s="107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33"/>
      <c r="D394" s="33"/>
      <c r="E394" s="41"/>
      <c r="F394" s="29"/>
      <c r="G394" s="29"/>
      <c r="H394" s="29"/>
      <c r="I394" s="27"/>
      <c r="J394" s="29"/>
      <c r="K394" s="29"/>
      <c r="L394" s="107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33"/>
      <c r="D395" s="33"/>
      <c r="E395" s="41"/>
      <c r="F395" s="29"/>
      <c r="G395" s="29"/>
      <c r="H395" s="29"/>
      <c r="I395" s="27"/>
      <c r="J395" s="29"/>
      <c r="K395" s="29"/>
      <c r="L395" s="107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33"/>
      <c r="D396" s="33"/>
      <c r="E396" s="41"/>
      <c r="F396" s="29"/>
      <c r="G396" s="29"/>
      <c r="H396" s="29"/>
      <c r="I396" s="27"/>
      <c r="J396" s="29"/>
      <c r="K396" s="29"/>
      <c r="L396" s="107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33"/>
      <c r="D397" s="33"/>
      <c r="E397" s="41"/>
      <c r="F397" s="29"/>
      <c r="G397" s="29"/>
      <c r="H397" s="29"/>
      <c r="I397" s="27"/>
      <c r="J397" s="29"/>
      <c r="K397" s="29"/>
      <c r="L397" s="107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33"/>
      <c r="D398" s="33"/>
      <c r="E398" s="41"/>
      <c r="F398" s="29"/>
      <c r="G398" s="29"/>
      <c r="H398" s="29"/>
      <c r="I398" s="27"/>
      <c r="J398" s="29"/>
      <c r="K398" s="29"/>
      <c r="L398" s="107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33"/>
      <c r="D399" s="33"/>
      <c r="E399" s="41"/>
      <c r="F399" s="29"/>
      <c r="G399" s="29"/>
      <c r="H399" s="29"/>
      <c r="I399" s="27"/>
      <c r="J399" s="29"/>
      <c r="K399" s="29"/>
      <c r="L399" s="107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33"/>
      <c r="D400" s="33"/>
      <c r="E400" s="41"/>
      <c r="F400" s="29"/>
      <c r="G400" s="29"/>
      <c r="H400" s="29"/>
      <c r="I400" s="27"/>
      <c r="J400" s="29"/>
      <c r="K400" s="29"/>
      <c r="L400" s="107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33"/>
      <c r="D401" s="33"/>
      <c r="E401" s="41"/>
      <c r="F401" s="29"/>
      <c r="G401" s="29"/>
      <c r="H401" s="29"/>
      <c r="I401" s="27"/>
      <c r="J401" s="29"/>
      <c r="K401" s="29"/>
      <c r="L401" s="107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33"/>
      <c r="D402" s="33"/>
      <c r="E402" s="41"/>
      <c r="F402" s="29"/>
      <c r="G402" s="29"/>
      <c r="H402" s="29"/>
      <c r="I402" s="27"/>
      <c r="J402" s="29"/>
      <c r="K402" s="29"/>
      <c r="L402" s="107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33"/>
      <c r="D403" s="33"/>
      <c r="E403" s="41"/>
      <c r="F403" s="29"/>
      <c r="G403" s="29"/>
      <c r="H403" s="29"/>
      <c r="I403" s="27"/>
      <c r="J403" s="29"/>
      <c r="K403" s="29"/>
      <c r="L403" s="107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33"/>
      <c r="D404" s="33"/>
      <c r="E404" s="41"/>
      <c r="F404" s="29"/>
      <c r="G404" s="29"/>
      <c r="H404" s="29"/>
      <c r="I404" s="27"/>
      <c r="J404" s="29"/>
      <c r="K404" s="29"/>
      <c r="L404" s="107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33"/>
      <c r="D405" s="33"/>
      <c r="E405" s="41"/>
      <c r="F405" s="29"/>
      <c r="G405" s="29"/>
      <c r="H405" s="29"/>
      <c r="I405" s="27"/>
      <c r="J405" s="29"/>
      <c r="K405" s="29"/>
      <c r="L405" s="107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33"/>
      <c r="D406" s="33"/>
      <c r="E406" s="41"/>
      <c r="F406" s="29"/>
      <c r="G406" s="29"/>
      <c r="H406" s="29"/>
      <c r="I406" s="27"/>
      <c r="J406" s="29"/>
      <c r="K406" s="29"/>
      <c r="L406" s="107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33"/>
      <c r="D407" s="33"/>
      <c r="E407" s="41"/>
      <c r="F407" s="29"/>
      <c r="G407" s="29"/>
      <c r="H407" s="29"/>
      <c r="I407" s="27"/>
      <c r="J407" s="29"/>
      <c r="K407" s="29"/>
      <c r="L407" s="107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33"/>
      <c r="D408" s="33"/>
      <c r="E408" s="41"/>
      <c r="F408" s="29"/>
      <c r="G408" s="29"/>
      <c r="H408" s="29"/>
      <c r="I408" s="27"/>
      <c r="J408" s="29"/>
      <c r="K408" s="29"/>
      <c r="L408" s="107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33"/>
      <c r="D409" s="33"/>
      <c r="E409" s="41"/>
      <c r="F409" s="29"/>
      <c r="G409" s="29"/>
      <c r="H409" s="29"/>
      <c r="I409" s="27"/>
      <c r="J409" s="29"/>
      <c r="K409" s="29"/>
      <c r="L409" s="107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33"/>
      <c r="D410" s="33"/>
      <c r="E410" s="41"/>
      <c r="F410" s="29"/>
      <c r="G410" s="29"/>
      <c r="H410" s="29"/>
      <c r="I410" s="27"/>
      <c r="J410" s="29"/>
      <c r="K410" s="29"/>
      <c r="L410" s="107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33"/>
      <c r="D411" s="33"/>
      <c r="E411" s="41"/>
      <c r="F411" s="29"/>
      <c r="G411" s="29"/>
      <c r="H411" s="29"/>
      <c r="I411" s="27"/>
      <c r="J411" s="29"/>
      <c r="K411" s="29"/>
      <c r="L411" s="107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33"/>
      <c r="D412" s="33"/>
      <c r="E412" s="41"/>
      <c r="F412" s="29"/>
      <c r="G412" s="29"/>
      <c r="H412" s="29"/>
      <c r="I412" s="27"/>
      <c r="J412" s="29"/>
      <c r="K412" s="29"/>
      <c r="L412" s="107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33"/>
      <c r="D413" s="33"/>
      <c r="E413" s="41"/>
      <c r="F413" s="29"/>
      <c r="G413" s="29"/>
      <c r="H413" s="29"/>
      <c r="I413" s="27"/>
      <c r="J413" s="29"/>
      <c r="K413" s="29"/>
      <c r="L413" s="107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33"/>
      <c r="D414" s="33"/>
      <c r="E414" s="41"/>
      <c r="F414" s="29"/>
      <c r="G414" s="29"/>
      <c r="H414" s="29"/>
      <c r="I414" s="27"/>
      <c r="J414" s="29"/>
      <c r="K414" s="29"/>
      <c r="L414" s="107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33"/>
      <c r="D415" s="33"/>
      <c r="E415" s="41"/>
      <c r="F415" s="29"/>
      <c r="G415" s="29"/>
      <c r="H415" s="29"/>
      <c r="I415" s="27"/>
      <c r="J415" s="29"/>
      <c r="K415" s="29"/>
      <c r="L415" s="107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33"/>
      <c r="D416" s="33"/>
      <c r="E416" s="41"/>
      <c r="F416" s="29"/>
      <c r="G416" s="29"/>
      <c r="H416" s="29"/>
      <c r="I416" s="27"/>
      <c r="J416" s="29"/>
      <c r="K416" s="29"/>
      <c r="L416" s="107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33"/>
      <c r="D417" s="33"/>
      <c r="E417" s="41"/>
      <c r="F417" s="29"/>
      <c r="G417" s="29"/>
      <c r="H417" s="29"/>
      <c r="I417" s="27"/>
      <c r="J417" s="29"/>
      <c r="K417" s="29"/>
      <c r="L417" s="107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33"/>
      <c r="D418" s="33"/>
      <c r="E418" s="41"/>
      <c r="F418" s="29"/>
      <c r="G418" s="29"/>
      <c r="H418" s="29"/>
      <c r="I418" s="27"/>
      <c r="J418" s="29"/>
      <c r="K418" s="29"/>
      <c r="L418" s="107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33"/>
      <c r="D419" s="33"/>
      <c r="E419" s="41"/>
      <c r="F419" s="29"/>
      <c r="G419" s="29"/>
      <c r="H419" s="29"/>
      <c r="I419" s="27"/>
      <c r="J419" s="29"/>
      <c r="K419" s="29"/>
      <c r="L419" s="107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33"/>
      <c r="D420" s="33"/>
      <c r="E420" s="41"/>
      <c r="F420" s="29"/>
      <c r="G420" s="29"/>
      <c r="H420" s="29"/>
      <c r="I420" s="27"/>
      <c r="J420" s="29"/>
      <c r="K420" s="29"/>
      <c r="L420" s="107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33"/>
      <c r="D421" s="33"/>
      <c r="E421" s="41"/>
      <c r="F421" s="29"/>
      <c r="G421" s="29"/>
      <c r="H421" s="29"/>
      <c r="I421" s="27"/>
      <c r="J421" s="29"/>
      <c r="K421" s="29"/>
      <c r="L421" s="107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33"/>
      <c r="D422" s="33"/>
      <c r="E422" s="41"/>
      <c r="F422" s="29"/>
      <c r="G422" s="29"/>
      <c r="H422" s="29"/>
      <c r="I422" s="27"/>
      <c r="J422" s="29"/>
      <c r="K422" s="29"/>
      <c r="L422" s="107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33"/>
      <c r="D423" s="33"/>
      <c r="E423" s="41"/>
      <c r="F423" s="29"/>
      <c r="G423" s="29"/>
      <c r="H423" s="29"/>
      <c r="I423" s="27"/>
      <c r="J423" s="29"/>
      <c r="K423" s="29"/>
      <c r="L423" s="107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33"/>
      <c r="D424" s="33"/>
      <c r="E424" s="41"/>
      <c r="F424" s="29"/>
      <c r="G424" s="29"/>
      <c r="H424" s="29"/>
      <c r="I424" s="27"/>
      <c r="J424" s="29"/>
      <c r="K424" s="29"/>
      <c r="L424" s="107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33"/>
      <c r="D425" s="33"/>
      <c r="E425" s="41"/>
      <c r="F425" s="29"/>
      <c r="G425" s="29"/>
      <c r="H425" s="29"/>
      <c r="I425" s="27"/>
      <c r="J425" s="29"/>
      <c r="K425" s="29"/>
      <c r="L425" s="107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33"/>
      <c r="D426" s="33"/>
      <c r="E426" s="41"/>
      <c r="F426" s="29"/>
      <c r="G426" s="29"/>
      <c r="H426" s="29"/>
      <c r="I426" s="27"/>
      <c r="J426" s="29"/>
      <c r="K426" s="29"/>
      <c r="L426" s="107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33"/>
      <c r="D427" s="33"/>
      <c r="E427" s="41"/>
      <c r="F427" s="29"/>
      <c r="G427" s="29"/>
      <c r="H427" s="29"/>
      <c r="I427" s="27"/>
      <c r="J427" s="29"/>
      <c r="K427" s="29"/>
      <c r="L427" s="107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33"/>
      <c r="D428" s="33"/>
      <c r="E428" s="41"/>
      <c r="F428" s="29"/>
      <c r="G428" s="29"/>
      <c r="H428" s="29"/>
      <c r="I428" s="27"/>
      <c r="J428" s="29"/>
      <c r="K428" s="29"/>
      <c r="L428" s="107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33"/>
      <c r="D429" s="33"/>
      <c r="E429" s="41"/>
      <c r="F429" s="29"/>
      <c r="G429" s="29"/>
      <c r="H429" s="29"/>
      <c r="I429" s="27"/>
      <c r="J429" s="29"/>
      <c r="K429" s="29"/>
      <c r="L429" s="107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33"/>
      <c r="D430" s="33"/>
      <c r="E430" s="41"/>
      <c r="F430" s="29"/>
      <c r="G430" s="29"/>
      <c r="H430" s="29"/>
      <c r="I430" s="27"/>
      <c r="J430" s="29"/>
      <c r="K430" s="29"/>
      <c r="L430" s="107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33"/>
      <c r="D431" s="33"/>
      <c r="E431" s="41"/>
      <c r="F431" s="29"/>
      <c r="G431" s="29"/>
      <c r="H431" s="29"/>
      <c r="I431" s="27"/>
      <c r="J431" s="29"/>
      <c r="K431" s="29"/>
      <c r="L431" s="107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33"/>
      <c r="D432" s="33"/>
      <c r="E432" s="41"/>
      <c r="F432" s="29"/>
      <c r="G432" s="29"/>
      <c r="H432" s="29"/>
      <c r="I432" s="27"/>
      <c r="J432" s="29"/>
      <c r="K432" s="29"/>
      <c r="L432" s="107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33"/>
      <c r="D433" s="33"/>
      <c r="E433" s="41"/>
      <c r="F433" s="29"/>
      <c r="G433" s="29"/>
      <c r="H433" s="29"/>
      <c r="I433" s="27"/>
      <c r="J433" s="29"/>
      <c r="K433" s="29"/>
      <c r="L433" s="107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33"/>
      <c r="D434" s="33"/>
      <c r="E434" s="41"/>
      <c r="F434" s="29"/>
      <c r="G434" s="29"/>
      <c r="H434" s="29"/>
      <c r="I434" s="27"/>
      <c r="J434" s="29"/>
      <c r="K434" s="29"/>
      <c r="L434" s="107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33"/>
      <c r="D435" s="33"/>
      <c r="E435" s="41"/>
      <c r="F435" s="29"/>
      <c r="G435" s="29"/>
      <c r="H435" s="29"/>
      <c r="I435" s="27"/>
      <c r="J435" s="29"/>
      <c r="K435" s="29"/>
      <c r="L435" s="107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33"/>
      <c r="D436" s="33"/>
      <c r="E436" s="41"/>
      <c r="F436" s="29"/>
      <c r="G436" s="29"/>
      <c r="H436" s="29"/>
      <c r="I436" s="27"/>
      <c r="J436" s="29"/>
      <c r="K436" s="29"/>
      <c r="L436" s="107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33"/>
      <c r="D437" s="33"/>
      <c r="E437" s="41"/>
      <c r="F437" s="29"/>
      <c r="G437" s="29"/>
      <c r="H437" s="29"/>
      <c r="I437" s="27"/>
      <c r="J437" s="29"/>
      <c r="K437" s="29"/>
      <c r="L437" s="107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33"/>
      <c r="D438" s="33"/>
      <c r="E438" s="41"/>
      <c r="F438" s="29"/>
      <c r="G438" s="29"/>
      <c r="H438" s="29"/>
      <c r="I438" s="27"/>
      <c r="J438" s="29"/>
      <c r="K438" s="29"/>
      <c r="L438" s="107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33"/>
      <c r="D439" s="33"/>
      <c r="E439" s="41"/>
      <c r="F439" s="29"/>
      <c r="G439" s="29"/>
      <c r="H439" s="29"/>
      <c r="I439" s="27"/>
      <c r="J439" s="29"/>
      <c r="K439" s="29"/>
      <c r="L439" s="107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33"/>
      <c r="D440" s="33"/>
      <c r="E440" s="41"/>
      <c r="F440" s="29"/>
      <c r="G440" s="29"/>
      <c r="H440" s="29"/>
      <c r="I440" s="27"/>
      <c r="J440" s="29"/>
      <c r="K440" s="29"/>
      <c r="L440" s="107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33"/>
      <c r="D441" s="33"/>
      <c r="E441" s="41"/>
      <c r="F441" s="29"/>
      <c r="G441" s="29"/>
      <c r="H441" s="29"/>
      <c r="I441" s="27"/>
      <c r="J441" s="29"/>
      <c r="K441" s="29"/>
      <c r="L441" s="107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33"/>
      <c r="D442" s="33"/>
      <c r="E442" s="41"/>
      <c r="F442" s="29"/>
      <c r="G442" s="29"/>
      <c r="H442" s="29"/>
      <c r="I442" s="27"/>
      <c r="J442" s="29"/>
      <c r="K442" s="29"/>
      <c r="L442" s="107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33"/>
      <c r="D443" s="33"/>
      <c r="E443" s="41"/>
      <c r="F443" s="29"/>
      <c r="G443" s="29"/>
      <c r="H443" s="29"/>
      <c r="I443" s="27"/>
      <c r="J443" s="29"/>
      <c r="K443" s="29"/>
      <c r="L443" s="107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33"/>
      <c r="D444" s="33"/>
      <c r="E444" s="41"/>
      <c r="F444" s="29"/>
      <c r="G444" s="29"/>
      <c r="H444" s="29"/>
      <c r="I444" s="27"/>
      <c r="J444" s="29"/>
      <c r="K444" s="29"/>
      <c r="L444" s="107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33"/>
      <c r="D445" s="33"/>
      <c r="E445" s="41"/>
      <c r="F445" s="29"/>
      <c r="G445" s="29"/>
      <c r="H445" s="29"/>
      <c r="I445" s="27"/>
      <c r="J445" s="29"/>
      <c r="K445" s="29"/>
      <c r="L445" s="107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33"/>
      <c r="D446" s="33"/>
      <c r="E446" s="41"/>
      <c r="F446" s="29"/>
      <c r="G446" s="29"/>
      <c r="H446" s="29"/>
      <c r="I446" s="27"/>
      <c r="J446" s="29"/>
      <c r="K446" s="29"/>
      <c r="L446" s="107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33"/>
      <c r="D447" s="33"/>
      <c r="E447" s="41"/>
      <c r="F447" s="29"/>
      <c r="G447" s="29"/>
      <c r="H447" s="29"/>
      <c r="I447" s="27"/>
      <c r="J447" s="29"/>
      <c r="K447" s="29"/>
      <c r="L447" s="107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33"/>
      <c r="D448" s="33"/>
      <c r="E448" s="41"/>
      <c r="F448" s="29"/>
      <c r="G448" s="29"/>
      <c r="H448" s="29"/>
      <c r="I448" s="27"/>
      <c r="J448" s="29"/>
      <c r="K448" s="29"/>
      <c r="L448" s="107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33"/>
      <c r="D449" s="33"/>
      <c r="E449" s="41"/>
      <c r="F449" s="29"/>
      <c r="G449" s="29"/>
      <c r="H449" s="29"/>
      <c r="I449" s="27"/>
      <c r="J449" s="29"/>
      <c r="K449" s="29"/>
      <c r="L449" s="107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33"/>
      <c r="D450" s="33"/>
      <c r="E450" s="41"/>
      <c r="F450" s="29"/>
      <c r="G450" s="29"/>
      <c r="H450" s="29"/>
      <c r="I450" s="27"/>
      <c r="J450" s="29"/>
      <c r="K450" s="29"/>
      <c r="L450" s="107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33"/>
      <c r="D451" s="33"/>
      <c r="E451" s="41"/>
      <c r="F451" s="29"/>
      <c r="G451" s="29"/>
      <c r="H451" s="29"/>
      <c r="I451" s="27"/>
      <c r="J451" s="29"/>
      <c r="K451" s="29"/>
      <c r="L451" s="107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33"/>
      <c r="D452" s="33"/>
      <c r="E452" s="41"/>
      <c r="F452" s="29"/>
      <c r="G452" s="29"/>
      <c r="H452" s="29"/>
      <c r="I452" s="27"/>
      <c r="J452" s="29"/>
      <c r="K452" s="29"/>
      <c r="L452" s="107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33"/>
      <c r="D453" s="33"/>
      <c r="E453" s="41"/>
      <c r="F453" s="29"/>
      <c r="G453" s="29"/>
      <c r="H453" s="29"/>
      <c r="I453" s="27"/>
      <c r="J453" s="29"/>
      <c r="K453" s="29"/>
      <c r="L453" s="107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33"/>
      <c r="D454" s="33"/>
      <c r="E454" s="41"/>
      <c r="F454" s="29"/>
      <c r="G454" s="29"/>
      <c r="H454" s="29"/>
      <c r="I454" s="27"/>
      <c r="J454" s="29"/>
      <c r="K454" s="29"/>
      <c r="L454" s="107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33"/>
      <c r="D455" s="33"/>
      <c r="E455" s="41"/>
      <c r="F455" s="29"/>
      <c r="G455" s="29"/>
      <c r="H455" s="29"/>
      <c r="I455" s="27"/>
      <c r="J455" s="29"/>
      <c r="K455" s="29"/>
      <c r="L455" s="107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33"/>
      <c r="D456" s="33"/>
      <c r="E456" s="41"/>
      <c r="F456" s="29"/>
      <c r="G456" s="29"/>
      <c r="H456" s="29"/>
      <c r="I456" s="27"/>
      <c r="J456" s="29"/>
      <c r="K456" s="29"/>
      <c r="L456" s="107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33"/>
      <c r="D457" s="33"/>
      <c r="E457" s="41"/>
      <c r="F457" s="29"/>
      <c r="G457" s="29"/>
      <c r="H457" s="29"/>
      <c r="I457" s="27"/>
      <c r="J457" s="29"/>
      <c r="K457" s="29"/>
      <c r="L457" s="107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33"/>
      <c r="D458" s="33"/>
      <c r="E458" s="41"/>
      <c r="F458" s="29"/>
      <c r="G458" s="29"/>
      <c r="H458" s="29"/>
      <c r="I458" s="27"/>
      <c r="J458" s="29"/>
      <c r="K458" s="29"/>
      <c r="L458" s="107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33"/>
      <c r="D459" s="33"/>
      <c r="E459" s="41"/>
      <c r="F459" s="29"/>
      <c r="G459" s="29"/>
      <c r="H459" s="29"/>
      <c r="I459" s="27"/>
      <c r="J459" s="29"/>
      <c r="K459" s="29"/>
      <c r="L459" s="107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33"/>
      <c r="D460" s="33"/>
      <c r="E460" s="41"/>
      <c r="F460" s="29"/>
      <c r="G460" s="29"/>
      <c r="H460" s="29"/>
      <c r="I460" s="27"/>
      <c r="J460" s="29"/>
      <c r="K460" s="29"/>
      <c r="L460" s="107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33"/>
      <c r="D461" s="33"/>
      <c r="E461" s="41"/>
      <c r="F461" s="29"/>
      <c r="G461" s="29"/>
      <c r="H461" s="29"/>
      <c r="I461" s="27"/>
      <c r="J461" s="29"/>
      <c r="K461" s="29"/>
      <c r="L461" s="107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33"/>
      <c r="D462" s="33"/>
      <c r="E462" s="41"/>
      <c r="F462" s="29"/>
      <c r="G462" s="29"/>
      <c r="H462" s="29"/>
      <c r="I462" s="27"/>
      <c r="J462" s="29"/>
      <c r="K462" s="29"/>
      <c r="L462" s="107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33"/>
      <c r="D463" s="33"/>
      <c r="E463" s="41"/>
      <c r="F463" s="29"/>
      <c r="G463" s="29"/>
      <c r="H463" s="29"/>
      <c r="I463" s="27"/>
      <c r="J463" s="29"/>
      <c r="K463" s="29"/>
      <c r="L463" s="107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33"/>
      <c r="D464" s="33"/>
      <c r="E464" s="41"/>
      <c r="F464" s="29"/>
      <c r="G464" s="29"/>
      <c r="H464" s="29"/>
      <c r="I464" s="27"/>
      <c r="J464" s="29"/>
      <c r="K464" s="29"/>
      <c r="L464" s="107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33"/>
      <c r="D465" s="33"/>
      <c r="E465" s="41"/>
      <c r="F465" s="29"/>
      <c r="G465" s="29"/>
      <c r="H465" s="29"/>
      <c r="I465" s="27"/>
      <c r="J465" s="29"/>
      <c r="K465" s="29"/>
      <c r="L465" s="107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33"/>
      <c r="D466" s="33"/>
      <c r="E466" s="41"/>
      <c r="F466" s="29"/>
      <c r="G466" s="29"/>
      <c r="H466" s="29"/>
      <c r="I466" s="27"/>
      <c r="J466" s="29"/>
      <c r="K466" s="29"/>
      <c r="L466" s="107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33"/>
      <c r="D467" s="33"/>
      <c r="E467" s="41"/>
      <c r="F467" s="29"/>
      <c r="G467" s="29"/>
      <c r="H467" s="29"/>
      <c r="I467" s="27"/>
      <c r="J467" s="29"/>
      <c r="K467" s="29"/>
      <c r="L467" s="107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33"/>
      <c r="D468" s="33"/>
      <c r="E468" s="41"/>
      <c r="F468" s="29"/>
      <c r="G468" s="29"/>
      <c r="H468" s="29"/>
      <c r="I468" s="27"/>
      <c r="J468" s="29"/>
      <c r="K468" s="29"/>
      <c r="L468" s="107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33"/>
      <c r="D469" s="33"/>
      <c r="E469" s="41"/>
      <c r="F469" s="29"/>
      <c r="G469" s="29"/>
      <c r="H469" s="29"/>
      <c r="I469" s="27"/>
      <c r="J469" s="29"/>
      <c r="K469" s="29"/>
      <c r="L469" s="107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33"/>
      <c r="D470" s="33"/>
      <c r="E470" s="41"/>
      <c r="F470" s="29"/>
      <c r="G470" s="29"/>
      <c r="H470" s="29"/>
      <c r="I470" s="27"/>
      <c r="J470" s="29"/>
      <c r="K470" s="29"/>
      <c r="L470" s="107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33"/>
      <c r="D471" s="33"/>
      <c r="E471" s="41"/>
      <c r="F471" s="29"/>
      <c r="G471" s="29"/>
      <c r="H471" s="29"/>
      <c r="I471" s="27"/>
      <c r="J471" s="29"/>
      <c r="K471" s="29"/>
      <c r="L471" s="107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33"/>
      <c r="D472" s="33"/>
      <c r="E472" s="41"/>
      <c r="F472" s="29"/>
      <c r="G472" s="29"/>
      <c r="H472" s="29"/>
      <c r="I472" s="27"/>
      <c r="J472" s="29"/>
      <c r="K472" s="29"/>
      <c r="L472" s="107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33"/>
      <c r="D473" s="33"/>
      <c r="E473" s="41"/>
      <c r="F473" s="29"/>
      <c r="G473" s="29"/>
      <c r="H473" s="29"/>
      <c r="I473" s="27"/>
      <c r="J473" s="29"/>
      <c r="K473" s="29"/>
      <c r="L473" s="107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33"/>
      <c r="D474" s="33"/>
      <c r="E474" s="41"/>
      <c r="F474" s="29"/>
      <c r="G474" s="29"/>
      <c r="H474" s="29"/>
      <c r="I474" s="27"/>
      <c r="J474" s="29"/>
      <c r="K474" s="29"/>
      <c r="L474" s="107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33"/>
      <c r="D475" s="33"/>
      <c r="E475" s="41"/>
      <c r="F475" s="29"/>
      <c r="G475" s="29"/>
      <c r="H475" s="29"/>
      <c r="I475" s="27"/>
      <c r="J475" s="29"/>
      <c r="K475" s="29"/>
      <c r="L475" s="107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33"/>
      <c r="D476" s="33"/>
      <c r="E476" s="41"/>
      <c r="F476" s="29"/>
      <c r="G476" s="29"/>
      <c r="H476" s="29"/>
      <c r="I476" s="27"/>
      <c r="J476" s="29"/>
      <c r="K476" s="29"/>
      <c r="L476" s="107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33"/>
      <c r="D477" s="33"/>
      <c r="E477" s="41"/>
      <c r="F477" s="29"/>
      <c r="G477" s="29"/>
      <c r="H477" s="29"/>
      <c r="I477" s="27"/>
      <c r="J477" s="29"/>
      <c r="K477" s="29"/>
      <c r="L477" s="107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33"/>
      <c r="D478" s="33"/>
      <c r="E478" s="41"/>
      <c r="F478" s="29"/>
      <c r="G478" s="29"/>
      <c r="H478" s="29"/>
      <c r="I478" s="27"/>
      <c r="J478" s="29"/>
      <c r="K478" s="29"/>
      <c r="L478" s="107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33"/>
      <c r="D479" s="33"/>
      <c r="E479" s="41"/>
      <c r="F479" s="29"/>
      <c r="G479" s="29"/>
      <c r="H479" s="29"/>
      <c r="I479" s="27"/>
      <c r="J479" s="29"/>
      <c r="K479" s="29"/>
      <c r="L479" s="107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33"/>
      <c r="D480" s="33"/>
      <c r="E480" s="41"/>
      <c r="F480" s="29"/>
      <c r="G480" s="29"/>
      <c r="H480" s="29"/>
      <c r="I480" s="27"/>
      <c r="J480" s="29"/>
      <c r="K480" s="29"/>
      <c r="L480" s="107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33"/>
      <c r="D481" s="33"/>
      <c r="E481" s="41"/>
      <c r="F481" s="29"/>
      <c r="G481" s="29"/>
      <c r="H481" s="29"/>
      <c r="I481" s="27"/>
      <c r="J481" s="29"/>
      <c r="K481" s="29"/>
      <c r="L481" s="107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33"/>
      <c r="D482" s="33"/>
      <c r="E482" s="41"/>
      <c r="F482" s="29"/>
      <c r="G482" s="29"/>
      <c r="H482" s="29"/>
      <c r="I482" s="27"/>
      <c r="J482" s="29"/>
      <c r="K482" s="29"/>
      <c r="L482" s="107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33"/>
      <c r="D483" s="33"/>
      <c r="E483" s="41"/>
      <c r="F483" s="29"/>
      <c r="G483" s="29"/>
      <c r="H483" s="29"/>
      <c r="I483" s="27"/>
      <c r="J483" s="29"/>
      <c r="K483" s="29"/>
      <c r="L483" s="107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33"/>
      <c r="D484" s="33"/>
      <c r="E484" s="41"/>
      <c r="F484" s="29"/>
      <c r="G484" s="29"/>
      <c r="H484" s="29"/>
      <c r="I484" s="27"/>
      <c r="J484" s="29"/>
      <c r="K484" s="29"/>
      <c r="L484" s="107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33"/>
      <c r="D485" s="33"/>
      <c r="E485" s="41"/>
      <c r="F485" s="29"/>
      <c r="G485" s="29"/>
      <c r="H485" s="29"/>
      <c r="I485" s="27"/>
      <c r="J485" s="29"/>
      <c r="K485" s="29"/>
      <c r="L485" s="107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33"/>
      <c r="D486" s="33"/>
      <c r="E486" s="41"/>
      <c r="F486" s="29"/>
      <c r="G486" s="29"/>
      <c r="H486" s="29"/>
      <c r="I486" s="27"/>
      <c r="J486" s="29"/>
      <c r="K486" s="29"/>
      <c r="L486" s="107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33"/>
      <c r="D487" s="33"/>
      <c r="E487" s="41"/>
      <c r="F487" s="29"/>
      <c r="G487" s="29"/>
      <c r="H487" s="29"/>
      <c r="I487" s="27"/>
      <c r="J487" s="29"/>
      <c r="K487" s="29"/>
      <c r="L487" s="107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33"/>
      <c r="D488" s="33"/>
      <c r="E488" s="41"/>
      <c r="F488" s="29"/>
      <c r="G488" s="29"/>
      <c r="H488" s="29"/>
      <c r="I488" s="27"/>
      <c r="J488" s="29"/>
      <c r="K488" s="29"/>
      <c r="L488" s="107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33"/>
      <c r="D489" s="33"/>
      <c r="E489" s="41"/>
      <c r="F489" s="29"/>
      <c r="G489" s="29"/>
      <c r="H489" s="29"/>
      <c r="I489" s="27"/>
      <c r="J489" s="29"/>
      <c r="K489" s="29"/>
      <c r="L489" s="107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33"/>
      <c r="D490" s="33"/>
      <c r="E490" s="41"/>
      <c r="F490" s="29"/>
      <c r="G490" s="29"/>
      <c r="H490" s="29"/>
      <c r="I490" s="27"/>
      <c r="J490" s="29"/>
      <c r="K490" s="29"/>
      <c r="L490" s="107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33"/>
      <c r="D491" s="33"/>
      <c r="E491" s="41"/>
      <c r="F491" s="29"/>
      <c r="G491" s="29"/>
      <c r="H491" s="29"/>
      <c r="I491" s="27"/>
      <c r="J491" s="29"/>
      <c r="K491" s="29"/>
      <c r="L491" s="107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33"/>
      <c r="D492" s="33"/>
      <c r="E492" s="41"/>
      <c r="F492" s="29"/>
      <c r="G492" s="29"/>
      <c r="H492" s="29"/>
      <c r="I492" s="27"/>
      <c r="J492" s="29"/>
      <c r="K492" s="29"/>
      <c r="L492" s="107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33"/>
      <c r="D493" s="33"/>
      <c r="E493" s="41"/>
      <c r="F493" s="29"/>
      <c r="G493" s="29"/>
      <c r="H493" s="29"/>
      <c r="I493" s="27"/>
      <c r="J493" s="29"/>
      <c r="K493" s="29"/>
      <c r="L493" s="107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33"/>
      <c r="D494" s="33"/>
      <c r="E494" s="41"/>
      <c r="F494" s="29"/>
      <c r="G494" s="29"/>
      <c r="H494" s="29"/>
      <c r="I494" s="27"/>
      <c r="J494" s="29"/>
      <c r="K494" s="29"/>
      <c r="L494" s="107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33"/>
      <c r="D495" s="33"/>
      <c r="E495" s="41"/>
      <c r="F495" s="29"/>
      <c r="G495" s="29"/>
      <c r="H495" s="29"/>
      <c r="I495" s="27"/>
      <c r="J495" s="29"/>
      <c r="K495" s="29"/>
      <c r="L495" s="107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33"/>
      <c r="D496" s="33"/>
      <c r="E496" s="41"/>
      <c r="F496" s="29"/>
      <c r="G496" s="29"/>
      <c r="H496" s="29"/>
      <c r="I496" s="27"/>
      <c r="J496" s="29"/>
      <c r="K496" s="29"/>
      <c r="L496" s="107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33"/>
      <c r="D497" s="33"/>
      <c r="E497" s="41"/>
      <c r="F497" s="29"/>
      <c r="G497" s="29"/>
      <c r="H497" s="29"/>
      <c r="I497" s="27"/>
      <c r="J497" s="29"/>
      <c r="K497" s="29"/>
      <c r="L497" s="107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33"/>
      <c r="D498" s="33"/>
      <c r="E498" s="41"/>
      <c r="F498" s="29"/>
      <c r="G498" s="29"/>
      <c r="H498" s="29"/>
      <c r="I498" s="27"/>
      <c r="J498" s="29"/>
      <c r="K498" s="29"/>
      <c r="L498" s="107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33"/>
      <c r="D499" s="33"/>
      <c r="E499" s="41"/>
      <c r="F499" s="29"/>
      <c r="G499" s="29"/>
      <c r="H499" s="29"/>
      <c r="I499" s="27"/>
      <c r="J499" s="29"/>
      <c r="K499" s="29"/>
      <c r="L499" s="107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33"/>
      <c r="D500" s="33"/>
      <c r="E500" s="41"/>
      <c r="F500" s="29"/>
      <c r="G500" s="29"/>
      <c r="H500" s="29"/>
      <c r="I500" s="27"/>
      <c r="J500" s="29"/>
      <c r="K500" s="29"/>
      <c r="L500" s="107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33"/>
      <c r="D501" s="33"/>
      <c r="E501" s="41"/>
      <c r="F501" s="29"/>
      <c r="G501" s="29"/>
      <c r="H501" s="29"/>
      <c r="I501" s="27"/>
      <c r="J501" s="29"/>
      <c r="K501" s="29"/>
      <c r="L501" s="107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33"/>
      <c r="D502" s="33"/>
      <c r="E502" s="41"/>
      <c r="F502" s="29"/>
      <c r="G502" s="29"/>
      <c r="H502" s="29"/>
      <c r="I502" s="27"/>
      <c r="J502" s="29"/>
      <c r="K502" s="29"/>
      <c r="L502" s="107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33"/>
      <c r="D503" s="33"/>
      <c r="E503" s="41"/>
      <c r="F503" s="29"/>
      <c r="G503" s="29"/>
      <c r="H503" s="29"/>
      <c r="I503" s="27"/>
      <c r="J503" s="29"/>
      <c r="K503" s="29"/>
      <c r="L503" s="107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33"/>
      <c r="D504" s="33"/>
      <c r="E504" s="41"/>
      <c r="F504" s="29"/>
      <c r="G504" s="29"/>
      <c r="H504" s="29"/>
      <c r="I504" s="27"/>
      <c r="J504" s="29"/>
      <c r="K504" s="29"/>
      <c r="L504" s="107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33"/>
      <c r="D505" s="33"/>
      <c r="E505" s="41"/>
      <c r="F505" s="29"/>
      <c r="G505" s="29"/>
      <c r="H505" s="29"/>
      <c r="I505" s="27"/>
      <c r="J505" s="29"/>
      <c r="K505" s="29"/>
      <c r="L505" s="107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33"/>
      <c r="D506" s="33"/>
      <c r="E506" s="41"/>
      <c r="F506" s="29"/>
      <c r="G506" s="29"/>
      <c r="H506" s="29"/>
      <c r="I506" s="27"/>
      <c r="J506" s="29"/>
      <c r="K506" s="29"/>
      <c r="L506" s="107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33"/>
      <c r="D507" s="33"/>
      <c r="E507" s="41"/>
      <c r="F507" s="29"/>
      <c r="G507" s="29"/>
      <c r="H507" s="29"/>
      <c r="I507" s="27"/>
      <c r="J507" s="29"/>
      <c r="K507" s="29"/>
      <c r="L507" s="107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  <row r="514" spans="4:4" x14ac:dyDescent="0.25">
      <c r="D514" s="137"/>
    </row>
    <row r="515" spans="4:4" x14ac:dyDescent="0.25">
      <c r="D515" s="137"/>
    </row>
  </sheetData>
  <dataConsolidate/>
  <mergeCells count="1">
    <mergeCell ref="J3:K3"/>
  </mergeCells>
  <conditionalFormatting sqref="A8:N507">
    <cfRule type="expression" dxfId="6" priority="1">
      <formula xml:space="preserve"> "" = $E8</formula>
    </cfRule>
    <cfRule type="expression" dxfId="5" priority="5">
      <formula xml:space="preserve"> "انتقال" = $E8</formula>
    </cfRule>
    <cfRule type="expression" dxfId="4" priority="6">
      <formula xml:space="preserve"> "پرداخت_هزینه" = $E8</formula>
    </cfRule>
    <cfRule type="expression" dxfId="3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صورت 13770101 ثبت 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  <dataValidation type="list" allowBlank="1" showInputMessage="1" showErrorMessage="1" sqref="C5">
      <formula1>INDIRECT("showDateTable[ID]")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D3" sqref="D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3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17" t="s">
        <v>355</v>
      </c>
    </row>
    <row r="2" spans="1:33" ht="24" customHeight="1" x14ac:dyDescent="0.25">
      <c r="A2" s="116">
        <v>1400</v>
      </c>
      <c r="D2" s="128"/>
      <c r="E2" s="128"/>
      <c r="F2" s="128">
        <v>0</v>
      </c>
      <c r="G2" s="128">
        <v>1</v>
      </c>
      <c r="H2" s="128">
        <v>2</v>
      </c>
      <c r="I2" s="128">
        <v>3</v>
      </c>
      <c r="J2" s="128">
        <v>4</v>
      </c>
      <c r="K2" s="128">
        <v>5</v>
      </c>
      <c r="L2" s="128">
        <v>6</v>
      </c>
      <c r="M2" s="129"/>
      <c r="N2" s="129"/>
      <c r="O2" s="128"/>
      <c r="P2" s="128">
        <v>0</v>
      </c>
      <c r="Q2" s="128">
        <v>1</v>
      </c>
      <c r="R2" s="128">
        <v>2</v>
      </c>
      <c r="S2" s="128">
        <v>3</v>
      </c>
      <c r="T2" s="128">
        <v>4</v>
      </c>
      <c r="U2" s="128">
        <v>5</v>
      </c>
      <c r="V2" s="128">
        <v>6</v>
      </c>
      <c r="W2" s="129"/>
      <c r="X2" s="129"/>
      <c r="Y2" s="128"/>
      <c r="Z2" s="128">
        <v>0</v>
      </c>
      <c r="AA2" s="128">
        <v>1</v>
      </c>
      <c r="AB2" s="128">
        <v>2</v>
      </c>
      <c r="AC2" s="128">
        <v>3</v>
      </c>
      <c r="AD2" s="128">
        <v>4</v>
      </c>
      <c r="AE2" s="128">
        <v>5</v>
      </c>
      <c r="AF2" s="128">
        <v>6</v>
      </c>
    </row>
    <row r="3" spans="1:33" ht="24" customHeight="1" x14ac:dyDescent="0.25">
      <c r="A3" s="43"/>
      <c r="D3" s="142" t="s">
        <v>366</v>
      </c>
      <c r="E3" s="119"/>
      <c r="F3" s="140" t="s">
        <v>356</v>
      </c>
      <c r="G3" s="140"/>
      <c r="H3" s="140"/>
      <c r="I3" s="140"/>
      <c r="J3" s="140"/>
      <c r="K3" s="140"/>
      <c r="L3" s="140"/>
      <c r="M3" s="121"/>
      <c r="O3" s="119"/>
      <c r="P3" s="140" t="s">
        <v>367</v>
      </c>
      <c r="Q3" s="140"/>
      <c r="R3" s="140"/>
      <c r="S3" s="140"/>
      <c r="T3" s="140"/>
      <c r="U3" s="140"/>
      <c r="V3" s="140"/>
      <c r="W3" s="121"/>
      <c r="Y3" s="119"/>
      <c r="Z3" s="140" t="s">
        <v>370</v>
      </c>
      <c r="AA3" s="140"/>
      <c r="AB3" s="140"/>
      <c r="AC3" s="140"/>
      <c r="AD3" s="140"/>
      <c r="AE3" s="140"/>
      <c r="AF3" s="140"/>
      <c r="AG3" s="121"/>
    </row>
    <row r="4" spans="1:33" ht="24" customHeight="1" thickBot="1" x14ac:dyDescent="0.3">
      <c r="A4" s="11" t="s">
        <v>8</v>
      </c>
      <c r="D4" s="142"/>
      <c r="E4" s="119"/>
      <c r="F4" s="120" t="s">
        <v>357</v>
      </c>
      <c r="G4" s="120" t="s">
        <v>360</v>
      </c>
      <c r="H4" s="120" t="s">
        <v>361</v>
      </c>
      <c r="I4" s="120" t="s">
        <v>362</v>
      </c>
      <c r="J4" s="120" t="s">
        <v>363</v>
      </c>
      <c r="K4" s="120" t="s">
        <v>364</v>
      </c>
      <c r="L4" s="120" t="s">
        <v>358</v>
      </c>
      <c r="M4" s="121"/>
      <c r="O4" s="119"/>
      <c r="P4" s="120" t="s">
        <v>357</v>
      </c>
      <c r="Q4" s="120" t="s">
        <v>360</v>
      </c>
      <c r="R4" s="120" t="s">
        <v>361</v>
      </c>
      <c r="S4" s="120" t="s">
        <v>362</v>
      </c>
      <c r="T4" s="120" t="s">
        <v>363</v>
      </c>
      <c r="U4" s="120" t="s">
        <v>364</v>
      </c>
      <c r="V4" s="120" t="s">
        <v>358</v>
      </c>
      <c r="W4" s="121"/>
      <c r="Y4" s="119"/>
      <c r="Z4" s="120" t="s">
        <v>357</v>
      </c>
      <c r="AA4" s="120" t="s">
        <v>360</v>
      </c>
      <c r="AB4" s="120" t="s">
        <v>361</v>
      </c>
      <c r="AC4" s="120" t="s">
        <v>362</v>
      </c>
      <c r="AD4" s="120" t="s">
        <v>363</v>
      </c>
      <c r="AE4" s="120" t="s">
        <v>364</v>
      </c>
      <c r="AF4" s="120" t="s">
        <v>358</v>
      </c>
      <c r="AG4" s="121"/>
    </row>
    <row r="5" spans="1:33" ht="24" customHeight="1" x14ac:dyDescent="0.25">
      <c r="A5" s="37" t="s">
        <v>116</v>
      </c>
      <c r="D5" s="142"/>
      <c r="E5" s="119"/>
      <c r="F5" s="118" t="str">
        <f>IF(DayWeekNo($A$2&amp;"0101")=F2,1,IF(DayWeekNo($A$2&amp;"0101")&lt;F2,E5+1,""))</f>
        <v/>
      </c>
      <c r="G5" s="118">
        <f>IF(DayWeekNo($A$2&amp;"0101")=G2,1,IF(DayWeekNo($A$2&amp;"0101")&lt;G2,F5+1,""))</f>
        <v>1</v>
      </c>
      <c r="H5" s="118">
        <f>IF(DayWeekNo($A$2&amp;"0101")=H2,1,IF(DayWeekNo($A$2&amp;"0101")&lt;H2,G5+1,""))</f>
        <v>2</v>
      </c>
      <c r="I5" s="118">
        <f>IF(DayWeekNo($A$2&amp;"0101")=I2,1,IF(DayWeekNo($A$2&amp;"0101")&lt;I2,H5+1,""))</f>
        <v>3</v>
      </c>
      <c r="J5" s="118">
        <f>IF(DayWeekNo($A$2&amp;"0101")=J2,1,IF(DayWeekNo($A$2&amp;"0101")&lt;J2,I5+1,""))</f>
        <v>4</v>
      </c>
      <c r="K5" s="118">
        <f>IF(DayWeekNo($A$2&amp;"0101")=K2,1,IF(DayWeekNo($A$2&amp;"0101")&lt;K2,J5+1,""))</f>
        <v>5</v>
      </c>
      <c r="L5" s="118">
        <f>IF(DayWeekNo($A$2&amp;"0101")=L2,1,IF(DayWeekNo($A$2&amp;"0101")&lt;L2,K5+1,""))</f>
        <v>6</v>
      </c>
      <c r="M5" s="122"/>
      <c r="O5" s="119"/>
      <c r="P5" s="118" t="str">
        <f>IF(DayWeekNo($A$2&amp;"0201")=P2,1,IF(DayWeekNo($A$2&amp;"0201")&lt;P2,O5+1,""))</f>
        <v/>
      </c>
      <c r="Q5" s="118" t="str">
        <f>IF(DayWeekNo($A$2&amp;"0201")=Q2,1,IF(DayWeekNo($A$2&amp;"0201")&lt;Q2,P5+1,""))</f>
        <v/>
      </c>
      <c r="R5" s="118" t="str">
        <f>IF(DayWeekNo($A$2&amp;"0201")=R2,1,IF(DayWeekNo($A$2&amp;"0201")&lt;R2,Q5+1,""))</f>
        <v/>
      </c>
      <c r="S5" s="118" t="str">
        <f>IF(DayWeekNo($A$2&amp;"0201")=S2,1,IF(DayWeekNo($A$2&amp;"0201")&lt;S2,R5+1,""))</f>
        <v/>
      </c>
      <c r="T5" s="118">
        <f>IF(DayWeekNo($A$2&amp;"0201")=T2,1,IF(DayWeekNo($A$2&amp;"0201")&lt;T2,S5+1,""))</f>
        <v>1</v>
      </c>
      <c r="U5" s="118">
        <f>IF(DayWeekNo($A$2&amp;"0201")=U2,1,IF(DayWeekNo($A$2&amp;"0201")&lt;U2,T5+1,""))</f>
        <v>2</v>
      </c>
      <c r="V5" s="118">
        <f>IF(DayWeekNo($A$2&amp;"0201")=V2,1,IF(DayWeekNo($A$2&amp;"0201")&lt;V2,U5+1,""))</f>
        <v>3</v>
      </c>
      <c r="Y5" s="119"/>
      <c r="Z5" s="118">
        <f>IF(DayWeekNo($A$2&amp;"0301")=Z2,1,IF(DayWeekNo($A$2&amp;"0301")&lt;Z2,Y5+1,""))</f>
        <v>1</v>
      </c>
      <c r="AA5" s="118">
        <f>IF(DayWeekNo($A$2&amp;"0301")=AA2,1,IF(DayWeekNo($A$2&amp;"0301")&lt;AA2,Z5+1,""))</f>
        <v>2</v>
      </c>
      <c r="AB5" s="118">
        <f>IF(DayWeekNo($A$2&amp;"0301")=AB2,1,IF(DayWeekNo($A$2&amp;"0301")&lt;AB2,AA5+1,""))</f>
        <v>3</v>
      </c>
      <c r="AC5" s="118">
        <f>IF(DayWeekNo($A$2&amp;"0301")=AC2,1,IF(DayWeekNo($A$2&amp;"0301")&lt;AC2,AB5+1,""))</f>
        <v>4</v>
      </c>
      <c r="AD5" s="118">
        <f>IF(DayWeekNo($A$2&amp;"0301")=AD2,1,IF(DayWeekNo($A$2&amp;"0301")&lt;AD2,AC5+1,""))</f>
        <v>5</v>
      </c>
      <c r="AE5" s="118">
        <f>IF(DayWeekNo($A$2&amp;"0301")=AE2,1,IF(DayWeekNo($A$2&amp;"0301")&lt;AE2,AD5+1,""))</f>
        <v>6</v>
      </c>
      <c r="AF5" s="118">
        <f>IF(DayWeekNo($A$2&amp;"0301")=AF2,1,IF(DayWeekNo($A$2&amp;"0301")&lt;AF2,AE5+1,""))</f>
        <v>7</v>
      </c>
      <c r="AG5" s="122"/>
    </row>
    <row r="6" spans="1:33" ht="24" customHeight="1" x14ac:dyDescent="0.25">
      <c r="A6" s="12" t="s">
        <v>103</v>
      </c>
      <c r="D6" s="142"/>
      <c r="E6" s="119"/>
      <c r="F6" s="118">
        <f>IFERROR(IF(L5+1&lt;=31,L5+1,""),"")</f>
        <v>7</v>
      </c>
      <c r="G6" s="118">
        <f>IFERROR(IF(F6+1&lt;=31,F6+1,""),"")</f>
        <v>8</v>
      </c>
      <c r="H6" s="118">
        <f t="shared" ref="H6:L6" si="0">IFERROR(IF(G6+1&lt;=31,G6+1,""),"")</f>
        <v>9</v>
      </c>
      <c r="I6" s="118">
        <f t="shared" si="0"/>
        <v>10</v>
      </c>
      <c r="J6" s="118">
        <f t="shared" si="0"/>
        <v>11</v>
      </c>
      <c r="K6" s="118">
        <f t="shared" si="0"/>
        <v>12</v>
      </c>
      <c r="L6" s="118">
        <f t="shared" si="0"/>
        <v>13</v>
      </c>
      <c r="M6" s="122"/>
      <c r="O6" s="119"/>
      <c r="P6" s="118">
        <f>IFERROR(IF(V5+1&lt;=31,V5+1,""),"")</f>
        <v>4</v>
      </c>
      <c r="Q6" s="118">
        <f>IFERROR(IF(P6+1&lt;=31,P6+1,""),"")</f>
        <v>5</v>
      </c>
      <c r="R6" s="118">
        <f t="shared" ref="R6:V6" si="1">IFERROR(IF(Q6+1&lt;=31,Q6+1,""),"")</f>
        <v>6</v>
      </c>
      <c r="S6" s="118">
        <f t="shared" si="1"/>
        <v>7</v>
      </c>
      <c r="T6" s="118">
        <f t="shared" si="1"/>
        <v>8</v>
      </c>
      <c r="U6" s="118">
        <f t="shared" si="1"/>
        <v>9</v>
      </c>
      <c r="V6" s="118">
        <f t="shared" si="1"/>
        <v>10</v>
      </c>
      <c r="Y6" s="119"/>
      <c r="Z6" s="118">
        <f>IFERROR(IF(AF5+1&lt;=31,AF5+1,""),"")</f>
        <v>8</v>
      </c>
      <c r="AA6" s="118">
        <f>IFERROR(IF(Z6+1&lt;=31,Z6+1,""),"")</f>
        <v>9</v>
      </c>
      <c r="AB6" s="118">
        <f t="shared" ref="AB6:AF6" si="2">IFERROR(IF(AA6+1&lt;=31,AA6+1,""),"")</f>
        <v>10</v>
      </c>
      <c r="AC6" s="118">
        <f t="shared" si="2"/>
        <v>11</v>
      </c>
      <c r="AD6" s="118">
        <f t="shared" si="2"/>
        <v>12</v>
      </c>
      <c r="AE6" s="118">
        <f t="shared" si="2"/>
        <v>13</v>
      </c>
      <c r="AF6" s="118">
        <f t="shared" si="2"/>
        <v>14</v>
      </c>
      <c r="AG6" s="122"/>
    </row>
    <row r="7" spans="1:33" ht="24" customHeight="1" x14ac:dyDescent="0.25">
      <c r="A7" s="13" t="s">
        <v>104</v>
      </c>
      <c r="D7" s="142"/>
      <c r="E7" s="119"/>
      <c r="F7" s="118">
        <f t="shared" ref="F7:F9" si="3">IFERROR(IF(L6+1&lt;=31,L6+1,""),"")</f>
        <v>14</v>
      </c>
      <c r="G7" s="118">
        <f t="shared" ref="G7:L7" si="4">IFERROR(IF(F7+1&lt;=31,F7+1,""),"")</f>
        <v>15</v>
      </c>
      <c r="H7" s="118">
        <f t="shared" si="4"/>
        <v>16</v>
      </c>
      <c r="I7" s="118">
        <f t="shared" si="4"/>
        <v>17</v>
      </c>
      <c r="J7" s="118">
        <f t="shared" si="4"/>
        <v>18</v>
      </c>
      <c r="K7" s="118">
        <f t="shared" si="4"/>
        <v>19</v>
      </c>
      <c r="L7" s="118">
        <f t="shared" si="4"/>
        <v>20</v>
      </c>
      <c r="M7" s="122"/>
      <c r="O7" s="119"/>
      <c r="P7" s="118">
        <f t="shared" ref="P7:P9" si="5">IFERROR(IF(V6+1&lt;=31,V6+1,""),"")</f>
        <v>11</v>
      </c>
      <c r="Q7" s="118">
        <f t="shared" ref="Q7:V7" si="6">IFERROR(IF(P7+1&lt;=31,P7+1,""),"")</f>
        <v>12</v>
      </c>
      <c r="R7" s="118">
        <f t="shared" si="6"/>
        <v>13</v>
      </c>
      <c r="S7" s="118">
        <f t="shared" si="6"/>
        <v>14</v>
      </c>
      <c r="T7" s="118">
        <f t="shared" si="6"/>
        <v>15</v>
      </c>
      <c r="U7" s="118">
        <f t="shared" si="6"/>
        <v>16</v>
      </c>
      <c r="V7" s="118">
        <f t="shared" si="6"/>
        <v>17</v>
      </c>
      <c r="Y7" s="119"/>
      <c r="Z7" s="118">
        <f t="shared" ref="Z7:Z9" si="7">IFERROR(IF(AF6+1&lt;=31,AF6+1,""),"")</f>
        <v>15</v>
      </c>
      <c r="AA7" s="118">
        <f t="shared" ref="AA7:AF7" si="8">IFERROR(IF(Z7+1&lt;=31,Z7+1,""),"")</f>
        <v>16</v>
      </c>
      <c r="AB7" s="118">
        <f t="shared" si="8"/>
        <v>17</v>
      </c>
      <c r="AC7" s="118">
        <f t="shared" si="8"/>
        <v>18</v>
      </c>
      <c r="AD7" s="118">
        <f t="shared" si="8"/>
        <v>19</v>
      </c>
      <c r="AE7" s="118">
        <f t="shared" si="8"/>
        <v>20</v>
      </c>
      <c r="AF7" s="118">
        <f t="shared" si="8"/>
        <v>21</v>
      </c>
      <c r="AG7" s="122"/>
    </row>
    <row r="8" spans="1:33" ht="24" customHeight="1" x14ac:dyDescent="0.25">
      <c r="A8" s="35" t="s">
        <v>105</v>
      </c>
      <c r="D8" s="142"/>
      <c r="E8" s="119"/>
      <c r="F8" s="118">
        <f t="shared" si="3"/>
        <v>21</v>
      </c>
      <c r="G8" s="118">
        <f t="shared" ref="G8:L8" si="9">IFERROR(IF(F8+1&lt;=31,F8+1,""),"")</f>
        <v>22</v>
      </c>
      <c r="H8" s="118">
        <f t="shared" si="9"/>
        <v>23</v>
      </c>
      <c r="I8" s="118">
        <f t="shared" si="9"/>
        <v>24</v>
      </c>
      <c r="J8" s="118">
        <f t="shared" si="9"/>
        <v>25</v>
      </c>
      <c r="K8" s="118">
        <f t="shared" si="9"/>
        <v>26</v>
      </c>
      <c r="L8" s="118">
        <f t="shared" si="9"/>
        <v>27</v>
      </c>
      <c r="M8" s="122"/>
      <c r="O8" s="119"/>
      <c r="P8" s="118">
        <f t="shared" si="5"/>
        <v>18</v>
      </c>
      <c r="Q8" s="118">
        <f t="shared" ref="Q8:V8" si="10">IFERROR(IF(P8+1&lt;=31,P8+1,""),"")</f>
        <v>19</v>
      </c>
      <c r="R8" s="118">
        <f t="shared" si="10"/>
        <v>20</v>
      </c>
      <c r="S8" s="118">
        <f t="shared" si="10"/>
        <v>21</v>
      </c>
      <c r="T8" s="118">
        <f t="shared" si="10"/>
        <v>22</v>
      </c>
      <c r="U8" s="118">
        <f t="shared" si="10"/>
        <v>23</v>
      </c>
      <c r="V8" s="118">
        <f t="shared" si="10"/>
        <v>24</v>
      </c>
      <c r="Y8" s="119"/>
      <c r="Z8" s="118">
        <f t="shared" si="7"/>
        <v>22</v>
      </c>
      <c r="AA8" s="118">
        <f t="shared" ref="AA8:AF8" si="11">IFERROR(IF(Z8+1&lt;=31,Z8+1,""),"")</f>
        <v>23</v>
      </c>
      <c r="AB8" s="118">
        <f t="shared" si="11"/>
        <v>24</v>
      </c>
      <c r="AC8" s="118">
        <f t="shared" si="11"/>
        <v>25</v>
      </c>
      <c r="AD8" s="118">
        <f t="shared" si="11"/>
        <v>26</v>
      </c>
      <c r="AE8" s="118">
        <f t="shared" si="11"/>
        <v>27</v>
      </c>
      <c r="AF8" s="118">
        <f t="shared" si="11"/>
        <v>28</v>
      </c>
      <c r="AG8" s="122"/>
    </row>
    <row r="9" spans="1:33" ht="24" customHeight="1" x14ac:dyDescent="0.25">
      <c r="A9" s="14" t="s">
        <v>111</v>
      </c>
      <c r="D9" s="142"/>
      <c r="E9" s="119"/>
      <c r="F9" s="118">
        <f t="shared" si="3"/>
        <v>28</v>
      </c>
      <c r="G9" s="118">
        <f t="shared" ref="G9:L10" si="12">IFERROR(IF(F9+1&lt;=31,F9+1,""),"")</f>
        <v>29</v>
      </c>
      <c r="H9" s="118">
        <f t="shared" si="12"/>
        <v>30</v>
      </c>
      <c r="I9" s="118">
        <f t="shared" si="12"/>
        <v>31</v>
      </c>
      <c r="J9" s="118" t="str">
        <f t="shared" si="12"/>
        <v/>
      </c>
      <c r="K9" s="118" t="str">
        <f t="shared" si="12"/>
        <v/>
      </c>
      <c r="L9" s="118" t="str">
        <f t="shared" si="12"/>
        <v/>
      </c>
      <c r="M9" s="122"/>
      <c r="O9" s="119"/>
      <c r="P9" s="118">
        <f t="shared" si="5"/>
        <v>25</v>
      </c>
      <c r="Q9" s="118">
        <f t="shared" ref="Q9:V10" si="13">IFERROR(IF(P9+1&lt;=31,P9+1,""),"")</f>
        <v>26</v>
      </c>
      <c r="R9" s="118">
        <f t="shared" si="13"/>
        <v>27</v>
      </c>
      <c r="S9" s="118">
        <f t="shared" si="13"/>
        <v>28</v>
      </c>
      <c r="T9" s="118">
        <f t="shared" si="13"/>
        <v>29</v>
      </c>
      <c r="U9" s="118">
        <f t="shared" si="13"/>
        <v>30</v>
      </c>
      <c r="V9" s="118">
        <f t="shared" si="13"/>
        <v>31</v>
      </c>
      <c r="Y9" s="119"/>
      <c r="Z9" s="118">
        <f t="shared" si="7"/>
        <v>29</v>
      </c>
      <c r="AA9" s="118">
        <f t="shared" ref="AA9:AF10" si="14">IFERROR(IF(Z9+1&lt;=31,Z9+1,""),"")</f>
        <v>30</v>
      </c>
      <c r="AB9" s="118">
        <f t="shared" si="14"/>
        <v>31</v>
      </c>
      <c r="AC9" s="118" t="str">
        <f t="shared" si="14"/>
        <v/>
      </c>
      <c r="AD9" s="118" t="str">
        <f t="shared" si="14"/>
        <v/>
      </c>
      <c r="AE9" s="118" t="str">
        <f t="shared" si="14"/>
        <v/>
      </c>
      <c r="AF9" s="118" t="str">
        <f t="shared" si="14"/>
        <v/>
      </c>
      <c r="AG9" s="122"/>
    </row>
    <row r="10" spans="1:33" ht="24" customHeight="1" x14ac:dyDescent="0.25">
      <c r="A10" s="15" t="s">
        <v>90</v>
      </c>
      <c r="D10" s="142"/>
      <c r="E10" s="119"/>
      <c r="F10" s="118" t="str">
        <f t="shared" ref="F10" si="15">IFERROR(IF(L9+1&lt;=31,L9+1,""),"")</f>
        <v/>
      </c>
      <c r="G10" s="118" t="str">
        <f t="shared" si="12"/>
        <v/>
      </c>
      <c r="H10" s="118" t="str">
        <f t="shared" si="12"/>
        <v/>
      </c>
      <c r="I10" s="118" t="str">
        <f t="shared" si="12"/>
        <v/>
      </c>
      <c r="J10" s="118" t="str">
        <f t="shared" si="12"/>
        <v/>
      </c>
      <c r="K10" s="118" t="str">
        <f t="shared" si="12"/>
        <v/>
      </c>
      <c r="L10" s="118" t="str">
        <f t="shared" si="12"/>
        <v/>
      </c>
      <c r="O10" s="119"/>
      <c r="P10" s="118" t="str">
        <f t="shared" ref="P10" si="16">IFERROR(IF(V9+1&lt;=31,V9+1,""),"")</f>
        <v/>
      </c>
      <c r="Q10" s="118" t="str">
        <f t="shared" si="13"/>
        <v/>
      </c>
      <c r="R10" s="118" t="str">
        <f t="shared" si="13"/>
        <v/>
      </c>
      <c r="S10" s="118" t="str">
        <f t="shared" si="13"/>
        <v/>
      </c>
      <c r="T10" s="118" t="str">
        <f t="shared" si="13"/>
        <v/>
      </c>
      <c r="U10" s="118" t="str">
        <f t="shared" si="13"/>
        <v/>
      </c>
      <c r="V10" s="118" t="str">
        <f t="shared" si="13"/>
        <v/>
      </c>
      <c r="Y10" s="119"/>
      <c r="Z10" s="118" t="str">
        <f t="shared" ref="Z10" si="17">IFERROR(IF(AF9+1&lt;=31,AF9+1,""),"")</f>
        <v/>
      </c>
      <c r="AA10" s="118" t="str">
        <f t="shared" si="14"/>
        <v/>
      </c>
      <c r="AB10" s="118" t="str">
        <f t="shared" si="14"/>
        <v/>
      </c>
      <c r="AC10" s="118" t="str">
        <f t="shared" si="14"/>
        <v/>
      </c>
      <c r="AD10" s="118" t="str">
        <f t="shared" si="14"/>
        <v/>
      </c>
      <c r="AE10" s="118" t="str">
        <f t="shared" si="14"/>
        <v/>
      </c>
      <c r="AF10" s="118" t="str">
        <f t="shared" si="14"/>
        <v/>
      </c>
    </row>
    <row r="11" spans="1:33" ht="24" customHeight="1" x14ac:dyDescent="0.25">
      <c r="A11" s="25" t="s">
        <v>112</v>
      </c>
      <c r="D11" s="128"/>
      <c r="E11" s="128"/>
      <c r="F11" s="128">
        <v>0</v>
      </c>
      <c r="G11" s="128">
        <v>1</v>
      </c>
      <c r="H11" s="128">
        <v>2</v>
      </c>
      <c r="I11" s="128">
        <v>3</v>
      </c>
      <c r="J11" s="128">
        <v>4</v>
      </c>
      <c r="K11" s="128">
        <v>5</v>
      </c>
      <c r="L11" s="128">
        <v>6</v>
      </c>
      <c r="M11" s="129"/>
      <c r="N11" s="129"/>
      <c r="O11" s="128"/>
      <c r="P11" s="128">
        <v>0</v>
      </c>
      <c r="Q11" s="128">
        <v>1</v>
      </c>
      <c r="R11" s="128">
        <v>2</v>
      </c>
      <c r="S11" s="128">
        <v>3</v>
      </c>
      <c r="T11" s="128">
        <v>4</v>
      </c>
      <c r="U11" s="128">
        <v>5</v>
      </c>
      <c r="V11" s="128">
        <v>6</v>
      </c>
      <c r="W11" s="129"/>
      <c r="X11" s="129"/>
      <c r="Y11" s="129"/>
      <c r="Z11" s="128">
        <v>0</v>
      </c>
      <c r="AA11" s="128">
        <v>1</v>
      </c>
      <c r="AB11" s="128">
        <v>2</v>
      </c>
      <c r="AC11" s="128">
        <v>3</v>
      </c>
      <c r="AD11" s="128">
        <v>4</v>
      </c>
      <c r="AE11" s="128">
        <v>5</v>
      </c>
      <c r="AF11" s="128">
        <v>6</v>
      </c>
      <c r="AG11" s="129"/>
    </row>
    <row r="12" spans="1:33" ht="24" customHeight="1" x14ac:dyDescent="0.25">
      <c r="A12" s="16" t="s">
        <v>106</v>
      </c>
      <c r="D12" s="141" t="s">
        <v>368</v>
      </c>
      <c r="E12" s="123"/>
      <c r="F12" s="139" t="s">
        <v>369</v>
      </c>
      <c r="G12" s="139"/>
      <c r="H12" s="139"/>
      <c r="I12" s="139"/>
      <c r="J12" s="139"/>
      <c r="K12" s="139"/>
      <c r="L12" s="139"/>
      <c r="M12" s="124"/>
      <c r="O12" s="123"/>
      <c r="P12" s="139" t="s">
        <v>371</v>
      </c>
      <c r="Q12" s="139"/>
      <c r="R12" s="139"/>
      <c r="S12" s="139"/>
      <c r="T12" s="139"/>
      <c r="U12" s="139"/>
      <c r="V12" s="139"/>
      <c r="W12" s="124"/>
      <c r="Y12" s="123"/>
      <c r="Z12" s="139" t="s">
        <v>372</v>
      </c>
      <c r="AA12" s="139"/>
      <c r="AB12" s="139"/>
      <c r="AC12" s="139"/>
      <c r="AD12" s="139"/>
      <c r="AE12" s="139"/>
      <c r="AF12" s="139"/>
      <c r="AG12" s="124"/>
    </row>
    <row r="13" spans="1:33" ht="24" customHeight="1" thickBot="1" x14ac:dyDescent="0.3">
      <c r="A13" s="17" t="s">
        <v>99</v>
      </c>
      <c r="D13" s="141"/>
      <c r="E13" s="123"/>
      <c r="F13" s="120" t="s">
        <v>357</v>
      </c>
      <c r="G13" s="120" t="s">
        <v>360</v>
      </c>
      <c r="H13" s="120" t="s">
        <v>361</v>
      </c>
      <c r="I13" s="120" t="s">
        <v>362</v>
      </c>
      <c r="J13" s="120" t="s">
        <v>363</v>
      </c>
      <c r="K13" s="120" t="s">
        <v>364</v>
      </c>
      <c r="L13" s="120" t="s">
        <v>358</v>
      </c>
      <c r="M13" s="124"/>
      <c r="O13" s="123"/>
      <c r="P13" s="120" t="s">
        <v>357</v>
      </c>
      <c r="Q13" s="120" t="s">
        <v>360</v>
      </c>
      <c r="R13" s="120" t="s">
        <v>361</v>
      </c>
      <c r="S13" s="120" t="s">
        <v>362</v>
      </c>
      <c r="T13" s="120" t="s">
        <v>363</v>
      </c>
      <c r="U13" s="120" t="s">
        <v>364</v>
      </c>
      <c r="V13" s="120" t="s">
        <v>358</v>
      </c>
      <c r="W13" s="124"/>
      <c r="Y13" s="123"/>
      <c r="Z13" s="120" t="s">
        <v>357</v>
      </c>
      <c r="AA13" s="120" t="s">
        <v>360</v>
      </c>
      <c r="AB13" s="120" t="s">
        <v>361</v>
      </c>
      <c r="AC13" s="120" t="s">
        <v>362</v>
      </c>
      <c r="AD13" s="120" t="s">
        <v>363</v>
      </c>
      <c r="AE13" s="120" t="s">
        <v>364</v>
      </c>
      <c r="AF13" s="120" t="s">
        <v>358</v>
      </c>
      <c r="AG13" s="124"/>
    </row>
    <row r="14" spans="1:33" ht="24" customHeight="1" x14ac:dyDescent="0.25">
      <c r="A14" s="133" t="s">
        <v>100</v>
      </c>
      <c r="D14" s="141"/>
      <c r="E14" s="123"/>
      <c r="F14" s="118" t="str">
        <f>IF(DayWeekNo($A$2&amp;"0401")=F11,1,IF(DayWeekNo($A$2&amp;"0401")&lt;F11,E14+1,""))</f>
        <v/>
      </c>
      <c r="G14" s="118" t="str">
        <f>IF(DayWeekNo($A$2&amp;"0401")=G11,1,IF(DayWeekNo($A$2&amp;"0401")&lt;G11,F14+1,""))</f>
        <v/>
      </c>
      <c r="H14" s="118" t="str">
        <f>IF(DayWeekNo($A$2&amp;"0401")=H11,1,IF(DayWeekNo($A$2&amp;"0401")&lt;H11,G14+1,""))</f>
        <v/>
      </c>
      <c r="I14" s="118">
        <f>IF(DayWeekNo($A$2&amp;"0401")=I11,1,IF(DayWeekNo($A$2&amp;"0401")&lt;I11,H14+1,""))</f>
        <v>1</v>
      </c>
      <c r="J14" s="118">
        <f>IF(DayWeekNo($A$2&amp;"0401")=J11,1,IF(DayWeekNo($A$2&amp;"0401")&lt;J11,I14+1,""))</f>
        <v>2</v>
      </c>
      <c r="K14" s="118">
        <f>IF(DayWeekNo($A$2&amp;"0401")=K11,1,IF(DayWeekNo($A$2&amp;"0401")&lt;K11,J14+1,""))</f>
        <v>3</v>
      </c>
      <c r="L14" s="118">
        <f>IF(DayWeekNo($A$2&amp;"0401")=L11,1,IF(DayWeekNo($A$2&amp;"0401")&lt;L11,K14+1,""))</f>
        <v>4</v>
      </c>
      <c r="M14" s="122"/>
      <c r="O14" s="123"/>
      <c r="P14" s="118" t="str">
        <f>IF(DayWeekNo($A$2&amp;"0501")=P11,1,IF(DayWeekNo($A$2&amp;"0501")&lt;P11,O14+1,""))</f>
        <v/>
      </c>
      <c r="Q14" s="118" t="str">
        <f>IF(DayWeekNo($A$2&amp;"0501")=Q11,1,IF(DayWeekNo($A$2&amp;"0501")&lt;Q11,P14+1,""))</f>
        <v/>
      </c>
      <c r="R14" s="118" t="str">
        <f>IF(DayWeekNo($A$2&amp;"0501")=R11,1,IF(DayWeekNo($A$2&amp;"0501")&lt;R11,Q14+1,""))</f>
        <v/>
      </c>
      <c r="S14" s="118" t="str">
        <f>IF(DayWeekNo($A$2&amp;"0501")=S11,1,IF(DayWeekNo($A$2&amp;"0501")&lt;S11,R14+1,""))</f>
        <v/>
      </c>
      <c r="T14" s="118" t="str">
        <f>IF(DayWeekNo($A$2&amp;"0501")=T11,1,IF(DayWeekNo($A$2&amp;"0501")&lt;T11,S14+1,""))</f>
        <v/>
      </c>
      <c r="U14" s="118" t="str">
        <f>IF(DayWeekNo($A$2&amp;"0501")=U11,1,IF(DayWeekNo($A$2&amp;"0501")&lt;U11,T14+1,""))</f>
        <v/>
      </c>
      <c r="V14" s="118">
        <f>IF(DayWeekNo($A$2&amp;"0501")=V11,1,IF(DayWeekNo($A$2&amp;"0501")&lt;V11,U14+1,""))</f>
        <v>1</v>
      </c>
      <c r="W14" s="122"/>
      <c r="Y14" s="123"/>
      <c r="Z14" s="118" t="str">
        <f>IF(DayWeekNo($A$2&amp;"0601")=Z11,1,IF(DayWeekNo($A$2&amp;"0601")&lt;Z11,Y14+1,""))</f>
        <v/>
      </c>
      <c r="AA14" s="118" t="str">
        <f>IF(DayWeekNo($A$2&amp;"0601")=AA11,1,IF(DayWeekNo($A$2&amp;"0601")&lt;AA11,Z14+1,""))</f>
        <v/>
      </c>
      <c r="AB14" s="118">
        <f>IF(DayWeekNo($A$2&amp;"0601")=AB11,1,IF(DayWeekNo($A$2&amp;"0601")&lt;AB11,AA14+1,""))</f>
        <v>1</v>
      </c>
      <c r="AC14" s="118">
        <f>IF(DayWeekNo($A$2&amp;"0601")=AC11,1,IF(DayWeekNo($A$2&amp;"0601")&lt;AC11,AB14+1,""))</f>
        <v>2</v>
      </c>
      <c r="AD14" s="118">
        <f>IF(DayWeekNo($A$2&amp;"0601")=AD11,1,IF(DayWeekNo($A$2&amp;"0601")&lt;AD11,AC14+1,""))</f>
        <v>3</v>
      </c>
      <c r="AE14" s="118">
        <f>IF(DayWeekNo($A$2&amp;"0601")=AE11,1,IF(DayWeekNo($A$2&amp;"0601")&lt;AE11,AD14+1,""))</f>
        <v>4</v>
      </c>
      <c r="AF14" s="118">
        <f>IF(DayWeekNo($A$2&amp;"0601")=AF11,1,IF(DayWeekNo($A$2&amp;"0601")&lt;AF11,AE14+1,""))</f>
        <v>5</v>
      </c>
      <c r="AG14" s="122"/>
    </row>
    <row r="15" spans="1:33" ht="24" customHeight="1" x14ac:dyDescent="0.25">
      <c r="A15" s="114" t="s">
        <v>101</v>
      </c>
      <c r="D15" s="141"/>
      <c r="E15" s="123"/>
      <c r="F15" s="118">
        <f>IFERROR(IF(L14+1&lt;=31,L14+1,""),"")</f>
        <v>5</v>
      </c>
      <c r="G15" s="118">
        <f>IFERROR(IF(F15+1&lt;=31,F15+1,""),"")</f>
        <v>6</v>
      </c>
      <c r="H15" s="118">
        <f t="shared" ref="H15:L15" si="18">IFERROR(IF(G15+1&lt;=31,G15+1,""),"")</f>
        <v>7</v>
      </c>
      <c r="I15" s="118">
        <f t="shared" si="18"/>
        <v>8</v>
      </c>
      <c r="J15" s="118">
        <f t="shared" si="18"/>
        <v>9</v>
      </c>
      <c r="K15" s="118">
        <f t="shared" si="18"/>
        <v>10</v>
      </c>
      <c r="L15" s="118">
        <f t="shared" si="18"/>
        <v>11</v>
      </c>
      <c r="M15" s="122"/>
      <c r="O15" s="123"/>
      <c r="P15" s="118">
        <f>IFERROR(IF(V14+1&lt;=31,V14+1,""),"")</f>
        <v>2</v>
      </c>
      <c r="Q15" s="118">
        <f>IFERROR(IF(P15+1&lt;=31,P15+1,""),"")</f>
        <v>3</v>
      </c>
      <c r="R15" s="118">
        <f t="shared" ref="R15:V15" si="19">IFERROR(IF(Q15+1&lt;=31,Q15+1,""),"")</f>
        <v>4</v>
      </c>
      <c r="S15" s="118">
        <f t="shared" si="19"/>
        <v>5</v>
      </c>
      <c r="T15" s="118">
        <f t="shared" si="19"/>
        <v>6</v>
      </c>
      <c r="U15" s="118">
        <f t="shared" si="19"/>
        <v>7</v>
      </c>
      <c r="V15" s="118">
        <f t="shared" si="19"/>
        <v>8</v>
      </c>
      <c r="W15" s="122"/>
      <c r="Y15" s="123"/>
      <c r="Z15" s="118">
        <f>IFERROR(IF(AF14+1&lt;=31,AF14+1,""),"")</f>
        <v>6</v>
      </c>
      <c r="AA15" s="118">
        <f>IFERROR(IF(Z15+1&lt;=31,Z15+1,""),"")</f>
        <v>7</v>
      </c>
      <c r="AB15" s="118">
        <f t="shared" ref="AB15:AF15" si="20">IFERROR(IF(AA15+1&lt;=31,AA15+1,""),"")</f>
        <v>8</v>
      </c>
      <c r="AC15" s="118">
        <f t="shared" si="20"/>
        <v>9</v>
      </c>
      <c r="AD15" s="118">
        <f t="shared" si="20"/>
        <v>10</v>
      </c>
      <c r="AE15" s="118">
        <f t="shared" si="20"/>
        <v>11</v>
      </c>
      <c r="AF15" s="118">
        <f t="shared" si="20"/>
        <v>12</v>
      </c>
      <c r="AG15" s="122"/>
    </row>
    <row r="16" spans="1:33" ht="24" customHeight="1" x14ac:dyDescent="0.25">
      <c r="D16" s="141"/>
      <c r="E16" s="123"/>
      <c r="F16" s="118">
        <f t="shared" ref="F16:F18" si="21">IFERROR(IF(L15+1&lt;=31,L15+1,""),"")</f>
        <v>12</v>
      </c>
      <c r="G16" s="118">
        <f t="shared" ref="G16:L16" si="22">IFERROR(IF(F16+1&lt;=31,F16+1,""),"")</f>
        <v>13</v>
      </c>
      <c r="H16" s="118">
        <f t="shared" si="22"/>
        <v>14</v>
      </c>
      <c r="I16" s="118">
        <f t="shared" si="22"/>
        <v>15</v>
      </c>
      <c r="J16" s="118">
        <f t="shared" si="22"/>
        <v>16</v>
      </c>
      <c r="K16" s="118">
        <f t="shared" si="22"/>
        <v>17</v>
      </c>
      <c r="L16" s="118">
        <f t="shared" si="22"/>
        <v>18</v>
      </c>
      <c r="M16" s="122"/>
      <c r="O16" s="123"/>
      <c r="P16" s="118">
        <f t="shared" ref="P16:P18" si="23">IFERROR(IF(V15+1&lt;=31,V15+1,""),"")</f>
        <v>9</v>
      </c>
      <c r="Q16" s="118">
        <f t="shared" ref="Q16:V16" si="24">IFERROR(IF(P16+1&lt;=31,P16+1,""),"")</f>
        <v>10</v>
      </c>
      <c r="R16" s="118">
        <f t="shared" si="24"/>
        <v>11</v>
      </c>
      <c r="S16" s="118">
        <f t="shared" si="24"/>
        <v>12</v>
      </c>
      <c r="T16" s="118">
        <f t="shared" si="24"/>
        <v>13</v>
      </c>
      <c r="U16" s="118">
        <f t="shared" si="24"/>
        <v>14</v>
      </c>
      <c r="V16" s="118">
        <f t="shared" si="24"/>
        <v>15</v>
      </c>
      <c r="W16" s="122"/>
      <c r="Y16" s="123"/>
      <c r="Z16" s="118">
        <f t="shared" ref="Z16:Z19" si="25">IFERROR(IF(AF15+1&lt;=31,AF15+1,""),"")</f>
        <v>13</v>
      </c>
      <c r="AA16" s="118">
        <f t="shared" ref="AA16:AF16" si="26">IFERROR(IF(Z16+1&lt;=31,Z16+1,""),"")</f>
        <v>14</v>
      </c>
      <c r="AB16" s="118">
        <f t="shared" si="26"/>
        <v>15</v>
      </c>
      <c r="AC16" s="118">
        <f t="shared" si="26"/>
        <v>16</v>
      </c>
      <c r="AD16" s="118">
        <f t="shared" si="26"/>
        <v>17</v>
      </c>
      <c r="AE16" s="118">
        <f t="shared" si="26"/>
        <v>18</v>
      </c>
      <c r="AF16" s="118">
        <f t="shared" si="26"/>
        <v>19</v>
      </c>
      <c r="AG16" s="122"/>
    </row>
    <row r="17" spans="4:33" ht="21" x14ac:dyDescent="0.25">
      <c r="D17" s="141"/>
      <c r="E17" s="123"/>
      <c r="F17" s="118">
        <f t="shared" si="21"/>
        <v>19</v>
      </c>
      <c r="G17" s="118">
        <f t="shared" ref="G17:L17" si="27">IFERROR(IF(F17+1&lt;=31,F17+1,""),"")</f>
        <v>20</v>
      </c>
      <c r="H17" s="118">
        <f t="shared" si="27"/>
        <v>21</v>
      </c>
      <c r="I17" s="118">
        <f t="shared" si="27"/>
        <v>22</v>
      </c>
      <c r="J17" s="118">
        <f t="shared" si="27"/>
        <v>23</v>
      </c>
      <c r="K17" s="118">
        <f t="shared" si="27"/>
        <v>24</v>
      </c>
      <c r="L17" s="118">
        <f t="shared" si="27"/>
        <v>25</v>
      </c>
      <c r="M17" s="122"/>
      <c r="O17" s="123"/>
      <c r="P17" s="118">
        <f t="shared" si="23"/>
        <v>16</v>
      </c>
      <c r="Q17" s="118">
        <f t="shared" ref="Q17:V17" si="28">IFERROR(IF(P17+1&lt;=31,P17+1,""),"")</f>
        <v>17</v>
      </c>
      <c r="R17" s="118">
        <f t="shared" si="28"/>
        <v>18</v>
      </c>
      <c r="S17" s="118">
        <f t="shared" si="28"/>
        <v>19</v>
      </c>
      <c r="T17" s="118">
        <f t="shared" si="28"/>
        <v>20</v>
      </c>
      <c r="U17" s="118">
        <f t="shared" si="28"/>
        <v>21</v>
      </c>
      <c r="V17" s="118">
        <f t="shared" si="28"/>
        <v>22</v>
      </c>
      <c r="W17" s="122"/>
      <c r="Y17" s="123"/>
      <c r="Z17" s="118">
        <f t="shared" si="25"/>
        <v>20</v>
      </c>
      <c r="AA17" s="118">
        <f t="shared" ref="AA17:AF17" si="29">IFERROR(IF(Z17+1&lt;=31,Z17+1,""),"")</f>
        <v>21</v>
      </c>
      <c r="AB17" s="118">
        <f t="shared" si="29"/>
        <v>22</v>
      </c>
      <c r="AC17" s="118">
        <f t="shared" si="29"/>
        <v>23</v>
      </c>
      <c r="AD17" s="118">
        <f t="shared" si="29"/>
        <v>24</v>
      </c>
      <c r="AE17" s="118">
        <f t="shared" si="29"/>
        <v>25</v>
      </c>
      <c r="AF17" s="118">
        <f t="shared" si="29"/>
        <v>26</v>
      </c>
      <c r="AG17" s="122"/>
    </row>
    <row r="18" spans="4:33" ht="21" x14ac:dyDescent="0.25">
      <c r="D18" s="141"/>
      <c r="E18" s="123"/>
      <c r="F18" s="118">
        <f t="shared" si="21"/>
        <v>26</v>
      </c>
      <c r="G18" s="118">
        <f t="shared" ref="G18:L19" si="30">IFERROR(IF(F18+1&lt;=31,F18+1,""),"")</f>
        <v>27</v>
      </c>
      <c r="H18" s="118">
        <f t="shared" si="30"/>
        <v>28</v>
      </c>
      <c r="I18" s="118">
        <f t="shared" si="30"/>
        <v>29</v>
      </c>
      <c r="J18" s="118">
        <f t="shared" si="30"/>
        <v>30</v>
      </c>
      <c r="K18" s="118">
        <f t="shared" si="30"/>
        <v>31</v>
      </c>
      <c r="L18" s="118" t="str">
        <f t="shared" si="30"/>
        <v/>
      </c>
      <c r="M18" s="122"/>
      <c r="O18" s="123"/>
      <c r="P18" s="118">
        <f t="shared" si="23"/>
        <v>23</v>
      </c>
      <c r="Q18" s="118">
        <f t="shared" ref="Q18:V19" si="31">IFERROR(IF(P18+1&lt;=31,P18+1,""),"")</f>
        <v>24</v>
      </c>
      <c r="R18" s="118">
        <f t="shared" si="31"/>
        <v>25</v>
      </c>
      <c r="S18" s="118">
        <f t="shared" si="31"/>
        <v>26</v>
      </c>
      <c r="T18" s="118">
        <f t="shared" si="31"/>
        <v>27</v>
      </c>
      <c r="U18" s="118">
        <f t="shared" si="31"/>
        <v>28</v>
      </c>
      <c r="V18" s="118">
        <f t="shared" si="31"/>
        <v>29</v>
      </c>
      <c r="W18" s="122"/>
      <c r="Y18" s="123"/>
      <c r="Z18" s="118">
        <f t="shared" si="25"/>
        <v>27</v>
      </c>
      <c r="AA18" s="118">
        <f t="shared" ref="AA18:AF18" si="32">IFERROR(IF(Z18+1&lt;=31,Z18+1,""),"")</f>
        <v>28</v>
      </c>
      <c r="AB18" s="118">
        <f t="shared" si="32"/>
        <v>29</v>
      </c>
      <c r="AC18" s="118">
        <f t="shared" si="32"/>
        <v>30</v>
      </c>
      <c r="AD18" s="118">
        <f t="shared" si="32"/>
        <v>31</v>
      </c>
      <c r="AE18" s="118" t="str">
        <f t="shared" si="32"/>
        <v/>
      </c>
      <c r="AF18" s="118" t="str">
        <f t="shared" si="32"/>
        <v/>
      </c>
      <c r="AG18" s="122"/>
    </row>
    <row r="19" spans="4:33" ht="21" x14ac:dyDescent="0.25">
      <c r="D19" s="141"/>
      <c r="E19" s="124"/>
      <c r="F19" s="118" t="str">
        <f t="shared" ref="F19" si="33">IFERROR(IF(L18+1&lt;=31,L18+1,""),"")</f>
        <v/>
      </c>
      <c r="G19" s="118" t="str">
        <f t="shared" si="30"/>
        <v/>
      </c>
      <c r="H19" s="118" t="str">
        <f t="shared" si="30"/>
        <v/>
      </c>
      <c r="I19" s="118" t="str">
        <f t="shared" si="30"/>
        <v/>
      </c>
      <c r="J19" s="118" t="str">
        <f t="shared" si="30"/>
        <v/>
      </c>
      <c r="K19" s="118" t="str">
        <f t="shared" si="30"/>
        <v/>
      </c>
      <c r="L19" s="118" t="str">
        <f t="shared" si="30"/>
        <v/>
      </c>
      <c r="O19" s="124"/>
      <c r="P19" s="118">
        <f t="shared" ref="P19" si="34">IFERROR(IF(V18+1&lt;=31,V18+1,""),"")</f>
        <v>30</v>
      </c>
      <c r="Q19" s="118">
        <f t="shared" si="31"/>
        <v>31</v>
      </c>
      <c r="R19" s="118" t="str">
        <f t="shared" si="31"/>
        <v/>
      </c>
      <c r="S19" s="118" t="str">
        <f t="shared" si="31"/>
        <v/>
      </c>
      <c r="T19" s="118" t="str">
        <f t="shared" si="31"/>
        <v/>
      </c>
      <c r="U19" s="118" t="str">
        <f t="shared" si="31"/>
        <v/>
      </c>
      <c r="V19" s="118" t="str">
        <f t="shared" si="31"/>
        <v/>
      </c>
      <c r="Y19" s="124"/>
      <c r="Z19" s="118" t="str">
        <f t="shared" si="25"/>
        <v/>
      </c>
      <c r="AA19" s="118" t="str">
        <f t="shared" ref="AA19:AF19" si="35">IFERROR(IF(Z19+1&lt;=31,Z19+1,""),"")</f>
        <v/>
      </c>
      <c r="AB19" s="118" t="str">
        <f t="shared" si="35"/>
        <v/>
      </c>
      <c r="AC19" s="118" t="str">
        <f t="shared" si="35"/>
        <v/>
      </c>
      <c r="AD19" s="118" t="str">
        <f t="shared" si="35"/>
        <v/>
      </c>
      <c r="AE19" s="118" t="str">
        <f t="shared" si="35"/>
        <v/>
      </c>
      <c r="AF19" s="118" t="str">
        <f t="shared" si="35"/>
        <v/>
      </c>
    </row>
    <row r="20" spans="4:33" ht="21" x14ac:dyDescent="0.25">
      <c r="D20" s="128"/>
      <c r="E20" s="128"/>
      <c r="F20" s="128">
        <v>0</v>
      </c>
      <c r="G20" s="128">
        <v>1</v>
      </c>
      <c r="H20" s="128">
        <v>2</v>
      </c>
      <c r="I20" s="128">
        <v>3</v>
      </c>
      <c r="J20" s="128">
        <v>4</v>
      </c>
      <c r="K20" s="128">
        <v>5</v>
      </c>
      <c r="L20" s="128">
        <v>6</v>
      </c>
      <c r="M20" s="129"/>
      <c r="N20" s="129"/>
      <c r="O20" s="128"/>
      <c r="P20" s="128">
        <v>0</v>
      </c>
      <c r="Q20" s="128">
        <v>1</v>
      </c>
      <c r="R20" s="128">
        <v>2</v>
      </c>
      <c r="S20" s="128">
        <v>3</v>
      </c>
      <c r="T20" s="128">
        <v>4</v>
      </c>
      <c r="U20" s="128">
        <v>5</v>
      </c>
      <c r="V20" s="128">
        <v>6</v>
      </c>
      <c r="W20" s="129"/>
      <c r="X20" s="129"/>
      <c r="Y20" s="128"/>
      <c r="Z20" s="128">
        <v>0</v>
      </c>
      <c r="AA20" s="128">
        <v>1</v>
      </c>
      <c r="AB20" s="128">
        <v>2</v>
      </c>
      <c r="AC20" s="128">
        <v>3</v>
      </c>
      <c r="AD20" s="128">
        <v>4</v>
      </c>
      <c r="AE20" s="128">
        <v>5</v>
      </c>
      <c r="AF20" s="128">
        <v>6</v>
      </c>
      <c r="AG20" s="129"/>
    </row>
    <row r="21" spans="4:33" ht="25.5" x14ac:dyDescent="0.25">
      <c r="D21" s="146" t="s">
        <v>373</v>
      </c>
      <c r="E21" s="125"/>
      <c r="F21" s="143" t="s">
        <v>374</v>
      </c>
      <c r="G21" s="143"/>
      <c r="H21" s="143"/>
      <c r="I21" s="143"/>
      <c r="J21" s="143"/>
      <c r="K21" s="143"/>
      <c r="L21" s="143"/>
      <c r="M21" s="127"/>
      <c r="O21" s="125"/>
      <c r="P21" s="143" t="s">
        <v>375</v>
      </c>
      <c r="Q21" s="143"/>
      <c r="R21" s="143"/>
      <c r="S21" s="143"/>
      <c r="T21" s="143"/>
      <c r="U21" s="143"/>
      <c r="V21" s="143"/>
      <c r="W21" s="127"/>
      <c r="Y21" s="125"/>
      <c r="Z21" s="143" t="s">
        <v>375</v>
      </c>
      <c r="AA21" s="143"/>
      <c r="AB21" s="143"/>
      <c r="AC21" s="143"/>
      <c r="AD21" s="143"/>
      <c r="AE21" s="143"/>
      <c r="AF21" s="143"/>
      <c r="AG21" s="127"/>
    </row>
    <row r="22" spans="4:33" ht="21.75" thickBot="1" x14ac:dyDescent="0.3">
      <c r="D22" s="146"/>
      <c r="E22" s="125"/>
      <c r="F22" s="120" t="s">
        <v>357</v>
      </c>
      <c r="G22" s="120" t="s">
        <v>360</v>
      </c>
      <c r="H22" s="120" t="s">
        <v>361</v>
      </c>
      <c r="I22" s="120" t="s">
        <v>362</v>
      </c>
      <c r="J22" s="120" t="s">
        <v>363</v>
      </c>
      <c r="K22" s="120" t="s">
        <v>364</v>
      </c>
      <c r="L22" s="120" t="s">
        <v>358</v>
      </c>
      <c r="M22" s="127"/>
      <c r="O22" s="125"/>
      <c r="P22" s="120" t="s">
        <v>357</v>
      </c>
      <c r="Q22" s="120" t="s">
        <v>360</v>
      </c>
      <c r="R22" s="120" t="s">
        <v>361</v>
      </c>
      <c r="S22" s="120" t="s">
        <v>362</v>
      </c>
      <c r="T22" s="120" t="s">
        <v>363</v>
      </c>
      <c r="U22" s="120" t="s">
        <v>364</v>
      </c>
      <c r="V22" s="120" t="s">
        <v>358</v>
      </c>
      <c r="W22" s="127"/>
      <c r="Y22" s="125"/>
      <c r="Z22" s="120" t="s">
        <v>357</v>
      </c>
      <c r="AA22" s="120" t="s">
        <v>360</v>
      </c>
      <c r="AB22" s="120" t="s">
        <v>361</v>
      </c>
      <c r="AC22" s="120" t="s">
        <v>362</v>
      </c>
      <c r="AD22" s="120" t="s">
        <v>363</v>
      </c>
      <c r="AE22" s="120" t="s">
        <v>364</v>
      </c>
      <c r="AF22" s="120" t="s">
        <v>358</v>
      </c>
      <c r="AG22" s="127"/>
    </row>
    <row r="23" spans="4:33" ht="21" x14ac:dyDescent="0.25">
      <c r="D23" s="146"/>
      <c r="E23" s="125"/>
      <c r="F23" s="118" t="str">
        <f>IF(DayWeekNo($A$2&amp;"0701")=F20,1,IF(DayWeekNo($A$2&amp;"0701")&lt;F20,E23+1,""))</f>
        <v/>
      </c>
      <c r="G23" s="118" t="str">
        <f>IF(DayWeekNo($A$2&amp;"0701")=G20,1,IF(DayWeekNo($A$2&amp;"0701")&lt;G20,F23+1,""))</f>
        <v/>
      </c>
      <c r="H23" s="118" t="str">
        <f>IF(DayWeekNo($A$2&amp;"0701")=H20,1,IF(DayWeekNo($A$2&amp;"0701")&lt;H20,G23+1,""))</f>
        <v/>
      </c>
      <c r="I23" s="118" t="str">
        <f>IF(DayWeekNo($A$2&amp;"0701")=I20,1,IF(DayWeekNo($A$2&amp;"0701")&lt;I20,H23+1,""))</f>
        <v/>
      </c>
      <c r="J23" s="118" t="str">
        <f>IF(DayWeekNo($A$2&amp;"0701")=J20,1,IF(DayWeekNo($A$2&amp;"0701")&lt;J20,I23+1,""))</f>
        <v/>
      </c>
      <c r="K23" s="118">
        <f>IF(DayWeekNo($A$2&amp;"0701")=K20,1,IF(DayWeekNo($A$2&amp;"0701")&lt;K20,J23+1,""))</f>
        <v>1</v>
      </c>
      <c r="L23" s="118">
        <f>IF(DayWeekNo($A$2&amp;"0701")=L20,1,IF(DayWeekNo($A$2&amp;"0701")&lt;L20,K23+1,""))</f>
        <v>2</v>
      </c>
      <c r="M23" s="122"/>
      <c r="O23" s="125"/>
      <c r="P23" s="118">
        <f>IF(DayWeekNo($A$2&amp;"0801")=P20,1,IF(DayWeekNo($A$2&amp;"0801")&lt;P20,O23+1,""))</f>
        <v>1</v>
      </c>
      <c r="Q23" s="118">
        <f>IF(DayWeekNo($A$2&amp;"0801")=Q20,1,IF(DayWeekNo($A$2&amp;"0801")&lt;Q20,P23+1,""))</f>
        <v>2</v>
      </c>
      <c r="R23" s="118">
        <f>IF(DayWeekNo($A$2&amp;"0801")=R20,1,IF(DayWeekNo($A$2&amp;"0801")&lt;R20,Q23+1,""))</f>
        <v>3</v>
      </c>
      <c r="S23" s="118">
        <f>IF(DayWeekNo($A$2&amp;"0801")=S20,1,IF(DayWeekNo($A$2&amp;"0801")&lt;S20,R23+1,""))</f>
        <v>4</v>
      </c>
      <c r="T23" s="118">
        <f>IF(DayWeekNo($A$2&amp;"0801")=T20,1,IF(DayWeekNo($A$2&amp;"0801")&lt;T20,S23+1,""))</f>
        <v>5</v>
      </c>
      <c r="U23" s="118">
        <f>IF(DayWeekNo($A$2&amp;"0801")=U20,1,IF(DayWeekNo($A$2&amp;"0801")&lt;U20,T23+1,""))</f>
        <v>6</v>
      </c>
      <c r="V23" s="118">
        <f>IF(DayWeekNo($A$2&amp;"0801")=V20,1,IF(DayWeekNo($A$2&amp;"0801")&lt;V20,U23+1,""))</f>
        <v>7</v>
      </c>
      <c r="W23" s="122"/>
      <c r="Y23" s="125"/>
      <c r="Z23" s="118" t="str">
        <f>IF(DayWeekNo($A$2&amp;"0901")=Z20,1,IF(DayWeekNo($A$2&amp;"0901")&lt;Z20,Y23+1,""))</f>
        <v/>
      </c>
      <c r="AA23" s="118" t="str">
        <f>IF(DayWeekNo($A$2&amp;"0901")=AA20,1,IF(DayWeekNo($A$2&amp;"0901")&lt;AA20,Z23+1,""))</f>
        <v/>
      </c>
      <c r="AB23" s="118">
        <f>IF(DayWeekNo($A$2&amp;"0901")=AB20,1,IF(DayWeekNo($A$2&amp;"0901")&lt;AB20,AA23+1,""))</f>
        <v>1</v>
      </c>
      <c r="AC23" s="118">
        <f>IF(DayWeekNo($A$2&amp;"0901")=AC20,1,IF(DayWeekNo($A$2&amp;"0901")&lt;AC20,AB23+1,""))</f>
        <v>2</v>
      </c>
      <c r="AD23" s="118">
        <f>IF(DayWeekNo($A$2&amp;"0901")=AD20,1,IF(DayWeekNo($A$2&amp;"0901")&lt;AD20,AC23+1,""))</f>
        <v>3</v>
      </c>
      <c r="AE23" s="118">
        <f>IF(DayWeekNo($A$2&amp;"0901")=AE20,1,IF(DayWeekNo($A$2&amp;"0901")&lt;AE20,AD23+1,""))</f>
        <v>4</v>
      </c>
      <c r="AF23" s="118">
        <f>IF(DayWeekNo($A$2&amp;"0901")=AF20,1,IF(DayWeekNo($A$2&amp;"0901")&lt;AF20,AE23+1,""))</f>
        <v>5</v>
      </c>
      <c r="AG23" s="122"/>
    </row>
    <row r="24" spans="4:33" ht="21" x14ac:dyDescent="0.25">
      <c r="D24" s="146"/>
      <c r="E24" s="125"/>
      <c r="F24" s="118">
        <f>IFERROR(IF(L23+1&lt;=30,L23+1,""),"")</f>
        <v>3</v>
      </c>
      <c r="G24" s="118">
        <f>IFERROR(IF(F24+1&lt;=30,F24+1,""),"")</f>
        <v>4</v>
      </c>
      <c r="H24" s="118">
        <f t="shared" ref="H24:L24" si="36">IFERROR(IF(G24+1&lt;=30,G24+1,""),"")</f>
        <v>5</v>
      </c>
      <c r="I24" s="118">
        <f t="shared" si="36"/>
        <v>6</v>
      </c>
      <c r="J24" s="118">
        <f t="shared" si="36"/>
        <v>7</v>
      </c>
      <c r="K24" s="118">
        <f t="shared" si="36"/>
        <v>8</v>
      </c>
      <c r="L24" s="118">
        <f t="shared" si="36"/>
        <v>9</v>
      </c>
      <c r="M24" s="122"/>
      <c r="O24" s="125"/>
      <c r="P24" s="118">
        <f>IFERROR(IF(V23+1&lt;=30,V23+1,""),"")</f>
        <v>8</v>
      </c>
      <c r="Q24" s="118">
        <f>IFERROR(IF(P24+1&lt;=30,P24+1,""),"")</f>
        <v>9</v>
      </c>
      <c r="R24" s="118">
        <f t="shared" ref="R24:V24" si="37">IFERROR(IF(Q24+1&lt;=30,Q24+1,""),"")</f>
        <v>10</v>
      </c>
      <c r="S24" s="118">
        <f t="shared" si="37"/>
        <v>11</v>
      </c>
      <c r="T24" s="118">
        <f t="shared" si="37"/>
        <v>12</v>
      </c>
      <c r="U24" s="118">
        <f t="shared" si="37"/>
        <v>13</v>
      </c>
      <c r="V24" s="118">
        <f t="shared" si="37"/>
        <v>14</v>
      </c>
      <c r="W24" s="122"/>
      <c r="Y24" s="125"/>
      <c r="Z24" s="118">
        <f>IFERROR(IF(AF23+1&lt;=30,AF23+1,""),"")</f>
        <v>6</v>
      </c>
      <c r="AA24" s="118">
        <f>IFERROR(IF(Z24+1&lt;=30,Z24+1,""),"")</f>
        <v>7</v>
      </c>
      <c r="AB24" s="118">
        <f t="shared" ref="AB24:AF24" si="38">IFERROR(IF(AA24+1&lt;=30,AA24+1,""),"")</f>
        <v>8</v>
      </c>
      <c r="AC24" s="118">
        <f t="shared" si="38"/>
        <v>9</v>
      </c>
      <c r="AD24" s="118">
        <f t="shared" si="38"/>
        <v>10</v>
      </c>
      <c r="AE24" s="118">
        <f t="shared" si="38"/>
        <v>11</v>
      </c>
      <c r="AF24" s="118">
        <f t="shared" si="38"/>
        <v>12</v>
      </c>
      <c r="AG24" s="122"/>
    </row>
    <row r="25" spans="4:33" ht="21" x14ac:dyDescent="0.25">
      <c r="D25" s="146"/>
      <c r="E25" s="125"/>
      <c r="F25" s="118">
        <f t="shared" ref="F25:F28" si="39">IFERROR(IF(L24+1&lt;=30,L24+1,""),"")</f>
        <v>10</v>
      </c>
      <c r="G25" s="118">
        <f t="shared" ref="G25:L25" si="40">IFERROR(IF(F25+1&lt;=30,F25+1,""),"")</f>
        <v>11</v>
      </c>
      <c r="H25" s="118">
        <f t="shared" si="40"/>
        <v>12</v>
      </c>
      <c r="I25" s="118">
        <f t="shared" si="40"/>
        <v>13</v>
      </c>
      <c r="J25" s="118">
        <f t="shared" si="40"/>
        <v>14</v>
      </c>
      <c r="K25" s="118">
        <f t="shared" si="40"/>
        <v>15</v>
      </c>
      <c r="L25" s="118">
        <f t="shared" si="40"/>
        <v>16</v>
      </c>
      <c r="M25" s="122"/>
      <c r="O25" s="125"/>
      <c r="P25" s="118">
        <f t="shared" ref="P25:P28" si="41">IFERROR(IF(V24+1&lt;=30,V24+1,""),"")</f>
        <v>15</v>
      </c>
      <c r="Q25" s="118">
        <f t="shared" ref="Q25:V25" si="42">IFERROR(IF(P25+1&lt;=30,P25+1,""),"")</f>
        <v>16</v>
      </c>
      <c r="R25" s="118">
        <f t="shared" si="42"/>
        <v>17</v>
      </c>
      <c r="S25" s="118">
        <f t="shared" si="42"/>
        <v>18</v>
      </c>
      <c r="T25" s="118">
        <f t="shared" si="42"/>
        <v>19</v>
      </c>
      <c r="U25" s="118">
        <f t="shared" si="42"/>
        <v>20</v>
      </c>
      <c r="V25" s="118">
        <f t="shared" si="42"/>
        <v>21</v>
      </c>
      <c r="W25" s="122"/>
      <c r="Y25" s="125"/>
      <c r="Z25" s="118">
        <f t="shared" ref="Z25:Z28" si="43">IFERROR(IF(AF24+1&lt;=30,AF24+1,""),"")</f>
        <v>13</v>
      </c>
      <c r="AA25" s="118">
        <f t="shared" ref="AA25:AF25" si="44">IFERROR(IF(Z25+1&lt;=30,Z25+1,""),"")</f>
        <v>14</v>
      </c>
      <c r="AB25" s="118">
        <f t="shared" si="44"/>
        <v>15</v>
      </c>
      <c r="AC25" s="118">
        <f t="shared" si="44"/>
        <v>16</v>
      </c>
      <c r="AD25" s="118">
        <f t="shared" si="44"/>
        <v>17</v>
      </c>
      <c r="AE25" s="118">
        <f t="shared" si="44"/>
        <v>18</v>
      </c>
      <c r="AF25" s="118">
        <f t="shared" si="44"/>
        <v>19</v>
      </c>
      <c r="AG25" s="122"/>
    </row>
    <row r="26" spans="4:33" ht="21" x14ac:dyDescent="0.25">
      <c r="D26" s="146"/>
      <c r="E26" s="125"/>
      <c r="F26" s="118">
        <f t="shared" si="39"/>
        <v>17</v>
      </c>
      <c r="G26" s="118">
        <f t="shared" ref="G26:L26" si="45">IFERROR(IF(F26+1&lt;=30,F26+1,""),"")</f>
        <v>18</v>
      </c>
      <c r="H26" s="118">
        <f t="shared" si="45"/>
        <v>19</v>
      </c>
      <c r="I26" s="118">
        <f t="shared" si="45"/>
        <v>20</v>
      </c>
      <c r="J26" s="118">
        <f t="shared" si="45"/>
        <v>21</v>
      </c>
      <c r="K26" s="118">
        <f t="shared" si="45"/>
        <v>22</v>
      </c>
      <c r="L26" s="118">
        <f t="shared" si="45"/>
        <v>23</v>
      </c>
      <c r="M26" s="122"/>
      <c r="O26" s="125"/>
      <c r="P26" s="118">
        <f t="shared" si="41"/>
        <v>22</v>
      </c>
      <c r="Q26" s="118">
        <f t="shared" ref="Q26:V26" si="46">IFERROR(IF(P26+1&lt;=30,P26+1,""),"")</f>
        <v>23</v>
      </c>
      <c r="R26" s="118">
        <f t="shared" si="46"/>
        <v>24</v>
      </c>
      <c r="S26" s="118">
        <f t="shared" si="46"/>
        <v>25</v>
      </c>
      <c r="T26" s="118">
        <f t="shared" si="46"/>
        <v>26</v>
      </c>
      <c r="U26" s="118">
        <f t="shared" si="46"/>
        <v>27</v>
      </c>
      <c r="V26" s="118">
        <f t="shared" si="46"/>
        <v>28</v>
      </c>
      <c r="W26" s="122"/>
      <c r="Y26" s="125"/>
      <c r="Z26" s="118">
        <f t="shared" si="43"/>
        <v>20</v>
      </c>
      <c r="AA26" s="118">
        <f t="shared" ref="AA26:AF26" si="47">IFERROR(IF(Z26+1&lt;=30,Z26+1,""),"")</f>
        <v>21</v>
      </c>
      <c r="AB26" s="118">
        <f t="shared" si="47"/>
        <v>22</v>
      </c>
      <c r="AC26" s="118">
        <f t="shared" si="47"/>
        <v>23</v>
      </c>
      <c r="AD26" s="118">
        <f t="shared" si="47"/>
        <v>24</v>
      </c>
      <c r="AE26" s="118">
        <f t="shared" si="47"/>
        <v>25</v>
      </c>
      <c r="AF26" s="118">
        <f t="shared" si="47"/>
        <v>26</v>
      </c>
      <c r="AG26" s="122"/>
    </row>
    <row r="27" spans="4:33" ht="21" x14ac:dyDescent="0.25">
      <c r="D27" s="146"/>
      <c r="E27" s="125"/>
      <c r="F27" s="118">
        <f t="shared" si="39"/>
        <v>24</v>
      </c>
      <c r="G27" s="118">
        <f t="shared" ref="G27:L27" si="48">IFERROR(IF(F27+1&lt;=30,F27+1,""),"")</f>
        <v>25</v>
      </c>
      <c r="H27" s="118">
        <f t="shared" si="48"/>
        <v>26</v>
      </c>
      <c r="I27" s="118">
        <f t="shared" si="48"/>
        <v>27</v>
      </c>
      <c r="J27" s="118">
        <f t="shared" si="48"/>
        <v>28</v>
      </c>
      <c r="K27" s="118">
        <f t="shared" si="48"/>
        <v>29</v>
      </c>
      <c r="L27" s="118">
        <f t="shared" si="48"/>
        <v>30</v>
      </c>
      <c r="M27" s="122"/>
      <c r="O27" s="125"/>
      <c r="P27" s="118">
        <f t="shared" si="41"/>
        <v>29</v>
      </c>
      <c r="Q27" s="118">
        <f t="shared" ref="Q27:V27" si="49">IFERROR(IF(P27+1&lt;=30,P27+1,""),"")</f>
        <v>30</v>
      </c>
      <c r="R27" s="118" t="str">
        <f t="shared" si="49"/>
        <v/>
      </c>
      <c r="S27" s="118" t="str">
        <f t="shared" si="49"/>
        <v/>
      </c>
      <c r="T27" s="118" t="str">
        <f t="shared" si="49"/>
        <v/>
      </c>
      <c r="U27" s="118" t="str">
        <f t="shared" si="49"/>
        <v/>
      </c>
      <c r="V27" s="118" t="str">
        <f t="shared" si="49"/>
        <v/>
      </c>
      <c r="W27" s="122"/>
      <c r="Y27" s="125"/>
      <c r="Z27" s="118">
        <f t="shared" si="43"/>
        <v>27</v>
      </c>
      <c r="AA27" s="118">
        <f t="shared" ref="AA27:AF27" si="50">IFERROR(IF(Z27+1&lt;=30,Z27+1,""),"")</f>
        <v>28</v>
      </c>
      <c r="AB27" s="118">
        <f t="shared" si="50"/>
        <v>29</v>
      </c>
      <c r="AC27" s="118">
        <f t="shared" si="50"/>
        <v>30</v>
      </c>
      <c r="AD27" s="118" t="str">
        <f t="shared" si="50"/>
        <v/>
      </c>
      <c r="AE27" s="118" t="str">
        <f t="shared" si="50"/>
        <v/>
      </c>
      <c r="AF27" s="118" t="str">
        <f t="shared" si="50"/>
        <v/>
      </c>
      <c r="AG27" s="122"/>
    </row>
    <row r="28" spans="4:33" ht="21" x14ac:dyDescent="0.25">
      <c r="D28" s="146"/>
      <c r="E28" s="126"/>
      <c r="F28" s="118" t="str">
        <f t="shared" si="39"/>
        <v/>
      </c>
      <c r="G28" s="118" t="str">
        <f t="shared" ref="G28:L28" si="51">IFERROR(IF(F28+1&lt;=30,F28+1,""),"")</f>
        <v/>
      </c>
      <c r="H28" s="118" t="str">
        <f t="shared" si="51"/>
        <v/>
      </c>
      <c r="I28" s="118" t="str">
        <f t="shared" si="51"/>
        <v/>
      </c>
      <c r="J28" s="118" t="str">
        <f t="shared" si="51"/>
        <v/>
      </c>
      <c r="K28" s="118" t="str">
        <f t="shared" si="51"/>
        <v/>
      </c>
      <c r="L28" s="118" t="str">
        <f t="shared" si="51"/>
        <v/>
      </c>
      <c r="O28" s="126"/>
      <c r="P28" s="118" t="str">
        <f t="shared" si="41"/>
        <v/>
      </c>
      <c r="Q28" s="118" t="str">
        <f t="shared" ref="Q28:V28" si="52">IFERROR(IF(P28+1&lt;=30,P28+1,""),"")</f>
        <v/>
      </c>
      <c r="R28" s="118" t="str">
        <f t="shared" si="52"/>
        <v/>
      </c>
      <c r="S28" s="118" t="str">
        <f t="shared" si="52"/>
        <v/>
      </c>
      <c r="T28" s="118" t="str">
        <f t="shared" si="52"/>
        <v/>
      </c>
      <c r="U28" s="118" t="str">
        <f t="shared" si="52"/>
        <v/>
      </c>
      <c r="V28" s="118" t="str">
        <f t="shared" si="52"/>
        <v/>
      </c>
      <c r="Y28" s="126"/>
      <c r="Z28" s="118" t="str">
        <f t="shared" si="43"/>
        <v/>
      </c>
      <c r="AA28" s="118" t="str">
        <f t="shared" ref="AA28:AF28" si="53">IFERROR(IF(Z28+1&lt;=30,Z28+1,""),"")</f>
        <v/>
      </c>
      <c r="AB28" s="118" t="str">
        <f t="shared" si="53"/>
        <v/>
      </c>
      <c r="AC28" s="118" t="str">
        <f t="shared" si="53"/>
        <v/>
      </c>
      <c r="AD28" s="118" t="str">
        <f t="shared" si="53"/>
        <v/>
      </c>
      <c r="AE28" s="118" t="str">
        <f t="shared" si="53"/>
        <v/>
      </c>
      <c r="AF28" s="118" t="str">
        <f t="shared" si="53"/>
        <v/>
      </c>
    </row>
    <row r="29" spans="4:33" ht="21" x14ac:dyDescent="0.25">
      <c r="D29" s="128"/>
      <c r="E29" s="128"/>
      <c r="F29" s="128">
        <v>0</v>
      </c>
      <c r="G29" s="128">
        <v>1</v>
      </c>
      <c r="H29" s="128">
        <v>2</v>
      </c>
      <c r="I29" s="128">
        <v>3</v>
      </c>
      <c r="J29" s="128">
        <v>4</v>
      </c>
      <c r="K29" s="128">
        <v>5</v>
      </c>
      <c r="L29" s="128">
        <v>6</v>
      </c>
      <c r="M29" s="129"/>
      <c r="N29" s="129"/>
      <c r="O29" s="128"/>
      <c r="P29" s="128">
        <v>0</v>
      </c>
      <c r="Q29" s="128">
        <v>1</v>
      </c>
      <c r="R29" s="128">
        <v>2</v>
      </c>
      <c r="S29" s="128">
        <v>3</v>
      </c>
      <c r="T29" s="128">
        <v>4</v>
      </c>
      <c r="U29" s="128">
        <v>5</v>
      </c>
      <c r="V29" s="128">
        <v>6</v>
      </c>
      <c r="W29" s="129"/>
      <c r="X29" s="129"/>
      <c r="Y29" s="128"/>
      <c r="Z29" s="128">
        <v>0</v>
      </c>
      <c r="AA29" s="128">
        <v>1</v>
      </c>
      <c r="AB29" s="128">
        <v>2</v>
      </c>
      <c r="AC29" s="128">
        <v>3</v>
      </c>
      <c r="AD29" s="128">
        <v>4</v>
      </c>
      <c r="AE29" s="128">
        <v>5</v>
      </c>
      <c r="AF29" s="128">
        <v>6</v>
      </c>
      <c r="AG29" s="129"/>
    </row>
    <row r="30" spans="4:33" ht="25.5" x14ac:dyDescent="0.25">
      <c r="D30" s="144" t="s">
        <v>376</v>
      </c>
      <c r="E30" s="130"/>
      <c r="F30" s="145" t="s">
        <v>377</v>
      </c>
      <c r="G30" s="145"/>
      <c r="H30" s="145"/>
      <c r="I30" s="145"/>
      <c r="J30" s="145"/>
      <c r="K30" s="145"/>
      <c r="L30" s="145"/>
      <c r="M30" s="132"/>
      <c r="O30" s="130"/>
      <c r="P30" s="145" t="s">
        <v>378</v>
      </c>
      <c r="Q30" s="145"/>
      <c r="R30" s="145"/>
      <c r="S30" s="145"/>
      <c r="T30" s="145"/>
      <c r="U30" s="145"/>
      <c r="V30" s="145"/>
      <c r="W30" s="132"/>
      <c r="Y30" s="130"/>
      <c r="Z30" s="145" t="s">
        <v>379</v>
      </c>
      <c r="AA30" s="145"/>
      <c r="AB30" s="145"/>
      <c r="AC30" s="145"/>
      <c r="AD30" s="145"/>
      <c r="AE30" s="145"/>
      <c r="AF30" s="145"/>
      <c r="AG30" s="132"/>
    </row>
    <row r="31" spans="4:33" ht="21.75" thickBot="1" x14ac:dyDescent="0.3">
      <c r="D31" s="144"/>
      <c r="E31" s="130"/>
      <c r="F31" s="120" t="s">
        <v>357</v>
      </c>
      <c r="G31" s="120" t="s">
        <v>360</v>
      </c>
      <c r="H31" s="120" t="s">
        <v>361</v>
      </c>
      <c r="I31" s="120" t="s">
        <v>362</v>
      </c>
      <c r="J31" s="120" t="s">
        <v>363</v>
      </c>
      <c r="K31" s="120" t="s">
        <v>364</v>
      </c>
      <c r="L31" s="120" t="s">
        <v>358</v>
      </c>
      <c r="M31" s="132"/>
      <c r="O31" s="130"/>
      <c r="P31" s="120" t="s">
        <v>357</v>
      </c>
      <c r="Q31" s="120" t="s">
        <v>360</v>
      </c>
      <c r="R31" s="120" t="s">
        <v>361</v>
      </c>
      <c r="S31" s="120" t="s">
        <v>362</v>
      </c>
      <c r="T31" s="120" t="s">
        <v>363</v>
      </c>
      <c r="U31" s="120" t="s">
        <v>364</v>
      </c>
      <c r="V31" s="120" t="s">
        <v>358</v>
      </c>
      <c r="W31" s="132"/>
      <c r="Y31" s="130"/>
      <c r="Z31" s="120" t="s">
        <v>357</v>
      </c>
      <c r="AA31" s="120" t="s">
        <v>360</v>
      </c>
      <c r="AB31" s="120" t="s">
        <v>361</v>
      </c>
      <c r="AC31" s="120" t="s">
        <v>362</v>
      </c>
      <c r="AD31" s="120" t="s">
        <v>363</v>
      </c>
      <c r="AE31" s="120" t="s">
        <v>364</v>
      </c>
      <c r="AF31" s="120" t="s">
        <v>358</v>
      </c>
      <c r="AG31" s="132"/>
    </row>
    <row r="32" spans="4:33" ht="21" x14ac:dyDescent="0.25">
      <c r="D32" s="144"/>
      <c r="E32" s="130"/>
      <c r="F32" s="118" t="str">
        <f>IF(DayWeekNo($A$2&amp;"1001")=F29,1,IF(DayWeekNo($A$2&amp;"1001")&lt;F29,E32+1,""))</f>
        <v/>
      </c>
      <c r="G32" s="118" t="str">
        <f>IF(DayWeekNo($A$2&amp;"1001")=G29,1,IF(DayWeekNo($A$2&amp;"1001")&lt;G29,F32+1,""))</f>
        <v/>
      </c>
      <c r="H32" s="118" t="str">
        <f>IF(DayWeekNo($A$2&amp;"1001")=H29,1,IF(DayWeekNo($A$2&amp;"1001")&lt;H29,G32+1,""))</f>
        <v/>
      </c>
      <c r="I32" s="118" t="str">
        <f>IF(DayWeekNo($A$2&amp;"1001")=I29,1,IF(DayWeekNo($A$2&amp;"1001")&lt;I29,H32+1,""))</f>
        <v/>
      </c>
      <c r="J32" s="118">
        <f>IF(DayWeekNo($A$2&amp;"1001")=J29,1,IF(DayWeekNo($A$2&amp;"1001")&lt;J29,I32+1,""))</f>
        <v>1</v>
      </c>
      <c r="K32" s="118">
        <f>IF(DayWeekNo($A$2&amp;"1001")=K29,1,IF(DayWeekNo($A$2&amp;"1001")&lt;K29,J32+1,""))</f>
        <v>2</v>
      </c>
      <c r="L32" s="118">
        <f>IF(DayWeekNo($A$2&amp;"1001")=L29,1,IF(DayWeekNo($A$2&amp;"1001")&lt;L29,K32+1,""))</f>
        <v>3</v>
      </c>
      <c r="M32" s="122"/>
      <c r="O32" s="130"/>
      <c r="P32" s="118" t="str">
        <f>IF(DayWeekNo($A$2&amp;"1101")=P29,1,IF(DayWeekNo($A$2&amp;"1101")&lt;P29,O32+1,""))</f>
        <v/>
      </c>
      <c r="Q32" s="118" t="str">
        <f>IF(DayWeekNo($A$2&amp;"1101")=Q29,1,IF(DayWeekNo($A$2&amp;"1101")&lt;Q29,P32+1,""))</f>
        <v/>
      </c>
      <c r="R32" s="118" t="str">
        <f>IF(DayWeekNo($A$2&amp;"1101")=R29,1,IF(DayWeekNo($A$2&amp;"1101")&lt;R29,Q32+1,""))</f>
        <v/>
      </c>
      <c r="S32" s="118" t="str">
        <f>IF(DayWeekNo($A$2&amp;"1101")=S29,1,IF(DayWeekNo($A$2&amp;"1101")&lt;S29,R32+1,""))</f>
        <v/>
      </c>
      <c r="T32" s="118" t="str">
        <f>IF(DayWeekNo($A$2&amp;"1101")=T29,1,IF(DayWeekNo($A$2&amp;"1101")&lt;T29,S32+1,""))</f>
        <v/>
      </c>
      <c r="U32" s="118" t="str">
        <f>IF(DayWeekNo($A$2&amp;"1101")=U29,1,IF(DayWeekNo($A$2&amp;"1101")&lt;U29,T32+1,""))</f>
        <v/>
      </c>
      <c r="V32" s="118">
        <f>IF(DayWeekNo($A$2&amp;"1101")=V29,1,IF(DayWeekNo($A$2&amp;"1101")&lt;V29,U32+1,""))</f>
        <v>1</v>
      </c>
      <c r="W32" s="122"/>
      <c r="Y32" s="130"/>
      <c r="Z32" s="118" t="str">
        <f>IF(DayWeekNo($A$2&amp;"1201")=Z29,1,IF(DayWeekNo($A$2&amp;"1201")&lt;Z29,Y32+1,""))</f>
        <v/>
      </c>
      <c r="AA32" s="118">
        <f>IF(DayWeekNo($A$2&amp;"1201")=AA29,1,IF(DayWeekNo($A$2&amp;"1201")&lt;AA29,Z32+1,""))</f>
        <v>1</v>
      </c>
      <c r="AB32" s="118">
        <f>IF(DayWeekNo($A$2&amp;"1201")=AB29,1,IF(DayWeekNo($A$2&amp;"1201")&lt;AB29,AA32+1,""))</f>
        <v>2</v>
      </c>
      <c r="AC32" s="118">
        <f>IF(DayWeekNo($A$2&amp;"1201")=AC29,1,IF(DayWeekNo($A$2&amp;"1201")&lt;AC29,AB32+1,""))</f>
        <v>3</v>
      </c>
      <c r="AD32" s="118">
        <f>IF(DayWeekNo($A$2&amp;"1201")=AD29,1,IF(DayWeekNo($A$2&amp;"1201")&lt;AD29,AC32+1,""))</f>
        <v>4</v>
      </c>
      <c r="AE32" s="118">
        <f>IF(DayWeekNo($A$2&amp;"1201")=AE29,1,IF(DayWeekNo($A$2&amp;"1201")&lt;AE29,AD32+1,""))</f>
        <v>5</v>
      </c>
      <c r="AF32" s="118">
        <f>IF(DayWeekNo($A$2&amp;"1201")=AF29,1,IF(DayWeekNo($A$2&amp;"1201")&lt;AF29,AE32+1,""))</f>
        <v>6</v>
      </c>
      <c r="AG32" s="122"/>
    </row>
    <row r="33" spans="4:33" ht="21" x14ac:dyDescent="0.25">
      <c r="D33" s="144"/>
      <c r="E33" s="130"/>
      <c r="F33" s="118">
        <f>IFERROR(IF(L32+1&lt;=30,L32+1,""),"")</f>
        <v>4</v>
      </c>
      <c r="G33" s="118">
        <f>IFERROR(IF(F33+1&lt;=30,F33+1,""),"")</f>
        <v>5</v>
      </c>
      <c r="H33" s="118">
        <f t="shared" ref="H33:L33" si="54">IFERROR(IF(G33+1&lt;=30,G33+1,""),"")</f>
        <v>6</v>
      </c>
      <c r="I33" s="118">
        <f t="shared" si="54"/>
        <v>7</v>
      </c>
      <c r="J33" s="118">
        <f t="shared" si="54"/>
        <v>8</v>
      </c>
      <c r="K33" s="118">
        <f t="shared" si="54"/>
        <v>9</v>
      </c>
      <c r="L33" s="118">
        <f t="shared" si="54"/>
        <v>10</v>
      </c>
      <c r="M33" s="122"/>
      <c r="O33" s="130"/>
      <c r="P33" s="118">
        <f>IFERROR(IF(V32+1&lt;=30,V32+1,""),"")</f>
        <v>2</v>
      </c>
      <c r="Q33" s="118">
        <f>IFERROR(IF(P33+1&lt;=30,P33+1,""),"")</f>
        <v>3</v>
      </c>
      <c r="R33" s="118">
        <f t="shared" ref="R33:V33" si="55">IFERROR(IF(Q33+1&lt;=30,Q33+1,""),"")</f>
        <v>4</v>
      </c>
      <c r="S33" s="118">
        <f t="shared" si="55"/>
        <v>5</v>
      </c>
      <c r="T33" s="118">
        <f t="shared" si="55"/>
        <v>6</v>
      </c>
      <c r="U33" s="118">
        <f t="shared" si="55"/>
        <v>7</v>
      </c>
      <c r="V33" s="118">
        <f t="shared" si="55"/>
        <v>8</v>
      </c>
      <c r="W33" s="122"/>
      <c r="Y33" s="130"/>
      <c r="Z33" s="118">
        <f>IFERROR(IF(AF32+1&lt;=29,AF32+1,""),"")</f>
        <v>7</v>
      </c>
      <c r="AA33" s="118">
        <f>IFERROR(IF(Z33+1&lt;=29,Z33+1,""),"")</f>
        <v>8</v>
      </c>
      <c r="AB33" s="118">
        <f t="shared" ref="AB33:AF33" si="56">IFERROR(IF(AA33+1&lt;=29,AA33+1,""),"")</f>
        <v>9</v>
      </c>
      <c r="AC33" s="118">
        <f t="shared" si="56"/>
        <v>10</v>
      </c>
      <c r="AD33" s="118">
        <f t="shared" si="56"/>
        <v>11</v>
      </c>
      <c r="AE33" s="118">
        <f t="shared" si="56"/>
        <v>12</v>
      </c>
      <c r="AF33" s="118">
        <f t="shared" si="56"/>
        <v>13</v>
      </c>
      <c r="AG33" s="122"/>
    </row>
    <row r="34" spans="4:33" ht="21" x14ac:dyDescent="0.25">
      <c r="D34" s="144"/>
      <c r="E34" s="130"/>
      <c r="F34" s="118">
        <f t="shared" ref="F34:F37" si="57">IFERROR(IF(L33+1&lt;=30,L33+1,""),"")</f>
        <v>11</v>
      </c>
      <c r="G34" s="118">
        <f t="shared" ref="G34:L34" si="58">IFERROR(IF(F34+1&lt;=30,F34+1,""),"")</f>
        <v>12</v>
      </c>
      <c r="H34" s="118">
        <f t="shared" si="58"/>
        <v>13</v>
      </c>
      <c r="I34" s="118">
        <f t="shared" si="58"/>
        <v>14</v>
      </c>
      <c r="J34" s="118">
        <f t="shared" si="58"/>
        <v>15</v>
      </c>
      <c r="K34" s="118">
        <f t="shared" si="58"/>
        <v>16</v>
      </c>
      <c r="L34" s="118">
        <f t="shared" si="58"/>
        <v>17</v>
      </c>
      <c r="M34" s="122"/>
      <c r="O34" s="130"/>
      <c r="P34" s="118">
        <f t="shared" ref="P34:P37" si="59">IFERROR(IF(V33+1&lt;=30,V33+1,""),"")</f>
        <v>9</v>
      </c>
      <c r="Q34" s="118">
        <f t="shared" ref="Q34:V34" si="60">IFERROR(IF(P34+1&lt;=30,P34+1,""),"")</f>
        <v>10</v>
      </c>
      <c r="R34" s="118">
        <f t="shared" si="60"/>
        <v>11</v>
      </c>
      <c r="S34" s="118">
        <f t="shared" si="60"/>
        <v>12</v>
      </c>
      <c r="T34" s="118">
        <f t="shared" si="60"/>
        <v>13</v>
      </c>
      <c r="U34" s="118">
        <f t="shared" si="60"/>
        <v>14</v>
      </c>
      <c r="V34" s="118">
        <f t="shared" si="60"/>
        <v>15</v>
      </c>
      <c r="W34" s="122"/>
      <c r="Y34" s="130"/>
      <c r="Z34" s="118">
        <f t="shared" ref="Z34:Z36" si="61">IFERROR(IF(AF33+1&lt;=29,AF33+1,""),"")</f>
        <v>14</v>
      </c>
      <c r="AA34" s="118">
        <f t="shared" ref="AA34:AF34" si="62">IFERROR(IF(Z34+1&lt;=29,Z34+1,""),"")</f>
        <v>15</v>
      </c>
      <c r="AB34" s="118">
        <f t="shared" si="62"/>
        <v>16</v>
      </c>
      <c r="AC34" s="118">
        <f t="shared" si="62"/>
        <v>17</v>
      </c>
      <c r="AD34" s="118">
        <f t="shared" si="62"/>
        <v>18</v>
      </c>
      <c r="AE34" s="118">
        <f t="shared" si="62"/>
        <v>19</v>
      </c>
      <c r="AF34" s="118">
        <f t="shared" si="62"/>
        <v>20</v>
      </c>
      <c r="AG34" s="122"/>
    </row>
    <row r="35" spans="4:33" ht="21" x14ac:dyDescent="0.25">
      <c r="D35" s="144"/>
      <c r="E35" s="130"/>
      <c r="F35" s="118">
        <f t="shared" si="57"/>
        <v>18</v>
      </c>
      <c r="G35" s="118">
        <f t="shared" ref="G35:L35" si="63">IFERROR(IF(F35+1&lt;=30,F35+1,""),"")</f>
        <v>19</v>
      </c>
      <c r="H35" s="118">
        <f t="shared" si="63"/>
        <v>20</v>
      </c>
      <c r="I35" s="118">
        <f t="shared" si="63"/>
        <v>21</v>
      </c>
      <c r="J35" s="118">
        <f t="shared" si="63"/>
        <v>22</v>
      </c>
      <c r="K35" s="118">
        <f t="shared" si="63"/>
        <v>23</v>
      </c>
      <c r="L35" s="118">
        <f t="shared" si="63"/>
        <v>24</v>
      </c>
      <c r="M35" s="122"/>
      <c r="O35" s="130"/>
      <c r="P35" s="118">
        <f t="shared" si="59"/>
        <v>16</v>
      </c>
      <c r="Q35" s="118">
        <f t="shared" ref="Q35:V35" si="64">IFERROR(IF(P35+1&lt;=30,P35+1,""),"")</f>
        <v>17</v>
      </c>
      <c r="R35" s="118">
        <f t="shared" si="64"/>
        <v>18</v>
      </c>
      <c r="S35" s="118">
        <f t="shared" si="64"/>
        <v>19</v>
      </c>
      <c r="T35" s="118">
        <f t="shared" si="64"/>
        <v>20</v>
      </c>
      <c r="U35" s="118">
        <f t="shared" si="64"/>
        <v>21</v>
      </c>
      <c r="V35" s="118">
        <f t="shared" si="64"/>
        <v>22</v>
      </c>
      <c r="W35" s="122"/>
      <c r="Y35" s="130"/>
      <c r="Z35" s="118">
        <f t="shared" si="61"/>
        <v>21</v>
      </c>
      <c r="AA35" s="118">
        <f t="shared" ref="AA35:AF35" si="65">IFERROR(IF(Z35+1&lt;=29,Z35+1,""),"")</f>
        <v>22</v>
      </c>
      <c r="AB35" s="118">
        <f t="shared" si="65"/>
        <v>23</v>
      </c>
      <c r="AC35" s="118">
        <f t="shared" si="65"/>
        <v>24</v>
      </c>
      <c r="AD35" s="118">
        <f t="shared" si="65"/>
        <v>25</v>
      </c>
      <c r="AE35" s="118">
        <f t="shared" si="65"/>
        <v>26</v>
      </c>
      <c r="AF35" s="118">
        <f t="shared" si="65"/>
        <v>27</v>
      </c>
      <c r="AG35" s="122"/>
    </row>
    <row r="36" spans="4:33" ht="21" x14ac:dyDescent="0.25">
      <c r="D36" s="144"/>
      <c r="E36" s="130"/>
      <c r="F36" s="118">
        <f t="shared" si="57"/>
        <v>25</v>
      </c>
      <c r="G36" s="118">
        <f t="shared" ref="G36:L36" si="66">IFERROR(IF(F36+1&lt;=30,F36+1,""),"")</f>
        <v>26</v>
      </c>
      <c r="H36" s="118">
        <f t="shared" si="66"/>
        <v>27</v>
      </c>
      <c r="I36" s="118">
        <f t="shared" si="66"/>
        <v>28</v>
      </c>
      <c r="J36" s="118">
        <f t="shared" si="66"/>
        <v>29</v>
      </c>
      <c r="K36" s="118">
        <f t="shared" si="66"/>
        <v>30</v>
      </c>
      <c r="L36" s="118" t="str">
        <f t="shared" si="66"/>
        <v/>
      </c>
      <c r="M36" s="122"/>
      <c r="O36" s="130"/>
      <c r="P36" s="118">
        <f t="shared" si="59"/>
        <v>23</v>
      </c>
      <c r="Q36" s="118">
        <f t="shared" ref="Q36:V36" si="67">IFERROR(IF(P36+1&lt;=30,P36+1,""),"")</f>
        <v>24</v>
      </c>
      <c r="R36" s="118">
        <f t="shared" si="67"/>
        <v>25</v>
      </c>
      <c r="S36" s="118">
        <f t="shared" si="67"/>
        <v>26</v>
      </c>
      <c r="T36" s="118">
        <f t="shared" si="67"/>
        <v>27</v>
      </c>
      <c r="U36" s="118">
        <f t="shared" si="67"/>
        <v>28</v>
      </c>
      <c r="V36" s="118">
        <f t="shared" si="67"/>
        <v>29</v>
      </c>
      <c r="W36" s="122"/>
      <c r="Y36" s="130"/>
      <c r="Z36" s="118">
        <f t="shared" si="61"/>
        <v>28</v>
      </c>
      <c r="AA36" s="118">
        <f t="shared" ref="AA36:AF36" si="68">IFERROR(IF(Z36+1&lt;=29,Z36+1,""),"")</f>
        <v>29</v>
      </c>
      <c r="AB36" s="118" t="str">
        <f t="shared" si="68"/>
        <v/>
      </c>
      <c r="AC36" s="118" t="str">
        <f t="shared" si="68"/>
        <v/>
      </c>
      <c r="AD36" s="118" t="str">
        <f t="shared" si="68"/>
        <v/>
      </c>
      <c r="AE36" s="118" t="str">
        <f t="shared" si="68"/>
        <v/>
      </c>
      <c r="AF36" s="118" t="str">
        <f t="shared" si="68"/>
        <v/>
      </c>
      <c r="AG36" s="122"/>
    </row>
    <row r="37" spans="4:33" ht="21" x14ac:dyDescent="0.25">
      <c r="D37" s="144"/>
      <c r="E37" s="131"/>
      <c r="F37" s="118" t="str">
        <f t="shared" si="57"/>
        <v/>
      </c>
      <c r="G37" s="118" t="str">
        <f t="shared" ref="G37:L37" si="69">IFERROR(IF(F37+1&lt;=30,F37+1,""),"")</f>
        <v/>
      </c>
      <c r="H37" s="118" t="str">
        <f t="shared" si="69"/>
        <v/>
      </c>
      <c r="I37" s="118" t="str">
        <f t="shared" si="69"/>
        <v/>
      </c>
      <c r="J37" s="118" t="str">
        <f t="shared" si="69"/>
        <v/>
      </c>
      <c r="K37" s="118" t="str">
        <f t="shared" si="69"/>
        <v/>
      </c>
      <c r="L37" s="118" t="str">
        <f t="shared" si="69"/>
        <v/>
      </c>
      <c r="O37" s="131"/>
      <c r="P37" s="118">
        <f t="shared" si="59"/>
        <v>30</v>
      </c>
      <c r="Q37" s="118" t="str">
        <f t="shared" ref="Q37:V37" si="70">IFERROR(IF(P37+1&lt;=30,P37+1,""),"")</f>
        <v/>
      </c>
      <c r="R37" s="118" t="str">
        <f t="shared" si="70"/>
        <v/>
      </c>
      <c r="S37" s="118" t="str">
        <f t="shared" si="70"/>
        <v/>
      </c>
      <c r="T37" s="118" t="str">
        <f t="shared" si="70"/>
        <v/>
      </c>
      <c r="U37" s="118" t="str">
        <f t="shared" si="70"/>
        <v/>
      </c>
      <c r="V37" s="118" t="str">
        <f t="shared" si="70"/>
        <v/>
      </c>
      <c r="Y37" s="131"/>
      <c r="Z37" s="118" t="str">
        <f>IFERROR(IF(AF36+1&lt;=29,AF36+1,""),"")</f>
        <v/>
      </c>
      <c r="AA37" s="118" t="str">
        <f t="shared" ref="AA37:AF37" si="71">IFERROR(IF(Z37+1&lt;=29,Z37+1,""),"")</f>
        <v/>
      </c>
      <c r="AB37" s="118" t="str">
        <f t="shared" si="71"/>
        <v/>
      </c>
      <c r="AC37" s="118" t="str">
        <f t="shared" si="71"/>
        <v/>
      </c>
      <c r="AD37" s="118" t="str">
        <f t="shared" si="71"/>
        <v/>
      </c>
      <c r="AE37" s="118" t="str">
        <f t="shared" si="71"/>
        <v/>
      </c>
      <c r="AF37" s="118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2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116</v>
      </c>
      <c r="C1" s="63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47" t="s">
        <v>163</v>
      </c>
      <c r="B3" s="147"/>
      <c r="D3" s="43"/>
      <c r="F3" s="43"/>
      <c r="H3" s="43"/>
      <c r="J3" s="43"/>
      <c r="L3" s="43"/>
      <c r="N3" s="43"/>
      <c r="P3" s="61"/>
      <c r="Q3" s="61"/>
      <c r="R3" s="43"/>
      <c r="S3" s="43"/>
      <c r="T3" s="43"/>
      <c r="U3" s="43"/>
      <c r="V3" s="43"/>
      <c r="W3" s="43"/>
    </row>
    <row r="4" spans="1:23" ht="15.75" customHeight="1" x14ac:dyDescent="0.25">
      <c r="A4" s="45" t="s">
        <v>162</v>
      </c>
      <c r="B4" s="45" t="s">
        <v>174</v>
      </c>
      <c r="D4" s="43"/>
      <c r="F4" s="43"/>
      <c r="H4" s="43"/>
      <c r="J4" s="43"/>
      <c r="L4" s="43"/>
      <c r="N4" s="43"/>
      <c r="P4" s="61"/>
      <c r="Q4" s="61"/>
      <c r="R4" s="43"/>
      <c r="S4" s="43"/>
      <c r="T4" s="43"/>
      <c r="U4" s="43"/>
      <c r="V4" s="43"/>
      <c r="W4" s="43"/>
    </row>
    <row r="5" spans="1:23" ht="15.75" x14ac:dyDescent="0.25">
      <c r="A5" s="44">
        <v>1</v>
      </c>
      <c r="B5" s="44" t="s">
        <v>312</v>
      </c>
      <c r="D5" s="80" t="s">
        <v>312</v>
      </c>
      <c r="F5" s="80" t="s">
        <v>164</v>
      </c>
      <c r="G5" s="61"/>
      <c r="H5" s="80" t="s">
        <v>166</v>
      </c>
      <c r="I5" s="61"/>
      <c r="J5" s="80" t="s">
        <v>168</v>
      </c>
      <c r="K5" s="61"/>
      <c r="L5" s="80" t="s">
        <v>170</v>
      </c>
      <c r="N5" s="80" t="s">
        <v>171</v>
      </c>
      <c r="O5" s="61"/>
      <c r="P5" s="80" t="s">
        <v>169</v>
      </c>
      <c r="Q5" s="61"/>
      <c r="R5" s="81" t="s">
        <v>322</v>
      </c>
    </row>
    <row r="6" spans="1:23" ht="15.75" x14ac:dyDescent="0.25">
      <c r="A6" s="44">
        <v>2</v>
      </c>
      <c r="B6" s="78" t="s">
        <v>164</v>
      </c>
      <c r="D6" s="80" t="s">
        <v>323</v>
      </c>
      <c r="F6" s="80" t="s">
        <v>165</v>
      </c>
      <c r="G6" s="61"/>
      <c r="H6" s="80" t="s">
        <v>167</v>
      </c>
      <c r="I6" s="61"/>
      <c r="J6" s="80" t="s">
        <v>324</v>
      </c>
      <c r="K6" s="61"/>
      <c r="L6" s="80" t="s">
        <v>323</v>
      </c>
      <c r="M6" s="61"/>
      <c r="N6" s="80" t="s">
        <v>159</v>
      </c>
      <c r="O6" s="61"/>
      <c r="P6" s="80" t="s">
        <v>325</v>
      </c>
      <c r="Q6" s="61"/>
      <c r="R6" s="79" t="s">
        <v>320</v>
      </c>
    </row>
    <row r="7" spans="1:23" ht="15.75" x14ac:dyDescent="0.25">
      <c r="A7" s="44">
        <v>3</v>
      </c>
      <c r="B7" s="44" t="s">
        <v>316</v>
      </c>
      <c r="F7" s="60"/>
      <c r="G7" s="61"/>
      <c r="H7" s="60"/>
      <c r="I7" s="61"/>
      <c r="J7" s="60"/>
      <c r="K7" s="61"/>
      <c r="L7" s="80" t="s">
        <v>317</v>
      </c>
      <c r="M7" s="61"/>
      <c r="N7" s="60"/>
      <c r="O7" s="61"/>
      <c r="P7" s="60"/>
      <c r="Q7" s="61"/>
    </row>
    <row r="8" spans="1:23" ht="15.75" x14ac:dyDescent="0.25">
      <c r="A8" s="44">
        <v>4</v>
      </c>
      <c r="B8" s="44" t="s">
        <v>313</v>
      </c>
      <c r="F8" s="60"/>
      <c r="G8" s="61"/>
      <c r="H8" s="60"/>
      <c r="I8" s="61"/>
      <c r="J8" s="60"/>
      <c r="K8" s="61"/>
      <c r="L8" s="80" t="s">
        <v>318</v>
      </c>
      <c r="M8" s="61"/>
      <c r="N8" s="60"/>
      <c r="O8" s="61"/>
      <c r="P8" s="60"/>
      <c r="Q8" s="61"/>
    </row>
    <row r="9" spans="1:23" ht="15.75" x14ac:dyDescent="0.25">
      <c r="A9" s="44">
        <v>5</v>
      </c>
      <c r="B9" s="44" t="s">
        <v>319</v>
      </c>
      <c r="H9" s="60"/>
      <c r="I9" s="61"/>
      <c r="J9" s="60"/>
      <c r="K9" s="61"/>
      <c r="L9" s="60"/>
      <c r="M9" s="61"/>
      <c r="N9" s="60"/>
      <c r="O9" s="61"/>
    </row>
    <row r="10" spans="1:23" ht="15.75" x14ac:dyDescent="0.25">
      <c r="A10" s="44">
        <v>6</v>
      </c>
      <c r="B10" s="44" t="s">
        <v>314</v>
      </c>
      <c r="L10" s="60"/>
    </row>
    <row r="11" spans="1:23" ht="15.75" x14ac:dyDescent="0.25">
      <c r="A11" s="44">
        <v>7</v>
      </c>
      <c r="B11" s="44" t="s">
        <v>315</v>
      </c>
      <c r="L11" s="60"/>
    </row>
    <row r="12" spans="1:23" ht="15.75" x14ac:dyDescent="0.25">
      <c r="A12" s="44">
        <v>8</v>
      </c>
      <c r="B12" s="44" t="s">
        <v>321</v>
      </c>
    </row>
    <row r="13" spans="1:23" ht="15.75" x14ac:dyDescent="0.25">
      <c r="A13" s="44"/>
      <c r="B13" s="44"/>
    </row>
    <row r="14" spans="1:23" ht="15.75" x14ac:dyDescent="0.25">
      <c r="A14" s="44"/>
      <c r="B14" s="44"/>
    </row>
    <row r="15" spans="1:23" ht="15.75" x14ac:dyDescent="0.25">
      <c r="A15" s="44"/>
      <c r="B15" s="44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73" customWidth="1"/>
    <col min="6" max="6" width="21.42578125" customWidth="1"/>
    <col min="7" max="7" width="0.7109375" style="73" customWidth="1"/>
    <col min="8" max="8" width="15.7109375" customWidth="1"/>
    <col min="9" max="9" width="0.7109375" style="73" customWidth="1"/>
    <col min="10" max="10" width="20.7109375" customWidth="1"/>
    <col min="11" max="11" width="0.7109375" style="73" customWidth="1"/>
    <col min="12" max="12" width="21.42578125" customWidth="1"/>
    <col min="13" max="13" width="0.7109375" style="73" customWidth="1"/>
    <col min="14" max="14" width="14.28515625" customWidth="1"/>
    <col min="15" max="15" width="0.7109375" style="73" customWidth="1"/>
    <col min="16" max="16" width="18.85546875" customWidth="1"/>
    <col min="17" max="17" width="0.7109375" style="73" customWidth="1"/>
    <col min="18" max="18" width="17.140625" customWidth="1"/>
    <col min="19" max="19" width="0.7109375" style="73" customWidth="1"/>
    <col min="20" max="20" width="17.140625" customWidth="1"/>
    <col min="21" max="21" width="0.7109375" style="73" customWidth="1"/>
    <col min="22" max="22" width="30.7109375" customWidth="1"/>
    <col min="23" max="23" width="0.7109375" style="73" customWidth="1"/>
    <col min="24" max="24" width="22.85546875" customWidth="1"/>
    <col min="25" max="25" width="0.7109375" style="73" customWidth="1"/>
    <col min="26" max="26" width="17.140625" customWidth="1"/>
    <col min="27" max="27" width="0.7109375" style="73" customWidth="1"/>
    <col min="28" max="28" width="22.85546875" customWidth="1"/>
    <col min="29" max="29" width="0.7109375" style="73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116</v>
      </c>
      <c r="C1" s="62"/>
      <c r="D1" s="73"/>
      <c r="F1" s="43"/>
      <c r="H1" s="43"/>
      <c r="J1" s="43"/>
      <c r="L1" s="43"/>
      <c r="N1" s="73"/>
      <c r="P1" s="73"/>
      <c r="R1" s="73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116</v>
      </c>
      <c r="C2" s="62"/>
      <c r="D2" s="73"/>
      <c r="F2" s="43"/>
      <c r="H2" s="43"/>
      <c r="J2" s="43"/>
      <c r="L2" s="43"/>
      <c r="N2" s="73"/>
      <c r="P2" s="73"/>
      <c r="R2" s="73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73"/>
      <c r="E3" s="73"/>
      <c r="G3" s="73"/>
      <c r="I3" s="73"/>
      <c r="K3" s="73"/>
      <c r="M3" s="73"/>
      <c r="N3" s="73"/>
      <c r="O3" s="73"/>
      <c r="P3" s="73"/>
      <c r="Q3" s="73"/>
      <c r="R3" s="73"/>
      <c r="S3" s="73"/>
      <c r="U3" s="73"/>
      <c r="W3" s="73"/>
      <c r="Y3" s="73"/>
      <c r="AA3" s="73"/>
      <c r="AC3" s="73"/>
    </row>
    <row r="4" spans="1:55" ht="15.75" x14ac:dyDescent="0.25">
      <c r="A4" s="148" t="s">
        <v>172</v>
      </c>
      <c r="B4" s="148"/>
      <c r="D4" s="44" t="s">
        <v>190</v>
      </c>
      <c r="E4" s="74"/>
      <c r="F4" s="44" t="s">
        <v>194</v>
      </c>
      <c r="G4" s="74"/>
      <c r="H4" s="44" t="s">
        <v>188</v>
      </c>
      <c r="I4" s="74"/>
      <c r="J4" s="44" t="s">
        <v>178</v>
      </c>
      <c r="K4" s="74"/>
      <c r="L4" s="44" t="s">
        <v>177</v>
      </c>
      <c r="M4" s="74"/>
      <c r="N4" s="44" t="s">
        <v>179</v>
      </c>
      <c r="O4" s="74"/>
      <c r="P4" s="44" t="s">
        <v>183</v>
      </c>
      <c r="Q4" s="74"/>
      <c r="R4" s="44" t="s">
        <v>189</v>
      </c>
      <c r="S4" s="74"/>
      <c r="T4" s="44" t="s">
        <v>204</v>
      </c>
      <c r="U4" s="74"/>
      <c r="V4" s="44" t="s">
        <v>187</v>
      </c>
      <c r="W4" s="74"/>
      <c r="X4" s="44" t="s">
        <v>266</v>
      </c>
      <c r="Y4" s="74"/>
      <c r="Z4" s="44" t="s">
        <v>191</v>
      </c>
      <c r="AA4" s="74"/>
      <c r="AB4" s="44" t="s">
        <v>208</v>
      </c>
      <c r="AC4" s="74"/>
      <c r="AD4" s="44" t="s">
        <v>276</v>
      </c>
      <c r="AE4" s="75"/>
      <c r="AF4" s="44" t="s">
        <v>279</v>
      </c>
      <c r="AG4" s="75"/>
      <c r="AH4" s="44" t="s">
        <v>281</v>
      </c>
      <c r="AI4" s="75"/>
      <c r="AJ4" s="44" t="s">
        <v>181</v>
      </c>
      <c r="AK4" s="75"/>
      <c r="AL4" s="44" t="s">
        <v>230</v>
      </c>
      <c r="AM4" s="75"/>
      <c r="AN4" s="44" t="s">
        <v>244</v>
      </c>
      <c r="AO4" s="75"/>
      <c r="AP4" s="44" t="s">
        <v>180</v>
      </c>
      <c r="AQ4" s="75"/>
      <c r="AR4" s="44" t="s">
        <v>282</v>
      </c>
      <c r="AS4" s="75"/>
      <c r="AT4" s="44" t="s">
        <v>249</v>
      </c>
      <c r="AU4" s="75"/>
      <c r="AV4" s="44" t="s">
        <v>182</v>
      </c>
      <c r="AW4" s="61"/>
      <c r="AX4" s="60" t="s">
        <v>176</v>
      </c>
      <c r="AY4" s="60"/>
      <c r="AZ4" s="60"/>
      <c r="BA4" s="60"/>
    </row>
    <row r="5" spans="1:55" ht="15.75" x14ac:dyDescent="0.25">
      <c r="A5" s="44" t="s">
        <v>173</v>
      </c>
      <c r="B5" s="44" t="s">
        <v>175</v>
      </c>
      <c r="D5" s="44" t="s">
        <v>269</v>
      </c>
      <c r="E5" s="74"/>
      <c r="F5" s="44" t="s">
        <v>199</v>
      </c>
      <c r="G5" s="74"/>
      <c r="H5" s="44" t="s">
        <v>218</v>
      </c>
      <c r="I5" s="74"/>
      <c r="J5" s="44" t="s">
        <v>223</v>
      </c>
      <c r="K5" s="74"/>
      <c r="L5" s="44" t="s">
        <v>227</v>
      </c>
      <c r="M5" s="74"/>
      <c r="N5" s="44" t="s">
        <v>205</v>
      </c>
      <c r="O5" s="74"/>
      <c r="P5" s="44" t="s">
        <v>272</v>
      </c>
      <c r="Q5" s="74"/>
      <c r="R5" s="44" t="s">
        <v>240</v>
      </c>
      <c r="S5" s="74"/>
      <c r="T5" s="44" t="s">
        <v>209</v>
      </c>
      <c r="U5" s="74"/>
      <c r="V5" s="44" t="s">
        <v>214</v>
      </c>
      <c r="W5" s="74"/>
      <c r="X5" s="44" t="s">
        <v>273</v>
      </c>
      <c r="Y5" s="74"/>
      <c r="Z5" s="44" t="s">
        <v>274</v>
      </c>
      <c r="AA5" s="74"/>
      <c r="AB5" s="44" t="s">
        <v>271</v>
      </c>
      <c r="AC5" s="74"/>
      <c r="AD5" s="44" t="s">
        <v>285</v>
      </c>
      <c r="AE5" s="75"/>
      <c r="AF5" s="44" t="s">
        <v>280</v>
      </c>
      <c r="AG5" s="75"/>
      <c r="AH5" s="44" t="s">
        <v>308</v>
      </c>
      <c r="AI5" s="75"/>
      <c r="AJ5" s="44" t="s">
        <v>258</v>
      </c>
      <c r="AK5" s="75"/>
      <c r="AL5" s="44" t="s">
        <v>256</v>
      </c>
      <c r="AM5" s="75"/>
      <c r="AN5" s="44" t="s">
        <v>246</v>
      </c>
      <c r="AO5" s="75"/>
      <c r="AP5" s="44" t="s">
        <v>204</v>
      </c>
      <c r="AQ5" s="75"/>
      <c r="AR5" s="44" t="s">
        <v>283</v>
      </c>
      <c r="AS5" s="75"/>
      <c r="AT5" s="44" t="s">
        <v>251</v>
      </c>
      <c r="AU5" s="75"/>
      <c r="AV5" s="44" t="s">
        <v>261</v>
      </c>
      <c r="AW5" s="61"/>
      <c r="AX5" s="60" t="s">
        <v>304</v>
      </c>
      <c r="AY5" s="60"/>
      <c r="AZ5" s="60"/>
      <c r="BA5" s="60"/>
    </row>
    <row r="6" spans="1:55" ht="15.75" x14ac:dyDescent="0.25">
      <c r="A6" s="44">
        <v>1</v>
      </c>
      <c r="B6" s="71" t="s">
        <v>190</v>
      </c>
      <c r="D6" s="44" t="s">
        <v>270</v>
      </c>
      <c r="E6" s="74"/>
      <c r="F6" s="44" t="s">
        <v>198</v>
      </c>
      <c r="G6" s="74"/>
      <c r="H6" s="44" t="s">
        <v>219</v>
      </c>
      <c r="I6" s="74"/>
      <c r="J6" s="44" t="s">
        <v>226</v>
      </c>
      <c r="K6" s="74"/>
      <c r="L6" s="44" t="s">
        <v>228</v>
      </c>
      <c r="M6" s="74"/>
      <c r="N6" s="44" t="s">
        <v>204</v>
      </c>
      <c r="O6" s="74"/>
      <c r="P6" s="44" t="s">
        <v>159</v>
      </c>
      <c r="Q6" s="74"/>
      <c r="R6" s="44" t="s">
        <v>241</v>
      </c>
      <c r="S6" s="74"/>
      <c r="T6" s="44" t="s">
        <v>213</v>
      </c>
      <c r="U6" s="74"/>
      <c r="V6" s="44" t="s">
        <v>215</v>
      </c>
      <c r="W6" s="74"/>
      <c r="X6" s="44" t="s">
        <v>159</v>
      </c>
      <c r="Y6" s="74"/>
      <c r="Z6" s="44" t="s">
        <v>275</v>
      </c>
      <c r="AA6" s="74"/>
      <c r="AB6" s="44" t="s">
        <v>236</v>
      </c>
      <c r="AC6" s="74"/>
      <c r="AD6" s="44" t="s">
        <v>284</v>
      </c>
      <c r="AE6" s="75"/>
      <c r="AF6" s="44" t="s">
        <v>307</v>
      </c>
      <c r="AG6" s="75"/>
      <c r="AH6" s="44" t="s">
        <v>323</v>
      </c>
      <c r="AI6" s="75"/>
      <c r="AJ6" s="44" t="s">
        <v>257</v>
      </c>
      <c r="AK6" s="75"/>
      <c r="AL6" s="44" t="s">
        <v>231</v>
      </c>
      <c r="AM6" s="75"/>
      <c r="AN6" s="44" t="s">
        <v>245</v>
      </c>
      <c r="AO6" s="75"/>
      <c r="AP6" s="44" t="s">
        <v>253</v>
      </c>
      <c r="AQ6" s="75"/>
      <c r="AR6" s="44" t="s">
        <v>309</v>
      </c>
      <c r="AS6" s="75"/>
      <c r="AT6" s="44" t="s">
        <v>250</v>
      </c>
      <c r="AU6" s="75"/>
      <c r="AV6" s="44" t="s">
        <v>262</v>
      </c>
      <c r="AW6" s="61"/>
      <c r="AX6" s="60" t="s">
        <v>303</v>
      </c>
      <c r="AY6" s="60"/>
      <c r="AZ6" s="60"/>
      <c r="BA6" s="60"/>
    </row>
    <row r="7" spans="1:55" ht="15.75" x14ac:dyDescent="0.25">
      <c r="A7" s="44">
        <v>2</v>
      </c>
      <c r="B7" s="72" t="s">
        <v>288</v>
      </c>
      <c r="D7" s="44" t="s">
        <v>267</v>
      </c>
      <c r="E7" s="74"/>
      <c r="F7" s="44" t="s">
        <v>197</v>
      </c>
      <c r="G7" s="74"/>
      <c r="H7" s="44" t="s">
        <v>220</v>
      </c>
      <c r="I7" s="74"/>
      <c r="J7" s="44" t="s">
        <v>224</v>
      </c>
      <c r="K7" s="74"/>
      <c r="L7" s="44"/>
      <c r="M7" s="74"/>
      <c r="N7" s="44" t="s">
        <v>206</v>
      </c>
      <c r="O7" s="74"/>
      <c r="P7" s="44"/>
      <c r="Q7" s="74"/>
      <c r="R7" s="44" t="s">
        <v>242</v>
      </c>
      <c r="S7" s="74"/>
      <c r="T7" s="44" t="s">
        <v>210</v>
      </c>
      <c r="U7" s="74"/>
      <c r="V7" s="44" t="s">
        <v>216</v>
      </c>
      <c r="W7" s="74"/>
      <c r="X7" s="44"/>
      <c r="Y7" s="74"/>
      <c r="Z7" s="44"/>
      <c r="AA7" s="74"/>
      <c r="AB7" s="44"/>
      <c r="AC7" s="74"/>
      <c r="AD7" s="44" t="s">
        <v>277</v>
      </c>
      <c r="AE7" s="75"/>
      <c r="AF7" s="44"/>
      <c r="AG7" s="75"/>
      <c r="AH7" s="44"/>
      <c r="AI7" s="75"/>
      <c r="AJ7" s="44"/>
      <c r="AK7" s="75"/>
      <c r="AL7" s="44" t="s">
        <v>232</v>
      </c>
      <c r="AM7" s="75"/>
      <c r="AN7" s="44" t="s">
        <v>247</v>
      </c>
      <c r="AO7" s="75"/>
      <c r="AP7" s="44" t="s">
        <v>254</v>
      </c>
      <c r="AQ7" s="75"/>
      <c r="AR7" s="44"/>
      <c r="AS7" s="75"/>
      <c r="AT7" s="44" t="s">
        <v>252</v>
      </c>
      <c r="AU7" s="75"/>
      <c r="AV7" s="44" t="s">
        <v>263</v>
      </c>
      <c r="AW7" s="61"/>
      <c r="AX7" s="60" t="s">
        <v>305</v>
      </c>
      <c r="AY7" s="60"/>
      <c r="AZ7" s="60"/>
      <c r="BA7" s="60"/>
    </row>
    <row r="8" spans="1:55" ht="15.75" x14ac:dyDescent="0.25">
      <c r="A8" s="44">
        <v>3</v>
      </c>
      <c r="B8" s="72" t="s">
        <v>289</v>
      </c>
      <c r="D8" s="44" t="s">
        <v>268</v>
      </c>
      <c r="E8" s="74"/>
      <c r="F8" s="44" t="s">
        <v>195</v>
      </c>
      <c r="G8" s="74"/>
      <c r="H8" s="44" t="s">
        <v>221</v>
      </c>
      <c r="I8" s="74"/>
      <c r="J8" s="44" t="s">
        <v>229</v>
      </c>
      <c r="K8" s="74"/>
      <c r="L8" s="44"/>
      <c r="M8" s="74"/>
      <c r="N8" s="44" t="s">
        <v>207</v>
      </c>
      <c r="O8" s="74"/>
      <c r="P8" s="44"/>
      <c r="Q8" s="74"/>
      <c r="R8" s="44" t="s">
        <v>243</v>
      </c>
      <c r="S8" s="74"/>
      <c r="T8" s="44" t="s">
        <v>211</v>
      </c>
      <c r="U8" s="74"/>
      <c r="V8" s="44" t="s">
        <v>217</v>
      </c>
      <c r="W8" s="74"/>
      <c r="X8" s="44"/>
      <c r="Y8" s="74"/>
      <c r="Z8" s="44"/>
      <c r="AA8" s="74"/>
      <c r="AB8" s="44"/>
      <c r="AC8" s="74"/>
      <c r="AD8" s="44" t="s">
        <v>278</v>
      </c>
      <c r="AE8" s="75"/>
      <c r="AF8" s="44"/>
      <c r="AG8" s="75"/>
      <c r="AH8" s="44"/>
      <c r="AI8" s="75"/>
      <c r="AJ8" s="44"/>
      <c r="AK8" s="75"/>
      <c r="AL8" s="44" t="s">
        <v>233</v>
      </c>
      <c r="AM8" s="75"/>
      <c r="AN8" s="44" t="s">
        <v>248</v>
      </c>
      <c r="AO8" s="75"/>
      <c r="AP8" s="44" t="s">
        <v>255</v>
      </c>
      <c r="AQ8" s="75"/>
      <c r="AR8" s="44"/>
      <c r="AS8" s="75"/>
      <c r="AT8" s="44"/>
      <c r="AU8" s="75"/>
      <c r="AV8" s="44" t="s">
        <v>259</v>
      </c>
      <c r="AW8" s="61"/>
      <c r="AX8" s="60"/>
      <c r="AY8" s="60"/>
      <c r="AZ8" s="60"/>
      <c r="BA8" s="60"/>
    </row>
    <row r="9" spans="1:55" ht="15.75" x14ac:dyDescent="0.25">
      <c r="A9" s="44">
        <v>4</v>
      </c>
      <c r="B9" s="71" t="s">
        <v>290</v>
      </c>
      <c r="D9" s="44"/>
      <c r="E9" s="74"/>
      <c r="F9" s="44" t="s">
        <v>196</v>
      </c>
      <c r="G9" s="74"/>
      <c r="H9" s="44" t="s">
        <v>222</v>
      </c>
      <c r="I9" s="74"/>
      <c r="J9" s="44" t="s">
        <v>225</v>
      </c>
      <c r="K9" s="74"/>
      <c r="L9" s="44"/>
      <c r="M9" s="74"/>
      <c r="N9" s="44"/>
      <c r="O9" s="74"/>
      <c r="P9" s="44"/>
      <c r="Q9" s="74"/>
      <c r="R9" s="44"/>
      <c r="S9" s="74"/>
      <c r="T9" s="44" t="s">
        <v>212</v>
      </c>
      <c r="U9" s="74"/>
      <c r="V9" s="44"/>
      <c r="W9" s="74"/>
      <c r="X9" s="44"/>
      <c r="Y9" s="74"/>
      <c r="Z9" s="44"/>
      <c r="AA9" s="74"/>
      <c r="AB9" s="44"/>
      <c r="AC9" s="74"/>
      <c r="AD9" s="44"/>
      <c r="AE9" s="75"/>
      <c r="AF9" s="44"/>
      <c r="AG9" s="75"/>
      <c r="AH9" s="44"/>
      <c r="AI9" s="75"/>
      <c r="AJ9" s="44"/>
      <c r="AK9" s="75"/>
      <c r="AL9" s="44" t="s">
        <v>239</v>
      </c>
      <c r="AM9" s="75"/>
      <c r="AN9" s="44"/>
      <c r="AO9" s="75"/>
      <c r="AP9" s="44"/>
      <c r="AQ9" s="75"/>
      <c r="AR9" s="44"/>
      <c r="AS9" s="75"/>
      <c r="AT9" s="44"/>
      <c r="AU9" s="75"/>
      <c r="AV9" s="44" t="s">
        <v>260</v>
      </c>
      <c r="AW9" s="61"/>
      <c r="AX9" s="60"/>
      <c r="AY9" s="60"/>
      <c r="AZ9" s="60"/>
      <c r="BA9" s="60"/>
    </row>
    <row r="10" spans="1:55" ht="15.75" x14ac:dyDescent="0.25">
      <c r="A10" s="44">
        <v>5</v>
      </c>
      <c r="B10" s="71" t="s">
        <v>291</v>
      </c>
      <c r="D10" s="44"/>
      <c r="E10" s="74"/>
      <c r="F10" s="44" t="s">
        <v>200</v>
      </c>
      <c r="G10" s="74"/>
      <c r="H10" s="44"/>
      <c r="I10" s="74"/>
      <c r="J10" s="44"/>
      <c r="K10" s="74"/>
      <c r="L10" s="44"/>
      <c r="M10" s="74"/>
      <c r="N10" s="44"/>
      <c r="O10" s="74"/>
      <c r="P10" s="44"/>
      <c r="Q10" s="74"/>
      <c r="R10" s="44"/>
      <c r="S10" s="74"/>
      <c r="T10" s="44"/>
      <c r="U10" s="74"/>
      <c r="V10" s="44"/>
      <c r="W10" s="74"/>
      <c r="X10" s="44"/>
      <c r="Y10" s="74"/>
      <c r="Z10" s="44"/>
      <c r="AA10" s="74"/>
      <c r="AB10" s="44"/>
      <c r="AC10" s="74"/>
      <c r="AD10" s="44"/>
      <c r="AE10" s="75"/>
      <c r="AF10" s="44"/>
      <c r="AG10" s="75"/>
      <c r="AH10" s="44"/>
      <c r="AI10" s="75"/>
      <c r="AJ10" s="44"/>
      <c r="AK10" s="75"/>
      <c r="AL10" s="44" t="s">
        <v>234</v>
      </c>
      <c r="AM10" s="75"/>
      <c r="AN10" s="44"/>
      <c r="AO10" s="75"/>
      <c r="AP10" s="44"/>
      <c r="AQ10" s="75"/>
      <c r="AR10" s="44"/>
      <c r="AS10" s="75"/>
      <c r="AT10" s="44"/>
      <c r="AU10" s="75"/>
      <c r="AV10" s="44" t="s">
        <v>264</v>
      </c>
      <c r="AW10" s="61"/>
      <c r="AX10" s="60"/>
      <c r="AY10" s="60"/>
      <c r="AZ10" s="60"/>
      <c r="BA10" s="60"/>
    </row>
    <row r="11" spans="1:55" ht="15.75" x14ac:dyDescent="0.25">
      <c r="A11" s="44">
        <v>6</v>
      </c>
      <c r="B11" s="72" t="s">
        <v>179</v>
      </c>
      <c r="D11" s="44"/>
      <c r="E11" s="74"/>
      <c r="F11" s="44" t="s">
        <v>203</v>
      </c>
      <c r="G11" s="74"/>
      <c r="H11" s="44"/>
      <c r="I11" s="74"/>
      <c r="J11" s="44"/>
      <c r="K11" s="74"/>
      <c r="L11" s="44"/>
      <c r="M11" s="74"/>
      <c r="N11" s="44"/>
      <c r="O11" s="74"/>
      <c r="P11" s="44"/>
      <c r="Q11" s="74"/>
      <c r="R11" s="44"/>
      <c r="S11" s="74"/>
      <c r="T11" s="44"/>
      <c r="U11" s="74"/>
      <c r="V11" s="44"/>
      <c r="W11" s="74"/>
      <c r="X11" s="44"/>
      <c r="Y11" s="74"/>
      <c r="Z11" s="44"/>
      <c r="AA11" s="74"/>
      <c r="AB11" s="44"/>
      <c r="AC11" s="74"/>
      <c r="AD11" s="44"/>
      <c r="AE11" s="75"/>
      <c r="AF11" s="44"/>
      <c r="AG11" s="75"/>
      <c r="AH11" s="44"/>
      <c r="AI11" s="75"/>
      <c r="AJ11" s="44"/>
      <c r="AK11" s="75"/>
      <c r="AL11" s="44" t="s">
        <v>238</v>
      </c>
      <c r="AM11" s="75"/>
      <c r="AN11" s="44"/>
      <c r="AO11" s="75"/>
      <c r="AP11" s="44"/>
      <c r="AQ11" s="75"/>
      <c r="AR11" s="44"/>
      <c r="AS11" s="75"/>
      <c r="AT11" s="44"/>
      <c r="AU11" s="75"/>
      <c r="AV11" s="44" t="s">
        <v>265</v>
      </c>
      <c r="AW11" s="61"/>
      <c r="AX11" s="60"/>
      <c r="AY11" s="60"/>
      <c r="AZ11" s="60"/>
      <c r="BA11" s="60"/>
    </row>
    <row r="12" spans="1:55" ht="15.75" x14ac:dyDescent="0.25">
      <c r="A12" s="44">
        <v>7</v>
      </c>
      <c r="B12" s="72" t="s">
        <v>292</v>
      </c>
      <c r="D12" s="44"/>
      <c r="E12" s="74"/>
      <c r="F12" s="44" t="s">
        <v>201</v>
      </c>
      <c r="G12" s="74"/>
      <c r="H12" s="44"/>
      <c r="I12" s="74"/>
      <c r="J12" s="44"/>
      <c r="K12" s="74"/>
      <c r="L12" s="44"/>
      <c r="M12" s="74"/>
      <c r="N12" s="44"/>
      <c r="O12" s="74"/>
      <c r="P12" s="44"/>
      <c r="Q12" s="74"/>
      <c r="R12" s="44"/>
      <c r="S12" s="74"/>
      <c r="T12" s="44"/>
      <c r="U12" s="74"/>
      <c r="V12" s="44"/>
      <c r="W12" s="74"/>
      <c r="X12" s="44"/>
      <c r="Y12" s="74"/>
      <c r="Z12" s="44"/>
      <c r="AA12" s="74"/>
      <c r="AB12" s="44"/>
      <c r="AC12" s="74"/>
      <c r="AD12" s="44"/>
      <c r="AE12" s="75"/>
      <c r="AF12" s="44"/>
      <c r="AG12" s="75"/>
      <c r="AH12" s="44"/>
      <c r="AI12" s="75"/>
      <c r="AJ12" s="44"/>
      <c r="AK12" s="75"/>
      <c r="AL12" s="44" t="s">
        <v>253</v>
      </c>
      <c r="AM12" s="75"/>
      <c r="AN12" s="44"/>
      <c r="AO12" s="75"/>
      <c r="AP12" s="44"/>
      <c r="AQ12" s="75"/>
      <c r="AR12" s="44"/>
      <c r="AS12" s="75"/>
      <c r="AT12" s="44"/>
      <c r="AU12" s="75"/>
      <c r="AV12" s="44"/>
      <c r="AW12" s="61"/>
      <c r="AX12" s="60"/>
      <c r="AY12" s="60"/>
      <c r="AZ12" s="60"/>
      <c r="BA12" s="60"/>
    </row>
    <row r="13" spans="1:55" ht="15.75" x14ac:dyDescent="0.25">
      <c r="A13" s="44">
        <v>8</v>
      </c>
      <c r="B13" s="72" t="s">
        <v>293</v>
      </c>
      <c r="D13" s="44"/>
      <c r="E13" s="74"/>
      <c r="F13" s="44" t="s">
        <v>202</v>
      </c>
      <c r="G13" s="74"/>
      <c r="H13" s="44"/>
      <c r="I13" s="74"/>
      <c r="J13" s="44"/>
      <c r="K13" s="74"/>
      <c r="L13" s="44"/>
      <c r="M13" s="74"/>
      <c r="N13" s="44"/>
      <c r="O13" s="74"/>
      <c r="P13" s="44"/>
      <c r="Q13" s="74"/>
      <c r="R13" s="44"/>
      <c r="S13" s="76"/>
      <c r="T13" s="44"/>
      <c r="U13" s="74"/>
      <c r="V13" s="44"/>
      <c r="W13" s="74"/>
      <c r="X13" s="44"/>
      <c r="Y13" s="74"/>
      <c r="Z13" s="44"/>
      <c r="AA13" s="74"/>
      <c r="AB13" s="44"/>
      <c r="AC13" s="74"/>
      <c r="AD13" s="44"/>
      <c r="AE13" s="75"/>
      <c r="AF13" s="44"/>
      <c r="AG13" s="75"/>
      <c r="AH13" s="44"/>
      <c r="AI13" s="75"/>
      <c r="AJ13" s="44"/>
      <c r="AK13" s="75"/>
      <c r="AL13" s="44" t="s">
        <v>237</v>
      </c>
      <c r="AM13" s="75"/>
      <c r="AN13" s="44"/>
      <c r="AO13" s="75"/>
      <c r="AP13" s="44"/>
      <c r="AQ13" s="75"/>
      <c r="AR13" s="44"/>
      <c r="AS13" s="75"/>
      <c r="AT13" s="44"/>
      <c r="AU13" s="75"/>
      <c r="AV13" s="44"/>
      <c r="AW13" s="61"/>
      <c r="AX13" s="60"/>
      <c r="AY13" s="60"/>
      <c r="AZ13" s="60"/>
      <c r="BA13" s="60"/>
    </row>
    <row r="14" spans="1:55" ht="15.75" x14ac:dyDescent="0.25">
      <c r="A14" s="44">
        <v>9</v>
      </c>
      <c r="B14" s="71" t="s">
        <v>204</v>
      </c>
      <c r="D14" s="44"/>
      <c r="E14" s="74"/>
      <c r="F14" s="44"/>
      <c r="G14" s="74"/>
      <c r="H14" s="44"/>
      <c r="I14" s="74"/>
      <c r="J14" s="44"/>
      <c r="K14" s="74"/>
      <c r="L14" s="44"/>
      <c r="M14" s="74"/>
      <c r="N14" s="44"/>
      <c r="O14" s="74"/>
      <c r="P14" s="44"/>
      <c r="Q14" s="74"/>
      <c r="R14" s="44"/>
      <c r="S14" s="74"/>
      <c r="T14" s="44"/>
      <c r="U14" s="74"/>
      <c r="V14" s="44"/>
      <c r="W14" s="74"/>
      <c r="X14" s="44"/>
      <c r="Y14" s="74"/>
      <c r="Z14" s="44"/>
      <c r="AA14" s="74"/>
      <c r="AB14" s="44"/>
      <c r="AC14" s="74"/>
      <c r="AD14" s="44"/>
      <c r="AE14" s="75"/>
      <c r="AF14" s="44"/>
      <c r="AG14" s="75"/>
      <c r="AH14" s="44"/>
      <c r="AI14" s="75"/>
      <c r="AJ14" s="44"/>
      <c r="AK14" s="75"/>
      <c r="AL14" s="44" t="s">
        <v>235</v>
      </c>
      <c r="AM14" s="75"/>
      <c r="AN14" s="44"/>
      <c r="AO14" s="75"/>
      <c r="AP14" s="44"/>
      <c r="AQ14" s="75"/>
      <c r="AR14" s="44"/>
      <c r="AS14" s="75"/>
      <c r="AT14" s="44"/>
      <c r="AU14" s="75"/>
      <c r="AV14" s="44"/>
      <c r="AW14" s="61"/>
      <c r="AX14" s="60"/>
      <c r="AY14" s="60"/>
      <c r="AZ14" s="60"/>
      <c r="BA14" s="60"/>
    </row>
    <row r="15" spans="1:55" ht="15.75" x14ac:dyDescent="0.25">
      <c r="A15" s="44">
        <v>10</v>
      </c>
      <c r="B15" s="72" t="s">
        <v>294</v>
      </c>
      <c r="D15" s="44"/>
      <c r="E15" s="74"/>
      <c r="F15" s="44"/>
      <c r="G15" s="74"/>
      <c r="H15" s="44"/>
      <c r="I15" s="74"/>
      <c r="J15" s="44"/>
      <c r="K15" s="74"/>
      <c r="L15" s="44"/>
      <c r="M15" s="74"/>
      <c r="N15" s="44"/>
      <c r="O15" s="74"/>
      <c r="P15" s="44"/>
      <c r="Q15" s="74"/>
      <c r="R15" s="44"/>
      <c r="S15" s="74"/>
      <c r="T15" s="44"/>
      <c r="U15" s="74"/>
      <c r="V15" s="44"/>
      <c r="W15" s="74"/>
      <c r="X15" s="44"/>
      <c r="Y15" s="74"/>
      <c r="Z15" s="44"/>
      <c r="AA15" s="74"/>
      <c r="AB15" s="44"/>
      <c r="AC15" s="74"/>
      <c r="AD15" s="44"/>
      <c r="AE15" s="75"/>
      <c r="AF15" s="44"/>
      <c r="AG15" s="75"/>
      <c r="AH15" s="44"/>
      <c r="AI15" s="75"/>
      <c r="AJ15" s="44"/>
      <c r="AK15" s="75"/>
      <c r="AL15" s="44" t="s">
        <v>236</v>
      </c>
      <c r="AM15" s="75"/>
      <c r="AN15" s="44"/>
      <c r="AO15" s="75"/>
      <c r="AP15" s="44"/>
      <c r="AQ15" s="75"/>
      <c r="AR15" s="44"/>
      <c r="AS15" s="75"/>
      <c r="AT15" s="44"/>
      <c r="AU15" s="75"/>
      <c r="AV15" s="44"/>
      <c r="AW15" s="61"/>
      <c r="AX15" s="60"/>
      <c r="AY15" s="60"/>
      <c r="AZ15" s="60"/>
      <c r="BA15" s="60"/>
    </row>
    <row r="16" spans="1:55" ht="15.75" x14ac:dyDescent="0.25">
      <c r="A16" s="44">
        <v>11</v>
      </c>
      <c r="B16" s="72" t="s">
        <v>287</v>
      </c>
      <c r="D16" s="44"/>
      <c r="E16" s="74"/>
      <c r="F16" s="44"/>
      <c r="G16" s="74"/>
      <c r="H16" s="44"/>
      <c r="I16" s="74"/>
      <c r="J16" s="44"/>
      <c r="K16" s="74"/>
      <c r="L16" s="44"/>
      <c r="M16" s="74"/>
      <c r="N16" s="44"/>
      <c r="O16" s="74"/>
      <c r="P16" s="44"/>
      <c r="Q16" s="74"/>
      <c r="R16" s="44"/>
      <c r="S16" s="74"/>
      <c r="T16" s="44"/>
      <c r="U16" s="74"/>
      <c r="V16" s="44"/>
      <c r="W16" s="74"/>
      <c r="X16" s="44"/>
      <c r="Y16" s="74"/>
      <c r="Z16" s="44"/>
      <c r="AA16" s="74"/>
      <c r="AB16" s="44"/>
      <c r="AC16" s="74"/>
      <c r="AD16" s="44"/>
      <c r="AE16" s="75"/>
      <c r="AF16" s="44"/>
      <c r="AG16" s="75"/>
      <c r="AH16" s="44"/>
      <c r="AI16" s="75"/>
      <c r="AJ16" s="44"/>
      <c r="AK16" s="75"/>
      <c r="AL16" s="44"/>
      <c r="AM16" s="75"/>
      <c r="AN16" s="44"/>
      <c r="AO16" s="75"/>
      <c r="AP16" s="44"/>
      <c r="AQ16" s="75"/>
      <c r="AR16" s="44"/>
      <c r="AS16" s="75"/>
      <c r="AT16" s="44"/>
      <c r="AU16" s="75"/>
      <c r="AV16" s="44"/>
      <c r="AW16" s="61"/>
      <c r="AX16" s="60"/>
      <c r="AY16" s="60"/>
      <c r="AZ16" s="60"/>
      <c r="BA16" s="60"/>
    </row>
    <row r="17" spans="1:53" ht="15.75" x14ac:dyDescent="0.25">
      <c r="A17" s="44">
        <v>12</v>
      </c>
      <c r="B17" s="72" t="s">
        <v>191</v>
      </c>
      <c r="D17" s="60"/>
      <c r="E17" s="77"/>
      <c r="F17" s="60"/>
      <c r="G17" s="77"/>
      <c r="H17" s="60"/>
      <c r="I17" s="77"/>
      <c r="J17" s="60"/>
      <c r="K17" s="77"/>
      <c r="L17" s="60"/>
      <c r="M17" s="77"/>
      <c r="N17" s="60"/>
      <c r="O17" s="77"/>
      <c r="P17" s="60"/>
      <c r="Q17" s="77"/>
      <c r="R17" s="60"/>
      <c r="S17" s="77"/>
      <c r="T17" s="60"/>
      <c r="U17" s="77"/>
      <c r="V17" s="60"/>
      <c r="W17" s="77"/>
      <c r="X17" s="60"/>
      <c r="Y17" s="77"/>
      <c r="Z17" s="60"/>
      <c r="AA17" s="77"/>
      <c r="AB17" s="60"/>
      <c r="AC17" s="77"/>
      <c r="AD17" s="60"/>
      <c r="AE17" s="61"/>
      <c r="AF17" s="60"/>
      <c r="AG17" s="61"/>
      <c r="AH17" s="60"/>
      <c r="AI17" s="61"/>
      <c r="AJ17" s="60"/>
      <c r="AK17" s="61"/>
      <c r="AL17" s="60"/>
      <c r="AM17" s="61"/>
      <c r="AN17" s="60"/>
      <c r="AO17" s="61"/>
      <c r="AP17" s="60"/>
      <c r="AQ17" s="61"/>
      <c r="AR17" s="60"/>
      <c r="AS17" s="61"/>
      <c r="AT17" s="60"/>
      <c r="AU17" s="61"/>
      <c r="AV17" s="60"/>
      <c r="AW17" s="61"/>
      <c r="AX17" s="60"/>
      <c r="AY17" s="60"/>
      <c r="AZ17" s="60"/>
      <c r="BA17" s="60"/>
    </row>
    <row r="18" spans="1:53" ht="15.75" x14ac:dyDescent="0.25">
      <c r="A18" s="44">
        <v>13</v>
      </c>
      <c r="B18" s="71" t="s">
        <v>208</v>
      </c>
      <c r="D18" s="60"/>
      <c r="E18" s="77"/>
      <c r="F18" s="60"/>
      <c r="G18" s="77"/>
      <c r="H18" s="60"/>
      <c r="I18" s="77"/>
      <c r="J18" s="60"/>
      <c r="K18" s="77"/>
      <c r="L18" s="60"/>
      <c r="M18" s="77"/>
      <c r="N18" s="60"/>
      <c r="O18" s="77"/>
      <c r="P18" s="60"/>
      <c r="Q18" s="77"/>
      <c r="R18" s="60"/>
      <c r="S18" s="77"/>
      <c r="T18" s="60"/>
      <c r="U18" s="77"/>
      <c r="V18" s="60"/>
      <c r="W18" s="77"/>
      <c r="X18" s="60"/>
      <c r="Y18" s="77"/>
      <c r="Z18" s="60"/>
      <c r="AA18" s="77"/>
      <c r="AB18" s="60"/>
      <c r="AC18" s="77"/>
      <c r="AD18" s="60"/>
      <c r="AE18" s="61"/>
      <c r="AF18" s="60"/>
      <c r="AG18" s="61"/>
      <c r="AH18" s="60"/>
      <c r="AI18" s="61"/>
      <c r="AJ18" s="60"/>
      <c r="AK18" s="61"/>
      <c r="AL18" s="60"/>
      <c r="AM18" s="61"/>
      <c r="AN18" s="60"/>
      <c r="AO18" s="61"/>
      <c r="AP18" s="60"/>
      <c r="AQ18" s="61"/>
      <c r="AR18" s="60"/>
      <c r="AS18" s="61"/>
      <c r="AT18" s="60"/>
      <c r="AU18" s="61"/>
      <c r="AV18" s="60"/>
      <c r="AW18" s="61"/>
      <c r="AX18" s="60"/>
      <c r="AY18" s="60"/>
      <c r="AZ18" s="60"/>
      <c r="BA18" s="60"/>
    </row>
    <row r="19" spans="1:53" ht="15.75" x14ac:dyDescent="0.25">
      <c r="A19" s="44">
        <v>14</v>
      </c>
      <c r="B19" s="72" t="s">
        <v>295</v>
      </c>
      <c r="D19" s="60"/>
      <c r="E19" s="77"/>
      <c r="F19" s="60"/>
      <c r="G19" s="77"/>
      <c r="H19" s="60"/>
      <c r="I19" s="77"/>
      <c r="J19" s="60"/>
      <c r="K19" s="77"/>
      <c r="L19" s="60"/>
      <c r="M19" s="77"/>
      <c r="N19" s="60"/>
      <c r="O19" s="77"/>
      <c r="P19" s="60"/>
      <c r="Q19" s="77"/>
      <c r="R19" s="60"/>
      <c r="S19" s="77"/>
      <c r="T19" s="60"/>
      <c r="U19" s="77"/>
      <c r="V19" s="60"/>
      <c r="W19" s="77"/>
      <c r="X19" s="60"/>
      <c r="Y19" s="77"/>
      <c r="Z19" s="60"/>
      <c r="AA19" s="77"/>
      <c r="AB19" s="60"/>
      <c r="AC19" s="77"/>
      <c r="AD19" s="60"/>
      <c r="AE19" s="61"/>
      <c r="AF19" s="60"/>
      <c r="AG19" s="61"/>
      <c r="AH19" s="60"/>
      <c r="AI19" s="61"/>
      <c r="AJ19" s="60"/>
      <c r="AK19" s="61"/>
      <c r="AL19" s="60"/>
      <c r="AM19" s="61"/>
      <c r="AN19" s="60"/>
      <c r="AO19" s="61"/>
      <c r="AP19" s="60"/>
      <c r="AQ19" s="61"/>
      <c r="AR19" s="60"/>
      <c r="AS19" s="61"/>
      <c r="AT19" s="60"/>
      <c r="AU19" s="61"/>
      <c r="AV19" s="60"/>
      <c r="AW19" s="61"/>
      <c r="AX19" s="60"/>
      <c r="AY19" s="60"/>
      <c r="AZ19" s="60"/>
      <c r="BA19" s="60"/>
    </row>
    <row r="20" spans="1:53" ht="15.75" x14ac:dyDescent="0.25">
      <c r="A20" s="44">
        <v>15</v>
      </c>
      <c r="B20" s="72" t="s">
        <v>296</v>
      </c>
      <c r="D20" s="60"/>
      <c r="E20" s="77"/>
      <c r="F20" s="60"/>
      <c r="G20" s="77"/>
      <c r="H20" s="60"/>
      <c r="I20" s="77"/>
      <c r="J20" s="60"/>
      <c r="K20" s="77"/>
      <c r="L20" s="60"/>
      <c r="M20" s="77"/>
      <c r="N20" s="60"/>
      <c r="O20" s="77"/>
      <c r="P20" s="60"/>
      <c r="Q20" s="77"/>
      <c r="R20" s="60"/>
      <c r="S20" s="77"/>
      <c r="T20" s="60"/>
      <c r="U20" s="77"/>
      <c r="V20" s="60"/>
      <c r="W20" s="77"/>
      <c r="X20" s="60"/>
      <c r="Y20" s="77"/>
      <c r="Z20" s="60"/>
      <c r="AA20" s="77"/>
      <c r="AB20" s="60"/>
      <c r="AC20" s="77"/>
      <c r="AD20" s="60"/>
      <c r="AE20" s="61"/>
      <c r="AF20" s="60"/>
      <c r="AG20" s="61"/>
      <c r="AH20" s="60"/>
      <c r="AI20" s="61"/>
      <c r="AJ20" s="60"/>
      <c r="AK20" s="61"/>
      <c r="AL20" s="60"/>
      <c r="AM20" s="61"/>
      <c r="AN20" s="60"/>
      <c r="AO20" s="61"/>
      <c r="AP20" s="60"/>
      <c r="AQ20" s="61"/>
      <c r="AR20" s="60"/>
      <c r="AS20" s="61"/>
      <c r="AT20" s="60"/>
      <c r="AU20" s="61"/>
      <c r="AV20" s="60"/>
      <c r="AW20" s="61"/>
      <c r="AX20" s="60"/>
      <c r="AY20" s="60"/>
      <c r="AZ20" s="60"/>
      <c r="BA20" s="60"/>
    </row>
    <row r="21" spans="1:53" ht="15.75" x14ac:dyDescent="0.25">
      <c r="A21" s="44">
        <v>16</v>
      </c>
      <c r="B21" s="72" t="s">
        <v>297</v>
      </c>
      <c r="D21" s="60"/>
      <c r="E21" s="77"/>
      <c r="F21" s="60"/>
      <c r="G21" s="77"/>
      <c r="H21" s="60"/>
      <c r="I21" s="77"/>
      <c r="J21" s="60"/>
      <c r="K21" s="77"/>
      <c r="L21" s="60"/>
      <c r="M21" s="77"/>
      <c r="N21" s="60"/>
      <c r="O21" s="77"/>
      <c r="P21" s="60"/>
      <c r="Q21" s="77"/>
      <c r="R21" s="60"/>
      <c r="S21" s="77"/>
      <c r="T21" s="60"/>
      <c r="U21" s="77"/>
      <c r="V21" s="60"/>
      <c r="W21" s="77"/>
      <c r="X21" s="60"/>
      <c r="Y21" s="77"/>
      <c r="Z21" s="60"/>
      <c r="AA21" s="77"/>
      <c r="AB21" s="60"/>
      <c r="AC21" s="77"/>
      <c r="AD21" s="60"/>
      <c r="AE21" s="61"/>
      <c r="AF21" s="60"/>
      <c r="AG21" s="61"/>
      <c r="AH21" s="60"/>
      <c r="AI21" s="61"/>
      <c r="AJ21" s="60"/>
      <c r="AK21" s="61"/>
      <c r="AL21" s="60"/>
      <c r="AM21" s="61"/>
      <c r="AN21" s="60"/>
      <c r="AO21" s="61"/>
      <c r="AP21" s="60"/>
      <c r="AQ21" s="61"/>
      <c r="AR21" s="60"/>
      <c r="AS21" s="61"/>
      <c r="AT21" s="60"/>
      <c r="AU21" s="61"/>
      <c r="AV21" s="60"/>
      <c r="AW21" s="61"/>
      <c r="AX21" s="60"/>
      <c r="AY21" s="60"/>
      <c r="AZ21" s="60"/>
      <c r="BA21" s="60"/>
    </row>
    <row r="22" spans="1:53" ht="15.75" x14ac:dyDescent="0.25">
      <c r="A22" s="44">
        <v>17</v>
      </c>
      <c r="B22" s="72" t="s">
        <v>298</v>
      </c>
      <c r="D22" s="60"/>
      <c r="E22" s="77"/>
      <c r="F22" s="60"/>
      <c r="G22" s="77"/>
      <c r="H22" s="60"/>
      <c r="I22" s="77"/>
      <c r="J22" s="60"/>
      <c r="K22" s="77"/>
      <c r="L22" s="60"/>
      <c r="M22" s="77"/>
      <c r="N22" s="60"/>
      <c r="O22" s="77"/>
      <c r="P22" s="60"/>
      <c r="Q22" s="77"/>
      <c r="R22" s="60"/>
      <c r="S22" s="77"/>
      <c r="T22" s="60"/>
      <c r="U22" s="77"/>
      <c r="V22" s="60"/>
      <c r="W22" s="77"/>
      <c r="X22" s="60"/>
      <c r="Y22" s="77"/>
      <c r="Z22" s="60"/>
      <c r="AA22" s="77"/>
      <c r="AB22" s="60"/>
      <c r="AC22" s="77"/>
      <c r="AD22" s="60"/>
      <c r="AE22" s="61"/>
      <c r="AF22" s="60"/>
      <c r="AG22" s="61"/>
      <c r="AH22" s="60"/>
      <c r="AI22" s="61"/>
      <c r="AJ22" s="60"/>
      <c r="AK22" s="61"/>
      <c r="AL22" s="60"/>
      <c r="AM22" s="61"/>
      <c r="AN22" s="60"/>
      <c r="AO22" s="61"/>
      <c r="AP22" s="60"/>
      <c r="AQ22" s="61"/>
      <c r="AR22" s="60"/>
      <c r="AS22" s="61"/>
      <c r="AT22" s="60"/>
      <c r="AU22" s="61"/>
      <c r="AV22" s="60"/>
      <c r="AW22" s="61"/>
      <c r="AX22" s="60"/>
      <c r="AY22" s="60"/>
      <c r="AZ22" s="60"/>
      <c r="BA22" s="60"/>
    </row>
    <row r="23" spans="1:53" ht="15.75" x14ac:dyDescent="0.25">
      <c r="A23" s="44">
        <v>18</v>
      </c>
      <c r="B23" s="71" t="s">
        <v>306</v>
      </c>
    </row>
    <row r="24" spans="1:53" ht="15.75" x14ac:dyDescent="0.25">
      <c r="A24" s="44">
        <v>19</v>
      </c>
      <c r="B24" s="72" t="s">
        <v>299</v>
      </c>
    </row>
    <row r="25" spans="1:53" ht="15.75" x14ac:dyDescent="0.25">
      <c r="A25" s="44">
        <v>20</v>
      </c>
      <c r="B25" s="72" t="s">
        <v>180</v>
      </c>
    </row>
    <row r="26" spans="1:53" ht="15.75" x14ac:dyDescent="0.25">
      <c r="A26" s="44">
        <v>21</v>
      </c>
      <c r="B26" s="72" t="s">
        <v>300</v>
      </c>
    </row>
    <row r="27" spans="1:53" ht="15.75" x14ac:dyDescent="0.25">
      <c r="A27" s="44">
        <v>22</v>
      </c>
      <c r="B27" s="72" t="s">
        <v>301</v>
      </c>
    </row>
    <row r="28" spans="1:53" ht="15.75" x14ac:dyDescent="0.25">
      <c r="A28" s="44">
        <v>23</v>
      </c>
      <c r="B28" s="71" t="s">
        <v>249</v>
      </c>
    </row>
    <row r="29" spans="1:53" ht="15.75" x14ac:dyDescent="0.25">
      <c r="A29" s="44">
        <v>24</v>
      </c>
      <c r="B29" s="72" t="s">
        <v>302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184</v>
      </c>
    </row>
    <row r="5" spans="4:4" x14ac:dyDescent="0.25">
      <c r="D5" t="s">
        <v>185</v>
      </c>
    </row>
    <row r="6" spans="4:4" x14ac:dyDescent="0.25">
      <c r="D6" t="s">
        <v>186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116</v>
      </c>
      <c r="C1" s="12" t="s">
        <v>103</v>
      </c>
      <c r="D1" s="13" t="s">
        <v>104</v>
      </c>
      <c r="E1" s="35" t="s">
        <v>105</v>
      </c>
      <c r="F1" s="14" t="s">
        <v>111</v>
      </c>
      <c r="G1" s="15" t="s">
        <v>90</v>
      </c>
      <c r="H1" s="25" t="s">
        <v>112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54" t="s">
        <v>146</v>
      </c>
      <c r="C3" s="52" t="s">
        <v>147</v>
      </c>
      <c r="D3" s="52" t="s">
        <v>148</v>
      </c>
      <c r="E3" s="52" t="s">
        <v>149</v>
      </c>
    </row>
    <row r="4" spans="1:10" ht="15.75" x14ac:dyDescent="0.25">
      <c r="A4" s="44" t="s">
        <v>330</v>
      </c>
      <c r="C4" s="52" t="s">
        <v>138</v>
      </c>
      <c r="D4" s="52"/>
      <c r="E4" s="55" t="str">
        <f t="shared" ref="E4:E19" si="0" xml:space="preserve">  CONCATENATE(C4, D4)</f>
        <v>حساب نقدی (نقدینگی)</v>
      </c>
      <c r="F4" s="51"/>
    </row>
    <row r="5" spans="1:10" ht="15.75" x14ac:dyDescent="0.25">
      <c r="A5" s="44" t="s">
        <v>331</v>
      </c>
      <c r="C5" s="52" t="s">
        <v>327</v>
      </c>
      <c r="D5" s="52"/>
      <c r="E5" s="55" t="str">
        <f t="shared" si="0"/>
        <v xml:space="preserve">حساب روزمره </v>
      </c>
      <c r="F5" s="51"/>
    </row>
    <row r="6" spans="1:10" ht="15.75" x14ac:dyDescent="0.25">
      <c r="A6" s="44" t="s">
        <v>332</v>
      </c>
      <c r="C6" s="52" t="s">
        <v>328</v>
      </c>
      <c r="D6" s="52"/>
      <c r="E6" s="55" t="str">
        <f t="shared" si="0"/>
        <v>حساب پس‌انداز</v>
      </c>
      <c r="F6" s="51"/>
    </row>
    <row r="7" spans="1:10" ht="15.75" x14ac:dyDescent="0.25">
      <c r="A7" s="44" t="s">
        <v>333</v>
      </c>
      <c r="C7" s="52" t="s">
        <v>329</v>
      </c>
      <c r="D7" s="52"/>
      <c r="E7" s="55" t="str">
        <f t="shared" si="0"/>
        <v xml:space="preserve">بانک </v>
      </c>
      <c r="F7" s="51"/>
    </row>
    <row r="8" spans="1:10" ht="15.75" x14ac:dyDescent="0.25">
      <c r="A8" s="44" t="s">
        <v>334</v>
      </c>
      <c r="C8" s="52" t="s">
        <v>329</v>
      </c>
      <c r="D8" s="52"/>
      <c r="E8" s="55" t="str">
        <f t="shared" si="0"/>
        <v xml:space="preserve">بانک </v>
      </c>
      <c r="F8" s="51"/>
    </row>
    <row r="9" spans="1:10" ht="15.75" x14ac:dyDescent="0.25">
      <c r="A9" s="44" t="s">
        <v>335</v>
      </c>
      <c r="C9" s="52"/>
      <c r="D9" s="52" t="s">
        <v>330</v>
      </c>
      <c r="E9" s="55" t="str">
        <f t="shared" si="0"/>
        <v xml:space="preserve">پدر </v>
      </c>
      <c r="F9" s="51"/>
    </row>
    <row r="10" spans="1:10" ht="15.75" x14ac:dyDescent="0.25">
      <c r="A10" s="44" t="s">
        <v>336</v>
      </c>
      <c r="C10" s="52"/>
      <c r="D10" s="52" t="s">
        <v>331</v>
      </c>
      <c r="E10" s="55" t="str">
        <f t="shared" si="0"/>
        <v>مادر</v>
      </c>
      <c r="F10" s="51"/>
    </row>
    <row r="11" spans="1:10" ht="15.75" x14ac:dyDescent="0.25">
      <c r="A11" s="44" t="s">
        <v>335</v>
      </c>
      <c r="C11" s="52"/>
      <c r="D11" s="52" t="s">
        <v>332</v>
      </c>
      <c r="E11" s="55" t="str">
        <f t="shared" si="0"/>
        <v>هسته تحقیقاتی</v>
      </c>
    </row>
    <row r="12" spans="1:10" ht="15.75" x14ac:dyDescent="0.25">
      <c r="A12" s="44" t="s">
        <v>337</v>
      </c>
      <c r="C12" s="52"/>
      <c r="D12" s="52" t="s">
        <v>333</v>
      </c>
      <c r="E12" s="55" t="str">
        <f t="shared" si="0"/>
        <v>مرکز رشد و فناوری</v>
      </c>
    </row>
    <row r="13" spans="1:10" ht="15.75" x14ac:dyDescent="0.25">
      <c r="A13" s="44" t="s">
        <v>338</v>
      </c>
      <c r="C13" s="52"/>
      <c r="D13" s="52" t="s">
        <v>334</v>
      </c>
      <c r="E13" s="55" t="str">
        <f t="shared" si="0"/>
        <v xml:space="preserve">مغازه </v>
      </c>
    </row>
    <row r="14" spans="1:10" ht="15.75" x14ac:dyDescent="0.25">
      <c r="A14" s="44" t="s">
        <v>339</v>
      </c>
      <c r="C14" s="52"/>
      <c r="D14" s="52" t="s">
        <v>335</v>
      </c>
      <c r="E14" s="55" t="str">
        <f t="shared" si="0"/>
        <v xml:space="preserve">محمد </v>
      </c>
    </row>
    <row r="15" spans="1:10" ht="15.75" x14ac:dyDescent="0.25">
      <c r="A15" s="53"/>
      <c r="C15" s="52"/>
      <c r="D15" s="52" t="s">
        <v>336</v>
      </c>
      <c r="E15" s="55" t="str">
        <f t="shared" si="0"/>
        <v xml:space="preserve">سید </v>
      </c>
    </row>
    <row r="16" spans="1:10" x14ac:dyDescent="0.25">
      <c r="C16" s="52"/>
      <c r="D16" s="52" t="s">
        <v>335</v>
      </c>
      <c r="E16" s="55" t="str">
        <f t="shared" si="0"/>
        <v xml:space="preserve">محمد </v>
      </c>
    </row>
    <row r="17" spans="3:5" x14ac:dyDescent="0.25">
      <c r="C17" s="52"/>
      <c r="D17" s="52" t="s">
        <v>337</v>
      </c>
      <c r="E17" s="55" t="str">
        <f t="shared" si="0"/>
        <v xml:space="preserve"> پور</v>
      </c>
    </row>
    <row r="18" spans="3:5" x14ac:dyDescent="0.25">
      <c r="C18" s="52"/>
      <c r="D18" s="52" t="s">
        <v>338</v>
      </c>
      <c r="E18" s="55" t="str">
        <f t="shared" si="0"/>
        <v>یاشار</v>
      </c>
    </row>
    <row r="19" spans="3:5" x14ac:dyDescent="0.25">
      <c r="C19" s="52"/>
      <c r="D19" s="52" t="s">
        <v>339</v>
      </c>
      <c r="E19" s="55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R20"/>
  <sheetViews>
    <sheetView showGridLines="0" rightToLeft="1" workbookViewId="0">
      <selection activeCell="D6" sqref="D6"/>
    </sheetView>
  </sheetViews>
  <sheetFormatPr defaultRowHeight="15" x14ac:dyDescent="0.25"/>
  <cols>
    <col min="1" max="1" width="32.7109375" style="6" customWidth="1"/>
    <col min="2" max="2" width="0.7109375" style="185" customWidth="1"/>
    <col min="3" max="3" width="4.5703125" style="6" customWidth="1"/>
    <col min="4" max="4" width="5.85546875" style="43" customWidth="1"/>
    <col min="5" max="6" width="28.5703125" style="43" customWidth="1"/>
    <col min="7" max="7" width="18.28515625" style="43" customWidth="1"/>
    <col min="8" max="8" width="36.5703125" style="43" customWidth="1"/>
    <col min="9" max="9" width="32" style="43" customWidth="1"/>
    <col min="10" max="10" width="18.28515625" style="43" customWidth="1"/>
    <col min="11" max="11" width="34.28515625" style="43" customWidth="1"/>
    <col min="12" max="12" width="30" style="43" customWidth="1"/>
    <col min="13" max="13" width="31.42578125" style="43" customWidth="1"/>
    <col min="14" max="14" width="18.5703125" style="43" customWidth="1"/>
    <col min="15" max="15" width="21.42578125" style="43" customWidth="1"/>
    <col min="16" max="17" width="18.28515625" style="43" customWidth="1"/>
    <col min="18" max="16384" width="9.140625" style="43"/>
  </cols>
  <sheetData>
    <row r="1" spans="1:18" s="6" customFormat="1" ht="24" customHeight="1" x14ac:dyDescent="0.25">
      <c r="A1" s="200" t="s">
        <v>419</v>
      </c>
      <c r="B1" s="185"/>
      <c r="D1" s="198" t="s">
        <v>423</v>
      </c>
      <c r="E1" s="197"/>
      <c r="F1" s="197"/>
      <c r="G1" s="197"/>
      <c r="H1" s="197"/>
      <c r="I1" s="197"/>
      <c r="J1" s="197"/>
      <c r="K1" s="67"/>
      <c r="L1" s="187"/>
      <c r="M1" s="186"/>
    </row>
    <row r="2" spans="1:18" s="6" customFormat="1" ht="3.75" customHeight="1" x14ac:dyDescent="0.25">
      <c r="A2" s="185"/>
      <c r="B2" s="185"/>
      <c r="F2" s="6" t="s">
        <v>3</v>
      </c>
    </row>
    <row r="3" spans="1:18" s="6" customFormat="1" ht="18.75" x14ac:dyDescent="0.25">
      <c r="A3" s="11" t="s">
        <v>8</v>
      </c>
      <c r="B3" s="185"/>
      <c r="D3" s="201" t="s">
        <v>125</v>
      </c>
      <c r="E3" s="201" t="s">
        <v>118</v>
      </c>
      <c r="F3" s="201" t="s">
        <v>129</v>
      </c>
      <c r="G3" s="201" t="s">
        <v>130</v>
      </c>
      <c r="H3" s="201" t="s">
        <v>131</v>
      </c>
      <c r="I3" s="201" t="s">
        <v>132</v>
      </c>
      <c r="J3" s="201" t="s">
        <v>133</v>
      </c>
      <c r="K3" s="201" t="s">
        <v>134</v>
      </c>
      <c r="L3" s="201" t="s">
        <v>135</v>
      </c>
    </row>
    <row r="4" spans="1:18" ht="18.75" x14ac:dyDescent="0.25">
      <c r="A4" s="152" t="s">
        <v>116</v>
      </c>
      <c r="D4" s="44">
        <v>0</v>
      </c>
      <c r="E4" s="44" t="s">
        <v>120</v>
      </c>
      <c r="F4" s="82">
        <v>1111111111</v>
      </c>
      <c r="G4" s="46" t="s">
        <v>326</v>
      </c>
      <c r="H4" s="47" t="s">
        <v>124</v>
      </c>
      <c r="I4" s="46" t="s">
        <v>136</v>
      </c>
      <c r="J4" s="44"/>
      <c r="K4" s="44"/>
      <c r="L4" s="44"/>
    </row>
    <row r="5" spans="1:18" ht="24" customHeight="1" x14ac:dyDescent="0.25">
      <c r="A5" s="12" t="s">
        <v>103</v>
      </c>
    </row>
    <row r="6" spans="1:18" ht="34.5" customHeight="1" x14ac:dyDescent="0.25">
      <c r="A6" s="13" t="s">
        <v>104</v>
      </c>
    </row>
    <row r="7" spans="1:18" ht="19.5" x14ac:dyDescent="0.25">
      <c r="A7" s="35" t="s">
        <v>105</v>
      </c>
      <c r="D7" s="199"/>
      <c r="E7" s="199"/>
      <c r="F7" s="199"/>
      <c r="G7" s="199"/>
      <c r="H7" s="199"/>
      <c r="I7" s="199"/>
      <c r="J7" s="199"/>
    </row>
    <row r="8" spans="1:18" s="6" customFormat="1" ht="18.75" x14ac:dyDescent="0.25">
      <c r="A8" s="134" t="s">
        <v>111</v>
      </c>
      <c r="B8" s="185"/>
      <c r="D8" s="202" t="s">
        <v>125</v>
      </c>
      <c r="E8" s="202" t="s">
        <v>126</v>
      </c>
      <c r="F8" s="202" t="s">
        <v>127</v>
      </c>
      <c r="G8" s="203" t="s">
        <v>128</v>
      </c>
      <c r="H8" s="202" t="s">
        <v>341</v>
      </c>
      <c r="I8" s="202" t="s">
        <v>340</v>
      </c>
      <c r="J8" s="202" t="s">
        <v>342</v>
      </c>
      <c r="K8" s="202" t="s">
        <v>343</v>
      </c>
      <c r="L8" s="202" t="s">
        <v>420</v>
      </c>
      <c r="M8" s="202" t="s">
        <v>421</v>
      </c>
      <c r="N8" s="202" t="s">
        <v>121</v>
      </c>
      <c r="O8" s="202" t="s">
        <v>422</v>
      </c>
      <c r="P8" s="204" t="s">
        <v>122</v>
      </c>
      <c r="Q8" s="204" t="s">
        <v>137</v>
      </c>
      <c r="R8" s="202" t="s">
        <v>123</v>
      </c>
    </row>
    <row r="9" spans="1:18" ht="18.75" x14ac:dyDescent="0.25">
      <c r="A9" s="15" t="s">
        <v>90</v>
      </c>
      <c r="D9" s="44">
        <v>0</v>
      </c>
      <c r="E9" s="44" t="s">
        <v>138</v>
      </c>
      <c r="F9" s="44" t="s">
        <v>139</v>
      </c>
      <c r="G9" s="48">
        <v>2000000</v>
      </c>
      <c r="H9" s="102">
        <f>SUMIF(Tarakonesh[پرداخت کننده],FinancialAccountsTable[[#This Row],[نام حساب]],Tarakonesh[مبلغ (ریال)])</f>
        <v>20000</v>
      </c>
      <c r="I9" s="102">
        <f>SUMIF(Tarakonesh[دریافت کننده],FinancialAccountsTable[[#This Row],[نام حساب]],Tarakonesh[مبلغ (ریال)])</f>
        <v>4500000</v>
      </c>
      <c r="J9" s="102">
        <f>(FinancialAccountsTable[[#This Row],[جمع دریافتی]]+FinancialAccountsTable[[#This Row],[موجودی اولیه]])-FinancialAccountsTable[[#This Row],[جمع پرداختی]]</f>
        <v>6480000</v>
      </c>
      <c r="K9" s="49" t="str">
        <f>IF(FinancialAccountsTable[[#This Row],[مانده]]=0,"",IF(FinancialAccountsTable[[#This Row],[مانده]]&gt;0,"بدهکار","بستانکار"))</f>
        <v>بدهکار</v>
      </c>
      <c r="L9" s="49"/>
      <c r="M9" s="49"/>
      <c r="N9" s="49" t="s">
        <v>124</v>
      </c>
      <c r="O9" s="49"/>
      <c r="P9" s="50" t="s">
        <v>124</v>
      </c>
      <c r="Q9" s="50" t="s">
        <v>124</v>
      </c>
      <c r="R9" s="49" t="s">
        <v>124</v>
      </c>
    </row>
    <row r="10" spans="1:18" ht="18.75" x14ac:dyDescent="0.25">
      <c r="A10" s="112" t="s">
        <v>112</v>
      </c>
      <c r="D10" s="44">
        <v>1</v>
      </c>
      <c r="E10" s="44" t="s">
        <v>327</v>
      </c>
      <c r="F10" s="44" t="s">
        <v>140</v>
      </c>
      <c r="G10" s="48"/>
      <c r="H10" s="102">
        <f>SUMIF(Tarakonesh[پرداخت کننده],FinancialAccountsTable[[#This Row],[نام حساب]],Tarakonesh[مبلغ (ریال)])</f>
        <v>90000</v>
      </c>
      <c r="I10" s="102">
        <f>SUMIF(Tarakonesh[دریافت کننده],FinancialAccountsTable[[#This Row],[نام حساب]],Tarakonesh[مبلغ (ریال)])</f>
        <v>1020000</v>
      </c>
      <c r="J10" s="102">
        <f>(FinancialAccountsTable[[#This Row],[جمع دریافتی]]+FinancialAccountsTable[[#This Row],[موجودی اولیه]])-FinancialAccountsTable[[#This Row],[جمع پرداختی]]</f>
        <v>930000</v>
      </c>
      <c r="K10" s="49" t="str">
        <f>IF(FinancialAccountsTable[[#This Row],[مانده]]=0,"",IF(FinancialAccountsTable[[#This Row],[مانده]]&gt;0,"بدهکار","بستانکار"))</f>
        <v>بدهکار</v>
      </c>
      <c r="L10" s="49"/>
      <c r="M10" s="49"/>
      <c r="N10" s="49" t="s">
        <v>124</v>
      </c>
      <c r="O10" s="49"/>
      <c r="P10" s="50" t="s">
        <v>124</v>
      </c>
      <c r="Q10" s="50" t="s">
        <v>124</v>
      </c>
      <c r="R10" s="49" t="s">
        <v>124</v>
      </c>
    </row>
    <row r="11" spans="1:18" ht="18.75" x14ac:dyDescent="0.25">
      <c r="A11" s="16" t="s">
        <v>106</v>
      </c>
      <c r="D11" s="44">
        <v>2</v>
      </c>
      <c r="E11" s="44" t="s">
        <v>328</v>
      </c>
      <c r="F11" s="44"/>
      <c r="G11" s="48"/>
      <c r="H11" s="102">
        <f>SUMIF(Tarakonesh[پرداخت کننده],FinancialAccountsTable[[#This Row],[نام حساب]],Tarakonesh[مبلغ (ریال)])</f>
        <v>3003000</v>
      </c>
      <c r="I11" s="102">
        <f>SUMIF(Tarakonesh[دریافت کننده],FinancialAccountsTable[[#This Row],[نام حساب]],Tarakonesh[مبلغ (ریال)])</f>
        <v>520000</v>
      </c>
      <c r="J11" s="102">
        <f>(FinancialAccountsTable[[#This Row],[جمع دریافتی]]+FinancialAccountsTable[[#This Row],[موجودی اولیه]])-FinancialAccountsTable[[#This Row],[جمع پرداختی]]</f>
        <v>-2483000</v>
      </c>
      <c r="K11" s="49" t="str">
        <f>IF(FinancialAccountsTable[[#This Row],[مانده]]=0,"",IF(FinancialAccountsTable[[#This Row],[مانده]]&gt;0,"بدهکار","بستانکار"))</f>
        <v>بستانکار</v>
      </c>
      <c r="L11" s="49"/>
      <c r="M11" s="49"/>
      <c r="N11" s="49" t="s">
        <v>124</v>
      </c>
      <c r="O11" s="49"/>
      <c r="P11" s="50" t="s">
        <v>124</v>
      </c>
      <c r="Q11" s="50" t="s">
        <v>124</v>
      </c>
      <c r="R11" s="49" t="s">
        <v>124</v>
      </c>
    </row>
    <row r="12" spans="1:18" ht="24" customHeight="1" x14ac:dyDescent="0.25">
      <c r="A12" s="17" t="s">
        <v>99</v>
      </c>
      <c r="D12" s="44">
        <v>3</v>
      </c>
      <c r="E12" s="44" t="s">
        <v>329</v>
      </c>
      <c r="F12" s="44"/>
      <c r="G12" s="48"/>
      <c r="H12" s="102">
        <f>SUMIF(Tarakonesh[پرداخت کننده],FinancialAccountsTable[[#This Row],[نام حساب]],Tarakonesh[مبلغ (ریال)])</f>
        <v>500000</v>
      </c>
      <c r="I12" s="102">
        <f>SUMIF(Tarakonesh[دریافت کننده],FinancialAccountsTable[[#This Row],[نام حساب]],Tarakonesh[مبلغ (ریال)])</f>
        <v>0</v>
      </c>
      <c r="J12" s="102">
        <f>(FinancialAccountsTable[[#This Row],[جمع دریافتی]]+FinancialAccountsTable[[#This Row],[موجودی اولیه]])-FinancialAccountsTable[[#This Row],[جمع پرداختی]]</f>
        <v>-500000</v>
      </c>
      <c r="K12" s="49" t="str">
        <f>IF(FinancialAccountsTable[[#This Row],[مانده]]=0,"",IF(FinancialAccountsTable[[#This Row],[مانده]]&gt;0,"بدهکار","بستانکار"))</f>
        <v>بستانکار</v>
      </c>
      <c r="L12" s="49"/>
      <c r="M12" s="49"/>
      <c r="N12" s="49" t="s">
        <v>124</v>
      </c>
      <c r="O12" s="49"/>
      <c r="P12" s="50" t="s">
        <v>124</v>
      </c>
      <c r="Q12" s="50" t="s">
        <v>124</v>
      </c>
      <c r="R12" s="49" t="s">
        <v>124</v>
      </c>
    </row>
    <row r="13" spans="1:18" ht="24" customHeight="1" x14ac:dyDescent="0.25">
      <c r="D13" s="44">
        <v>4</v>
      </c>
      <c r="E13" s="44"/>
      <c r="F13" s="44"/>
      <c r="G13" s="48"/>
      <c r="H13" s="102">
        <f>SUMIF(Tarakonesh[پرداخت کننده],FinancialAccountsTable[[#This Row],[نام حساب]],Tarakonesh[مبلغ (ریال)])</f>
        <v>0</v>
      </c>
      <c r="I13" s="102">
        <f>SUMIF(Tarakonesh[دریافت کننده],FinancialAccountsTable[[#This Row],[نام حساب]],Tarakonesh[مبلغ (ریال)])</f>
        <v>0</v>
      </c>
      <c r="J13" s="102">
        <f>(FinancialAccountsTable[[#This Row],[جمع دریافتی]]+FinancialAccountsTable[[#This Row],[موجودی اولیه]])-FinancialAccountsTable[[#This Row],[جمع پرداختی]]</f>
        <v>0</v>
      </c>
      <c r="K13" s="49" t="str">
        <f>IF(FinancialAccountsTable[[#This Row],[مانده]]=0,"",IF(FinancialAccountsTable[[#This Row],[مانده]]&gt;0,"بدهکار","بستانکار"))</f>
        <v/>
      </c>
      <c r="L13" s="49"/>
      <c r="M13" s="49"/>
      <c r="N13" s="49" t="s">
        <v>124</v>
      </c>
      <c r="O13" s="49"/>
      <c r="P13" s="50" t="s">
        <v>124</v>
      </c>
      <c r="Q13" s="50" t="s">
        <v>124</v>
      </c>
      <c r="R13" s="49" t="s">
        <v>124</v>
      </c>
    </row>
    <row r="14" spans="1:18" ht="34.5" customHeight="1" x14ac:dyDescent="0.25">
      <c r="D14" s="44" t="s">
        <v>151</v>
      </c>
      <c r="E14" s="58"/>
      <c r="F14" s="58"/>
      <c r="G14" s="48">
        <f>SUBTOTAL(109,FinancialAccountsTable[موجودی اولیه])</f>
        <v>2000000</v>
      </c>
      <c r="H14" s="103">
        <f>SUBTOTAL(109,FinancialAccountsTable[جمع پرداختی])</f>
        <v>3613000</v>
      </c>
      <c r="I14" s="103">
        <f>SUBTOTAL(109,FinancialAccountsTable[جمع دریافتی])</f>
        <v>6040000</v>
      </c>
      <c r="J14" s="103">
        <f>SUBTOTAL(109,FinancialAccountsTable[مانده])</f>
        <v>4427000</v>
      </c>
      <c r="K14" s="57"/>
      <c r="L14" s="57"/>
      <c r="M14" s="57"/>
      <c r="N14" s="188"/>
      <c r="O14" s="188"/>
      <c r="P14" s="188"/>
      <c r="Q14" s="188"/>
      <c r="R14" s="188"/>
    </row>
    <row r="15" spans="1:18" ht="24" customHeight="1" x14ac:dyDescent="0.25"/>
    <row r="16" spans="1:18" ht="24" customHeight="1" x14ac:dyDescent="0.25"/>
    <row r="17" spans="4:11" ht="24" customHeight="1" x14ac:dyDescent="0.25"/>
    <row r="18" spans="4:11" ht="24" customHeight="1" x14ac:dyDescent="0.25"/>
    <row r="19" spans="4:11" ht="15.75" x14ac:dyDescent="0.25">
      <c r="D19" s="75"/>
      <c r="E19" s="75"/>
      <c r="F19" s="75"/>
      <c r="G19" s="189"/>
      <c r="H19" s="190"/>
      <c r="I19" s="191"/>
      <c r="J19" s="192"/>
      <c r="K19" s="193"/>
    </row>
    <row r="20" spans="4:11" ht="15.75" x14ac:dyDescent="0.25">
      <c r="D20" s="75"/>
      <c r="E20" s="75"/>
      <c r="F20" s="75"/>
      <c r="G20" s="189"/>
      <c r="H20" s="194"/>
      <c r="I20" s="195"/>
      <c r="J20" s="196"/>
      <c r="K20" s="19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>
      <formula1>10</formula1>
    </dataValidation>
    <dataValidation operator="equal" allowBlank="1" showInputMessage="1" showErrorMessage="1" sqref="G4"/>
  </dataValidations>
  <hyperlinks>
    <hyperlink ref="H4" r:id="rId1" display="Alireza13.m2@gmail.com"/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B365"/>
  <sheetViews>
    <sheetView showGridLines="0" rightToLeft="1" tabSelected="1" workbookViewId="0">
      <selection activeCell="F18" sqref="F18"/>
    </sheetView>
  </sheetViews>
  <sheetFormatPr defaultRowHeight="15" x14ac:dyDescent="0.25"/>
  <cols>
    <col min="1" max="1" width="29.7109375" style="6" customWidth="1"/>
    <col min="2" max="2" width="0.7109375" style="184" customWidth="1"/>
    <col min="3" max="3" width="4.5703125" style="6" customWidth="1"/>
    <col min="4" max="4" width="18.28515625" style="6" customWidth="1"/>
    <col min="5" max="5" width="0.7109375" style="6" customWidth="1"/>
    <col min="6" max="6" width="24.85546875" style="6" bestFit="1" customWidth="1"/>
    <col min="7" max="7" width="0.7109375" style="6" customWidth="1"/>
    <col min="8" max="8" width="28.5703125" style="6" customWidth="1"/>
    <col min="9" max="9" width="0.7109375" style="6" customWidth="1"/>
    <col min="10" max="10" width="26.28515625" style="6" bestFit="1" customWidth="1"/>
    <col min="11" max="11" width="20.7109375" style="164" bestFit="1" customWidth="1"/>
    <col min="12" max="12" width="4.5703125" style="6" customWidth="1"/>
    <col min="13" max="13" width="28.5703125" style="69" customWidth="1"/>
    <col min="14" max="14" width="14.28515625" style="69" customWidth="1"/>
    <col min="15" max="15" width="18.85546875" style="69" customWidth="1"/>
    <col min="16" max="16" width="0.7109375" style="6" customWidth="1"/>
    <col min="17" max="17" width="28.5703125" style="69" customWidth="1"/>
    <col min="18" max="18" width="14.28515625" style="69" customWidth="1"/>
    <col min="19" max="19" width="18.85546875" style="69" customWidth="1"/>
    <col min="20" max="20" width="0.7109375" style="6" customWidth="1"/>
    <col min="21" max="21" width="28.5703125" style="69" customWidth="1"/>
    <col min="22" max="22" width="18.85546875" style="69" customWidth="1"/>
    <col min="23" max="23" width="0.7109375" style="6" customWidth="1"/>
    <col min="24" max="24" width="28.5703125" style="69" customWidth="1"/>
    <col min="25" max="25" width="18.85546875" style="69" customWidth="1"/>
    <col min="26" max="26" width="0.7109375" style="6" customWidth="1"/>
    <col min="27" max="27" width="28.5703125" style="69" customWidth="1"/>
    <col min="28" max="28" width="18.85546875" style="69" customWidth="1"/>
    <col min="29" max="16384" width="9.140625" style="43"/>
  </cols>
  <sheetData>
    <row r="1" spans="1:28" s="6" customFormat="1" ht="24" customHeight="1" x14ac:dyDescent="0.25">
      <c r="A1" s="178" t="s">
        <v>418</v>
      </c>
      <c r="B1" s="183"/>
      <c r="C1" s="176"/>
      <c r="D1" s="177" t="s">
        <v>416</v>
      </c>
      <c r="E1" s="177"/>
      <c r="F1" s="177"/>
      <c r="G1" s="177"/>
      <c r="H1" s="177"/>
      <c r="I1" s="177"/>
      <c r="J1" s="177"/>
      <c r="K1" s="177"/>
      <c r="M1" s="180" t="s">
        <v>417</v>
      </c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</row>
    <row r="2" spans="1:28" s="6" customFormat="1" ht="3.75" customHeight="1" x14ac:dyDescent="0.25">
      <c r="A2" s="185"/>
      <c r="B2" s="184"/>
      <c r="K2" s="164"/>
    </row>
    <row r="3" spans="1:28" ht="18.75" x14ac:dyDescent="0.25">
      <c r="A3" s="11" t="s">
        <v>8</v>
      </c>
      <c r="D3" s="153" t="s">
        <v>113</v>
      </c>
      <c r="F3" s="155" t="s">
        <v>141</v>
      </c>
      <c r="H3" s="56" t="s">
        <v>153</v>
      </c>
      <c r="J3" s="168" t="s">
        <v>414</v>
      </c>
      <c r="K3" s="168"/>
      <c r="M3" s="170" t="s">
        <v>380</v>
      </c>
      <c r="N3" s="170"/>
      <c r="O3" s="170"/>
      <c r="P3" s="181"/>
      <c r="Q3" s="172" t="s">
        <v>381</v>
      </c>
      <c r="R3" s="172"/>
      <c r="S3" s="172"/>
      <c r="T3" s="162"/>
      <c r="U3" s="173" t="s">
        <v>406</v>
      </c>
      <c r="V3" s="173"/>
      <c r="W3" s="162"/>
      <c r="X3" s="166" t="s">
        <v>382</v>
      </c>
      <c r="Y3" s="166"/>
      <c r="AA3" s="174" t="s">
        <v>383</v>
      </c>
      <c r="AB3" s="174"/>
    </row>
    <row r="4" spans="1:28" ht="18.75" x14ac:dyDescent="0.25">
      <c r="A4" s="152" t="s">
        <v>116</v>
      </c>
      <c r="D4" s="158" t="s">
        <v>114</v>
      </c>
      <c r="E4" s="154"/>
      <c r="F4" s="158" t="s">
        <v>286</v>
      </c>
      <c r="G4" s="156"/>
      <c r="H4" s="157" t="s">
        <v>157</v>
      </c>
      <c r="J4" s="157" t="s">
        <v>125</v>
      </c>
      <c r="K4" s="151" t="s">
        <v>401</v>
      </c>
      <c r="M4" s="150" t="s">
        <v>384</v>
      </c>
      <c r="N4" s="163" t="s">
        <v>398</v>
      </c>
      <c r="O4" s="163" t="s">
        <v>397</v>
      </c>
      <c r="P4" s="182"/>
      <c r="Q4" s="150" t="s">
        <v>385</v>
      </c>
      <c r="R4" s="150" t="s">
        <v>398</v>
      </c>
      <c r="S4" s="150" t="s">
        <v>397</v>
      </c>
      <c r="T4" s="162"/>
      <c r="U4" s="150" t="s">
        <v>386</v>
      </c>
      <c r="V4" s="150" t="s">
        <v>415</v>
      </c>
      <c r="W4" s="162"/>
      <c r="X4" s="150" t="s">
        <v>387</v>
      </c>
      <c r="Y4" s="150" t="s">
        <v>415</v>
      </c>
      <c r="AA4" s="175" t="s">
        <v>388</v>
      </c>
      <c r="AB4" s="175" t="s">
        <v>415</v>
      </c>
    </row>
    <row r="5" spans="1:28" ht="18.75" x14ac:dyDescent="0.25">
      <c r="A5" s="12" t="s">
        <v>103</v>
      </c>
      <c r="D5" s="158" t="s">
        <v>115</v>
      </c>
      <c r="E5" s="159"/>
      <c r="F5" s="158" t="s">
        <v>310</v>
      </c>
      <c r="G5" s="159"/>
      <c r="H5" s="157" t="s">
        <v>154</v>
      </c>
      <c r="J5" s="157">
        <v>0</v>
      </c>
      <c r="K5" s="165" t="s">
        <v>405</v>
      </c>
      <c r="M5" s="171" t="s">
        <v>399</v>
      </c>
      <c r="N5" s="163" t="s">
        <v>389</v>
      </c>
      <c r="O5" s="157" t="str">
        <f>CONCATENATE(تقویم!$A$2,HolidayTable[[#This Row],[روز و ماه]])</f>
        <v>14000101</v>
      </c>
      <c r="P5" s="162"/>
      <c r="Q5" s="150"/>
      <c r="R5" s="150"/>
      <c r="S5" s="157" t="str">
        <f>CONCATENATE(تقویم!$A$2,EventsTable[[#This Row],[روز و ماه]])</f>
        <v>1400</v>
      </c>
      <c r="T5" s="162"/>
      <c r="U5" s="150"/>
      <c r="V5" s="150"/>
      <c r="W5" s="162"/>
      <c r="X5" s="150"/>
      <c r="Y5" s="150"/>
      <c r="Z5" s="162"/>
      <c r="AA5" s="150"/>
      <c r="AB5" s="150"/>
    </row>
    <row r="6" spans="1:28" ht="18.75" x14ac:dyDescent="0.25">
      <c r="A6" s="13" t="s">
        <v>104</v>
      </c>
      <c r="D6" s="158" t="s">
        <v>143</v>
      </c>
      <c r="E6" s="159"/>
      <c r="F6" s="158" t="s">
        <v>142</v>
      </c>
      <c r="G6" s="159"/>
      <c r="H6" s="157" t="s">
        <v>155</v>
      </c>
      <c r="J6" s="157">
        <v>1</v>
      </c>
      <c r="K6" s="165"/>
      <c r="M6" s="171" t="s">
        <v>400</v>
      </c>
      <c r="N6" s="163" t="s">
        <v>390</v>
      </c>
      <c r="O6" s="157" t="str">
        <f>CONCATENATE(تقویم!$A$2,HolidayTable[[#This Row],[روز و ماه]])</f>
        <v>14000102</v>
      </c>
      <c r="P6" s="162"/>
      <c r="Q6" s="150"/>
      <c r="R6" s="150"/>
      <c r="S6" s="157" t="str">
        <f>CONCATENATE(تقویم!$A$2,EventsTable[[#This Row],[روز و ماه]])</f>
        <v>1400</v>
      </c>
      <c r="T6" s="162"/>
      <c r="U6" s="150"/>
      <c r="V6" s="150"/>
      <c r="W6" s="162"/>
      <c r="X6" s="150"/>
      <c r="Y6" s="150"/>
      <c r="Z6" s="162"/>
      <c r="AA6" s="150"/>
      <c r="AB6" s="150"/>
    </row>
    <row r="7" spans="1:28" ht="18.75" x14ac:dyDescent="0.25">
      <c r="A7" s="35" t="s">
        <v>105</v>
      </c>
      <c r="E7" s="159"/>
      <c r="F7" s="160"/>
      <c r="G7" s="159"/>
      <c r="H7" s="157" t="s">
        <v>311</v>
      </c>
      <c r="J7" s="157">
        <v>2</v>
      </c>
      <c r="K7" s="165"/>
      <c r="M7" s="171" t="s">
        <v>400</v>
      </c>
      <c r="N7" s="163" t="s">
        <v>391</v>
      </c>
      <c r="O7" s="157" t="str">
        <f>CONCATENATE(تقویم!$A$2,HolidayTable[[#This Row],[روز و ماه]])</f>
        <v>14000103</v>
      </c>
      <c r="P7" s="162"/>
      <c r="Q7" s="150"/>
      <c r="R7" s="150"/>
      <c r="S7" s="157" t="str">
        <f>CONCATENATE(تقویم!$A$2,EventsTable[[#This Row],[روز و ماه]])</f>
        <v>1400</v>
      </c>
      <c r="T7" s="162"/>
      <c r="U7" s="150"/>
      <c r="V7" s="150"/>
      <c r="W7" s="162"/>
      <c r="X7" s="150"/>
      <c r="Y7" s="150"/>
      <c r="Z7" s="162"/>
      <c r="AA7" s="150"/>
      <c r="AB7" s="150"/>
    </row>
    <row r="8" spans="1:28" ht="18.75" x14ac:dyDescent="0.25">
      <c r="A8" s="134" t="s">
        <v>111</v>
      </c>
      <c r="G8" s="161"/>
      <c r="H8" s="157" t="s">
        <v>158</v>
      </c>
      <c r="J8" s="157">
        <v>3</v>
      </c>
      <c r="K8" s="165"/>
      <c r="M8" s="171" t="s">
        <v>400</v>
      </c>
      <c r="N8" s="163" t="s">
        <v>392</v>
      </c>
      <c r="O8" s="157" t="str">
        <f>CONCATENATE(تقویم!$A$2,HolidayTable[[#This Row],[روز و ماه]])</f>
        <v>14000104</v>
      </c>
      <c r="P8" s="162"/>
      <c r="Q8" s="150"/>
      <c r="R8" s="150"/>
      <c r="S8" s="157" t="str">
        <f>CONCATENATE(تقویم!$A$2,EventsTable[[#This Row],[روز و ماه]])</f>
        <v>1400</v>
      </c>
      <c r="T8" s="162"/>
      <c r="U8" s="150"/>
      <c r="V8" s="150"/>
      <c r="W8" s="162"/>
      <c r="X8" s="150"/>
      <c r="Y8" s="150"/>
      <c r="Z8" s="162"/>
      <c r="AA8" s="150"/>
      <c r="AB8" s="150"/>
    </row>
    <row r="9" spans="1:28" ht="18.75" x14ac:dyDescent="0.25">
      <c r="A9" s="15" t="s">
        <v>90</v>
      </c>
      <c r="H9" s="157" t="s">
        <v>78</v>
      </c>
      <c r="J9" s="157"/>
      <c r="K9" s="165"/>
      <c r="M9" s="171" t="s">
        <v>395</v>
      </c>
      <c r="N9" s="163" t="s">
        <v>393</v>
      </c>
      <c r="O9" s="157" t="str">
        <f>CONCATENATE(تقویم!$A$2,HolidayTable[[#This Row],[روز و ماه]])</f>
        <v>14000112</v>
      </c>
      <c r="P9" s="162"/>
      <c r="Q9" s="150"/>
      <c r="R9" s="150"/>
      <c r="S9" s="157" t="str">
        <f>CONCATENATE(تقویم!$A$2,EventsTable[[#This Row],[روز و ماه]])</f>
        <v>1400</v>
      </c>
      <c r="T9" s="162"/>
      <c r="U9" s="150"/>
      <c r="V9" s="150"/>
      <c r="W9" s="162"/>
      <c r="X9" s="150"/>
      <c r="Y9" s="150"/>
      <c r="Z9" s="162"/>
      <c r="AA9" s="150"/>
      <c r="AB9" s="150"/>
    </row>
    <row r="10" spans="1:28" ht="18.75" x14ac:dyDescent="0.25">
      <c r="A10" s="112" t="s">
        <v>112</v>
      </c>
      <c r="H10" s="157" t="s">
        <v>156</v>
      </c>
      <c r="J10" s="157"/>
      <c r="K10" s="165"/>
      <c r="M10" s="171" t="s">
        <v>396</v>
      </c>
      <c r="N10" s="163" t="s">
        <v>394</v>
      </c>
      <c r="O10" s="157" t="str">
        <f>CONCATENATE(تقویم!$A$2,HolidayTable[[#This Row],[روز و ماه]])</f>
        <v>14000113</v>
      </c>
      <c r="P10" s="162"/>
      <c r="Q10" s="150"/>
      <c r="R10" s="150"/>
      <c r="S10" s="157" t="str">
        <f>CONCATENATE(تقویم!$A$2,EventsTable[[#This Row],[روز و ماه]])</f>
        <v>1400</v>
      </c>
      <c r="T10" s="162"/>
      <c r="U10" s="150"/>
      <c r="V10" s="150"/>
      <c r="W10" s="162"/>
      <c r="X10" s="150"/>
      <c r="Y10" s="150"/>
      <c r="Z10" s="162"/>
      <c r="AA10" s="150"/>
      <c r="AB10" s="150"/>
    </row>
    <row r="11" spans="1:28" ht="18.75" x14ac:dyDescent="0.25">
      <c r="A11" s="16" t="s">
        <v>106</v>
      </c>
      <c r="M11" s="171"/>
      <c r="N11" s="163"/>
      <c r="O11" s="179" t="str">
        <f>CONCATENATE(تقویم!$A$2,HolidayTable[[#This Row],[روز و ماه]])</f>
        <v>1400</v>
      </c>
      <c r="Q11" s="150"/>
      <c r="R11" s="150"/>
      <c r="S11" s="179" t="str">
        <f>CONCATENATE(تقویم!$A$2,EventsTable[[#This Row],[روز و ماه]])</f>
        <v>1400</v>
      </c>
      <c r="U11" s="150"/>
      <c r="V11" s="150"/>
      <c r="X11" s="150"/>
      <c r="Y11" s="150"/>
      <c r="Z11" s="162"/>
      <c r="AA11" s="150"/>
      <c r="AB11" s="150"/>
    </row>
    <row r="12" spans="1:28" ht="18.75" x14ac:dyDescent="0.25">
      <c r="A12" s="17" t="s">
        <v>99</v>
      </c>
      <c r="J12" s="169" t="s">
        <v>409</v>
      </c>
      <c r="K12" s="169"/>
      <c r="M12" s="171"/>
      <c r="N12" s="163"/>
      <c r="O12" s="179" t="str">
        <f>CONCATENATE(تقویم!$A$2,HolidayTable[[#This Row],[روز و ماه]])</f>
        <v>1400</v>
      </c>
      <c r="Q12" s="150"/>
      <c r="R12" s="150"/>
      <c r="S12" s="179" t="str">
        <f>CONCATENATE(تقویم!$A$2,EventsTable[[#This Row],[روز و ماه]])</f>
        <v>1400</v>
      </c>
      <c r="U12" s="150"/>
      <c r="V12" s="150"/>
      <c r="X12" s="150"/>
      <c r="Y12" s="150"/>
      <c r="Z12" s="162"/>
      <c r="AA12" s="150"/>
      <c r="AB12" s="150"/>
    </row>
    <row r="13" spans="1:28" x14ac:dyDescent="0.25">
      <c r="J13" s="150" t="s">
        <v>407</v>
      </c>
      <c r="K13" s="150" t="s">
        <v>408</v>
      </c>
      <c r="M13" s="171"/>
      <c r="N13" s="163"/>
      <c r="O13" s="179" t="str">
        <f>CONCATENATE(تقویم!$A$2,HolidayTable[[#This Row],[روز و ماه]])</f>
        <v>1400</v>
      </c>
      <c r="Q13" s="150"/>
      <c r="R13" s="150"/>
      <c r="S13" s="179" t="str">
        <f>CONCATENATE(تقویم!$A$2,EventsTable[[#This Row],[روز و ماه]])</f>
        <v>1400</v>
      </c>
      <c r="U13" s="150"/>
      <c r="V13" s="150"/>
      <c r="X13" s="150"/>
      <c r="Y13" s="150"/>
      <c r="AA13" s="150"/>
      <c r="AB13" s="150"/>
    </row>
    <row r="14" spans="1:28" x14ac:dyDescent="0.25">
      <c r="J14" s="150" t="s">
        <v>155</v>
      </c>
      <c r="K14" s="150"/>
      <c r="M14" s="171"/>
      <c r="N14" s="163"/>
      <c r="O14" s="179" t="str">
        <f>CONCATENATE(تقویم!$A$2,HolidayTable[[#This Row],[روز و ماه]])</f>
        <v>1400</v>
      </c>
      <c r="Q14" s="150"/>
      <c r="R14" s="150"/>
      <c r="S14" s="179" t="str">
        <f>CONCATENATE(تقویم!$A$2,EventsTable[[#This Row],[روز و ماه]])</f>
        <v>1400</v>
      </c>
      <c r="U14" s="150"/>
      <c r="V14" s="150"/>
      <c r="X14" s="150"/>
      <c r="Y14" s="150"/>
      <c r="AA14" s="150"/>
      <c r="AB14" s="150"/>
    </row>
    <row r="15" spans="1:28" x14ac:dyDescent="0.25">
      <c r="J15" s="150" t="s">
        <v>410</v>
      </c>
      <c r="K15" s="150"/>
      <c r="M15" s="171"/>
      <c r="N15" s="163"/>
      <c r="O15" s="179" t="str">
        <f>CONCATENATE(تقویم!$A$2,HolidayTable[[#This Row],[روز و ماه]])</f>
        <v>1400</v>
      </c>
      <c r="Q15" s="150"/>
      <c r="R15" s="150"/>
      <c r="S15" s="179" t="str">
        <f>CONCATENATE(تقویم!$A$2,EventsTable[[#This Row],[روز و ماه]])</f>
        <v>1400</v>
      </c>
      <c r="U15" s="150"/>
      <c r="V15" s="150"/>
      <c r="X15" s="150"/>
      <c r="Y15" s="150"/>
      <c r="AA15" s="150"/>
      <c r="AB15" s="150"/>
    </row>
    <row r="16" spans="1:28" x14ac:dyDescent="0.25">
      <c r="I16" s="162"/>
      <c r="J16" s="150" t="s">
        <v>411</v>
      </c>
      <c r="K16" s="150"/>
      <c r="M16" s="171"/>
      <c r="N16" s="163"/>
      <c r="O16" s="179" t="str">
        <f>CONCATENATE(تقویم!$A$2,HolidayTable[[#This Row],[روز و ماه]])</f>
        <v>1400</v>
      </c>
      <c r="Q16" s="150"/>
      <c r="R16" s="150"/>
      <c r="S16" s="179" t="str">
        <f>CONCATENATE(تقویم!$A$2,EventsTable[[#This Row],[روز و ماه]])</f>
        <v>1400</v>
      </c>
      <c r="U16" s="150"/>
      <c r="V16" s="150"/>
      <c r="X16" s="150"/>
      <c r="Y16" s="150"/>
      <c r="AA16" s="150"/>
      <c r="AB16" s="150"/>
    </row>
    <row r="17" spans="9:28" x14ac:dyDescent="0.25">
      <c r="I17" s="162"/>
      <c r="J17" s="150" t="s">
        <v>412</v>
      </c>
      <c r="K17" s="150"/>
      <c r="M17" s="171"/>
      <c r="N17" s="163"/>
      <c r="O17" s="179" t="str">
        <f>CONCATENATE(تقویم!$A$2,HolidayTable[[#This Row],[روز و ماه]])</f>
        <v>1400</v>
      </c>
      <c r="Q17" s="150"/>
      <c r="R17" s="150"/>
      <c r="S17" s="179" t="str">
        <f>CONCATENATE(تقویم!$A$2,EventsTable[[#This Row],[روز و ماه]])</f>
        <v>1400</v>
      </c>
      <c r="U17" s="150"/>
      <c r="V17" s="150"/>
      <c r="X17" s="150"/>
      <c r="Y17" s="150"/>
      <c r="AA17" s="150"/>
      <c r="AB17" s="150"/>
    </row>
    <row r="18" spans="9:28" x14ac:dyDescent="0.25">
      <c r="I18" s="162"/>
      <c r="J18" s="150" t="s">
        <v>413</v>
      </c>
      <c r="K18" s="150"/>
      <c r="M18" s="171"/>
      <c r="N18" s="163"/>
      <c r="O18" s="179" t="str">
        <f>CONCATENATE(تقویم!$A$2,HolidayTable[[#This Row],[روز و ماه]])</f>
        <v>1400</v>
      </c>
      <c r="Q18" s="150"/>
      <c r="R18" s="150"/>
      <c r="S18" s="179" t="str">
        <f>CONCATENATE(تقویم!$A$2,EventsTable[[#This Row],[روز و ماه]])</f>
        <v>1400</v>
      </c>
      <c r="U18" s="150"/>
      <c r="V18" s="150"/>
      <c r="X18" s="150"/>
      <c r="Y18" s="150"/>
      <c r="AA18" s="150"/>
      <c r="AB18" s="150"/>
    </row>
    <row r="19" spans="9:28" x14ac:dyDescent="0.25">
      <c r="I19" s="162"/>
      <c r="J19" s="150"/>
      <c r="K19" s="167"/>
      <c r="M19" s="171"/>
      <c r="N19" s="163"/>
      <c r="O19" s="179" t="str">
        <f>CONCATENATE(تقویم!$A$2,HolidayTable[[#This Row],[روز و ماه]])</f>
        <v>1400</v>
      </c>
      <c r="Q19" s="150"/>
      <c r="R19" s="150"/>
      <c r="S19" s="179" t="str">
        <f>CONCATENATE(تقویم!$A$2,EventsTable[[#This Row],[روز و ماه]])</f>
        <v>1400</v>
      </c>
      <c r="U19" s="150"/>
      <c r="V19" s="150"/>
      <c r="X19" s="150"/>
      <c r="Y19" s="150"/>
      <c r="AA19" s="150"/>
      <c r="AB19" s="150"/>
    </row>
    <row r="20" spans="9:28" x14ac:dyDescent="0.25">
      <c r="I20" s="162"/>
      <c r="J20" s="150"/>
      <c r="K20" s="167"/>
      <c r="M20" s="171"/>
      <c r="N20" s="163"/>
      <c r="O20" s="179" t="str">
        <f>CONCATENATE(تقویم!$A$2,HolidayTable[[#This Row],[روز و ماه]])</f>
        <v>1400</v>
      </c>
      <c r="Q20" s="150"/>
      <c r="R20" s="150"/>
      <c r="S20" s="179" t="str">
        <f>CONCATENATE(تقویم!$A$2,EventsTable[[#This Row],[روز و ماه]])</f>
        <v>1400</v>
      </c>
      <c r="U20" s="150"/>
      <c r="V20" s="150"/>
      <c r="X20" s="150"/>
      <c r="Y20" s="150"/>
      <c r="AA20" s="150"/>
      <c r="AB20" s="150"/>
    </row>
    <row r="21" spans="9:28" x14ac:dyDescent="0.25">
      <c r="I21" s="162"/>
      <c r="J21" s="150"/>
      <c r="K21" s="167"/>
      <c r="M21" s="171"/>
      <c r="N21" s="163"/>
      <c r="O21" s="179" t="str">
        <f>CONCATENATE(تقویم!$A$2,HolidayTable[[#This Row],[روز و ماه]])</f>
        <v>1400</v>
      </c>
      <c r="Q21" s="150"/>
      <c r="R21" s="150"/>
      <c r="S21" s="179" t="str">
        <f>CONCATENATE(تقویم!$A$2,EventsTable[[#This Row],[روز و ماه]])</f>
        <v>1400</v>
      </c>
      <c r="U21" s="150"/>
      <c r="V21" s="150"/>
      <c r="X21" s="150"/>
      <c r="Y21" s="150"/>
      <c r="AA21" s="150"/>
      <c r="AB21" s="150"/>
    </row>
    <row r="22" spans="9:28" x14ac:dyDescent="0.25">
      <c r="I22" s="162"/>
      <c r="J22" s="150"/>
      <c r="K22" s="167"/>
      <c r="M22" s="171"/>
      <c r="N22" s="163"/>
      <c r="O22" s="179" t="str">
        <f>CONCATENATE(تقویم!$A$2,HolidayTable[[#This Row],[روز و ماه]])</f>
        <v>1400</v>
      </c>
      <c r="Q22" s="150"/>
      <c r="R22" s="150"/>
      <c r="S22" s="179" t="str">
        <f>CONCATENATE(تقویم!$A$2,EventsTable[[#This Row],[روز و ماه]])</f>
        <v>1400</v>
      </c>
      <c r="U22" s="150"/>
      <c r="V22" s="150"/>
      <c r="X22" s="150"/>
      <c r="Y22" s="150"/>
      <c r="AA22" s="150"/>
      <c r="AB22" s="150"/>
    </row>
    <row r="23" spans="9:28" x14ac:dyDescent="0.25">
      <c r="J23" s="150"/>
      <c r="K23" s="167"/>
      <c r="M23" s="171"/>
      <c r="N23" s="163"/>
      <c r="O23" s="179" t="str">
        <f>CONCATENATE(تقویم!$A$2,HolidayTable[[#This Row],[روز و ماه]])</f>
        <v>1400</v>
      </c>
      <c r="Q23" s="150"/>
      <c r="R23" s="150"/>
      <c r="S23" s="179" t="str">
        <f>CONCATENATE(تقویم!$A$2,EventsTable[[#This Row],[روز و ماه]])</f>
        <v>1400</v>
      </c>
      <c r="U23" s="150"/>
      <c r="V23" s="150"/>
      <c r="X23" s="150"/>
      <c r="Y23" s="150"/>
      <c r="AA23" s="150"/>
      <c r="AB23" s="150"/>
    </row>
    <row r="24" spans="9:28" x14ac:dyDescent="0.25">
      <c r="J24" s="150"/>
      <c r="K24" s="167"/>
      <c r="M24" s="171"/>
      <c r="N24" s="163"/>
      <c r="O24" s="179" t="str">
        <f>CONCATENATE(تقویم!$A$2,HolidayTable[[#This Row],[روز و ماه]])</f>
        <v>1400</v>
      </c>
      <c r="Q24" s="150"/>
      <c r="R24" s="150"/>
      <c r="S24" s="179" t="str">
        <f>CONCATENATE(تقویم!$A$2,EventsTable[[#This Row],[روز و ماه]])</f>
        <v>1400</v>
      </c>
      <c r="U24" s="150"/>
      <c r="V24" s="150"/>
      <c r="X24" s="150"/>
      <c r="Y24" s="150"/>
      <c r="AA24" s="150"/>
      <c r="AB24" s="150"/>
    </row>
    <row r="25" spans="9:28" x14ac:dyDescent="0.25">
      <c r="J25" s="150"/>
      <c r="K25" s="167"/>
      <c r="M25" s="171"/>
      <c r="N25" s="163"/>
      <c r="O25" s="179" t="str">
        <f>CONCATENATE(تقویم!$A$2,HolidayTable[[#This Row],[روز و ماه]])</f>
        <v>1400</v>
      </c>
      <c r="Q25" s="150"/>
      <c r="R25" s="150"/>
      <c r="S25" s="179" t="str">
        <f>CONCATENATE(تقویم!$A$2,EventsTable[[#This Row],[روز و ماه]])</f>
        <v>1400</v>
      </c>
      <c r="U25" s="150"/>
      <c r="V25" s="150"/>
      <c r="X25" s="150"/>
      <c r="Y25" s="150"/>
      <c r="AA25" s="150"/>
      <c r="AB25" s="150"/>
    </row>
    <row r="26" spans="9:28" x14ac:dyDescent="0.25">
      <c r="J26" s="150"/>
      <c r="K26" s="167"/>
      <c r="M26" s="171"/>
      <c r="N26" s="163"/>
      <c r="O26" s="179" t="str">
        <f>CONCATENATE(تقویم!$A$2,HolidayTable[[#This Row],[روز و ماه]])</f>
        <v>1400</v>
      </c>
      <c r="Q26" s="150"/>
      <c r="R26" s="150"/>
      <c r="S26" s="179" t="str">
        <f>CONCATENATE(تقویم!$A$2,EventsTable[[#This Row],[روز و ماه]])</f>
        <v>1400</v>
      </c>
      <c r="U26" s="150"/>
      <c r="V26" s="150"/>
      <c r="X26" s="150"/>
      <c r="Y26" s="150"/>
      <c r="AA26" s="150"/>
      <c r="AB26" s="150"/>
    </row>
    <row r="27" spans="9:28" x14ac:dyDescent="0.25">
      <c r="J27" s="150"/>
      <c r="K27" s="167"/>
      <c r="M27" s="171"/>
      <c r="N27" s="163"/>
      <c r="O27" s="179" t="str">
        <f>CONCATENATE(تقویم!$A$2,HolidayTable[[#This Row],[روز و ماه]])</f>
        <v>1400</v>
      </c>
      <c r="Q27" s="150"/>
      <c r="R27" s="150"/>
      <c r="S27" s="179" t="str">
        <f>CONCATENATE(تقویم!$A$2,EventsTable[[#This Row],[روز و ماه]])</f>
        <v>1400</v>
      </c>
      <c r="U27" s="150"/>
      <c r="V27" s="150"/>
      <c r="X27" s="150"/>
      <c r="Y27" s="150"/>
      <c r="AA27" s="150"/>
      <c r="AB27" s="150"/>
    </row>
    <row r="28" spans="9:28" x14ac:dyDescent="0.25">
      <c r="J28" s="150"/>
      <c r="K28" s="167"/>
      <c r="M28" s="171"/>
      <c r="N28" s="163"/>
      <c r="O28" s="179" t="str">
        <f>CONCATENATE(تقویم!$A$2,HolidayTable[[#This Row],[روز و ماه]])</f>
        <v>1400</v>
      </c>
      <c r="Q28" s="150"/>
      <c r="R28" s="150"/>
      <c r="S28" s="179" t="str">
        <f>CONCATENATE(تقویم!$A$2,EventsTable[[#This Row],[روز و ماه]])</f>
        <v>1400</v>
      </c>
      <c r="U28" s="150"/>
      <c r="V28" s="150"/>
      <c r="X28" s="150"/>
      <c r="Y28" s="150"/>
      <c r="AA28" s="150"/>
      <c r="AB28" s="150"/>
    </row>
    <row r="29" spans="9:28" x14ac:dyDescent="0.25">
      <c r="J29" s="150"/>
      <c r="K29" s="167"/>
      <c r="M29" s="171"/>
      <c r="N29" s="163"/>
      <c r="O29" s="179" t="str">
        <f>CONCATENATE(تقویم!$A$2,HolidayTable[[#This Row],[روز و ماه]])</f>
        <v>1400</v>
      </c>
      <c r="Q29" s="150"/>
      <c r="R29" s="150"/>
      <c r="S29" s="179" t="str">
        <f>CONCATENATE(تقویم!$A$2,EventsTable[[#This Row],[روز و ماه]])</f>
        <v>1400</v>
      </c>
      <c r="U29" s="150"/>
      <c r="V29" s="150"/>
      <c r="X29" s="150"/>
      <c r="Y29" s="150"/>
      <c r="AA29" s="150"/>
      <c r="AB29" s="150"/>
    </row>
    <row r="30" spans="9:28" x14ac:dyDescent="0.25">
      <c r="J30" s="150"/>
      <c r="K30" s="167"/>
      <c r="M30" s="171"/>
      <c r="N30" s="163"/>
      <c r="O30" s="179" t="str">
        <f>CONCATENATE(تقویم!$A$2,HolidayTable[[#This Row],[روز و ماه]])</f>
        <v>1400</v>
      </c>
      <c r="Q30" s="150"/>
      <c r="R30" s="150"/>
      <c r="S30" s="179" t="str">
        <f>CONCATENATE(تقویم!$A$2,EventsTable[[#This Row],[روز و ماه]])</f>
        <v>1400</v>
      </c>
      <c r="U30" s="150"/>
      <c r="V30" s="150"/>
      <c r="X30" s="150"/>
      <c r="Y30" s="150"/>
      <c r="AA30" s="150"/>
      <c r="AB30" s="150"/>
    </row>
    <row r="31" spans="9:28" x14ac:dyDescent="0.25">
      <c r="J31" s="150"/>
      <c r="K31" s="167"/>
      <c r="M31" s="171"/>
      <c r="N31" s="163"/>
      <c r="O31" s="179" t="str">
        <f>CONCATENATE(تقویم!$A$2,HolidayTable[[#This Row],[روز و ماه]])</f>
        <v>1400</v>
      </c>
      <c r="Q31" s="150"/>
      <c r="R31" s="150"/>
      <c r="S31" s="179" t="str">
        <f>CONCATENATE(تقویم!$A$2,EventsTable[[#This Row],[روز و ماه]])</f>
        <v>1400</v>
      </c>
      <c r="U31" s="150"/>
      <c r="V31" s="150"/>
      <c r="X31" s="150"/>
      <c r="Y31" s="150"/>
      <c r="AA31" s="150"/>
      <c r="AB31" s="150"/>
    </row>
    <row r="32" spans="9:28" x14ac:dyDescent="0.25">
      <c r="J32" s="150"/>
      <c r="K32" s="167"/>
      <c r="M32" s="171"/>
      <c r="N32" s="163"/>
      <c r="O32" s="179" t="str">
        <f>CONCATENATE(تقویم!$A$2,HolidayTable[[#This Row],[روز و ماه]])</f>
        <v>1400</v>
      </c>
      <c r="Q32" s="150"/>
      <c r="R32" s="150"/>
      <c r="S32" s="179" t="str">
        <f>CONCATENATE(تقویم!$A$2,EventsTable[[#This Row],[روز و ماه]])</f>
        <v>1400</v>
      </c>
      <c r="U32" s="150"/>
      <c r="V32" s="150"/>
      <c r="X32" s="150"/>
      <c r="Y32" s="150"/>
      <c r="AA32" s="150"/>
      <c r="AB32" s="150"/>
    </row>
    <row r="33" spans="10:28" x14ac:dyDescent="0.25">
      <c r="J33" s="150"/>
      <c r="K33" s="167"/>
      <c r="M33" s="171"/>
      <c r="N33" s="163"/>
      <c r="O33" s="179" t="str">
        <f>CONCATENATE(تقویم!$A$2,HolidayTable[[#This Row],[روز و ماه]])</f>
        <v>1400</v>
      </c>
      <c r="Q33" s="150"/>
      <c r="R33" s="150"/>
      <c r="S33" s="179" t="str">
        <f>CONCATENATE(تقویم!$A$2,EventsTable[[#This Row],[روز و ماه]])</f>
        <v>1400</v>
      </c>
      <c r="U33" s="150"/>
      <c r="V33" s="150"/>
      <c r="X33" s="150"/>
      <c r="Y33" s="150"/>
      <c r="AA33" s="150"/>
      <c r="AB33" s="150"/>
    </row>
    <row r="34" spans="10:28" x14ac:dyDescent="0.25">
      <c r="J34" s="150"/>
      <c r="K34" s="167"/>
      <c r="M34" s="171"/>
      <c r="N34" s="163"/>
      <c r="O34" s="179" t="str">
        <f>CONCATENATE(تقویم!$A$2,HolidayTable[[#This Row],[روز و ماه]])</f>
        <v>1400</v>
      </c>
      <c r="Q34" s="150"/>
      <c r="R34" s="150"/>
      <c r="S34" s="179" t="str">
        <f>CONCATENATE(تقویم!$A$2,EventsTable[[#This Row],[روز و ماه]])</f>
        <v>1400</v>
      </c>
      <c r="U34" s="150"/>
      <c r="V34" s="150"/>
      <c r="X34" s="150"/>
      <c r="Y34" s="150"/>
      <c r="AA34" s="150"/>
      <c r="AB34" s="150"/>
    </row>
    <row r="35" spans="10:28" x14ac:dyDescent="0.25">
      <c r="J35" s="150"/>
      <c r="K35" s="167"/>
      <c r="M35" s="171"/>
      <c r="N35" s="163"/>
      <c r="O35" s="179" t="str">
        <f>CONCATENATE(تقویم!$A$2,HolidayTable[[#This Row],[روز و ماه]])</f>
        <v>1400</v>
      </c>
      <c r="Q35" s="150"/>
      <c r="R35" s="150"/>
      <c r="S35" s="179" t="str">
        <f>CONCATENATE(تقویم!$A$2,EventsTable[[#This Row],[روز و ماه]])</f>
        <v>1400</v>
      </c>
      <c r="U35" s="150"/>
      <c r="V35" s="150"/>
      <c r="X35" s="150"/>
      <c r="Y35" s="150"/>
      <c r="AA35" s="150"/>
      <c r="AB35" s="150"/>
    </row>
    <row r="36" spans="10:28" x14ac:dyDescent="0.25">
      <c r="J36" s="150"/>
      <c r="K36" s="167"/>
      <c r="M36" s="171"/>
      <c r="N36" s="163"/>
      <c r="O36" s="179" t="str">
        <f>CONCATENATE(تقویم!$A$2,HolidayTable[[#This Row],[روز و ماه]])</f>
        <v>1400</v>
      </c>
      <c r="Q36" s="150"/>
      <c r="R36" s="150"/>
      <c r="S36" s="179" t="str">
        <f>CONCATENATE(تقویم!$A$2,EventsTable[[#This Row],[روز و ماه]])</f>
        <v>1400</v>
      </c>
      <c r="U36" s="150"/>
      <c r="V36" s="150"/>
      <c r="X36" s="150"/>
      <c r="Y36" s="150"/>
      <c r="AA36" s="150"/>
      <c r="AB36" s="150"/>
    </row>
    <row r="37" spans="10:28" x14ac:dyDescent="0.25">
      <c r="J37" s="150"/>
      <c r="K37" s="167"/>
      <c r="M37" s="171"/>
      <c r="N37" s="163"/>
      <c r="O37" s="179" t="str">
        <f>CONCATENATE(تقویم!$A$2,HolidayTable[[#This Row],[روز و ماه]])</f>
        <v>1400</v>
      </c>
      <c r="Q37" s="150"/>
      <c r="R37" s="150"/>
      <c r="S37" s="179" t="str">
        <f>CONCATENATE(تقویم!$A$2,EventsTable[[#This Row],[روز و ماه]])</f>
        <v>1400</v>
      </c>
      <c r="U37" s="150"/>
      <c r="V37" s="150"/>
      <c r="X37" s="150"/>
      <c r="Y37" s="150"/>
      <c r="AA37" s="150"/>
      <c r="AB37" s="150"/>
    </row>
    <row r="38" spans="10:28" x14ac:dyDescent="0.25">
      <c r="J38" s="150"/>
      <c r="K38" s="167"/>
      <c r="M38" s="171"/>
      <c r="N38" s="163"/>
      <c r="O38" s="179" t="str">
        <f>CONCATENATE(تقویم!$A$2,HolidayTable[[#This Row],[روز و ماه]])</f>
        <v>1400</v>
      </c>
      <c r="Q38" s="150"/>
      <c r="R38" s="150"/>
      <c r="S38" s="179" t="str">
        <f>CONCATENATE(تقویم!$A$2,EventsTable[[#This Row],[روز و ماه]])</f>
        <v>1400</v>
      </c>
      <c r="U38" s="150"/>
      <c r="V38" s="150"/>
      <c r="X38" s="150"/>
      <c r="Y38" s="150"/>
      <c r="AA38" s="150"/>
      <c r="AB38" s="150"/>
    </row>
    <row r="39" spans="10:28" x14ac:dyDescent="0.25">
      <c r="J39" s="150"/>
      <c r="K39" s="167"/>
      <c r="M39" s="171"/>
      <c r="N39" s="163"/>
      <c r="O39" s="179" t="str">
        <f>CONCATENATE(تقویم!$A$2,HolidayTable[[#This Row],[روز و ماه]])</f>
        <v>1400</v>
      </c>
      <c r="Q39" s="150"/>
      <c r="R39" s="150"/>
      <c r="S39" s="179" t="str">
        <f>CONCATENATE(تقویم!$A$2,EventsTable[[#This Row],[روز و ماه]])</f>
        <v>1400</v>
      </c>
      <c r="U39" s="150"/>
      <c r="V39" s="150"/>
      <c r="X39" s="150"/>
      <c r="Y39" s="150"/>
      <c r="AA39" s="150"/>
      <c r="AB39" s="150"/>
    </row>
    <row r="40" spans="10:28" x14ac:dyDescent="0.25">
      <c r="J40" s="150"/>
      <c r="K40" s="167"/>
      <c r="M40" s="171"/>
      <c r="N40" s="163"/>
      <c r="O40" s="179" t="str">
        <f>CONCATENATE(تقویم!$A$2,HolidayTable[[#This Row],[روز و ماه]])</f>
        <v>1400</v>
      </c>
      <c r="Q40" s="150"/>
      <c r="R40" s="150"/>
      <c r="S40" s="179" t="str">
        <f>CONCATENATE(تقویم!$A$2,EventsTable[[#This Row],[روز و ماه]])</f>
        <v>1400</v>
      </c>
      <c r="U40" s="150"/>
      <c r="V40" s="150"/>
      <c r="X40" s="150"/>
      <c r="Y40" s="150"/>
      <c r="AA40" s="150"/>
      <c r="AB40" s="150"/>
    </row>
    <row r="41" spans="10:28" x14ac:dyDescent="0.25">
      <c r="J41" s="150"/>
      <c r="K41" s="167"/>
      <c r="M41" s="171"/>
      <c r="N41" s="163"/>
      <c r="O41" s="179" t="str">
        <f>CONCATENATE(تقویم!$A$2,HolidayTable[[#This Row],[روز و ماه]])</f>
        <v>1400</v>
      </c>
      <c r="Q41" s="150"/>
      <c r="R41" s="150"/>
      <c r="S41" s="179" t="str">
        <f>CONCATENATE(تقویم!$A$2,EventsTable[[#This Row],[روز و ماه]])</f>
        <v>1400</v>
      </c>
      <c r="U41" s="150"/>
      <c r="V41" s="150"/>
      <c r="X41" s="150"/>
      <c r="Y41" s="150"/>
      <c r="AA41" s="150"/>
      <c r="AB41" s="150"/>
    </row>
    <row r="42" spans="10:28" x14ac:dyDescent="0.25">
      <c r="M42" s="171"/>
      <c r="N42" s="163"/>
      <c r="O42" s="179" t="str">
        <f>CONCATENATE(تقویم!$A$2,HolidayTable[[#This Row],[روز و ماه]])</f>
        <v>1400</v>
      </c>
      <c r="Q42" s="150"/>
      <c r="R42" s="150"/>
      <c r="S42" s="179" t="str">
        <f>CONCATENATE(تقویم!$A$2,EventsTable[[#This Row],[روز و ماه]])</f>
        <v>1400</v>
      </c>
      <c r="U42" s="150"/>
      <c r="V42" s="150"/>
      <c r="X42" s="150"/>
      <c r="Y42" s="150"/>
      <c r="AA42" s="150"/>
      <c r="AB42" s="150"/>
    </row>
    <row r="43" spans="10:28" x14ac:dyDescent="0.25">
      <c r="M43" s="171"/>
      <c r="N43" s="163"/>
      <c r="O43" s="179" t="str">
        <f>CONCATENATE(تقویم!$A$2,HolidayTable[[#This Row],[روز و ماه]])</f>
        <v>1400</v>
      </c>
      <c r="Q43" s="150"/>
      <c r="R43" s="150"/>
      <c r="S43" s="179" t="str">
        <f>CONCATENATE(تقویم!$A$2,EventsTable[[#This Row],[روز و ماه]])</f>
        <v>1400</v>
      </c>
      <c r="U43" s="150"/>
      <c r="V43" s="150"/>
      <c r="X43" s="150"/>
      <c r="Y43" s="150"/>
      <c r="AA43" s="150"/>
      <c r="AB43" s="150"/>
    </row>
    <row r="44" spans="10:28" x14ac:dyDescent="0.25">
      <c r="M44" s="171"/>
      <c r="N44" s="163"/>
      <c r="O44" s="179" t="str">
        <f>CONCATENATE(تقویم!$A$2,HolidayTable[[#This Row],[روز و ماه]])</f>
        <v>1400</v>
      </c>
      <c r="Q44" s="150"/>
      <c r="R44" s="150"/>
      <c r="S44" s="179" t="str">
        <f>CONCATENATE(تقویم!$A$2,EventsTable[[#This Row],[روز و ماه]])</f>
        <v>1400</v>
      </c>
      <c r="U44" s="150"/>
      <c r="V44" s="150"/>
      <c r="X44" s="150"/>
      <c r="Y44" s="150"/>
      <c r="AA44" s="150"/>
      <c r="AB44" s="150"/>
    </row>
    <row r="45" spans="10:28" x14ac:dyDescent="0.25">
      <c r="M45" s="171"/>
      <c r="N45" s="163"/>
      <c r="O45" s="179" t="str">
        <f>CONCATENATE(تقویم!$A$2,HolidayTable[[#This Row],[روز و ماه]])</f>
        <v>1400</v>
      </c>
      <c r="Q45" s="150"/>
      <c r="R45" s="150"/>
      <c r="S45" s="179" t="str">
        <f>CONCATENATE(تقویم!$A$2,EventsTable[[#This Row],[روز و ماه]])</f>
        <v>1400</v>
      </c>
      <c r="U45" s="150"/>
      <c r="V45" s="150"/>
      <c r="X45" s="150"/>
      <c r="Y45" s="150"/>
      <c r="AA45" s="150"/>
      <c r="AB45" s="150"/>
    </row>
    <row r="46" spans="10:28" x14ac:dyDescent="0.25">
      <c r="M46" s="171"/>
      <c r="N46" s="163"/>
      <c r="O46" s="179" t="str">
        <f>CONCATENATE(تقویم!$A$2,HolidayTable[[#This Row],[روز و ماه]])</f>
        <v>1400</v>
      </c>
      <c r="Q46" s="150"/>
      <c r="R46" s="150"/>
      <c r="S46" s="179" t="str">
        <f>CONCATENATE(تقویم!$A$2,EventsTable[[#This Row],[روز و ماه]])</f>
        <v>1400</v>
      </c>
      <c r="U46" s="150"/>
      <c r="V46" s="150"/>
      <c r="X46" s="150"/>
      <c r="Y46" s="150"/>
      <c r="AA46" s="150"/>
      <c r="AB46" s="150"/>
    </row>
    <row r="47" spans="10:28" x14ac:dyDescent="0.25">
      <c r="M47" s="171"/>
      <c r="N47" s="163"/>
      <c r="O47" s="179" t="str">
        <f>CONCATENATE(تقویم!$A$2,HolidayTable[[#This Row],[روز و ماه]])</f>
        <v>1400</v>
      </c>
      <c r="Q47" s="150"/>
      <c r="R47" s="150"/>
      <c r="S47" s="179" t="str">
        <f>CONCATENATE(تقویم!$A$2,EventsTable[[#This Row],[روز و ماه]])</f>
        <v>1400</v>
      </c>
      <c r="U47" s="150"/>
      <c r="V47" s="150"/>
      <c r="X47" s="150"/>
      <c r="Y47" s="150"/>
      <c r="AA47" s="150"/>
      <c r="AB47" s="150"/>
    </row>
    <row r="48" spans="10:28" x14ac:dyDescent="0.25">
      <c r="M48" s="171"/>
      <c r="N48" s="163"/>
      <c r="O48" s="179" t="str">
        <f>CONCATENATE(تقویم!$A$2,HolidayTable[[#This Row],[روز و ماه]])</f>
        <v>1400</v>
      </c>
      <c r="Q48" s="150"/>
      <c r="R48" s="150"/>
      <c r="S48" s="179" t="str">
        <f>CONCATENATE(تقویم!$A$2,EventsTable[[#This Row],[روز و ماه]])</f>
        <v>1400</v>
      </c>
      <c r="U48" s="150"/>
      <c r="V48" s="150"/>
      <c r="X48" s="150"/>
      <c r="Y48" s="150"/>
      <c r="AA48" s="150"/>
      <c r="AB48" s="150"/>
    </row>
    <row r="49" spans="13:28" x14ac:dyDescent="0.25">
      <c r="M49" s="171"/>
      <c r="N49" s="163"/>
      <c r="O49" s="179" t="str">
        <f>CONCATENATE(تقویم!$A$2,HolidayTable[[#This Row],[روز و ماه]])</f>
        <v>1400</v>
      </c>
      <c r="Q49" s="150"/>
      <c r="R49" s="150"/>
      <c r="S49" s="179" t="str">
        <f>CONCATENATE(تقویم!$A$2,EventsTable[[#This Row],[روز و ماه]])</f>
        <v>1400</v>
      </c>
      <c r="U49" s="150"/>
      <c r="V49" s="150"/>
      <c r="X49" s="150"/>
      <c r="Y49" s="150"/>
      <c r="AA49" s="150"/>
      <c r="AB49" s="150"/>
    </row>
    <row r="50" spans="13:28" x14ac:dyDescent="0.25">
      <c r="M50" s="171"/>
      <c r="N50" s="163"/>
      <c r="O50" s="179" t="str">
        <f>CONCATENATE(تقویم!$A$2,HolidayTable[[#This Row],[روز و ماه]])</f>
        <v>1400</v>
      </c>
      <c r="Q50" s="150"/>
      <c r="R50" s="150"/>
      <c r="S50" s="179" t="str">
        <f>CONCATENATE(تقویم!$A$2,EventsTable[[#This Row],[روز و ماه]])</f>
        <v>1400</v>
      </c>
      <c r="U50" s="150"/>
      <c r="V50" s="150"/>
      <c r="X50" s="150"/>
      <c r="Y50" s="150"/>
      <c r="AA50" s="150"/>
      <c r="AB50" s="150"/>
    </row>
    <row r="51" spans="13:28" x14ac:dyDescent="0.25">
      <c r="M51" s="171"/>
      <c r="N51" s="163"/>
      <c r="O51" s="179" t="str">
        <f>CONCATENATE(تقویم!$A$2,HolidayTable[[#This Row],[روز و ماه]])</f>
        <v>1400</v>
      </c>
      <c r="Q51" s="150"/>
      <c r="R51" s="150"/>
      <c r="S51" s="179" t="str">
        <f>CONCATENATE(تقویم!$A$2,EventsTable[[#This Row],[روز و ماه]])</f>
        <v>1400</v>
      </c>
      <c r="U51" s="150"/>
      <c r="V51" s="150"/>
      <c r="X51" s="150"/>
      <c r="Y51" s="150"/>
      <c r="AA51" s="150"/>
      <c r="AB51" s="150"/>
    </row>
    <row r="52" spans="13:28" x14ac:dyDescent="0.25">
      <c r="M52" s="171"/>
      <c r="N52" s="163"/>
      <c r="O52" s="179" t="str">
        <f>CONCATENATE(تقویم!$A$2,HolidayTable[[#This Row],[روز و ماه]])</f>
        <v>1400</v>
      </c>
      <c r="Q52" s="150"/>
      <c r="R52" s="150"/>
      <c r="S52" s="179" t="str">
        <f>CONCATENATE(تقویم!$A$2,EventsTable[[#This Row],[روز و ماه]])</f>
        <v>1400</v>
      </c>
      <c r="U52" s="150"/>
      <c r="V52" s="150"/>
      <c r="X52" s="150"/>
      <c r="Y52" s="150"/>
      <c r="AA52" s="150"/>
      <c r="AB52" s="150"/>
    </row>
    <row r="53" spans="13:28" x14ac:dyDescent="0.25">
      <c r="M53" s="171"/>
      <c r="N53" s="163"/>
      <c r="O53" s="179" t="str">
        <f>CONCATENATE(تقویم!$A$2,HolidayTable[[#This Row],[روز و ماه]])</f>
        <v>1400</v>
      </c>
      <c r="Q53" s="150"/>
      <c r="R53" s="150"/>
      <c r="S53" s="179" t="str">
        <f>CONCATENATE(تقویم!$A$2,EventsTable[[#This Row],[روز و ماه]])</f>
        <v>1400</v>
      </c>
      <c r="U53" s="150"/>
      <c r="V53" s="150"/>
      <c r="X53" s="150"/>
      <c r="Y53" s="150"/>
      <c r="AA53" s="150"/>
      <c r="AB53" s="150"/>
    </row>
    <row r="54" spans="13:28" x14ac:dyDescent="0.25">
      <c r="M54" s="171"/>
      <c r="N54" s="163"/>
      <c r="O54" s="179" t="str">
        <f>CONCATENATE(تقویم!$A$2,HolidayTable[[#This Row],[روز و ماه]])</f>
        <v>1400</v>
      </c>
      <c r="Q54" s="150"/>
      <c r="R54" s="150"/>
      <c r="S54" s="179" t="str">
        <f>CONCATENATE(تقویم!$A$2,EventsTable[[#This Row],[روز و ماه]])</f>
        <v>1400</v>
      </c>
      <c r="U54" s="150"/>
      <c r="V54" s="150"/>
      <c r="X54" s="150"/>
      <c r="Y54" s="150"/>
      <c r="AA54" s="150"/>
      <c r="AB54" s="150"/>
    </row>
    <row r="55" spans="13:28" x14ac:dyDescent="0.25">
      <c r="M55" s="171"/>
      <c r="N55" s="163"/>
      <c r="O55" s="179" t="str">
        <f>CONCATENATE(تقویم!$A$2,HolidayTable[[#This Row],[روز و ماه]])</f>
        <v>1400</v>
      </c>
      <c r="Q55" s="150"/>
      <c r="R55" s="150"/>
      <c r="S55" s="179" t="str">
        <f>CONCATENATE(تقویم!$A$2,EventsTable[[#This Row],[روز و ماه]])</f>
        <v>1400</v>
      </c>
      <c r="U55" s="150"/>
      <c r="V55" s="150"/>
      <c r="X55" s="150"/>
      <c r="Y55" s="150"/>
      <c r="AA55" s="150"/>
      <c r="AB55" s="150"/>
    </row>
    <row r="56" spans="13:28" x14ac:dyDescent="0.25">
      <c r="M56" s="171"/>
      <c r="N56" s="163"/>
      <c r="O56" s="179" t="str">
        <f>CONCATENATE(تقویم!$A$2,HolidayTable[[#This Row],[روز و ماه]])</f>
        <v>1400</v>
      </c>
      <c r="Q56" s="150"/>
      <c r="R56" s="150"/>
      <c r="S56" s="179" t="str">
        <f>CONCATENATE(تقویم!$A$2,EventsTable[[#This Row],[روز و ماه]])</f>
        <v>1400</v>
      </c>
      <c r="U56" s="150"/>
      <c r="V56" s="150"/>
      <c r="X56" s="150"/>
      <c r="Y56" s="150"/>
      <c r="AA56" s="150"/>
      <c r="AB56" s="150"/>
    </row>
    <row r="57" spans="13:28" x14ac:dyDescent="0.25">
      <c r="M57" s="171"/>
      <c r="N57" s="163"/>
      <c r="O57" s="179" t="str">
        <f>CONCATENATE(تقویم!$A$2,HolidayTable[[#This Row],[روز و ماه]])</f>
        <v>1400</v>
      </c>
      <c r="Q57" s="150"/>
      <c r="R57" s="150"/>
      <c r="S57" s="179" t="str">
        <f>CONCATENATE(تقویم!$A$2,EventsTable[[#This Row],[روز و ماه]])</f>
        <v>1400</v>
      </c>
      <c r="U57" s="150"/>
      <c r="V57" s="150"/>
      <c r="X57" s="150"/>
      <c r="Y57" s="150"/>
      <c r="AA57" s="150"/>
      <c r="AB57" s="150"/>
    </row>
    <row r="58" spans="13:28" x14ac:dyDescent="0.25">
      <c r="M58" s="171"/>
      <c r="N58" s="163"/>
      <c r="O58" s="179" t="str">
        <f>CONCATENATE(تقویم!$A$2,HolidayTable[[#This Row],[روز و ماه]])</f>
        <v>1400</v>
      </c>
      <c r="Q58" s="150"/>
      <c r="R58" s="150"/>
      <c r="S58" s="179" t="str">
        <f>CONCATENATE(تقویم!$A$2,EventsTable[[#This Row],[روز و ماه]])</f>
        <v>1400</v>
      </c>
      <c r="U58" s="150"/>
      <c r="V58" s="150"/>
      <c r="X58" s="150"/>
      <c r="Y58" s="150"/>
      <c r="AA58" s="150"/>
      <c r="AB58" s="150"/>
    </row>
    <row r="59" spans="13:28" x14ac:dyDescent="0.25">
      <c r="M59" s="171"/>
      <c r="N59" s="163"/>
      <c r="O59" s="179" t="str">
        <f>CONCATENATE(تقویم!$A$2,HolidayTable[[#This Row],[روز و ماه]])</f>
        <v>1400</v>
      </c>
      <c r="Q59" s="150"/>
      <c r="R59" s="150"/>
      <c r="S59" s="179" t="str">
        <f>CONCATENATE(تقویم!$A$2,EventsTable[[#This Row],[روز و ماه]])</f>
        <v>1400</v>
      </c>
      <c r="U59" s="150"/>
      <c r="V59" s="150"/>
      <c r="X59" s="150"/>
      <c r="Y59" s="150"/>
      <c r="AA59" s="150"/>
      <c r="AB59" s="150"/>
    </row>
    <row r="60" spans="13:28" x14ac:dyDescent="0.25">
      <c r="M60" s="171"/>
      <c r="N60" s="163"/>
      <c r="O60" s="179" t="str">
        <f>CONCATENATE(تقویم!$A$2,HolidayTable[[#This Row],[روز و ماه]])</f>
        <v>1400</v>
      </c>
      <c r="Q60" s="150"/>
      <c r="R60" s="150"/>
      <c r="S60" s="179" t="str">
        <f>CONCATENATE(تقویم!$A$2,EventsTable[[#This Row],[روز و ماه]])</f>
        <v>1400</v>
      </c>
      <c r="U60" s="150"/>
      <c r="V60" s="150"/>
      <c r="X60" s="150"/>
      <c r="Y60" s="150"/>
      <c r="AA60" s="150"/>
      <c r="AB60" s="150"/>
    </row>
    <row r="61" spans="13:28" x14ac:dyDescent="0.25">
      <c r="M61" s="171"/>
      <c r="N61" s="163"/>
      <c r="O61" s="179" t="str">
        <f>CONCATENATE(تقویم!$A$2,HolidayTable[[#This Row],[روز و ماه]])</f>
        <v>1400</v>
      </c>
      <c r="Q61" s="150"/>
      <c r="R61" s="150"/>
      <c r="S61" s="179" t="str">
        <f>CONCATENATE(تقویم!$A$2,EventsTable[[#This Row],[روز و ماه]])</f>
        <v>1400</v>
      </c>
      <c r="U61" s="150"/>
      <c r="V61" s="150"/>
      <c r="X61" s="150"/>
      <c r="Y61" s="150"/>
      <c r="AA61" s="150"/>
      <c r="AB61" s="150"/>
    </row>
    <row r="62" spans="13:28" x14ac:dyDescent="0.25">
      <c r="M62" s="171"/>
      <c r="N62" s="163"/>
      <c r="O62" s="179" t="str">
        <f>CONCATENATE(تقویم!$A$2,HolidayTable[[#This Row],[روز و ماه]])</f>
        <v>1400</v>
      </c>
      <c r="Q62" s="150"/>
      <c r="R62" s="150"/>
      <c r="S62" s="179" t="str">
        <f>CONCATENATE(تقویم!$A$2,EventsTable[[#This Row],[روز و ماه]])</f>
        <v>1400</v>
      </c>
      <c r="U62" s="150"/>
      <c r="V62" s="150"/>
      <c r="X62" s="150"/>
      <c r="Y62" s="150"/>
      <c r="AA62" s="150"/>
      <c r="AB62" s="150"/>
    </row>
    <row r="63" spans="13:28" x14ac:dyDescent="0.25">
      <c r="M63" s="171"/>
      <c r="N63" s="163"/>
      <c r="O63" s="179" t="str">
        <f>CONCATENATE(تقویم!$A$2,HolidayTable[[#This Row],[روز و ماه]])</f>
        <v>1400</v>
      </c>
      <c r="Q63" s="150"/>
      <c r="R63" s="150"/>
      <c r="S63" s="179" t="str">
        <f>CONCATENATE(تقویم!$A$2,EventsTable[[#This Row],[روز و ماه]])</f>
        <v>1400</v>
      </c>
      <c r="U63" s="150"/>
      <c r="V63" s="150"/>
      <c r="X63" s="150"/>
      <c r="Y63" s="150"/>
      <c r="AA63" s="150"/>
      <c r="AB63" s="150"/>
    </row>
    <row r="64" spans="13:28" x14ac:dyDescent="0.25">
      <c r="M64" s="171"/>
      <c r="N64" s="163"/>
      <c r="O64" s="179" t="str">
        <f>CONCATENATE(تقویم!$A$2,HolidayTable[[#This Row],[روز و ماه]])</f>
        <v>1400</v>
      </c>
      <c r="Q64" s="150"/>
      <c r="R64" s="150"/>
      <c r="S64" s="179" t="str">
        <f>CONCATENATE(تقویم!$A$2,EventsTable[[#This Row],[روز و ماه]])</f>
        <v>1400</v>
      </c>
      <c r="U64" s="150"/>
      <c r="V64" s="150"/>
      <c r="X64" s="150"/>
      <c r="Y64" s="150"/>
      <c r="AA64" s="150"/>
      <c r="AB64" s="150"/>
    </row>
    <row r="65" spans="13:28" x14ac:dyDescent="0.25">
      <c r="M65" s="171"/>
      <c r="N65" s="163"/>
      <c r="O65" s="179" t="str">
        <f>CONCATENATE(تقویم!$A$2,HolidayTable[[#This Row],[روز و ماه]])</f>
        <v>1400</v>
      </c>
      <c r="Q65" s="150"/>
      <c r="R65" s="150"/>
      <c r="S65" s="179" t="str">
        <f>CONCATENATE(تقویم!$A$2,EventsTable[[#This Row],[روز و ماه]])</f>
        <v>1400</v>
      </c>
      <c r="U65" s="150"/>
      <c r="V65" s="150"/>
      <c r="X65" s="150"/>
      <c r="Y65" s="150"/>
      <c r="AA65" s="150"/>
      <c r="AB65" s="150"/>
    </row>
    <row r="66" spans="13:28" x14ac:dyDescent="0.25">
      <c r="M66" s="171"/>
      <c r="N66" s="163"/>
      <c r="O66" s="179" t="str">
        <f>CONCATENATE(تقویم!$A$2,HolidayTable[[#This Row],[روز و ماه]])</f>
        <v>1400</v>
      </c>
      <c r="Q66" s="150"/>
      <c r="R66" s="150"/>
      <c r="S66" s="179" t="str">
        <f>CONCATENATE(تقویم!$A$2,EventsTable[[#This Row],[روز و ماه]])</f>
        <v>1400</v>
      </c>
      <c r="U66" s="150"/>
      <c r="V66" s="150"/>
      <c r="X66" s="150"/>
      <c r="Y66" s="150"/>
      <c r="AA66" s="150"/>
      <c r="AB66" s="150"/>
    </row>
    <row r="67" spans="13:28" x14ac:dyDescent="0.25">
      <c r="M67" s="171"/>
      <c r="N67" s="163"/>
      <c r="O67" s="179" t="str">
        <f>CONCATENATE(تقویم!$A$2,HolidayTable[[#This Row],[روز و ماه]])</f>
        <v>1400</v>
      </c>
      <c r="Q67" s="150"/>
      <c r="R67" s="150"/>
      <c r="S67" s="179" t="str">
        <f>CONCATENATE(تقویم!$A$2,EventsTable[[#This Row],[روز و ماه]])</f>
        <v>1400</v>
      </c>
      <c r="U67" s="150"/>
      <c r="V67" s="150"/>
      <c r="X67" s="150"/>
      <c r="Y67" s="150"/>
      <c r="AA67" s="150"/>
      <c r="AB67" s="150"/>
    </row>
    <row r="68" spans="13:28" x14ac:dyDescent="0.25">
      <c r="M68" s="171"/>
      <c r="N68" s="163"/>
      <c r="O68" s="179" t="str">
        <f>CONCATENATE(تقویم!$A$2,HolidayTable[[#This Row],[روز و ماه]])</f>
        <v>1400</v>
      </c>
      <c r="Q68" s="150"/>
      <c r="R68" s="150"/>
      <c r="S68" s="179" t="str">
        <f>CONCATENATE(تقویم!$A$2,EventsTable[[#This Row],[روز و ماه]])</f>
        <v>1400</v>
      </c>
      <c r="U68" s="150"/>
      <c r="V68" s="150"/>
      <c r="X68" s="150"/>
      <c r="Y68" s="150"/>
      <c r="AA68" s="150"/>
      <c r="AB68" s="150"/>
    </row>
    <row r="69" spans="13:28" x14ac:dyDescent="0.25">
      <c r="M69" s="171"/>
      <c r="N69" s="163"/>
      <c r="O69" s="179" t="str">
        <f>CONCATENATE(تقویم!$A$2,HolidayTable[[#This Row],[روز و ماه]])</f>
        <v>1400</v>
      </c>
      <c r="Q69" s="150"/>
      <c r="R69" s="150"/>
      <c r="S69" s="179" t="str">
        <f>CONCATENATE(تقویم!$A$2,EventsTable[[#This Row],[روز و ماه]])</f>
        <v>1400</v>
      </c>
      <c r="U69" s="150"/>
      <c r="V69" s="150"/>
      <c r="X69" s="150"/>
      <c r="Y69" s="150"/>
      <c r="AA69" s="150"/>
      <c r="AB69" s="150"/>
    </row>
    <row r="70" spans="13:28" x14ac:dyDescent="0.25">
      <c r="M70" s="171"/>
      <c r="N70" s="163"/>
      <c r="O70" s="179" t="str">
        <f>CONCATENATE(تقویم!$A$2,HolidayTable[[#This Row],[روز و ماه]])</f>
        <v>1400</v>
      </c>
      <c r="Q70" s="150"/>
      <c r="R70" s="150"/>
      <c r="S70" s="179" t="str">
        <f>CONCATENATE(تقویم!$A$2,EventsTable[[#This Row],[روز و ماه]])</f>
        <v>1400</v>
      </c>
      <c r="U70" s="150"/>
      <c r="V70" s="150"/>
      <c r="X70" s="150"/>
      <c r="Y70" s="150"/>
      <c r="AA70" s="150"/>
      <c r="AB70" s="150"/>
    </row>
    <row r="71" spans="13:28" x14ac:dyDescent="0.25">
      <c r="M71" s="171"/>
      <c r="N71" s="163"/>
      <c r="O71" s="179" t="str">
        <f>CONCATENATE(تقویم!$A$2,HolidayTable[[#This Row],[روز و ماه]])</f>
        <v>1400</v>
      </c>
      <c r="Q71" s="150"/>
      <c r="R71" s="150"/>
      <c r="S71" s="179" t="str">
        <f>CONCATENATE(تقویم!$A$2,EventsTable[[#This Row],[روز و ماه]])</f>
        <v>1400</v>
      </c>
      <c r="U71" s="150"/>
      <c r="V71" s="150"/>
      <c r="X71" s="150"/>
      <c r="Y71" s="150"/>
      <c r="AA71" s="150"/>
      <c r="AB71" s="150"/>
    </row>
    <row r="72" spans="13:28" x14ac:dyDescent="0.25">
      <c r="M72" s="171"/>
      <c r="N72" s="163"/>
      <c r="O72" s="179" t="str">
        <f>CONCATENATE(تقویم!$A$2,HolidayTable[[#This Row],[روز و ماه]])</f>
        <v>1400</v>
      </c>
      <c r="Q72" s="150"/>
      <c r="R72" s="150"/>
      <c r="S72" s="179" t="str">
        <f>CONCATENATE(تقویم!$A$2,EventsTable[[#This Row],[روز و ماه]])</f>
        <v>1400</v>
      </c>
      <c r="U72" s="150"/>
      <c r="V72" s="150"/>
      <c r="X72" s="150"/>
      <c r="Y72" s="150"/>
      <c r="AA72" s="150"/>
      <c r="AB72" s="150"/>
    </row>
    <row r="73" spans="13:28" x14ac:dyDescent="0.25">
      <c r="M73" s="171"/>
      <c r="N73" s="163"/>
      <c r="O73" s="179" t="str">
        <f>CONCATENATE(تقویم!$A$2,HolidayTable[[#This Row],[روز و ماه]])</f>
        <v>1400</v>
      </c>
      <c r="Q73" s="150"/>
      <c r="R73" s="150"/>
      <c r="S73" s="179" t="str">
        <f>CONCATENATE(تقویم!$A$2,EventsTable[[#This Row],[روز و ماه]])</f>
        <v>1400</v>
      </c>
      <c r="U73" s="150"/>
      <c r="V73" s="150"/>
      <c r="X73" s="150"/>
      <c r="Y73" s="150"/>
      <c r="AA73" s="150"/>
      <c r="AB73" s="150"/>
    </row>
    <row r="74" spans="13:28" x14ac:dyDescent="0.25">
      <c r="M74" s="171"/>
      <c r="N74" s="163"/>
      <c r="O74" s="179" t="str">
        <f>CONCATENATE(تقویم!$A$2,HolidayTable[[#This Row],[روز و ماه]])</f>
        <v>1400</v>
      </c>
      <c r="Q74" s="150"/>
      <c r="R74" s="150"/>
      <c r="S74" s="179" t="str">
        <f>CONCATENATE(تقویم!$A$2,EventsTable[[#This Row],[روز و ماه]])</f>
        <v>1400</v>
      </c>
      <c r="U74" s="150"/>
      <c r="V74" s="150"/>
      <c r="X74" s="150"/>
      <c r="Y74" s="150"/>
      <c r="AA74" s="150"/>
      <c r="AB74" s="150"/>
    </row>
    <row r="75" spans="13:28" x14ac:dyDescent="0.25">
      <c r="M75" s="171"/>
      <c r="N75" s="163"/>
      <c r="O75" s="179" t="str">
        <f>CONCATENATE(تقویم!$A$2,HolidayTable[[#This Row],[روز و ماه]])</f>
        <v>1400</v>
      </c>
      <c r="Q75" s="150"/>
      <c r="R75" s="150"/>
      <c r="S75" s="179" t="str">
        <f>CONCATENATE(تقویم!$A$2,EventsTable[[#This Row],[روز و ماه]])</f>
        <v>1400</v>
      </c>
      <c r="U75" s="150"/>
      <c r="V75" s="150"/>
      <c r="X75" s="150"/>
      <c r="Y75" s="150"/>
      <c r="AA75" s="150"/>
      <c r="AB75" s="150"/>
    </row>
    <row r="76" spans="13:28" x14ac:dyDescent="0.25">
      <c r="M76" s="171"/>
      <c r="N76" s="163"/>
      <c r="O76" s="179" t="str">
        <f>CONCATENATE(تقویم!$A$2,HolidayTable[[#This Row],[روز و ماه]])</f>
        <v>1400</v>
      </c>
      <c r="Q76" s="150"/>
      <c r="R76" s="150"/>
      <c r="S76" s="179" t="str">
        <f>CONCATENATE(تقویم!$A$2,EventsTable[[#This Row],[روز و ماه]])</f>
        <v>1400</v>
      </c>
      <c r="U76" s="150"/>
      <c r="V76" s="150"/>
      <c r="X76" s="150"/>
      <c r="Y76" s="150"/>
      <c r="AA76" s="150"/>
      <c r="AB76" s="150"/>
    </row>
    <row r="77" spans="13:28" x14ac:dyDescent="0.25">
      <c r="M77" s="171"/>
      <c r="N77" s="163"/>
      <c r="O77" s="179" t="str">
        <f>CONCATENATE(تقویم!$A$2,HolidayTable[[#This Row],[روز و ماه]])</f>
        <v>1400</v>
      </c>
      <c r="Q77" s="150"/>
      <c r="R77" s="150"/>
      <c r="S77" s="179" t="str">
        <f>CONCATENATE(تقویم!$A$2,EventsTable[[#This Row],[روز و ماه]])</f>
        <v>1400</v>
      </c>
      <c r="U77" s="150"/>
      <c r="V77" s="150"/>
      <c r="X77" s="150"/>
      <c r="Y77" s="150"/>
      <c r="AA77" s="150"/>
      <c r="AB77" s="150"/>
    </row>
    <row r="78" spans="13:28" x14ac:dyDescent="0.25">
      <c r="M78" s="171"/>
      <c r="N78" s="163"/>
      <c r="O78" s="179" t="str">
        <f>CONCATENATE(تقویم!$A$2,HolidayTable[[#This Row],[روز و ماه]])</f>
        <v>1400</v>
      </c>
      <c r="Q78" s="150"/>
      <c r="R78" s="150"/>
      <c r="S78" s="179" t="str">
        <f>CONCATENATE(تقویم!$A$2,EventsTable[[#This Row],[روز و ماه]])</f>
        <v>1400</v>
      </c>
      <c r="U78" s="150"/>
      <c r="V78" s="150"/>
      <c r="X78" s="150"/>
      <c r="Y78" s="150"/>
      <c r="AA78" s="150"/>
      <c r="AB78" s="150"/>
    </row>
    <row r="79" spans="13:28" x14ac:dyDescent="0.25">
      <c r="M79" s="171"/>
      <c r="N79" s="163"/>
      <c r="O79" s="179" t="str">
        <f>CONCATENATE(تقویم!$A$2,HolidayTable[[#This Row],[روز و ماه]])</f>
        <v>1400</v>
      </c>
      <c r="Q79" s="150"/>
      <c r="R79" s="150"/>
      <c r="S79" s="179" t="str">
        <f>CONCATENATE(تقویم!$A$2,EventsTable[[#This Row],[روز و ماه]])</f>
        <v>1400</v>
      </c>
      <c r="U79" s="150"/>
      <c r="V79" s="150"/>
      <c r="X79" s="150"/>
      <c r="Y79" s="150"/>
      <c r="AA79" s="150"/>
      <c r="AB79" s="150"/>
    </row>
    <row r="80" spans="13:28" x14ac:dyDescent="0.25">
      <c r="M80" s="171"/>
      <c r="N80" s="163"/>
      <c r="O80" s="179" t="str">
        <f>CONCATENATE(تقویم!$A$2,HolidayTable[[#This Row],[روز و ماه]])</f>
        <v>1400</v>
      </c>
      <c r="Q80" s="150"/>
      <c r="R80" s="150"/>
      <c r="S80" s="179" t="str">
        <f>CONCATENATE(تقویم!$A$2,EventsTable[[#This Row],[روز و ماه]])</f>
        <v>1400</v>
      </c>
      <c r="U80" s="150"/>
      <c r="V80" s="150"/>
      <c r="X80" s="150"/>
      <c r="Y80" s="150"/>
      <c r="AA80" s="150"/>
      <c r="AB80" s="150"/>
    </row>
    <row r="81" spans="13:28" x14ac:dyDescent="0.25">
      <c r="M81" s="171"/>
      <c r="N81" s="163"/>
      <c r="O81" s="179" t="str">
        <f>CONCATENATE(تقویم!$A$2,HolidayTable[[#This Row],[روز و ماه]])</f>
        <v>1400</v>
      </c>
      <c r="Q81" s="150"/>
      <c r="R81" s="150"/>
      <c r="S81" s="179" t="str">
        <f>CONCATENATE(تقویم!$A$2,EventsTable[[#This Row],[روز و ماه]])</f>
        <v>1400</v>
      </c>
      <c r="U81" s="150"/>
      <c r="V81" s="150"/>
      <c r="X81" s="150"/>
      <c r="Y81" s="150"/>
      <c r="AA81" s="150"/>
      <c r="AB81" s="150"/>
    </row>
    <row r="82" spans="13:28" x14ac:dyDescent="0.25">
      <c r="M82" s="171"/>
      <c r="N82" s="163"/>
      <c r="O82" s="179" t="str">
        <f>CONCATENATE(تقویم!$A$2,HolidayTable[[#This Row],[روز و ماه]])</f>
        <v>1400</v>
      </c>
      <c r="Q82" s="150"/>
      <c r="R82" s="150"/>
      <c r="S82" s="179" t="str">
        <f>CONCATENATE(تقویم!$A$2,EventsTable[[#This Row],[روز و ماه]])</f>
        <v>1400</v>
      </c>
      <c r="U82" s="150"/>
      <c r="V82" s="150"/>
      <c r="X82" s="150"/>
      <c r="Y82" s="150"/>
      <c r="AA82" s="150"/>
      <c r="AB82" s="150"/>
    </row>
    <row r="83" spans="13:28" x14ac:dyDescent="0.25">
      <c r="M83" s="171"/>
      <c r="N83" s="163"/>
      <c r="O83" s="179" t="str">
        <f>CONCATENATE(تقویم!$A$2,HolidayTable[[#This Row],[روز و ماه]])</f>
        <v>1400</v>
      </c>
      <c r="Q83" s="150"/>
      <c r="R83" s="150"/>
      <c r="S83" s="179" t="str">
        <f>CONCATENATE(تقویم!$A$2,EventsTable[[#This Row],[روز و ماه]])</f>
        <v>1400</v>
      </c>
      <c r="U83" s="150"/>
      <c r="V83" s="150"/>
      <c r="X83" s="150"/>
      <c r="Y83" s="150"/>
      <c r="AA83" s="150"/>
      <c r="AB83" s="150"/>
    </row>
    <row r="84" spans="13:28" x14ac:dyDescent="0.25">
      <c r="M84" s="171"/>
      <c r="N84" s="163"/>
      <c r="O84" s="179" t="str">
        <f>CONCATENATE(تقویم!$A$2,HolidayTable[[#This Row],[روز و ماه]])</f>
        <v>1400</v>
      </c>
      <c r="Q84" s="150"/>
      <c r="R84" s="150"/>
      <c r="S84" s="179" t="str">
        <f>CONCATENATE(تقویم!$A$2,EventsTable[[#This Row],[روز و ماه]])</f>
        <v>1400</v>
      </c>
      <c r="U84" s="150"/>
      <c r="V84" s="150"/>
      <c r="X84" s="150"/>
      <c r="Y84" s="150"/>
      <c r="AA84" s="150"/>
      <c r="AB84" s="150"/>
    </row>
    <row r="85" spans="13:28" x14ac:dyDescent="0.25">
      <c r="M85" s="171"/>
      <c r="N85" s="163"/>
      <c r="O85" s="179" t="str">
        <f>CONCATENATE(تقویم!$A$2,HolidayTable[[#This Row],[روز و ماه]])</f>
        <v>1400</v>
      </c>
      <c r="Q85" s="150"/>
      <c r="R85" s="150"/>
      <c r="S85" s="179" t="str">
        <f>CONCATENATE(تقویم!$A$2,EventsTable[[#This Row],[روز و ماه]])</f>
        <v>1400</v>
      </c>
      <c r="U85" s="150"/>
      <c r="V85" s="150"/>
      <c r="X85" s="150"/>
      <c r="Y85" s="150"/>
      <c r="AA85" s="150"/>
      <c r="AB85" s="150"/>
    </row>
    <row r="86" spans="13:28" x14ac:dyDescent="0.25">
      <c r="M86" s="171"/>
      <c r="N86" s="163"/>
      <c r="O86" s="179" t="str">
        <f>CONCATENATE(تقویم!$A$2,HolidayTable[[#This Row],[روز و ماه]])</f>
        <v>1400</v>
      </c>
      <c r="Q86" s="150"/>
      <c r="R86" s="150"/>
      <c r="S86" s="179" t="str">
        <f>CONCATENATE(تقویم!$A$2,EventsTable[[#This Row],[روز و ماه]])</f>
        <v>1400</v>
      </c>
      <c r="U86" s="150"/>
      <c r="V86" s="150"/>
      <c r="X86" s="150"/>
      <c r="Y86" s="150"/>
      <c r="AA86" s="150"/>
      <c r="AB86" s="150"/>
    </row>
    <row r="87" spans="13:28" x14ac:dyDescent="0.25">
      <c r="M87" s="171"/>
      <c r="N87" s="163"/>
      <c r="O87" s="179" t="str">
        <f>CONCATENATE(تقویم!$A$2,HolidayTable[[#This Row],[روز و ماه]])</f>
        <v>1400</v>
      </c>
      <c r="Q87" s="150"/>
      <c r="R87" s="150"/>
      <c r="S87" s="179" t="str">
        <f>CONCATENATE(تقویم!$A$2,EventsTable[[#This Row],[روز و ماه]])</f>
        <v>1400</v>
      </c>
      <c r="U87" s="150"/>
      <c r="V87" s="150"/>
      <c r="X87" s="150"/>
      <c r="Y87" s="150"/>
      <c r="AA87" s="150"/>
      <c r="AB87" s="150"/>
    </row>
    <row r="88" spans="13:28" x14ac:dyDescent="0.25">
      <c r="M88" s="171"/>
      <c r="N88" s="163"/>
      <c r="O88" s="179" t="str">
        <f>CONCATENATE(تقویم!$A$2,HolidayTable[[#This Row],[روز و ماه]])</f>
        <v>1400</v>
      </c>
      <c r="Q88" s="150"/>
      <c r="R88" s="150"/>
      <c r="S88" s="179" t="str">
        <f>CONCATENATE(تقویم!$A$2,EventsTable[[#This Row],[روز و ماه]])</f>
        <v>1400</v>
      </c>
      <c r="U88" s="150"/>
      <c r="V88" s="150"/>
      <c r="X88" s="150"/>
      <c r="Y88" s="150"/>
      <c r="AA88" s="150"/>
      <c r="AB88" s="150"/>
    </row>
    <row r="89" spans="13:28" x14ac:dyDescent="0.25">
      <c r="M89" s="171"/>
      <c r="N89" s="163"/>
      <c r="O89" s="179" t="str">
        <f>CONCATENATE(تقویم!$A$2,HolidayTable[[#This Row],[روز و ماه]])</f>
        <v>1400</v>
      </c>
      <c r="Q89" s="150"/>
      <c r="R89" s="150"/>
      <c r="S89" s="179" t="str">
        <f>CONCATENATE(تقویم!$A$2,EventsTable[[#This Row],[روز و ماه]])</f>
        <v>1400</v>
      </c>
      <c r="U89" s="150"/>
      <c r="V89" s="150"/>
      <c r="X89" s="150"/>
      <c r="Y89" s="150"/>
      <c r="AA89" s="150"/>
      <c r="AB89" s="150"/>
    </row>
    <row r="90" spans="13:28" x14ac:dyDescent="0.25">
      <c r="M90" s="171"/>
      <c r="N90" s="163"/>
      <c r="O90" s="179" t="str">
        <f>CONCATENATE(تقویم!$A$2,HolidayTable[[#This Row],[روز و ماه]])</f>
        <v>1400</v>
      </c>
      <c r="Q90" s="150"/>
      <c r="R90" s="150"/>
      <c r="S90" s="179" t="str">
        <f>CONCATENATE(تقویم!$A$2,EventsTable[[#This Row],[روز و ماه]])</f>
        <v>1400</v>
      </c>
      <c r="U90" s="150"/>
      <c r="V90" s="150"/>
      <c r="X90" s="150"/>
      <c r="Y90" s="150"/>
      <c r="AA90" s="150"/>
      <c r="AB90" s="150"/>
    </row>
    <row r="91" spans="13:28" x14ac:dyDescent="0.25">
      <c r="M91" s="171"/>
      <c r="N91" s="163"/>
      <c r="O91" s="179" t="str">
        <f>CONCATENATE(تقویم!$A$2,HolidayTable[[#This Row],[روز و ماه]])</f>
        <v>1400</v>
      </c>
      <c r="Q91" s="150"/>
      <c r="R91" s="150"/>
      <c r="S91" s="179" t="str">
        <f>CONCATENATE(تقویم!$A$2,EventsTable[[#This Row],[روز و ماه]])</f>
        <v>1400</v>
      </c>
      <c r="U91" s="150"/>
      <c r="V91" s="150"/>
      <c r="X91" s="150"/>
      <c r="Y91" s="150"/>
      <c r="AA91" s="150"/>
      <c r="AB91" s="150"/>
    </row>
    <row r="92" spans="13:28" x14ac:dyDescent="0.25">
      <c r="M92" s="171"/>
      <c r="N92" s="163"/>
      <c r="O92" s="179" t="str">
        <f>CONCATENATE(تقویم!$A$2,HolidayTable[[#This Row],[روز و ماه]])</f>
        <v>1400</v>
      </c>
      <c r="Q92" s="150"/>
      <c r="R92" s="150"/>
      <c r="S92" s="179" t="str">
        <f>CONCATENATE(تقویم!$A$2,EventsTable[[#This Row],[روز و ماه]])</f>
        <v>1400</v>
      </c>
      <c r="U92" s="150"/>
      <c r="V92" s="150"/>
      <c r="X92" s="150"/>
      <c r="Y92" s="150"/>
      <c r="AA92" s="150"/>
      <c r="AB92" s="150"/>
    </row>
    <row r="93" spans="13:28" x14ac:dyDescent="0.25">
      <c r="M93" s="171"/>
      <c r="N93" s="163"/>
      <c r="O93" s="179" t="str">
        <f>CONCATENATE(تقویم!$A$2,HolidayTable[[#This Row],[روز و ماه]])</f>
        <v>1400</v>
      </c>
      <c r="Q93" s="150"/>
      <c r="R93" s="150"/>
      <c r="S93" s="179" t="str">
        <f>CONCATENATE(تقویم!$A$2,EventsTable[[#This Row],[روز و ماه]])</f>
        <v>1400</v>
      </c>
      <c r="U93" s="150"/>
      <c r="V93" s="150"/>
      <c r="X93" s="150"/>
      <c r="Y93" s="150"/>
      <c r="AA93" s="150"/>
      <c r="AB93" s="150"/>
    </row>
    <row r="94" spans="13:28" x14ac:dyDescent="0.25">
      <c r="M94" s="171"/>
      <c r="N94" s="163"/>
      <c r="O94" s="179" t="str">
        <f>CONCATENATE(تقویم!$A$2,HolidayTable[[#This Row],[روز و ماه]])</f>
        <v>1400</v>
      </c>
      <c r="Q94" s="150"/>
      <c r="R94" s="150"/>
      <c r="S94" s="179" t="str">
        <f>CONCATENATE(تقویم!$A$2,EventsTable[[#This Row],[روز و ماه]])</f>
        <v>1400</v>
      </c>
      <c r="U94" s="150"/>
      <c r="V94" s="150"/>
      <c r="X94" s="150"/>
      <c r="Y94" s="150"/>
      <c r="AA94" s="150"/>
      <c r="AB94" s="150"/>
    </row>
    <row r="95" spans="13:28" x14ac:dyDescent="0.25">
      <c r="M95" s="171"/>
      <c r="N95" s="163"/>
      <c r="O95" s="179" t="str">
        <f>CONCATENATE(تقویم!$A$2,HolidayTable[[#This Row],[روز و ماه]])</f>
        <v>1400</v>
      </c>
      <c r="Q95" s="150"/>
      <c r="R95" s="150"/>
      <c r="S95" s="179" t="str">
        <f>CONCATENATE(تقویم!$A$2,EventsTable[[#This Row],[روز و ماه]])</f>
        <v>1400</v>
      </c>
      <c r="U95" s="150"/>
      <c r="V95" s="150"/>
      <c r="X95" s="150"/>
      <c r="Y95" s="150"/>
      <c r="AA95" s="150"/>
      <c r="AB95" s="150"/>
    </row>
    <row r="96" spans="13:28" x14ac:dyDescent="0.25">
      <c r="M96" s="171"/>
      <c r="N96" s="163"/>
      <c r="O96" s="179" t="str">
        <f>CONCATENATE(تقویم!$A$2,HolidayTable[[#This Row],[روز و ماه]])</f>
        <v>1400</v>
      </c>
      <c r="Q96" s="150"/>
      <c r="R96" s="150"/>
      <c r="S96" s="179" t="str">
        <f>CONCATENATE(تقویم!$A$2,EventsTable[[#This Row],[روز و ماه]])</f>
        <v>1400</v>
      </c>
      <c r="U96" s="150"/>
      <c r="V96" s="150"/>
      <c r="X96" s="150"/>
      <c r="Y96" s="150"/>
      <c r="AA96" s="150"/>
      <c r="AB96" s="150"/>
    </row>
    <row r="97" spans="13:28" x14ac:dyDescent="0.25">
      <c r="M97" s="171"/>
      <c r="N97" s="163"/>
      <c r="O97" s="179" t="str">
        <f>CONCATENATE(تقویم!$A$2,HolidayTable[[#This Row],[روز و ماه]])</f>
        <v>1400</v>
      </c>
      <c r="Q97" s="150"/>
      <c r="R97" s="150"/>
      <c r="S97" s="179" t="str">
        <f>CONCATENATE(تقویم!$A$2,EventsTable[[#This Row],[روز و ماه]])</f>
        <v>1400</v>
      </c>
      <c r="U97" s="150"/>
      <c r="V97" s="150"/>
      <c r="X97" s="150"/>
      <c r="Y97" s="150"/>
      <c r="AA97" s="150"/>
      <c r="AB97" s="150"/>
    </row>
    <row r="98" spans="13:28" x14ac:dyDescent="0.25">
      <c r="M98" s="171"/>
      <c r="N98" s="163"/>
      <c r="O98" s="179" t="str">
        <f>CONCATENATE(تقویم!$A$2,HolidayTable[[#This Row],[روز و ماه]])</f>
        <v>1400</v>
      </c>
      <c r="Q98" s="150"/>
      <c r="R98" s="150"/>
      <c r="S98" s="179" t="str">
        <f>CONCATENATE(تقویم!$A$2,EventsTable[[#This Row],[روز و ماه]])</f>
        <v>1400</v>
      </c>
      <c r="U98" s="150"/>
      <c r="V98" s="150"/>
      <c r="X98" s="150"/>
      <c r="Y98" s="150"/>
      <c r="AA98" s="150"/>
      <c r="AB98" s="150"/>
    </row>
    <row r="99" spans="13:28" x14ac:dyDescent="0.25">
      <c r="M99" s="171"/>
      <c r="N99" s="163"/>
      <c r="O99" s="179" t="str">
        <f>CONCATENATE(تقویم!$A$2,HolidayTable[[#This Row],[روز و ماه]])</f>
        <v>1400</v>
      </c>
      <c r="Q99" s="150"/>
      <c r="R99" s="150"/>
      <c r="S99" s="179" t="str">
        <f>CONCATENATE(تقویم!$A$2,EventsTable[[#This Row],[روز و ماه]])</f>
        <v>1400</v>
      </c>
      <c r="U99" s="150"/>
      <c r="V99" s="150"/>
      <c r="X99" s="150"/>
      <c r="Y99" s="150"/>
      <c r="AA99" s="150"/>
      <c r="AB99" s="150"/>
    </row>
    <row r="100" spans="13:28" x14ac:dyDescent="0.25">
      <c r="M100" s="171"/>
      <c r="N100" s="163"/>
      <c r="O100" s="179" t="str">
        <f>CONCATENATE(تقویم!$A$2,HolidayTable[[#This Row],[روز و ماه]])</f>
        <v>1400</v>
      </c>
      <c r="Q100" s="150"/>
      <c r="R100" s="150"/>
      <c r="S100" s="179" t="str">
        <f>CONCATENATE(تقویم!$A$2,EventsTable[[#This Row],[روز و ماه]])</f>
        <v>1400</v>
      </c>
      <c r="U100" s="150"/>
      <c r="V100" s="150"/>
      <c r="X100" s="150"/>
      <c r="Y100" s="150"/>
      <c r="AA100" s="150"/>
      <c r="AB100" s="150"/>
    </row>
    <row r="101" spans="13:28" x14ac:dyDescent="0.25">
      <c r="M101" s="171"/>
      <c r="N101" s="163"/>
      <c r="O101" s="179" t="str">
        <f>CONCATENATE(تقویم!$A$2,HolidayTable[[#This Row],[روز و ماه]])</f>
        <v>1400</v>
      </c>
      <c r="Q101" s="150"/>
      <c r="R101" s="150"/>
      <c r="S101" s="179" t="str">
        <f>CONCATENATE(تقویم!$A$2,EventsTable[[#This Row],[روز و ماه]])</f>
        <v>1400</v>
      </c>
      <c r="U101" s="150"/>
      <c r="V101" s="150"/>
      <c r="X101" s="150"/>
      <c r="Y101" s="150"/>
      <c r="AA101" s="150"/>
      <c r="AB101" s="150"/>
    </row>
    <row r="102" spans="13:28" x14ac:dyDescent="0.25">
      <c r="M102" s="171"/>
      <c r="N102" s="163"/>
      <c r="O102" s="179" t="str">
        <f>CONCATENATE(تقویم!$A$2,HolidayTable[[#This Row],[روز و ماه]])</f>
        <v>1400</v>
      </c>
      <c r="Q102" s="150"/>
      <c r="R102" s="150"/>
      <c r="S102" s="179" t="str">
        <f>CONCATENATE(تقویم!$A$2,EventsTable[[#This Row],[روز و ماه]])</f>
        <v>1400</v>
      </c>
      <c r="U102" s="150"/>
      <c r="V102" s="150"/>
      <c r="X102" s="150"/>
      <c r="Y102" s="150"/>
      <c r="AA102" s="150"/>
      <c r="AB102" s="150"/>
    </row>
    <row r="103" spans="13:28" x14ac:dyDescent="0.25">
      <c r="M103" s="171"/>
      <c r="N103" s="163"/>
      <c r="O103" s="179" t="str">
        <f>CONCATENATE(تقویم!$A$2,HolidayTable[[#This Row],[روز و ماه]])</f>
        <v>1400</v>
      </c>
      <c r="Q103" s="150"/>
      <c r="R103" s="150"/>
      <c r="S103" s="179" t="str">
        <f>CONCATENATE(تقویم!$A$2,EventsTable[[#This Row],[روز و ماه]])</f>
        <v>1400</v>
      </c>
      <c r="U103" s="150"/>
      <c r="V103" s="150"/>
      <c r="X103" s="150"/>
      <c r="Y103" s="150"/>
      <c r="AA103" s="150"/>
      <c r="AB103" s="150"/>
    </row>
    <row r="104" spans="13:28" x14ac:dyDescent="0.25">
      <c r="M104" s="171"/>
      <c r="N104" s="163"/>
      <c r="O104" s="179" t="str">
        <f>CONCATENATE(تقویم!$A$2,HolidayTable[[#This Row],[روز و ماه]])</f>
        <v>1400</v>
      </c>
      <c r="Q104" s="150"/>
      <c r="R104" s="150"/>
      <c r="S104" s="179" t="str">
        <f>CONCATENATE(تقویم!$A$2,EventsTable[[#This Row],[روز و ماه]])</f>
        <v>1400</v>
      </c>
      <c r="U104" s="150"/>
      <c r="V104" s="150"/>
      <c r="X104" s="150"/>
      <c r="Y104" s="150"/>
      <c r="AA104" s="150"/>
      <c r="AB104" s="150"/>
    </row>
    <row r="105" spans="13:28" x14ac:dyDescent="0.25">
      <c r="M105" s="171"/>
      <c r="N105" s="163"/>
      <c r="O105" s="179" t="str">
        <f>CONCATENATE(تقویم!$A$2,HolidayTable[[#This Row],[روز و ماه]])</f>
        <v>1400</v>
      </c>
      <c r="Q105" s="150"/>
      <c r="R105" s="150"/>
      <c r="S105" s="179" t="str">
        <f>CONCATENATE(تقویم!$A$2,EventsTable[[#This Row],[روز و ماه]])</f>
        <v>1400</v>
      </c>
      <c r="U105" s="150"/>
      <c r="V105" s="150"/>
      <c r="X105" s="150"/>
      <c r="Y105" s="150"/>
      <c r="AA105" s="150"/>
      <c r="AB105" s="150"/>
    </row>
    <row r="106" spans="13:28" x14ac:dyDescent="0.25">
      <c r="M106" s="171"/>
      <c r="N106" s="163"/>
      <c r="O106" s="179" t="str">
        <f>CONCATENATE(تقویم!$A$2,HolidayTable[[#This Row],[روز و ماه]])</f>
        <v>1400</v>
      </c>
      <c r="Q106" s="150"/>
      <c r="R106" s="150"/>
      <c r="S106" s="179" t="str">
        <f>CONCATENATE(تقویم!$A$2,EventsTable[[#This Row],[روز و ماه]])</f>
        <v>1400</v>
      </c>
      <c r="U106" s="150"/>
      <c r="V106" s="150"/>
      <c r="X106" s="150"/>
      <c r="Y106" s="150"/>
      <c r="AA106" s="150"/>
      <c r="AB106" s="150"/>
    </row>
    <row r="107" spans="13:28" x14ac:dyDescent="0.25">
      <c r="M107" s="171"/>
      <c r="N107" s="163"/>
      <c r="O107" s="179" t="str">
        <f>CONCATENATE(تقویم!$A$2,HolidayTable[[#This Row],[روز و ماه]])</f>
        <v>1400</v>
      </c>
      <c r="Q107" s="150"/>
      <c r="R107" s="150"/>
      <c r="S107" s="179" t="str">
        <f>CONCATENATE(تقویم!$A$2,EventsTable[[#This Row],[روز و ماه]])</f>
        <v>1400</v>
      </c>
      <c r="U107" s="150"/>
      <c r="V107" s="150"/>
      <c r="X107" s="150"/>
      <c r="Y107" s="150"/>
      <c r="AA107" s="150"/>
      <c r="AB107" s="150"/>
    </row>
    <row r="108" spans="13:28" x14ac:dyDescent="0.25">
      <c r="M108" s="171"/>
      <c r="N108" s="163"/>
      <c r="O108" s="179" t="str">
        <f>CONCATENATE(تقویم!$A$2,HolidayTable[[#This Row],[روز و ماه]])</f>
        <v>1400</v>
      </c>
      <c r="Q108" s="150"/>
      <c r="R108" s="150"/>
      <c r="S108" s="179" t="str">
        <f>CONCATENATE(تقویم!$A$2,EventsTable[[#This Row],[روز و ماه]])</f>
        <v>1400</v>
      </c>
      <c r="U108" s="150"/>
      <c r="V108" s="150"/>
      <c r="X108" s="150"/>
      <c r="Y108" s="150"/>
      <c r="AA108" s="150"/>
      <c r="AB108" s="150"/>
    </row>
    <row r="109" spans="13:28" x14ac:dyDescent="0.25">
      <c r="M109" s="171"/>
      <c r="N109" s="163"/>
      <c r="O109" s="179" t="str">
        <f>CONCATENATE(تقویم!$A$2,HolidayTable[[#This Row],[روز و ماه]])</f>
        <v>1400</v>
      </c>
      <c r="Q109" s="150"/>
      <c r="R109" s="150"/>
      <c r="S109" s="179" t="str">
        <f>CONCATENATE(تقویم!$A$2,EventsTable[[#This Row],[روز و ماه]])</f>
        <v>1400</v>
      </c>
      <c r="U109" s="150"/>
      <c r="V109" s="150"/>
      <c r="X109" s="150"/>
      <c r="Y109" s="150"/>
      <c r="AA109" s="150"/>
      <c r="AB109" s="150"/>
    </row>
    <row r="110" spans="13:28" x14ac:dyDescent="0.25">
      <c r="M110" s="171"/>
      <c r="N110" s="163"/>
      <c r="O110" s="179" t="str">
        <f>CONCATENATE(تقویم!$A$2,HolidayTable[[#This Row],[روز و ماه]])</f>
        <v>1400</v>
      </c>
      <c r="Q110" s="150"/>
      <c r="R110" s="150"/>
      <c r="S110" s="179" t="str">
        <f>CONCATENATE(تقویم!$A$2,EventsTable[[#This Row],[روز و ماه]])</f>
        <v>1400</v>
      </c>
      <c r="U110" s="150"/>
      <c r="V110" s="150"/>
      <c r="X110" s="150"/>
      <c r="Y110" s="150"/>
      <c r="AA110" s="150"/>
      <c r="AB110" s="150"/>
    </row>
    <row r="111" spans="13:28" x14ac:dyDescent="0.25">
      <c r="M111" s="171"/>
      <c r="N111" s="163"/>
      <c r="O111" s="179" t="str">
        <f>CONCATENATE(تقویم!$A$2,HolidayTable[[#This Row],[روز و ماه]])</f>
        <v>1400</v>
      </c>
      <c r="Q111" s="150"/>
      <c r="R111" s="150"/>
      <c r="S111" s="179" t="str">
        <f>CONCATENATE(تقویم!$A$2,EventsTable[[#This Row],[روز و ماه]])</f>
        <v>1400</v>
      </c>
      <c r="U111" s="150"/>
      <c r="V111" s="150"/>
      <c r="X111" s="150"/>
      <c r="Y111" s="150"/>
      <c r="AA111" s="150"/>
      <c r="AB111" s="150"/>
    </row>
    <row r="112" spans="13:28" x14ac:dyDescent="0.25">
      <c r="M112" s="171"/>
      <c r="N112" s="163"/>
      <c r="O112" s="179" t="str">
        <f>CONCATENATE(تقویم!$A$2,HolidayTable[[#This Row],[روز و ماه]])</f>
        <v>1400</v>
      </c>
      <c r="Q112" s="150"/>
      <c r="R112" s="150"/>
      <c r="S112" s="179" t="str">
        <f>CONCATENATE(تقویم!$A$2,EventsTable[[#This Row],[روز و ماه]])</f>
        <v>1400</v>
      </c>
      <c r="U112" s="150"/>
      <c r="V112" s="150"/>
      <c r="X112" s="150"/>
      <c r="Y112" s="150"/>
      <c r="AA112" s="150"/>
      <c r="AB112" s="150"/>
    </row>
    <row r="113" spans="13:28" x14ac:dyDescent="0.25">
      <c r="M113" s="171"/>
      <c r="N113" s="163"/>
      <c r="O113" s="179" t="str">
        <f>CONCATENATE(تقویم!$A$2,HolidayTable[[#This Row],[روز و ماه]])</f>
        <v>1400</v>
      </c>
      <c r="Q113" s="150"/>
      <c r="R113" s="150"/>
      <c r="S113" s="179" t="str">
        <f>CONCATENATE(تقویم!$A$2,EventsTable[[#This Row],[روز و ماه]])</f>
        <v>1400</v>
      </c>
      <c r="U113" s="150"/>
      <c r="V113" s="150"/>
      <c r="X113" s="150"/>
      <c r="Y113" s="150"/>
      <c r="AA113" s="150"/>
      <c r="AB113" s="150"/>
    </row>
    <row r="114" spans="13:28" x14ac:dyDescent="0.25">
      <c r="M114" s="171"/>
      <c r="N114" s="163"/>
      <c r="O114" s="179" t="str">
        <f>CONCATENATE(تقویم!$A$2,HolidayTable[[#This Row],[روز و ماه]])</f>
        <v>1400</v>
      </c>
      <c r="Q114" s="150"/>
      <c r="R114" s="150"/>
      <c r="S114" s="179" t="str">
        <f>CONCATENATE(تقویم!$A$2,EventsTable[[#This Row],[روز و ماه]])</f>
        <v>1400</v>
      </c>
      <c r="U114" s="150"/>
      <c r="V114" s="150"/>
      <c r="X114" s="150"/>
      <c r="Y114" s="150"/>
      <c r="AA114" s="150"/>
      <c r="AB114" s="150"/>
    </row>
    <row r="115" spans="13:28" x14ac:dyDescent="0.25">
      <c r="M115" s="171"/>
      <c r="N115" s="163"/>
      <c r="O115" s="179" t="str">
        <f>CONCATENATE(تقویم!$A$2,HolidayTable[[#This Row],[روز و ماه]])</f>
        <v>1400</v>
      </c>
      <c r="Q115" s="150"/>
      <c r="R115" s="150"/>
      <c r="S115" s="179" t="str">
        <f>CONCATENATE(تقویم!$A$2,EventsTable[[#This Row],[روز و ماه]])</f>
        <v>1400</v>
      </c>
      <c r="U115" s="150"/>
      <c r="V115" s="150"/>
      <c r="X115" s="150"/>
      <c r="Y115" s="150"/>
      <c r="AA115" s="150"/>
      <c r="AB115" s="150"/>
    </row>
    <row r="116" spans="13:28" x14ac:dyDescent="0.25">
      <c r="M116" s="171"/>
      <c r="N116" s="163"/>
      <c r="O116" s="179" t="str">
        <f>CONCATENATE(تقویم!$A$2,HolidayTable[[#This Row],[روز و ماه]])</f>
        <v>1400</v>
      </c>
      <c r="Q116" s="150"/>
      <c r="R116" s="150"/>
      <c r="S116" s="179" t="str">
        <f>CONCATENATE(تقویم!$A$2,EventsTable[[#This Row],[روز و ماه]])</f>
        <v>1400</v>
      </c>
      <c r="U116" s="150"/>
      <c r="V116" s="150"/>
      <c r="X116" s="150"/>
      <c r="Y116" s="150"/>
      <c r="AA116" s="150"/>
      <c r="AB116" s="150"/>
    </row>
    <row r="117" spans="13:28" x14ac:dyDescent="0.25">
      <c r="M117" s="171"/>
      <c r="N117" s="163"/>
      <c r="O117" s="179" t="str">
        <f>CONCATENATE(تقویم!$A$2,HolidayTable[[#This Row],[روز و ماه]])</f>
        <v>1400</v>
      </c>
      <c r="Q117" s="150"/>
      <c r="R117" s="150"/>
      <c r="S117" s="179" t="str">
        <f>CONCATENATE(تقویم!$A$2,EventsTable[[#This Row],[روز و ماه]])</f>
        <v>1400</v>
      </c>
      <c r="U117" s="150"/>
      <c r="V117" s="150"/>
      <c r="X117" s="150"/>
      <c r="Y117" s="150"/>
      <c r="AA117" s="150"/>
      <c r="AB117" s="150"/>
    </row>
    <row r="118" spans="13:28" x14ac:dyDescent="0.25">
      <c r="M118" s="171"/>
      <c r="N118" s="163"/>
      <c r="O118" s="179" t="str">
        <f>CONCATENATE(تقویم!$A$2,HolidayTable[[#This Row],[روز و ماه]])</f>
        <v>1400</v>
      </c>
      <c r="Q118" s="150"/>
      <c r="R118" s="150"/>
      <c r="S118" s="179" t="str">
        <f>CONCATENATE(تقویم!$A$2,EventsTable[[#This Row],[روز و ماه]])</f>
        <v>1400</v>
      </c>
      <c r="U118" s="150"/>
      <c r="V118" s="150"/>
      <c r="X118" s="150"/>
      <c r="Y118" s="150"/>
      <c r="AA118" s="150"/>
      <c r="AB118" s="150"/>
    </row>
    <row r="119" spans="13:28" x14ac:dyDescent="0.25">
      <c r="M119" s="171"/>
      <c r="N119" s="163"/>
      <c r="O119" s="179" t="str">
        <f>CONCATENATE(تقویم!$A$2,HolidayTable[[#This Row],[روز و ماه]])</f>
        <v>1400</v>
      </c>
      <c r="Q119" s="150"/>
      <c r="R119" s="150"/>
      <c r="S119" s="179" t="str">
        <f>CONCATENATE(تقویم!$A$2,EventsTable[[#This Row],[روز و ماه]])</f>
        <v>1400</v>
      </c>
      <c r="U119" s="150"/>
      <c r="V119" s="150"/>
      <c r="X119" s="150"/>
      <c r="Y119" s="150"/>
      <c r="AA119" s="150"/>
      <c r="AB119" s="150"/>
    </row>
    <row r="120" spans="13:28" x14ac:dyDescent="0.25">
      <c r="M120" s="171"/>
      <c r="N120" s="163"/>
      <c r="O120" s="179" t="str">
        <f>CONCATENATE(تقویم!$A$2,HolidayTable[[#This Row],[روز و ماه]])</f>
        <v>1400</v>
      </c>
      <c r="Q120" s="150"/>
      <c r="R120" s="150"/>
      <c r="S120" s="179" t="str">
        <f>CONCATENATE(تقویم!$A$2,EventsTable[[#This Row],[روز و ماه]])</f>
        <v>1400</v>
      </c>
      <c r="U120" s="150"/>
      <c r="V120" s="150"/>
      <c r="X120" s="150"/>
      <c r="Y120" s="150"/>
      <c r="AA120" s="150"/>
      <c r="AB120" s="150"/>
    </row>
    <row r="121" spans="13:28" x14ac:dyDescent="0.25">
      <c r="M121" s="171"/>
      <c r="N121" s="163"/>
      <c r="O121" s="179" t="str">
        <f>CONCATENATE(تقویم!$A$2,HolidayTable[[#This Row],[روز و ماه]])</f>
        <v>1400</v>
      </c>
      <c r="Q121" s="150"/>
      <c r="R121" s="150"/>
      <c r="S121" s="179" t="str">
        <f>CONCATENATE(تقویم!$A$2,EventsTable[[#This Row],[روز و ماه]])</f>
        <v>1400</v>
      </c>
      <c r="U121" s="150"/>
      <c r="V121" s="150"/>
      <c r="X121" s="150"/>
      <c r="Y121" s="150"/>
      <c r="AA121" s="150"/>
      <c r="AB121" s="150"/>
    </row>
    <row r="122" spans="13:28" x14ac:dyDescent="0.25">
      <c r="M122" s="171"/>
      <c r="N122" s="163"/>
      <c r="O122" s="179" t="str">
        <f>CONCATENATE(تقویم!$A$2,HolidayTable[[#This Row],[روز و ماه]])</f>
        <v>1400</v>
      </c>
      <c r="Q122" s="150"/>
      <c r="R122" s="150"/>
      <c r="S122" s="179" t="str">
        <f>CONCATENATE(تقویم!$A$2,EventsTable[[#This Row],[روز و ماه]])</f>
        <v>1400</v>
      </c>
      <c r="U122" s="150"/>
      <c r="V122" s="150"/>
      <c r="X122" s="150"/>
      <c r="Y122" s="150"/>
      <c r="AA122" s="150"/>
      <c r="AB122" s="150"/>
    </row>
    <row r="123" spans="13:28" x14ac:dyDescent="0.25">
      <c r="M123" s="171"/>
      <c r="N123" s="163"/>
      <c r="O123" s="179" t="str">
        <f>CONCATENATE(تقویم!$A$2,HolidayTable[[#This Row],[روز و ماه]])</f>
        <v>1400</v>
      </c>
      <c r="Q123" s="150"/>
      <c r="R123" s="150"/>
      <c r="S123" s="179" t="str">
        <f>CONCATENATE(تقویم!$A$2,EventsTable[[#This Row],[روز و ماه]])</f>
        <v>1400</v>
      </c>
      <c r="U123" s="150"/>
      <c r="V123" s="150"/>
      <c r="X123" s="150"/>
      <c r="Y123" s="150"/>
      <c r="AA123" s="150"/>
      <c r="AB123" s="150"/>
    </row>
    <row r="124" spans="13:28" x14ac:dyDescent="0.25">
      <c r="M124" s="171"/>
      <c r="N124" s="163"/>
      <c r="O124" s="179" t="str">
        <f>CONCATENATE(تقویم!$A$2,HolidayTable[[#This Row],[روز و ماه]])</f>
        <v>1400</v>
      </c>
      <c r="Q124" s="150"/>
      <c r="R124" s="150"/>
      <c r="S124" s="179" t="str">
        <f>CONCATENATE(تقویم!$A$2,EventsTable[[#This Row],[روز و ماه]])</f>
        <v>1400</v>
      </c>
      <c r="U124" s="150"/>
      <c r="V124" s="150"/>
      <c r="X124" s="150"/>
      <c r="Y124" s="150"/>
      <c r="AA124" s="150"/>
      <c r="AB124" s="150"/>
    </row>
    <row r="125" spans="13:28" x14ac:dyDescent="0.25">
      <c r="M125" s="171"/>
      <c r="N125" s="163"/>
      <c r="O125" s="179" t="str">
        <f>CONCATENATE(تقویم!$A$2,HolidayTable[[#This Row],[روز و ماه]])</f>
        <v>1400</v>
      </c>
      <c r="Q125" s="150"/>
      <c r="R125" s="150"/>
      <c r="S125" s="179" t="str">
        <f>CONCATENATE(تقویم!$A$2,EventsTable[[#This Row],[روز و ماه]])</f>
        <v>1400</v>
      </c>
      <c r="U125" s="150"/>
      <c r="V125" s="150"/>
      <c r="X125" s="150"/>
      <c r="Y125" s="150"/>
      <c r="AA125" s="150"/>
      <c r="AB125" s="150"/>
    </row>
    <row r="126" spans="13:28" x14ac:dyDescent="0.25">
      <c r="M126" s="171"/>
      <c r="N126" s="163"/>
      <c r="O126" s="179" t="str">
        <f>CONCATENATE(تقویم!$A$2,HolidayTable[[#This Row],[روز و ماه]])</f>
        <v>1400</v>
      </c>
      <c r="Q126" s="150"/>
      <c r="R126" s="150"/>
      <c r="S126" s="179" t="str">
        <f>CONCATENATE(تقویم!$A$2,EventsTable[[#This Row],[روز و ماه]])</f>
        <v>1400</v>
      </c>
      <c r="U126" s="150"/>
      <c r="V126" s="150"/>
      <c r="X126" s="150"/>
      <c r="Y126" s="150"/>
      <c r="AA126" s="150"/>
      <c r="AB126" s="150"/>
    </row>
    <row r="127" spans="13:28" x14ac:dyDescent="0.25">
      <c r="M127" s="171"/>
      <c r="N127" s="163"/>
      <c r="O127" s="179" t="str">
        <f>CONCATENATE(تقویم!$A$2,HolidayTable[[#This Row],[روز و ماه]])</f>
        <v>1400</v>
      </c>
      <c r="Q127" s="150"/>
      <c r="R127" s="150"/>
      <c r="S127" s="179" t="str">
        <f>CONCATENATE(تقویم!$A$2,EventsTable[[#This Row],[روز و ماه]])</f>
        <v>1400</v>
      </c>
      <c r="U127" s="150"/>
      <c r="V127" s="150"/>
      <c r="X127" s="150"/>
      <c r="Y127" s="150"/>
      <c r="AA127" s="150"/>
      <c r="AB127" s="150"/>
    </row>
    <row r="128" spans="13:28" x14ac:dyDescent="0.25">
      <c r="M128" s="171"/>
      <c r="N128" s="163"/>
      <c r="O128" s="179" t="str">
        <f>CONCATENATE(تقویم!$A$2,HolidayTable[[#This Row],[روز و ماه]])</f>
        <v>1400</v>
      </c>
      <c r="Q128" s="150"/>
      <c r="R128" s="150"/>
      <c r="S128" s="179" t="str">
        <f>CONCATENATE(تقویم!$A$2,EventsTable[[#This Row],[روز و ماه]])</f>
        <v>1400</v>
      </c>
      <c r="U128" s="150"/>
      <c r="V128" s="150"/>
      <c r="X128" s="150"/>
      <c r="Y128" s="150"/>
      <c r="AA128" s="150"/>
      <c r="AB128" s="150"/>
    </row>
    <row r="129" spans="13:28" x14ac:dyDescent="0.25">
      <c r="M129" s="171"/>
      <c r="N129" s="163"/>
      <c r="O129" s="179" t="str">
        <f>CONCATENATE(تقویم!$A$2,HolidayTable[[#This Row],[روز و ماه]])</f>
        <v>1400</v>
      </c>
      <c r="Q129" s="150"/>
      <c r="R129" s="150"/>
      <c r="S129" s="179" t="str">
        <f>CONCATENATE(تقویم!$A$2,EventsTable[[#This Row],[روز و ماه]])</f>
        <v>1400</v>
      </c>
      <c r="U129" s="150"/>
      <c r="V129" s="150"/>
      <c r="X129" s="150"/>
      <c r="Y129" s="150"/>
      <c r="AA129" s="150"/>
      <c r="AB129" s="150"/>
    </row>
    <row r="130" spans="13:28" x14ac:dyDescent="0.25">
      <c r="M130" s="171"/>
      <c r="N130" s="163"/>
      <c r="O130" s="179" t="str">
        <f>CONCATENATE(تقویم!$A$2,HolidayTable[[#This Row],[روز و ماه]])</f>
        <v>1400</v>
      </c>
      <c r="Q130" s="150"/>
      <c r="R130" s="150"/>
      <c r="S130" s="179" t="str">
        <f>CONCATENATE(تقویم!$A$2,EventsTable[[#This Row],[روز و ماه]])</f>
        <v>1400</v>
      </c>
      <c r="U130" s="150"/>
      <c r="V130" s="150"/>
      <c r="X130" s="150"/>
      <c r="Y130" s="150"/>
      <c r="AA130" s="150"/>
      <c r="AB130" s="150"/>
    </row>
    <row r="131" spans="13:28" x14ac:dyDescent="0.25">
      <c r="M131" s="171"/>
      <c r="N131" s="163"/>
      <c r="O131" s="179" t="str">
        <f>CONCATENATE(تقویم!$A$2,HolidayTable[[#This Row],[روز و ماه]])</f>
        <v>1400</v>
      </c>
      <c r="Q131" s="150"/>
      <c r="R131" s="150"/>
      <c r="S131" s="179" t="str">
        <f>CONCATENATE(تقویم!$A$2,EventsTable[[#This Row],[روز و ماه]])</f>
        <v>1400</v>
      </c>
      <c r="U131" s="150"/>
      <c r="V131" s="150"/>
      <c r="X131" s="150"/>
      <c r="Y131" s="150"/>
      <c r="AA131" s="150"/>
      <c r="AB131" s="150"/>
    </row>
    <row r="132" spans="13:28" x14ac:dyDescent="0.25">
      <c r="M132" s="171"/>
      <c r="N132" s="163"/>
      <c r="O132" s="179" t="str">
        <f>CONCATENATE(تقویم!$A$2,HolidayTable[[#This Row],[روز و ماه]])</f>
        <v>1400</v>
      </c>
      <c r="Q132" s="150"/>
      <c r="R132" s="150"/>
      <c r="S132" s="179" t="str">
        <f>CONCATENATE(تقویم!$A$2,EventsTable[[#This Row],[روز و ماه]])</f>
        <v>1400</v>
      </c>
      <c r="U132" s="150"/>
      <c r="V132" s="150"/>
      <c r="X132" s="150"/>
      <c r="Y132" s="150"/>
      <c r="AA132" s="150"/>
      <c r="AB132" s="150"/>
    </row>
    <row r="133" spans="13:28" x14ac:dyDescent="0.25">
      <c r="M133" s="171"/>
      <c r="N133" s="163"/>
      <c r="O133" s="179" t="str">
        <f>CONCATENATE(تقویم!$A$2,HolidayTable[[#This Row],[روز و ماه]])</f>
        <v>1400</v>
      </c>
      <c r="Q133" s="150"/>
      <c r="R133" s="150"/>
      <c r="S133" s="179" t="str">
        <f>CONCATENATE(تقویم!$A$2,EventsTable[[#This Row],[روز و ماه]])</f>
        <v>1400</v>
      </c>
      <c r="U133" s="150"/>
      <c r="V133" s="150"/>
      <c r="X133" s="150"/>
      <c r="Y133" s="150"/>
      <c r="AA133" s="150"/>
      <c r="AB133" s="150"/>
    </row>
    <row r="134" spans="13:28" x14ac:dyDescent="0.25">
      <c r="M134" s="171"/>
      <c r="N134" s="163"/>
      <c r="O134" s="179" t="str">
        <f>CONCATENATE(تقویم!$A$2,HolidayTable[[#This Row],[روز و ماه]])</f>
        <v>1400</v>
      </c>
      <c r="Q134" s="150"/>
      <c r="R134" s="150"/>
      <c r="S134" s="179" t="str">
        <f>CONCATENATE(تقویم!$A$2,EventsTable[[#This Row],[روز و ماه]])</f>
        <v>1400</v>
      </c>
      <c r="U134" s="150"/>
      <c r="V134" s="150"/>
      <c r="X134" s="150"/>
      <c r="Y134" s="150"/>
      <c r="AA134" s="150"/>
      <c r="AB134" s="150"/>
    </row>
    <row r="135" spans="13:28" x14ac:dyDescent="0.25">
      <c r="M135" s="171"/>
      <c r="N135" s="163"/>
      <c r="O135" s="179" t="str">
        <f>CONCATENATE(تقویم!$A$2,HolidayTable[[#This Row],[روز و ماه]])</f>
        <v>1400</v>
      </c>
      <c r="Q135" s="150"/>
      <c r="R135" s="150"/>
      <c r="S135" s="179" t="str">
        <f>CONCATENATE(تقویم!$A$2,EventsTable[[#This Row],[روز و ماه]])</f>
        <v>1400</v>
      </c>
      <c r="U135" s="150"/>
      <c r="V135" s="150"/>
      <c r="X135" s="150"/>
      <c r="Y135" s="150"/>
      <c r="AA135" s="150"/>
      <c r="AB135" s="150"/>
    </row>
    <row r="136" spans="13:28" x14ac:dyDescent="0.25">
      <c r="M136" s="171"/>
      <c r="N136" s="163"/>
      <c r="O136" s="179" t="str">
        <f>CONCATENATE(تقویم!$A$2,HolidayTable[[#This Row],[روز و ماه]])</f>
        <v>1400</v>
      </c>
      <c r="Q136" s="150"/>
      <c r="R136" s="150"/>
      <c r="S136" s="179" t="str">
        <f>CONCATENATE(تقویم!$A$2,EventsTable[[#This Row],[روز و ماه]])</f>
        <v>1400</v>
      </c>
      <c r="U136" s="150"/>
      <c r="V136" s="150"/>
      <c r="X136" s="150"/>
      <c r="Y136" s="150"/>
      <c r="AA136" s="150"/>
      <c r="AB136" s="150"/>
    </row>
    <row r="137" spans="13:28" x14ac:dyDescent="0.25">
      <c r="M137" s="171"/>
      <c r="N137" s="163"/>
      <c r="O137" s="179" t="str">
        <f>CONCATENATE(تقویم!$A$2,HolidayTable[[#This Row],[روز و ماه]])</f>
        <v>1400</v>
      </c>
      <c r="Q137" s="150"/>
      <c r="R137" s="150"/>
      <c r="S137" s="179" t="str">
        <f>CONCATENATE(تقویم!$A$2,EventsTable[[#This Row],[روز و ماه]])</f>
        <v>1400</v>
      </c>
      <c r="U137" s="150"/>
      <c r="V137" s="150"/>
      <c r="X137" s="150"/>
      <c r="Y137" s="150"/>
      <c r="AA137" s="150"/>
      <c r="AB137" s="150"/>
    </row>
    <row r="138" spans="13:28" x14ac:dyDescent="0.25">
      <c r="M138" s="171"/>
      <c r="N138" s="163"/>
      <c r="O138" s="179" t="str">
        <f>CONCATENATE(تقویم!$A$2,HolidayTable[[#This Row],[روز و ماه]])</f>
        <v>1400</v>
      </c>
      <c r="Q138" s="150"/>
      <c r="R138" s="150"/>
      <c r="S138" s="179" t="str">
        <f>CONCATENATE(تقویم!$A$2,EventsTable[[#This Row],[روز و ماه]])</f>
        <v>1400</v>
      </c>
      <c r="U138" s="150"/>
      <c r="V138" s="150"/>
      <c r="X138" s="150"/>
      <c r="Y138" s="150"/>
      <c r="AA138" s="150"/>
      <c r="AB138" s="150"/>
    </row>
    <row r="139" spans="13:28" x14ac:dyDescent="0.25">
      <c r="M139" s="171"/>
      <c r="N139" s="163"/>
      <c r="O139" s="179" t="str">
        <f>CONCATENATE(تقویم!$A$2,HolidayTable[[#This Row],[روز و ماه]])</f>
        <v>1400</v>
      </c>
      <c r="Q139" s="150"/>
      <c r="R139" s="150"/>
      <c r="S139" s="179" t="str">
        <f>CONCATENATE(تقویم!$A$2,EventsTable[[#This Row],[روز و ماه]])</f>
        <v>1400</v>
      </c>
      <c r="U139" s="150"/>
      <c r="V139" s="150"/>
      <c r="X139" s="150"/>
      <c r="Y139" s="150"/>
      <c r="AA139" s="150"/>
      <c r="AB139" s="150"/>
    </row>
    <row r="140" spans="13:28" x14ac:dyDescent="0.25">
      <c r="M140" s="171"/>
      <c r="N140" s="163"/>
      <c r="O140" s="179" t="str">
        <f>CONCATENATE(تقویم!$A$2,HolidayTable[[#This Row],[روز و ماه]])</f>
        <v>1400</v>
      </c>
      <c r="Q140" s="150"/>
      <c r="R140" s="150"/>
      <c r="S140" s="179" t="str">
        <f>CONCATENATE(تقویم!$A$2,EventsTable[[#This Row],[روز و ماه]])</f>
        <v>1400</v>
      </c>
      <c r="U140" s="150"/>
      <c r="V140" s="150"/>
      <c r="X140" s="150"/>
      <c r="Y140" s="150"/>
      <c r="AA140" s="150"/>
      <c r="AB140" s="150"/>
    </row>
    <row r="141" spans="13:28" x14ac:dyDescent="0.25">
      <c r="M141" s="171"/>
      <c r="N141" s="163"/>
      <c r="O141" s="179" t="str">
        <f>CONCATENATE(تقویم!$A$2,HolidayTable[[#This Row],[روز و ماه]])</f>
        <v>1400</v>
      </c>
      <c r="Q141" s="150"/>
      <c r="R141" s="150"/>
      <c r="S141" s="179" t="str">
        <f>CONCATENATE(تقویم!$A$2,EventsTable[[#This Row],[روز و ماه]])</f>
        <v>1400</v>
      </c>
      <c r="U141" s="150"/>
      <c r="V141" s="150"/>
      <c r="X141" s="150"/>
      <c r="Y141" s="150"/>
      <c r="AA141" s="150"/>
      <c r="AB141" s="150"/>
    </row>
    <row r="142" spans="13:28" x14ac:dyDescent="0.25">
      <c r="M142" s="171"/>
      <c r="N142" s="163"/>
      <c r="O142" s="179" t="str">
        <f>CONCATENATE(تقویم!$A$2,HolidayTable[[#This Row],[روز و ماه]])</f>
        <v>1400</v>
      </c>
      <c r="Q142" s="150"/>
      <c r="R142" s="150"/>
      <c r="S142" s="179" t="str">
        <f>CONCATENATE(تقویم!$A$2,EventsTable[[#This Row],[روز و ماه]])</f>
        <v>1400</v>
      </c>
      <c r="U142" s="150"/>
      <c r="V142" s="150"/>
      <c r="X142" s="150"/>
      <c r="Y142" s="150"/>
      <c r="AA142" s="150"/>
      <c r="AB142" s="150"/>
    </row>
    <row r="143" spans="13:28" x14ac:dyDescent="0.25">
      <c r="M143" s="171"/>
      <c r="N143" s="163"/>
      <c r="O143" s="179" t="str">
        <f>CONCATENATE(تقویم!$A$2,HolidayTable[[#This Row],[روز و ماه]])</f>
        <v>1400</v>
      </c>
      <c r="Q143" s="150"/>
      <c r="R143" s="150"/>
      <c r="S143" s="179" t="str">
        <f>CONCATENATE(تقویم!$A$2,EventsTable[[#This Row],[روز و ماه]])</f>
        <v>1400</v>
      </c>
      <c r="U143" s="150"/>
      <c r="V143" s="150"/>
      <c r="X143" s="150"/>
      <c r="Y143" s="150"/>
      <c r="AA143" s="150"/>
      <c r="AB143" s="150"/>
    </row>
    <row r="144" spans="13:28" x14ac:dyDescent="0.25">
      <c r="M144" s="171"/>
      <c r="N144" s="163"/>
      <c r="O144" s="179" t="str">
        <f>CONCATENATE(تقویم!$A$2,HolidayTable[[#This Row],[روز و ماه]])</f>
        <v>1400</v>
      </c>
      <c r="Q144" s="150"/>
      <c r="R144" s="150"/>
      <c r="S144" s="179" t="str">
        <f>CONCATENATE(تقویم!$A$2,EventsTable[[#This Row],[روز و ماه]])</f>
        <v>1400</v>
      </c>
      <c r="U144" s="150"/>
      <c r="V144" s="150"/>
      <c r="X144" s="150"/>
      <c r="Y144" s="150"/>
      <c r="AA144" s="150"/>
      <c r="AB144" s="150"/>
    </row>
    <row r="145" spans="13:28" x14ac:dyDescent="0.25">
      <c r="M145" s="171"/>
      <c r="N145" s="163"/>
      <c r="O145" s="179" t="str">
        <f>CONCATENATE(تقویم!$A$2,HolidayTable[[#This Row],[روز و ماه]])</f>
        <v>1400</v>
      </c>
      <c r="Q145" s="150"/>
      <c r="R145" s="150"/>
      <c r="S145" s="179" t="str">
        <f>CONCATENATE(تقویم!$A$2,EventsTable[[#This Row],[روز و ماه]])</f>
        <v>1400</v>
      </c>
      <c r="U145" s="150"/>
      <c r="V145" s="150"/>
      <c r="X145" s="150"/>
      <c r="Y145" s="150"/>
      <c r="AA145" s="150"/>
      <c r="AB145" s="150"/>
    </row>
    <row r="146" spans="13:28" x14ac:dyDescent="0.25">
      <c r="M146" s="171"/>
      <c r="N146" s="163"/>
      <c r="O146" s="179" t="str">
        <f>CONCATENATE(تقویم!$A$2,HolidayTable[[#This Row],[روز و ماه]])</f>
        <v>1400</v>
      </c>
      <c r="Q146" s="150"/>
      <c r="R146" s="150"/>
      <c r="S146" s="179" t="str">
        <f>CONCATENATE(تقویم!$A$2,EventsTable[[#This Row],[روز و ماه]])</f>
        <v>1400</v>
      </c>
      <c r="U146" s="150"/>
      <c r="V146" s="150"/>
      <c r="X146" s="150"/>
      <c r="Y146" s="150"/>
      <c r="AA146" s="150"/>
      <c r="AB146" s="150"/>
    </row>
    <row r="147" spans="13:28" x14ac:dyDescent="0.25">
      <c r="M147" s="171"/>
      <c r="N147" s="163"/>
      <c r="O147" s="179" t="str">
        <f>CONCATENATE(تقویم!$A$2,HolidayTable[[#This Row],[روز و ماه]])</f>
        <v>1400</v>
      </c>
      <c r="Q147" s="150"/>
      <c r="R147" s="150"/>
      <c r="S147" s="179" t="str">
        <f>CONCATENATE(تقویم!$A$2,EventsTable[[#This Row],[روز و ماه]])</f>
        <v>1400</v>
      </c>
      <c r="U147" s="150"/>
      <c r="V147" s="150"/>
      <c r="X147" s="150"/>
      <c r="Y147" s="150"/>
      <c r="AA147" s="150"/>
      <c r="AB147" s="150"/>
    </row>
    <row r="148" spans="13:28" x14ac:dyDescent="0.25">
      <c r="M148" s="171"/>
      <c r="N148" s="163"/>
      <c r="O148" s="179" t="str">
        <f>CONCATENATE(تقویم!$A$2,HolidayTable[[#This Row],[روز و ماه]])</f>
        <v>1400</v>
      </c>
      <c r="Q148" s="150"/>
      <c r="R148" s="150"/>
      <c r="S148" s="179" t="str">
        <f>CONCATENATE(تقویم!$A$2,EventsTable[[#This Row],[روز و ماه]])</f>
        <v>1400</v>
      </c>
      <c r="U148" s="150"/>
      <c r="V148" s="150"/>
      <c r="X148" s="150"/>
      <c r="Y148" s="150"/>
      <c r="AA148" s="150"/>
      <c r="AB148" s="150"/>
    </row>
    <row r="149" spans="13:28" x14ac:dyDescent="0.25">
      <c r="M149" s="171"/>
      <c r="N149" s="163"/>
      <c r="O149" s="179" t="str">
        <f>CONCATENATE(تقویم!$A$2,HolidayTable[[#This Row],[روز و ماه]])</f>
        <v>1400</v>
      </c>
      <c r="Q149" s="150"/>
      <c r="R149" s="150"/>
      <c r="S149" s="179" t="str">
        <f>CONCATENATE(تقویم!$A$2,EventsTable[[#This Row],[روز و ماه]])</f>
        <v>1400</v>
      </c>
      <c r="U149" s="150"/>
      <c r="V149" s="150"/>
      <c r="X149" s="150"/>
      <c r="Y149" s="150"/>
      <c r="AA149" s="150"/>
      <c r="AB149" s="150"/>
    </row>
    <row r="150" spans="13:28" x14ac:dyDescent="0.25">
      <c r="M150" s="171"/>
      <c r="N150" s="163"/>
      <c r="O150" s="179" t="str">
        <f>CONCATENATE(تقویم!$A$2,HolidayTable[[#This Row],[روز و ماه]])</f>
        <v>1400</v>
      </c>
      <c r="Q150" s="150"/>
      <c r="R150" s="150"/>
      <c r="S150" s="179" t="str">
        <f>CONCATENATE(تقویم!$A$2,EventsTable[[#This Row],[روز و ماه]])</f>
        <v>1400</v>
      </c>
      <c r="U150" s="150"/>
      <c r="V150" s="150"/>
      <c r="X150" s="150"/>
      <c r="Y150" s="150"/>
      <c r="AA150" s="150"/>
      <c r="AB150" s="150"/>
    </row>
    <row r="151" spans="13:28" x14ac:dyDescent="0.25">
      <c r="M151" s="171"/>
      <c r="N151" s="163"/>
      <c r="O151" s="179" t="str">
        <f>CONCATENATE(تقویم!$A$2,HolidayTable[[#This Row],[روز و ماه]])</f>
        <v>1400</v>
      </c>
      <c r="Q151" s="150"/>
      <c r="R151" s="150"/>
      <c r="S151" s="179" t="str">
        <f>CONCATENATE(تقویم!$A$2,EventsTable[[#This Row],[روز و ماه]])</f>
        <v>1400</v>
      </c>
      <c r="U151" s="150"/>
      <c r="V151" s="150"/>
      <c r="X151" s="150"/>
      <c r="Y151" s="150"/>
      <c r="AA151" s="150"/>
      <c r="AB151" s="150"/>
    </row>
    <row r="152" spans="13:28" x14ac:dyDescent="0.25">
      <c r="M152" s="171"/>
      <c r="N152" s="163"/>
      <c r="O152" s="179" t="str">
        <f>CONCATENATE(تقویم!$A$2,HolidayTable[[#This Row],[روز و ماه]])</f>
        <v>1400</v>
      </c>
      <c r="Q152" s="150"/>
      <c r="R152" s="150"/>
      <c r="S152" s="179" t="str">
        <f>CONCATENATE(تقویم!$A$2,EventsTable[[#This Row],[روز و ماه]])</f>
        <v>1400</v>
      </c>
      <c r="U152" s="150"/>
      <c r="V152" s="150"/>
      <c r="X152" s="150"/>
      <c r="Y152" s="150"/>
      <c r="AA152" s="150"/>
      <c r="AB152" s="150"/>
    </row>
    <row r="153" spans="13:28" x14ac:dyDescent="0.25">
      <c r="M153" s="171"/>
      <c r="N153" s="163"/>
      <c r="O153" s="179" t="str">
        <f>CONCATENATE(تقویم!$A$2,HolidayTable[[#This Row],[روز و ماه]])</f>
        <v>1400</v>
      </c>
      <c r="Q153" s="150"/>
      <c r="R153" s="150"/>
      <c r="S153" s="179" t="str">
        <f>CONCATENATE(تقویم!$A$2,EventsTable[[#This Row],[روز و ماه]])</f>
        <v>1400</v>
      </c>
      <c r="U153" s="150"/>
      <c r="V153" s="150"/>
      <c r="X153" s="150"/>
      <c r="Y153" s="150"/>
      <c r="AA153" s="150"/>
      <c r="AB153" s="150"/>
    </row>
    <row r="154" spans="13:28" x14ac:dyDescent="0.25">
      <c r="M154" s="171"/>
      <c r="N154" s="163"/>
      <c r="O154" s="179" t="str">
        <f>CONCATENATE(تقویم!$A$2,HolidayTable[[#This Row],[روز و ماه]])</f>
        <v>1400</v>
      </c>
      <c r="Q154" s="150"/>
      <c r="R154" s="150"/>
      <c r="S154" s="179" t="str">
        <f>CONCATENATE(تقویم!$A$2,EventsTable[[#This Row],[روز و ماه]])</f>
        <v>1400</v>
      </c>
      <c r="U154" s="150"/>
      <c r="V154" s="150"/>
      <c r="X154" s="150"/>
      <c r="Y154" s="150"/>
      <c r="AA154" s="150"/>
      <c r="AB154" s="150"/>
    </row>
    <row r="155" spans="13:28" x14ac:dyDescent="0.25">
      <c r="M155" s="171"/>
      <c r="N155" s="163"/>
      <c r="O155" s="179" t="str">
        <f>CONCATENATE(تقویم!$A$2,HolidayTable[[#This Row],[روز و ماه]])</f>
        <v>1400</v>
      </c>
      <c r="Q155" s="150"/>
      <c r="R155" s="150"/>
      <c r="S155" s="179" t="str">
        <f>CONCATENATE(تقویم!$A$2,EventsTable[[#This Row],[روز و ماه]])</f>
        <v>1400</v>
      </c>
      <c r="U155" s="150"/>
      <c r="V155" s="150"/>
      <c r="X155" s="150"/>
      <c r="Y155" s="150"/>
      <c r="AA155" s="150"/>
      <c r="AB155" s="150"/>
    </row>
    <row r="156" spans="13:28" x14ac:dyDescent="0.25">
      <c r="M156" s="171"/>
      <c r="N156" s="163"/>
      <c r="O156" s="179" t="str">
        <f>CONCATENATE(تقویم!$A$2,HolidayTable[[#This Row],[روز و ماه]])</f>
        <v>1400</v>
      </c>
      <c r="Q156" s="150"/>
      <c r="R156" s="150"/>
      <c r="S156" s="179" t="str">
        <f>CONCATENATE(تقویم!$A$2,EventsTable[[#This Row],[روز و ماه]])</f>
        <v>1400</v>
      </c>
      <c r="U156" s="150"/>
      <c r="V156" s="150"/>
      <c r="X156" s="150"/>
      <c r="Y156" s="150"/>
      <c r="AA156" s="150"/>
      <c r="AB156" s="150"/>
    </row>
    <row r="157" spans="13:28" x14ac:dyDescent="0.25">
      <c r="M157" s="171"/>
      <c r="N157" s="163"/>
      <c r="O157" s="179" t="str">
        <f>CONCATENATE(تقویم!$A$2,HolidayTable[[#This Row],[روز و ماه]])</f>
        <v>1400</v>
      </c>
      <c r="Q157" s="150"/>
      <c r="R157" s="150"/>
      <c r="S157" s="179" t="str">
        <f>CONCATENATE(تقویم!$A$2,EventsTable[[#This Row],[روز و ماه]])</f>
        <v>1400</v>
      </c>
      <c r="U157" s="150"/>
      <c r="V157" s="150"/>
      <c r="X157" s="150"/>
      <c r="Y157" s="150"/>
      <c r="AA157" s="150"/>
      <c r="AB157" s="150"/>
    </row>
    <row r="158" spans="13:28" x14ac:dyDescent="0.25">
      <c r="M158" s="171"/>
      <c r="N158" s="163"/>
      <c r="O158" s="179" t="str">
        <f>CONCATENATE(تقویم!$A$2,HolidayTable[[#This Row],[روز و ماه]])</f>
        <v>1400</v>
      </c>
      <c r="Q158" s="150"/>
      <c r="R158" s="150"/>
      <c r="S158" s="179" t="str">
        <f>CONCATENATE(تقویم!$A$2,EventsTable[[#This Row],[روز و ماه]])</f>
        <v>1400</v>
      </c>
      <c r="U158" s="150"/>
      <c r="V158" s="150"/>
      <c r="X158" s="150"/>
      <c r="Y158" s="150"/>
      <c r="AA158" s="150"/>
      <c r="AB158" s="150"/>
    </row>
    <row r="159" spans="13:28" x14ac:dyDescent="0.25">
      <c r="M159" s="171"/>
      <c r="N159" s="163"/>
      <c r="O159" s="179" t="str">
        <f>CONCATENATE(تقویم!$A$2,HolidayTable[[#This Row],[روز و ماه]])</f>
        <v>1400</v>
      </c>
      <c r="Q159" s="150"/>
      <c r="R159" s="150"/>
      <c r="S159" s="179" t="str">
        <f>CONCATENATE(تقویم!$A$2,EventsTable[[#This Row],[روز و ماه]])</f>
        <v>1400</v>
      </c>
      <c r="U159" s="150"/>
      <c r="V159" s="150"/>
      <c r="X159" s="150"/>
      <c r="Y159" s="150"/>
      <c r="AA159" s="150"/>
      <c r="AB159" s="150"/>
    </row>
    <row r="160" spans="13:28" x14ac:dyDescent="0.25">
      <c r="M160" s="171"/>
      <c r="N160" s="163"/>
      <c r="O160" s="179" t="str">
        <f>CONCATENATE(تقویم!$A$2,HolidayTable[[#This Row],[روز و ماه]])</f>
        <v>1400</v>
      </c>
      <c r="Q160" s="150"/>
      <c r="R160" s="150"/>
      <c r="S160" s="179" t="str">
        <f>CONCATENATE(تقویم!$A$2,EventsTable[[#This Row],[روز و ماه]])</f>
        <v>1400</v>
      </c>
      <c r="U160" s="150"/>
      <c r="V160" s="150"/>
      <c r="X160" s="150"/>
      <c r="Y160" s="150"/>
      <c r="AA160" s="150"/>
      <c r="AB160" s="150"/>
    </row>
    <row r="161" spans="13:28" x14ac:dyDescent="0.25">
      <c r="M161" s="171"/>
      <c r="N161" s="163"/>
      <c r="O161" s="179" t="str">
        <f>CONCATENATE(تقویم!$A$2,HolidayTable[[#This Row],[روز و ماه]])</f>
        <v>1400</v>
      </c>
      <c r="Q161" s="150"/>
      <c r="R161" s="150"/>
      <c r="S161" s="179" t="str">
        <f>CONCATENATE(تقویم!$A$2,EventsTable[[#This Row],[روز و ماه]])</f>
        <v>1400</v>
      </c>
      <c r="U161" s="150"/>
      <c r="V161" s="150"/>
      <c r="X161" s="150"/>
      <c r="Y161" s="150"/>
      <c r="AA161" s="150"/>
      <c r="AB161" s="150"/>
    </row>
    <row r="162" spans="13:28" x14ac:dyDescent="0.25">
      <c r="M162" s="171"/>
      <c r="N162" s="163"/>
      <c r="O162" s="179" t="str">
        <f>CONCATENATE(تقویم!$A$2,HolidayTable[[#This Row],[روز و ماه]])</f>
        <v>1400</v>
      </c>
      <c r="Q162" s="150"/>
      <c r="R162" s="150"/>
      <c r="S162" s="179" t="str">
        <f>CONCATENATE(تقویم!$A$2,EventsTable[[#This Row],[روز و ماه]])</f>
        <v>1400</v>
      </c>
      <c r="U162" s="150"/>
      <c r="V162" s="150"/>
      <c r="X162" s="150"/>
      <c r="Y162" s="150"/>
      <c r="AA162" s="150"/>
      <c r="AB162" s="150"/>
    </row>
    <row r="163" spans="13:28" x14ac:dyDescent="0.25">
      <c r="M163" s="171"/>
      <c r="N163" s="163"/>
      <c r="O163" s="179" t="str">
        <f>CONCATENATE(تقویم!$A$2,HolidayTable[[#This Row],[روز و ماه]])</f>
        <v>1400</v>
      </c>
      <c r="Q163" s="150"/>
      <c r="R163" s="150"/>
      <c r="S163" s="179" t="str">
        <f>CONCATENATE(تقویم!$A$2,EventsTable[[#This Row],[روز و ماه]])</f>
        <v>1400</v>
      </c>
      <c r="U163" s="150"/>
      <c r="V163" s="150"/>
      <c r="X163" s="150"/>
      <c r="Y163" s="150"/>
      <c r="AA163" s="150"/>
      <c r="AB163" s="150"/>
    </row>
    <row r="164" spans="13:28" x14ac:dyDescent="0.25">
      <c r="M164" s="171"/>
      <c r="N164" s="163"/>
      <c r="O164" s="179" t="str">
        <f>CONCATENATE(تقویم!$A$2,HolidayTable[[#This Row],[روز و ماه]])</f>
        <v>1400</v>
      </c>
      <c r="Q164" s="150"/>
      <c r="R164" s="150"/>
      <c r="S164" s="179" t="str">
        <f>CONCATENATE(تقویم!$A$2,EventsTable[[#This Row],[روز و ماه]])</f>
        <v>1400</v>
      </c>
      <c r="U164" s="150"/>
      <c r="V164" s="150"/>
      <c r="X164" s="150"/>
      <c r="Y164" s="150"/>
      <c r="AA164" s="150"/>
      <c r="AB164" s="150"/>
    </row>
    <row r="165" spans="13:28" x14ac:dyDescent="0.25">
      <c r="M165" s="171"/>
      <c r="N165" s="163"/>
      <c r="O165" s="179" t="str">
        <f>CONCATENATE(تقویم!$A$2,HolidayTable[[#This Row],[روز و ماه]])</f>
        <v>1400</v>
      </c>
      <c r="Q165" s="150"/>
      <c r="R165" s="150"/>
      <c r="S165" s="179" t="str">
        <f>CONCATENATE(تقویم!$A$2,EventsTable[[#This Row],[روز و ماه]])</f>
        <v>1400</v>
      </c>
      <c r="U165" s="150"/>
      <c r="V165" s="150"/>
      <c r="X165" s="150"/>
      <c r="Y165" s="150"/>
      <c r="AA165" s="150"/>
      <c r="AB165" s="150"/>
    </row>
    <row r="166" spans="13:28" x14ac:dyDescent="0.25">
      <c r="M166" s="171"/>
      <c r="N166" s="163"/>
      <c r="O166" s="179" t="str">
        <f>CONCATENATE(تقویم!$A$2,HolidayTable[[#This Row],[روز و ماه]])</f>
        <v>1400</v>
      </c>
      <c r="Q166" s="150"/>
      <c r="R166" s="150"/>
      <c r="S166" s="179" t="str">
        <f>CONCATENATE(تقویم!$A$2,EventsTable[[#This Row],[روز و ماه]])</f>
        <v>1400</v>
      </c>
      <c r="U166" s="150"/>
      <c r="V166" s="150"/>
      <c r="X166" s="150"/>
      <c r="Y166" s="150"/>
      <c r="AA166" s="150"/>
      <c r="AB166" s="150"/>
    </row>
    <row r="167" spans="13:28" x14ac:dyDescent="0.25">
      <c r="M167" s="171"/>
      <c r="N167" s="163"/>
      <c r="O167" s="179" t="str">
        <f>CONCATENATE(تقویم!$A$2,HolidayTable[[#This Row],[روز و ماه]])</f>
        <v>1400</v>
      </c>
      <c r="Q167" s="150"/>
      <c r="R167" s="150"/>
      <c r="S167" s="179" t="str">
        <f>CONCATENATE(تقویم!$A$2,EventsTable[[#This Row],[روز و ماه]])</f>
        <v>1400</v>
      </c>
      <c r="U167" s="150"/>
      <c r="V167" s="150"/>
      <c r="X167" s="150"/>
      <c r="Y167" s="150"/>
      <c r="AA167" s="150"/>
      <c r="AB167" s="150"/>
    </row>
    <row r="168" spans="13:28" x14ac:dyDescent="0.25">
      <c r="M168" s="171"/>
      <c r="N168" s="163"/>
      <c r="O168" s="179" t="str">
        <f>CONCATENATE(تقویم!$A$2,HolidayTable[[#This Row],[روز و ماه]])</f>
        <v>1400</v>
      </c>
      <c r="Q168" s="150"/>
      <c r="R168" s="150"/>
      <c r="S168" s="179" t="str">
        <f>CONCATENATE(تقویم!$A$2,EventsTable[[#This Row],[روز و ماه]])</f>
        <v>1400</v>
      </c>
      <c r="U168" s="150"/>
      <c r="V168" s="150"/>
      <c r="X168" s="150"/>
      <c r="Y168" s="150"/>
      <c r="AA168" s="150"/>
      <c r="AB168" s="150"/>
    </row>
    <row r="169" spans="13:28" x14ac:dyDescent="0.25">
      <c r="M169" s="171"/>
      <c r="N169" s="163"/>
      <c r="O169" s="179" t="str">
        <f>CONCATENATE(تقویم!$A$2,HolidayTable[[#This Row],[روز و ماه]])</f>
        <v>1400</v>
      </c>
      <c r="Q169" s="150"/>
      <c r="R169" s="150"/>
      <c r="S169" s="179" t="str">
        <f>CONCATENATE(تقویم!$A$2,EventsTable[[#This Row],[روز و ماه]])</f>
        <v>1400</v>
      </c>
      <c r="U169" s="150"/>
      <c r="V169" s="150"/>
      <c r="X169" s="150"/>
      <c r="Y169" s="150"/>
      <c r="AA169" s="150"/>
      <c r="AB169" s="150"/>
    </row>
    <row r="170" spans="13:28" x14ac:dyDescent="0.25">
      <c r="M170" s="171"/>
      <c r="N170" s="163"/>
      <c r="O170" s="179" t="str">
        <f>CONCATENATE(تقویم!$A$2,HolidayTable[[#This Row],[روز و ماه]])</f>
        <v>1400</v>
      </c>
      <c r="Q170" s="150"/>
      <c r="R170" s="150"/>
      <c r="S170" s="179" t="str">
        <f>CONCATENATE(تقویم!$A$2,EventsTable[[#This Row],[روز و ماه]])</f>
        <v>1400</v>
      </c>
      <c r="U170" s="150"/>
      <c r="V170" s="150"/>
      <c r="X170" s="150"/>
      <c r="Y170" s="150"/>
      <c r="AA170" s="150"/>
      <c r="AB170" s="150"/>
    </row>
    <row r="171" spans="13:28" x14ac:dyDescent="0.25">
      <c r="M171" s="171"/>
      <c r="N171" s="163"/>
      <c r="O171" s="179" t="str">
        <f>CONCATENATE(تقویم!$A$2,HolidayTable[[#This Row],[روز و ماه]])</f>
        <v>1400</v>
      </c>
      <c r="Q171" s="150"/>
      <c r="R171" s="150"/>
      <c r="S171" s="179" t="str">
        <f>CONCATENATE(تقویم!$A$2,EventsTable[[#This Row],[روز و ماه]])</f>
        <v>1400</v>
      </c>
      <c r="U171" s="150"/>
      <c r="V171" s="150"/>
      <c r="X171" s="150"/>
      <c r="Y171" s="150"/>
      <c r="AA171" s="150"/>
      <c r="AB171" s="150"/>
    </row>
    <row r="172" spans="13:28" x14ac:dyDescent="0.25">
      <c r="M172" s="171"/>
      <c r="N172" s="163"/>
      <c r="O172" s="179" t="str">
        <f>CONCATENATE(تقویم!$A$2,HolidayTable[[#This Row],[روز و ماه]])</f>
        <v>1400</v>
      </c>
      <c r="Q172" s="150"/>
      <c r="R172" s="150"/>
      <c r="S172" s="179" t="str">
        <f>CONCATENATE(تقویم!$A$2,EventsTable[[#This Row],[روز و ماه]])</f>
        <v>1400</v>
      </c>
      <c r="U172" s="150"/>
      <c r="V172" s="150"/>
      <c r="X172" s="150"/>
      <c r="Y172" s="150"/>
      <c r="AA172" s="150"/>
      <c r="AB172" s="150"/>
    </row>
    <row r="173" spans="13:28" x14ac:dyDescent="0.25">
      <c r="M173" s="171"/>
      <c r="N173" s="163"/>
      <c r="O173" s="179" t="str">
        <f>CONCATENATE(تقویم!$A$2,HolidayTable[[#This Row],[روز و ماه]])</f>
        <v>1400</v>
      </c>
      <c r="Q173" s="150"/>
      <c r="R173" s="150"/>
      <c r="S173" s="179" t="str">
        <f>CONCATENATE(تقویم!$A$2,EventsTable[[#This Row],[روز و ماه]])</f>
        <v>1400</v>
      </c>
      <c r="U173" s="150"/>
      <c r="V173" s="150"/>
      <c r="X173" s="150"/>
      <c r="Y173" s="150"/>
      <c r="AA173" s="150"/>
      <c r="AB173" s="150"/>
    </row>
    <row r="174" spans="13:28" x14ac:dyDescent="0.25">
      <c r="M174" s="171"/>
      <c r="N174" s="163"/>
      <c r="O174" s="179" t="str">
        <f>CONCATENATE(تقویم!$A$2,HolidayTable[[#This Row],[روز و ماه]])</f>
        <v>1400</v>
      </c>
      <c r="Q174" s="150"/>
      <c r="R174" s="150"/>
      <c r="S174" s="179" t="str">
        <f>CONCATENATE(تقویم!$A$2,EventsTable[[#This Row],[روز و ماه]])</f>
        <v>1400</v>
      </c>
      <c r="U174" s="150"/>
      <c r="V174" s="150"/>
      <c r="X174" s="150"/>
      <c r="Y174" s="150"/>
      <c r="AA174" s="150"/>
      <c r="AB174" s="150"/>
    </row>
    <row r="175" spans="13:28" x14ac:dyDescent="0.25">
      <c r="M175" s="171"/>
      <c r="N175" s="163"/>
      <c r="O175" s="179" t="str">
        <f>CONCATENATE(تقویم!$A$2,HolidayTable[[#This Row],[روز و ماه]])</f>
        <v>1400</v>
      </c>
      <c r="Q175" s="150"/>
      <c r="R175" s="150"/>
      <c r="S175" s="179" t="str">
        <f>CONCATENATE(تقویم!$A$2,EventsTable[[#This Row],[روز و ماه]])</f>
        <v>1400</v>
      </c>
      <c r="U175" s="150"/>
      <c r="V175" s="150"/>
      <c r="X175" s="150"/>
      <c r="Y175" s="150"/>
      <c r="AA175" s="150"/>
      <c r="AB175" s="150"/>
    </row>
    <row r="176" spans="13:28" x14ac:dyDescent="0.25">
      <c r="M176" s="171"/>
      <c r="N176" s="163"/>
      <c r="O176" s="179" t="str">
        <f>CONCATENATE(تقویم!$A$2,HolidayTable[[#This Row],[روز و ماه]])</f>
        <v>1400</v>
      </c>
      <c r="Q176" s="150"/>
      <c r="R176" s="150"/>
      <c r="S176" s="179" t="str">
        <f>CONCATENATE(تقویم!$A$2,EventsTable[[#This Row],[روز و ماه]])</f>
        <v>1400</v>
      </c>
      <c r="U176" s="150"/>
      <c r="V176" s="150"/>
      <c r="X176" s="150"/>
      <c r="Y176" s="150"/>
      <c r="AA176" s="150"/>
      <c r="AB176" s="150"/>
    </row>
    <row r="177" spans="13:28" x14ac:dyDescent="0.25">
      <c r="M177" s="171"/>
      <c r="N177" s="163"/>
      <c r="O177" s="179" t="str">
        <f>CONCATENATE(تقویم!$A$2,HolidayTable[[#This Row],[روز و ماه]])</f>
        <v>1400</v>
      </c>
      <c r="Q177" s="150"/>
      <c r="R177" s="150"/>
      <c r="S177" s="179" t="str">
        <f>CONCATENATE(تقویم!$A$2,EventsTable[[#This Row],[روز و ماه]])</f>
        <v>1400</v>
      </c>
      <c r="U177" s="150"/>
      <c r="V177" s="150"/>
      <c r="X177" s="150"/>
      <c r="Y177" s="150"/>
      <c r="AA177" s="150"/>
      <c r="AB177" s="150"/>
    </row>
    <row r="178" spans="13:28" x14ac:dyDescent="0.25">
      <c r="M178" s="171"/>
      <c r="N178" s="163"/>
      <c r="O178" s="179" t="str">
        <f>CONCATENATE(تقویم!$A$2,HolidayTable[[#This Row],[روز و ماه]])</f>
        <v>1400</v>
      </c>
      <c r="Q178" s="150"/>
      <c r="R178" s="150"/>
      <c r="S178" s="179" t="str">
        <f>CONCATENATE(تقویم!$A$2,EventsTable[[#This Row],[روز و ماه]])</f>
        <v>1400</v>
      </c>
      <c r="U178" s="150"/>
      <c r="V178" s="150"/>
      <c r="X178" s="150"/>
      <c r="Y178" s="150"/>
      <c r="AA178" s="150"/>
      <c r="AB178" s="150"/>
    </row>
    <row r="179" spans="13:28" x14ac:dyDescent="0.25">
      <c r="M179" s="171"/>
      <c r="N179" s="163"/>
      <c r="O179" s="179" t="str">
        <f>CONCATENATE(تقویم!$A$2,HolidayTable[[#This Row],[روز و ماه]])</f>
        <v>1400</v>
      </c>
      <c r="Q179" s="150"/>
      <c r="R179" s="150"/>
      <c r="S179" s="179" t="str">
        <f>CONCATENATE(تقویم!$A$2,EventsTable[[#This Row],[روز و ماه]])</f>
        <v>1400</v>
      </c>
      <c r="U179" s="150"/>
      <c r="V179" s="150"/>
      <c r="X179" s="150"/>
      <c r="Y179" s="150"/>
      <c r="AA179" s="150"/>
      <c r="AB179" s="150"/>
    </row>
    <row r="180" spans="13:28" x14ac:dyDescent="0.25">
      <c r="M180" s="171"/>
      <c r="N180" s="163"/>
      <c r="O180" s="179" t="str">
        <f>CONCATENATE(تقویم!$A$2,HolidayTable[[#This Row],[روز و ماه]])</f>
        <v>1400</v>
      </c>
      <c r="Q180" s="150"/>
      <c r="R180" s="150"/>
      <c r="S180" s="179" t="str">
        <f>CONCATENATE(تقویم!$A$2,EventsTable[[#This Row],[روز و ماه]])</f>
        <v>1400</v>
      </c>
      <c r="U180" s="150"/>
      <c r="V180" s="150"/>
      <c r="X180" s="150"/>
      <c r="Y180" s="150"/>
      <c r="AA180" s="150"/>
      <c r="AB180" s="150"/>
    </row>
    <row r="181" spans="13:28" x14ac:dyDescent="0.25">
      <c r="M181" s="171"/>
      <c r="N181" s="163"/>
      <c r="O181" s="179" t="str">
        <f>CONCATENATE(تقویم!$A$2,HolidayTable[[#This Row],[روز و ماه]])</f>
        <v>1400</v>
      </c>
      <c r="Q181" s="150"/>
      <c r="R181" s="150"/>
      <c r="S181" s="179" t="str">
        <f>CONCATENATE(تقویم!$A$2,EventsTable[[#This Row],[روز و ماه]])</f>
        <v>1400</v>
      </c>
      <c r="U181" s="150"/>
      <c r="V181" s="150"/>
      <c r="X181" s="150"/>
      <c r="Y181" s="150"/>
      <c r="AA181" s="150"/>
      <c r="AB181" s="150"/>
    </row>
    <row r="182" spans="13:28" x14ac:dyDescent="0.25">
      <c r="M182" s="171"/>
      <c r="N182" s="163"/>
      <c r="O182" s="179" t="str">
        <f>CONCATENATE(تقویم!$A$2,HolidayTable[[#This Row],[روز و ماه]])</f>
        <v>1400</v>
      </c>
      <c r="Q182" s="150"/>
      <c r="R182" s="150"/>
      <c r="S182" s="179" t="str">
        <f>CONCATENATE(تقویم!$A$2,EventsTable[[#This Row],[روز و ماه]])</f>
        <v>1400</v>
      </c>
      <c r="U182" s="150"/>
      <c r="V182" s="150"/>
      <c r="X182" s="150"/>
      <c r="Y182" s="150"/>
      <c r="AA182" s="150"/>
      <c r="AB182" s="150"/>
    </row>
    <row r="183" spans="13:28" x14ac:dyDescent="0.25">
      <c r="M183" s="171"/>
      <c r="N183" s="163"/>
      <c r="O183" s="179" t="str">
        <f>CONCATENATE(تقویم!$A$2,HolidayTable[[#This Row],[روز و ماه]])</f>
        <v>1400</v>
      </c>
      <c r="Q183" s="150"/>
      <c r="R183" s="150"/>
      <c r="S183" s="179" t="str">
        <f>CONCATENATE(تقویم!$A$2,EventsTable[[#This Row],[روز و ماه]])</f>
        <v>1400</v>
      </c>
      <c r="U183" s="150"/>
      <c r="V183" s="150"/>
      <c r="X183" s="150"/>
      <c r="Y183" s="150"/>
      <c r="AA183" s="150"/>
      <c r="AB183" s="150"/>
    </row>
    <row r="184" spans="13:28" x14ac:dyDescent="0.25">
      <c r="M184" s="171"/>
      <c r="N184" s="163"/>
      <c r="O184" s="179" t="str">
        <f>CONCATENATE(تقویم!$A$2,HolidayTable[[#This Row],[روز و ماه]])</f>
        <v>1400</v>
      </c>
      <c r="Q184" s="150"/>
      <c r="R184" s="150"/>
      <c r="S184" s="179" t="str">
        <f>CONCATENATE(تقویم!$A$2,EventsTable[[#This Row],[روز و ماه]])</f>
        <v>1400</v>
      </c>
      <c r="U184" s="150"/>
      <c r="V184" s="150"/>
      <c r="X184" s="150"/>
      <c r="Y184" s="150"/>
      <c r="AA184" s="150"/>
      <c r="AB184" s="150"/>
    </row>
    <row r="185" spans="13:28" x14ac:dyDescent="0.25">
      <c r="M185" s="171"/>
      <c r="N185" s="163"/>
      <c r="O185" s="179" t="str">
        <f>CONCATENATE(تقویم!$A$2,HolidayTable[[#This Row],[روز و ماه]])</f>
        <v>1400</v>
      </c>
      <c r="Q185" s="150"/>
      <c r="R185" s="150"/>
      <c r="S185" s="179" t="str">
        <f>CONCATENATE(تقویم!$A$2,EventsTable[[#This Row],[روز و ماه]])</f>
        <v>1400</v>
      </c>
      <c r="U185" s="150"/>
      <c r="V185" s="150"/>
      <c r="X185" s="150"/>
      <c r="Y185" s="150"/>
      <c r="AA185" s="150"/>
      <c r="AB185" s="150"/>
    </row>
    <row r="186" spans="13:28" x14ac:dyDescent="0.25">
      <c r="M186" s="171"/>
      <c r="N186" s="163"/>
      <c r="O186" s="179" t="str">
        <f>CONCATENATE(تقویم!$A$2,HolidayTable[[#This Row],[روز و ماه]])</f>
        <v>1400</v>
      </c>
      <c r="Q186" s="150"/>
      <c r="R186" s="150"/>
      <c r="S186" s="179" t="str">
        <f>CONCATENATE(تقویم!$A$2,EventsTable[[#This Row],[روز و ماه]])</f>
        <v>1400</v>
      </c>
      <c r="U186" s="150"/>
      <c r="V186" s="150"/>
      <c r="X186" s="150"/>
      <c r="Y186" s="150"/>
      <c r="AA186" s="150"/>
      <c r="AB186" s="150"/>
    </row>
    <row r="187" spans="13:28" x14ac:dyDescent="0.25">
      <c r="M187" s="171"/>
      <c r="N187" s="163"/>
      <c r="O187" s="179" t="str">
        <f>CONCATENATE(تقویم!$A$2,HolidayTable[[#This Row],[روز و ماه]])</f>
        <v>1400</v>
      </c>
      <c r="Q187" s="150"/>
      <c r="R187" s="150"/>
      <c r="S187" s="179" t="str">
        <f>CONCATENATE(تقویم!$A$2,EventsTable[[#This Row],[روز و ماه]])</f>
        <v>1400</v>
      </c>
      <c r="U187" s="150"/>
      <c r="V187" s="150"/>
      <c r="X187" s="150"/>
      <c r="Y187" s="150"/>
      <c r="AA187" s="150"/>
      <c r="AB187" s="150"/>
    </row>
    <row r="188" spans="13:28" x14ac:dyDescent="0.25">
      <c r="M188" s="171"/>
      <c r="N188" s="163"/>
      <c r="O188" s="179" t="str">
        <f>CONCATENATE(تقویم!$A$2,HolidayTable[[#This Row],[روز و ماه]])</f>
        <v>1400</v>
      </c>
      <c r="Q188" s="150"/>
      <c r="R188" s="150"/>
      <c r="S188" s="179" t="str">
        <f>CONCATENATE(تقویم!$A$2,EventsTable[[#This Row],[روز و ماه]])</f>
        <v>1400</v>
      </c>
      <c r="U188" s="150"/>
      <c r="V188" s="150"/>
      <c r="X188" s="150"/>
      <c r="Y188" s="150"/>
      <c r="AA188" s="150"/>
      <c r="AB188" s="150"/>
    </row>
    <row r="189" spans="13:28" x14ac:dyDescent="0.25">
      <c r="M189" s="171"/>
      <c r="N189" s="163"/>
      <c r="O189" s="179" t="str">
        <f>CONCATENATE(تقویم!$A$2,HolidayTable[[#This Row],[روز و ماه]])</f>
        <v>1400</v>
      </c>
      <c r="Q189" s="150"/>
      <c r="R189" s="150"/>
      <c r="S189" s="179" t="str">
        <f>CONCATENATE(تقویم!$A$2,EventsTable[[#This Row],[روز و ماه]])</f>
        <v>1400</v>
      </c>
      <c r="U189" s="150"/>
      <c r="V189" s="150"/>
      <c r="X189" s="150"/>
      <c r="Y189" s="150"/>
      <c r="AA189" s="150"/>
      <c r="AB189" s="150"/>
    </row>
    <row r="190" spans="13:28" x14ac:dyDescent="0.25">
      <c r="M190" s="171"/>
      <c r="N190" s="163"/>
      <c r="O190" s="179" t="str">
        <f>CONCATENATE(تقویم!$A$2,HolidayTable[[#This Row],[روز و ماه]])</f>
        <v>1400</v>
      </c>
      <c r="Q190" s="150"/>
      <c r="R190" s="150"/>
      <c r="S190" s="179" t="str">
        <f>CONCATENATE(تقویم!$A$2,EventsTable[[#This Row],[روز و ماه]])</f>
        <v>1400</v>
      </c>
      <c r="U190" s="150"/>
      <c r="V190" s="150"/>
      <c r="X190" s="150"/>
      <c r="Y190" s="150"/>
      <c r="AA190" s="150"/>
      <c r="AB190" s="150"/>
    </row>
    <row r="191" spans="13:28" x14ac:dyDescent="0.25">
      <c r="M191" s="171"/>
      <c r="N191" s="163"/>
      <c r="O191" s="179" t="str">
        <f>CONCATENATE(تقویم!$A$2,HolidayTable[[#This Row],[روز و ماه]])</f>
        <v>1400</v>
      </c>
      <c r="Q191" s="150"/>
      <c r="R191" s="150"/>
      <c r="S191" s="179" t="str">
        <f>CONCATENATE(تقویم!$A$2,EventsTable[[#This Row],[روز و ماه]])</f>
        <v>1400</v>
      </c>
      <c r="U191" s="150"/>
      <c r="V191" s="150"/>
      <c r="X191" s="150"/>
      <c r="Y191" s="150"/>
      <c r="AA191" s="150"/>
      <c r="AB191" s="150"/>
    </row>
    <row r="192" spans="13:28" x14ac:dyDescent="0.25">
      <c r="M192" s="171"/>
      <c r="N192" s="163"/>
      <c r="O192" s="179" t="str">
        <f>CONCATENATE(تقویم!$A$2,HolidayTable[[#This Row],[روز و ماه]])</f>
        <v>1400</v>
      </c>
      <c r="Q192" s="150"/>
      <c r="R192" s="150"/>
      <c r="S192" s="179" t="str">
        <f>CONCATENATE(تقویم!$A$2,EventsTable[[#This Row],[روز و ماه]])</f>
        <v>1400</v>
      </c>
      <c r="U192" s="150"/>
      <c r="V192" s="150"/>
      <c r="X192" s="150"/>
      <c r="Y192" s="150"/>
      <c r="AA192" s="150"/>
      <c r="AB192" s="150"/>
    </row>
    <row r="193" spans="13:28" x14ac:dyDescent="0.25">
      <c r="M193" s="171"/>
      <c r="N193" s="163"/>
      <c r="O193" s="179" t="str">
        <f>CONCATENATE(تقویم!$A$2,HolidayTable[[#This Row],[روز و ماه]])</f>
        <v>1400</v>
      </c>
      <c r="Q193" s="150"/>
      <c r="R193" s="150"/>
      <c r="S193" s="179" t="str">
        <f>CONCATENATE(تقویم!$A$2,EventsTable[[#This Row],[روز و ماه]])</f>
        <v>1400</v>
      </c>
      <c r="U193" s="150"/>
      <c r="V193" s="150"/>
      <c r="X193" s="150"/>
      <c r="Y193" s="150"/>
      <c r="AA193" s="150"/>
      <c r="AB193" s="150"/>
    </row>
    <row r="194" spans="13:28" x14ac:dyDescent="0.25">
      <c r="M194" s="171"/>
      <c r="N194" s="163"/>
      <c r="O194" s="179" t="str">
        <f>CONCATENATE(تقویم!$A$2,HolidayTable[[#This Row],[روز و ماه]])</f>
        <v>1400</v>
      </c>
      <c r="Q194" s="150"/>
      <c r="R194" s="150"/>
      <c r="S194" s="179" t="str">
        <f>CONCATENATE(تقویم!$A$2,EventsTable[[#This Row],[روز و ماه]])</f>
        <v>1400</v>
      </c>
      <c r="U194" s="150"/>
      <c r="V194" s="150"/>
      <c r="X194" s="150"/>
      <c r="Y194" s="150"/>
      <c r="AA194" s="150"/>
      <c r="AB194" s="150"/>
    </row>
    <row r="195" spans="13:28" x14ac:dyDescent="0.25">
      <c r="M195" s="171"/>
      <c r="N195" s="163"/>
      <c r="O195" s="179" t="str">
        <f>CONCATENATE(تقویم!$A$2,HolidayTable[[#This Row],[روز و ماه]])</f>
        <v>1400</v>
      </c>
      <c r="Q195" s="150"/>
      <c r="R195" s="150"/>
      <c r="S195" s="179" t="str">
        <f>CONCATENATE(تقویم!$A$2,EventsTable[[#This Row],[روز و ماه]])</f>
        <v>1400</v>
      </c>
      <c r="U195" s="150"/>
      <c r="V195" s="150"/>
      <c r="X195" s="150"/>
      <c r="Y195" s="150"/>
      <c r="AA195" s="150"/>
      <c r="AB195" s="150"/>
    </row>
    <row r="196" spans="13:28" x14ac:dyDescent="0.25">
      <c r="M196" s="171"/>
      <c r="N196" s="163"/>
      <c r="O196" s="179" t="str">
        <f>CONCATENATE(تقویم!$A$2,HolidayTable[[#This Row],[روز و ماه]])</f>
        <v>1400</v>
      </c>
      <c r="Q196" s="150"/>
      <c r="R196" s="150"/>
      <c r="S196" s="179" t="str">
        <f>CONCATENATE(تقویم!$A$2,EventsTable[[#This Row],[روز و ماه]])</f>
        <v>1400</v>
      </c>
      <c r="U196" s="150"/>
      <c r="V196" s="150"/>
      <c r="X196" s="150"/>
      <c r="Y196" s="150"/>
      <c r="AA196" s="150"/>
      <c r="AB196" s="150"/>
    </row>
    <row r="197" spans="13:28" x14ac:dyDescent="0.25">
      <c r="M197" s="171"/>
      <c r="N197" s="163"/>
      <c r="O197" s="179" t="str">
        <f>CONCATENATE(تقویم!$A$2,HolidayTable[[#This Row],[روز و ماه]])</f>
        <v>1400</v>
      </c>
      <c r="Q197" s="150"/>
      <c r="R197" s="150"/>
      <c r="S197" s="179" t="str">
        <f>CONCATENATE(تقویم!$A$2,EventsTable[[#This Row],[روز و ماه]])</f>
        <v>1400</v>
      </c>
      <c r="U197" s="150"/>
      <c r="V197" s="150"/>
      <c r="X197" s="150"/>
      <c r="Y197" s="150"/>
      <c r="AA197" s="150"/>
      <c r="AB197" s="150"/>
    </row>
    <row r="198" spans="13:28" x14ac:dyDescent="0.25">
      <c r="M198" s="171"/>
      <c r="N198" s="163"/>
      <c r="O198" s="179" t="str">
        <f>CONCATENATE(تقویم!$A$2,HolidayTable[[#This Row],[روز و ماه]])</f>
        <v>1400</v>
      </c>
      <c r="Q198" s="150"/>
      <c r="R198" s="150"/>
      <c r="S198" s="179" t="str">
        <f>CONCATENATE(تقویم!$A$2,EventsTable[[#This Row],[روز و ماه]])</f>
        <v>1400</v>
      </c>
      <c r="U198" s="150"/>
      <c r="V198" s="150"/>
      <c r="X198" s="150"/>
      <c r="Y198" s="150"/>
      <c r="AA198" s="150"/>
      <c r="AB198" s="150"/>
    </row>
    <row r="199" spans="13:28" x14ac:dyDescent="0.25">
      <c r="M199" s="171"/>
      <c r="N199" s="163"/>
      <c r="O199" s="179" t="str">
        <f>CONCATENATE(تقویم!$A$2,HolidayTable[[#This Row],[روز و ماه]])</f>
        <v>1400</v>
      </c>
      <c r="Q199" s="150"/>
      <c r="R199" s="150"/>
      <c r="S199" s="179" t="str">
        <f>CONCATENATE(تقویم!$A$2,EventsTable[[#This Row],[روز و ماه]])</f>
        <v>1400</v>
      </c>
      <c r="U199" s="150"/>
      <c r="V199" s="150"/>
      <c r="X199" s="150"/>
      <c r="Y199" s="150"/>
      <c r="AA199" s="150"/>
      <c r="AB199" s="150"/>
    </row>
    <row r="200" spans="13:28" x14ac:dyDescent="0.25">
      <c r="M200" s="171"/>
      <c r="N200" s="163"/>
      <c r="O200" s="179" t="str">
        <f>CONCATENATE(تقویم!$A$2,HolidayTable[[#This Row],[روز و ماه]])</f>
        <v>1400</v>
      </c>
      <c r="Q200" s="150"/>
      <c r="R200" s="150"/>
      <c r="S200" s="179" t="str">
        <f>CONCATENATE(تقویم!$A$2,EventsTable[[#This Row],[روز و ماه]])</f>
        <v>1400</v>
      </c>
      <c r="U200" s="150"/>
      <c r="V200" s="150"/>
      <c r="X200" s="150"/>
      <c r="Y200" s="150"/>
      <c r="AA200" s="150"/>
      <c r="AB200" s="150"/>
    </row>
    <row r="201" spans="13:28" x14ac:dyDescent="0.25">
      <c r="M201" s="171"/>
      <c r="N201" s="163"/>
      <c r="O201" s="179" t="str">
        <f>CONCATENATE(تقویم!$A$2,HolidayTable[[#This Row],[روز و ماه]])</f>
        <v>1400</v>
      </c>
      <c r="Q201" s="150"/>
      <c r="R201" s="150"/>
      <c r="S201" s="179" t="str">
        <f>CONCATENATE(تقویم!$A$2,EventsTable[[#This Row],[روز و ماه]])</f>
        <v>1400</v>
      </c>
      <c r="U201" s="150"/>
      <c r="V201" s="150"/>
      <c r="X201" s="150"/>
      <c r="Y201" s="150"/>
      <c r="AA201" s="150"/>
      <c r="AB201" s="150"/>
    </row>
    <row r="202" spans="13:28" x14ac:dyDescent="0.25">
      <c r="M202" s="171"/>
      <c r="N202" s="163"/>
      <c r="O202" s="179" t="str">
        <f>CONCATENATE(تقویم!$A$2,HolidayTable[[#This Row],[روز و ماه]])</f>
        <v>1400</v>
      </c>
      <c r="Q202" s="150"/>
      <c r="R202" s="150"/>
      <c r="S202" s="179" t="str">
        <f>CONCATENATE(تقویم!$A$2,EventsTable[[#This Row],[روز و ماه]])</f>
        <v>1400</v>
      </c>
      <c r="U202" s="150"/>
      <c r="V202" s="150"/>
      <c r="X202" s="150"/>
      <c r="Y202" s="150"/>
      <c r="AA202" s="150"/>
      <c r="AB202" s="150"/>
    </row>
    <row r="203" spans="13:28" x14ac:dyDescent="0.25">
      <c r="M203" s="171"/>
      <c r="N203" s="163"/>
      <c r="O203" s="179" t="str">
        <f>CONCATENATE(تقویم!$A$2,HolidayTable[[#This Row],[روز و ماه]])</f>
        <v>1400</v>
      </c>
      <c r="Q203" s="150"/>
      <c r="R203" s="150"/>
      <c r="S203" s="179" t="str">
        <f>CONCATENATE(تقویم!$A$2,EventsTable[[#This Row],[روز و ماه]])</f>
        <v>1400</v>
      </c>
      <c r="U203" s="150"/>
      <c r="V203" s="150"/>
      <c r="X203" s="150"/>
      <c r="Y203" s="150"/>
      <c r="AA203" s="150"/>
      <c r="AB203" s="150"/>
    </row>
    <row r="204" spans="13:28" x14ac:dyDescent="0.25">
      <c r="M204" s="171"/>
      <c r="N204" s="163"/>
      <c r="O204" s="179" t="str">
        <f>CONCATENATE(تقویم!$A$2,HolidayTable[[#This Row],[روز و ماه]])</f>
        <v>1400</v>
      </c>
      <c r="Q204" s="150"/>
      <c r="R204" s="150"/>
      <c r="S204" s="179" t="str">
        <f>CONCATENATE(تقویم!$A$2,EventsTable[[#This Row],[روز و ماه]])</f>
        <v>1400</v>
      </c>
      <c r="U204" s="150"/>
      <c r="V204" s="150"/>
      <c r="X204" s="150"/>
      <c r="Y204" s="150"/>
      <c r="AA204" s="150"/>
      <c r="AB204" s="150"/>
    </row>
    <row r="205" spans="13:28" x14ac:dyDescent="0.25">
      <c r="M205" s="171"/>
      <c r="N205" s="163"/>
      <c r="O205" s="179" t="str">
        <f>CONCATENATE(تقویم!$A$2,HolidayTable[[#This Row],[روز و ماه]])</f>
        <v>1400</v>
      </c>
      <c r="Q205" s="150"/>
      <c r="R205" s="150"/>
      <c r="S205" s="179" t="str">
        <f>CONCATENATE(تقویم!$A$2,EventsTable[[#This Row],[روز و ماه]])</f>
        <v>1400</v>
      </c>
      <c r="U205" s="150"/>
      <c r="V205" s="150"/>
      <c r="X205" s="150"/>
      <c r="Y205" s="150"/>
      <c r="AA205" s="150"/>
      <c r="AB205" s="150"/>
    </row>
    <row r="206" spans="13:28" x14ac:dyDescent="0.25">
      <c r="M206" s="171"/>
      <c r="N206" s="163"/>
      <c r="O206" s="179" t="str">
        <f>CONCATENATE(تقویم!$A$2,HolidayTable[[#This Row],[روز و ماه]])</f>
        <v>1400</v>
      </c>
      <c r="Q206" s="150"/>
      <c r="R206" s="150"/>
      <c r="S206" s="179" t="str">
        <f>CONCATENATE(تقویم!$A$2,EventsTable[[#This Row],[روز و ماه]])</f>
        <v>1400</v>
      </c>
      <c r="U206" s="150"/>
      <c r="V206" s="150"/>
      <c r="X206" s="150"/>
      <c r="Y206" s="150"/>
      <c r="AA206" s="150"/>
      <c r="AB206" s="150"/>
    </row>
    <row r="207" spans="13:28" x14ac:dyDescent="0.25">
      <c r="M207" s="171"/>
      <c r="N207" s="163"/>
      <c r="O207" s="179" t="str">
        <f>CONCATENATE(تقویم!$A$2,HolidayTable[[#This Row],[روز و ماه]])</f>
        <v>1400</v>
      </c>
      <c r="Q207" s="150"/>
      <c r="R207" s="150"/>
      <c r="S207" s="179" t="str">
        <f>CONCATENATE(تقویم!$A$2,EventsTable[[#This Row],[روز و ماه]])</f>
        <v>1400</v>
      </c>
      <c r="U207" s="150"/>
      <c r="V207" s="150"/>
      <c r="X207" s="150"/>
      <c r="Y207" s="150"/>
      <c r="AA207" s="150"/>
      <c r="AB207" s="150"/>
    </row>
    <row r="208" spans="13:28" x14ac:dyDescent="0.25">
      <c r="M208" s="171"/>
      <c r="N208" s="163"/>
      <c r="O208" s="179" t="str">
        <f>CONCATENATE(تقویم!$A$2,HolidayTable[[#This Row],[روز و ماه]])</f>
        <v>1400</v>
      </c>
      <c r="Q208" s="150"/>
      <c r="R208" s="150"/>
      <c r="S208" s="179" t="str">
        <f>CONCATENATE(تقویم!$A$2,EventsTable[[#This Row],[روز و ماه]])</f>
        <v>1400</v>
      </c>
      <c r="U208" s="150"/>
      <c r="V208" s="150"/>
      <c r="X208" s="150"/>
      <c r="Y208" s="150"/>
      <c r="AA208" s="150"/>
      <c r="AB208" s="150"/>
    </row>
    <row r="209" spans="13:28" x14ac:dyDescent="0.25">
      <c r="M209" s="171"/>
      <c r="N209" s="163"/>
      <c r="O209" s="179" t="str">
        <f>CONCATENATE(تقویم!$A$2,HolidayTable[[#This Row],[روز و ماه]])</f>
        <v>1400</v>
      </c>
      <c r="Q209" s="150"/>
      <c r="R209" s="150"/>
      <c r="S209" s="179" t="str">
        <f>CONCATENATE(تقویم!$A$2,EventsTable[[#This Row],[روز و ماه]])</f>
        <v>1400</v>
      </c>
      <c r="U209" s="150"/>
      <c r="V209" s="150"/>
      <c r="X209" s="150"/>
      <c r="Y209" s="150"/>
      <c r="AA209" s="150"/>
      <c r="AB209" s="150"/>
    </row>
    <row r="210" spans="13:28" x14ac:dyDescent="0.25">
      <c r="M210" s="171"/>
      <c r="N210" s="163"/>
      <c r="O210" s="179" t="str">
        <f>CONCATENATE(تقویم!$A$2,HolidayTable[[#This Row],[روز و ماه]])</f>
        <v>1400</v>
      </c>
      <c r="Q210" s="150"/>
      <c r="R210" s="150"/>
      <c r="S210" s="179" t="str">
        <f>CONCATENATE(تقویم!$A$2,EventsTable[[#This Row],[روز و ماه]])</f>
        <v>1400</v>
      </c>
      <c r="U210" s="150"/>
      <c r="V210" s="150"/>
      <c r="X210" s="150"/>
      <c r="Y210" s="150"/>
      <c r="AA210" s="150"/>
      <c r="AB210" s="150"/>
    </row>
    <row r="211" spans="13:28" x14ac:dyDescent="0.25">
      <c r="M211" s="171"/>
      <c r="N211" s="163"/>
      <c r="O211" s="179" t="str">
        <f>CONCATENATE(تقویم!$A$2,HolidayTable[[#This Row],[روز و ماه]])</f>
        <v>1400</v>
      </c>
      <c r="Q211" s="150"/>
      <c r="R211" s="150"/>
      <c r="S211" s="179" t="str">
        <f>CONCATENATE(تقویم!$A$2,EventsTable[[#This Row],[روز و ماه]])</f>
        <v>1400</v>
      </c>
      <c r="U211" s="150"/>
      <c r="V211" s="150"/>
      <c r="X211" s="150"/>
      <c r="Y211" s="150"/>
      <c r="AA211" s="150"/>
      <c r="AB211" s="150"/>
    </row>
    <row r="212" spans="13:28" x14ac:dyDescent="0.25">
      <c r="M212" s="171"/>
      <c r="N212" s="163"/>
      <c r="O212" s="179" t="str">
        <f>CONCATENATE(تقویم!$A$2,HolidayTable[[#This Row],[روز و ماه]])</f>
        <v>1400</v>
      </c>
      <c r="Q212" s="150"/>
      <c r="R212" s="150"/>
      <c r="S212" s="179" t="str">
        <f>CONCATENATE(تقویم!$A$2,EventsTable[[#This Row],[روز و ماه]])</f>
        <v>1400</v>
      </c>
      <c r="U212" s="150"/>
      <c r="V212" s="150"/>
      <c r="X212" s="150"/>
      <c r="Y212" s="150"/>
      <c r="AA212" s="150"/>
      <c r="AB212" s="150"/>
    </row>
    <row r="213" spans="13:28" x14ac:dyDescent="0.25">
      <c r="M213" s="171"/>
      <c r="N213" s="163"/>
      <c r="O213" s="179" t="str">
        <f>CONCATENATE(تقویم!$A$2,HolidayTable[[#This Row],[روز و ماه]])</f>
        <v>1400</v>
      </c>
      <c r="Q213" s="150"/>
      <c r="R213" s="150"/>
      <c r="S213" s="179" t="str">
        <f>CONCATENATE(تقویم!$A$2,EventsTable[[#This Row],[روز و ماه]])</f>
        <v>1400</v>
      </c>
      <c r="U213" s="150"/>
      <c r="V213" s="150"/>
      <c r="X213" s="150"/>
      <c r="Y213" s="150"/>
      <c r="AA213" s="150"/>
      <c r="AB213" s="150"/>
    </row>
    <row r="214" spans="13:28" x14ac:dyDescent="0.25">
      <c r="M214" s="171"/>
      <c r="N214" s="163"/>
      <c r="O214" s="179" t="str">
        <f>CONCATENATE(تقویم!$A$2,HolidayTable[[#This Row],[روز و ماه]])</f>
        <v>1400</v>
      </c>
      <c r="Q214" s="150"/>
      <c r="R214" s="150"/>
      <c r="S214" s="179" t="str">
        <f>CONCATENATE(تقویم!$A$2,EventsTable[[#This Row],[روز و ماه]])</f>
        <v>1400</v>
      </c>
      <c r="U214" s="150"/>
      <c r="V214" s="150"/>
      <c r="X214" s="150"/>
      <c r="Y214" s="150"/>
      <c r="AA214" s="150"/>
      <c r="AB214" s="150"/>
    </row>
    <row r="215" spans="13:28" x14ac:dyDescent="0.25">
      <c r="M215" s="171"/>
      <c r="N215" s="163"/>
      <c r="O215" s="179" t="str">
        <f>CONCATENATE(تقویم!$A$2,HolidayTable[[#This Row],[روز و ماه]])</f>
        <v>1400</v>
      </c>
      <c r="Q215" s="150"/>
      <c r="R215" s="150"/>
      <c r="S215" s="179" t="str">
        <f>CONCATENATE(تقویم!$A$2,EventsTable[[#This Row],[روز و ماه]])</f>
        <v>1400</v>
      </c>
      <c r="U215" s="150"/>
      <c r="V215" s="150"/>
      <c r="X215" s="150"/>
      <c r="Y215" s="150"/>
      <c r="AA215" s="150"/>
      <c r="AB215" s="150"/>
    </row>
    <row r="216" spans="13:28" x14ac:dyDescent="0.25">
      <c r="M216" s="171"/>
      <c r="N216" s="163"/>
      <c r="O216" s="179" t="str">
        <f>CONCATENATE(تقویم!$A$2,HolidayTable[[#This Row],[روز و ماه]])</f>
        <v>1400</v>
      </c>
      <c r="Q216" s="150"/>
      <c r="R216" s="150"/>
      <c r="S216" s="179" t="str">
        <f>CONCATENATE(تقویم!$A$2,EventsTable[[#This Row],[روز و ماه]])</f>
        <v>1400</v>
      </c>
      <c r="U216" s="150"/>
      <c r="V216" s="150"/>
      <c r="X216" s="150"/>
      <c r="Y216" s="150"/>
      <c r="AA216" s="150"/>
      <c r="AB216" s="150"/>
    </row>
    <row r="217" spans="13:28" x14ac:dyDescent="0.25">
      <c r="M217" s="171"/>
      <c r="N217" s="163"/>
      <c r="O217" s="179" t="str">
        <f>CONCATENATE(تقویم!$A$2,HolidayTable[[#This Row],[روز و ماه]])</f>
        <v>1400</v>
      </c>
      <c r="Q217" s="150"/>
      <c r="R217" s="150"/>
      <c r="S217" s="179" t="str">
        <f>CONCATENATE(تقویم!$A$2,EventsTable[[#This Row],[روز و ماه]])</f>
        <v>1400</v>
      </c>
      <c r="U217" s="150"/>
      <c r="V217" s="150"/>
      <c r="X217" s="150"/>
      <c r="Y217" s="150"/>
      <c r="AA217" s="150"/>
      <c r="AB217" s="150"/>
    </row>
    <row r="218" spans="13:28" x14ac:dyDescent="0.25">
      <c r="M218" s="171"/>
      <c r="N218" s="163"/>
      <c r="O218" s="179" t="str">
        <f>CONCATENATE(تقویم!$A$2,HolidayTable[[#This Row],[روز و ماه]])</f>
        <v>1400</v>
      </c>
      <c r="Q218" s="150"/>
      <c r="R218" s="150"/>
      <c r="S218" s="179" t="str">
        <f>CONCATENATE(تقویم!$A$2,EventsTable[[#This Row],[روز و ماه]])</f>
        <v>1400</v>
      </c>
      <c r="U218" s="150"/>
      <c r="V218" s="150"/>
      <c r="X218" s="150"/>
      <c r="Y218" s="150"/>
      <c r="AA218" s="150"/>
      <c r="AB218" s="150"/>
    </row>
    <row r="219" spans="13:28" x14ac:dyDescent="0.25">
      <c r="M219" s="171"/>
      <c r="N219" s="163"/>
      <c r="O219" s="179" t="str">
        <f>CONCATENATE(تقویم!$A$2,HolidayTable[[#This Row],[روز و ماه]])</f>
        <v>1400</v>
      </c>
      <c r="Q219" s="150"/>
      <c r="R219" s="150"/>
      <c r="S219" s="179" t="str">
        <f>CONCATENATE(تقویم!$A$2,EventsTable[[#This Row],[روز و ماه]])</f>
        <v>1400</v>
      </c>
      <c r="U219" s="150"/>
      <c r="V219" s="150"/>
      <c r="X219" s="150"/>
      <c r="Y219" s="150"/>
      <c r="AA219" s="150"/>
      <c r="AB219" s="150"/>
    </row>
    <row r="220" spans="13:28" x14ac:dyDescent="0.25">
      <c r="M220" s="171"/>
      <c r="N220" s="163"/>
      <c r="O220" s="179" t="str">
        <f>CONCATENATE(تقویم!$A$2,HolidayTable[[#This Row],[روز و ماه]])</f>
        <v>1400</v>
      </c>
      <c r="Q220" s="150"/>
      <c r="R220" s="150"/>
      <c r="S220" s="179" t="str">
        <f>CONCATENATE(تقویم!$A$2,EventsTable[[#This Row],[روز و ماه]])</f>
        <v>1400</v>
      </c>
      <c r="U220" s="150"/>
      <c r="V220" s="150"/>
      <c r="X220" s="150"/>
      <c r="Y220" s="150"/>
      <c r="AA220" s="150"/>
      <c r="AB220" s="150"/>
    </row>
    <row r="221" spans="13:28" x14ac:dyDescent="0.25">
      <c r="M221" s="171"/>
      <c r="N221" s="163"/>
      <c r="O221" s="179" t="str">
        <f>CONCATENATE(تقویم!$A$2,HolidayTable[[#This Row],[روز و ماه]])</f>
        <v>1400</v>
      </c>
      <c r="Q221" s="150"/>
      <c r="R221" s="150"/>
      <c r="S221" s="179" t="str">
        <f>CONCATENATE(تقویم!$A$2,EventsTable[[#This Row],[روز و ماه]])</f>
        <v>1400</v>
      </c>
      <c r="U221" s="150"/>
      <c r="V221" s="150"/>
      <c r="X221" s="150"/>
      <c r="Y221" s="150"/>
      <c r="AA221" s="150"/>
      <c r="AB221" s="150"/>
    </row>
    <row r="222" spans="13:28" x14ac:dyDescent="0.25">
      <c r="M222" s="171"/>
      <c r="N222" s="163"/>
      <c r="O222" s="179" t="str">
        <f>CONCATENATE(تقویم!$A$2,HolidayTable[[#This Row],[روز و ماه]])</f>
        <v>1400</v>
      </c>
      <c r="Q222" s="150"/>
      <c r="R222" s="150"/>
      <c r="S222" s="179" t="str">
        <f>CONCATENATE(تقویم!$A$2,EventsTable[[#This Row],[روز و ماه]])</f>
        <v>1400</v>
      </c>
      <c r="U222" s="150"/>
      <c r="V222" s="150"/>
      <c r="X222" s="150"/>
      <c r="Y222" s="150"/>
      <c r="AA222" s="150"/>
      <c r="AB222" s="150"/>
    </row>
    <row r="223" spans="13:28" x14ac:dyDescent="0.25">
      <c r="M223" s="171"/>
      <c r="N223" s="163"/>
      <c r="O223" s="179" t="str">
        <f>CONCATENATE(تقویم!$A$2,HolidayTable[[#This Row],[روز و ماه]])</f>
        <v>1400</v>
      </c>
      <c r="Q223" s="150"/>
      <c r="R223" s="150"/>
      <c r="S223" s="179" t="str">
        <f>CONCATENATE(تقویم!$A$2,EventsTable[[#This Row],[روز و ماه]])</f>
        <v>1400</v>
      </c>
      <c r="U223" s="150"/>
      <c r="V223" s="150"/>
      <c r="X223" s="150"/>
      <c r="Y223" s="150"/>
      <c r="AA223" s="150"/>
      <c r="AB223" s="150"/>
    </row>
    <row r="224" spans="13:28" x14ac:dyDescent="0.25">
      <c r="M224" s="171"/>
      <c r="N224" s="163"/>
      <c r="O224" s="179" t="str">
        <f>CONCATENATE(تقویم!$A$2,HolidayTable[[#This Row],[روز و ماه]])</f>
        <v>1400</v>
      </c>
      <c r="Q224" s="150"/>
      <c r="R224" s="150"/>
      <c r="S224" s="179" t="str">
        <f>CONCATENATE(تقویم!$A$2,EventsTable[[#This Row],[روز و ماه]])</f>
        <v>1400</v>
      </c>
      <c r="U224" s="150"/>
      <c r="V224" s="150"/>
      <c r="X224" s="150"/>
      <c r="Y224" s="150"/>
      <c r="AA224" s="150"/>
      <c r="AB224" s="150"/>
    </row>
    <row r="225" spans="13:28" x14ac:dyDescent="0.25">
      <c r="M225" s="171"/>
      <c r="N225" s="163"/>
      <c r="O225" s="179" t="str">
        <f>CONCATENATE(تقویم!$A$2,HolidayTable[[#This Row],[روز و ماه]])</f>
        <v>1400</v>
      </c>
      <c r="Q225" s="150"/>
      <c r="R225" s="150"/>
      <c r="S225" s="179" t="str">
        <f>CONCATENATE(تقویم!$A$2,EventsTable[[#This Row],[روز و ماه]])</f>
        <v>1400</v>
      </c>
      <c r="U225" s="150"/>
      <c r="V225" s="150"/>
      <c r="X225" s="150"/>
      <c r="Y225" s="150"/>
      <c r="AA225" s="150"/>
      <c r="AB225" s="150"/>
    </row>
    <row r="226" spans="13:28" x14ac:dyDescent="0.25">
      <c r="M226" s="171"/>
      <c r="N226" s="163"/>
      <c r="O226" s="179" t="str">
        <f>CONCATENATE(تقویم!$A$2,HolidayTable[[#This Row],[روز و ماه]])</f>
        <v>1400</v>
      </c>
      <c r="Q226" s="150"/>
      <c r="R226" s="150"/>
      <c r="S226" s="179" t="str">
        <f>CONCATENATE(تقویم!$A$2,EventsTable[[#This Row],[روز و ماه]])</f>
        <v>1400</v>
      </c>
      <c r="U226" s="150"/>
      <c r="V226" s="150"/>
      <c r="X226" s="150"/>
      <c r="Y226" s="150"/>
      <c r="AA226" s="150"/>
      <c r="AB226" s="150"/>
    </row>
    <row r="227" spans="13:28" x14ac:dyDescent="0.25">
      <c r="M227" s="171"/>
      <c r="N227" s="163"/>
      <c r="O227" s="179" t="str">
        <f>CONCATENATE(تقویم!$A$2,HolidayTable[[#This Row],[روز و ماه]])</f>
        <v>1400</v>
      </c>
      <c r="Q227" s="150"/>
      <c r="R227" s="150"/>
      <c r="S227" s="179" t="str">
        <f>CONCATENATE(تقویم!$A$2,EventsTable[[#This Row],[روز و ماه]])</f>
        <v>1400</v>
      </c>
      <c r="U227" s="150"/>
      <c r="V227" s="150"/>
      <c r="X227" s="150"/>
      <c r="Y227" s="150"/>
      <c r="AA227" s="150"/>
      <c r="AB227" s="150"/>
    </row>
    <row r="228" spans="13:28" x14ac:dyDescent="0.25">
      <c r="M228" s="171"/>
      <c r="N228" s="163"/>
      <c r="O228" s="179" t="str">
        <f>CONCATENATE(تقویم!$A$2,HolidayTable[[#This Row],[روز و ماه]])</f>
        <v>1400</v>
      </c>
      <c r="Q228" s="150"/>
      <c r="R228" s="150"/>
      <c r="S228" s="179" t="str">
        <f>CONCATENATE(تقویم!$A$2,EventsTable[[#This Row],[روز و ماه]])</f>
        <v>1400</v>
      </c>
      <c r="U228" s="150"/>
      <c r="V228" s="150"/>
      <c r="X228" s="150"/>
      <c r="Y228" s="150"/>
      <c r="AA228" s="150"/>
      <c r="AB228" s="150"/>
    </row>
    <row r="229" spans="13:28" x14ac:dyDescent="0.25">
      <c r="M229" s="171"/>
      <c r="N229" s="163"/>
      <c r="O229" s="179" t="str">
        <f>CONCATENATE(تقویم!$A$2,HolidayTable[[#This Row],[روز و ماه]])</f>
        <v>1400</v>
      </c>
      <c r="Q229" s="150"/>
      <c r="R229" s="150"/>
      <c r="S229" s="179" t="str">
        <f>CONCATENATE(تقویم!$A$2,EventsTable[[#This Row],[روز و ماه]])</f>
        <v>1400</v>
      </c>
      <c r="U229" s="150"/>
      <c r="V229" s="150"/>
      <c r="X229" s="150"/>
      <c r="Y229" s="150"/>
      <c r="AA229" s="150"/>
      <c r="AB229" s="150"/>
    </row>
    <row r="230" spans="13:28" x14ac:dyDescent="0.25">
      <c r="M230" s="171"/>
      <c r="N230" s="163"/>
      <c r="O230" s="179" t="str">
        <f>CONCATENATE(تقویم!$A$2,HolidayTable[[#This Row],[روز و ماه]])</f>
        <v>1400</v>
      </c>
      <c r="Q230" s="150"/>
      <c r="R230" s="150"/>
      <c r="S230" s="179" t="str">
        <f>CONCATENATE(تقویم!$A$2,EventsTable[[#This Row],[روز و ماه]])</f>
        <v>1400</v>
      </c>
      <c r="U230" s="150"/>
      <c r="V230" s="150"/>
      <c r="X230" s="150"/>
      <c r="Y230" s="150"/>
      <c r="AA230" s="150"/>
      <c r="AB230" s="150"/>
    </row>
    <row r="231" spans="13:28" x14ac:dyDescent="0.25">
      <c r="M231" s="171"/>
      <c r="N231" s="163"/>
      <c r="O231" s="179" t="str">
        <f>CONCATENATE(تقویم!$A$2,HolidayTable[[#This Row],[روز و ماه]])</f>
        <v>1400</v>
      </c>
      <c r="Q231" s="150"/>
      <c r="R231" s="150"/>
      <c r="S231" s="179" t="str">
        <f>CONCATENATE(تقویم!$A$2,EventsTable[[#This Row],[روز و ماه]])</f>
        <v>1400</v>
      </c>
      <c r="U231" s="150"/>
      <c r="V231" s="150"/>
      <c r="X231" s="150"/>
      <c r="Y231" s="150"/>
      <c r="AA231" s="150"/>
      <c r="AB231" s="150"/>
    </row>
    <row r="232" spans="13:28" x14ac:dyDescent="0.25">
      <c r="M232" s="171"/>
      <c r="N232" s="163"/>
      <c r="O232" s="179" t="str">
        <f>CONCATENATE(تقویم!$A$2,HolidayTable[[#This Row],[روز و ماه]])</f>
        <v>1400</v>
      </c>
      <c r="Q232" s="150"/>
      <c r="R232" s="150"/>
      <c r="S232" s="179" t="str">
        <f>CONCATENATE(تقویم!$A$2,EventsTable[[#This Row],[روز و ماه]])</f>
        <v>1400</v>
      </c>
      <c r="U232" s="150"/>
      <c r="V232" s="150"/>
      <c r="X232" s="150"/>
      <c r="Y232" s="150"/>
      <c r="AA232" s="150"/>
      <c r="AB232" s="150"/>
    </row>
    <row r="233" spans="13:28" x14ac:dyDescent="0.25">
      <c r="M233" s="171"/>
      <c r="N233" s="163"/>
      <c r="O233" s="179" t="str">
        <f>CONCATENATE(تقویم!$A$2,HolidayTable[[#This Row],[روز و ماه]])</f>
        <v>1400</v>
      </c>
      <c r="Q233" s="150"/>
      <c r="R233" s="150"/>
      <c r="S233" s="179" t="str">
        <f>CONCATENATE(تقویم!$A$2,EventsTable[[#This Row],[روز و ماه]])</f>
        <v>1400</v>
      </c>
      <c r="U233" s="150"/>
      <c r="V233" s="150"/>
      <c r="X233" s="150"/>
      <c r="Y233" s="150"/>
      <c r="AA233" s="150"/>
      <c r="AB233" s="150"/>
    </row>
    <row r="234" spans="13:28" x14ac:dyDescent="0.25">
      <c r="M234" s="171"/>
      <c r="N234" s="163"/>
      <c r="O234" s="179" t="str">
        <f>CONCATENATE(تقویم!$A$2,HolidayTable[[#This Row],[روز و ماه]])</f>
        <v>1400</v>
      </c>
      <c r="Q234" s="150"/>
      <c r="R234" s="150"/>
      <c r="S234" s="179" t="str">
        <f>CONCATENATE(تقویم!$A$2,EventsTable[[#This Row],[روز و ماه]])</f>
        <v>1400</v>
      </c>
      <c r="U234" s="150"/>
      <c r="V234" s="150"/>
      <c r="X234" s="150"/>
      <c r="Y234" s="150"/>
      <c r="AA234" s="150"/>
      <c r="AB234" s="150"/>
    </row>
    <row r="235" spans="13:28" x14ac:dyDescent="0.25">
      <c r="M235" s="171"/>
      <c r="N235" s="163"/>
      <c r="O235" s="179" t="str">
        <f>CONCATENATE(تقویم!$A$2,HolidayTable[[#This Row],[روز و ماه]])</f>
        <v>1400</v>
      </c>
      <c r="Q235" s="150"/>
      <c r="R235" s="150"/>
      <c r="S235" s="179" t="str">
        <f>CONCATENATE(تقویم!$A$2,EventsTable[[#This Row],[روز و ماه]])</f>
        <v>1400</v>
      </c>
      <c r="U235" s="150"/>
      <c r="V235" s="150"/>
      <c r="X235" s="150"/>
      <c r="Y235" s="150"/>
      <c r="AA235" s="150"/>
      <c r="AB235" s="150"/>
    </row>
    <row r="236" spans="13:28" x14ac:dyDescent="0.25">
      <c r="M236" s="171"/>
      <c r="N236" s="163"/>
      <c r="O236" s="179" t="str">
        <f>CONCATENATE(تقویم!$A$2,HolidayTable[[#This Row],[روز و ماه]])</f>
        <v>1400</v>
      </c>
      <c r="Q236" s="150"/>
      <c r="R236" s="150"/>
      <c r="S236" s="179" t="str">
        <f>CONCATENATE(تقویم!$A$2,EventsTable[[#This Row],[روز و ماه]])</f>
        <v>1400</v>
      </c>
      <c r="U236" s="150"/>
      <c r="V236" s="150"/>
      <c r="X236" s="150"/>
      <c r="Y236" s="150"/>
      <c r="AA236" s="150"/>
      <c r="AB236" s="150"/>
    </row>
    <row r="237" spans="13:28" x14ac:dyDescent="0.25">
      <c r="M237" s="171"/>
      <c r="N237" s="163"/>
      <c r="O237" s="179" t="str">
        <f>CONCATENATE(تقویم!$A$2,HolidayTable[[#This Row],[روز و ماه]])</f>
        <v>1400</v>
      </c>
      <c r="Q237" s="150"/>
      <c r="R237" s="150"/>
      <c r="S237" s="179" t="str">
        <f>CONCATENATE(تقویم!$A$2,EventsTable[[#This Row],[روز و ماه]])</f>
        <v>1400</v>
      </c>
      <c r="U237" s="150"/>
      <c r="V237" s="150"/>
      <c r="X237" s="150"/>
      <c r="Y237" s="150"/>
      <c r="AA237" s="150"/>
      <c r="AB237" s="150"/>
    </row>
    <row r="238" spans="13:28" x14ac:dyDescent="0.25">
      <c r="M238" s="171"/>
      <c r="N238" s="163"/>
      <c r="O238" s="179" t="str">
        <f>CONCATENATE(تقویم!$A$2,HolidayTable[[#This Row],[روز و ماه]])</f>
        <v>1400</v>
      </c>
      <c r="Q238" s="150"/>
      <c r="R238" s="150"/>
      <c r="S238" s="179" t="str">
        <f>CONCATENATE(تقویم!$A$2,EventsTable[[#This Row],[روز و ماه]])</f>
        <v>1400</v>
      </c>
      <c r="U238" s="150"/>
      <c r="V238" s="150"/>
      <c r="X238" s="150"/>
      <c r="Y238" s="150"/>
      <c r="AA238" s="150"/>
      <c r="AB238" s="150"/>
    </row>
    <row r="239" spans="13:28" x14ac:dyDescent="0.25">
      <c r="M239" s="171"/>
      <c r="N239" s="163"/>
      <c r="O239" s="179" t="str">
        <f>CONCATENATE(تقویم!$A$2,HolidayTable[[#This Row],[روز و ماه]])</f>
        <v>1400</v>
      </c>
      <c r="Q239" s="150"/>
      <c r="R239" s="150"/>
      <c r="S239" s="179" t="str">
        <f>CONCATENATE(تقویم!$A$2,EventsTable[[#This Row],[روز و ماه]])</f>
        <v>1400</v>
      </c>
      <c r="U239" s="150"/>
      <c r="V239" s="150"/>
      <c r="X239" s="150"/>
      <c r="Y239" s="150"/>
      <c r="AA239" s="150"/>
      <c r="AB239" s="150"/>
    </row>
    <row r="240" spans="13:28" x14ac:dyDescent="0.25">
      <c r="M240" s="171"/>
      <c r="N240" s="163"/>
      <c r="O240" s="179" t="str">
        <f>CONCATENATE(تقویم!$A$2,HolidayTable[[#This Row],[روز و ماه]])</f>
        <v>1400</v>
      </c>
      <c r="Q240" s="150"/>
      <c r="R240" s="150"/>
      <c r="S240" s="179" t="str">
        <f>CONCATENATE(تقویم!$A$2,EventsTable[[#This Row],[روز و ماه]])</f>
        <v>1400</v>
      </c>
      <c r="U240" s="150"/>
      <c r="V240" s="150"/>
      <c r="X240" s="150"/>
      <c r="Y240" s="150"/>
      <c r="AA240" s="150"/>
      <c r="AB240" s="150"/>
    </row>
    <row r="241" spans="13:28" x14ac:dyDescent="0.25">
      <c r="M241" s="171"/>
      <c r="N241" s="163"/>
      <c r="O241" s="179" t="str">
        <f>CONCATENATE(تقویم!$A$2,HolidayTable[[#This Row],[روز و ماه]])</f>
        <v>1400</v>
      </c>
      <c r="Q241" s="150"/>
      <c r="R241" s="150"/>
      <c r="S241" s="179" t="str">
        <f>CONCATENATE(تقویم!$A$2,EventsTable[[#This Row],[روز و ماه]])</f>
        <v>1400</v>
      </c>
      <c r="U241" s="150"/>
      <c r="V241" s="150"/>
      <c r="X241" s="150"/>
      <c r="Y241" s="150"/>
      <c r="AA241" s="150"/>
      <c r="AB241" s="150"/>
    </row>
    <row r="242" spans="13:28" x14ac:dyDescent="0.25">
      <c r="M242" s="171"/>
      <c r="N242" s="163"/>
      <c r="O242" s="179" t="str">
        <f>CONCATENATE(تقویم!$A$2,HolidayTable[[#This Row],[روز و ماه]])</f>
        <v>1400</v>
      </c>
      <c r="Q242" s="150"/>
      <c r="R242" s="150"/>
      <c r="S242" s="179" t="str">
        <f>CONCATENATE(تقویم!$A$2,EventsTable[[#This Row],[روز و ماه]])</f>
        <v>1400</v>
      </c>
      <c r="U242" s="150"/>
      <c r="V242" s="150"/>
      <c r="X242" s="150"/>
      <c r="Y242" s="150"/>
      <c r="AA242" s="150"/>
      <c r="AB242" s="150"/>
    </row>
    <row r="243" spans="13:28" x14ac:dyDescent="0.25">
      <c r="M243" s="171"/>
      <c r="N243" s="163"/>
      <c r="O243" s="179" t="str">
        <f>CONCATENATE(تقویم!$A$2,HolidayTable[[#This Row],[روز و ماه]])</f>
        <v>1400</v>
      </c>
      <c r="Q243" s="150"/>
      <c r="R243" s="150"/>
      <c r="S243" s="179" t="str">
        <f>CONCATENATE(تقویم!$A$2,EventsTable[[#This Row],[روز و ماه]])</f>
        <v>1400</v>
      </c>
      <c r="U243" s="150"/>
      <c r="V243" s="150"/>
      <c r="X243" s="150"/>
      <c r="Y243" s="150"/>
      <c r="AA243" s="150"/>
      <c r="AB243" s="150"/>
    </row>
    <row r="244" spans="13:28" x14ac:dyDescent="0.25">
      <c r="M244" s="171"/>
      <c r="N244" s="163"/>
      <c r="O244" s="179" t="str">
        <f>CONCATENATE(تقویم!$A$2,HolidayTable[[#This Row],[روز و ماه]])</f>
        <v>1400</v>
      </c>
      <c r="Q244" s="150"/>
      <c r="R244" s="150"/>
      <c r="S244" s="179" t="str">
        <f>CONCATENATE(تقویم!$A$2,EventsTable[[#This Row],[روز و ماه]])</f>
        <v>1400</v>
      </c>
      <c r="U244" s="150"/>
      <c r="V244" s="150"/>
      <c r="X244" s="150"/>
      <c r="Y244" s="150"/>
      <c r="AA244" s="150"/>
      <c r="AB244" s="150"/>
    </row>
    <row r="245" spans="13:28" x14ac:dyDescent="0.25">
      <c r="M245" s="171"/>
      <c r="N245" s="163"/>
      <c r="O245" s="179" t="str">
        <f>CONCATENATE(تقویم!$A$2,HolidayTable[[#This Row],[روز و ماه]])</f>
        <v>1400</v>
      </c>
      <c r="Q245" s="150"/>
      <c r="R245" s="150"/>
      <c r="S245" s="179" t="str">
        <f>CONCATENATE(تقویم!$A$2,EventsTable[[#This Row],[روز و ماه]])</f>
        <v>1400</v>
      </c>
      <c r="U245" s="150"/>
      <c r="V245" s="150"/>
      <c r="X245" s="150"/>
      <c r="Y245" s="150"/>
      <c r="AA245" s="150"/>
      <c r="AB245" s="150"/>
    </row>
    <row r="246" spans="13:28" x14ac:dyDescent="0.25">
      <c r="M246" s="171"/>
      <c r="N246" s="163"/>
      <c r="O246" s="179" t="str">
        <f>CONCATENATE(تقویم!$A$2,HolidayTable[[#This Row],[روز و ماه]])</f>
        <v>1400</v>
      </c>
      <c r="Q246" s="150"/>
      <c r="R246" s="150"/>
      <c r="S246" s="179" t="str">
        <f>CONCATENATE(تقویم!$A$2,EventsTable[[#This Row],[روز و ماه]])</f>
        <v>1400</v>
      </c>
      <c r="U246" s="150"/>
      <c r="V246" s="150"/>
      <c r="X246" s="150"/>
      <c r="Y246" s="150"/>
      <c r="AA246" s="150"/>
      <c r="AB246" s="150"/>
    </row>
    <row r="247" spans="13:28" x14ac:dyDescent="0.25">
      <c r="M247" s="171"/>
      <c r="N247" s="163"/>
      <c r="O247" s="179" t="str">
        <f>CONCATENATE(تقویم!$A$2,HolidayTable[[#This Row],[روز و ماه]])</f>
        <v>1400</v>
      </c>
      <c r="Q247" s="150"/>
      <c r="R247" s="150"/>
      <c r="S247" s="179" t="str">
        <f>CONCATENATE(تقویم!$A$2,EventsTable[[#This Row],[روز و ماه]])</f>
        <v>1400</v>
      </c>
      <c r="U247" s="150"/>
      <c r="V247" s="150"/>
      <c r="X247" s="150"/>
      <c r="Y247" s="150"/>
      <c r="AA247" s="150"/>
      <c r="AB247" s="150"/>
    </row>
    <row r="248" spans="13:28" x14ac:dyDescent="0.25">
      <c r="M248" s="171"/>
      <c r="N248" s="163"/>
      <c r="O248" s="179" t="str">
        <f>CONCATENATE(تقویم!$A$2,HolidayTable[[#This Row],[روز و ماه]])</f>
        <v>1400</v>
      </c>
      <c r="Q248" s="150"/>
      <c r="R248" s="150"/>
      <c r="S248" s="179" t="str">
        <f>CONCATENATE(تقویم!$A$2,EventsTable[[#This Row],[روز و ماه]])</f>
        <v>1400</v>
      </c>
      <c r="U248" s="150"/>
      <c r="V248" s="150"/>
      <c r="X248" s="150"/>
      <c r="Y248" s="150"/>
      <c r="AA248" s="150"/>
      <c r="AB248" s="150"/>
    </row>
    <row r="249" spans="13:28" x14ac:dyDescent="0.25">
      <c r="M249" s="171"/>
      <c r="N249" s="163"/>
      <c r="O249" s="179" t="str">
        <f>CONCATENATE(تقویم!$A$2,HolidayTable[[#This Row],[روز و ماه]])</f>
        <v>1400</v>
      </c>
      <c r="Q249" s="150"/>
      <c r="R249" s="150"/>
      <c r="S249" s="179" t="str">
        <f>CONCATENATE(تقویم!$A$2,EventsTable[[#This Row],[روز و ماه]])</f>
        <v>1400</v>
      </c>
      <c r="U249" s="150"/>
      <c r="V249" s="150"/>
      <c r="X249" s="150"/>
      <c r="Y249" s="150"/>
      <c r="AA249" s="150"/>
      <c r="AB249" s="150"/>
    </row>
    <row r="250" spans="13:28" x14ac:dyDescent="0.25">
      <c r="M250" s="171"/>
      <c r="N250" s="163"/>
      <c r="O250" s="179" t="str">
        <f>CONCATENATE(تقویم!$A$2,HolidayTable[[#This Row],[روز و ماه]])</f>
        <v>1400</v>
      </c>
      <c r="Q250" s="150"/>
      <c r="R250" s="150"/>
      <c r="S250" s="179" t="str">
        <f>CONCATENATE(تقویم!$A$2,EventsTable[[#This Row],[روز و ماه]])</f>
        <v>1400</v>
      </c>
      <c r="U250" s="150"/>
      <c r="V250" s="150"/>
      <c r="X250" s="150"/>
      <c r="Y250" s="150"/>
      <c r="AA250" s="150"/>
      <c r="AB250" s="150"/>
    </row>
    <row r="251" spans="13:28" x14ac:dyDescent="0.25">
      <c r="M251" s="171"/>
      <c r="N251" s="163"/>
      <c r="O251" s="179" t="str">
        <f>CONCATENATE(تقویم!$A$2,HolidayTable[[#This Row],[روز و ماه]])</f>
        <v>1400</v>
      </c>
      <c r="Q251" s="150"/>
      <c r="R251" s="150"/>
      <c r="S251" s="179" t="str">
        <f>CONCATENATE(تقویم!$A$2,EventsTable[[#This Row],[روز و ماه]])</f>
        <v>1400</v>
      </c>
      <c r="U251" s="150"/>
      <c r="V251" s="150"/>
      <c r="X251" s="150"/>
      <c r="Y251" s="150"/>
      <c r="AA251" s="150"/>
      <c r="AB251" s="150"/>
    </row>
    <row r="252" spans="13:28" x14ac:dyDescent="0.25">
      <c r="M252" s="171"/>
      <c r="N252" s="163"/>
      <c r="O252" s="179" t="str">
        <f>CONCATENATE(تقویم!$A$2,HolidayTable[[#This Row],[روز و ماه]])</f>
        <v>1400</v>
      </c>
      <c r="Q252" s="150"/>
      <c r="R252" s="150"/>
      <c r="S252" s="179" t="str">
        <f>CONCATENATE(تقویم!$A$2,EventsTable[[#This Row],[روز و ماه]])</f>
        <v>1400</v>
      </c>
      <c r="U252" s="150"/>
      <c r="V252" s="150"/>
      <c r="X252" s="150"/>
      <c r="Y252" s="150"/>
      <c r="AA252" s="150"/>
      <c r="AB252" s="150"/>
    </row>
    <row r="253" spans="13:28" x14ac:dyDescent="0.25">
      <c r="M253" s="171"/>
      <c r="N253" s="163"/>
      <c r="O253" s="179" t="str">
        <f>CONCATENATE(تقویم!$A$2,HolidayTable[[#This Row],[روز و ماه]])</f>
        <v>1400</v>
      </c>
      <c r="Q253" s="150"/>
      <c r="R253" s="150"/>
      <c r="S253" s="179" t="str">
        <f>CONCATENATE(تقویم!$A$2,EventsTable[[#This Row],[روز و ماه]])</f>
        <v>1400</v>
      </c>
      <c r="U253" s="150"/>
      <c r="V253" s="150"/>
      <c r="X253" s="150"/>
      <c r="Y253" s="150"/>
      <c r="AA253" s="150"/>
      <c r="AB253" s="150"/>
    </row>
    <row r="254" spans="13:28" x14ac:dyDescent="0.25">
      <c r="M254" s="171"/>
      <c r="N254" s="163"/>
      <c r="O254" s="179" t="str">
        <f>CONCATENATE(تقویم!$A$2,HolidayTable[[#This Row],[روز و ماه]])</f>
        <v>1400</v>
      </c>
      <c r="Q254" s="150"/>
      <c r="R254" s="150"/>
      <c r="S254" s="179" t="str">
        <f>CONCATENATE(تقویم!$A$2,EventsTable[[#This Row],[روز و ماه]])</f>
        <v>1400</v>
      </c>
      <c r="U254" s="150"/>
      <c r="V254" s="150"/>
      <c r="X254" s="150"/>
      <c r="Y254" s="150"/>
      <c r="AA254" s="150"/>
      <c r="AB254" s="150"/>
    </row>
    <row r="255" spans="13:28" x14ac:dyDescent="0.25">
      <c r="M255" s="171"/>
      <c r="N255" s="163"/>
      <c r="O255" s="179" t="str">
        <f>CONCATENATE(تقویم!$A$2,HolidayTable[[#This Row],[روز و ماه]])</f>
        <v>1400</v>
      </c>
      <c r="Q255" s="150"/>
      <c r="R255" s="150"/>
      <c r="S255" s="179" t="str">
        <f>CONCATENATE(تقویم!$A$2,EventsTable[[#This Row],[روز و ماه]])</f>
        <v>1400</v>
      </c>
      <c r="U255" s="150"/>
      <c r="V255" s="150"/>
      <c r="X255" s="150"/>
      <c r="Y255" s="150"/>
      <c r="AA255" s="150"/>
      <c r="AB255" s="150"/>
    </row>
    <row r="256" spans="13:28" x14ac:dyDescent="0.25">
      <c r="M256" s="171"/>
      <c r="N256" s="163"/>
      <c r="O256" s="179" t="str">
        <f>CONCATENATE(تقویم!$A$2,HolidayTable[[#This Row],[روز و ماه]])</f>
        <v>1400</v>
      </c>
      <c r="Q256" s="150"/>
      <c r="R256" s="150"/>
      <c r="S256" s="179" t="str">
        <f>CONCATENATE(تقویم!$A$2,EventsTable[[#This Row],[روز و ماه]])</f>
        <v>1400</v>
      </c>
      <c r="U256" s="150"/>
      <c r="V256" s="150"/>
      <c r="X256" s="150"/>
      <c r="Y256" s="150"/>
      <c r="AA256" s="150"/>
      <c r="AB256" s="150"/>
    </row>
    <row r="257" spans="13:28" x14ac:dyDescent="0.25">
      <c r="M257" s="171"/>
      <c r="N257" s="163"/>
      <c r="O257" s="179" t="str">
        <f>CONCATENATE(تقویم!$A$2,HolidayTable[[#This Row],[روز و ماه]])</f>
        <v>1400</v>
      </c>
      <c r="Q257" s="150"/>
      <c r="R257" s="150"/>
      <c r="S257" s="179" t="str">
        <f>CONCATENATE(تقویم!$A$2,EventsTable[[#This Row],[روز و ماه]])</f>
        <v>1400</v>
      </c>
      <c r="U257" s="150"/>
      <c r="V257" s="150"/>
      <c r="X257" s="150"/>
      <c r="Y257" s="150"/>
      <c r="AA257" s="150"/>
      <c r="AB257" s="150"/>
    </row>
    <row r="258" spans="13:28" x14ac:dyDescent="0.25">
      <c r="M258" s="171"/>
      <c r="N258" s="163"/>
      <c r="O258" s="179" t="str">
        <f>CONCATENATE(تقویم!$A$2,HolidayTable[[#This Row],[روز و ماه]])</f>
        <v>1400</v>
      </c>
      <c r="Q258" s="150"/>
      <c r="R258" s="150"/>
      <c r="S258" s="179" t="str">
        <f>CONCATENATE(تقویم!$A$2,EventsTable[[#This Row],[روز و ماه]])</f>
        <v>1400</v>
      </c>
      <c r="U258" s="150"/>
      <c r="V258" s="150"/>
      <c r="X258" s="150"/>
      <c r="Y258" s="150"/>
      <c r="AA258" s="150"/>
      <c r="AB258" s="150"/>
    </row>
    <row r="259" spans="13:28" x14ac:dyDescent="0.25">
      <c r="M259" s="171"/>
      <c r="N259" s="163"/>
      <c r="O259" s="179" t="str">
        <f>CONCATENATE(تقویم!$A$2,HolidayTable[[#This Row],[روز و ماه]])</f>
        <v>1400</v>
      </c>
      <c r="Q259" s="150"/>
      <c r="R259" s="150"/>
      <c r="S259" s="179" t="str">
        <f>CONCATENATE(تقویم!$A$2,EventsTable[[#This Row],[روز و ماه]])</f>
        <v>1400</v>
      </c>
      <c r="U259" s="150"/>
      <c r="V259" s="150"/>
      <c r="X259" s="150"/>
      <c r="Y259" s="150"/>
      <c r="AA259" s="150"/>
      <c r="AB259" s="150"/>
    </row>
    <row r="260" spans="13:28" x14ac:dyDescent="0.25">
      <c r="M260" s="171"/>
      <c r="N260" s="163"/>
      <c r="O260" s="179" t="str">
        <f>CONCATENATE(تقویم!$A$2,HolidayTable[[#This Row],[روز و ماه]])</f>
        <v>1400</v>
      </c>
      <c r="Q260" s="150"/>
      <c r="R260" s="150"/>
      <c r="S260" s="179" t="str">
        <f>CONCATENATE(تقویم!$A$2,EventsTable[[#This Row],[روز و ماه]])</f>
        <v>1400</v>
      </c>
      <c r="U260" s="150"/>
      <c r="V260" s="150"/>
      <c r="X260" s="150"/>
      <c r="Y260" s="150"/>
      <c r="AA260" s="150"/>
      <c r="AB260" s="150"/>
    </row>
    <row r="261" spans="13:28" x14ac:dyDescent="0.25">
      <c r="M261" s="171"/>
      <c r="N261" s="163"/>
      <c r="O261" s="179" t="str">
        <f>CONCATENATE(تقویم!$A$2,HolidayTable[[#This Row],[روز و ماه]])</f>
        <v>1400</v>
      </c>
      <c r="Q261" s="150"/>
      <c r="R261" s="150"/>
      <c r="S261" s="179" t="str">
        <f>CONCATENATE(تقویم!$A$2,EventsTable[[#This Row],[روز و ماه]])</f>
        <v>1400</v>
      </c>
      <c r="U261" s="150"/>
      <c r="V261" s="150"/>
      <c r="X261" s="150"/>
      <c r="Y261" s="150"/>
      <c r="AA261" s="150"/>
      <c r="AB261" s="150"/>
    </row>
    <row r="262" spans="13:28" x14ac:dyDescent="0.25">
      <c r="M262" s="171"/>
      <c r="N262" s="163"/>
      <c r="O262" s="179" t="str">
        <f>CONCATENATE(تقویم!$A$2,HolidayTable[[#This Row],[روز و ماه]])</f>
        <v>1400</v>
      </c>
      <c r="Q262" s="150"/>
      <c r="R262" s="150"/>
      <c r="S262" s="179" t="str">
        <f>CONCATENATE(تقویم!$A$2,EventsTable[[#This Row],[روز و ماه]])</f>
        <v>1400</v>
      </c>
      <c r="U262" s="150"/>
      <c r="V262" s="150"/>
      <c r="X262" s="150"/>
      <c r="Y262" s="150"/>
      <c r="AA262" s="150"/>
      <c r="AB262" s="150"/>
    </row>
    <row r="263" spans="13:28" x14ac:dyDescent="0.25">
      <c r="M263" s="171"/>
      <c r="N263" s="163"/>
      <c r="O263" s="179" t="str">
        <f>CONCATENATE(تقویم!$A$2,HolidayTable[[#This Row],[روز و ماه]])</f>
        <v>1400</v>
      </c>
      <c r="Q263" s="150"/>
      <c r="R263" s="150"/>
      <c r="S263" s="179" t="str">
        <f>CONCATENATE(تقویم!$A$2,EventsTable[[#This Row],[روز و ماه]])</f>
        <v>1400</v>
      </c>
      <c r="U263" s="150"/>
      <c r="V263" s="150"/>
      <c r="X263" s="150"/>
      <c r="Y263" s="150"/>
      <c r="AA263" s="150"/>
      <c r="AB263" s="150"/>
    </row>
    <row r="264" spans="13:28" x14ac:dyDescent="0.25">
      <c r="M264" s="171"/>
      <c r="N264" s="163"/>
      <c r="O264" s="179" t="str">
        <f>CONCATENATE(تقویم!$A$2,HolidayTable[[#This Row],[روز و ماه]])</f>
        <v>1400</v>
      </c>
      <c r="Q264" s="150"/>
      <c r="R264" s="150"/>
      <c r="S264" s="179" t="str">
        <f>CONCATENATE(تقویم!$A$2,EventsTable[[#This Row],[روز و ماه]])</f>
        <v>1400</v>
      </c>
      <c r="U264" s="150"/>
      <c r="V264" s="150"/>
      <c r="X264" s="150"/>
      <c r="Y264" s="150"/>
      <c r="AA264" s="150"/>
      <c r="AB264" s="150"/>
    </row>
    <row r="265" spans="13:28" x14ac:dyDescent="0.25">
      <c r="M265" s="171"/>
      <c r="N265" s="163"/>
      <c r="O265" s="179" t="str">
        <f>CONCATENATE(تقویم!$A$2,HolidayTable[[#This Row],[روز و ماه]])</f>
        <v>1400</v>
      </c>
      <c r="Q265" s="150"/>
      <c r="R265" s="150"/>
      <c r="S265" s="179" t="str">
        <f>CONCATENATE(تقویم!$A$2,EventsTable[[#This Row],[روز و ماه]])</f>
        <v>1400</v>
      </c>
      <c r="U265" s="150"/>
      <c r="V265" s="150"/>
      <c r="X265" s="150"/>
      <c r="Y265" s="150"/>
      <c r="AA265" s="150"/>
      <c r="AB265" s="150"/>
    </row>
    <row r="266" spans="13:28" x14ac:dyDescent="0.25">
      <c r="M266" s="171"/>
      <c r="N266" s="163"/>
      <c r="O266" s="179" t="str">
        <f>CONCATENATE(تقویم!$A$2,HolidayTable[[#This Row],[روز و ماه]])</f>
        <v>1400</v>
      </c>
      <c r="Q266" s="150"/>
      <c r="R266" s="150"/>
      <c r="S266" s="179" t="str">
        <f>CONCATENATE(تقویم!$A$2,EventsTable[[#This Row],[روز و ماه]])</f>
        <v>1400</v>
      </c>
      <c r="U266" s="150"/>
      <c r="V266" s="150"/>
      <c r="X266" s="150"/>
      <c r="Y266" s="150"/>
      <c r="AA266" s="150"/>
      <c r="AB266" s="150"/>
    </row>
    <row r="267" spans="13:28" x14ac:dyDescent="0.25">
      <c r="M267" s="171"/>
      <c r="N267" s="163"/>
      <c r="O267" s="179" t="str">
        <f>CONCATENATE(تقویم!$A$2,HolidayTable[[#This Row],[روز و ماه]])</f>
        <v>1400</v>
      </c>
      <c r="Q267" s="150"/>
      <c r="R267" s="150"/>
      <c r="S267" s="179" t="str">
        <f>CONCATENATE(تقویم!$A$2,EventsTable[[#This Row],[روز و ماه]])</f>
        <v>1400</v>
      </c>
      <c r="U267" s="150"/>
      <c r="V267" s="150"/>
      <c r="X267" s="150"/>
      <c r="Y267" s="150"/>
      <c r="AA267" s="150"/>
      <c r="AB267" s="150"/>
    </row>
    <row r="268" spans="13:28" x14ac:dyDescent="0.25">
      <c r="M268" s="171"/>
      <c r="N268" s="163"/>
      <c r="O268" s="179" t="str">
        <f>CONCATENATE(تقویم!$A$2,HolidayTable[[#This Row],[روز و ماه]])</f>
        <v>1400</v>
      </c>
      <c r="Q268" s="150"/>
      <c r="R268" s="150"/>
      <c r="S268" s="179" t="str">
        <f>CONCATENATE(تقویم!$A$2,EventsTable[[#This Row],[روز و ماه]])</f>
        <v>1400</v>
      </c>
      <c r="U268" s="150"/>
      <c r="V268" s="150"/>
      <c r="X268" s="150"/>
      <c r="Y268" s="150"/>
      <c r="AA268" s="150"/>
      <c r="AB268" s="150"/>
    </row>
    <row r="269" spans="13:28" x14ac:dyDescent="0.25">
      <c r="M269" s="171"/>
      <c r="N269" s="163"/>
      <c r="O269" s="179" t="str">
        <f>CONCATENATE(تقویم!$A$2,HolidayTable[[#This Row],[روز و ماه]])</f>
        <v>1400</v>
      </c>
      <c r="Q269" s="150"/>
      <c r="R269" s="150"/>
      <c r="S269" s="179" t="str">
        <f>CONCATENATE(تقویم!$A$2,EventsTable[[#This Row],[روز و ماه]])</f>
        <v>1400</v>
      </c>
      <c r="U269" s="150"/>
      <c r="V269" s="150"/>
      <c r="X269" s="150"/>
      <c r="Y269" s="150"/>
      <c r="AA269" s="150"/>
      <c r="AB269" s="150"/>
    </row>
    <row r="270" spans="13:28" x14ac:dyDescent="0.25">
      <c r="M270" s="171"/>
      <c r="N270" s="163"/>
      <c r="O270" s="179" t="str">
        <f>CONCATENATE(تقویم!$A$2,HolidayTable[[#This Row],[روز و ماه]])</f>
        <v>1400</v>
      </c>
      <c r="Q270" s="150"/>
      <c r="R270" s="150"/>
      <c r="S270" s="179" t="str">
        <f>CONCATENATE(تقویم!$A$2,EventsTable[[#This Row],[روز و ماه]])</f>
        <v>1400</v>
      </c>
      <c r="U270" s="150"/>
      <c r="V270" s="150"/>
      <c r="X270" s="150"/>
      <c r="Y270" s="150"/>
      <c r="AA270" s="150"/>
      <c r="AB270" s="150"/>
    </row>
    <row r="271" spans="13:28" x14ac:dyDescent="0.25">
      <c r="M271" s="171"/>
      <c r="N271" s="163"/>
      <c r="O271" s="179" t="str">
        <f>CONCATENATE(تقویم!$A$2,HolidayTable[[#This Row],[روز و ماه]])</f>
        <v>1400</v>
      </c>
      <c r="Q271" s="150"/>
      <c r="R271" s="150"/>
      <c r="S271" s="179" t="str">
        <f>CONCATENATE(تقویم!$A$2,EventsTable[[#This Row],[روز و ماه]])</f>
        <v>1400</v>
      </c>
      <c r="U271" s="150"/>
      <c r="V271" s="150"/>
      <c r="X271" s="150"/>
      <c r="Y271" s="150"/>
      <c r="AA271" s="150"/>
      <c r="AB271" s="150"/>
    </row>
    <row r="272" spans="13:28" x14ac:dyDescent="0.25">
      <c r="M272" s="171"/>
      <c r="N272" s="163"/>
      <c r="O272" s="179" t="str">
        <f>CONCATENATE(تقویم!$A$2,HolidayTable[[#This Row],[روز و ماه]])</f>
        <v>1400</v>
      </c>
      <c r="Q272" s="150"/>
      <c r="R272" s="150"/>
      <c r="S272" s="179" t="str">
        <f>CONCATENATE(تقویم!$A$2,EventsTable[[#This Row],[روز و ماه]])</f>
        <v>1400</v>
      </c>
      <c r="U272" s="150"/>
      <c r="V272" s="150"/>
      <c r="X272" s="150"/>
      <c r="Y272" s="150"/>
      <c r="AA272" s="150"/>
      <c r="AB272" s="150"/>
    </row>
    <row r="273" spans="13:28" x14ac:dyDescent="0.25">
      <c r="M273" s="171"/>
      <c r="N273" s="163"/>
      <c r="O273" s="179" t="str">
        <f>CONCATENATE(تقویم!$A$2,HolidayTable[[#This Row],[روز و ماه]])</f>
        <v>1400</v>
      </c>
      <c r="Q273" s="150"/>
      <c r="R273" s="150"/>
      <c r="S273" s="179" t="str">
        <f>CONCATENATE(تقویم!$A$2,EventsTable[[#This Row],[روز و ماه]])</f>
        <v>1400</v>
      </c>
      <c r="U273" s="150"/>
      <c r="V273" s="150"/>
      <c r="X273" s="150"/>
      <c r="Y273" s="150"/>
      <c r="AA273" s="150"/>
      <c r="AB273" s="150"/>
    </row>
    <row r="274" spans="13:28" x14ac:dyDescent="0.25">
      <c r="M274" s="171"/>
      <c r="N274" s="163"/>
      <c r="O274" s="179" t="str">
        <f>CONCATENATE(تقویم!$A$2,HolidayTable[[#This Row],[روز و ماه]])</f>
        <v>1400</v>
      </c>
      <c r="Q274" s="150"/>
      <c r="R274" s="150"/>
      <c r="S274" s="179" t="str">
        <f>CONCATENATE(تقویم!$A$2,EventsTable[[#This Row],[روز و ماه]])</f>
        <v>1400</v>
      </c>
      <c r="U274" s="150"/>
      <c r="V274" s="150"/>
      <c r="X274" s="150"/>
      <c r="Y274" s="150"/>
      <c r="AA274" s="150"/>
      <c r="AB274" s="150"/>
    </row>
    <row r="275" spans="13:28" x14ac:dyDescent="0.25">
      <c r="M275" s="171"/>
      <c r="N275" s="163"/>
      <c r="O275" s="179" t="str">
        <f>CONCATENATE(تقویم!$A$2,HolidayTable[[#This Row],[روز و ماه]])</f>
        <v>1400</v>
      </c>
      <c r="Q275" s="150"/>
      <c r="R275" s="150"/>
      <c r="S275" s="179" t="str">
        <f>CONCATENATE(تقویم!$A$2,EventsTable[[#This Row],[روز و ماه]])</f>
        <v>1400</v>
      </c>
      <c r="U275" s="150"/>
      <c r="V275" s="150"/>
      <c r="X275" s="150"/>
      <c r="Y275" s="150"/>
      <c r="AA275" s="150"/>
      <c r="AB275" s="150"/>
    </row>
    <row r="276" spans="13:28" x14ac:dyDescent="0.25">
      <c r="M276" s="171"/>
      <c r="N276" s="163"/>
      <c r="O276" s="179" t="str">
        <f>CONCATENATE(تقویم!$A$2,HolidayTable[[#This Row],[روز و ماه]])</f>
        <v>1400</v>
      </c>
      <c r="Q276" s="150"/>
      <c r="R276" s="150"/>
      <c r="S276" s="179" t="str">
        <f>CONCATENATE(تقویم!$A$2,EventsTable[[#This Row],[روز و ماه]])</f>
        <v>1400</v>
      </c>
      <c r="U276" s="150"/>
      <c r="V276" s="150"/>
      <c r="X276" s="150"/>
      <c r="Y276" s="150"/>
      <c r="AA276" s="150"/>
      <c r="AB276" s="150"/>
    </row>
    <row r="277" spans="13:28" x14ac:dyDescent="0.25">
      <c r="M277" s="171"/>
      <c r="N277" s="163"/>
      <c r="O277" s="179" t="str">
        <f>CONCATENATE(تقویم!$A$2,HolidayTable[[#This Row],[روز و ماه]])</f>
        <v>1400</v>
      </c>
      <c r="Q277" s="150"/>
      <c r="R277" s="150"/>
      <c r="S277" s="179" t="str">
        <f>CONCATENATE(تقویم!$A$2,EventsTable[[#This Row],[روز و ماه]])</f>
        <v>1400</v>
      </c>
      <c r="U277" s="150"/>
      <c r="V277" s="150"/>
      <c r="X277" s="150"/>
      <c r="Y277" s="150"/>
      <c r="AA277" s="150"/>
      <c r="AB277" s="150"/>
    </row>
    <row r="278" spans="13:28" x14ac:dyDescent="0.25">
      <c r="M278" s="171"/>
      <c r="N278" s="163"/>
      <c r="O278" s="179" t="str">
        <f>CONCATENATE(تقویم!$A$2,HolidayTable[[#This Row],[روز و ماه]])</f>
        <v>1400</v>
      </c>
      <c r="Q278" s="150"/>
      <c r="R278" s="150"/>
      <c r="S278" s="179" t="str">
        <f>CONCATENATE(تقویم!$A$2,EventsTable[[#This Row],[روز و ماه]])</f>
        <v>1400</v>
      </c>
      <c r="U278" s="150"/>
      <c r="V278" s="150"/>
      <c r="X278" s="150"/>
      <c r="Y278" s="150"/>
      <c r="AA278" s="150"/>
      <c r="AB278" s="150"/>
    </row>
    <row r="279" spans="13:28" x14ac:dyDescent="0.25">
      <c r="M279" s="171"/>
      <c r="N279" s="163"/>
      <c r="O279" s="179" t="str">
        <f>CONCATENATE(تقویم!$A$2,HolidayTable[[#This Row],[روز و ماه]])</f>
        <v>1400</v>
      </c>
      <c r="Q279" s="150"/>
      <c r="R279" s="150"/>
      <c r="S279" s="179" t="str">
        <f>CONCATENATE(تقویم!$A$2,EventsTable[[#This Row],[روز و ماه]])</f>
        <v>1400</v>
      </c>
      <c r="U279" s="150"/>
      <c r="V279" s="150"/>
      <c r="X279" s="150"/>
      <c r="Y279" s="150"/>
      <c r="AA279" s="150"/>
      <c r="AB279" s="150"/>
    </row>
    <row r="280" spans="13:28" x14ac:dyDescent="0.25">
      <c r="M280" s="171"/>
      <c r="N280" s="163"/>
      <c r="O280" s="179" t="str">
        <f>CONCATENATE(تقویم!$A$2,HolidayTable[[#This Row],[روز و ماه]])</f>
        <v>1400</v>
      </c>
      <c r="Q280" s="150"/>
      <c r="R280" s="150"/>
      <c r="S280" s="179" t="str">
        <f>CONCATENATE(تقویم!$A$2,EventsTable[[#This Row],[روز و ماه]])</f>
        <v>1400</v>
      </c>
      <c r="U280" s="150"/>
      <c r="V280" s="150"/>
      <c r="X280" s="150"/>
      <c r="Y280" s="150"/>
      <c r="AA280" s="150"/>
      <c r="AB280" s="150"/>
    </row>
    <row r="281" spans="13:28" x14ac:dyDescent="0.25">
      <c r="M281" s="171"/>
      <c r="N281" s="163"/>
      <c r="O281" s="179" t="str">
        <f>CONCATENATE(تقویم!$A$2,HolidayTable[[#This Row],[روز و ماه]])</f>
        <v>1400</v>
      </c>
      <c r="Q281" s="150"/>
      <c r="R281" s="150"/>
      <c r="S281" s="179" t="str">
        <f>CONCATENATE(تقویم!$A$2,EventsTable[[#This Row],[روز و ماه]])</f>
        <v>1400</v>
      </c>
      <c r="U281" s="150"/>
      <c r="V281" s="150"/>
      <c r="X281" s="150"/>
      <c r="Y281" s="150"/>
      <c r="AA281" s="150"/>
      <c r="AB281" s="150"/>
    </row>
    <row r="282" spans="13:28" x14ac:dyDescent="0.25">
      <c r="M282" s="171"/>
      <c r="N282" s="163"/>
      <c r="O282" s="179" t="str">
        <f>CONCATENATE(تقویم!$A$2,HolidayTable[[#This Row],[روز و ماه]])</f>
        <v>1400</v>
      </c>
      <c r="Q282" s="150"/>
      <c r="R282" s="150"/>
      <c r="S282" s="179" t="str">
        <f>CONCATENATE(تقویم!$A$2,EventsTable[[#This Row],[روز و ماه]])</f>
        <v>1400</v>
      </c>
      <c r="U282" s="150"/>
      <c r="V282" s="150"/>
      <c r="X282" s="150"/>
      <c r="Y282" s="150"/>
      <c r="AA282" s="150"/>
      <c r="AB282" s="150"/>
    </row>
    <row r="283" spans="13:28" x14ac:dyDescent="0.25">
      <c r="M283" s="171"/>
      <c r="N283" s="163"/>
      <c r="O283" s="179" t="str">
        <f>CONCATENATE(تقویم!$A$2,HolidayTable[[#This Row],[روز و ماه]])</f>
        <v>1400</v>
      </c>
      <c r="Q283" s="150"/>
      <c r="R283" s="150"/>
      <c r="S283" s="179" t="str">
        <f>CONCATENATE(تقویم!$A$2,EventsTable[[#This Row],[روز و ماه]])</f>
        <v>1400</v>
      </c>
      <c r="U283" s="150"/>
      <c r="V283" s="150"/>
      <c r="X283" s="150"/>
      <c r="Y283" s="150"/>
      <c r="AA283" s="150"/>
      <c r="AB283" s="150"/>
    </row>
    <row r="284" spans="13:28" x14ac:dyDescent="0.25">
      <c r="M284" s="171"/>
      <c r="N284" s="163"/>
      <c r="O284" s="179" t="str">
        <f>CONCATENATE(تقویم!$A$2,HolidayTable[[#This Row],[روز و ماه]])</f>
        <v>1400</v>
      </c>
      <c r="Q284" s="150"/>
      <c r="R284" s="150"/>
      <c r="S284" s="179" t="str">
        <f>CONCATENATE(تقویم!$A$2,EventsTable[[#This Row],[روز و ماه]])</f>
        <v>1400</v>
      </c>
      <c r="U284" s="150"/>
      <c r="V284" s="150"/>
      <c r="X284" s="150"/>
      <c r="Y284" s="150"/>
      <c r="AA284" s="150"/>
      <c r="AB284" s="150"/>
    </row>
    <row r="285" spans="13:28" x14ac:dyDescent="0.25">
      <c r="M285" s="171"/>
      <c r="N285" s="163"/>
      <c r="O285" s="179" t="str">
        <f>CONCATENATE(تقویم!$A$2,HolidayTable[[#This Row],[روز و ماه]])</f>
        <v>1400</v>
      </c>
      <c r="Q285" s="150"/>
      <c r="R285" s="150"/>
      <c r="S285" s="179" t="str">
        <f>CONCATENATE(تقویم!$A$2,EventsTable[[#This Row],[روز و ماه]])</f>
        <v>1400</v>
      </c>
      <c r="U285" s="150"/>
      <c r="V285" s="150"/>
      <c r="X285" s="150"/>
      <c r="Y285" s="150"/>
      <c r="AA285" s="150"/>
      <c r="AB285" s="150"/>
    </row>
    <row r="286" spans="13:28" x14ac:dyDescent="0.25">
      <c r="M286" s="171"/>
      <c r="N286" s="163"/>
      <c r="O286" s="179" t="str">
        <f>CONCATENATE(تقویم!$A$2,HolidayTable[[#This Row],[روز و ماه]])</f>
        <v>1400</v>
      </c>
      <c r="Q286" s="150"/>
      <c r="R286" s="150"/>
      <c r="S286" s="179" t="str">
        <f>CONCATENATE(تقویم!$A$2,EventsTable[[#This Row],[روز و ماه]])</f>
        <v>1400</v>
      </c>
      <c r="U286" s="150"/>
      <c r="V286" s="150"/>
      <c r="X286" s="150"/>
      <c r="Y286" s="150"/>
      <c r="AA286" s="150"/>
      <c r="AB286" s="150"/>
    </row>
    <row r="287" spans="13:28" x14ac:dyDescent="0.25">
      <c r="M287" s="171"/>
      <c r="N287" s="163"/>
      <c r="O287" s="179" t="str">
        <f>CONCATENATE(تقویم!$A$2,HolidayTable[[#This Row],[روز و ماه]])</f>
        <v>1400</v>
      </c>
      <c r="Q287" s="150"/>
      <c r="R287" s="150"/>
      <c r="S287" s="179" t="str">
        <f>CONCATENATE(تقویم!$A$2,EventsTable[[#This Row],[روز و ماه]])</f>
        <v>1400</v>
      </c>
      <c r="U287" s="150"/>
      <c r="V287" s="150"/>
      <c r="X287" s="150"/>
      <c r="Y287" s="150"/>
      <c r="AA287" s="150"/>
      <c r="AB287" s="150"/>
    </row>
    <row r="288" spans="13:28" x14ac:dyDescent="0.25">
      <c r="M288" s="171"/>
      <c r="N288" s="163"/>
      <c r="O288" s="179" t="str">
        <f>CONCATENATE(تقویم!$A$2,HolidayTable[[#This Row],[روز و ماه]])</f>
        <v>1400</v>
      </c>
      <c r="Q288" s="150"/>
      <c r="R288" s="150"/>
      <c r="S288" s="179" t="str">
        <f>CONCATENATE(تقویم!$A$2,EventsTable[[#This Row],[روز و ماه]])</f>
        <v>1400</v>
      </c>
      <c r="U288" s="150"/>
      <c r="V288" s="150"/>
      <c r="X288" s="150"/>
      <c r="Y288" s="150"/>
      <c r="AA288" s="150"/>
      <c r="AB288" s="150"/>
    </row>
    <row r="289" spans="13:28" x14ac:dyDescent="0.25">
      <c r="M289" s="171"/>
      <c r="N289" s="163"/>
      <c r="O289" s="179" t="str">
        <f>CONCATENATE(تقویم!$A$2,HolidayTable[[#This Row],[روز و ماه]])</f>
        <v>1400</v>
      </c>
      <c r="Q289" s="150"/>
      <c r="R289" s="150"/>
      <c r="S289" s="179" t="str">
        <f>CONCATENATE(تقویم!$A$2,EventsTable[[#This Row],[روز و ماه]])</f>
        <v>1400</v>
      </c>
      <c r="U289" s="150"/>
      <c r="V289" s="150"/>
      <c r="X289" s="150"/>
      <c r="Y289" s="150"/>
      <c r="AA289" s="150"/>
      <c r="AB289" s="150"/>
    </row>
    <row r="290" spans="13:28" x14ac:dyDescent="0.25">
      <c r="M290" s="171"/>
      <c r="N290" s="163"/>
      <c r="O290" s="179" t="str">
        <f>CONCATENATE(تقویم!$A$2,HolidayTable[[#This Row],[روز و ماه]])</f>
        <v>1400</v>
      </c>
      <c r="Q290" s="150"/>
      <c r="R290" s="150"/>
      <c r="S290" s="179" t="str">
        <f>CONCATENATE(تقویم!$A$2,EventsTable[[#This Row],[روز و ماه]])</f>
        <v>1400</v>
      </c>
      <c r="U290" s="150"/>
      <c r="V290" s="150"/>
      <c r="X290" s="150"/>
      <c r="Y290" s="150"/>
      <c r="AA290" s="150"/>
      <c r="AB290" s="150"/>
    </row>
    <row r="291" spans="13:28" x14ac:dyDescent="0.25">
      <c r="M291" s="171"/>
      <c r="N291" s="163"/>
      <c r="O291" s="179" t="str">
        <f>CONCATENATE(تقویم!$A$2,HolidayTable[[#This Row],[روز و ماه]])</f>
        <v>1400</v>
      </c>
      <c r="Q291" s="150"/>
      <c r="R291" s="150"/>
      <c r="S291" s="179" t="str">
        <f>CONCATENATE(تقویم!$A$2,EventsTable[[#This Row],[روز و ماه]])</f>
        <v>1400</v>
      </c>
      <c r="U291" s="150"/>
      <c r="V291" s="150"/>
      <c r="X291" s="150"/>
      <c r="Y291" s="150"/>
      <c r="AA291" s="150"/>
      <c r="AB291" s="150"/>
    </row>
    <row r="292" spans="13:28" x14ac:dyDescent="0.25">
      <c r="M292" s="171"/>
      <c r="N292" s="163"/>
      <c r="O292" s="179" t="str">
        <f>CONCATENATE(تقویم!$A$2,HolidayTable[[#This Row],[روز و ماه]])</f>
        <v>1400</v>
      </c>
      <c r="Q292" s="150"/>
      <c r="R292" s="150"/>
      <c r="S292" s="179" t="str">
        <f>CONCATENATE(تقویم!$A$2,EventsTable[[#This Row],[روز و ماه]])</f>
        <v>1400</v>
      </c>
      <c r="U292" s="150"/>
      <c r="V292" s="150"/>
      <c r="X292" s="150"/>
      <c r="Y292" s="150"/>
      <c r="AA292" s="150"/>
      <c r="AB292" s="150"/>
    </row>
    <row r="293" spans="13:28" x14ac:dyDescent="0.25">
      <c r="M293" s="171"/>
      <c r="N293" s="163"/>
      <c r="O293" s="179" t="str">
        <f>CONCATENATE(تقویم!$A$2,HolidayTable[[#This Row],[روز و ماه]])</f>
        <v>1400</v>
      </c>
      <c r="Q293" s="150"/>
      <c r="R293" s="150"/>
      <c r="S293" s="179" t="str">
        <f>CONCATENATE(تقویم!$A$2,EventsTable[[#This Row],[روز و ماه]])</f>
        <v>1400</v>
      </c>
      <c r="U293" s="150"/>
      <c r="V293" s="150"/>
      <c r="X293" s="150"/>
      <c r="Y293" s="150"/>
      <c r="AA293" s="150"/>
      <c r="AB293" s="150"/>
    </row>
    <row r="294" spans="13:28" x14ac:dyDescent="0.25">
      <c r="M294" s="171"/>
      <c r="N294" s="163"/>
      <c r="O294" s="179" t="str">
        <f>CONCATENATE(تقویم!$A$2,HolidayTable[[#This Row],[روز و ماه]])</f>
        <v>1400</v>
      </c>
      <c r="Q294" s="150"/>
      <c r="R294" s="150"/>
      <c r="S294" s="179" t="str">
        <f>CONCATENATE(تقویم!$A$2,EventsTable[[#This Row],[روز و ماه]])</f>
        <v>1400</v>
      </c>
      <c r="U294" s="150"/>
      <c r="V294" s="150"/>
      <c r="X294" s="150"/>
      <c r="Y294" s="150"/>
      <c r="AA294" s="150"/>
      <c r="AB294" s="150"/>
    </row>
    <row r="295" spans="13:28" x14ac:dyDescent="0.25">
      <c r="M295" s="171"/>
      <c r="N295" s="163"/>
      <c r="O295" s="179" t="str">
        <f>CONCATENATE(تقویم!$A$2,HolidayTable[[#This Row],[روز و ماه]])</f>
        <v>1400</v>
      </c>
      <c r="Q295" s="150"/>
      <c r="R295" s="150"/>
      <c r="S295" s="179" t="str">
        <f>CONCATENATE(تقویم!$A$2,EventsTable[[#This Row],[روز و ماه]])</f>
        <v>1400</v>
      </c>
      <c r="U295" s="150"/>
      <c r="V295" s="150"/>
      <c r="X295" s="150"/>
      <c r="Y295" s="150"/>
      <c r="AA295" s="150"/>
      <c r="AB295" s="150"/>
    </row>
    <row r="296" spans="13:28" x14ac:dyDescent="0.25">
      <c r="M296" s="171"/>
      <c r="N296" s="163"/>
      <c r="O296" s="179" t="str">
        <f>CONCATENATE(تقویم!$A$2,HolidayTable[[#This Row],[روز و ماه]])</f>
        <v>1400</v>
      </c>
      <c r="Q296" s="150"/>
      <c r="R296" s="150"/>
      <c r="S296" s="179" t="str">
        <f>CONCATENATE(تقویم!$A$2,EventsTable[[#This Row],[روز و ماه]])</f>
        <v>1400</v>
      </c>
      <c r="U296" s="150"/>
      <c r="V296" s="150"/>
      <c r="X296" s="150"/>
      <c r="Y296" s="150"/>
      <c r="AA296" s="150"/>
      <c r="AB296" s="150"/>
    </row>
    <row r="297" spans="13:28" x14ac:dyDescent="0.25">
      <c r="M297" s="171"/>
      <c r="N297" s="163"/>
      <c r="O297" s="179" t="str">
        <f>CONCATENATE(تقویم!$A$2,HolidayTable[[#This Row],[روز و ماه]])</f>
        <v>1400</v>
      </c>
      <c r="Q297" s="150"/>
      <c r="R297" s="150"/>
      <c r="S297" s="179" t="str">
        <f>CONCATENATE(تقویم!$A$2,EventsTable[[#This Row],[روز و ماه]])</f>
        <v>1400</v>
      </c>
      <c r="U297" s="150"/>
      <c r="V297" s="150"/>
      <c r="X297" s="150"/>
      <c r="Y297" s="150"/>
      <c r="AA297" s="150"/>
      <c r="AB297" s="150"/>
    </row>
    <row r="298" spans="13:28" x14ac:dyDescent="0.25">
      <c r="M298" s="171"/>
      <c r="N298" s="163"/>
      <c r="O298" s="179" t="str">
        <f>CONCATENATE(تقویم!$A$2,HolidayTable[[#This Row],[روز و ماه]])</f>
        <v>1400</v>
      </c>
      <c r="Q298" s="150"/>
      <c r="R298" s="150"/>
      <c r="S298" s="179" t="str">
        <f>CONCATENATE(تقویم!$A$2,EventsTable[[#This Row],[روز و ماه]])</f>
        <v>1400</v>
      </c>
      <c r="U298" s="150"/>
      <c r="V298" s="150"/>
      <c r="X298" s="150"/>
      <c r="Y298" s="150"/>
      <c r="AA298" s="150"/>
      <c r="AB298" s="150"/>
    </row>
    <row r="299" spans="13:28" x14ac:dyDescent="0.25">
      <c r="M299" s="171"/>
      <c r="N299" s="163"/>
      <c r="O299" s="179" t="str">
        <f>CONCATENATE(تقویم!$A$2,HolidayTable[[#This Row],[روز و ماه]])</f>
        <v>1400</v>
      </c>
      <c r="Q299" s="150"/>
      <c r="R299" s="150"/>
      <c r="S299" s="179" t="str">
        <f>CONCATENATE(تقویم!$A$2,EventsTable[[#This Row],[روز و ماه]])</f>
        <v>1400</v>
      </c>
      <c r="U299" s="150"/>
      <c r="V299" s="150"/>
      <c r="X299" s="150"/>
      <c r="Y299" s="150"/>
      <c r="AA299" s="150"/>
      <c r="AB299" s="150"/>
    </row>
    <row r="300" spans="13:28" x14ac:dyDescent="0.25">
      <c r="M300" s="171"/>
      <c r="N300" s="163"/>
      <c r="O300" s="179" t="str">
        <f>CONCATENATE(تقویم!$A$2,HolidayTable[[#This Row],[روز و ماه]])</f>
        <v>1400</v>
      </c>
      <c r="Q300" s="150"/>
      <c r="R300" s="150"/>
      <c r="S300" s="179" t="str">
        <f>CONCATENATE(تقویم!$A$2,EventsTable[[#This Row],[روز و ماه]])</f>
        <v>1400</v>
      </c>
      <c r="U300" s="150"/>
      <c r="V300" s="150"/>
      <c r="X300" s="150"/>
      <c r="Y300" s="150"/>
      <c r="AA300" s="150"/>
      <c r="AB300" s="150"/>
    </row>
    <row r="301" spans="13:28" x14ac:dyDescent="0.25">
      <c r="M301" s="171"/>
      <c r="N301" s="163"/>
      <c r="O301" s="179" t="str">
        <f>CONCATENATE(تقویم!$A$2,HolidayTable[[#This Row],[روز و ماه]])</f>
        <v>1400</v>
      </c>
      <c r="Q301" s="150"/>
      <c r="R301" s="150"/>
      <c r="S301" s="179" t="str">
        <f>CONCATENATE(تقویم!$A$2,EventsTable[[#This Row],[روز و ماه]])</f>
        <v>1400</v>
      </c>
      <c r="U301" s="150"/>
      <c r="V301" s="150"/>
      <c r="X301" s="150"/>
      <c r="Y301" s="150"/>
      <c r="AA301" s="150"/>
      <c r="AB301" s="150"/>
    </row>
    <row r="302" spans="13:28" x14ac:dyDescent="0.25">
      <c r="M302" s="171"/>
      <c r="N302" s="163"/>
      <c r="O302" s="179" t="str">
        <f>CONCATENATE(تقویم!$A$2,HolidayTable[[#This Row],[روز و ماه]])</f>
        <v>1400</v>
      </c>
      <c r="Q302" s="150"/>
      <c r="R302" s="150"/>
      <c r="S302" s="179" t="str">
        <f>CONCATENATE(تقویم!$A$2,EventsTable[[#This Row],[روز و ماه]])</f>
        <v>1400</v>
      </c>
      <c r="U302" s="150"/>
      <c r="V302" s="150"/>
      <c r="X302" s="150"/>
      <c r="Y302" s="150"/>
      <c r="AA302" s="150"/>
      <c r="AB302" s="150"/>
    </row>
    <row r="303" spans="13:28" x14ac:dyDescent="0.25">
      <c r="M303" s="171"/>
      <c r="N303" s="163"/>
      <c r="O303" s="179" t="str">
        <f>CONCATENATE(تقویم!$A$2,HolidayTable[[#This Row],[روز و ماه]])</f>
        <v>1400</v>
      </c>
      <c r="Q303" s="150"/>
      <c r="R303" s="150"/>
      <c r="S303" s="179" t="str">
        <f>CONCATENATE(تقویم!$A$2,EventsTable[[#This Row],[روز و ماه]])</f>
        <v>1400</v>
      </c>
      <c r="U303" s="150"/>
      <c r="V303" s="150"/>
      <c r="X303" s="150"/>
      <c r="Y303" s="150"/>
      <c r="AA303" s="150"/>
      <c r="AB303" s="150"/>
    </row>
    <row r="304" spans="13:28" x14ac:dyDescent="0.25">
      <c r="M304" s="171"/>
      <c r="N304" s="163"/>
      <c r="O304" s="179" t="str">
        <f>CONCATENATE(تقویم!$A$2,HolidayTable[[#This Row],[روز و ماه]])</f>
        <v>1400</v>
      </c>
      <c r="Q304" s="150"/>
      <c r="R304" s="150"/>
      <c r="S304" s="179" t="str">
        <f>CONCATENATE(تقویم!$A$2,EventsTable[[#This Row],[روز و ماه]])</f>
        <v>1400</v>
      </c>
      <c r="U304" s="150"/>
      <c r="V304" s="150"/>
      <c r="X304" s="150"/>
      <c r="Y304" s="150"/>
      <c r="AA304" s="150"/>
      <c r="AB304" s="150"/>
    </row>
    <row r="305" spans="13:28" x14ac:dyDescent="0.25">
      <c r="M305" s="171"/>
      <c r="N305" s="163"/>
      <c r="O305" s="179" t="str">
        <f>CONCATENATE(تقویم!$A$2,HolidayTable[[#This Row],[روز و ماه]])</f>
        <v>1400</v>
      </c>
      <c r="Q305" s="150"/>
      <c r="R305" s="150"/>
      <c r="S305" s="179" t="str">
        <f>CONCATENATE(تقویم!$A$2,EventsTable[[#This Row],[روز و ماه]])</f>
        <v>1400</v>
      </c>
      <c r="U305" s="150"/>
      <c r="V305" s="150"/>
      <c r="X305" s="150"/>
      <c r="Y305" s="150"/>
      <c r="AA305" s="150"/>
      <c r="AB305" s="150"/>
    </row>
    <row r="306" spans="13:28" x14ac:dyDescent="0.25">
      <c r="M306" s="171"/>
      <c r="N306" s="163"/>
      <c r="O306" s="179" t="str">
        <f>CONCATENATE(تقویم!$A$2,HolidayTable[[#This Row],[روز و ماه]])</f>
        <v>1400</v>
      </c>
      <c r="Q306" s="150"/>
      <c r="R306" s="150"/>
      <c r="S306" s="179" t="str">
        <f>CONCATENATE(تقویم!$A$2,EventsTable[[#This Row],[روز و ماه]])</f>
        <v>1400</v>
      </c>
      <c r="U306" s="150"/>
      <c r="V306" s="150"/>
      <c r="X306" s="150"/>
      <c r="Y306" s="150"/>
      <c r="AA306" s="150"/>
      <c r="AB306" s="150"/>
    </row>
    <row r="307" spans="13:28" x14ac:dyDescent="0.25">
      <c r="M307" s="171"/>
      <c r="N307" s="163"/>
      <c r="O307" s="179" t="str">
        <f>CONCATENATE(تقویم!$A$2,HolidayTable[[#This Row],[روز و ماه]])</f>
        <v>1400</v>
      </c>
      <c r="Q307" s="150"/>
      <c r="R307" s="150"/>
      <c r="S307" s="179" t="str">
        <f>CONCATENATE(تقویم!$A$2,EventsTable[[#This Row],[روز و ماه]])</f>
        <v>1400</v>
      </c>
      <c r="U307" s="150"/>
      <c r="V307" s="150"/>
      <c r="X307" s="150"/>
      <c r="Y307" s="150"/>
      <c r="AA307" s="150"/>
      <c r="AB307" s="150"/>
    </row>
    <row r="308" spans="13:28" x14ac:dyDescent="0.25">
      <c r="M308" s="171"/>
      <c r="N308" s="163"/>
      <c r="O308" s="179" t="str">
        <f>CONCATENATE(تقویم!$A$2,HolidayTable[[#This Row],[روز و ماه]])</f>
        <v>1400</v>
      </c>
      <c r="Q308" s="150"/>
      <c r="R308" s="150"/>
      <c r="S308" s="179" t="str">
        <f>CONCATENATE(تقویم!$A$2,EventsTable[[#This Row],[روز و ماه]])</f>
        <v>1400</v>
      </c>
      <c r="U308" s="150"/>
      <c r="V308" s="150"/>
      <c r="X308" s="150"/>
      <c r="Y308" s="150"/>
      <c r="AA308" s="150"/>
      <c r="AB308" s="150"/>
    </row>
    <row r="309" spans="13:28" x14ac:dyDescent="0.25">
      <c r="M309" s="171"/>
      <c r="N309" s="163"/>
      <c r="O309" s="179" t="str">
        <f>CONCATENATE(تقویم!$A$2,HolidayTable[[#This Row],[روز و ماه]])</f>
        <v>1400</v>
      </c>
      <c r="Q309" s="150"/>
      <c r="R309" s="150"/>
      <c r="S309" s="179" t="str">
        <f>CONCATENATE(تقویم!$A$2,EventsTable[[#This Row],[روز و ماه]])</f>
        <v>1400</v>
      </c>
      <c r="U309" s="150"/>
      <c r="V309" s="150"/>
      <c r="X309" s="150"/>
      <c r="Y309" s="150"/>
      <c r="AA309" s="150"/>
      <c r="AB309" s="150"/>
    </row>
    <row r="310" spans="13:28" x14ac:dyDescent="0.25">
      <c r="M310" s="171"/>
      <c r="N310" s="163"/>
      <c r="O310" s="179" t="str">
        <f>CONCATENATE(تقویم!$A$2,HolidayTable[[#This Row],[روز و ماه]])</f>
        <v>1400</v>
      </c>
      <c r="Q310" s="150"/>
      <c r="R310" s="150"/>
      <c r="S310" s="179" t="str">
        <f>CONCATENATE(تقویم!$A$2,EventsTable[[#This Row],[روز و ماه]])</f>
        <v>1400</v>
      </c>
      <c r="U310" s="150"/>
      <c r="V310" s="150"/>
      <c r="X310" s="150"/>
      <c r="Y310" s="150"/>
      <c r="AA310" s="150"/>
      <c r="AB310" s="150"/>
    </row>
    <row r="311" spans="13:28" x14ac:dyDescent="0.25">
      <c r="M311" s="171"/>
      <c r="N311" s="163"/>
      <c r="O311" s="179" t="str">
        <f>CONCATENATE(تقویم!$A$2,HolidayTable[[#This Row],[روز و ماه]])</f>
        <v>1400</v>
      </c>
      <c r="Q311" s="150"/>
      <c r="R311" s="150"/>
      <c r="S311" s="179" t="str">
        <f>CONCATENATE(تقویم!$A$2,EventsTable[[#This Row],[روز و ماه]])</f>
        <v>1400</v>
      </c>
      <c r="U311" s="150"/>
      <c r="V311" s="150"/>
      <c r="X311" s="150"/>
      <c r="Y311" s="150"/>
      <c r="AA311" s="150"/>
      <c r="AB311" s="150"/>
    </row>
    <row r="312" spans="13:28" x14ac:dyDescent="0.25">
      <c r="M312" s="171"/>
      <c r="N312" s="163"/>
      <c r="O312" s="179" t="str">
        <f>CONCATENATE(تقویم!$A$2,HolidayTable[[#This Row],[روز و ماه]])</f>
        <v>1400</v>
      </c>
      <c r="Q312" s="150"/>
      <c r="R312" s="150"/>
      <c r="S312" s="179" t="str">
        <f>CONCATENATE(تقویم!$A$2,EventsTable[[#This Row],[روز و ماه]])</f>
        <v>1400</v>
      </c>
      <c r="U312" s="150"/>
      <c r="V312" s="150"/>
      <c r="X312" s="150"/>
      <c r="Y312" s="150"/>
      <c r="AA312" s="150"/>
      <c r="AB312" s="150"/>
    </row>
    <row r="313" spans="13:28" x14ac:dyDescent="0.25">
      <c r="M313" s="171"/>
      <c r="N313" s="163"/>
      <c r="O313" s="179" t="str">
        <f>CONCATENATE(تقویم!$A$2,HolidayTable[[#This Row],[روز و ماه]])</f>
        <v>1400</v>
      </c>
      <c r="Q313" s="150"/>
      <c r="R313" s="150"/>
      <c r="S313" s="179" t="str">
        <f>CONCATENATE(تقویم!$A$2,EventsTable[[#This Row],[روز و ماه]])</f>
        <v>1400</v>
      </c>
      <c r="U313" s="150"/>
      <c r="V313" s="150"/>
      <c r="X313" s="150"/>
      <c r="Y313" s="150"/>
      <c r="AA313" s="150"/>
      <c r="AB313" s="150"/>
    </row>
    <row r="314" spans="13:28" x14ac:dyDescent="0.25">
      <c r="M314" s="171"/>
      <c r="N314" s="163"/>
      <c r="O314" s="179" t="str">
        <f>CONCATENATE(تقویم!$A$2,HolidayTable[[#This Row],[روز و ماه]])</f>
        <v>1400</v>
      </c>
      <c r="Q314" s="150"/>
      <c r="R314" s="150"/>
      <c r="S314" s="179" t="str">
        <f>CONCATENATE(تقویم!$A$2,EventsTable[[#This Row],[روز و ماه]])</f>
        <v>1400</v>
      </c>
      <c r="U314" s="150"/>
      <c r="V314" s="150"/>
      <c r="X314" s="150"/>
      <c r="Y314" s="150"/>
      <c r="AA314" s="150"/>
      <c r="AB314" s="150"/>
    </row>
    <row r="315" spans="13:28" x14ac:dyDescent="0.25">
      <c r="M315" s="171"/>
      <c r="N315" s="163"/>
      <c r="O315" s="179" t="str">
        <f>CONCATENATE(تقویم!$A$2,HolidayTable[[#This Row],[روز و ماه]])</f>
        <v>1400</v>
      </c>
      <c r="Q315" s="150"/>
      <c r="R315" s="150"/>
      <c r="S315" s="179" t="str">
        <f>CONCATENATE(تقویم!$A$2,EventsTable[[#This Row],[روز و ماه]])</f>
        <v>1400</v>
      </c>
      <c r="U315" s="150"/>
      <c r="V315" s="150"/>
      <c r="X315" s="150"/>
      <c r="Y315" s="150"/>
      <c r="AA315" s="150"/>
      <c r="AB315" s="150"/>
    </row>
    <row r="316" spans="13:28" x14ac:dyDescent="0.25">
      <c r="M316" s="171"/>
      <c r="N316" s="163"/>
      <c r="O316" s="179" t="str">
        <f>CONCATENATE(تقویم!$A$2,HolidayTable[[#This Row],[روز و ماه]])</f>
        <v>1400</v>
      </c>
      <c r="Q316" s="150"/>
      <c r="R316" s="150"/>
      <c r="S316" s="179" t="str">
        <f>CONCATENATE(تقویم!$A$2,EventsTable[[#This Row],[روز و ماه]])</f>
        <v>1400</v>
      </c>
      <c r="U316" s="150"/>
      <c r="V316" s="150"/>
      <c r="X316" s="150"/>
      <c r="Y316" s="150"/>
      <c r="AA316" s="150"/>
      <c r="AB316" s="150"/>
    </row>
    <row r="317" spans="13:28" x14ac:dyDescent="0.25">
      <c r="M317" s="171"/>
      <c r="N317" s="163"/>
      <c r="O317" s="179" t="str">
        <f>CONCATENATE(تقویم!$A$2,HolidayTable[[#This Row],[روز و ماه]])</f>
        <v>1400</v>
      </c>
      <c r="Q317" s="150"/>
      <c r="R317" s="150"/>
      <c r="S317" s="179" t="str">
        <f>CONCATENATE(تقویم!$A$2,EventsTable[[#This Row],[روز و ماه]])</f>
        <v>1400</v>
      </c>
      <c r="U317" s="150"/>
      <c r="V317" s="150"/>
      <c r="X317" s="150"/>
      <c r="Y317" s="150"/>
      <c r="AA317" s="150"/>
      <c r="AB317" s="150"/>
    </row>
    <row r="318" spans="13:28" x14ac:dyDescent="0.25">
      <c r="M318" s="171"/>
      <c r="N318" s="163"/>
      <c r="O318" s="179" t="str">
        <f>CONCATENATE(تقویم!$A$2,HolidayTable[[#This Row],[روز و ماه]])</f>
        <v>1400</v>
      </c>
      <c r="Q318" s="150"/>
      <c r="R318" s="150"/>
      <c r="S318" s="179" t="str">
        <f>CONCATENATE(تقویم!$A$2,EventsTable[[#This Row],[روز و ماه]])</f>
        <v>1400</v>
      </c>
      <c r="U318" s="150"/>
      <c r="V318" s="150"/>
      <c r="X318" s="150"/>
      <c r="Y318" s="150"/>
      <c r="AA318" s="150"/>
      <c r="AB318" s="150"/>
    </row>
    <row r="319" spans="13:28" x14ac:dyDescent="0.25">
      <c r="M319" s="171"/>
      <c r="N319" s="163"/>
      <c r="O319" s="179" t="str">
        <f>CONCATENATE(تقویم!$A$2,HolidayTable[[#This Row],[روز و ماه]])</f>
        <v>1400</v>
      </c>
      <c r="Q319" s="150"/>
      <c r="R319" s="150"/>
      <c r="S319" s="179" t="str">
        <f>CONCATENATE(تقویم!$A$2,EventsTable[[#This Row],[روز و ماه]])</f>
        <v>1400</v>
      </c>
      <c r="U319" s="150"/>
      <c r="V319" s="150"/>
      <c r="X319" s="150"/>
      <c r="Y319" s="150"/>
      <c r="AA319" s="150"/>
      <c r="AB319" s="150"/>
    </row>
    <row r="320" spans="13:28" x14ac:dyDescent="0.25">
      <c r="M320" s="171"/>
      <c r="N320" s="163"/>
      <c r="O320" s="179" t="str">
        <f>CONCATENATE(تقویم!$A$2,HolidayTable[[#This Row],[روز و ماه]])</f>
        <v>1400</v>
      </c>
      <c r="Q320" s="150"/>
      <c r="R320" s="150"/>
      <c r="S320" s="179" t="str">
        <f>CONCATENATE(تقویم!$A$2,EventsTable[[#This Row],[روز و ماه]])</f>
        <v>1400</v>
      </c>
      <c r="U320" s="150"/>
      <c r="V320" s="150"/>
      <c r="X320" s="150"/>
      <c r="Y320" s="150"/>
      <c r="AA320" s="150"/>
      <c r="AB320" s="150"/>
    </row>
    <row r="321" spans="13:28" x14ac:dyDescent="0.25">
      <c r="M321" s="171"/>
      <c r="N321" s="163"/>
      <c r="O321" s="179" t="str">
        <f>CONCATENATE(تقویم!$A$2,HolidayTable[[#This Row],[روز و ماه]])</f>
        <v>1400</v>
      </c>
      <c r="Q321" s="150"/>
      <c r="R321" s="150"/>
      <c r="S321" s="179" t="str">
        <f>CONCATENATE(تقویم!$A$2,EventsTable[[#This Row],[روز و ماه]])</f>
        <v>1400</v>
      </c>
      <c r="U321" s="150"/>
      <c r="V321" s="150"/>
      <c r="X321" s="150"/>
      <c r="Y321" s="150"/>
      <c r="AA321" s="150"/>
      <c r="AB321" s="150"/>
    </row>
    <row r="322" spans="13:28" x14ac:dyDescent="0.25">
      <c r="M322" s="171"/>
      <c r="N322" s="163"/>
      <c r="O322" s="179" t="str">
        <f>CONCATENATE(تقویم!$A$2,HolidayTable[[#This Row],[روز و ماه]])</f>
        <v>1400</v>
      </c>
      <c r="Q322" s="150"/>
      <c r="R322" s="150"/>
      <c r="S322" s="179" t="str">
        <f>CONCATENATE(تقویم!$A$2,EventsTable[[#This Row],[روز و ماه]])</f>
        <v>1400</v>
      </c>
      <c r="U322" s="150"/>
      <c r="V322" s="150"/>
      <c r="X322" s="150"/>
      <c r="Y322" s="150"/>
      <c r="AA322" s="150"/>
      <c r="AB322" s="150"/>
    </row>
    <row r="323" spans="13:28" x14ac:dyDescent="0.25">
      <c r="M323" s="171"/>
      <c r="N323" s="163"/>
      <c r="O323" s="179" t="str">
        <f>CONCATENATE(تقویم!$A$2,HolidayTable[[#This Row],[روز و ماه]])</f>
        <v>1400</v>
      </c>
      <c r="Q323" s="150"/>
      <c r="R323" s="150"/>
      <c r="S323" s="179" t="str">
        <f>CONCATENATE(تقویم!$A$2,EventsTable[[#This Row],[روز و ماه]])</f>
        <v>1400</v>
      </c>
      <c r="U323" s="150"/>
      <c r="V323" s="150"/>
      <c r="X323" s="150"/>
      <c r="Y323" s="150"/>
      <c r="AA323" s="150"/>
      <c r="AB323" s="150"/>
    </row>
    <row r="324" spans="13:28" x14ac:dyDescent="0.25">
      <c r="M324" s="171"/>
      <c r="N324" s="163"/>
      <c r="O324" s="179" t="str">
        <f>CONCATENATE(تقویم!$A$2,HolidayTable[[#This Row],[روز و ماه]])</f>
        <v>1400</v>
      </c>
      <c r="Q324" s="150"/>
      <c r="R324" s="150"/>
      <c r="S324" s="179" t="str">
        <f>CONCATENATE(تقویم!$A$2,EventsTable[[#This Row],[روز و ماه]])</f>
        <v>1400</v>
      </c>
      <c r="U324" s="150"/>
      <c r="V324" s="150"/>
      <c r="X324" s="150"/>
      <c r="Y324" s="150"/>
      <c r="AA324" s="150"/>
      <c r="AB324" s="150"/>
    </row>
    <row r="325" spans="13:28" x14ac:dyDescent="0.25">
      <c r="M325" s="171"/>
      <c r="N325" s="163"/>
      <c r="O325" s="179" t="str">
        <f>CONCATENATE(تقویم!$A$2,HolidayTable[[#This Row],[روز و ماه]])</f>
        <v>1400</v>
      </c>
      <c r="Q325" s="150"/>
      <c r="R325" s="150"/>
      <c r="S325" s="179" t="str">
        <f>CONCATENATE(تقویم!$A$2,EventsTable[[#This Row],[روز و ماه]])</f>
        <v>1400</v>
      </c>
      <c r="U325" s="150"/>
      <c r="V325" s="150"/>
      <c r="X325" s="150"/>
      <c r="Y325" s="150"/>
      <c r="AA325" s="150"/>
      <c r="AB325" s="150"/>
    </row>
    <row r="326" spans="13:28" x14ac:dyDescent="0.25">
      <c r="M326" s="171"/>
      <c r="N326" s="163"/>
      <c r="O326" s="179" t="str">
        <f>CONCATENATE(تقویم!$A$2,HolidayTable[[#This Row],[روز و ماه]])</f>
        <v>1400</v>
      </c>
      <c r="Q326" s="150"/>
      <c r="R326" s="150"/>
      <c r="S326" s="179" t="str">
        <f>CONCATENATE(تقویم!$A$2,EventsTable[[#This Row],[روز و ماه]])</f>
        <v>1400</v>
      </c>
      <c r="U326" s="150"/>
      <c r="V326" s="150"/>
      <c r="X326" s="150"/>
      <c r="Y326" s="150"/>
      <c r="AA326" s="150"/>
      <c r="AB326" s="150"/>
    </row>
    <row r="327" spans="13:28" x14ac:dyDescent="0.25">
      <c r="M327" s="171"/>
      <c r="N327" s="163"/>
      <c r="O327" s="179" t="str">
        <f>CONCATENATE(تقویم!$A$2,HolidayTable[[#This Row],[روز و ماه]])</f>
        <v>1400</v>
      </c>
      <c r="Q327" s="150"/>
      <c r="R327" s="150"/>
      <c r="S327" s="179" t="str">
        <f>CONCATENATE(تقویم!$A$2,EventsTable[[#This Row],[روز و ماه]])</f>
        <v>1400</v>
      </c>
      <c r="U327" s="150"/>
      <c r="V327" s="150"/>
      <c r="X327" s="150"/>
      <c r="Y327" s="150"/>
      <c r="AA327" s="150"/>
      <c r="AB327" s="150"/>
    </row>
    <row r="328" spans="13:28" x14ac:dyDescent="0.25">
      <c r="M328" s="171"/>
      <c r="N328" s="163"/>
      <c r="O328" s="179" t="str">
        <f>CONCATENATE(تقویم!$A$2,HolidayTable[[#This Row],[روز و ماه]])</f>
        <v>1400</v>
      </c>
      <c r="Q328" s="150"/>
      <c r="R328" s="150"/>
      <c r="S328" s="179" t="str">
        <f>CONCATENATE(تقویم!$A$2,EventsTable[[#This Row],[روز و ماه]])</f>
        <v>1400</v>
      </c>
      <c r="U328" s="150"/>
      <c r="V328" s="150"/>
      <c r="X328" s="150"/>
      <c r="Y328" s="150"/>
      <c r="AA328" s="150"/>
      <c r="AB328" s="150"/>
    </row>
    <row r="329" spans="13:28" x14ac:dyDescent="0.25">
      <c r="M329" s="171"/>
      <c r="N329" s="163"/>
      <c r="O329" s="179" t="str">
        <f>CONCATENATE(تقویم!$A$2,HolidayTable[[#This Row],[روز و ماه]])</f>
        <v>1400</v>
      </c>
      <c r="Q329" s="150"/>
      <c r="R329" s="150"/>
      <c r="S329" s="179" t="str">
        <f>CONCATENATE(تقویم!$A$2,EventsTable[[#This Row],[روز و ماه]])</f>
        <v>1400</v>
      </c>
      <c r="U329" s="150"/>
      <c r="V329" s="150"/>
      <c r="X329" s="150"/>
      <c r="Y329" s="150"/>
      <c r="AA329" s="150"/>
      <c r="AB329" s="150"/>
    </row>
    <row r="330" spans="13:28" x14ac:dyDescent="0.25">
      <c r="M330" s="171"/>
      <c r="N330" s="163"/>
      <c r="O330" s="179" t="str">
        <f>CONCATENATE(تقویم!$A$2,HolidayTable[[#This Row],[روز و ماه]])</f>
        <v>1400</v>
      </c>
      <c r="Q330" s="150"/>
      <c r="R330" s="150"/>
      <c r="S330" s="179" t="str">
        <f>CONCATENATE(تقویم!$A$2,EventsTable[[#This Row],[روز و ماه]])</f>
        <v>1400</v>
      </c>
      <c r="U330" s="150"/>
      <c r="V330" s="150"/>
      <c r="X330" s="150"/>
      <c r="Y330" s="150"/>
      <c r="AA330" s="150"/>
      <c r="AB330" s="150"/>
    </row>
    <row r="331" spans="13:28" x14ac:dyDescent="0.25">
      <c r="M331" s="171"/>
      <c r="N331" s="163"/>
      <c r="O331" s="179" t="str">
        <f>CONCATENATE(تقویم!$A$2,HolidayTable[[#This Row],[روز و ماه]])</f>
        <v>1400</v>
      </c>
      <c r="Q331" s="150"/>
      <c r="R331" s="150"/>
      <c r="S331" s="179" t="str">
        <f>CONCATENATE(تقویم!$A$2,EventsTable[[#This Row],[روز و ماه]])</f>
        <v>1400</v>
      </c>
      <c r="U331" s="150"/>
      <c r="V331" s="150"/>
      <c r="X331" s="150"/>
      <c r="Y331" s="150"/>
      <c r="AA331" s="150"/>
      <c r="AB331" s="150"/>
    </row>
    <row r="332" spans="13:28" x14ac:dyDescent="0.25">
      <c r="M332" s="171"/>
      <c r="N332" s="163"/>
      <c r="O332" s="179" t="str">
        <f>CONCATENATE(تقویم!$A$2,HolidayTable[[#This Row],[روز و ماه]])</f>
        <v>1400</v>
      </c>
      <c r="Q332" s="150"/>
      <c r="R332" s="150"/>
      <c r="S332" s="179" t="str">
        <f>CONCATENATE(تقویم!$A$2,EventsTable[[#This Row],[روز و ماه]])</f>
        <v>1400</v>
      </c>
      <c r="U332" s="150"/>
      <c r="V332" s="150"/>
      <c r="X332" s="150"/>
      <c r="Y332" s="150"/>
      <c r="AA332" s="150"/>
      <c r="AB332" s="150"/>
    </row>
    <row r="333" spans="13:28" x14ac:dyDescent="0.25">
      <c r="M333" s="171"/>
      <c r="N333" s="163"/>
      <c r="O333" s="179" t="str">
        <f>CONCATENATE(تقویم!$A$2,HolidayTable[[#This Row],[روز و ماه]])</f>
        <v>1400</v>
      </c>
      <c r="Q333" s="150"/>
      <c r="R333" s="150"/>
      <c r="S333" s="179" t="str">
        <f>CONCATENATE(تقویم!$A$2,EventsTable[[#This Row],[روز و ماه]])</f>
        <v>1400</v>
      </c>
      <c r="U333" s="150"/>
      <c r="V333" s="150"/>
      <c r="X333" s="150"/>
      <c r="Y333" s="150"/>
      <c r="AA333" s="150"/>
      <c r="AB333" s="150"/>
    </row>
    <row r="334" spans="13:28" x14ac:dyDescent="0.25">
      <c r="M334" s="171"/>
      <c r="N334" s="163"/>
      <c r="O334" s="179" t="str">
        <f>CONCATENATE(تقویم!$A$2,HolidayTable[[#This Row],[روز و ماه]])</f>
        <v>1400</v>
      </c>
      <c r="Q334" s="150"/>
      <c r="R334" s="150"/>
      <c r="S334" s="179" t="str">
        <f>CONCATENATE(تقویم!$A$2,EventsTable[[#This Row],[روز و ماه]])</f>
        <v>1400</v>
      </c>
      <c r="U334" s="150"/>
      <c r="V334" s="150"/>
      <c r="X334" s="150"/>
      <c r="Y334" s="150"/>
      <c r="AA334" s="150"/>
      <c r="AB334" s="150"/>
    </row>
    <row r="335" spans="13:28" x14ac:dyDescent="0.25">
      <c r="M335" s="171"/>
      <c r="N335" s="163"/>
      <c r="O335" s="179" t="str">
        <f>CONCATENATE(تقویم!$A$2,HolidayTable[[#This Row],[روز و ماه]])</f>
        <v>1400</v>
      </c>
      <c r="Q335" s="150"/>
      <c r="R335" s="150"/>
      <c r="S335" s="179" t="str">
        <f>CONCATENATE(تقویم!$A$2,EventsTable[[#This Row],[روز و ماه]])</f>
        <v>1400</v>
      </c>
      <c r="U335" s="150"/>
      <c r="V335" s="150"/>
      <c r="X335" s="150"/>
      <c r="Y335" s="150"/>
      <c r="AA335" s="150"/>
      <c r="AB335" s="150"/>
    </row>
    <row r="336" spans="13:28" x14ac:dyDescent="0.25">
      <c r="M336" s="171"/>
      <c r="N336" s="163"/>
      <c r="O336" s="179" t="str">
        <f>CONCATENATE(تقویم!$A$2,HolidayTable[[#This Row],[روز و ماه]])</f>
        <v>1400</v>
      </c>
      <c r="Q336" s="150"/>
      <c r="R336" s="150"/>
      <c r="S336" s="179" t="str">
        <f>CONCATENATE(تقویم!$A$2,EventsTable[[#This Row],[روز و ماه]])</f>
        <v>1400</v>
      </c>
      <c r="U336" s="150"/>
      <c r="V336" s="150"/>
      <c r="X336" s="150"/>
      <c r="Y336" s="150"/>
      <c r="AA336" s="150"/>
      <c r="AB336" s="150"/>
    </row>
    <row r="337" spans="13:28" x14ac:dyDescent="0.25">
      <c r="M337" s="171"/>
      <c r="N337" s="163"/>
      <c r="O337" s="179" t="str">
        <f>CONCATENATE(تقویم!$A$2,HolidayTable[[#This Row],[روز و ماه]])</f>
        <v>1400</v>
      </c>
      <c r="Q337" s="150"/>
      <c r="R337" s="150"/>
      <c r="S337" s="179" t="str">
        <f>CONCATENATE(تقویم!$A$2,EventsTable[[#This Row],[روز و ماه]])</f>
        <v>1400</v>
      </c>
      <c r="U337" s="150"/>
      <c r="V337" s="150"/>
      <c r="X337" s="150"/>
      <c r="Y337" s="150"/>
      <c r="AA337" s="150"/>
      <c r="AB337" s="150"/>
    </row>
    <row r="338" spans="13:28" x14ac:dyDescent="0.25">
      <c r="M338" s="171"/>
      <c r="N338" s="163"/>
      <c r="O338" s="179" t="str">
        <f>CONCATENATE(تقویم!$A$2,HolidayTable[[#This Row],[روز و ماه]])</f>
        <v>1400</v>
      </c>
      <c r="Q338" s="150"/>
      <c r="R338" s="150"/>
      <c r="S338" s="179" t="str">
        <f>CONCATENATE(تقویم!$A$2,EventsTable[[#This Row],[روز و ماه]])</f>
        <v>1400</v>
      </c>
      <c r="U338" s="150"/>
      <c r="V338" s="150"/>
      <c r="X338" s="150"/>
      <c r="Y338" s="150"/>
      <c r="AA338" s="150"/>
      <c r="AB338" s="150"/>
    </row>
    <row r="339" spans="13:28" x14ac:dyDescent="0.25">
      <c r="M339" s="171"/>
      <c r="N339" s="163"/>
      <c r="O339" s="179" t="str">
        <f>CONCATENATE(تقویم!$A$2,HolidayTable[[#This Row],[روز و ماه]])</f>
        <v>1400</v>
      </c>
      <c r="Q339" s="150"/>
      <c r="R339" s="150"/>
      <c r="S339" s="179" t="str">
        <f>CONCATENATE(تقویم!$A$2,EventsTable[[#This Row],[روز و ماه]])</f>
        <v>1400</v>
      </c>
      <c r="U339" s="150"/>
      <c r="V339" s="150"/>
      <c r="X339" s="150"/>
      <c r="Y339" s="150"/>
      <c r="AA339" s="150"/>
      <c r="AB339" s="150"/>
    </row>
    <row r="340" spans="13:28" x14ac:dyDescent="0.25">
      <c r="M340" s="171"/>
      <c r="N340" s="163"/>
      <c r="O340" s="179" t="str">
        <f>CONCATENATE(تقویم!$A$2,HolidayTable[[#This Row],[روز و ماه]])</f>
        <v>1400</v>
      </c>
      <c r="Q340" s="150"/>
      <c r="R340" s="150"/>
      <c r="S340" s="179" t="str">
        <f>CONCATENATE(تقویم!$A$2,EventsTable[[#This Row],[روز و ماه]])</f>
        <v>1400</v>
      </c>
      <c r="U340" s="150"/>
      <c r="V340" s="150"/>
      <c r="X340" s="150"/>
      <c r="Y340" s="150"/>
      <c r="AA340" s="150"/>
      <c r="AB340" s="150"/>
    </row>
    <row r="341" spans="13:28" x14ac:dyDescent="0.25">
      <c r="M341" s="171"/>
      <c r="N341" s="163"/>
      <c r="O341" s="179" t="str">
        <f>CONCATENATE(تقویم!$A$2,HolidayTable[[#This Row],[روز و ماه]])</f>
        <v>1400</v>
      </c>
      <c r="Q341" s="150"/>
      <c r="R341" s="150"/>
      <c r="S341" s="179" t="str">
        <f>CONCATENATE(تقویم!$A$2,EventsTable[[#This Row],[روز و ماه]])</f>
        <v>1400</v>
      </c>
      <c r="U341" s="150"/>
      <c r="V341" s="150"/>
      <c r="X341" s="150"/>
      <c r="Y341" s="150"/>
      <c r="AA341" s="150"/>
      <c r="AB341" s="150"/>
    </row>
    <row r="342" spans="13:28" x14ac:dyDescent="0.25">
      <c r="M342" s="171"/>
      <c r="N342" s="163"/>
      <c r="O342" s="179" t="str">
        <f>CONCATENATE(تقویم!$A$2,HolidayTable[[#This Row],[روز و ماه]])</f>
        <v>1400</v>
      </c>
      <c r="Q342" s="150"/>
      <c r="R342" s="150"/>
      <c r="S342" s="179" t="str">
        <f>CONCATENATE(تقویم!$A$2,EventsTable[[#This Row],[روز و ماه]])</f>
        <v>1400</v>
      </c>
      <c r="U342" s="150"/>
      <c r="V342" s="150"/>
      <c r="X342" s="150"/>
      <c r="Y342" s="150"/>
      <c r="AA342" s="150"/>
      <c r="AB342" s="150"/>
    </row>
    <row r="343" spans="13:28" x14ac:dyDescent="0.25">
      <c r="M343" s="171"/>
      <c r="N343" s="163"/>
      <c r="O343" s="179" t="str">
        <f>CONCATENATE(تقویم!$A$2,HolidayTable[[#This Row],[روز و ماه]])</f>
        <v>1400</v>
      </c>
      <c r="Q343" s="150"/>
      <c r="R343" s="150"/>
      <c r="S343" s="179" t="str">
        <f>CONCATENATE(تقویم!$A$2,EventsTable[[#This Row],[روز و ماه]])</f>
        <v>1400</v>
      </c>
      <c r="U343" s="150"/>
      <c r="V343" s="150"/>
      <c r="X343" s="150"/>
      <c r="Y343" s="150"/>
      <c r="AA343" s="150"/>
      <c r="AB343" s="150"/>
    </row>
    <row r="344" spans="13:28" x14ac:dyDescent="0.25">
      <c r="M344" s="171"/>
      <c r="N344" s="163"/>
      <c r="O344" s="179" t="str">
        <f>CONCATENATE(تقویم!$A$2,HolidayTable[[#This Row],[روز و ماه]])</f>
        <v>1400</v>
      </c>
      <c r="Q344" s="150"/>
      <c r="R344" s="150"/>
      <c r="S344" s="179" t="str">
        <f>CONCATENATE(تقویم!$A$2,EventsTable[[#This Row],[روز و ماه]])</f>
        <v>1400</v>
      </c>
      <c r="U344" s="150"/>
      <c r="V344" s="150"/>
      <c r="X344" s="150"/>
      <c r="Y344" s="150"/>
      <c r="AA344" s="150"/>
      <c r="AB344" s="150"/>
    </row>
    <row r="345" spans="13:28" x14ac:dyDescent="0.25">
      <c r="M345" s="171"/>
      <c r="N345" s="163"/>
      <c r="O345" s="179" t="str">
        <f>CONCATENATE(تقویم!$A$2,HolidayTable[[#This Row],[روز و ماه]])</f>
        <v>1400</v>
      </c>
      <c r="Q345" s="150"/>
      <c r="R345" s="150"/>
      <c r="S345" s="179" t="str">
        <f>CONCATENATE(تقویم!$A$2,EventsTable[[#This Row],[روز و ماه]])</f>
        <v>1400</v>
      </c>
      <c r="U345" s="150"/>
      <c r="V345" s="150"/>
      <c r="X345" s="150"/>
      <c r="Y345" s="150"/>
      <c r="AA345" s="150"/>
      <c r="AB345" s="150"/>
    </row>
    <row r="346" spans="13:28" x14ac:dyDescent="0.25">
      <c r="M346" s="171"/>
      <c r="N346" s="163"/>
      <c r="O346" s="179" t="str">
        <f>CONCATENATE(تقویم!$A$2,HolidayTable[[#This Row],[روز و ماه]])</f>
        <v>1400</v>
      </c>
      <c r="Q346" s="150"/>
      <c r="R346" s="150"/>
      <c r="S346" s="179" t="str">
        <f>CONCATENATE(تقویم!$A$2,EventsTable[[#This Row],[روز و ماه]])</f>
        <v>1400</v>
      </c>
      <c r="U346" s="150"/>
      <c r="V346" s="150"/>
      <c r="X346" s="150"/>
      <c r="Y346" s="150"/>
      <c r="AA346" s="150"/>
      <c r="AB346" s="150"/>
    </row>
    <row r="347" spans="13:28" x14ac:dyDescent="0.25">
      <c r="M347" s="171"/>
      <c r="N347" s="163"/>
      <c r="O347" s="179" t="str">
        <f>CONCATENATE(تقویم!$A$2,HolidayTable[[#This Row],[روز و ماه]])</f>
        <v>1400</v>
      </c>
      <c r="Q347" s="150"/>
      <c r="R347" s="150"/>
      <c r="S347" s="179" t="str">
        <f>CONCATENATE(تقویم!$A$2,EventsTable[[#This Row],[روز و ماه]])</f>
        <v>1400</v>
      </c>
      <c r="U347" s="150"/>
      <c r="V347" s="150"/>
      <c r="X347" s="150"/>
      <c r="Y347" s="150"/>
      <c r="AA347" s="150"/>
      <c r="AB347" s="150"/>
    </row>
    <row r="348" spans="13:28" x14ac:dyDescent="0.25">
      <c r="M348" s="171"/>
      <c r="N348" s="163"/>
      <c r="O348" s="179" t="str">
        <f>CONCATENATE(تقویم!$A$2,HolidayTable[[#This Row],[روز و ماه]])</f>
        <v>1400</v>
      </c>
      <c r="Q348" s="150"/>
      <c r="R348" s="150"/>
      <c r="S348" s="179" t="str">
        <f>CONCATENATE(تقویم!$A$2,EventsTable[[#This Row],[روز و ماه]])</f>
        <v>1400</v>
      </c>
      <c r="U348" s="150"/>
      <c r="V348" s="150"/>
      <c r="X348" s="150"/>
      <c r="Y348" s="150"/>
      <c r="AA348" s="150"/>
      <c r="AB348" s="150"/>
    </row>
    <row r="349" spans="13:28" x14ac:dyDescent="0.25">
      <c r="M349" s="171"/>
      <c r="N349" s="163"/>
      <c r="O349" s="179" t="str">
        <f>CONCATENATE(تقویم!$A$2,HolidayTable[[#This Row],[روز و ماه]])</f>
        <v>1400</v>
      </c>
      <c r="Q349" s="150"/>
      <c r="R349" s="150"/>
      <c r="S349" s="179" t="str">
        <f>CONCATENATE(تقویم!$A$2,EventsTable[[#This Row],[روز و ماه]])</f>
        <v>1400</v>
      </c>
      <c r="U349" s="150"/>
      <c r="V349" s="150"/>
      <c r="X349" s="150"/>
      <c r="Y349" s="150"/>
      <c r="AA349" s="150"/>
      <c r="AB349" s="150"/>
    </row>
    <row r="350" spans="13:28" x14ac:dyDescent="0.25">
      <c r="M350" s="171"/>
      <c r="N350" s="163"/>
      <c r="O350" s="179" t="str">
        <f>CONCATENATE(تقویم!$A$2,HolidayTable[[#This Row],[روز و ماه]])</f>
        <v>1400</v>
      </c>
      <c r="Q350" s="150"/>
      <c r="R350" s="150"/>
      <c r="S350" s="179" t="str">
        <f>CONCATENATE(تقویم!$A$2,EventsTable[[#This Row],[روز و ماه]])</f>
        <v>1400</v>
      </c>
      <c r="U350" s="150"/>
      <c r="V350" s="150"/>
      <c r="X350" s="150"/>
      <c r="Y350" s="150"/>
      <c r="AA350" s="150"/>
      <c r="AB350" s="150"/>
    </row>
    <row r="351" spans="13:28" x14ac:dyDescent="0.25">
      <c r="M351" s="171"/>
      <c r="N351" s="163"/>
      <c r="O351" s="179" t="str">
        <f>CONCATENATE(تقویم!$A$2,HolidayTable[[#This Row],[روز و ماه]])</f>
        <v>1400</v>
      </c>
      <c r="Q351" s="150"/>
      <c r="R351" s="150"/>
      <c r="S351" s="179" t="str">
        <f>CONCATENATE(تقویم!$A$2,EventsTable[[#This Row],[روز و ماه]])</f>
        <v>1400</v>
      </c>
      <c r="U351" s="150"/>
      <c r="V351" s="150"/>
      <c r="X351" s="150"/>
      <c r="Y351" s="150"/>
      <c r="AA351" s="150"/>
      <c r="AB351" s="150"/>
    </row>
    <row r="352" spans="13:28" x14ac:dyDescent="0.25">
      <c r="M352" s="171"/>
      <c r="N352" s="163"/>
      <c r="O352" s="179" t="str">
        <f>CONCATENATE(تقویم!$A$2,HolidayTable[[#This Row],[روز و ماه]])</f>
        <v>1400</v>
      </c>
      <c r="Q352" s="150"/>
      <c r="R352" s="150"/>
      <c r="S352" s="179" t="str">
        <f>CONCATENATE(تقویم!$A$2,EventsTable[[#This Row],[روز و ماه]])</f>
        <v>1400</v>
      </c>
      <c r="U352" s="150"/>
      <c r="V352" s="150"/>
      <c r="X352" s="150"/>
      <c r="Y352" s="150"/>
      <c r="AA352" s="150"/>
      <c r="AB352" s="150"/>
    </row>
    <row r="353" spans="13:28" x14ac:dyDescent="0.25">
      <c r="M353" s="171"/>
      <c r="N353" s="163"/>
      <c r="O353" s="179" t="str">
        <f>CONCATENATE(تقویم!$A$2,HolidayTable[[#This Row],[روز و ماه]])</f>
        <v>1400</v>
      </c>
      <c r="Q353" s="150"/>
      <c r="R353" s="150"/>
      <c r="S353" s="179" t="str">
        <f>CONCATENATE(تقویم!$A$2,EventsTable[[#This Row],[روز و ماه]])</f>
        <v>1400</v>
      </c>
      <c r="U353" s="150"/>
      <c r="V353" s="150"/>
      <c r="X353" s="150"/>
      <c r="Y353" s="150"/>
      <c r="AA353" s="150"/>
      <c r="AB353" s="150"/>
    </row>
    <row r="354" spans="13:28" x14ac:dyDescent="0.25">
      <c r="M354" s="171"/>
      <c r="N354" s="163"/>
      <c r="O354" s="179" t="str">
        <f>CONCATENATE(تقویم!$A$2,HolidayTable[[#This Row],[روز و ماه]])</f>
        <v>1400</v>
      </c>
      <c r="Q354" s="150"/>
      <c r="R354" s="150"/>
      <c r="S354" s="179" t="str">
        <f>CONCATENATE(تقویم!$A$2,EventsTable[[#This Row],[روز و ماه]])</f>
        <v>1400</v>
      </c>
      <c r="U354" s="150"/>
      <c r="V354" s="150"/>
      <c r="X354" s="150"/>
      <c r="Y354" s="150"/>
      <c r="AA354" s="150"/>
      <c r="AB354" s="150"/>
    </row>
    <row r="355" spans="13:28" x14ac:dyDescent="0.25">
      <c r="M355" s="171"/>
      <c r="N355" s="163"/>
      <c r="O355" s="179" t="str">
        <f>CONCATENATE(تقویم!$A$2,HolidayTable[[#This Row],[روز و ماه]])</f>
        <v>1400</v>
      </c>
      <c r="Q355" s="150"/>
      <c r="R355" s="150"/>
      <c r="S355" s="179" t="str">
        <f>CONCATENATE(تقویم!$A$2,EventsTable[[#This Row],[روز و ماه]])</f>
        <v>1400</v>
      </c>
      <c r="U355" s="150"/>
      <c r="V355" s="150"/>
      <c r="X355" s="150"/>
      <c r="Y355" s="150"/>
      <c r="AA355" s="150"/>
      <c r="AB355" s="150"/>
    </row>
    <row r="356" spans="13:28" x14ac:dyDescent="0.25">
      <c r="M356" s="171"/>
      <c r="N356" s="163"/>
      <c r="O356" s="179" t="str">
        <f>CONCATENATE(تقویم!$A$2,HolidayTable[[#This Row],[روز و ماه]])</f>
        <v>1400</v>
      </c>
      <c r="Q356" s="150"/>
      <c r="R356" s="150"/>
      <c r="S356" s="179" t="str">
        <f>CONCATENATE(تقویم!$A$2,EventsTable[[#This Row],[روز و ماه]])</f>
        <v>1400</v>
      </c>
      <c r="U356" s="150"/>
      <c r="V356" s="150"/>
      <c r="X356" s="150"/>
      <c r="Y356" s="150"/>
      <c r="AA356" s="150"/>
      <c r="AB356" s="150"/>
    </row>
    <row r="357" spans="13:28" x14ac:dyDescent="0.25">
      <c r="M357" s="171"/>
      <c r="N357" s="163"/>
      <c r="O357" s="179" t="str">
        <f>CONCATENATE(تقویم!$A$2,HolidayTable[[#This Row],[روز و ماه]])</f>
        <v>1400</v>
      </c>
      <c r="Q357" s="150"/>
      <c r="R357" s="150"/>
      <c r="S357" s="179" t="str">
        <f>CONCATENATE(تقویم!$A$2,EventsTable[[#This Row],[روز و ماه]])</f>
        <v>1400</v>
      </c>
      <c r="U357" s="150"/>
      <c r="V357" s="150"/>
      <c r="X357" s="150"/>
      <c r="Y357" s="150"/>
      <c r="AA357" s="150"/>
      <c r="AB357" s="150"/>
    </row>
    <row r="358" spans="13:28" x14ac:dyDescent="0.25">
      <c r="M358" s="171"/>
      <c r="N358" s="163"/>
      <c r="O358" s="179" t="str">
        <f>CONCATENATE(تقویم!$A$2,HolidayTable[[#This Row],[روز و ماه]])</f>
        <v>1400</v>
      </c>
      <c r="Q358" s="150"/>
      <c r="R358" s="150"/>
      <c r="S358" s="179" t="str">
        <f>CONCATENATE(تقویم!$A$2,EventsTable[[#This Row],[روز و ماه]])</f>
        <v>1400</v>
      </c>
      <c r="U358" s="150"/>
      <c r="V358" s="150"/>
      <c r="X358" s="150"/>
      <c r="Y358" s="150"/>
      <c r="AA358" s="150"/>
      <c r="AB358" s="150"/>
    </row>
    <row r="359" spans="13:28" x14ac:dyDescent="0.25">
      <c r="M359" s="171"/>
      <c r="N359" s="163"/>
      <c r="O359" s="179" t="str">
        <f>CONCATENATE(تقویم!$A$2,HolidayTable[[#This Row],[روز و ماه]])</f>
        <v>1400</v>
      </c>
      <c r="Q359" s="150"/>
      <c r="R359" s="150"/>
      <c r="S359" s="179" t="str">
        <f>CONCATENATE(تقویم!$A$2,EventsTable[[#This Row],[روز و ماه]])</f>
        <v>1400</v>
      </c>
      <c r="U359" s="150"/>
      <c r="V359" s="150"/>
      <c r="X359" s="150"/>
      <c r="Y359" s="150"/>
      <c r="AA359" s="150"/>
      <c r="AB359" s="150"/>
    </row>
    <row r="360" spans="13:28" x14ac:dyDescent="0.25">
      <c r="M360" s="171"/>
      <c r="N360" s="163"/>
      <c r="O360" s="179" t="str">
        <f>CONCATENATE(تقویم!$A$2,HolidayTable[[#This Row],[روز و ماه]])</f>
        <v>1400</v>
      </c>
      <c r="Q360" s="150"/>
      <c r="R360" s="150"/>
      <c r="S360" s="179" t="str">
        <f>CONCATENATE(تقویم!$A$2,EventsTable[[#This Row],[روز و ماه]])</f>
        <v>1400</v>
      </c>
      <c r="U360" s="150"/>
      <c r="V360" s="150"/>
      <c r="X360" s="150"/>
      <c r="Y360" s="150"/>
      <c r="AA360" s="150"/>
      <c r="AB360" s="150"/>
    </row>
    <row r="361" spans="13:28" x14ac:dyDescent="0.25">
      <c r="M361" s="171"/>
      <c r="N361" s="163"/>
      <c r="O361" s="179" t="str">
        <f>CONCATENATE(تقویم!$A$2,HolidayTable[[#This Row],[روز و ماه]])</f>
        <v>1400</v>
      </c>
      <c r="Q361" s="150"/>
      <c r="R361" s="150"/>
      <c r="S361" s="179" t="str">
        <f>CONCATENATE(تقویم!$A$2,EventsTable[[#This Row],[روز و ماه]])</f>
        <v>1400</v>
      </c>
      <c r="U361" s="150"/>
      <c r="V361" s="150"/>
      <c r="X361" s="150"/>
      <c r="Y361" s="150"/>
      <c r="AA361" s="150"/>
      <c r="AB361" s="150"/>
    </row>
    <row r="362" spans="13:28" x14ac:dyDescent="0.25">
      <c r="M362" s="171"/>
      <c r="N362" s="163"/>
      <c r="O362" s="179" t="str">
        <f>CONCATENATE(تقویم!$A$2,HolidayTable[[#This Row],[روز و ماه]])</f>
        <v>1400</v>
      </c>
      <c r="Q362" s="150"/>
      <c r="R362" s="150"/>
      <c r="S362" s="179" t="str">
        <f>CONCATENATE(تقویم!$A$2,EventsTable[[#This Row],[روز و ماه]])</f>
        <v>1400</v>
      </c>
      <c r="U362" s="150"/>
      <c r="V362" s="150"/>
      <c r="X362" s="150"/>
      <c r="Y362" s="150"/>
      <c r="AA362" s="150"/>
      <c r="AB362" s="150"/>
    </row>
    <row r="363" spans="13:28" x14ac:dyDescent="0.25">
      <c r="M363" s="171"/>
      <c r="N363" s="163"/>
      <c r="O363" s="179" t="str">
        <f>CONCATENATE(تقویم!$A$2,HolidayTable[[#This Row],[روز و ماه]])</f>
        <v>1400</v>
      </c>
      <c r="Q363" s="150"/>
      <c r="R363" s="150"/>
      <c r="S363" s="179" t="str">
        <f>CONCATENATE(تقویم!$A$2,EventsTable[[#This Row],[روز و ماه]])</f>
        <v>1400</v>
      </c>
      <c r="U363" s="150"/>
      <c r="V363" s="150"/>
      <c r="X363" s="150"/>
      <c r="Y363" s="150"/>
      <c r="AA363" s="150"/>
      <c r="AB363" s="150"/>
    </row>
    <row r="364" spans="13:28" x14ac:dyDescent="0.25">
      <c r="M364" s="171"/>
      <c r="N364" s="163"/>
      <c r="O364" s="179" t="str">
        <f>CONCATENATE(تقویم!$A$2,HolidayTable[[#This Row],[روز و ماه]])</f>
        <v>1400</v>
      </c>
      <c r="Q364" s="150"/>
      <c r="R364" s="150"/>
      <c r="S364" s="179" t="str">
        <f>CONCATENATE(تقویم!$A$2,EventsTable[[#This Row],[روز و ماه]])</f>
        <v>1400</v>
      </c>
      <c r="U364" s="150"/>
      <c r="V364" s="150"/>
      <c r="X364" s="150"/>
      <c r="Y364" s="150"/>
      <c r="AA364" s="150"/>
      <c r="AB364" s="150"/>
    </row>
    <row r="365" spans="13:28" x14ac:dyDescent="0.25">
      <c r="M365" s="171"/>
      <c r="N365" s="163"/>
      <c r="O365" s="179" t="str">
        <f>CONCATENATE(تقویم!$A$2,HolidayTable[[#This Row],[روز و ماه]])</f>
        <v>1400</v>
      </c>
      <c r="Q365" s="150"/>
      <c r="R365" s="150"/>
      <c r="S365" s="179" t="str">
        <f>CONCATENATE(تقویم!$A$2,EventsTable[[#This Row],[روز و ماه]])</f>
        <v>1400</v>
      </c>
      <c r="U365" s="150"/>
      <c r="V365" s="150"/>
      <c r="X365" s="150"/>
      <c r="Y365" s="150"/>
      <c r="AA365" s="150"/>
      <c r="AB365" s="150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  <ignoredErrors>
    <ignoredError sqref="N5:N9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K13"/>
  <sheetViews>
    <sheetView rightToLeft="1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22.42578125" customWidth="1"/>
    <col min="2" max="2" width="19.5703125" customWidth="1"/>
    <col min="3" max="3" width="29.85546875" customWidth="1"/>
    <col min="4" max="10" width="18.28515625" customWidth="1"/>
    <col min="11" max="11" width="61.5703125" customWidth="1"/>
    <col min="12" max="12" width="20.85546875" customWidth="1"/>
    <col min="13" max="13" width="28.7109375" customWidth="1"/>
  </cols>
  <sheetData>
    <row r="1" spans="1:11" ht="18.75" x14ac:dyDescent="0.25">
      <c r="A1" s="11" t="s">
        <v>8</v>
      </c>
      <c r="B1" s="37" t="s">
        <v>116</v>
      </c>
      <c r="C1" s="12" t="s">
        <v>103</v>
      </c>
      <c r="D1" s="13" t="s">
        <v>104</v>
      </c>
      <c r="E1" s="35" t="s">
        <v>105</v>
      </c>
      <c r="F1" s="14" t="s">
        <v>111</v>
      </c>
      <c r="G1" s="15" t="s">
        <v>90</v>
      </c>
      <c r="H1" s="25" t="s">
        <v>112</v>
      </c>
      <c r="I1" s="16" t="s">
        <v>106</v>
      </c>
      <c r="J1" s="17" t="s">
        <v>99</v>
      </c>
    </row>
    <row r="2" spans="1:11" s="43" customFormat="1" ht="3" customHeight="1" x14ac:dyDescent="0.25"/>
    <row r="3" spans="1:11" ht="18.75" x14ac:dyDescent="0.25">
      <c r="A3" s="149" t="s">
        <v>348</v>
      </c>
      <c r="B3" s="149"/>
      <c r="C3" s="149"/>
      <c r="D3" s="15" t="s">
        <v>90</v>
      </c>
    </row>
    <row r="4" spans="1:11" x14ac:dyDescent="0.25">
      <c r="A4" s="80" t="s">
        <v>353</v>
      </c>
      <c r="B4" s="80" t="s">
        <v>160</v>
      </c>
      <c r="C4" s="80" t="s">
        <v>354</v>
      </c>
    </row>
    <row r="5" spans="1:11" x14ac:dyDescent="0.25">
      <c r="A5" s="115" t="s">
        <v>349</v>
      </c>
      <c r="B5" s="80">
        <f>Shamsi()</f>
        <v>14000529</v>
      </c>
      <c r="C5" s="80" t="s">
        <v>350</v>
      </c>
      <c r="E5">
        <f>DayWeekNo(14000523)</f>
        <v>0</v>
      </c>
      <c r="F5" t="s">
        <v>357</v>
      </c>
      <c r="K5" s="1" t="s">
        <v>14</v>
      </c>
    </row>
    <row r="6" spans="1:11" x14ac:dyDescent="0.25">
      <c r="A6" s="115" t="s">
        <v>351</v>
      </c>
      <c r="B6" s="80" t="str">
        <f>Slash(Shamsi())</f>
        <v>1400/05/29</v>
      </c>
      <c r="C6" s="80" t="s">
        <v>352</v>
      </c>
      <c r="E6">
        <f>DayWeekNo(14000524)</f>
        <v>1</v>
      </c>
      <c r="F6" t="s">
        <v>360</v>
      </c>
      <c r="K6" s="2" t="s">
        <v>15</v>
      </c>
    </row>
    <row r="7" spans="1:11" ht="45" x14ac:dyDescent="0.25">
      <c r="A7" s="115" t="s">
        <v>359</v>
      </c>
      <c r="B7" s="80">
        <f>DayWeekNo(Shamsi())</f>
        <v>6</v>
      </c>
      <c r="C7" s="80" t="s">
        <v>365</v>
      </c>
      <c r="E7">
        <f>DayWeekNo(14000525)</f>
        <v>2</v>
      </c>
      <c r="F7" t="s">
        <v>361</v>
      </c>
    </row>
    <row r="8" spans="1:11" x14ac:dyDescent="0.25">
      <c r="A8" s="115"/>
      <c r="B8" s="80"/>
      <c r="C8" s="80"/>
      <c r="E8">
        <f>DayWeekNo(14000526)</f>
        <v>3</v>
      </c>
      <c r="F8" t="s">
        <v>362</v>
      </c>
    </row>
    <row r="9" spans="1:11" x14ac:dyDescent="0.25">
      <c r="A9" s="115"/>
      <c r="B9" s="80"/>
      <c r="C9" s="80"/>
      <c r="E9">
        <f>DayWeekNo(14000527)</f>
        <v>4</v>
      </c>
      <c r="F9" t="s">
        <v>363</v>
      </c>
    </row>
    <row r="10" spans="1:11" x14ac:dyDescent="0.25">
      <c r="A10" s="115"/>
      <c r="B10" s="80"/>
      <c r="C10" s="80"/>
      <c r="E10">
        <f>DayWeekNo(14000528)</f>
        <v>5</v>
      </c>
      <c r="F10" t="s">
        <v>364</v>
      </c>
    </row>
    <row r="11" spans="1:11" x14ac:dyDescent="0.25">
      <c r="A11" s="115"/>
      <c r="B11" s="80"/>
      <c r="C11" s="80"/>
      <c r="E11">
        <f>DayWeekNo(14000529)</f>
        <v>6</v>
      </c>
      <c r="F11" t="s">
        <v>358</v>
      </c>
    </row>
    <row r="12" spans="1:11" x14ac:dyDescent="0.25">
      <c r="A12" s="115"/>
      <c r="B12" s="80"/>
      <c r="C12" s="80"/>
    </row>
    <row r="13" spans="1:11" x14ac:dyDescent="0.25">
      <c r="A13" s="115"/>
      <c r="B13" s="80"/>
      <c r="C13" s="80"/>
    </row>
  </sheetData>
  <mergeCells count="1">
    <mergeCell ref="A3:C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D3" location="تقویم!A1" display="تقویم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2021-08-21T11:38:39Z</dcterms:modified>
</cp:coreProperties>
</file>