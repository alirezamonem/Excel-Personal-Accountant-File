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queryTables/queryTable1.xml" ContentType="application/vnd.openxmlformats-officedocument.spreadsheetml.query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Personal accounting office\Github_Repository\"/>
    </mc:Choice>
  </mc:AlternateContent>
  <bookViews>
    <workbookView xWindow="0" yWindow="16200" windowWidth="25200" windowHeight="12015" tabRatio="907" firstSheet="14" activeTab="22"/>
  </bookViews>
  <sheets>
    <sheet name="چک نویس" sheetId="22" r:id="rId1"/>
    <sheet name="فهرست" sheetId="19" r:id="rId2"/>
    <sheet name="تراکنش‌ها" sheetId="1" r:id="rId3"/>
    <sheet name="بودجه بندی" sheetId="23" r:id="rId4"/>
    <sheet name="مدیریت وام و اقساط" sheetId="14" r:id="rId5"/>
    <sheet name="مدیریت چک‌ها" sheetId="2" r:id="rId6"/>
    <sheet name="مدیریت بدهی‌ها-طلب‌ها" sheetId="16" r:id="rId7"/>
    <sheet name="برنامه ریزی پرداخت‌ها" sheetId="15" r:id="rId8"/>
    <sheet name="تقویم" sheetId="18" r:id="rId9"/>
    <sheet name="گزارش فعالیت‌های ماه جاری" sheetId="5" r:id="rId10"/>
    <sheet name="گزارش دریافت‌ها" sheetId="8" r:id="rId11"/>
    <sheet name="گزارش پرداخت‌ها" sheetId="9" r:id="rId12"/>
    <sheet name="گزارش انتقال‌ها" sheetId="10" r:id="rId13"/>
    <sheet name="گروه‌‌های درآمدی" sheetId="20" r:id="rId14"/>
    <sheet name="گزارش گروه‌های دریافتی" sheetId="13" r:id="rId15"/>
    <sheet name="گروه‌‌های (بابت‌ها) هزینه" sheetId="6" r:id="rId16"/>
    <sheet name="گزارش گروه‌های پرداختی" sheetId="12" r:id="rId17"/>
    <sheet name="گروه‌های انتقال" sheetId="26" r:id="rId18"/>
    <sheet name="گزارش گروه‌های انتقال" sheetId="27" r:id="rId19"/>
    <sheet name="جست و جو" sheetId="17" r:id="rId20"/>
    <sheet name="دریافت کنندگان - پرداخت کنندگان" sheetId="24" r:id="rId21"/>
    <sheet name="تنظیمات حساب" sheetId="3" r:id="rId22"/>
    <sheet name="تنظیمات دفترچه" sheetId="4" r:id="rId23"/>
    <sheet name="راهنما" sheetId="21" r:id="rId24"/>
  </sheets>
  <functionGroups builtInGroupCount="18"/>
  <definedNames>
    <definedName name="AccountNamesList">FinancialAccountsTable[نام حساب]</definedName>
    <definedName name="Accounts_and_ReceiversAndPayers_List">Accounts_and_ReceiversAndPayers_AppendTabel[Accounts and ReceiversAndPayers]</definedName>
    <definedName name="ExternalData_1" localSheetId="20" hidden="1">'دریافت کنندگان - پرداخت کنندگان'!$C$3:$D$19</definedName>
    <definedName name="RecipientsList">ReceiversAndPayersTable[دریافت کننده - پرداخت کنندگان]</definedName>
    <definedName name="TransactionMethodsList" comment="روش های انتقال پول">TransactionMethodsTable[روش تراکنش]</definedName>
    <definedName name="ارتباطات" comment="گروه هزینه‌های ارتباطات">NetworkCostsTable[ارتباطات]</definedName>
    <definedName name="ایاب_و_ذهاب" comment="گروه هزینه‌های ایاب و ذهاب">TravelCostsTable[ایاب و ذهاب]</definedName>
    <definedName name="بهداشت_و_درمان" comment="گروه هزینه‌های بهداشت و درمان">HealthCareCostsTable[بهداشت و درمان]</definedName>
    <definedName name="بهداشت_و_نظافت_فردی" comment="گروه هزینه‌های بهداشت و نظافت فردی">PersonalCleaningCostsTable[بهداشت و نظافت فردی]</definedName>
    <definedName name="بهداشت_و_نظافت_محیط" comment="گروه هزینه های بهداشت و نظافت محیط">EnvironmentalHealthCostsTable[بهداشت و نظافت محیط]</definedName>
    <definedName name="بیمه" comment="گروه هزینه‌های بیمه">InsuranceCostsTable[بیمه]</definedName>
    <definedName name="پرداخت_اقساط" comment="گروه هزینه‌های پرداخت اقساط">InstallmentPaymentCostsTable[پرداخت اقساط]</definedName>
    <definedName name="پرداخت_هزینه" comment="گروه‌های هزینه در کاربرگ گروه‌های (بابت‌ها) هزینه">CostGroupsTable[نام گروه هزینه]</definedName>
    <definedName name="پوشاک_و_کفش" comment="گروه هزینه‌های پوشاک و کفش">CostsOfClothingAndFootwearTable[پوشاک و کفش]</definedName>
    <definedName name="تشویقی‌ها_جوایز_و_عیدی‌ها" comment="لیست گروه درآمد‌ها تشویفی‌ها، جوایز و عیدی‌ها">IncentivesPrizesAndFeastsTable[تشویقی‌ها، جوایز و عیدی‌ها]</definedName>
    <definedName name="حقوق" comment="لیست گروه درآمد‌ها حقوق">RightsTable[حقوق]</definedName>
    <definedName name="خودرو" comment="گروه هزینه‌های خودرو">CarCostsTable[خودرو]</definedName>
    <definedName name="خوراکی‌ها_و_آشامیدنی‌ها" comment="گروه هزینه‌های خوراکی‌ها و آشامیدنی‌ها">CostsOfFoodAndBeveragesTable[خوراکی‌ها و آشامیدنی‌ها]</definedName>
    <definedName name="خیریه_و_امور_فرهنگی" comment="گروه هزینه‌های خیریه و امور فرهنگی">CharityAndCulturalExpensesTable[خیریه و امور فرهنگی]</definedName>
    <definedName name="دخانیات" comment="گروه هزینه‌های دخانیات">TobaccoCostsTable[دخانیات]</definedName>
    <definedName name="درآمد_متفرقه" comment="لیست گروه های درآمدی، درآمد متفرقه">MiscellaneousIncomeTable[درآمد متفرقه]</definedName>
    <definedName name="دریافت_درآمد" comment="لیست گروه درآمد‌ها - شاخه اصلی">RevenueGroupTable[نام گروه درآمد]</definedName>
    <definedName name="دریافت_رهن_و_اجاره" comment="لیست گروه‌های درآمدی دریافت رهن و اجاره">GetAMortgageAndRentTable[دریافت رهن و اجاره]</definedName>
    <definedName name="دریافت_وام" comment="لیست گروه‌های درآمدی دریافت وام">GetALoanTable[دریافت وام]</definedName>
    <definedName name="دستمزد" comment="لیست گروه درآمد‌ها دستمزد">SalaryTable[دستمزد]</definedName>
    <definedName name="دوچرخه" comment="گروه هزینه‌های دوچرخه">BicycleCostsTable[دوچرخه]</definedName>
    <definedName name="زیورآلات_سرمایه" comment="گروه هزینه‌های زیورآلات سرمایه مانند طلا، تقره، عتیقه، جواهرات و غیره">CostsOfCapitalJewelryTable[زیورآلات سرمایه]</definedName>
    <definedName name="زیورآلات_غیر‌سرمایه" comment="گروه هزینه‌های زیورآلات غیر سرمایه">Non_CapitalJewelryCostsTable[[ زیورآلات غیر سرمایه]]</definedName>
    <definedName name="سرمایه‌گذاری" comment="گروه هزینه‌های سرمایه گذاری">InvestmentCostsTable[[ سرمایه گذاری]]</definedName>
    <definedName name="سفر_و_گردش" comment="گروه هزینه‌های سفر و گردش">TravelAndTourExpensesTable[سفر و گردش]</definedName>
    <definedName name="سود_سرمایه‌گذاری" comment="لیست گروه درآمد‌ها سود سرمایه‌گذاری">ProfitableInvestmentTable[سود سرمایه‌گذاری]</definedName>
    <definedName name="صورتحساب‌های_مسکن" comment="گروه هزینه‌های صورتحساب‌های مسکن">HousingBillCostsTable[صورتحاب‌های مسکن]</definedName>
    <definedName name="فراغت_و_سرگرمی" comment="گروه هزینه‌های فراغت و سرگرمی">LeisureAndEntertainmentExpensesTable[فراغت و سرگرمی]</definedName>
    <definedName name="مالیات" comment="گروه هزینه‌های مالیات">TaxCostsTable[مالیات]</definedName>
    <definedName name="مدرک_و_تحصیل" comment="گروه هزینه‌های مدرک و تحصیل">DegreeAndTuitionFeesTable[[ مدرک و تحصیل]]</definedName>
    <definedName name="منفعت_کسب" comment="لیست گروه‌ درآمد‌ها منفعت کسب">ProfitOfAcquisitionTable[منفعت کسب]</definedName>
    <definedName name="هدیه" comment="لیست هزینه‌های هدیه">GiftCostsTable[هدیه و کادو]</definedName>
    <definedName name="ورزش" comment="گروه هزینه‌های ورزش">ExerciseCostsTable[ورزش]</definedName>
    <definedName name="یادگیری_و_توسعه_فردی" comment="گروه هزینه‌های یادگیری و توسعه فردی">LearningAndIndividualDevelopmentCostsTable[یادگیری و توسعه فردی]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11" i="4" l="1"/>
  <c r="S12" i="4"/>
  <c r="S13" i="4"/>
  <c r="S14" i="4"/>
  <c r="S15" i="4"/>
  <c r="S16" i="4"/>
  <c r="S17" i="4"/>
  <c r="S18" i="4"/>
  <c r="S19" i="4"/>
  <c r="S20" i="4"/>
  <c r="S21" i="4"/>
  <c r="S22" i="4"/>
  <c r="S23" i="4"/>
  <c r="S24" i="4"/>
  <c r="S25" i="4"/>
  <c r="S26" i="4"/>
  <c r="S27" i="4"/>
  <c r="S28" i="4"/>
  <c r="S29" i="4"/>
  <c r="S30" i="4"/>
  <c r="S31" i="4"/>
  <c r="S32" i="4"/>
  <c r="S33" i="4"/>
  <c r="S34" i="4"/>
  <c r="S35" i="4"/>
  <c r="S36" i="4"/>
  <c r="S37" i="4"/>
  <c r="S38" i="4"/>
  <c r="S39" i="4"/>
  <c r="S40" i="4"/>
  <c r="S41" i="4"/>
  <c r="S42" i="4"/>
  <c r="S43" i="4"/>
  <c r="S44" i="4"/>
  <c r="S45" i="4"/>
  <c r="S46" i="4"/>
  <c r="S47" i="4"/>
  <c r="S48" i="4"/>
  <c r="S49" i="4"/>
  <c r="S50" i="4"/>
  <c r="S51" i="4"/>
  <c r="S52" i="4"/>
  <c r="S53" i="4"/>
  <c r="S54" i="4"/>
  <c r="S55" i="4"/>
  <c r="S56" i="4"/>
  <c r="S57" i="4"/>
  <c r="S58" i="4"/>
  <c r="S59" i="4"/>
  <c r="S60" i="4"/>
  <c r="S61" i="4"/>
  <c r="S62" i="4"/>
  <c r="S63" i="4"/>
  <c r="S64" i="4"/>
  <c r="S65" i="4"/>
  <c r="S66" i="4"/>
  <c r="S67" i="4"/>
  <c r="S68" i="4"/>
  <c r="S69" i="4"/>
  <c r="S70" i="4"/>
  <c r="S71" i="4"/>
  <c r="S72" i="4"/>
  <c r="S73" i="4"/>
  <c r="S74" i="4"/>
  <c r="S75" i="4"/>
  <c r="S76" i="4"/>
  <c r="S77" i="4"/>
  <c r="S78" i="4"/>
  <c r="S79" i="4"/>
  <c r="S80" i="4"/>
  <c r="S81" i="4"/>
  <c r="S82" i="4"/>
  <c r="S83" i="4"/>
  <c r="S84" i="4"/>
  <c r="S85" i="4"/>
  <c r="S86" i="4"/>
  <c r="S87" i="4"/>
  <c r="S88" i="4"/>
  <c r="S89" i="4"/>
  <c r="S90" i="4"/>
  <c r="S91" i="4"/>
  <c r="S92" i="4"/>
  <c r="S93" i="4"/>
  <c r="S94" i="4"/>
  <c r="S95" i="4"/>
  <c r="S96" i="4"/>
  <c r="S97" i="4"/>
  <c r="S98" i="4"/>
  <c r="S99" i="4"/>
  <c r="S100" i="4"/>
  <c r="S101" i="4"/>
  <c r="S102" i="4"/>
  <c r="S103" i="4"/>
  <c r="S104" i="4"/>
  <c r="S105" i="4"/>
  <c r="S106" i="4"/>
  <c r="S107" i="4"/>
  <c r="S108" i="4"/>
  <c r="S109" i="4"/>
  <c r="S110" i="4"/>
  <c r="S111" i="4"/>
  <c r="S112" i="4"/>
  <c r="S113" i="4"/>
  <c r="S114" i="4"/>
  <c r="S115" i="4"/>
  <c r="S116" i="4"/>
  <c r="S117" i="4"/>
  <c r="S118" i="4"/>
  <c r="S119" i="4"/>
  <c r="S120" i="4"/>
  <c r="S121" i="4"/>
  <c r="S122" i="4"/>
  <c r="S123" i="4"/>
  <c r="S124" i="4"/>
  <c r="S125" i="4"/>
  <c r="S126" i="4"/>
  <c r="S127" i="4"/>
  <c r="S128" i="4"/>
  <c r="S129" i="4"/>
  <c r="S130" i="4"/>
  <c r="S131" i="4"/>
  <c r="S132" i="4"/>
  <c r="S133" i="4"/>
  <c r="S134" i="4"/>
  <c r="S135" i="4"/>
  <c r="S136" i="4"/>
  <c r="S137" i="4"/>
  <c r="S138" i="4"/>
  <c r="S139" i="4"/>
  <c r="S140" i="4"/>
  <c r="S141" i="4"/>
  <c r="S142" i="4"/>
  <c r="S143" i="4"/>
  <c r="S144" i="4"/>
  <c r="S145" i="4"/>
  <c r="S146" i="4"/>
  <c r="S147" i="4"/>
  <c r="S148" i="4"/>
  <c r="S149" i="4"/>
  <c r="S150" i="4"/>
  <c r="S151" i="4"/>
  <c r="S152" i="4"/>
  <c r="S153" i="4"/>
  <c r="S154" i="4"/>
  <c r="S155" i="4"/>
  <c r="S156" i="4"/>
  <c r="S157" i="4"/>
  <c r="S158" i="4"/>
  <c r="S159" i="4"/>
  <c r="S160" i="4"/>
  <c r="S161" i="4"/>
  <c r="S162" i="4"/>
  <c r="S163" i="4"/>
  <c r="S164" i="4"/>
  <c r="S165" i="4"/>
  <c r="S166" i="4"/>
  <c r="S167" i="4"/>
  <c r="S168" i="4"/>
  <c r="S169" i="4"/>
  <c r="S170" i="4"/>
  <c r="S171" i="4"/>
  <c r="S172" i="4"/>
  <c r="S173" i="4"/>
  <c r="S174" i="4"/>
  <c r="S175" i="4"/>
  <c r="S176" i="4"/>
  <c r="S177" i="4"/>
  <c r="S178" i="4"/>
  <c r="S179" i="4"/>
  <c r="S180" i="4"/>
  <c r="S181" i="4"/>
  <c r="S182" i="4"/>
  <c r="S183" i="4"/>
  <c r="S184" i="4"/>
  <c r="S185" i="4"/>
  <c r="S186" i="4"/>
  <c r="S187" i="4"/>
  <c r="S188" i="4"/>
  <c r="S189" i="4"/>
  <c r="S190" i="4"/>
  <c r="S191" i="4"/>
  <c r="S192" i="4"/>
  <c r="S193" i="4"/>
  <c r="S194" i="4"/>
  <c r="S195" i="4"/>
  <c r="S196" i="4"/>
  <c r="S197" i="4"/>
  <c r="S198" i="4"/>
  <c r="S199" i="4"/>
  <c r="S200" i="4"/>
  <c r="S201" i="4"/>
  <c r="S202" i="4"/>
  <c r="S203" i="4"/>
  <c r="S204" i="4"/>
  <c r="S205" i="4"/>
  <c r="S206" i="4"/>
  <c r="S207" i="4"/>
  <c r="S208" i="4"/>
  <c r="S209" i="4"/>
  <c r="S210" i="4"/>
  <c r="S211" i="4"/>
  <c r="S212" i="4"/>
  <c r="S213" i="4"/>
  <c r="S214" i="4"/>
  <c r="S215" i="4"/>
  <c r="S216" i="4"/>
  <c r="S217" i="4"/>
  <c r="S218" i="4"/>
  <c r="S219" i="4"/>
  <c r="S220" i="4"/>
  <c r="S221" i="4"/>
  <c r="S222" i="4"/>
  <c r="S223" i="4"/>
  <c r="S224" i="4"/>
  <c r="S225" i="4"/>
  <c r="S226" i="4"/>
  <c r="S227" i="4"/>
  <c r="S228" i="4"/>
  <c r="S229" i="4"/>
  <c r="S230" i="4"/>
  <c r="S231" i="4"/>
  <c r="S232" i="4"/>
  <c r="S233" i="4"/>
  <c r="S234" i="4"/>
  <c r="S235" i="4"/>
  <c r="S236" i="4"/>
  <c r="S237" i="4"/>
  <c r="S238" i="4"/>
  <c r="S239" i="4"/>
  <c r="S240" i="4"/>
  <c r="S241" i="4"/>
  <c r="S242" i="4"/>
  <c r="S243" i="4"/>
  <c r="S244" i="4"/>
  <c r="S245" i="4"/>
  <c r="S246" i="4"/>
  <c r="S247" i="4"/>
  <c r="S248" i="4"/>
  <c r="S249" i="4"/>
  <c r="S250" i="4"/>
  <c r="S251" i="4"/>
  <c r="S252" i="4"/>
  <c r="S253" i="4"/>
  <c r="S254" i="4"/>
  <c r="S255" i="4"/>
  <c r="S256" i="4"/>
  <c r="S257" i="4"/>
  <c r="S258" i="4"/>
  <c r="S259" i="4"/>
  <c r="S260" i="4"/>
  <c r="S261" i="4"/>
  <c r="S262" i="4"/>
  <c r="S263" i="4"/>
  <c r="S264" i="4"/>
  <c r="S265" i="4"/>
  <c r="S266" i="4"/>
  <c r="S267" i="4"/>
  <c r="S268" i="4"/>
  <c r="S269" i="4"/>
  <c r="S270" i="4"/>
  <c r="S271" i="4"/>
  <c r="S272" i="4"/>
  <c r="S273" i="4"/>
  <c r="S274" i="4"/>
  <c r="S275" i="4"/>
  <c r="S276" i="4"/>
  <c r="S277" i="4"/>
  <c r="S278" i="4"/>
  <c r="S279" i="4"/>
  <c r="S280" i="4"/>
  <c r="S281" i="4"/>
  <c r="S282" i="4"/>
  <c r="S283" i="4"/>
  <c r="S284" i="4"/>
  <c r="S285" i="4"/>
  <c r="S286" i="4"/>
  <c r="S287" i="4"/>
  <c r="S288" i="4"/>
  <c r="S289" i="4"/>
  <c r="S290" i="4"/>
  <c r="S291" i="4"/>
  <c r="S292" i="4"/>
  <c r="S293" i="4"/>
  <c r="S294" i="4"/>
  <c r="S295" i="4"/>
  <c r="S296" i="4"/>
  <c r="S297" i="4"/>
  <c r="S298" i="4"/>
  <c r="S299" i="4"/>
  <c r="S300" i="4"/>
  <c r="S301" i="4"/>
  <c r="S302" i="4"/>
  <c r="S303" i="4"/>
  <c r="S304" i="4"/>
  <c r="S305" i="4"/>
  <c r="S306" i="4"/>
  <c r="S307" i="4"/>
  <c r="S308" i="4"/>
  <c r="S309" i="4"/>
  <c r="S310" i="4"/>
  <c r="S311" i="4"/>
  <c r="S312" i="4"/>
  <c r="S313" i="4"/>
  <c r="S314" i="4"/>
  <c r="S315" i="4"/>
  <c r="S316" i="4"/>
  <c r="S317" i="4"/>
  <c r="S318" i="4"/>
  <c r="S319" i="4"/>
  <c r="S320" i="4"/>
  <c r="S321" i="4"/>
  <c r="S322" i="4"/>
  <c r="S323" i="4"/>
  <c r="S324" i="4"/>
  <c r="S325" i="4"/>
  <c r="S326" i="4"/>
  <c r="S327" i="4"/>
  <c r="S328" i="4"/>
  <c r="S329" i="4"/>
  <c r="S330" i="4"/>
  <c r="S331" i="4"/>
  <c r="S332" i="4"/>
  <c r="S333" i="4"/>
  <c r="S334" i="4"/>
  <c r="S335" i="4"/>
  <c r="S336" i="4"/>
  <c r="S337" i="4"/>
  <c r="S338" i="4"/>
  <c r="S339" i="4"/>
  <c r="S340" i="4"/>
  <c r="S341" i="4"/>
  <c r="S342" i="4"/>
  <c r="S343" i="4"/>
  <c r="S344" i="4"/>
  <c r="S345" i="4"/>
  <c r="S346" i="4"/>
  <c r="S347" i="4"/>
  <c r="S348" i="4"/>
  <c r="S349" i="4"/>
  <c r="S350" i="4"/>
  <c r="S351" i="4"/>
  <c r="S352" i="4"/>
  <c r="S353" i="4"/>
  <c r="S354" i="4"/>
  <c r="S355" i="4"/>
  <c r="S356" i="4"/>
  <c r="S357" i="4"/>
  <c r="S358" i="4"/>
  <c r="S359" i="4"/>
  <c r="S360" i="4"/>
  <c r="S361" i="4"/>
  <c r="S362" i="4"/>
  <c r="S363" i="4"/>
  <c r="S364" i="4"/>
  <c r="S365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245" i="4"/>
  <c r="O246" i="4"/>
  <c r="O247" i="4"/>
  <c r="O248" i="4"/>
  <c r="O249" i="4"/>
  <c r="O250" i="4"/>
  <c r="O251" i="4"/>
  <c r="O252" i="4"/>
  <c r="O253" i="4"/>
  <c r="O254" i="4"/>
  <c r="O255" i="4"/>
  <c r="O256" i="4"/>
  <c r="O257" i="4"/>
  <c r="O258" i="4"/>
  <c r="O259" i="4"/>
  <c r="O260" i="4"/>
  <c r="O261" i="4"/>
  <c r="O262" i="4"/>
  <c r="O263" i="4"/>
  <c r="O264" i="4"/>
  <c r="O265" i="4"/>
  <c r="O266" i="4"/>
  <c r="O267" i="4"/>
  <c r="O268" i="4"/>
  <c r="O269" i="4"/>
  <c r="O270" i="4"/>
  <c r="O271" i="4"/>
  <c r="O272" i="4"/>
  <c r="O273" i="4"/>
  <c r="O274" i="4"/>
  <c r="O275" i="4"/>
  <c r="O276" i="4"/>
  <c r="O277" i="4"/>
  <c r="O278" i="4"/>
  <c r="O279" i="4"/>
  <c r="O280" i="4"/>
  <c r="O281" i="4"/>
  <c r="O282" i="4"/>
  <c r="O283" i="4"/>
  <c r="O284" i="4"/>
  <c r="O285" i="4"/>
  <c r="O286" i="4"/>
  <c r="O287" i="4"/>
  <c r="O288" i="4"/>
  <c r="O289" i="4"/>
  <c r="O290" i="4"/>
  <c r="O291" i="4"/>
  <c r="O292" i="4"/>
  <c r="O293" i="4"/>
  <c r="O294" i="4"/>
  <c r="O295" i="4"/>
  <c r="O296" i="4"/>
  <c r="O297" i="4"/>
  <c r="O298" i="4"/>
  <c r="O299" i="4"/>
  <c r="O300" i="4"/>
  <c r="O301" i="4"/>
  <c r="O302" i="4"/>
  <c r="O303" i="4"/>
  <c r="O304" i="4"/>
  <c r="O305" i="4"/>
  <c r="O306" i="4"/>
  <c r="O307" i="4"/>
  <c r="O308" i="4"/>
  <c r="O309" i="4"/>
  <c r="O310" i="4"/>
  <c r="O311" i="4"/>
  <c r="O312" i="4"/>
  <c r="O313" i="4"/>
  <c r="O314" i="4"/>
  <c r="O315" i="4"/>
  <c r="O316" i="4"/>
  <c r="O317" i="4"/>
  <c r="O318" i="4"/>
  <c r="O319" i="4"/>
  <c r="O320" i="4"/>
  <c r="O321" i="4"/>
  <c r="O322" i="4"/>
  <c r="O323" i="4"/>
  <c r="O324" i="4"/>
  <c r="O325" i="4"/>
  <c r="O326" i="4"/>
  <c r="O327" i="4"/>
  <c r="O328" i="4"/>
  <c r="O329" i="4"/>
  <c r="O330" i="4"/>
  <c r="O331" i="4"/>
  <c r="O332" i="4"/>
  <c r="O333" i="4"/>
  <c r="O334" i="4"/>
  <c r="O335" i="4"/>
  <c r="O336" i="4"/>
  <c r="O337" i="4"/>
  <c r="O338" i="4"/>
  <c r="O339" i="4"/>
  <c r="O340" i="4"/>
  <c r="O341" i="4"/>
  <c r="O342" i="4"/>
  <c r="O343" i="4"/>
  <c r="O344" i="4"/>
  <c r="O345" i="4"/>
  <c r="O346" i="4"/>
  <c r="O347" i="4"/>
  <c r="O348" i="4"/>
  <c r="O349" i="4"/>
  <c r="O350" i="4"/>
  <c r="O351" i="4"/>
  <c r="O352" i="4"/>
  <c r="O353" i="4"/>
  <c r="O354" i="4"/>
  <c r="O355" i="4"/>
  <c r="O356" i="4"/>
  <c r="O357" i="4"/>
  <c r="O358" i="4"/>
  <c r="O359" i="4"/>
  <c r="O360" i="4"/>
  <c r="O361" i="4"/>
  <c r="O362" i="4"/>
  <c r="O363" i="4"/>
  <c r="O364" i="4"/>
  <c r="O365" i="4"/>
  <c r="S5" i="4"/>
  <c r="S6" i="4"/>
  <c r="S7" i="4"/>
  <c r="S8" i="4"/>
  <c r="S9" i="4"/>
  <c r="S10" i="4"/>
  <c r="O5" i="4" l="1"/>
  <c r="O6" i="4"/>
  <c r="O7" i="4"/>
  <c r="O8" i="4"/>
  <c r="O9" i="4"/>
  <c r="O10" i="4"/>
  <c r="C22" i="22"/>
  <c r="C18" i="1" l="1"/>
  <c r="G32" i="18"/>
  <c r="P14" i="18"/>
  <c r="Z5" i="18"/>
  <c r="G23" i="18"/>
  <c r="E7" i="21"/>
  <c r="B7" i="21"/>
  <c r="T14" i="18"/>
  <c r="P32" i="18"/>
  <c r="P23" i="18"/>
  <c r="R14" i="18"/>
  <c r="E8" i="21"/>
  <c r="Q5" i="18"/>
  <c r="E6" i="21"/>
  <c r="R32" i="18"/>
  <c r="Z32" i="18"/>
  <c r="H32" i="18"/>
  <c r="F14" i="18"/>
  <c r="Z23" i="18"/>
  <c r="Q14" i="18"/>
  <c r="H23" i="18"/>
  <c r="Z14" i="18"/>
  <c r="S14" i="18"/>
  <c r="S32" i="18"/>
  <c r="B6" i="21"/>
  <c r="E11" i="21"/>
  <c r="E10" i="21"/>
  <c r="P5" i="18"/>
  <c r="F32" i="18"/>
  <c r="E5" i="21"/>
  <c r="E9" i="21"/>
  <c r="AA14" i="18"/>
  <c r="F23" i="18"/>
  <c r="Q32" i="18"/>
  <c r="B5" i="21"/>
  <c r="T5" i="18"/>
  <c r="F5" i="18"/>
  <c r="S5" i="18"/>
  <c r="AA32" i="18"/>
  <c r="M28" i="22" l="1"/>
  <c r="M25" i="22"/>
  <c r="I25" i="22" s="1"/>
  <c r="M23" i="22"/>
  <c r="M24" i="22" s="1"/>
  <c r="AB32" i="18"/>
  <c r="AC32" i="18"/>
  <c r="G5" i="18"/>
  <c r="U5" i="18"/>
  <c r="T32" i="18"/>
  <c r="I32" i="18"/>
  <c r="J23" i="18"/>
  <c r="AB14" i="18"/>
  <c r="G14" i="18"/>
  <c r="U14" i="18"/>
  <c r="U32" i="18"/>
  <c r="AA5" i="18"/>
  <c r="R5" i="18"/>
  <c r="Q23" i="18"/>
  <c r="J32" i="18"/>
  <c r="I23" i="18"/>
  <c r="AA23" i="18"/>
  <c r="L19" i="1" l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AC14" i="18"/>
  <c r="R23" i="18"/>
  <c r="AD14" i="18"/>
  <c r="AB23" i="18"/>
  <c r="AB5" i="18"/>
  <c r="V32" i="18"/>
  <c r="H14" i="18"/>
  <c r="AD32" i="18"/>
  <c r="K32" i="18"/>
  <c r="V14" i="18"/>
  <c r="V5" i="18"/>
  <c r="K23" i="18"/>
  <c r="H5" i="18"/>
  <c r="P15" i="18" l="1"/>
  <c r="Q15" i="18" s="1"/>
  <c r="R15" i="18" s="1"/>
  <c r="S15" i="18" s="1"/>
  <c r="T15" i="18" s="1"/>
  <c r="U15" i="18" s="1"/>
  <c r="V15" i="18" s="1"/>
  <c r="P16" i="18" s="1"/>
  <c r="Q16" i="18" s="1"/>
  <c r="R16" i="18" s="1"/>
  <c r="S16" i="18" s="1"/>
  <c r="T16" i="18" s="1"/>
  <c r="U16" i="18" s="1"/>
  <c r="V16" i="18" s="1"/>
  <c r="P17" i="18" s="1"/>
  <c r="Q17" i="18" s="1"/>
  <c r="R17" i="18" s="1"/>
  <c r="S17" i="18" s="1"/>
  <c r="T17" i="18" s="1"/>
  <c r="U17" i="18" s="1"/>
  <c r="V17" i="18" s="1"/>
  <c r="P18" i="18" s="1"/>
  <c r="Q18" i="18" s="1"/>
  <c r="R18" i="18" s="1"/>
  <c r="S18" i="18" s="1"/>
  <c r="T18" i="18" s="1"/>
  <c r="U18" i="18" s="1"/>
  <c r="V18" i="18" s="1"/>
  <c r="P19" i="18" s="1"/>
  <c r="Q19" i="18" s="1"/>
  <c r="R19" i="18" s="1"/>
  <c r="S19" i="18" s="1"/>
  <c r="T19" i="18" s="1"/>
  <c r="U19" i="18" s="1"/>
  <c r="V19" i="18" s="1"/>
  <c r="P33" i="18"/>
  <c r="Q33" i="18" s="1"/>
  <c r="R33" i="18" s="1"/>
  <c r="S33" i="18" s="1"/>
  <c r="T33" i="18" s="1"/>
  <c r="U33" i="18" s="1"/>
  <c r="V33" i="18" s="1"/>
  <c r="P34" i="18" s="1"/>
  <c r="Q34" i="18" s="1"/>
  <c r="R34" i="18" s="1"/>
  <c r="S34" i="18" s="1"/>
  <c r="T34" i="18" s="1"/>
  <c r="U34" i="18" s="1"/>
  <c r="V34" i="18" s="1"/>
  <c r="P35" i="18" s="1"/>
  <c r="Q35" i="18" s="1"/>
  <c r="R35" i="18" s="1"/>
  <c r="S35" i="18" s="1"/>
  <c r="T35" i="18" s="1"/>
  <c r="U35" i="18" s="1"/>
  <c r="V35" i="18" s="1"/>
  <c r="P36" i="18" s="1"/>
  <c r="Q36" i="18" s="1"/>
  <c r="R36" i="18" s="1"/>
  <c r="S36" i="18" s="1"/>
  <c r="T36" i="18" s="1"/>
  <c r="U36" i="18" s="1"/>
  <c r="V36" i="18" s="1"/>
  <c r="P37" i="18" s="1"/>
  <c r="Q37" i="18" s="1"/>
  <c r="R37" i="18" s="1"/>
  <c r="S37" i="18" s="1"/>
  <c r="T37" i="18" s="1"/>
  <c r="U37" i="18" s="1"/>
  <c r="V37" i="18" s="1"/>
  <c r="P6" i="18"/>
  <c r="Q6" i="18" s="1"/>
  <c r="R6" i="18" s="1"/>
  <c r="S6" i="18" s="1"/>
  <c r="T6" i="18" s="1"/>
  <c r="U6" i="18" s="1"/>
  <c r="V6" i="18" s="1"/>
  <c r="P7" i="18" s="1"/>
  <c r="Q7" i="18" s="1"/>
  <c r="R7" i="18" s="1"/>
  <c r="S7" i="18" s="1"/>
  <c r="T7" i="18" s="1"/>
  <c r="U7" i="18" s="1"/>
  <c r="V7" i="18" s="1"/>
  <c r="P8" i="18" s="1"/>
  <c r="Q8" i="18" s="1"/>
  <c r="R8" i="18" s="1"/>
  <c r="S8" i="18" s="1"/>
  <c r="T8" i="18" s="1"/>
  <c r="U8" i="18" s="1"/>
  <c r="V8" i="18" s="1"/>
  <c r="P9" i="18" s="1"/>
  <c r="Q9" i="18" s="1"/>
  <c r="R9" i="18" s="1"/>
  <c r="S9" i="18" s="1"/>
  <c r="T9" i="18" s="1"/>
  <c r="U9" i="18" s="1"/>
  <c r="V9" i="18" s="1"/>
  <c r="P10" i="18" s="1"/>
  <c r="Q10" i="18" s="1"/>
  <c r="R10" i="18" s="1"/>
  <c r="S10" i="18" s="1"/>
  <c r="T10" i="18" s="1"/>
  <c r="U10" i="18" s="1"/>
  <c r="V10" i="18" s="1"/>
  <c r="O20" i="22"/>
  <c r="A16" i="22"/>
  <c r="AE32" i="18"/>
  <c r="AF32" i="18" s="1"/>
  <c r="AC23" i="18"/>
  <c r="I14" i="18"/>
  <c r="S23" i="18"/>
  <c r="L23" i="18"/>
  <c r="AE14" i="18"/>
  <c r="AC5" i="18"/>
  <c r="L32" i="18"/>
  <c r="I5" i="18"/>
  <c r="Z33" i="18" l="1"/>
  <c r="AA33" i="18" s="1"/>
  <c r="AB33" i="18" s="1"/>
  <c r="AC33" i="18" s="1"/>
  <c r="AD33" i="18" s="1"/>
  <c r="AE33" i="18" s="1"/>
  <c r="AF33" i="18" s="1"/>
  <c r="Z34" i="18" s="1"/>
  <c r="AA34" i="18" s="1"/>
  <c r="AB34" i="18" s="1"/>
  <c r="AC34" i="18" s="1"/>
  <c r="AD34" i="18" s="1"/>
  <c r="AE34" i="18" s="1"/>
  <c r="AF34" i="18" s="1"/>
  <c r="Z35" i="18" s="1"/>
  <c r="AA35" i="18" s="1"/>
  <c r="AB35" i="18" s="1"/>
  <c r="AC35" i="18" s="1"/>
  <c r="AD35" i="18" s="1"/>
  <c r="AE35" i="18" s="1"/>
  <c r="AF35" i="18" s="1"/>
  <c r="Z36" i="18" s="1"/>
  <c r="AA36" i="18" s="1"/>
  <c r="AB36" i="18" s="1"/>
  <c r="AC36" i="18" s="1"/>
  <c r="AD36" i="18" s="1"/>
  <c r="AE36" i="18" s="1"/>
  <c r="AF36" i="18" s="1"/>
  <c r="F33" i="18"/>
  <c r="G33" i="18" s="1"/>
  <c r="H33" i="18" s="1"/>
  <c r="I33" i="18" s="1"/>
  <c r="J33" i="18" s="1"/>
  <c r="K33" i="18" s="1"/>
  <c r="L33" i="18" s="1"/>
  <c r="F34" i="18" s="1"/>
  <c r="G34" i="18" s="1"/>
  <c r="H34" i="18" s="1"/>
  <c r="I34" i="18" s="1"/>
  <c r="J34" i="18" s="1"/>
  <c r="K34" i="18" s="1"/>
  <c r="L34" i="18" s="1"/>
  <c r="F35" i="18" s="1"/>
  <c r="G35" i="18" s="1"/>
  <c r="H35" i="18" s="1"/>
  <c r="I35" i="18" s="1"/>
  <c r="J35" i="18" s="1"/>
  <c r="K35" i="18" s="1"/>
  <c r="L35" i="18" s="1"/>
  <c r="F36" i="18" s="1"/>
  <c r="G36" i="18" s="1"/>
  <c r="H36" i="18" s="1"/>
  <c r="I36" i="18" s="1"/>
  <c r="J36" i="18" s="1"/>
  <c r="K36" i="18" s="1"/>
  <c r="L36" i="18" s="1"/>
  <c r="F37" i="18" s="1"/>
  <c r="G37" i="18" s="1"/>
  <c r="H37" i="18" s="1"/>
  <c r="I37" i="18" s="1"/>
  <c r="J37" i="18" s="1"/>
  <c r="K37" i="18" s="1"/>
  <c r="L37" i="18" s="1"/>
  <c r="F24" i="18"/>
  <c r="G24" i="18" s="1"/>
  <c r="H24" i="18" s="1"/>
  <c r="I24" i="18" s="1"/>
  <c r="J24" i="18" s="1"/>
  <c r="K24" i="18" s="1"/>
  <c r="L24" i="18" s="1"/>
  <c r="F25" i="18" s="1"/>
  <c r="G25" i="18" s="1"/>
  <c r="H25" i="18" s="1"/>
  <c r="I25" i="18" s="1"/>
  <c r="J25" i="18" s="1"/>
  <c r="K25" i="18" s="1"/>
  <c r="L25" i="18" s="1"/>
  <c r="F26" i="18" s="1"/>
  <c r="G26" i="18" s="1"/>
  <c r="H26" i="18" s="1"/>
  <c r="I26" i="18" s="1"/>
  <c r="J26" i="18" s="1"/>
  <c r="K26" i="18" s="1"/>
  <c r="L26" i="18" s="1"/>
  <c r="F27" i="18" s="1"/>
  <c r="G27" i="18" s="1"/>
  <c r="H27" i="18" s="1"/>
  <c r="I27" i="18" s="1"/>
  <c r="J27" i="18" s="1"/>
  <c r="K27" i="18" s="1"/>
  <c r="L27" i="18" s="1"/>
  <c r="F28" i="18" s="1"/>
  <c r="G28" i="18" s="1"/>
  <c r="H28" i="18" s="1"/>
  <c r="I28" i="18" s="1"/>
  <c r="J28" i="18" s="1"/>
  <c r="K28" i="18" s="1"/>
  <c r="L28" i="18" s="1"/>
  <c r="Z37" i="18"/>
  <c r="AA37" i="18" s="1"/>
  <c r="AB37" i="18" s="1"/>
  <c r="AC37" i="18" s="1"/>
  <c r="AD37" i="18" s="1"/>
  <c r="AE37" i="18" s="1"/>
  <c r="AF37" i="18" s="1"/>
  <c r="G3" i="1"/>
  <c r="J13" i="3"/>
  <c r="J14" i="3"/>
  <c r="J15" i="3"/>
  <c r="J16" i="3"/>
  <c r="J17" i="3"/>
  <c r="I13" i="3"/>
  <c r="I14" i="3"/>
  <c r="I15" i="3"/>
  <c r="I16" i="3"/>
  <c r="I17" i="3"/>
  <c r="E3" i="1"/>
  <c r="C3" i="1"/>
  <c r="AD23" i="18"/>
  <c r="AD5" i="18"/>
  <c r="T23" i="18"/>
  <c r="J14" i="18"/>
  <c r="AF14" i="18"/>
  <c r="J5" i="18"/>
  <c r="Z15" i="18" l="1"/>
  <c r="AA15" i="18" s="1"/>
  <c r="AB15" i="18" s="1"/>
  <c r="AC15" i="18" s="1"/>
  <c r="AD15" i="18" s="1"/>
  <c r="AE15" i="18" s="1"/>
  <c r="AF15" i="18" s="1"/>
  <c r="Z16" i="18" s="1"/>
  <c r="AA16" i="18" s="1"/>
  <c r="AB16" i="18" s="1"/>
  <c r="AC16" i="18" s="1"/>
  <c r="AD16" i="18" s="1"/>
  <c r="AE16" i="18" s="1"/>
  <c r="AF16" i="18" s="1"/>
  <c r="Z17" i="18" s="1"/>
  <c r="AA17" i="18" s="1"/>
  <c r="AB17" i="18" s="1"/>
  <c r="AC17" i="18" s="1"/>
  <c r="AD17" i="18" s="1"/>
  <c r="AE17" i="18" s="1"/>
  <c r="AF17" i="18" s="1"/>
  <c r="Z18" i="18" s="1"/>
  <c r="AA18" i="18" s="1"/>
  <c r="AB18" i="18" s="1"/>
  <c r="AC18" i="18" s="1"/>
  <c r="AD18" i="18" s="1"/>
  <c r="AE18" i="18" s="1"/>
  <c r="AF18" i="18" s="1"/>
  <c r="Z19" i="18" s="1"/>
  <c r="AA19" i="18" s="1"/>
  <c r="AB19" i="18" s="1"/>
  <c r="AC19" i="18" s="1"/>
  <c r="AD19" i="18" s="1"/>
  <c r="AE19" i="18" s="1"/>
  <c r="AF19" i="18" s="1"/>
  <c r="K14" i="3"/>
  <c r="L14" i="3" s="1"/>
  <c r="K16" i="3"/>
  <c r="L16" i="3" s="1"/>
  <c r="K17" i="3"/>
  <c r="L17" i="3" s="1"/>
  <c r="I18" i="3"/>
  <c r="K13" i="3"/>
  <c r="L13" i="3" s="1"/>
  <c r="K15" i="3"/>
  <c r="L15" i="3" s="1"/>
  <c r="J18" i="3"/>
  <c r="R8" i="22"/>
  <c r="R7" i="22"/>
  <c r="R6" i="22"/>
  <c r="AE5" i="18"/>
  <c r="U23" i="18"/>
  <c r="K14" i="18"/>
  <c r="K5" i="18"/>
  <c r="AE23" i="18"/>
  <c r="K18" i="3" l="1"/>
  <c r="I3" i="1" s="1"/>
  <c r="AF23" i="18"/>
  <c r="V23" i="18"/>
  <c r="L5" i="18"/>
  <c r="AF5" i="18"/>
  <c r="L14" i="18"/>
  <c r="F15" i="18" l="1"/>
  <c r="G15" i="18" s="1"/>
  <c r="H15" i="18" s="1"/>
  <c r="I15" i="18" s="1"/>
  <c r="J15" i="18" s="1"/>
  <c r="K15" i="18" s="1"/>
  <c r="L15" i="18" s="1"/>
  <c r="F16" i="18" s="1"/>
  <c r="G16" i="18" s="1"/>
  <c r="H16" i="18" s="1"/>
  <c r="I16" i="18" s="1"/>
  <c r="J16" i="18" s="1"/>
  <c r="K16" i="18" s="1"/>
  <c r="L16" i="18" s="1"/>
  <c r="F17" i="18" s="1"/>
  <c r="G17" i="18" s="1"/>
  <c r="H17" i="18" s="1"/>
  <c r="I17" i="18" s="1"/>
  <c r="J17" i="18" s="1"/>
  <c r="K17" i="18" s="1"/>
  <c r="L17" i="18" s="1"/>
  <c r="F18" i="18" s="1"/>
  <c r="G18" i="18" s="1"/>
  <c r="H18" i="18" s="1"/>
  <c r="I18" i="18" s="1"/>
  <c r="J18" i="18" s="1"/>
  <c r="K18" i="18" s="1"/>
  <c r="L18" i="18" s="1"/>
  <c r="F19" i="18" s="1"/>
  <c r="G19" i="18" s="1"/>
  <c r="H19" i="18" s="1"/>
  <c r="I19" i="18" s="1"/>
  <c r="J19" i="18" s="1"/>
  <c r="K19" i="18" s="1"/>
  <c r="L19" i="18" s="1"/>
  <c r="Z6" i="18"/>
  <c r="AA6" i="18" s="1"/>
  <c r="AB6" i="18" s="1"/>
  <c r="AC6" i="18" s="1"/>
  <c r="AD6" i="18" s="1"/>
  <c r="AE6" i="18" s="1"/>
  <c r="AF6" i="18" s="1"/>
  <c r="Z7" i="18" s="1"/>
  <c r="AA7" i="18" s="1"/>
  <c r="AB7" i="18" s="1"/>
  <c r="AC7" i="18" s="1"/>
  <c r="AD7" i="18" s="1"/>
  <c r="AE7" i="18" s="1"/>
  <c r="AF7" i="18" s="1"/>
  <c r="Z8" i="18" s="1"/>
  <c r="AA8" i="18" s="1"/>
  <c r="AB8" i="18" s="1"/>
  <c r="AC8" i="18" s="1"/>
  <c r="AD8" i="18" s="1"/>
  <c r="AE8" i="18" s="1"/>
  <c r="AF8" i="18" s="1"/>
  <c r="Z9" i="18" s="1"/>
  <c r="AA9" i="18" s="1"/>
  <c r="AB9" i="18" s="1"/>
  <c r="AC9" i="18" s="1"/>
  <c r="AD9" i="18" s="1"/>
  <c r="AE9" i="18" s="1"/>
  <c r="AF9" i="18" s="1"/>
  <c r="Z10" i="18" s="1"/>
  <c r="AA10" i="18" s="1"/>
  <c r="AB10" i="18" s="1"/>
  <c r="AC10" i="18" s="1"/>
  <c r="AD10" i="18" s="1"/>
  <c r="AE10" i="18" s="1"/>
  <c r="AF10" i="18" s="1"/>
  <c r="P24" i="18"/>
  <c r="Q24" i="18" s="1"/>
  <c r="R24" i="18" s="1"/>
  <c r="S24" i="18" s="1"/>
  <c r="T24" i="18" s="1"/>
  <c r="U24" i="18" s="1"/>
  <c r="V24" i="18" s="1"/>
  <c r="P25" i="18" s="1"/>
  <c r="Q25" i="18" s="1"/>
  <c r="R25" i="18" s="1"/>
  <c r="S25" i="18" s="1"/>
  <c r="T25" i="18" s="1"/>
  <c r="U25" i="18" s="1"/>
  <c r="V25" i="18" s="1"/>
  <c r="P26" i="18" s="1"/>
  <c r="Q26" i="18" s="1"/>
  <c r="R26" i="18" s="1"/>
  <c r="S26" i="18" s="1"/>
  <c r="T26" i="18" s="1"/>
  <c r="U26" i="18" s="1"/>
  <c r="V26" i="18" s="1"/>
  <c r="P27" i="18" s="1"/>
  <c r="Q27" i="18" s="1"/>
  <c r="R27" i="18" s="1"/>
  <c r="S27" i="18" s="1"/>
  <c r="T27" i="18" s="1"/>
  <c r="U27" i="18" s="1"/>
  <c r="V27" i="18" s="1"/>
  <c r="P28" i="18" s="1"/>
  <c r="Q28" i="18" s="1"/>
  <c r="R28" i="18" s="1"/>
  <c r="S28" i="18" s="1"/>
  <c r="T28" i="18" s="1"/>
  <c r="U28" i="18" s="1"/>
  <c r="V28" i="18" s="1"/>
  <c r="Z24" i="18"/>
  <c r="AA24" i="18" s="1"/>
  <c r="AB24" i="18" s="1"/>
  <c r="AC24" i="18" s="1"/>
  <c r="AD24" i="18" s="1"/>
  <c r="AE24" i="18" s="1"/>
  <c r="AF24" i="18" s="1"/>
  <c r="Z25" i="18" s="1"/>
  <c r="AA25" i="18" s="1"/>
  <c r="AB25" i="18" s="1"/>
  <c r="AC25" i="18" s="1"/>
  <c r="AD25" i="18" s="1"/>
  <c r="AE25" i="18" s="1"/>
  <c r="AF25" i="18" s="1"/>
  <c r="Z26" i="18" s="1"/>
  <c r="AA26" i="18" s="1"/>
  <c r="AB26" i="18" s="1"/>
  <c r="AC26" i="18" s="1"/>
  <c r="AD26" i="18" s="1"/>
  <c r="AE26" i="18" s="1"/>
  <c r="AF26" i="18" s="1"/>
  <c r="Z27" i="18" s="1"/>
  <c r="AA27" i="18" s="1"/>
  <c r="AB27" i="18" s="1"/>
  <c r="AC27" i="18" s="1"/>
  <c r="AD27" i="18" s="1"/>
  <c r="AE27" i="18" s="1"/>
  <c r="AF27" i="18" s="1"/>
  <c r="Z28" i="18" s="1"/>
  <c r="AA28" i="18" s="1"/>
  <c r="AB28" i="18" s="1"/>
  <c r="AC28" i="18" s="1"/>
  <c r="AD28" i="18" s="1"/>
  <c r="AE28" i="18" s="1"/>
  <c r="AF28" i="18" s="1"/>
  <c r="F6" i="18"/>
  <c r="G6" i="18" l="1"/>
  <c r="H6" i="18" l="1"/>
  <c r="D18" i="3"/>
  <c r="L8" i="1" s="1"/>
  <c r="L9" i="1" s="1"/>
  <c r="L10" i="1" s="1"/>
  <c r="L11" i="1" s="1"/>
  <c r="L12" i="1" s="1"/>
  <c r="L13" i="1" s="1"/>
  <c r="L14" i="1" s="1"/>
  <c r="L15" i="1" s="1"/>
  <c r="L16" i="1" s="1"/>
  <c r="L17" i="1" s="1"/>
  <c r="L18" i="1" s="1"/>
  <c r="E9" i="24"/>
  <c r="E10" i="24"/>
  <c r="E11" i="24"/>
  <c r="E12" i="24"/>
  <c r="E13" i="24"/>
  <c r="E14" i="24"/>
  <c r="E15" i="24"/>
  <c r="E16" i="24"/>
  <c r="E17" i="24"/>
  <c r="E18" i="24"/>
  <c r="E4" i="24"/>
  <c r="E5" i="24"/>
  <c r="E6" i="24"/>
  <c r="E7" i="24"/>
  <c r="E8" i="24"/>
  <c r="E19" i="24"/>
  <c r="I6" i="18" l="1"/>
  <c r="J6" i="18" l="1"/>
  <c r="K6" i="18" l="1"/>
  <c r="L6" i="18" l="1"/>
  <c r="F7" i="18" l="1"/>
  <c r="G7" i="18" l="1"/>
  <c r="H7" i="18" l="1"/>
  <c r="I7" i="18" l="1"/>
  <c r="J7" i="18" l="1"/>
  <c r="K7" i="18" l="1"/>
  <c r="L7" i="18" l="1"/>
  <c r="F8" i="18" l="1"/>
  <c r="G8" i="18" l="1"/>
  <c r="H8" i="18" l="1"/>
  <c r="I8" i="18" l="1"/>
  <c r="J8" i="18" l="1"/>
  <c r="K8" i="18" l="1"/>
  <c r="L8" i="18" l="1"/>
  <c r="F9" i="18" l="1"/>
  <c r="G9" i="18" l="1"/>
  <c r="H9" i="18" l="1"/>
  <c r="I9" i="18" l="1"/>
  <c r="J9" i="18" l="1"/>
  <c r="K9" i="18" l="1"/>
  <c r="L9" i="18" l="1"/>
  <c r="F10" i="18" l="1"/>
  <c r="G10" i="18" l="1"/>
  <c r="H10" i="18" l="1"/>
  <c r="I10" i="18" l="1"/>
  <c r="J10" i="18" l="1"/>
  <c r="K10" i="18" l="1"/>
  <c r="L10" i="18" l="1"/>
</calcChain>
</file>

<file path=xl/connections.xml><?xml version="1.0" encoding="utf-8"?>
<connections xmlns="http://schemas.openxmlformats.org/spreadsheetml/2006/main">
  <connection id="1" keepAlive="1" name="Query - AccountsNameFromFinancialAccountsTable" description="Connection to the 'AccountsNameFromFinancialAccountsTable' query in the workbook." type="5" refreshedVersion="0" background="1">
    <dbPr connection="Provider=Microsoft.Mashup.OleDb.1;Data Source=$Workbook$;Location=AccountsNameFromFinancialAccountsTable" command="SELECT * FROM [AccountsNameFromFinancialAccountsTable]"/>
  </connection>
  <connection id="2" keepAlive="1" name="Query - Append1 (2)" description="Connection to the 'Append1 (2)' query in the workbook." type="5" refreshedVersion="6" background="1" saveData="1">
    <dbPr connection="Provider=Microsoft.Mashup.OleDb.1;Data Source=$Workbook$;Location=Append1 (2);Extended Properties=&quot;&quot;" command="SELECT * FROM [Append1 (2)]"/>
  </connection>
  <connection id="3" keepAlive="1" name="Query - ReceiversAndPayersTable" description="Connection to the 'ReceiversAndPayersTable' query in the workbook." type="5" refreshedVersion="0" background="1">
    <dbPr connection="Provider=Microsoft.Mashup.OleDb.1;Data Source=$Workbook$;Location=ReceiversAndPayersTable" command="SELECT * FROM [ReceiversAndPayersTable]"/>
  </connection>
</connections>
</file>

<file path=xl/sharedStrings.xml><?xml version="1.0" encoding="utf-8"?>
<sst xmlns="http://schemas.openxmlformats.org/spreadsheetml/2006/main" count="746" uniqueCount="419">
  <si>
    <t>تاریخ</t>
  </si>
  <si>
    <t>ردیف</t>
  </si>
  <si>
    <t>مبلغ (ریال)</t>
  </si>
  <si>
    <t xml:space="preserve"> </t>
  </si>
  <si>
    <t>گروه / بابت (خوراک، پوشاک، مسکن و...)</t>
  </si>
  <si>
    <t>دریافت کننده</t>
  </si>
  <si>
    <t>پرداخت کننده</t>
  </si>
  <si>
    <t>تنظیمات حساب</t>
  </si>
  <si>
    <t>فهرست</t>
  </si>
  <si>
    <t>تاریخ چک</t>
  </si>
  <si>
    <t>به وجه</t>
  </si>
  <si>
    <t>گزار</t>
  </si>
  <si>
    <t>معادل دریافت ها و پرداخت ها به تفکیک</t>
  </si>
  <si>
    <t>مانده حساب اصلی</t>
  </si>
  <si>
    <t>عضو</t>
  </si>
  <si>
    <t>عضو به معنی افرادی که تحت سرپرستی هستند مثلا اعضای خانواده</t>
  </si>
  <si>
    <t>برچسب</t>
  </si>
  <si>
    <t>پرداخت کننده2</t>
  </si>
  <si>
    <t>عنوان</t>
  </si>
  <si>
    <t>تراکنش (دریافت، پرداخت، انتقال</t>
  </si>
  <si>
    <t>حساب بانکی</t>
  </si>
  <si>
    <t>شماره چک</t>
  </si>
  <si>
    <t>به مبلغ</t>
  </si>
  <si>
    <t>برای (بابت)</t>
  </si>
  <si>
    <t>گروه هزینه</t>
  </si>
  <si>
    <t>یادآوری در تاریخ</t>
  </si>
  <si>
    <t>وضعیت (پاس شده، در جریان، برگشت شده،‌ باطل شده)</t>
  </si>
  <si>
    <t>عنوان وام</t>
  </si>
  <si>
    <t>تاریخ دریافت</t>
  </si>
  <si>
    <t>مبلغ وام</t>
  </si>
  <si>
    <t>تعداد اقساط</t>
  </si>
  <si>
    <t>اقساط پرداخت شده</t>
  </si>
  <si>
    <t>اقساط مانده</t>
  </si>
  <si>
    <t>مبلغ پرداخت شده</t>
  </si>
  <si>
    <t>مبلغ مانده</t>
  </si>
  <si>
    <t>دوره پرداخت (ماهانه، سالانه و...)</t>
  </si>
  <si>
    <t>درصد سود</t>
  </si>
  <si>
    <t>برنامه ریزی پردخت (ماهانه، روزانه، هتفگی و...)</t>
  </si>
  <si>
    <t>تاریخ اولین پرداخت</t>
  </si>
  <si>
    <t>تاریخ پرداخت پیش رو</t>
  </si>
  <si>
    <t xml:space="preserve">یاد آوری </t>
  </si>
  <si>
    <t>شرح</t>
  </si>
  <si>
    <t>نوع خرج (نامشخص، خرج صحیح، خرج اضافی)</t>
  </si>
  <si>
    <t>یاد آوری ها</t>
  </si>
  <si>
    <t>صف</t>
  </si>
  <si>
    <t>دریافت کننده یا پرداخت کننده</t>
  </si>
  <si>
    <t>لیست دریافت کننده یا پرداخت کننده ها</t>
  </si>
  <si>
    <t>لیست گروه‌های پرداخت یا دریافت</t>
  </si>
  <si>
    <t>از تاریخ</t>
  </si>
  <si>
    <t>00.000.00</t>
  </si>
  <si>
    <t>الی تاریخ</t>
  </si>
  <si>
    <t>00.0.00.0.0.0</t>
  </si>
  <si>
    <t>تاریخ تراکنش</t>
  </si>
  <si>
    <t xml:space="preserve">پرداخت یا دریافت یا انتقال </t>
  </si>
  <si>
    <t>با زدن گزینه انتقال «لیست گروه پرداخت یا دریافت خاموش می شود</t>
  </si>
  <si>
    <t>خرج اضافی یا صحیح</t>
  </si>
  <si>
    <t>برچسب گذاری</t>
  </si>
  <si>
    <t>لیست اعضا</t>
  </si>
  <si>
    <t>شرح تراکنش</t>
  </si>
  <si>
    <t>نمایش جزعی وضعیت حساب ها</t>
  </si>
  <si>
    <t>مانده حساب</t>
  </si>
  <si>
    <t>مجموع در آمد های ماه جاری</t>
  </si>
  <si>
    <t>هزینه ها و در آمد ها</t>
  </si>
  <si>
    <t>مجموع هزینه های ماه جاری</t>
  </si>
  <si>
    <t>در مقالسه با ماه قبل</t>
  </si>
  <si>
    <t>در مقالیسه با ماه قبل، درآمد شما ۱۳٪ افزایش داشته است، معادل ۱۱۱۱۱۱</t>
  </si>
  <si>
    <t>در مقایسه با ماه قبل، هزینه های شماه ۱٪ کاهش داشت است، معادل ۳۲۴۲۳۴۲۳</t>
  </si>
  <si>
    <t xml:space="preserve">خرج صحیح / خرج اضافی </t>
  </si>
  <si>
    <t>یک نمودار کوجک شامل ۳ بهش نامشخص صحیح و اضافه</t>
  </si>
  <si>
    <t>درصد اعضا</t>
  </si>
  <si>
    <t>آنالیز این ماه</t>
  </si>
  <si>
    <t>دریافتی‌ها</t>
  </si>
  <si>
    <t>طلب ها</t>
  </si>
  <si>
    <t>...</t>
  </si>
  <si>
    <t>مجموع</t>
  </si>
  <si>
    <t>پرداختی ها</t>
  </si>
  <si>
    <t>بدهی ها</t>
  </si>
  <si>
    <t>اقساط</t>
  </si>
  <si>
    <t>چک</t>
  </si>
  <si>
    <t>برنامه ریزی پرداهخت</t>
  </si>
  <si>
    <t>میانگین هزینه و در آمد</t>
  </si>
  <si>
    <t>میانگین درآمد شما در این ماه،‌روزانه</t>
  </si>
  <si>
    <t>میانگین هزینه شما در این ماه، روزانه</t>
  </si>
  <si>
    <t>۵ گروه پر در آمد این ماه</t>
  </si>
  <si>
    <t>پنج گروه پس هزینه این ماه</t>
  </si>
  <si>
    <t>ثبت تراکنش‌های روزانه</t>
  </si>
  <si>
    <t>مدیریت وام و اقساط</t>
  </si>
  <si>
    <t>مدیریت چک‌ها</t>
  </si>
  <si>
    <t>مدیریت بدهی‌ها و طلب‌ها</t>
  </si>
  <si>
    <t>برنامه ریزی پرداخت‌ها</t>
  </si>
  <si>
    <t>تقویم</t>
  </si>
  <si>
    <t>گزارش فعالیت‌های ماه جاری</t>
  </si>
  <si>
    <t>گزارش دریافت‌ها (درآمد‌ها)</t>
  </si>
  <si>
    <t>گزارش پرداخت‌ها (هزینه‌ها)</t>
  </si>
  <si>
    <t>گزارش نقل و انتقالات بین حساب‌ها</t>
  </si>
  <si>
    <t>گروه‌‌های درآمدی</t>
  </si>
  <si>
    <t>گزارش وضعیت گروه‌های دریافتی به جزء</t>
  </si>
  <si>
    <t>گروه‌‌های (بابت‌ها) هزینه</t>
  </si>
  <si>
    <t>گزارش  وضعیت گروه‌های پرداختی به جزء</t>
  </si>
  <si>
    <t>جست و جو</t>
  </si>
  <si>
    <t>تنظیمات دفترچه</t>
  </si>
  <si>
    <t>راهنما</t>
  </si>
  <si>
    <t>اجزای شیت تراکنش</t>
  </si>
  <si>
    <t>وام و اقساط</t>
  </si>
  <si>
    <t>چک‌ها</t>
  </si>
  <si>
    <t>بدهی‌ها و طلب‌ها</t>
  </si>
  <si>
    <t>ماه جاری</t>
  </si>
  <si>
    <t>نوار جابحایی بین شیت ها در صفحه تراکنش</t>
  </si>
  <si>
    <t>تراکنش</t>
  </si>
  <si>
    <t>جمع کل دریافتی‌ها:</t>
  </si>
  <si>
    <t>جمع کل پرداختی‌ها:</t>
  </si>
  <si>
    <t>برنامه ریزی</t>
  </si>
  <si>
    <t>بودجه بندی</t>
  </si>
  <si>
    <t>نوع خرج</t>
  </si>
  <si>
    <t>نامشخص</t>
  </si>
  <si>
    <t>صحیح</t>
  </si>
  <si>
    <t>تراکنش‌ها</t>
  </si>
  <si>
    <t>زیر گروه</t>
  </si>
  <si>
    <t>افراد</t>
  </si>
  <si>
    <t>افراد (اعضا)</t>
  </si>
  <si>
    <t>علیرضا منعم (مالک)</t>
  </si>
  <si>
    <t>شماره حساب</t>
  </si>
  <si>
    <t>شماره کارت</t>
  </si>
  <si>
    <t>CVV2</t>
  </si>
  <si>
    <t>-</t>
  </si>
  <si>
    <t>ID</t>
  </si>
  <si>
    <t>نام حساب</t>
  </si>
  <si>
    <t>نوع حساب</t>
  </si>
  <si>
    <t>موجودی اولیه</t>
  </si>
  <si>
    <t>کد ملی</t>
  </si>
  <si>
    <t>شماره تماس</t>
  </si>
  <si>
    <t>آدرس ایمیل</t>
  </si>
  <si>
    <t>سایت اینترنتی</t>
  </si>
  <si>
    <t>آدرس محل کار</t>
  </si>
  <si>
    <t>آدرس منزل</t>
  </si>
  <si>
    <t>توضیحات</t>
  </si>
  <si>
    <t>Alirezamonem.ir</t>
  </si>
  <si>
    <t>تاریخ انقضاء کارت</t>
  </si>
  <si>
    <t>حساب نقدی (نقدینگی)</t>
  </si>
  <si>
    <t>حساب نقدی</t>
  </si>
  <si>
    <t>انفرادی از نوع قرض الحسنه</t>
  </si>
  <si>
    <t>نوع تراکنش</t>
  </si>
  <si>
    <t>انتقال</t>
  </si>
  <si>
    <t>اضافه</t>
  </si>
  <si>
    <t>مبلع دریافت شده از هر گروه درآمدی</t>
  </si>
  <si>
    <t>گزارش هزینه برای هر گروه پرداختی</t>
  </si>
  <si>
    <t>دریافت کننده - پرداخت کنندگان</t>
  </si>
  <si>
    <t>Accounts</t>
  </si>
  <si>
    <t>ReceiversAndPayers</t>
  </si>
  <si>
    <t>Accounts and ReceiversAndPayers</t>
  </si>
  <si>
    <t>دریافت کنندگان - پرداخت کنندگان</t>
  </si>
  <si>
    <t>Total</t>
  </si>
  <si>
    <t>گروه (درآمد/هزینه)</t>
  </si>
  <si>
    <t>روش تراکنش</t>
  </si>
  <si>
    <t>نقدی</t>
  </si>
  <si>
    <t>کارت به کارت</t>
  </si>
  <si>
    <t>انتقال وجه از شعبه بانک مربوطه</t>
  </si>
  <si>
    <t>کارت خوان</t>
  </si>
  <si>
    <t>خودپرداز</t>
  </si>
  <si>
    <t>تست</t>
  </si>
  <si>
    <t>نمونه</t>
  </si>
  <si>
    <t>مانده حساب‌ها</t>
  </si>
  <si>
    <t>کد گروه درآمدی</t>
  </si>
  <si>
    <t>گروه‌های اصلی درآمدی</t>
  </si>
  <si>
    <t>دستمزد</t>
  </si>
  <si>
    <t>فرادرس - آموزش برنامه نویسی مقدماتی Kotlin</t>
  </si>
  <si>
    <t>منفعت کسب</t>
  </si>
  <si>
    <t>سود فروش</t>
  </si>
  <si>
    <t>سود سرمایه‌گذاری</t>
  </si>
  <si>
    <t>دریافت وام</t>
  </si>
  <si>
    <t>تشویقی‌ها، جوایز و عیدی‌ها</t>
  </si>
  <si>
    <t>دریافت رهن و اجاره</t>
  </si>
  <si>
    <t>گروه‌های اصلی هزینه‌</t>
  </si>
  <si>
    <t>کد گروه هزینه</t>
  </si>
  <si>
    <t>نام گروه درآمد</t>
  </si>
  <si>
    <t>نام گروه هزینه</t>
  </si>
  <si>
    <t>یادگیری و توسعه فردی</t>
  </si>
  <si>
    <t>بهداشت و نظافت محیط</t>
  </si>
  <si>
    <t>بهداشت و نظافت فردی</t>
  </si>
  <si>
    <t>بیمه</t>
  </si>
  <si>
    <t>مالیات</t>
  </si>
  <si>
    <t>سفر و گردش</t>
  </si>
  <si>
    <t>هدیه و کادو</t>
  </si>
  <si>
    <t>پرداخت اقساط</t>
  </si>
  <si>
    <t>حساب پس انداز خرید خونه</t>
  </si>
  <si>
    <t>پس انداز خرید خودرو</t>
  </si>
  <si>
    <t>پس انداز سرمایه گذاری</t>
  </si>
  <si>
    <t>خوراکی‌ها و آشامیدنی‌ها</t>
  </si>
  <si>
    <t>بهداشت و درمان</t>
  </si>
  <si>
    <t>پوشاک و کفش</t>
  </si>
  <si>
    <t>ارتباطات</t>
  </si>
  <si>
    <t>دخانیات</t>
  </si>
  <si>
    <t>گروه‌های هزینه</t>
  </si>
  <si>
    <t>گروه‌های درآمد</t>
  </si>
  <si>
    <t>ایاب و ذهاب</t>
  </si>
  <si>
    <t>تاکسی اینترنتی (Maxim)</t>
  </si>
  <si>
    <t>تاکسی سرویس (آژانس)</t>
  </si>
  <si>
    <t>تاکسی (خطی)</t>
  </si>
  <si>
    <t>اتوبوس داخل شهری</t>
  </si>
  <si>
    <t>اتوبوس خارج از شهر</t>
  </si>
  <si>
    <t>قطار</t>
  </si>
  <si>
    <t>هواپیما</t>
  </si>
  <si>
    <t>وانت</t>
  </si>
  <si>
    <t>موتور سیکلت</t>
  </si>
  <si>
    <t>خودرو</t>
  </si>
  <si>
    <t>تعمین اجتماعی</t>
  </si>
  <si>
    <t>عمر</t>
  </si>
  <si>
    <t>منزل</t>
  </si>
  <si>
    <t>دوچرخه</t>
  </si>
  <si>
    <t>پارکینگ</t>
  </si>
  <si>
    <t>سوخت</t>
  </si>
  <si>
    <t>مالیات و بیمه</t>
  </si>
  <si>
    <t>نگهداریو تعمیر</t>
  </si>
  <si>
    <t>تیونینگ</t>
  </si>
  <si>
    <t>تنقلات</t>
  </si>
  <si>
    <t>خرید غذا - فروشگاه - خواربار فروشی</t>
  </si>
  <si>
    <t>صرف غذا - رستوران</t>
  </si>
  <si>
    <t>صرف غذا - فست فود</t>
  </si>
  <si>
    <t>تهیه نسخه</t>
  </si>
  <si>
    <t>چشم پزشکی</t>
  </si>
  <si>
    <t>حق پزشک</t>
  </si>
  <si>
    <t>دارو</t>
  </si>
  <si>
    <t>دندانسازی</t>
  </si>
  <si>
    <t>بهداشت دهان و دندان</t>
  </si>
  <si>
    <t>عطر و ادکلن</t>
  </si>
  <si>
    <t>مواد ضدعفونی بدن</t>
  </si>
  <si>
    <t>سلامت مو</t>
  </si>
  <si>
    <t>مواد شست و شو</t>
  </si>
  <si>
    <t>مواد ضد عفونی</t>
  </si>
  <si>
    <t>ماسک</t>
  </si>
  <si>
    <t>صورتحاب‌های مسکن</t>
  </si>
  <si>
    <t>اجاره</t>
  </si>
  <si>
    <t>آب</t>
  </si>
  <si>
    <t>برق</t>
  </si>
  <si>
    <t>تلفن</t>
  </si>
  <si>
    <t>گاز</t>
  </si>
  <si>
    <t>نگهداری و تعمیر</t>
  </si>
  <si>
    <t>کمیسون معامله</t>
  </si>
  <si>
    <t>خرید مسکن</t>
  </si>
  <si>
    <t>پول پیش اجاره یا رهن</t>
  </si>
  <si>
    <t>کت و شلوار</t>
  </si>
  <si>
    <t>کفش رسمی</t>
  </si>
  <si>
    <t>کفش نیمه رسمی</t>
  </si>
  <si>
    <t>کفش ورزشی</t>
  </si>
  <si>
    <t>فراغت و سرگرمی</t>
  </si>
  <si>
    <t>کتاب رمان و داستان</t>
  </si>
  <si>
    <t>انیمه، فیلم و سریال</t>
  </si>
  <si>
    <t>مانگا، مانهوا،مانها و ناول</t>
  </si>
  <si>
    <t>مجله و روزنامه</t>
  </si>
  <si>
    <t>ورزش</t>
  </si>
  <si>
    <t>خرید لوازم ورزشی</t>
  </si>
  <si>
    <t>اجاره لوازم ورزشی</t>
  </si>
  <si>
    <t>شهریه باشگاه</t>
  </si>
  <si>
    <t>غیره</t>
  </si>
  <si>
    <t>مالیات درآمد</t>
  </si>
  <si>
    <t>مالیات منزل</t>
  </si>
  <si>
    <t>اثاثیه منزل</t>
  </si>
  <si>
    <t>اقامتگاه</t>
  </si>
  <si>
    <t>هتل</t>
  </si>
  <si>
    <t>خواهران و برادران</t>
  </si>
  <si>
    <t>دوستان</t>
  </si>
  <si>
    <t>پدر و مادر</t>
  </si>
  <si>
    <t>همسر</t>
  </si>
  <si>
    <t>فرزندان</t>
  </si>
  <si>
    <t>همکاران</t>
  </si>
  <si>
    <t>آشنایان</t>
  </si>
  <si>
    <t>خیریه و امور فرهنگی</t>
  </si>
  <si>
    <t>اینترنت همراه</t>
  </si>
  <si>
    <t>تلفن همراه</t>
  </si>
  <si>
    <t>اینترنت ثابت</t>
  </si>
  <si>
    <t>اینترنت شبانه</t>
  </si>
  <si>
    <t>قطعات افزوده</t>
  </si>
  <si>
    <t>اقساط وام مرکز رشد</t>
  </si>
  <si>
    <t>کمک به یتیم خانه</t>
  </si>
  <si>
    <t>سیگار</t>
  </si>
  <si>
    <t>قلیان</t>
  </si>
  <si>
    <t>زیورآلات سرمایه</t>
  </si>
  <si>
    <t>طلا</t>
  </si>
  <si>
    <t>نقره</t>
  </si>
  <si>
    <t xml:space="preserve"> زیورآلات غیر سرمایه</t>
  </si>
  <si>
    <t>انگشتر فیک</t>
  </si>
  <si>
    <t xml:space="preserve"> سرمایه گذاری</t>
  </si>
  <si>
    <t xml:space="preserve"> مدرک و تحصیل</t>
  </si>
  <si>
    <t>کتاب‌های کمک درسی</t>
  </si>
  <si>
    <t>انگشتر فیروزه</t>
  </si>
  <si>
    <t>انگشتر عقیق</t>
  </si>
  <si>
    <t>پرداخت_هزینه</t>
  </si>
  <si>
    <t>خیریه_و_امور_فرهنگی</t>
  </si>
  <si>
    <t>ایاب_و_ذهاب</t>
  </si>
  <si>
    <t>بهداشت_و_درمان</t>
  </si>
  <si>
    <t>بهداشت_و_نظافت_فردی</t>
  </si>
  <si>
    <t>بهداشت_و_نظافت_محیط</t>
  </si>
  <si>
    <t>پرداخت_اقساط</t>
  </si>
  <si>
    <t>پوشاک_و_کفش</t>
  </si>
  <si>
    <t>خوراکی‌ها_و_آشامیدنی‌ها</t>
  </si>
  <si>
    <t>زیورآلات_سرمایه</t>
  </si>
  <si>
    <t>زیورآلات_غیرسرمایه</t>
  </si>
  <si>
    <t>سرمایه‌گذاری</t>
  </si>
  <si>
    <t>سفر_و_گردش</t>
  </si>
  <si>
    <t>فراغت_و_سرگرمی</t>
  </si>
  <si>
    <t>مدرک_و_تحصیل</t>
  </si>
  <si>
    <t>هدیه</t>
  </si>
  <si>
    <t>یادگیری_و_توسعه_فردی</t>
  </si>
  <si>
    <t>دوره‌های توسعه فردی</t>
  </si>
  <si>
    <t>کتاب‌های توسعه فردی</t>
  </si>
  <si>
    <t>کارگاه‌های توسعه فردی</t>
  </si>
  <si>
    <t>صورتحساب‌های_مسکن</t>
  </si>
  <si>
    <t>دستبند فیک</t>
  </si>
  <si>
    <t>سایت شخصی</t>
  </si>
  <si>
    <t>شهریه دانشگاه</t>
  </si>
  <si>
    <t>دریافت_درآمد</t>
  </si>
  <si>
    <t>درگاه پرداخت اینترنتی</t>
  </si>
  <si>
    <t>حقوق</t>
  </si>
  <si>
    <t>سود_سرمایه‌گذاری</t>
  </si>
  <si>
    <t>دریافت_رهن_و_اجاره</t>
  </si>
  <si>
    <t>دریافت_وام</t>
  </si>
  <si>
    <t>منفعت_کسب</t>
  </si>
  <si>
    <t>عیدی سال نو</t>
  </si>
  <si>
    <t>عیدی عید فطر</t>
  </si>
  <si>
    <t>تشویقی‌ها_جوایز_و_عیدی‌ها</t>
  </si>
  <si>
    <t>پول تو جیبی از پدر و مادر</t>
  </si>
  <si>
    <t>درآمد_متفرقه</t>
  </si>
  <si>
    <t>درآمد متفرقه</t>
  </si>
  <si>
    <t>شرکت</t>
  </si>
  <si>
    <t>طرح بانکی</t>
  </si>
  <si>
    <t>وام بانک X</t>
  </si>
  <si>
    <t>۱۱۱</t>
  </si>
  <si>
    <t xml:space="preserve">حساب روزمره </t>
  </si>
  <si>
    <t>حساب پس‌انداز</t>
  </si>
  <si>
    <t xml:space="preserve">بانک </t>
  </si>
  <si>
    <t xml:space="preserve">پدر </t>
  </si>
  <si>
    <t>مادر</t>
  </si>
  <si>
    <t>هسته تحقیقاتی</t>
  </si>
  <si>
    <t>مرکز رشد و فناوری</t>
  </si>
  <si>
    <t xml:space="preserve">مغازه </t>
  </si>
  <si>
    <t xml:space="preserve">محمد </t>
  </si>
  <si>
    <t xml:space="preserve">سید </t>
  </si>
  <si>
    <t xml:space="preserve"> پور</t>
  </si>
  <si>
    <t>یاشار</t>
  </si>
  <si>
    <t xml:space="preserve">حسین </t>
  </si>
  <si>
    <t>جمع دریافتی</t>
  </si>
  <si>
    <t>جمع پرداختی</t>
  </si>
  <si>
    <t>مانده</t>
  </si>
  <si>
    <t>وضعیت فعلی</t>
  </si>
  <si>
    <t>مجموع کل انتقال‌ها:</t>
  </si>
  <si>
    <t>cell</t>
  </si>
  <si>
    <t>=</t>
  </si>
  <si>
    <t>مانده حساب‌ها:</t>
  </si>
  <si>
    <t>راهنمای توابع موجود در ماژول modDateShamsi.bas</t>
  </si>
  <si>
    <t>shamsi()</t>
  </si>
  <si>
    <t>نمایش تاریخ روز</t>
  </si>
  <si>
    <t>Slash(Shamsi())</t>
  </si>
  <si>
    <t>نمایش تاریخ روز جدا شده اسلش</t>
  </si>
  <si>
    <t>تابع</t>
  </si>
  <si>
    <t>توضیح</t>
  </si>
  <si>
    <t>سال جاری</t>
  </si>
  <si>
    <t>فروردین</t>
  </si>
  <si>
    <t>شنبه</t>
  </si>
  <si>
    <t>جمعه</t>
  </si>
  <si>
    <t>DayWeekNo(یک تاریخ)</t>
  </si>
  <si>
    <t>یک شنبه</t>
  </si>
  <si>
    <t>دو شنبه</t>
  </si>
  <si>
    <t>سه شنبه</t>
  </si>
  <si>
    <t>چهار شنبه</t>
  </si>
  <si>
    <t>پنج شنبه</t>
  </si>
  <si>
    <t>این تابع با دریافت تاریخ روز هفته رو با عدد مشخص می‌کند. از ۰ تا ۶ ( ۰ = شنبه و ۶ = جمعه</t>
  </si>
  <si>
    <t>بهار</t>
  </si>
  <si>
    <t>اردیبهشت</t>
  </si>
  <si>
    <t>تابستان</t>
  </si>
  <si>
    <t>تیر</t>
  </si>
  <si>
    <t>خرداد</t>
  </si>
  <si>
    <t>مرداد</t>
  </si>
  <si>
    <t>شهریور</t>
  </si>
  <si>
    <t>پاییز</t>
  </si>
  <si>
    <t>مهر</t>
  </si>
  <si>
    <t>آبان</t>
  </si>
  <si>
    <t>زمستان</t>
  </si>
  <si>
    <t>دی</t>
  </si>
  <si>
    <t>بهمن</t>
  </si>
  <si>
    <t>اسفند</t>
  </si>
  <si>
    <t>تعطیلات تقویم شمسی (ثابت)</t>
  </si>
  <si>
    <t>مناسبت‌های شمسی (ثابت)</t>
  </si>
  <si>
    <t>مناسبت‌های قمری (۱۴۰۰)</t>
  </si>
  <si>
    <t>مناسبت‌های میلادی (۱۴۰۰)</t>
  </si>
  <si>
    <t>عنوان تعطیلات</t>
  </si>
  <si>
    <t>عنوان مناسبت</t>
  </si>
  <si>
    <t>تعطیلات قمری</t>
  </si>
  <si>
    <t>مناسبت قمری</t>
  </si>
  <si>
    <t>مناسبت میلادی</t>
  </si>
  <si>
    <t>0101</t>
  </si>
  <si>
    <t>0102</t>
  </si>
  <si>
    <t>0103</t>
  </si>
  <si>
    <t>0104</t>
  </si>
  <si>
    <t>0112</t>
  </si>
  <si>
    <t>0113</t>
  </si>
  <si>
    <t>روز جمهوری اسلامی</t>
  </si>
  <si>
    <t>جشن سیزده به در</t>
  </si>
  <si>
    <t>Date</t>
  </si>
  <si>
    <t>روز و ماه</t>
  </si>
  <si>
    <t>جشن نوروز/جشن سال نو</t>
  </si>
  <si>
    <t>عیدنوروز</t>
  </si>
  <si>
    <t>شیوه نمایش تاریخ</t>
  </si>
  <si>
    <t>1400/07/30</t>
  </si>
  <si>
    <t/>
  </si>
  <si>
    <t>1400/05/21</t>
  </si>
  <si>
    <t>1400/05/25</t>
  </si>
  <si>
    <t>تعطیلات تقویم قمری</t>
  </si>
  <si>
    <t>عملیات</t>
  </si>
  <si>
    <t>Wage</t>
  </si>
  <si>
    <t>کارمزد عملیات‌های بانکی</t>
  </si>
  <si>
    <t>برداشت وجه</t>
  </si>
  <si>
    <t>گرفتن موجودی از خودپرداز</t>
  </si>
  <si>
    <t>گرفتن موجودی از کارت خوان</t>
  </si>
  <si>
    <t>وارد کردن وجه نقد به حساب</t>
  </si>
  <si>
    <t>شیوه‌های نمایش تاریخ‌</t>
  </si>
  <si>
    <t>Day and Month</t>
  </si>
  <si>
    <t>اخطار: در صورت آشنا نبودن با توابع و فرمول‌های استفاده شده در این سند، از تغییر مقادیر و عنوان جداول زیر پرهیز کنید.</t>
  </si>
  <si>
    <t>توجه: لطفا با احتیاط و توجه کافی مقدار جداول زیر را بر اساس نیاز خود شخصی سازی کنید.</t>
  </si>
  <si>
    <t>رمز صفحه: DocSettingPass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</si>
</sst>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4" formatCode="_(&quot;$&quot;* #,##0.00_);_(&quot;$&quot;* \(#,##0.00\);_(&quot;$&quot;* &quot;-&quot;??_);_(@_)"/>
    <numFmt numFmtId="164" formatCode="[$-3000401]0"/>
    <numFmt numFmtId="165" formatCode="#,##0_-[$ريال-429]"/>
    <numFmt numFmtId="166" formatCode="[$-960429]dddd\,\ d\ mmmm\ yyyy;@"/>
    <numFmt numFmtId="167" formatCode="_ * #,##0_-[$ريال-429]_ ;_ * #,##0\-[$ريال-429]_ ;_ * &quot;-&quot;_-[$ريال-429]_ ;_ @_ "/>
    <numFmt numFmtId="168" formatCode="0000\/00\/00"/>
  </numFmts>
  <fonts count="2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2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scheme val="minor"/>
    </font>
    <font>
      <b/>
      <sz val="14"/>
      <color theme="1"/>
      <name val="B Titr"/>
      <charset val="178"/>
    </font>
    <font>
      <b/>
      <sz val="12"/>
      <color theme="1"/>
      <name val="B Nazanin"/>
      <charset val="178"/>
    </font>
    <font>
      <b/>
      <sz val="11"/>
      <color theme="1"/>
      <name val="B Nazanin"/>
      <charset val="178"/>
    </font>
    <font>
      <b/>
      <sz val="18"/>
      <color theme="1"/>
      <name val="B Titr"/>
      <charset val="178"/>
    </font>
    <font>
      <sz val="11"/>
      <color theme="0"/>
      <name val="Calibri"/>
      <family val="2"/>
      <scheme val="minor"/>
    </font>
    <font>
      <b/>
      <sz val="12"/>
      <name val="B Nazanin"/>
      <charset val="178"/>
    </font>
    <font>
      <sz val="11"/>
      <name val="Calibri"/>
      <family val="2"/>
      <scheme val="minor"/>
    </font>
    <font>
      <b/>
      <sz val="12"/>
      <color theme="0"/>
      <name val="B Nazanin"/>
      <charset val="178"/>
    </font>
    <font>
      <sz val="12"/>
      <color theme="0"/>
      <name val="B Titr"/>
      <charset val="178"/>
    </font>
  </fonts>
  <fills count="39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44" fontId="16" fillId="0" borderId="0" applyFont="0" applyFill="0" applyBorder="0" applyAlignment="0" applyProtection="0"/>
  </cellStyleXfs>
  <cellXfs count="196">
    <xf numFmtId="0" fontId="0" fillId="0" borderId="0" xfId="0"/>
    <xf numFmtId="0" fontId="1" fillId="3" borderId="1" xfId="0" applyFont="1" applyFill="1" applyBorder="1" applyAlignment="1">
      <alignment horizontal="center" vertical="center"/>
    </xf>
    <xf numFmtId="0" fontId="0" fillId="4" borderId="1" xfId="0" applyFont="1" applyFill="1" applyBorder="1" applyAlignment="1">
      <alignment wrapText="1"/>
    </xf>
    <xf numFmtId="164" fontId="0" fillId="0" borderId="0" xfId="0" applyNumberFormat="1"/>
    <xf numFmtId="0" fontId="2" fillId="0" borderId="0" xfId="1"/>
    <xf numFmtId="0" fontId="0" fillId="0" borderId="0" xfId="0" applyProtection="1">
      <protection locked="0"/>
    </xf>
    <xf numFmtId="0" fontId="0" fillId="11" borderId="0" xfId="0" applyFill="1" applyProtection="1"/>
    <xf numFmtId="0" fontId="4" fillId="12" borderId="0" xfId="0" applyFont="1" applyFill="1" applyAlignment="1" applyProtection="1">
      <alignment horizontal="center" vertical="center"/>
    </xf>
    <xf numFmtId="0" fontId="4" fillId="15" borderId="0" xfId="0" applyFont="1" applyFill="1" applyAlignment="1" applyProtection="1">
      <alignment horizontal="center" vertical="center"/>
    </xf>
    <xf numFmtId="0" fontId="3" fillId="11" borderId="0" xfId="0" applyFont="1" applyFill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/>
    </xf>
    <xf numFmtId="0" fontId="5" fillId="7" borderId="0" xfId="1" applyFont="1" applyFill="1" applyBorder="1" applyAlignment="1" applyProtection="1">
      <alignment horizontal="center" vertical="center"/>
    </xf>
    <xf numFmtId="0" fontId="5" fillId="2" borderId="0" xfId="1" applyFont="1" applyFill="1" applyBorder="1" applyAlignment="1" applyProtection="1">
      <alignment horizontal="center" vertical="center"/>
    </xf>
    <xf numFmtId="0" fontId="5" fillId="5" borderId="0" xfId="1" applyFont="1" applyFill="1" applyBorder="1" applyAlignment="1" applyProtection="1">
      <alignment horizontal="center" vertical="center"/>
    </xf>
    <xf numFmtId="0" fontId="5" fillId="6" borderId="0" xfId="1" applyFont="1" applyFill="1" applyBorder="1" applyAlignment="1" applyProtection="1">
      <alignment horizontal="center" vertical="center"/>
    </xf>
    <xf numFmtId="0" fontId="5" fillId="9" borderId="0" xfId="1" applyFont="1" applyFill="1" applyBorder="1" applyAlignment="1" applyProtection="1">
      <alignment horizontal="center" vertical="center"/>
    </xf>
    <xf numFmtId="0" fontId="6" fillId="10" borderId="0" xfId="1" applyFont="1" applyFill="1" applyBorder="1" applyAlignment="1" applyProtection="1">
      <alignment horizontal="center" vertical="center"/>
    </xf>
    <xf numFmtId="0" fontId="5" fillId="14" borderId="0" xfId="1" applyFont="1" applyFill="1" applyBorder="1" applyAlignment="1" applyProtection="1">
      <alignment horizontal="center" vertical="center"/>
    </xf>
    <xf numFmtId="1" fontId="9" fillId="11" borderId="0" xfId="0" applyNumberFormat="1" applyFont="1" applyFill="1" applyAlignment="1" applyProtection="1">
      <alignment horizontal="center" vertical="center"/>
    </xf>
    <xf numFmtId="1" fontId="9" fillId="0" borderId="0" xfId="0" applyNumberFormat="1" applyFont="1" applyAlignment="1" applyProtection="1">
      <alignment horizontal="center" vertical="center"/>
      <protection locked="0"/>
    </xf>
    <xf numFmtId="49" fontId="7" fillId="0" borderId="0" xfId="0" applyNumberFormat="1" applyFont="1" applyAlignment="1" applyProtection="1">
      <alignment horizontal="center" vertical="center"/>
    </xf>
    <xf numFmtId="165" fontId="0" fillId="11" borderId="0" xfId="0" applyNumberFormat="1" applyFill="1" applyProtection="1"/>
    <xf numFmtId="165" fontId="3" fillId="11" borderId="0" xfId="0" applyNumberFormat="1" applyFont="1" applyFill="1" applyAlignment="1" applyProtection="1">
      <alignment horizontal="center" vertical="center"/>
    </xf>
    <xf numFmtId="165" fontId="4" fillId="0" borderId="0" xfId="0" applyNumberFormat="1" applyFont="1" applyAlignment="1" applyProtection="1">
      <alignment horizontal="center" vertical="center"/>
    </xf>
    <xf numFmtId="165" fontId="0" fillId="0" borderId="0" xfId="0" applyNumberFormat="1" applyProtection="1">
      <protection locked="0"/>
    </xf>
    <xf numFmtId="0" fontId="5" fillId="16" borderId="0" xfId="1" applyNumberFormat="1" applyFont="1" applyFill="1" applyAlignment="1" applyProtection="1">
      <alignment horizontal="center" vertical="center"/>
      <protection locked="0"/>
    </xf>
    <xf numFmtId="0" fontId="3" fillId="11" borderId="0" xfId="0" applyNumberFormat="1" applyFont="1" applyFill="1" applyAlignment="1" applyProtection="1">
      <alignment horizontal="center" vertical="center"/>
    </xf>
    <xf numFmtId="165" fontId="9" fillId="0" borderId="0" xfId="0" applyNumberFormat="1" applyFont="1" applyAlignment="1" applyProtection="1">
      <alignment horizontal="center" vertical="center" wrapText="1" readingOrder="2"/>
      <protection locked="0"/>
    </xf>
    <xf numFmtId="1" fontId="9" fillId="0" borderId="0" xfId="0" applyNumberFormat="1" applyFont="1" applyAlignment="1" applyProtection="1">
      <alignment horizontal="center" vertical="center" wrapText="1" readingOrder="2"/>
      <protection locked="0"/>
    </xf>
    <xf numFmtId="0" fontId="9" fillId="0" borderId="0" xfId="0" applyFont="1" applyAlignment="1" applyProtection="1">
      <alignment horizontal="center" vertical="center" wrapText="1" readingOrder="2"/>
      <protection locked="0"/>
    </xf>
    <xf numFmtId="49" fontId="0" fillId="11" borderId="0" xfId="0" applyNumberFormat="1" applyFill="1" applyProtection="1"/>
    <xf numFmtId="49" fontId="3" fillId="11" borderId="0" xfId="0" applyNumberFormat="1" applyFont="1" applyFill="1" applyAlignment="1" applyProtection="1">
      <alignment horizontal="center" vertical="center"/>
    </xf>
    <xf numFmtId="49" fontId="4" fillId="0" borderId="0" xfId="0" applyNumberFormat="1" applyFont="1" applyAlignment="1" applyProtection="1">
      <alignment horizontal="center" vertical="center"/>
    </xf>
    <xf numFmtId="49" fontId="9" fillId="0" borderId="0" xfId="0" applyNumberFormat="1" applyFont="1" applyAlignment="1" applyProtection="1">
      <alignment horizontal="center" vertical="center" wrapText="1" readingOrder="2"/>
      <protection locked="0"/>
    </xf>
    <xf numFmtId="49" fontId="0" fillId="0" borderId="0" xfId="0" applyNumberFormat="1" applyProtection="1">
      <protection locked="0"/>
    </xf>
    <xf numFmtId="0" fontId="5" fillId="8" borderId="0" xfId="1" applyNumberFormat="1" applyFont="1" applyFill="1" applyBorder="1" applyAlignment="1" applyProtection="1">
      <alignment horizontal="center" vertical="center"/>
    </xf>
    <xf numFmtId="0" fontId="0" fillId="11" borderId="0" xfId="0" applyNumberFormat="1" applyFill="1" applyProtection="1"/>
    <xf numFmtId="0" fontId="5" fillId="17" borderId="0" xfId="1" applyFont="1" applyFill="1" applyAlignment="1">
      <alignment horizontal="center" vertical="center"/>
    </xf>
    <xf numFmtId="0" fontId="5" fillId="6" borderId="0" xfId="1" applyNumberFormat="1" applyFont="1" applyFill="1" applyBorder="1" applyAlignment="1" applyProtection="1">
      <alignment horizontal="center" vertical="center"/>
    </xf>
    <xf numFmtId="0" fontId="4" fillId="13" borderId="0" xfId="0" applyNumberFormat="1" applyFont="1" applyFill="1" applyAlignment="1" applyProtection="1">
      <alignment horizontal="center" vertical="center"/>
    </xf>
    <xf numFmtId="0" fontId="4" fillId="0" borderId="0" xfId="0" applyNumberFormat="1" applyFont="1" applyAlignment="1" applyProtection="1">
      <alignment horizontal="center" vertical="center"/>
    </xf>
    <xf numFmtId="0" fontId="9" fillId="0" borderId="0" xfId="0" applyNumberFormat="1" applyFont="1" applyAlignment="1" applyProtection="1">
      <alignment horizontal="center" vertical="center" wrapText="1" readingOrder="2"/>
      <protection locked="0"/>
    </xf>
    <xf numFmtId="0" fontId="0" fillId="0" borderId="0" xfId="0" applyNumberFormat="1" applyProtection="1">
      <protection locked="0"/>
    </xf>
    <xf numFmtId="0" fontId="0" fillId="11" borderId="0" xfId="0" applyFill="1"/>
    <xf numFmtId="0" fontId="9" fillId="0" borderId="0" xfId="0" applyFont="1" applyAlignment="1">
      <alignment horizontal="center" vertical="center" wrapText="1" readingOrder="2"/>
    </xf>
    <xf numFmtId="0" fontId="4" fillId="0" borderId="0" xfId="0" applyFont="1" applyAlignment="1">
      <alignment horizontal="center" vertical="center" wrapText="1" readingOrder="2"/>
    </xf>
    <xf numFmtId="49" fontId="9" fillId="0" borderId="0" xfId="0" applyNumberFormat="1" applyFont="1" applyAlignment="1">
      <alignment horizontal="center" vertical="center" wrapText="1" readingOrder="2"/>
    </xf>
    <xf numFmtId="49" fontId="2" fillId="0" borderId="0" xfId="1" applyNumberFormat="1" applyFont="1" applyAlignment="1">
      <alignment horizontal="center" vertical="center" wrapText="1" readingOrder="2"/>
    </xf>
    <xf numFmtId="0" fontId="8" fillId="0" borderId="0" xfId="0" applyFont="1" applyAlignment="1">
      <alignment horizontal="center" vertical="center" wrapText="1" readingOrder="2"/>
    </xf>
    <xf numFmtId="0" fontId="10" fillId="0" borderId="0" xfId="0" applyFont="1" applyAlignment="1">
      <alignment horizontal="center" vertical="center" wrapText="1" readingOrder="2"/>
    </xf>
    <xf numFmtId="165" fontId="8" fillId="0" borderId="0" xfId="0" applyNumberFormat="1" applyFont="1" applyAlignment="1">
      <alignment horizontal="center" vertical="center" wrapText="1" readingOrder="2"/>
    </xf>
    <xf numFmtId="165" fontId="9" fillId="0" borderId="0" xfId="0" applyNumberFormat="1" applyFont="1" applyAlignment="1">
      <alignment horizontal="center" vertical="center" wrapText="1" readingOrder="2"/>
    </xf>
    <xf numFmtId="0" fontId="11" fillId="0" borderId="0" xfId="0" applyFont="1" applyAlignment="1">
      <alignment horizontal="center" vertical="center" wrapText="1" readingOrder="2"/>
    </xf>
    <xf numFmtId="49" fontId="11" fillId="0" borderId="0" xfId="0" applyNumberFormat="1" applyFont="1" applyAlignment="1">
      <alignment horizontal="center" vertical="center" wrapText="1" readingOrder="2"/>
    </xf>
    <xf numFmtId="49" fontId="8" fillId="0" borderId="0" xfId="0" applyNumberFormat="1" applyFont="1" applyAlignment="1">
      <alignment horizontal="center" vertical="center" wrapText="1" readingOrder="2"/>
    </xf>
    <xf numFmtId="49" fontId="11" fillId="0" borderId="0" xfId="0" applyNumberFormat="1" applyFont="1" applyAlignment="1">
      <alignment horizontal="center" vertical="center" wrapText="1"/>
    </xf>
    <xf numFmtId="0" fontId="0" fillId="0" borderId="0" xfId="0" applyNumberFormat="1"/>
    <xf numFmtId="0" fontId="12" fillId="0" borderId="0" xfId="0" applyFont="1" applyAlignment="1">
      <alignment horizontal="center" vertical="center" wrapText="1" readingOrder="2"/>
    </xf>
    <xf numFmtId="49" fontId="13" fillId="0" borderId="0" xfId="0" applyNumberFormat="1" applyFont="1" applyAlignment="1">
      <alignment horizontal="center" vertical="center" wrapText="1"/>
    </xf>
    <xf numFmtId="49" fontId="13" fillId="0" borderId="0" xfId="0" applyNumberFormat="1" applyFont="1" applyAlignment="1">
      <alignment horizontal="center" vertical="center" wrapText="1" readingOrder="2"/>
    </xf>
    <xf numFmtId="0" fontId="0" fillId="0" borderId="0" xfId="0" applyNumberFormat="1" applyFont="1" applyAlignment="1">
      <alignment horizontal="center" vertical="center" wrapText="1" readingOrder="2"/>
    </xf>
    <xf numFmtId="0" fontId="9" fillId="0" borderId="0" xfId="0" applyFont="1" applyAlignment="1">
      <alignment horizontal="center" vertical="center"/>
    </xf>
    <xf numFmtId="0" fontId="4" fillId="0" borderId="0" xfId="0" applyFont="1" applyAlignment="1" applyProtection="1">
      <alignment horizontal="center" vertical="center" wrapText="1" readingOrder="2"/>
      <protection locked="0"/>
    </xf>
    <xf numFmtId="49" fontId="0" fillId="0" borderId="0" xfId="0" applyNumberFormat="1" applyFont="1" applyAlignment="1" applyProtection="1">
      <alignment horizontal="center" vertical="center" wrapText="1" readingOrder="2"/>
      <protection locked="0"/>
    </xf>
    <xf numFmtId="0" fontId="0" fillId="0" borderId="0" xfId="0" applyProtection="1"/>
    <xf numFmtId="0" fontId="10" fillId="20" borderId="0" xfId="0" applyFont="1" applyFill="1" applyAlignment="1">
      <alignment horizontal="center" vertical="center" wrapText="1" readingOrder="2"/>
    </xf>
    <xf numFmtId="0" fontId="11" fillId="20" borderId="0" xfId="0" applyFont="1" applyFill="1" applyAlignment="1">
      <alignment horizontal="center" vertical="center" wrapText="1"/>
    </xf>
    <xf numFmtId="0" fontId="11" fillId="20" borderId="0" xfId="0" applyFont="1" applyFill="1" applyAlignment="1">
      <alignment horizontal="center" vertical="center" wrapText="1" readingOrder="2"/>
    </xf>
    <xf numFmtId="0" fontId="9" fillId="20" borderId="0" xfId="0" applyFont="1" applyFill="1" applyAlignment="1">
      <alignment horizontal="center" vertical="center" wrapText="1" readingOrder="2"/>
    </xf>
    <xf numFmtId="0" fontId="7" fillId="0" borderId="0" xfId="0" applyFont="1" applyAlignment="1" applyProtection="1">
      <alignment horizontal="center" vertical="center"/>
    </xf>
    <xf numFmtId="0" fontId="0" fillId="0" borderId="0" xfId="0" applyAlignment="1">
      <alignment wrapText="1"/>
    </xf>
    <xf numFmtId="0" fontId="0" fillId="11" borderId="0" xfId="0" applyFill="1" applyAlignment="1">
      <alignment wrapText="1"/>
    </xf>
    <xf numFmtId="0" fontId="0" fillId="11" borderId="0" xfId="0" applyFill="1" applyAlignment="1">
      <alignment horizontal="center" vertical="center"/>
    </xf>
    <xf numFmtId="0" fontId="5" fillId="11" borderId="0" xfId="1" applyFont="1" applyFill="1" applyAlignment="1">
      <alignment vertical="center"/>
    </xf>
    <xf numFmtId="0" fontId="5" fillId="6" borderId="0" xfId="1" applyNumberFormat="1" applyFont="1" applyFill="1" applyAlignment="1" applyProtection="1">
      <alignment horizontal="center" vertical="center"/>
    </xf>
    <xf numFmtId="0" fontId="4" fillId="11" borderId="0" xfId="0" applyFont="1" applyFill="1" applyAlignment="1" applyProtection="1">
      <alignment horizontal="center" vertical="center"/>
    </xf>
    <xf numFmtId="0" fontId="4" fillId="11" borderId="0" xfId="0" applyNumberFormat="1" applyFont="1" applyFill="1" applyAlignment="1" applyProtection="1">
      <alignment horizontal="center" vertical="center"/>
    </xf>
    <xf numFmtId="0" fontId="5" fillId="11" borderId="0" xfId="1" applyNumberFormat="1" applyFont="1" applyFill="1" applyAlignment="1" applyProtection="1">
      <alignment horizontal="center" vertical="center"/>
    </xf>
    <xf numFmtId="0" fontId="5" fillId="11" borderId="0" xfId="1" applyFont="1" applyFill="1" applyAlignment="1" applyProtection="1">
      <alignment horizontal="center" vertical="center" wrapText="1"/>
    </xf>
    <xf numFmtId="0" fontId="0" fillId="11" borderId="0" xfId="0" applyFill="1" applyProtection="1">
      <protection locked="0"/>
    </xf>
    <xf numFmtId="0" fontId="5" fillId="23" borderId="0" xfId="1" applyFont="1" applyFill="1" applyAlignment="1" applyProtection="1">
      <alignment horizontal="center" vertical="center" wrapText="1"/>
    </xf>
    <xf numFmtId="0" fontId="0" fillId="0" borderId="0" xfId="0" applyAlignment="1">
      <alignment horizontal="right" vertical="center" wrapText="1" readingOrder="2"/>
    </xf>
    <xf numFmtId="0" fontId="9" fillId="0" borderId="0" xfId="0" applyFont="1" applyAlignment="1">
      <alignment horizontal="right" vertical="center" wrapText="1" readingOrder="2"/>
    </xf>
    <xf numFmtId="0" fontId="0" fillId="24" borderId="0" xfId="0" applyFill="1"/>
    <xf numFmtId="0" fontId="9" fillId="24" borderId="0" xfId="0" applyFont="1" applyFill="1" applyAlignment="1">
      <alignment horizontal="center" vertical="center" wrapText="1" readingOrder="2"/>
    </xf>
    <xf numFmtId="0" fontId="9" fillId="11" borderId="0" xfId="0" applyFont="1" applyFill="1" applyAlignment="1">
      <alignment horizontal="center" vertical="center" wrapText="1" readingOrder="2"/>
    </xf>
    <xf numFmtId="0" fontId="14" fillId="24" borderId="0" xfId="0" applyFont="1" applyFill="1" applyAlignment="1">
      <alignment horizontal="center" vertical="center" wrapText="1" readingOrder="2"/>
    </xf>
    <xf numFmtId="0" fontId="0" fillId="24" borderId="0" xfId="0" applyFill="1" applyAlignment="1">
      <alignment wrapText="1"/>
    </xf>
    <xf numFmtId="0" fontId="15" fillId="0" borderId="0" xfId="0" applyFont="1" applyAlignment="1">
      <alignment horizontal="center" vertical="center" wrapText="1" readingOrder="2"/>
    </xf>
    <xf numFmtId="0" fontId="0" fillId="0" borderId="0" xfId="0" applyAlignment="1">
      <alignment horizontal="center" vertical="center" readingOrder="2"/>
    </xf>
    <xf numFmtId="0" fontId="0" fillId="0" borderId="0" xfId="0" applyAlignment="1">
      <alignment horizontal="center" vertical="center" wrapText="1" readingOrder="2"/>
    </xf>
    <xf numFmtId="0" fontId="0" fillId="0" borderId="0" xfId="0" applyFill="1" applyBorder="1" applyAlignment="1">
      <alignment horizontal="center" vertical="center" wrapText="1" readingOrder="2"/>
    </xf>
    <xf numFmtId="164" fontId="9" fillId="0" borderId="0" xfId="0" applyNumberFormat="1" applyFont="1" applyAlignment="1">
      <alignment horizontal="center" vertical="center" wrapText="1" readingOrder="2"/>
    </xf>
    <xf numFmtId="49" fontId="1" fillId="25" borderId="2" xfId="0" applyNumberFormat="1" applyFont="1" applyFill="1" applyBorder="1" applyAlignment="1">
      <alignment horizontal="center" vertical="center"/>
    </xf>
    <xf numFmtId="0" fontId="8" fillId="25" borderId="2" xfId="0" applyFont="1" applyFill="1" applyBorder="1" applyAlignment="1">
      <alignment horizontal="center" vertical="center"/>
    </xf>
    <xf numFmtId="49" fontId="8" fillId="25" borderId="2" xfId="0" applyNumberFormat="1" applyFont="1" applyFill="1" applyBorder="1" applyAlignment="1">
      <alignment horizontal="center" vertical="center"/>
    </xf>
    <xf numFmtId="0" fontId="8" fillId="25" borderId="2" xfId="0" applyNumberFormat="1" applyFont="1" applyFill="1" applyBorder="1" applyAlignment="1">
      <alignment horizontal="center" vertical="center"/>
    </xf>
    <xf numFmtId="0" fontId="1" fillId="25" borderId="2" xfId="0" applyFont="1" applyFill="1" applyBorder="1" applyAlignment="1">
      <alignment horizontal="center" vertical="center"/>
    </xf>
    <xf numFmtId="165" fontId="8" fillId="25" borderId="2" xfId="0" applyNumberFormat="1" applyFont="1" applyFill="1" applyBorder="1" applyAlignment="1">
      <alignment horizontal="center" vertical="center"/>
    </xf>
    <xf numFmtId="1" fontId="9" fillId="26" borderId="3" xfId="0" applyNumberFormat="1" applyFont="1" applyFill="1" applyBorder="1" applyAlignment="1">
      <alignment horizontal="center" vertical="center" wrapText="1" readingOrder="2"/>
    </xf>
    <xf numFmtId="0" fontId="9" fillId="26" borderId="3" xfId="0" applyFont="1" applyFill="1" applyBorder="1" applyAlignment="1">
      <alignment horizontal="center" vertical="center" wrapText="1" readingOrder="2"/>
    </xf>
    <xf numFmtId="166" fontId="9" fillId="26" borderId="3" xfId="0" applyNumberFormat="1" applyFont="1" applyFill="1" applyBorder="1" applyAlignment="1">
      <alignment horizontal="center" vertical="center" wrapText="1" readingOrder="2"/>
    </xf>
    <xf numFmtId="49" fontId="9" fillId="26" borderId="3" xfId="0" applyNumberFormat="1" applyFont="1" applyFill="1" applyBorder="1" applyAlignment="1">
      <alignment horizontal="center" vertical="center" wrapText="1" readingOrder="2"/>
    </xf>
    <xf numFmtId="0" fontId="9" fillId="26" borderId="3" xfId="0" applyNumberFormat="1" applyFont="1" applyFill="1" applyBorder="1" applyAlignment="1">
      <alignment horizontal="center" vertical="center" wrapText="1" readingOrder="2"/>
    </xf>
    <xf numFmtId="165" fontId="9" fillId="26" borderId="3" xfId="0" applyNumberFormat="1" applyFont="1" applyFill="1" applyBorder="1" applyAlignment="1">
      <alignment horizontal="center" vertical="center" wrapText="1" readingOrder="2"/>
    </xf>
    <xf numFmtId="1" fontId="9" fillId="0" borderId="3" xfId="0" applyNumberFormat="1" applyFont="1" applyBorder="1" applyAlignment="1">
      <alignment horizontal="center" vertical="center" wrapText="1" readingOrder="2"/>
    </xf>
    <xf numFmtId="0" fontId="9" fillId="0" borderId="3" xfId="0" applyFont="1" applyBorder="1" applyAlignment="1">
      <alignment horizontal="center" vertical="center" wrapText="1" readingOrder="2"/>
    </xf>
    <xf numFmtId="166" fontId="9" fillId="0" borderId="3" xfId="0" applyNumberFormat="1" applyFont="1" applyBorder="1" applyAlignment="1">
      <alignment horizontal="center" vertical="center" wrapText="1" readingOrder="2"/>
    </xf>
    <xf numFmtId="49" fontId="9" fillId="0" borderId="3" xfId="0" applyNumberFormat="1" applyFont="1" applyBorder="1" applyAlignment="1">
      <alignment horizontal="center" vertical="center" wrapText="1" readingOrder="2"/>
    </xf>
    <xf numFmtId="0" fontId="9" fillId="0" borderId="3" xfId="0" applyNumberFormat="1" applyFont="1" applyBorder="1" applyAlignment="1">
      <alignment horizontal="center" vertical="center" wrapText="1" readingOrder="2"/>
    </xf>
    <xf numFmtId="165" fontId="9" fillId="0" borderId="3" xfId="0" applyNumberFormat="1" applyFont="1" applyBorder="1" applyAlignment="1">
      <alignment horizontal="center" vertical="center" wrapText="1" readingOrder="2"/>
    </xf>
    <xf numFmtId="167" fontId="0" fillId="0" borderId="0" xfId="2" applyNumberFormat="1" applyFont="1" applyProtection="1">
      <protection locked="0"/>
    </xf>
    <xf numFmtId="165" fontId="11" fillId="0" borderId="0" xfId="0" applyNumberFormat="1" applyFont="1" applyAlignment="1">
      <alignment horizontal="center" vertical="center" wrapText="1" readingOrder="2"/>
    </xf>
    <xf numFmtId="165" fontId="11" fillId="0" borderId="0" xfId="0" applyNumberFormat="1" applyFont="1" applyFill="1" applyAlignment="1">
      <alignment horizontal="center" vertical="center" wrapText="1" readingOrder="2"/>
    </xf>
    <xf numFmtId="165" fontId="4" fillId="13" borderId="0" xfId="0" applyNumberFormat="1" applyFont="1" applyFill="1" applyAlignment="1" applyProtection="1">
      <alignment horizontal="center" vertical="center" wrapText="1" readingOrder="2"/>
    </xf>
    <xf numFmtId="165" fontId="4" fillId="15" borderId="0" xfId="0" applyNumberFormat="1" applyFont="1" applyFill="1" applyAlignment="1" applyProtection="1">
      <alignment horizontal="center" vertical="center" wrapText="1" readingOrder="2"/>
    </xf>
    <xf numFmtId="165" fontId="4" fillId="12" borderId="0" xfId="0" applyNumberFormat="1" applyFont="1" applyFill="1" applyAlignment="1" applyProtection="1">
      <alignment horizontal="center" vertical="center" wrapText="1" readingOrder="2"/>
    </xf>
    <xf numFmtId="165" fontId="9" fillId="0" borderId="0" xfId="2" applyNumberFormat="1" applyFont="1" applyAlignment="1" applyProtection="1">
      <alignment horizontal="center" vertical="center" wrapText="1" readingOrder="2"/>
    </xf>
    <xf numFmtId="0" fontId="4" fillId="27" borderId="0" xfId="0" applyNumberFormat="1" applyFont="1" applyFill="1" applyAlignment="1" applyProtection="1">
      <alignment horizontal="center" vertical="center"/>
    </xf>
    <xf numFmtId="165" fontId="4" fillId="11" borderId="0" xfId="0" applyNumberFormat="1" applyFont="1" applyFill="1" applyAlignment="1" applyProtection="1">
      <alignment horizontal="center" vertical="center" wrapText="1" readingOrder="2"/>
    </xf>
    <xf numFmtId="165" fontId="4" fillId="27" borderId="0" xfId="0" applyNumberFormat="1" applyFont="1" applyFill="1" applyAlignment="1" applyProtection="1">
      <alignment horizontal="center" vertical="center" wrapText="1" readingOrder="2"/>
    </xf>
    <xf numFmtId="14" fontId="0" fillId="0" borderId="0" xfId="0" applyNumberFormat="1"/>
    <xf numFmtId="0" fontId="5" fillId="16" borderId="0" xfId="1" applyNumberFormat="1" applyFont="1" applyFill="1" applyAlignment="1" applyProtection="1">
      <alignment horizontal="center" vertical="center"/>
    </xf>
    <xf numFmtId="0" fontId="17" fillId="28" borderId="0" xfId="1" applyFont="1" applyFill="1" applyAlignment="1" applyProtection="1">
      <alignment horizontal="center" vertical="center"/>
    </xf>
    <xf numFmtId="0" fontId="3" fillId="29" borderId="0" xfId="1" applyFont="1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9" fillId="22" borderId="0" xfId="0" applyFont="1" applyFill="1" applyAlignment="1">
      <alignment horizontal="center" vertical="center"/>
    </xf>
    <xf numFmtId="0" fontId="19" fillId="30" borderId="0" xfId="0" applyFont="1" applyFill="1" applyAlignment="1">
      <alignment horizontal="center" vertical="center"/>
    </xf>
    <xf numFmtId="0" fontId="20" fillId="0" borderId="0" xfId="0" applyFont="1" applyAlignment="1">
      <alignment horizontal="center" vertical="center" wrapText="1" readingOrder="2"/>
    </xf>
    <xf numFmtId="0" fontId="20" fillId="31" borderId="0" xfId="0" applyFont="1" applyFill="1" applyAlignment="1">
      <alignment horizontal="center" vertical="center" wrapText="1" readingOrder="2"/>
    </xf>
    <xf numFmtId="0" fontId="21" fillId="0" borderId="4" xfId="0" applyFont="1" applyBorder="1" applyAlignment="1">
      <alignment horizontal="center" vertical="center" wrapText="1" readingOrder="2"/>
    </xf>
    <xf numFmtId="0" fontId="0" fillId="31" borderId="0" xfId="0" applyFill="1"/>
    <xf numFmtId="0" fontId="0" fillId="0" borderId="0" xfId="0" applyFill="1"/>
    <xf numFmtId="0" fontId="20" fillId="32" borderId="0" xfId="0" applyFont="1" applyFill="1" applyAlignment="1">
      <alignment horizontal="center" vertical="center" wrapText="1" readingOrder="2"/>
    </xf>
    <xf numFmtId="0" fontId="0" fillId="32" borderId="0" xfId="0" applyFill="1"/>
    <xf numFmtId="0" fontId="24" fillId="19" borderId="0" xfId="0" applyFont="1" applyFill="1" applyAlignment="1">
      <alignment horizontal="center" vertical="center" wrapText="1" readingOrder="2"/>
    </xf>
    <xf numFmtId="0" fontId="25" fillId="19" borderId="0" xfId="0" applyFont="1" applyFill="1"/>
    <xf numFmtId="0" fontId="0" fillId="19" borderId="0" xfId="0" applyFill="1"/>
    <xf numFmtId="0" fontId="26" fillId="0" borderId="0" xfId="0" applyFont="1" applyAlignment="1">
      <alignment horizontal="center" vertical="center" wrapText="1" readingOrder="2"/>
    </xf>
    <xf numFmtId="0" fontId="23" fillId="0" borderId="0" xfId="0" applyFont="1"/>
    <xf numFmtId="0" fontId="24" fillId="33" borderId="0" xfId="0" applyFont="1" applyFill="1" applyAlignment="1">
      <alignment horizontal="center" vertical="center" wrapText="1" readingOrder="2"/>
    </xf>
    <xf numFmtId="0" fontId="25" fillId="33" borderId="0" xfId="0" applyFont="1" applyFill="1"/>
    <xf numFmtId="0" fontId="0" fillId="33" borderId="0" xfId="0" applyFill="1"/>
    <xf numFmtId="0" fontId="17" fillId="34" borderId="0" xfId="1" applyFont="1" applyFill="1" applyAlignment="1">
      <alignment horizontal="center" vertical="center"/>
    </xf>
    <xf numFmtId="49" fontId="5" fillId="6" borderId="0" xfId="1" applyNumberFormat="1" applyFont="1" applyFill="1" applyBorder="1" applyAlignment="1" applyProtection="1">
      <alignment horizontal="center" vertical="center" readingOrder="2"/>
    </xf>
    <xf numFmtId="168" fontId="0" fillId="0" borderId="0" xfId="0" applyNumberFormat="1"/>
    <xf numFmtId="0" fontId="4" fillId="0" borderId="0" xfId="0" applyNumberFormat="1" applyFont="1" applyFill="1" applyAlignment="1" applyProtection="1">
      <alignment horizontal="center" vertical="center"/>
    </xf>
    <xf numFmtId="14" fontId="0" fillId="0" borderId="0" xfId="0" applyNumberFormat="1" applyProtection="1">
      <protection locked="0"/>
    </xf>
    <xf numFmtId="0" fontId="17" fillId="19" borderId="0" xfId="1" applyFont="1" applyFill="1" applyAlignment="1" applyProtection="1">
      <alignment horizontal="center" vertical="center" wrapText="1"/>
    </xf>
    <xf numFmtId="0" fontId="27" fillId="32" borderId="0" xfId="0" applyFont="1" applyFill="1" applyAlignment="1">
      <alignment horizontal="center" vertical="center" wrapText="1" readingOrder="2"/>
    </xf>
    <xf numFmtId="0" fontId="27" fillId="31" borderId="0" xfId="0" applyFont="1" applyFill="1" applyAlignment="1">
      <alignment horizontal="center" vertical="center" wrapText="1" readingOrder="2"/>
    </xf>
    <xf numFmtId="0" fontId="22" fillId="6" borderId="0" xfId="0" applyFont="1" applyFill="1" applyAlignment="1">
      <alignment horizontal="center" vertical="center" textRotation="180" wrapText="1" readingOrder="2"/>
    </xf>
    <xf numFmtId="0" fontId="22" fillId="23" borderId="0" xfId="0" applyFont="1" applyFill="1" applyAlignment="1">
      <alignment horizontal="center" vertical="center" textRotation="180" wrapText="1" readingOrder="2"/>
    </xf>
    <xf numFmtId="0" fontId="27" fillId="19" borderId="0" xfId="0" applyFont="1" applyFill="1" applyAlignment="1">
      <alignment horizontal="center" vertical="center" wrapText="1" readingOrder="2"/>
    </xf>
    <xf numFmtId="0" fontId="22" fillId="5" borderId="0" xfId="0" applyFont="1" applyFill="1" applyAlignment="1">
      <alignment horizontal="center" vertical="center" textRotation="180" wrapText="1" readingOrder="2"/>
    </xf>
    <xf numFmtId="0" fontId="27" fillId="33" borderId="0" xfId="0" applyFont="1" applyFill="1" applyAlignment="1">
      <alignment horizontal="center" vertical="center" wrapText="1" readingOrder="2"/>
    </xf>
    <xf numFmtId="0" fontId="22" fillId="17" borderId="0" xfId="0" applyFont="1" applyFill="1" applyAlignment="1">
      <alignment horizontal="center" vertical="center" textRotation="180" wrapText="1" readingOrder="2"/>
    </xf>
    <xf numFmtId="49" fontId="8" fillId="21" borderId="0" xfId="0" applyNumberFormat="1" applyFont="1" applyFill="1" applyAlignment="1">
      <alignment horizontal="center" vertical="center" wrapText="1" readingOrder="2"/>
    </xf>
    <xf numFmtId="0" fontId="8" fillId="20" borderId="0" xfId="0" applyFont="1" applyFill="1" applyAlignment="1">
      <alignment horizontal="center" vertical="center" wrapText="1" readingOrder="2"/>
    </xf>
    <xf numFmtId="0" fontId="8" fillId="5" borderId="0" xfId="0" applyFont="1" applyFill="1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49" fontId="0" fillId="0" borderId="0" xfId="0" applyNumberFormat="1" applyAlignment="1" applyProtection="1">
      <alignment horizontal="center" readingOrder="2"/>
    </xf>
    <xf numFmtId="0" fontId="5" fillId="17" borderId="0" xfId="1" applyFont="1" applyFill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 readingOrder="2"/>
    </xf>
    <xf numFmtId="0" fontId="4" fillId="11" borderId="0" xfId="0" applyFont="1" applyFill="1" applyAlignment="1" applyProtection="1">
      <alignment horizontal="center" vertical="center" readingOrder="2"/>
    </xf>
    <xf numFmtId="0" fontId="8" fillId="18" borderId="0" xfId="0" applyFont="1" applyFill="1" applyAlignment="1" applyProtection="1">
      <alignment horizontal="center" vertical="center" readingOrder="2"/>
    </xf>
    <xf numFmtId="0" fontId="8" fillId="11" borderId="0" xfId="0" applyFont="1" applyFill="1" applyAlignment="1" applyProtection="1">
      <alignment horizontal="center" vertical="center" readingOrder="2"/>
    </xf>
    <xf numFmtId="0" fontId="0" fillId="0" borderId="0" xfId="0" applyAlignment="1" applyProtection="1">
      <alignment horizontal="center" vertical="center"/>
    </xf>
    <xf numFmtId="0" fontId="9" fillId="0" borderId="0" xfId="0" applyFont="1" applyAlignment="1" applyProtection="1">
      <alignment horizontal="center" vertical="center" readingOrder="2"/>
    </xf>
    <xf numFmtId="0" fontId="9" fillId="11" borderId="0" xfId="0" applyFont="1" applyFill="1" applyAlignment="1" applyProtection="1">
      <alignment horizontal="center" vertical="center" readingOrder="2"/>
    </xf>
    <xf numFmtId="0" fontId="18" fillId="0" borderId="0" xfId="0" applyFont="1" applyAlignment="1" applyProtection="1">
      <alignment horizontal="center" vertical="center" readingOrder="2"/>
    </xf>
    <xf numFmtId="0" fontId="18" fillId="11" borderId="0" xfId="0" applyFont="1" applyFill="1" applyAlignment="1" applyProtection="1">
      <alignment horizontal="center" vertical="center" readingOrder="2"/>
    </xf>
    <xf numFmtId="0" fontId="0" fillId="11" borderId="0" xfId="0" applyFill="1" applyAlignment="1" applyProtection="1">
      <alignment horizontal="center" vertical="center"/>
    </xf>
    <xf numFmtId="49" fontId="0" fillId="0" borderId="0" xfId="0" applyNumberFormat="1" applyAlignment="1" applyProtection="1">
      <alignment horizontal="center" vertical="center" readingOrder="2"/>
      <protection locked="0"/>
    </xf>
    <xf numFmtId="49" fontId="0" fillId="11" borderId="0" xfId="0" applyNumberFormat="1" applyFill="1" applyAlignment="1" applyProtection="1">
      <alignment horizontal="center" readingOrder="2"/>
    </xf>
    <xf numFmtId="49" fontId="0" fillId="0" borderId="0" xfId="0" applyNumberFormat="1" applyAlignment="1" applyProtection="1">
      <alignment horizontal="center" vertical="center" readingOrder="2"/>
    </xf>
    <xf numFmtId="0" fontId="0" fillId="23" borderId="0" xfId="0" applyFill="1" applyAlignment="1" applyProtection="1">
      <alignment horizontal="center" vertical="center"/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0" fontId="23" fillId="5" borderId="0" xfId="0" applyFont="1" applyFill="1" applyAlignment="1" applyProtection="1">
      <alignment horizontal="center" vertical="center"/>
    </xf>
    <xf numFmtId="0" fontId="23" fillId="23" borderId="0" xfId="0" applyFont="1" applyFill="1" applyAlignment="1" applyProtection="1">
      <alignment horizontal="center" vertical="center"/>
      <protection locked="0"/>
    </xf>
    <xf numFmtId="0" fontId="23" fillId="35" borderId="0" xfId="0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right" vertical="center" readingOrder="2"/>
      <protection locked="0"/>
    </xf>
    <xf numFmtId="0" fontId="0" fillId="6" borderId="0" xfId="0" applyFill="1" applyAlignment="1" applyProtection="1">
      <alignment horizontal="center" vertical="center"/>
      <protection locked="0"/>
    </xf>
    <xf numFmtId="0" fontId="0" fillId="36" borderId="0" xfId="0" applyFill="1" applyAlignment="1" applyProtection="1">
      <alignment horizontal="center" vertical="center"/>
      <protection locked="0"/>
    </xf>
    <xf numFmtId="0" fontId="0" fillId="17" borderId="0" xfId="0" applyFill="1" applyAlignment="1" applyProtection="1">
      <alignment horizontal="center" vertical="center"/>
      <protection locked="0"/>
    </xf>
    <xf numFmtId="0" fontId="25" fillId="0" borderId="0" xfId="0" applyFont="1" applyAlignment="1" applyProtection="1">
      <alignment horizontal="center" vertical="center"/>
      <protection locked="0"/>
    </xf>
    <xf numFmtId="0" fontId="20" fillId="11" borderId="0" xfId="0" applyFont="1" applyFill="1" applyAlignment="1" applyProtection="1">
      <alignment vertical="center"/>
    </xf>
    <xf numFmtId="0" fontId="26" fillId="38" borderId="0" xfId="0" applyFont="1" applyFill="1" applyAlignment="1" applyProtection="1">
      <alignment horizontal="center" vertical="center"/>
    </xf>
    <xf numFmtId="0" fontId="20" fillId="22" borderId="0" xfId="0" applyFont="1" applyFill="1" applyAlignment="1" applyProtection="1">
      <alignment horizontal="center" vertical="center"/>
    </xf>
    <xf numFmtId="0" fontId="0" fillId="0" borderId="0" xfId="0" applyNumberFormat="1" applyAlignment="1" applyProtection="1">
      <alignment horizontal="center" vertical="center"/>
    </xf>
    <xf numFmtId="0" fontId="21" fillId="29" borderId="0" xfId="0" applyFont="1" applyFill="1" applyAlignment="1" applyProtection="1">
      <alignment horizontal="right" vertical="center"/>
    </xf>
    <xf numFmtId="0" fontId="23" fillId="11" borderId="0" xfId="0" applyFont="1" applyFill="1" applyAlignment="1" applyProtection="1">
      <alignment horizontal="center" vertical="center"/>
    </xf>
    <xf numFmtId="49" fontId="0" fillId="11" borderId="0" xfId="0" applyNumberFormat="1" applyFill="1" applyAlignment="1" applyProtection="1">
      <alignment horizontal="center" vertical="center" readingOrder="2"/>
    </xf>
    <xf numFmtId="0" fontId="20" fillId="37" borderId="0" xfId="0" applyFont="1" applyFill="1" applyAlignment="1" applyProtection="1">
      <alignment vertical="center"/>
    </xf>
    <xf numFmtId="0" fontId="25" fillId="37" borderId="0" xfId="0" applyFont="1" applyFill="1" applyProtection="1"/>
    <xf numFmtId="0" fontId="0" fillId="37" borderId="0" xfId="0" applyFill="1" applyProtection="1"/>
  </cellXfs>
  <cellStyles count="3">
    <cellStyle name="Currency" xfId="2" builtinId="4"/>
    <cellStyle name="Hyperlink" xfId="1" builtinId="8"/>
    <cellStyle name="Normal" xfId="0" builtinId="0"/>
  </cellStyles>
  <dxfs count="208">
    <dxf>
      <font>
        <b/>
        <i val="0"/>
        <color theme="0" tint="-0.499984740745262"/>
      </font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right" vertical="center" textRotation="0" wrapText="0" indent="0" justifyLastLine="0" shrinkToFit="0" readingOrder="2"/>
      <protection locked="0" hidden="0"/>
    </dxf>
    <dxf>
      <numFmt numFmtId="30" formatCode="@"/>
      <alignment horizontal="center" vertical="center" textRotation="0" wrapText="0" indent="0" justifyLastLine="0" shrinkToFit="0" readingOrder="2"/>
      <protection locked="0" hidden="0"/>
    </dxf>
    <dxf>
      <alignment horizontal="center" vertical="center" textRotation="0" wrapText="0" indent="0" justifyLastLine="0" shrinkToFit="0"/>
      <protection locked="0" hidden="0"/>
    </dxf>
    <dxf>
      <alignment horizontal="center" vertical="center" textRotation="0" wrapText="0" indent="0" justifyLastLine="0" shrinkToFit="0"/>
      <protection locked="1" hidden="0"/>
    </dxf>
    <dxf>
      <numFmt numFmtId="30" formatCode="@"/>
      <alignment horizontal="center" vertical="center" textRotation="0" wrapText="0" indent="0" justifyLastLine="0" shrinkToFit="0" readingOrder="2"/>
      <protection locked="1" hidden="0"/>
    </dxf>
    <dxf>
      <alignment horizontal="center" vertical="center" textRotation="0" wrapText="0" indent="0" justifyLastLine="0" shrinkToFit="0"/>
      <protection locked="1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protection locked="0" hidden="0"/>
    </dxf>
    <dxf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0" indent="0" justifyLastLine="0" shrinkToFit="0" readingOrder="2"/>
      <protection locked="1" hidden="0"/>
    </dxf>
    <dxf>
      <font>
        <b/>
        <strike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0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0" indent="0" justifyLastLine="0" shrinkToFit="0" readingOrder="2"/>
      <protection locked="1" hidden="0"/>
    </dxf>
    <dxf>
      <font>
        <b/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0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0" indent="0" justifyLastLine="0" shrinkToFit="0" readingOrder="2"/>
      <protection locked="1" hidden="0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0" formatCode="General"/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65" formatCode="#,##0_-[$ريال-429]"/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65" formatCode="#,##0_-[$ريال-429]"/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65" formatCode="#,##0_-[$ريال-429]"/>
      <alignment horizontal="center" vertical="center" textRotation="0" wrapText="1" indent="0" justifyLastLine="0" shrinkToFit="0" readingOrder="2"/>
    </dxf>
    <dxf>
      <font>
        <b val="0"/>
        <strike val="0"/>
        <outline val="0"/>
        <shadow val="0"/>
        <u val="none"/>
        <vertAlign val="baseline"/>
        <sz val="12"/>
        <color theme="1"/>
      </font>
      <numFmt numFmtId="165" formatCode="#,##0_-[$ريال-429]"/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</dxf>
    <dxf>
      <font>
        <b val="0"/>
        <strike val="0"/>
        <outline val="0"/>
        <shadow val="0"/>
        <u val="none"/>
        <vertAlign val="baseline"/>
        <sz val="12"/>
        <color theme="1"/>
      </font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</dxf>
    <dxf>
      <font>
        <b val="0"/>
        <strike val="0"/>
        <outline val="0"/>
        <shadow val="0"/>
        <u val="none"/>
        <vertAlign val="baseline"/>
        <sz val="12"/>
        <color theme="1"/>
      </font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b val="0"/>
        <strike val="0"/>
        <outline val="0"/>
        <shadow val="0"/>
        <u val="none"/>
        <vertAlign val="baseline"/>
        <sz val="12"/>
        <color theme="1"/>
      </font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center" textRotation="0" wrapText="1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</dxf>
    <dxf>
      <font>
        <strike val="0"/>
        <outline val="0"/>
        <shadow val="0"/>
        <u/>
        <vertAlign val="baseline"/>
        <sz val="11"/>
        <color theme="10"/>
        <name val="Calibri"/>
        <scheme val="minor"/>
      </font>
      <numFmt numFmtId="30" formatCode="@"/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alignment horizontal="right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" formatCode="0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name="ExternalData_1" connectionId="2" autoFormatId="0" applyNumberFormats="0" applyBorderFormats="0" applyFontFormats="1" applyPatternFormats="1" applyAlignmentFormats="0" applyWidthHeightFormats="0">
  <queryTableRefresh preserveSortFilterLayout="0" nextId="4" unboundColumnsRight="1">
    <queryTableFields count="3">
      <queryTableField id="1" name="Accounts" tableColumnId="4"/>
      <queryTableField id="2" name="ReceiversAndPayers" tableColumnId="5"/>
      <queryTableField id="3" dataBound="0" tableColumnId="6"/>
    </queryTableFields>
  </queryTableRefresh>
</queryTable>
</file>

<file path=xl/tables/_rels/table3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3" name="Tarakonesh" displayName="Tarakonesh" ref="A7:N507" totalsRowShown="0" headerRowDxfId="207" dataDxfId="206">
  <autoFilter ref="A7:N507"/>
  <tableColumns count="14">
    <tableColumn id="1" name="ردیف" dataDxfId="205"/>
    <tableColumn id="2" name="افراد (اعضا)" dataDxfId="204"/>
    <tableColumn id="4" name="تاریخ" dataDxfId="203"/>
    <tableColumn id="5" name="عنوان" dataDxfId="202"/>
    <tableColumn id="14" name="تراکنش" dataDxfId="201"/>
    <tableColumn id="6" name="گروه (درآمد/هزینه)" dataDxfId="200"/>
    <tableColumn id="7" name="زیر گروه" dataDxfId="199"/>
    <tableColumn id="3" name="روش تراکنش" dataDxfId="198"/>
    <tableColumn id="8" name="مبلغ (ریال)" dataDxfId="197"/>
    <tableColumn id="9" name="پرداخت کننده" dataDxfId="196"/>
    <tableColumn id="10" name="دریافت کننده" dataDxfId="195"/>
    <tableColumn id="11" name="مانده حساب‌ها" dataDxfId="194" dataCellStyle="Currency"/>
    <tableColumn id="12" name="نوع خرج" dataDxfId="193"/>
    <tableColumn id="13" name="شرح" dataDxfId="192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id="10" name="RevenueGroupTable" displayName="RevenueGroupTable" ref="A4:B12" totalsRowShown="0" headerRowDxfId="191" dataDxfId="190">
  <autoFilter ref="A4:B12"/>
  <tableColumns count="2">
    <tableColumn id="1" name="کد گروه درآمدی" dataDxfId="189"/>
    <tableColumn id="2" name="نام گروه درآمد" dataDxfId="188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id="11" name="SalaryTable" displayName="SalaryTable" ref="F5:F6" totalsRowShown="0" headerRowDxfId="187" dataDxfId="186">
  <autoFilter ref="F5:F6"/>
  <tableColumns count="1">
    <tableColumn id="1" name="دستمزد" dataDxfId="185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12" name="ProfitOfAcquisitionTable" displayName="ProfitOfAcquisitionTable" ref="H5:H6" totalsRowShown="0" headerRowDxfId="184" dataDxfId="183">
  <autoFilter ref="H5:H6"/>
  <tableColumns count="1">
    <tableColumn id="1" name="منفعت کسب" dataDxfId="18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3" name="ProfitableInvestmentTable" displayName="ProfitableInvestmentTable" ref="J5:J6" totalsRowShown="0" headerRowDxfId="181" dataDxfId="180">
  <autoFilter ref="J5:J6"/>
  <tableColumns count="1">
    <tableColumn id="1" name="سود سرمایه‌گذاری" dataDxfId="179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id="15" name="IncentivesPrizesAndFeastsTable" displayName="IncentivesPrizesAndFeastsTable" ref="L5:L8" totalsRowShown="0" headerRowDxfId="178" dataDxfId="177">
  <autoFilter ref="L5:L8"/>
  <sortState ref="L6:L8">
    <sortCondition ref="L5:L8"/>
  </sortState>
  <tableColumns count="1">
    <tableColumn id="1" name="تشویقی‌ها، جوایز و عیدی‌ها" dataDxfId="176"/>
  </tableColumns>
  <tableStyleInfo name="TableStyleMedium4" showFirstColumn="0" showLastColumn="0" showRowStripes="1" showColumnStripes="0"/>
</table>
</file>

<file path=xl/tables/table7.xml><?xml version="1.0" encoding="utf-8"?>
<table xmlns="http://schemas.openxmlformats.org/spreadsheetml/2006/main" id="16" name="GetAMortgageAndRentTable" displayName="GetAMortgageAndRentTable" ref="N5:N6" totalsRowShown="0" headerRowDxfId="175" dataDxfId="174">
  <autoFilter ref="N5:N6"/>
  <tableColumns count="1">
    <tableColumn id="1" name="دریافت رهن و اجاره" dataDxfId="173"/>
  </tableColumns>
  <tableStyleInfo name="TableStyleMedium5" showFirstColumn="0" showLastColumn="0" showRowStripes="1" showColumnStripes="0"/>
</table>
</file>

<file path=xl/tables/table8.xml><?xml version="1.0" encoding="utf-8"?>
<table xmlns="http://schemas.openxmlformats.org/spreadsheetml/2006/main" id="17" name="GetALoanTable" displayName="GetALoanTable" ref="P5:P6" totalsRowShown="0" headerRowDxfId="172" dataDxfId="171">
  <autoFilter ref="P5:P6"/>
  <tableColumns count="1">
    <tableColumn id="1" name="دریافت وام" dataDxfId="170"/>
  </tableColumns>
  <tableStyleInfo name="TableStyleMedium6" showFirstColumn="0" showLastColumn="0" showRowStripes="1" showColumnStripes="0"/>
</table>
</file>

<file path=xl/tables/table9.xml><?xml version="1.0" encoding="utf-8"?>
<table xmlns="http://schemas.openxmlformats.org/spreadsheetml/2006/main" id="18" name="MiscellaneousIncomeTable" displayName="MiscellaneousIncomeTable" ref="R5:R6" totalsRowShown="0" headerRowDxfId="169" dataDxfId="168">
  <autoFilter ref="R5:R6"/>
  <tableColumns count="1">
    <tableColumn id="1" name="درآمد متفرقه" dataDxfId="167"/>
  </tableColumns>
  <tableStyleInfo name="TableStyleMedium1" showFirstColumn="0" showLastColumn="0" showRowStripes="1" showColumnStripes="0"/>
</table>
</file>

<file path=xl/tables/table10.xml><?xml version="1.0" encoding="utf-8"?>
<table xmlns="http://schemas.openxmlformats.org/spreadsheetml/2006/main" id="42" name="RightsTable" displayName="RightsTable" ref="D5:D6" totalsRowShown="0" headerRowDxfId="166" dataDxfId="165">
  <autoFilter ref="D5:D6"/>
  <tableColumns count="1">
    <tableColumn id="1" name="حقوق" dataDxfId="164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7" name="CostGroupsTable" displayName="CostGroupsTable" ref="A5:B29" totalsRowShown="0" headerRowDxfId="163">
  <autoFilter ref="A5:B29"/>
  <sortState ref="A5:B28">
    <sortCondition ref="B4:B28"/>
  </sortState>
  <tableColumns count="2">
    <tableColumn id="1" name="کد گروه هزینه" dataDxfId="162"/>
    <tableColumn id="2" name="نام گروه هزینه" dataDxfId="161"/>
  </tableColumns>
  <tableStyleInfo name="TableStyleMedium15" showFirstColumn="0" showLastColumn="0" showRowStripes="1" showColumnStripes="0"/>
</table>
</file>

<file path=xl/tables/table12.xml><?xml version="1.0" encoding="utf-8"?>
<table xmlns="http://schemas.openxmlformats.org/spreadsheetml/2006/main" id="14" name="TravelCostsTable" displayName="TravelCostsTable" ref="F4:F13" totalsRowShown="0" headerRowDxfId="160" dataDxfId="159">
  <autoFilter ref="F4:F13"/>
  <sortState ref="F4:F12">
    <sortCondition ref="F3:F12"/>
  </sortState>
  <tableColumns count="1">
    <tableColumn id="1" name="ایاب و ذهاب" dataDxfId="158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id="19" name="NetworkCostsTable" displayName="NetworkCostsTable" ref="D4:D8" totalsRowShown="0" headerRowDxfId="157" dataDxfId="156">
  <autoFilter ref="D4:D8"/>
  <sortState ref="D4:D7">
    <sortCondition ref="D3:D7"/>
  </sortState>
  <tableColumns count="1">
    <tableColumn id="1" name="ارتباطات" dataDxfId="15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20" name="HealthCareCostsTable" displayName="HealthCareCostsTable" ref="H4:H9" totalsRowShown="0" headerRowDxfId="154" dataDxfId="153">
  <autoFilter ref="H4:H9"/>
  <sortState ref="H4:H8">
    <sortCondition ref="H3:H8"/>
  </sortState>
  <tableColumns count="1">
    <tableColumn id="1" name="بهداشت و درمان" dataDxfId="152"/>
  </tableColumns>
  <tableStyleInfo name="TableStyleMedium5" showFirstColumn="0" showLastColumn="0" showRowStripes="1" showColumnStripes="0"/>
</table>
</file>

<file path=xl/tables/table15.xml><?xml version="1.0" encoding="utf-8"?>
<table xmlns="http://schemas.openxmlformats.org/spreadsheetml/2006/main" id="21" name="PersonalCleaningCostsTable" displayName="PersonalCleaningCostsTable" ref="J4:J9" totalsRowShown="0" headerRowDxfId="151" dataDxfId="150">
  <autoFilter ref="J4:J9"/>
  <sortState ref="J4:J8">
    <sortCondition ref="J3:J8"/>
  </sortState>
  <tableColumns count="1">
    <tableColumn id="1" name="بهداشت و نظافت فردی" dataDxfId="149"/>
  </tableColumns>
  <tableStyleInfo name="TableStyleMedium4" showFirstColumn="0" showLastColumn="0" showRowStripes="1" showColumnStripes="0"/>
</table>
</file>

<file path=xl/tables/table16.xml><?xml version="1.0" encoding="utf-8"?>
<table xmlns="http://schemas.openxmlformats.org/spreadsheetml/2006/main" id="22" name="EnvironmentalHealthCostsTable" displayName="EnvironmentalHealthCostsTable" ref="L4:L6" totalsRowShown="0" headerRowDxfId="148" dataDxfId="147">
  <autoFilter ref="L4:L6"/>
  <sortState ref="L4:L5">
    <sortCondition ref="L3:L5"/>
  </sortState>
  <tableColumns count="1">
    <tableColumn id="1" name="بهداشت و نظافت محیط" dataDxfId="146"/>
  </tableColumns>
  <tableStyleInfo name="TableStyleMedium3" showFirstColumn="0" showLastColumn="0" showRowStripes="1" showColumnStripes="0"/>
</table>
</file>

<file path=xl/tables/table17.xml><?xml version="1.0" encoding="utf-8"?>
<table xmlns="http://schemas.openxmlformats.org/spreadsheetml/2006/main" id="23" name="InsuranceCostsTable" displayName="InsuranceCostsTable" ref="N4:N8" totalsRowShown="0" headerRowDxfId="145" dataDxfId="144">
  <autoFilter ref="N4:N8"/>
  <sortState ref="N4:N7">
    <sortCondition ref="N3:N7"/>
  </sortState>
  <tableColumns count="1">
    <tableColumn id="1" name="بیمه" dataDxfId="143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24" name="InstallmentPaymentCostsTable" displayName="InstallmentPaymentCostsTable" ref="P4:P6" totalsRowShown="0" headerRowDxfId="142" dataDxfId="141">
  <autoFilter ref="P4:P6"/>
  <sortState ref="P4">
    <sortCondition ref="P3:P4"/>
  </sortState>
  <tableColumns count="1">
    <tableColumn id="1" name="پرداخت اقساط" dataDxfId="140"/>
  </tableColumns>
  <tableStyleInfo name="TableStyleMedium1" showFirstColumn="0" showLastColumn="0" showRowStripes="1" showColumnStripes="0"/>
</table>
</file>

<file path=xl/tables/table19.xml><?xml version="1.0" encoding="utf-8"?>
<table xmlns="http://schemas.openxmlformats.org/spreadsheetml/2006/main" id="25" name="CostsOfClothingAndFootwearTable" displayName="CostsOfClothingAndFootwearTable" ref="R4:R8" totalsRowShown="0" headerRowDxfId="139" dataDxfId="138">
  <autoFilter ref="R4:R8"/>
  <sortState ref="R4:R7">
    <sortCondition ref="R3:R7"/>
  </sortState>
  <tableColumns count="1">
    <tableColumn id="1" name="پوشاک و کفش" dataDxfId="137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id="26" name="CarCostsTable" displayName="CarCostsTable" ref="T4:T9" totalsRowShown="0" headerRowDxfId="136" dataDxfId="135">
  <autoFilter ref="T4:T9"/>
  <sortState ref="T4:T8">
    <sortCondition ref="T3:T8"/>
  </sortState>
  <tableColumns count="1">
    <tableColumn id="1" name="خودرو" dataDxfId="134"/>
  </tableColumns>
  <tableStyleInfo name="TableStyleMedium6" showFirstColumn="0" showLastColumn="0" showRowStripes="1" showColumnStripes="0"/>
</table>
</file>

<file path=xl/tables/table21.xml><?xml version="1.0" encoding="utf-8"?>
<table xmlns="http://schemas.openxmlformats.org/spreadsheetml/2006/main" id="27" name="CostsOfFoodAndBeveragesTable" displayName="CostsOfFoodAndBeveragesTable" ref="V4:V8" totalsRowShown="0" headerRowDxfId="133" dataDxfId="132">
  <autoFilter ref="V4:V8"/>
  <sortState ref="V4:V7">
    <sortCondition ref="V3:V7"/>
  </sortState>
  <tableColumns count="1">
    <tableColumn id="1" name="خوراکی‌ها و آشامیدنی‌ها" dataDxfId="131"/>
  </tableColumns>
  <tableStyleInfo name="TableStyleMedium5" showFirstColumn="0" showLastColumn="0" showRowStripes="1" showColumnStripes="0"/>
</table>
</file>

<file path=xl/tables/table22.xml><?xml version="1.0" encoding="utf-8"?>
<table xmlns="http://schemas.openxmlformats.org/spreadsheetml/2006/main" id="28" name="CharityAndCulturalExpensesTable" displayName="CharityAndCulturalExpensesTable" ref="X4:X6" totalsRowShown="0" headerRowDxfId="130" dataDxfId="129">
  <autoFilter ref="X4:X6"/>
  <sortState ref="X4">
    <sortCondition ref="X3:X4"/>
  </sortState>
  <tableColumns count="1">
    <tableColumn id="1" name="خیریه و امور فرهنگی" dataDxfId="128"/>
  </tableColumns>
  <tableStyleInfo name="TableStyleMedium4" showFirstColumn="0" showLastColumn="0" showRowStripes="1" showColumnStripes="0"/>
</table>
</file>

<file path=xl/tables/table23.xml><?xml version="1.0" encoding="utf-8"?>
<table xmlns="http://schemas.openxmlformats.org/spreadsheetml/2006/main" id="29" name="TobaccoCostsTable" displayName="TobaccoCostsTable" ref="Z4:Z6" totalsRowShown="0" headerRowDxfId="127" dataDxfId="126">
  <autoFilter ref="Z4:Z6"/>
  <sortState ref="Z4:Z5">
    <sortCondition ref="Z3:Z5"/>
  </sortState>
  <tableColumns count="1">
    <tableColumn id="1" name="دخانیات" dataDxfId="125"/>
  </tableColumns>
  <tableStyleInfo name="TableStyleMedium3" showFirstColumn="0" showLastColumn="0" showRowStripes="1" showColumnStripes="0"/>
</table>
</file>

<file path=xl/tables/table24.xml><?xml version="1.0" encoding="utf-8"?>
<table xmlns="http://schemas.openxmlformats.org/spreadsheetml/2006/main" id="30" name="BicycleCostsTable" displayName="BicycleCostsTable" ref="AB4:AB6" totalsRowShown="0" headerRowDxfId="124" dataDxfId="123">
  <autoFilter ref="AB4:AB6"/>
  <sortState ref="AB4:AB5">
    <sortCondition ref="AB3:AB5"/>
  </sortState>
  <tableColumns count="1">
    <tableColumn id="1" name="دوچرخه" dataDxfId="122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31" name="CostsOfCapitalJewelryTable" displayName="CostsOfCapitalJewelryTable" ref="AD4:AD8" totalsRowShown="0" headerRowDxfId="121" dataDxfId="120">
  <autoFilter ref="AD4:AD8"/>
  <sortState ref="AD4:AD7">
    <sortCondition ref="AD3:AD7"/>
  </sortState>
  <tableColumns count="1">
    <tableColumn id="1" name="زیورآلات سرمایه" dataDxfId="119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id="32" name="Non_CapitalJewelryCostsTable" displayName="Non_CapitalJewelryCostsTable" ref="AF4:AF6" totalsRowShown="0" headerRowDxfId="118" dataDxfId="117">
  <autoFilter ref="AF4:AF6"/>
  <sortState ref="AF4">
    <sortCondition ref="AF3:AF4"/>
  </sortState>
  <tableColumns count="1">
    <tableColumn id="1" name=" زیورآلات غیر سرمایه" dataDxfId="116"/>
  </tableColumns>
  <tableStyleInfo name="TableStyleMedium1" showFirstColumn="0" showLastColumn="0" showRowStripes="1" showColumnStripes="0"/>
</table>
</file>

<file path=xl/tables/table27.xml><?xml version="1.0" encoding="utf-8"?>
<table xmlns="http://schemas.openxmlformats.org/spreadsheetml/2006/main" id="33" name="InvestmentCostsTable" displayName="InvestmentCostsTable" ref="AH4:AH6" totalsRowShown="0" headerRowDxfId="115" dataDxfId="114">
  <autoFilter ref="AH4:AH6"/>
  <sortState ref="AH5:AH6">
    <sortCondition ref="AH4:AH6"/>
  </sortState>
  <tableColumns count="1">
    <tableColumn id="1" name=" سرمایه گذاری" dataDxfId="113"/>
  </tableColumns>
  <tableStyleInfo name="TableStyleMedium7" showFirstColumn="0" showLastColumn="0" showRowStripes="1" showColumnStripes="0"/>
</table>
</file>

<file path=xl/tables/table28.xml><?xml version="1.0" encoding="utf-8"?>
<table xmlns="http://schemas.openxmlformats.org/spreadsheetml/2006/main" id="34" name="TravelAndTourExpensesTable" displayName="TravelAndTourExpensesTable" ref="AJ4:AJ6" totalsRowShown="0" headerRowDxfId="112" dataDxfId="111">
  <autoFilter ref="AJ4:AJ6"/>
  <sortState ref="AJ4">
    <sortCondition ref="AJ3:AJ4"/>
  </sortState>
  <tableColumns count="1">
    <tableColumn id="1" name="سفر و گردش" dataDxfId="110"/>
  </tableColumns>
  <tableStyleInfo name="TableStyleMedium6" showFirstColumn="0" showLastColumn="0" showRowStripes="1" showColumnStripes="0"/>
</table>
</file>

<file path=xl/tables/table29.xml><?xml version="1.0" encoding="utf-8"?>
<table xmlns="http://schemas.openxmlformats.org/spreadsheetml/2006/main" id="35" name="HousingBillCostsTable" displayName="HousingBillCostsTable" ref="AL4:AL15" totalsRowShown="0" headerRowDxfId="109" dataDxfId="108">
  <autoFilter ref="AL4:AL15"/>
  <sortState ref="AL4:AL14">
    <sortCondition ref="AL3:AL14"/>
  </sortState>
  <tableColumns count="1">
    <tableColumn id="1" name="صورتحاب‌های مسکن" dataDxfId="107"/>
  </tableColumns>
  <tableStyleInfo name="TableStyleMedium5" showFirstColumn="0" showLastColumn="0" showRowStripes="1" showColumnStripes="0"/>
</table>
</file>

<file path=xl/tables/table30.xml><?xml version="1.0" encoding="utf-8"?>
<table xmlns="http://schemas.openxmlformats.org/spreadsheetml/2006/main" id="36" name="LeisureAndEntertainmentExpensesTable" displayName="LeisureAndEntertainmentExpensesTable" ref="AN4:AN8" totalsRowShown="0" headerRowDxfId="106" dataDxfId="105">
  <autoFilter ref="AN4:AN8"/>
  <sortState ref="AN4:AN7">
    <sortCondition ref="AN3:AN7"/>
  </sortState>
  <tableColumns count="1">
    <tableColumn id="1" name="فراغت و سرگرمی" dataDxfId="104"/>
  </tableColumns>
  <tableStyleInfo name="TableStyleMedium4" showFirstColumn="0" showLastColumn="0" showRowStripes="1" showColumnStripes="0"/>
</table>
</file>

<file path=xl/tables/table31.xml><?xml version="1.0" encoding="utf-8"?>
<table xmlns="http://schemas.openxmlformats.org/spreadsheetml/2006/main" id="37" name="TaxCostsTable" displayName="TaxCostsTable" ref="AP4:AP8" totalsRowShown="0" headerRowDxfId="103" dataDxfId="102">
  <autoFilter ref="AP4:AP8"/>
  <tableColumns count="1">
    <tableColumn id="1" name="مالیات" dataDxfId="101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id="38" name="DegreeAndTuitionFeesTable" displayName="DegreeAndTuitionFeesTable" ref="AR4:AR6" totalsRowShown="0" headerRowDxfId="100" dataDxfId="99">
  <autoFilter ref="AR4:AR6"/>
  <sortState ref="AR4">
    <sortCondition ref="AR3:AR4"/>
  </sortState>
  <tableColumns count="1">
    <tableColumn id="1" name=" مدرک و تحصیل" dataDxfId="98"/>
  </tableColumns>
  <tableStyleInfo name="TableStyleMedium1" showFirstColumn="0" showLastColumn="0" showRowStripes="1" showColumnStripes="0"/>
</table>
</file>

<file path=xl/tables/table33.xml><?xml version="1.0" encoding="utf-8"?>
<table xmlns="http://schemas.openxmlformats.org/spreadsheetml/2006/main" id="39" name="ExerciseCostsTable" displayName="ExerciseCostsTable" ref="AT4:AT7" totalsRowShown="0" headerRowDxfId="97" dataDxfId="96">
  <autoFilter ref="AT4:AT7"/>
  <sortState ref="AT4:AT6">
    <sortCondition ref="AT3:AT6"/>
  </sortState>
  <tableColumns count="1">
    <tableColumn id="1" name="ورزش" dataDxfId="95"/>
  </tableColumns>
  <tableStyleInfo name="TableStyleMedium7" showFirstColumn="0" showLastColumn="0" showRowStripes="1" showColumnStripes="0"/>
</table>
</file>

<file path=xl/tables/table34.xml><?xml version="1.0" encoding="utf-8"?>
<table xmlns="http://schemas.openxmlformats.org/spreadsheetml/2006/main" id="40" name="GiftCostsTable" displayName="GiftCostsTable" ref="AV4:AV11" totalsRowShown="0" headerRowDxfId="94" dataDxfId="93">
  <autoFilter ref="AV4:AV11"/>
  <tableColumns count="1">
    <tableColumn id="1" name="هدیه و کادو" dataDxfId="92"/>
  </tableColumns>
  <tableStyleInfo name="TableStyleMedium6" showFirstColumn="0" showLastColumn="0" showRowStripes="1" showColumnStripes="0"/>
</table>
</file>

<file path=xl/tables/table35.xml><?xml version="1.0" encoding="utf-8"?>
<table xmlns="http://schemas.openxmlformats.org/spreadsheetml/2006/main" id="41" name="LearningAndIndividualDevelopmentCostsTable" displayName="LearningAndIndividualDevelopmentCostsTable" ref="AX4:AX7" totalsRowShown="0" headerRowDxfId="91" dataDxfId="90">
  <autoFilter ref="AX4:AX7"/>
  <tableColumns count="1">
    <tableColumn id="1" name="یادگیری و توسعه فردی" dataDxfId="89"/>
  </tableColumns>
  <tableStyleInfo name="TableStyleMedium5" showFirstColumn="0" showLastColumn="0" showRowStripes="1" showColumnStripes="0"/>
</table>
</file>

<file path=xl/tables/table36.xml><?xml version="1.0" encoding="utf-8"?>
<table xmlns="http://schemas.openxmlformats.org/spreadsheetml/2006/main" id="1" name="ReceiversAndPayersTable" displayName="ReceiversAndPayersTable" ref="A3:A14" totalsRowShown="0" headerRowDxfId="88" dataDxfId="87" dataCellStyle="Normal">
  <autoFilter ref="A3:A14"/>
  <tableColumns count="1">
    <tableColumn id="1" name="دریافت کننده - پرداخت کنندگان" dataDxfId="86" dataCellStyle="Normal"/>
  </tableColumns>
  <tableStyleInfo name="TableStyleMedium15" showFirstColumn="0" showLastColumn="0" showRowStripes="1" showColumnStripes="0"/>
</table>
</file>

<file path=xl/tables/table37.xml><?xml version="1.0" encoding="utf-8"?>
<table xmlns="http://schemas.openxmlformats.org/spreadsheetml/2006/main" id="8" name="Accounts_and_ReceiversAndPayers_AppendTabel" displayName="Accounts_and_ReceiversAndPayers_AppendTabel" ref="C3:E19" tableType="queryTable" totalsRowShown="0" headerRowDxfId="85" dataDxfId="84">
  <autoFilter ref="C3:E19"/>
  <tableColumns count="3">
    <tableColumn id="4" uniqueName="4" name="Accounts" queryTableFieldId="1" dataDxfId="83"/>
    <tableColumn id="5" uniqueName="5" name="ReceiversAndPayers" queryTableFieldId="2" dataDxfId="82"/>
    <tableColumn id="6" uniqueName="6" name="Accounts and ReceiversAndPayers" queryTableFieldId="3" dataDxfId="81"/>
  </tableColumns>
  <tableStyleInfo name="TableStyleMedium15" showFirstColumn="0" showLastColumn="0" showRowStripes="1" showColumnStripes="0"/>
</table>
</file>

<file path=xl/tables/table38.xml><?xml version="1.0" encoding="utf-8"?>
<table xmlns="http://schemas.openxmlformats.org/spreadsheetml/2006/main" id="4" name="PersonsTable" displayName="PersonsTable" ref="A5:I6" totalsRowShown="0" headerRowDxfId="80" dataDxfId="79">
  <autoFilter ref="A5:I6"/>
  <tableColumns count="9">
    <tableColumn id="6" name="ID" dataDxfId="78"/>
    <tableColumn id="1" name="افراد" dataDxfId="77"/>
    <tableColumn id="2" name="کد ملی" dataDxfId="76"/>
    <tableColumn id="3" name="شماره تماس" dataDxfId="75"/>
    <tableColumn id="4" name="آدرس ایمیل" dataDxfId="74" dataCellStyle="Hyperlink"/>
    <tableColumn id="5" name="سایت اینترنتی" dataDxfId="73"/>
    <tableColumn id="7" name="آدرس محل کار" dataDxfId="72"/>
    <tableColumn id="8" name="آدرس منزل" dataDxfId="71"/>
    <tableColumn id="9" name="توضیحات" dataDxfId="70"/>
  </tableColumns>
  <tableStyleInfo name="TableStyleMedium15" showFirstColumn="0" showLastColumn="0" showRowStripes="1" showColumnStripes="0"/>
</table>
</file>

<file path=xl/tables/table39.xml><?xml version="1.0" encoding="utf-8"?>
<table xmlns="http://schemas.openxmlformats.org/spreadsheetml/2006/main" id="5" name="FinancialAccountsTable" displayName="FinancialAccountsTable" ref="A12:L18" totalsRowCount="1" headerRowDxfId="69" dataDxfId="68">
  <autoFilter ref="A12:L17"/>
  <tableColumns count="12">
    <tableColumn id="1" name="ID" totalsRowLabel="Total" dataDxfId="67" totalsRowDxfId="66"/>
    <tableColumn id="2" name="نام حساب" dataDxfId="65" totalsRowDxfId="64"/>
    <tableColumn id="3" name="نوع حساب" dataDxfId="63" totalsRowDxfId="62"/>
    <tableColumn id="4" name="موجودی اولیه" totalsRowFunction="sum" dataDxfId="61" totalsRowDxfId="60"/>
    <tableColumn id="5" name="شماره حساب" totalsRowDxfId="59"/>
    <tableColumn id="6" name="شماره کارت" totalsRowDxfId="58"/>
    <tableColumn id="7" name="تاریخ انقضاء کارت" totalsRowDxfId="57"/>
    <tableColumn id="8" name="CVV2" totalsRowDxfId="56"/>
    <tableColumn id="9" name="جمع پرداختی" totalsRowFunction="sum" totalsRowDxfId="55">
      <calculatedColumnFormula>SUMIF(Tarakonesh[پرداخت کننده],FinancialAccountsTable[[#This Row],[نام حساب]],Tarakonesh[مبلغ (ریال)])</calculatedColumnFormula>
    </tableColumn>
    <tableColumn id="11" name="جمع دریافتی" totalsRowFunction="sum" dataDxfId="54" totalsRowDxfId="53">
      <calculatedColumnFormula>SUMIF(Tarakonesh[دریافت کننده],FinancialAccountsTable[[#This Row],[نام حساب]],Tarakonesh[مبلغ (ریال)])</calculatedColumnFormula>
    </tableColumn>
    <tableColumn id="12" name="مانده" totalsRowFunction="sum" dataDxfId="52" totalsRowDxfId="51">
      <calculatedColumnFormula>(FinancialAccountsTable[[#This Row],[جمع دریافتی]]+FinancialAccountsTable[[#This Row],[موجودی اولیه]])-FinancialAccountsTable[[#This Row],[جمع پرداختی]]</calculatedColumnFormula>
    </tableColumn>
    <tableColumn id="13" name="وضعیت فعلی" dataDxfId="50" totalsRowDxfId="49">
      <calculatedColumnFormula>IF(FinancialAccountsTable[[#This Row],[مانده]]=0,"",IF(FinancialAccountsTable[[#This Row],[مانده]]&gt;0,"بدهکار","بستانکار"))</calculatedColumnFormula>
    </tableColumn>
  </tableColumns>
  <tableStyleInfo name="TableStyleMedium15" showFirstColumn="0" showLastColumn="0" showRowStripes="1" showColumnStripes="0"/>
</table>
</file>

<file path=xl/tables/table40.xml><?xml version="1.0" encoding="utf-8"?>
<table xmlns="http://schemas.openxmlformats.org/spreadsheetml/2006/main" id="2" name="TypeOfExpenditureTable" displayName="TypeOfExpenditureTable" ref="D3:D6" totalsRowShown="0" headerRowDxfId="42" dataDxfId="41">
  <autoFilter ref="D3:D6"/>
  <tableColumns count="1">
    <tableColumn id="1" name="نوع خرج" dataDxfId="43"/>
  </tableColumns>
  <tableStyleInfo name="TableStyleMedium15" showFirstColumn="0" showLastColumn="0" showRowStripes="1" showColumnStripes="0"/>
</table>
</file>

<file path=xl/tables/table41.xml><?xml version="1.0" encoding="utf-8"?>
<table xmlns="http://schemas.openxmlformats.org/spreadsheetml/2006/main" id="6" name="TypeOfTransactionTable" displayName="TypeOfTransactionTable" ref="F3:F7" totalsRowShown="0" headerRowDxfId="39" dataDxfId="38">
  <autoFilter ref="F3:F7"/>
  <tableColumns count="1">
    <tableColumn id="1" name="نوع تراکنش" dataDxfId="40"/>
  </tableColumns>
  <tableStyleInfo name="TableStyleMedium23" showFirstColumn="0" showLastColumn="0" showRowStripes="1" showColumnStripes="0"/>
</table>
</file>

<file path=xl/tables/table42.xml><?xml version="1.0" encoding="utf-8"?>
<table xmlns="http://schemas.openxmlformats.org/spreadsheetml/2006/main" id="9" name="TransactionMethodsTable" displayName="TransactionMethodsTable" ref="H3:H10" totalsRowShown="0" headerRowDxfId="36" dataDxfId="35">
  <autoFilter ref="H3:H10"/>
  <tableColumns count="1">
    <tableColumn id="1" name="روش تراکنش" dataDxfId="37"/>
  </tableColumns>
  <tableStyleInfo name="TableStyleMedium3" showFirstColumn="0" showLastColumn="0" showRowStripes="1" showColumnStripes="0"/>
</table>
</file>

<file path=xl/tables/table43.xml><?xml version="1.0" encoding="utf-8"?>
<table xmlns="http://schemas.openxmlformats.org/spreadsheetml/2006/main" id="44" name="HolidayTable" displayName="HolidayTable" ref="M4:O365" totalsRowShown="0" headerRowDxfId="9" dataDxfId="33">
  <autoFilter ref="M4:O365"/>
  <tableColumns count="3">
    <tableColumn id="1" name="عنوان تعطیلات" dataDxfId="7"/>
    <tableColumn id="2" name="روز و ماه" dataDxfId="8"/>
    <tableColumn id="3" name="Date" dataDxfId="15">
      <calculatedColumnFormula>CONCATENATE(تقویم!$A$2,HolidayTable[[#This Row],[روز و ماه]])</calculatedColumnFormula>
    </tableColumn>
  </tableColumns>
  <tableStyleInfo name="TableStyleMedium13" showFirstColumn="0" showLastColumn="0" showRowStripes="1" showColumnStripes="0"/>
</table>
</file>

<file path=xl/tables/table44.xml><?xml version="1.0" encoding="utf-8"?>
<table xmlns="http://schemas.openxmlformats.org/spreadsheetml/2006/main" id="45" name="showDateTable" displayName="showDateTable" ref="J4:K10" totalsRowShown="0" headerRowDxfId="34" dataDxfId="10">
  <autoFilter ref="J4:K10"/>
  <tableColumns count="2">
    <tableColumn id="1" name="ID" dataDxfId="12"/>
    <tableColumn id="2" name="شیوه نمایش تاریخ" dataDxfId="11"/>
  </tableColumns>
  <tableStyleInfo name="TableStyleMedium9" showFirstColumn="0" showLastColumn="0" showRowStripes="1" showColumnStripes="0"/>
</table>
</file>

<file path=xl/tables/table45.xml><?xml version="1.0" encoding="utf-8"?>
<table xmlns="http://schemas.openxmlformats.org/spreadsheetml/2006/main" id="46" name="EventsTable" displayName="EventsTable" ref="Q4:S365" totalsRowShown="0" headerRowDxfId="31" dataDxfId="30">
  <autoFilter ref="Q4:S365"/>
  <tableColumns count="3">
    <tableColumn id="1" name="عنوان مناسبت" dataDxfId="32"/>
    <tableColumn id="2" name="روز و ماه" dataDxfId="14"/>
    <tableColumn id="3" name="Date" dataDxfId="13">
      <calculatedColumnFormula>CONCATENATE(تقویم!$A$2,EventsTable[[#This Row],[روز و ماه]])</calculatedColumnFormula>
    </tableColumn>
  </tableColumns>
  <tableStyleInfo name="TableStyleMedium10" showFirstColumn="0" showLastColumn="0" showRowStripes="1" showColumnStripes="0"/>
</table>
</file>

<file path=xl/tables/table46.xml><?xml version="1.0" encoding="utf-8"?>
<table xmlns="http://schemas.openxmlformats.org/spreadsheetml/2006/main" id="47" name="LunarCalendarHolidaysTable" displayName="LunarCalendarHolidaysTable" ref="U4:V365" totalsRowShown="0" headerRowDxfId="27" dataDxfId="26">
  <autoFilter ref="U4:V365"/>
  <tableColumns count="2">
    <tableColumn id="1" name="تعطیلات قمری" dataDxfId="29"/>
    <tableColumn id="2" name="Day and Month" dataDxfId="28"/>
  </tableColumns>
  <tableStyleInfo name="TableStyleMedium11" showFirstColumn="0" showLastColumn="0" showRowStripes="1" showColumnStripes="0"/>
</table>
</file>

<file path=xl/tables/table47.xml><?xml version="1.0" encoding="utf-8"?>
<table xmlns="http://schemas.openxmlformats.org/spreadsheetml/2006/main" id="48" name="LunarCalendarEventsTable" displayName="LunarCalendarEventsTable" ref="X4:Y365" totalsRowShown="0" headerRowDxfId="23" dataDxfId="22">
  <autoFilter ref="X4:Y365"/>
  <tableColumns count="2">
    <tableColumn id="1" name="مناسبت قمری" dataDxfId="25"/>
    <tableColumn id="2" name="Day and Month" dataDxfId="24"/>
  </tableColumns>
  <tableStyleInfo name="TableStyleMedium14" showFirstColumn="0" showLastColumn="0" showRowStripes="1" showColumnStripes="0"/>
</table>
</file>

<file path=xl/tables/table48.xml><?xml version="1.0" encoding="utf-8"?>
<table xmlns="http://schemas.openxmlformats.org/spreadsheetml/2006/main" id="49" name="GregorianCalendarEventsTable" displayName="GregorianCalendarEventsTable" ref="AA4:AB365" totalsRowShown="0" headerRowDxfId="5" dataDxfId="6">
  <autoFilter ref="AA4:AB365"/>
  <tableColumns count="2">
    <tableColumn id="1" name="مناسبت میلادی" dataDxfId="21"/>
    <tableColumn id="2" name="Day and Month" dataDxfId="20"/>
  </tableColumns>
  <tableStyleInfo name="TableStyleMedium12" showFirstColumn="0" showLastColumn="0" showRowStripes="1" showColumnStripes="0"/>
</table>
</file>

<file path=xl/tables/table49.xml><?xml version="1.0" encoding="utf-8"?>
<table xmlns="http://schemas.openxmlformats.org/spreadsheetml/2006/main" id="50" name="BankFeesTable" displayName="BankFeesTable" ref="J13:K41" totalsRowShown="0" headerRowDxfId="17" dataDxfId="16">
  <autoFilter ref="J13:K41"/>
  <tableColumns count="2">
    <tableColumn id="1" name="عملیات" dataDxfId="19"/>
    <tableColumn id="2" name="Wage" dataDxfId="18"/>
  </tableColumns>
  <tableStyleInfo name="TableStyleMedium14" showFirstColumn="0" showLastColumn="0" showRowStripes="1" showColumnStripes="0"/>
</table>
</file>

<file path=xl/tables/table50.xml><?xml version="1.0" encoding="utf-8"?>
<table xmlns="http://schemas.openxmlformats.org/spreadsheetml/2006/main" id="43" name="Table43" displayName="Table43" ref="A4:C13" totalsRowShown="0" headerRowDxfId="48" dataDxfId="47">
  <autoFilter ref="A4:C13"/>
  <tableColumns count="3">
    <tableColumn id="1" name="تابع" dataDxfId="46"/>
    <tableColumn id="2" name="نمونه" dataDxfId="45">
      <calculatedColumnFormula>Slash(Shamsi())</calculatedColumnFormula>
    </tableColumn>
    <tableColumn id="3" name="توضیح" dataDxfId="4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7.xml"/><Relationship Id="rId13" Type="http://schemas.openxmlformats.org/officeDocument/2006/relationships/table" Target="../tables/table22.xml"/><Relationship Id="rId18" Type="http://schemas.openxmlformats.org/officeDocument/2006/relationships/table" Target="../tables/table27.xml"/><Relationship Id="rId26" Type="http://schemas.openxmlformats.org/officeDocument/2006/relationships/table" Target="../tables/table35.xml"/><Relationship Id="rId3" Type="http://schemas.openxmlformats.org/officeDocument/2006/relationships/table" Target="../tables/table12.xml"/><Relationship Id="rId21" Type="http://schemas.openxmlformats.org/officeDocument/2006/relationships/table" Target="../tables/table30.xml"/><Relationship Id="rId7" Type="http://schemas.openxmlformats.org/officeDocument/2006/relationships/table" Target="../tables/table16.xml"/><Relationship Id="rId12" Type="http://schemas.openxmlformats.org/officeDocument/2006/relationships/table" Target="../tables/table21.xml"/><Relationship Id="rId17" Type="http://schemas.openxmlformats.org/officeDocument/2006/relationships/table" Target="../tables/table26.xml"/><Relationship Id="rId25" Type="http://schemas.openxmlformats.org/officeDocument/2006/relationships/table" Target="../tables/table34.xml"/><Relationship Id="rId2" Type="http://schemas.openxmlformats.org/officeDocument/2006/relationships/table" Target="../tables/table11.xml"/><Relationship Id="rId16" Type="http://schemas.openxmlformats.org/officeDocument/2006/relationships/table" Target="../tables/table25.xml"/><Relationship Id="rId20" Type="http://schemas.openxmlformats.org/officeDocument/2006/relationships/table" Target="../tables/table29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5.xml"/><Relationship Id="rId11" Type="http://schemas.openxmlformats.org/officeDocument/2006/relationships/table" Target="../tables/table20.xml"/><Relationship Id="rId24" Type="http://schemas.openxmlformats.org/officeDocument/2006/relationships/table" Target="../tables/table33.xml"/><Relationship Id="rId5" Type="http://schemas.openxmlformats.org/officeDocument/2006/relationships/table" Target="../tables/table14.xml"/><Relationship Id="rId15" Type="http://schemas.openxmlformats.org/officeDocument/2006/relationships/table" Target="../tables/table24.xml"/><Relationship Id="rId23" Type="http://schemas.openxmlformats.org/officeDocument/2006/relationships/table" Target="../tables/table32.xml"/><Relationship Id="rId10" Type="http://schemas.openxmlformats.org/officeDocument/2006/relationships/table" Target="../tables/table19.xml"/><Relationship Id="rId19" Type="http://schemas.openxmlformats.org/officeDocument/2006/relationships/table" Target="../tables/table28.xml"/><Relationship Id="rId4" Type="http://schemas.openxmlformats.org/officeDocument/2006/relationships/table" Target="../tables/table13.xml"/><Relationship Id="rId9" Type="http://schemas.openxmlformats.org/officeDocument/2006/relationships/table" Target="../tables/table18.xml"/><Relationship Id="rId14" Type="http://schemas.openxmlformats.org/officeDocument/2006/relationships/table" Target="../tables/table23.xml"/><Relationship Id="rId22" Type="http://schemas.openxmlformats.org/officeDocument/2006/relationships/table" Target="../tables/table31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7.xml"/><Relationship Id="rId2" Type="http://schemas.openxmlformats.org/officeDocument/2006/relationships/table" Target="../tables/table36.xml"/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9.xml"/><Relationship Id="rId2" Type="http://schemas.openxmlformats.org/officeDocument/2006/relationships/table" Target="../tables/table38.xml"/><Relationship Id="rId1" Type="http://schemas.openxmlformats.org/officeDocument/2006/relationships/hyperlink" Target="mailto:Alireza13.m2@gmail.com" TargetMode="Externa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6.xml"/><Relationship Id="rId3" Type="http://schemas.openxmlformats.org/officeDocument/2006/relationships/table" Target="../tables/table41.xml"/><Relationship Id="rId7" Type="http://schemas.openxmlformats.org/officeDocument/2006/relationships/table" Target="../tables/table45.xml"/><Relationship Id="rId2" Type="http://schemas.openxmlformats.org/officeDocument/2006/relationships/table" Target="../tables/table40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44.xml"/><Relationship Id="rId11" Type="http://schemas.openxmlformats.org/officeDocument/2006/relationships/table" Target="../tables/table49.xml"/><Relationship Id="rId5" Type="http://schemas.openxmlformats.org/officeDocument/2006/relationships/table" Target="../tables/table43.xml"/><Relationship Id="rId10" Type="http://schemas.openxmlformats.org/officeDocument/2006/relationships/table" Target="../tables/table48.xml"/><Relationship Id="rId4" Type="http://schemas.openxmlformats.org/officeDocument/2006/relationships/table" Target="../tables/table42.xml"/><Relationship Id="rId9" Type="http://schemas.openxmlformats.org/officeDocument/2006/relationships/table" Target="../tables/table47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4:AC28"/>
  <sheetViews>
    <sheetView rightToLeft="1" workbookViewId="0">
      <selection activeCell="C22" sqref="C22"/>
    </sheetView>
  </sheetViews>
  <sheetFormatPr defaultRowHeight="15" x14ac:dyDescent="0.25"/>
  <cols>
    <col min="1" max="1" width="5.140625" customWidth="1"/>
    <col min="2" max="2" width="10.5703125" bestFit="1" customWidth="1"/>
    <col min="3" max="3" width="34" customWidth="1"/>
    <col min="4" max="4" width="5.5703125" customWidth="1"/>
    <col min="5" max="5" width="8.7109375" customWidth="1"/>
    <col min="6" max="6" width="15.7109375" bestFit="1" customWidth="1"/>
    <col min="7" max="7" width="8.140625" customWidth="1"/>
    <col min="8" max="8" width="11.28515625" bestFit="1" customWidth="1"/>
    <col min="9" max="9" width="11" bestFit="1" customWidth="1"/>
    <col min="10" max="10" width="12.140625" bestFit="1" customWidth="1"/>
    <col min="11" max="11" width="11.5703125" bestFit="1" customWidth="1"/>
    <col min="12" max="12" width="13.140625" bestFit="1" customWidth="1"/>
    <col min="13" max="13" width="30.140625" customWidth="1"/>
    <col min="14" max="14" width="4.5703125" customWidth="1"/>
    <col min="16" max="16" width="5.140625" customWidth="1"/>
    <col min="17" max="17" width="17.28515625" customWidth="1"/>
    <col min="18" max="18" width="21.140625" bestFit="1" customWidth="1"/>
    <col min="19" max="19" width="19.42578125" customWidth="1"/>
    <col min="20" max="20" width="22.140625" customWidth="1"/>
    <col min="21" max="21" width="15.7109375" bestFit="1" customWidth="1"/>
    <col min="22" max="22" width="18.5703125" customWidth="1"/>
    <col min="23" max="23" width="16" customWidth="1"/>
    <col min="24" max="24" width="13.28515625" customWidth="1"/>
    <col min="25" max="25" width="23.7109375" customWidth="1"/>
    <col min="26" max="26" width="11.5703125" bestFit="1" customWidth="1"/>
    <col min="27" max="27" width="13.140625" bestFit="1" customWidth="1"/>
    <col min="28" max="28" width="12.28515625" customWidth="1"/>
    <col min="29" max="29" width="10.42578125" customWidth="1"/>
  </cols>
  <sheetData>
    <row r="4" spans="1:29" ht="15.75" thickBot="1" x14ac:dyDescent="0.3">
      <c r="A4" t="s">
        <v>102</v>
      </c>
    </row>
    <row r="5" spans="1:29" ht="16.5" thickBot="1" x14ac:dyDescent="0.3">
      <c r="A5" t="s">
        <v>1</v>
      </c>
      <c r="B5" t="s">
        <v>14</v>
      </c>
      <c r="C5" t="s">
        <v>16</v>
      </c>
      <c r="D5" t="s">
        <v>0</v>
      </c>
      <c r="E5" t="s">
        <v>18</v>
      </c>
      <c r="F5" t="s">
        <v>4</v>
      </c>
      <c r="G5" t="s">
        <v>19</v>
      </c>
      <c r="H5" t="s">
        <v>2</v>
      </c>
      <c r="I5" t="s">
        <v>6</v>
      </c>
      <c r="J5" t="s">
        <v>5</v>
      </c>
      <c r="K5" t="s">
        <v>13</v>
      </c>
      <c r="L5" t="s">
        <v>42</v>
      </c>
      <c r="M5" t="s">
        <v>41</v>
      </c>
      <c r="P5" s="93" t="s">
        <v>1</v>
      </c>
      <c r="Q5" s="94" t="s">
        <v>119</v>
      </c>
      <c r="R5" s="94" t="s">
        <v>0</v>
      </c>
      <c r="S5" s="95" t="s">
        <v>18</v>
      </c>
      <c r="T5" s="96" t="s">
        <v>108</v>
      </c>
      <c r="U5" s="97" t="s">
        <v>152</v>
      </c>
      <c r="V5" s="94" t="s">
        <v>117</v>
      </c>
      <c r="W5" s="94" t="s">
        <v>153</v>
      </c>
      <c r="X5" s="98" t="s">
        <v>2</v>
      </c>
      <c r="Y5" s="94" t="s">
        <v>6</v>
      </c>
      <c r="Z5" s="94" t="s">
        <v>5</v>
      </c>
      <c r="AA5" s="94" t="s">
        <v>161</v>
      </c>
      <c r="AB5" s="95" t="s">
        <v>113</v>
      </c>
      <c r="AC5" s="95" t="s">
        <v>41</v>
      </c>
    </row>
    <row r="6" spans="1:29" ht="15.75" x14ac:dyDescent="0.25">
      <c r="P6" s="99">
        <v>1</v>
      </c>
      <c r="Q6" s="100" t="s">
        <v>120</v>
      </c>
      <c r="R6" s="101">
        <f>DATE(2021,6,26)</f>
        <v>44373</v>
      </c>
      <c r="S6" s="102" t="s">
        <v>160</v>
      </c>
      <c r="T6" s="103" t="s">
        <v>286</v>
      </c>
      <c r="U6" s="100" t="s">
        <v>190</v>
      </c>
      <c r="V6" s="100" t="s">
        <v>274</v>
      </c>
      <c r="W6" s="100" t="s">
        <v>157</v>
      </c>
      <c r="X6" s="104">
        <v>80000</v>
      </c>
      <c r="Y6" s="100" t="s">
        <v>138</v>
      </c>
      <c r="Z6" s="100" t="s">
        <v>334</v>
      </c>
      <c r="AA6" s="100"/>
      <c r="AB6" s="102" t="s">
        <v>114</v>
      </c>
      <c r="AC6" s="102"/>
    </row>
    <row r="7" spans="1:29" ht="15.75" x14ac:dyDescent="0.25">
      <c r="P7" s="105">
        <v>2</v>
      </c>
      <c r="Q7" s="106"/>
      <c r="R7" s="107">
        <f>DATE(2021,6,26)</f>
        <v>44373</v>
      </c>
      <c r="S7" s="108"/>
      <c r="T7" s="109" t="s">
        <v>286</v>
      </c>
      <c r="U7" s="106"/>
      <c r="V7" s="106"/>
      <c r="W7" s="106"/>
      <c r="X7" s="110"/>
      <c r="Y7" s="106"/>
      <c r="Z7" s="106"/>
      <c r="AA7" s="106"/>
      <c r="AB7" s="108"/>
      <c r="AC7" s="108"/>
    </row>
    <row r="8" spans="1:29" ht="15.75" x14ac:dyDescent="0.25">
      <c r="P8" s="99">
        <v>3</v>
      </c>
      <c r="Q8" s="100"/>
      <c r="R8" s="101">
        <f>DATE(2021,8,17)</f>
        <v>44425</v>
      </c>
      <c r="S8" s="102"/>
      <c r="T8" s="103" t="s">
        <v>310</v>
      </c>
      <c r="U8" s="100" t="s">
        <v>313</v>
      </c>
      <c r="V8" s="100" t="s">
        <v>324</v>
      </c>
      <c r="W8" s="100"/>
      <c r="X8" s="104"/>
      <c r="Y8" s="100"/>
      <c r="Z8" s="100"/>
      <c r="AA8" s="100"/>
      <c r="AB8" s="102"/>
      <c r="AC8" s="102"/>
    </row>
    <row r="11" spans="1:29" x14ac:dyDescent="0.25">
      <c r="A11" t="s">
        <v>107</v>
      </c>
    </row>
    <row r="12" spans="1:29" x14ac:dyDescent="0.25">
      <c r="A12" t="s">
        <v>8</v>
      </c>
      <c r="B12" t="s">
        <v>103</v>
      </c>
      <c r="C12" t="s">
        <v>104</v>
      </c>
      <c r="D12" t="s">
        <v>105</v>
      </c>
      <c r="E12" t="s">
        <v>89</v>
      </c>
      <c r="F12" t="s">
        <v>90</v>
      </c>
      <c r="G12" t="s">
        <v>106</v>
      </c>
      <c r="H12" t="s">
        <v>99</v>
      </c>
    </row>
    <row r="15" spans="1:29" x14ac:dyDescent="0.25">
      <c r="R15" t="s">
        <v>346</v>
      </c>
    </row>
    <row r="16" spans="1:29" ht="18.75" x14ac:dyDescent="0.25">
      <c r="A16" s="11" t="e">
        <f>S24a</f>
        <v>#NAME?</v>
      </c>
      <c r="B16" s="37" t="s">
        <v>116</v>
      </c>
      <c r="C16" s="12" t="s">
        <v>103</v>
      </c>
      <c r="D16" s="13" t="s">
        <v>104</v>
      </c>
      <c r="E16" s="35" t="s">
        <v>105</v>
      </c>
      <c r="F16" s="14" t="s">
        <v>111</v>
      </c>
      <c r="G16" s="15" t="s">
        <v>90</v>
      </c>
      <c r="H16" s="25" t="s">
        <v>112</v>
      </c>
      <c r="I16" s="16" t="s">
        <v>106</v>
      </c>
      <c r="J16" s="17" t="s">
        <v>99</v>
      </c>
      <c r="Q16">
        <v>1</v>
      </c>
      <c r="U16" t="s">
        <v>345</v>
      </c>
    </row>
    <row r="17" spans="3:17" x14ac:dyDescent="0.25">
      <c r="Q17">
        <v>2</v>
      </c>
    </row>
    <row r="18" spans="3:17" x14ac:dyDescent="0.25">
      <c r="Q18">
        <v>3</v>
      </c>
    </row>
    <row r="20" spans="3:17" x14ac:dyDescent="0.25">
      <c r="O20">
        <f>IF(Q16:Q22="",1,0)</f>
        <v>0</v>
      </c>
      <c r="Q20">
        <v>5</v>
      </c>
    </row>
    <row r="21" spans="3:17" x14ac:dyDescent="0.25">
      <c r="Q21">
        <v>6</v>
      </c>
    </row>
    <row r="22" spans="3:17" x14ac:dyDescent="0.25">
      <c r="C22" s="145" t="str">
        <f>Slash(14000525)</f>
        <v>1400/05/25</v>
      </c>
      <c r="Q22">
        <v>7</v>
      </c>
    </row>
    <row r="23" spans="3:17" x14ac:dyDescent="0.25">
      <c r="K23" s="121"/>
      <c r="M23" t="str">
        <f>REPLACE(Q25,1,LEN(Q25),"")</f>
        <v/>
      </c>
    </row>
    <row r="24" spans="3:17" x14ac:dyDescent="0.25">
      <c r="M24">
        <f>LEN(M23)</f>
        <v>0</v>
      </c>
    </row>
    <row r="25" spans="3:17" x14ac:dyDescent="0.25">
      <c r="I25">
        <f>IFERROR(M25,5)</f>
        <v>7</v>
      </c>
      <c r="M25">
        <f>7</f>
        <v>7</v>
      </c>
      <c r="Q25">
        <v>1234</v>
      </c>
    </row>
    <row r="28" spans="3:17" x14ac:dyDescent="0.25">
      <c r="M28" t="e">
        <f>CL</f>
        <v>#NAME?</v>
      </c>
    </row>
  </sheetData>
  <dataValidations disablePrompts="1" count="12">
    <dataValidation type="list" allowBlank="1" showInputMessage="1" showErrorMessage="1" sqref="V8">
      <formula1>INDIRECT($F$10)</formula1>
    </dataValidation>
    <dataValidation type="list" allowBlank="1" showInputMessage="1" showErrorMessage="1" sqref="U8">
      <formula1>INDIRECT($E$10)</formula1>
    </dataValidation>
    <dataValidation type="list" allowBlank="1" showInputMessage="1" showErrorMessage="1" sqref="V7">
      <formula1>INDIRECT($F$9)</formula1>
    </dataValidation>
    <dataValidation type="list" allowBlank="1" showInputMessage="1" showErrorMessage="1" sqref="U7">
      <formula1>INDIRECT($E$9)</formula1>
    </dataValidation>
    <dataValidation type="list" allowBlank="1" showInputMessage="1" showErrorMessage="1" sqref="V6">
      <formula1>INDIRECT($F$8)</formula1>
    </dataValidation>
    <dataValidation type="list" allowBlank="1" showInputMessage="1" showErrorMessage="1" sqref="U6">
      <formula1>INDIRECT($E$8)</formula1>
    </dataValidation>
    <dataValidation showInputMessage="1" promptTitle="راهنما" prompt="تاریخ به میلادی ثبت شود._x000a_به صورت خودکار تاریخ شمسی نمایش داده میشود." sqref="R6:R8"/>
    <dataValidation type="list" allowBlank="1" showInputMessage="1" showErrorMessage="1" errorTitle="Error" error="مقدار ورودی را از لیست انتخاب کنید" promptTitle="راهنما" prompt="روش انتقال پول را انتخاب کنید_x000a_" sqref="W6:W8">
      <formula1 xml:space="preserve"> TransactionMethodsList</formula1>
    </dataValidation>
    <dataValidation type="list" allowBlank="1" showInputMessage="1" showErrorMessage="1" errorTitle="Error" error="مقدار ورودی را از لیست انتخاب کنید" promptTitle="راهنما" prompt="نوع تراکنش را مشخص کنید._x000a_پرداخت (هزینه)_x000a_دریافت (درآمد)_x000a_انتقال" sqref="T6:T8">
      <formula1>INDIRECT("TypeOfTransactionTable[نوع تراکنش]")</formula1>
    </dataValidation>
    <dataValidation type="list" allowBlank="1" showInputMessage="1" showErrorMessage="1" errorTitle="Error" error="مقدار ورودی را از لیست انتخاب کنید" promptTitle="راهنما" prompt="حساب/فرد پرداخت کننده و دریافت کننده را تعیین کنید" sqref="Y6:Z8">
      <formula1>Accounts_and_ReceiversAndPayers_List</formula1>
    </dataValidation>
    <dataValidation type="list" allowBlank="1" showInputMessage="1" showErrorMessage="1" errorTitle="Error" error="فرد باید از لیست «افراد» انتخاب شود._x000a_به جدول «افراد» موجود در کاربردگ «تنظیمات حساب» مراجعه شود." promptTitle="راهنما" prompt="فردی که هزینه کرده یا برای آن هزینه شده" sqref="Q6:Q8">
      <formula1>INDIRECT("PersonsTable[افراد]")</formula1>
    </dataValidation>
    <dataValidation type="list" allowBlank="1" showInputMessage="1" showErrorMessage="1" errorTitle="Error" error="نوع خرج باید از گزینه‌های موجود در لیست کشویی باشد." promptTitle="راهنما" prompt="نوع خرج را مشخص کنید._x000a_نا مشخص_x000a_خرج صحیح_x000a_خرج اضافی" sqref="AB6:AB8">
      <formula1>INDIRECT("TypeOfExpenditureTable[نوع خرج]")</formula1>
    </dataValidation>
  </dataValidations>
  <hyperlinks>
    <hyperlink ref="A16" location="فهرست!A1" display="فهرست"/>
    <hyperlink ref="C16" location="'مدیریت وام و اقساط'!A1" display="وام و اقساط"/>
    <hyperlink ref="D16" location="'مدیریت چک‌ها'!A1" display="چک‌ها"/>
    <hyperlink ref="E16" location="'مدیریت بدهی‌ها-طلب‌ها'!A1" display="بدهی‌ها و طلب‌ها"/>
    <hyperlink ref="F16" location="'برنامه ریزی پرداخت‌ها'!A1" display="برنامه ریزی"/>
    <hyperlink ref="G16" location="تقویم!A1" display="تقویم"/>
    <hyperlink ref="H16" location="'بودجه بندی'!A1" display="بودجه بندی"/>
    <hyperlink ref="I16" location="'گزارش فعالیت‌های ماه جاری'!A1" display="ماه جاری"/>
    <hyperlink ref="J16" location="'جست و جو'!A1" display="جست و جو"/>
    <hyperlink ref="B16" location="تراکنش‌ها!A1" display="تراکنش‌ها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7030A0"/>
  </sheetPr>
  <dimension ref="B6:R29"/>
  <sheetViews>
    <sheetView rightToLeft="1" workbookViewId="0"/>
  </sheetViews>
  <sheetFormatPr defaultRowHeight="15" x14ac:dyDescent="0.25"/>
  <cols>
    <col min="1" max="1" width="9.140625" customWidth="1"/>
    <col min="2" max="2" width="31.5703125" customWidth="1"/>
    <col min="3" max="3" width="4.5703125" customWidth="1"/>
    <col min="4" max="4" width="19.5703125" bestFit="1" customWidth="1"/>
    <col min="6" max="6" width="26.7109375" bestFit="1" customWidth="1"/>
    <col min="8" max="8" width="30" bestFit="1" customWidth="1"/>
    <col min="11" max="11" width="10.140625" bestFit="1" customWidth="1"/>
    <col min="13" max="13" width="6" bestFit="1" customWidth="1"/>
    <col min="14" max="14" width="13.42578125" bestFit="1" customWidth="1"/>
    <col min="15" max="15" width="17" bestFit="1" customWidth="1"/>
  </cols>
  <sheetData>
    <row r="6" spans="2:18" x14ac:dyDescent="0.25">
      <c r="B6" s="4" t="s">
        <v>85</v>
      </c>
      <c r="D6" t="s">
        <v>86</v>
      </c>
      <c r="F6" t="s">
        <v>91</v>
      </c>
      <c r="H6" s="4" t="s">
        <v>95</v>
      </c>
      <c r="K6" t="s">
        <v>8</v>
      </c>
      <c r="L6" t="s">
        <v>103</v>
      </c>
      <c r="M6" t="s">
        <v>104</v>
      </c>
      <c r="N6" t="s">
        <v>105</v>
      </c>
      <c r="O6" t="s">
        <v>89</v>
      </c>
      <c r="P6" t="s">
        <v>90</v>
      </c>
      <c r="Q6" t="s">
        <v>106</v>
      </c>
      <c r="R6" t="s">
        <v>99</v>
      </c>
    </row>
    <row r="7" spans="2:18" x14ac:dyDescent="0.25">
      <c r="B7" t="s">
        <v>99</v>
      </c>
      <c r="D7" t="s">
        <v>87</v>
      </c>
      <c r="F7" t="s">
        <v>92</v>
      </c>
      <c r="H7" t="s">
        <v>96</v>
      </c>
    </row>
    <row r="8" spans="2:18" x14ac:dyDescent="0.25">
      <c r="B8" s="4" t="s">
        <v>150</v>
      </c>
      <c r="D8" t="s">
        <v>88</v>
      </c>
      <c r="F8" t="s">
        <v>93</v>
      </c>
    </row>
    <row r="9" spans="2:18" x14ac:dyDescent="0.25">
      <c r="B9" s="4" t="s">
        <v>7</v>
      </c>
      <c r="D9" t="s">
        <v>89</v>
      </c>
      <c r="F9" t="s">
        <v>94</v>
      </c>
    </row>
    <row r="10" spans="2:18" x14ac:dyDescent="0.25">
      <c r="B10" s="4" t="s">
        <v>100</v>
      </c>
      <c r="D10" t="s">
        <v>90</v>
      </c>
      <c r="H10" t="s">
        <v>97</v>
      </c>
    </row>
    <row r="11" spans="2:18" x14ac:dyDescent="0.25">
      <c r="H11" t="s">
        <v>98</v>
      </c>
    </row>
    <row r="12" spans="2:18" x14ac:dyDescent="0.25">
      <c r="B12" t="s">
        <v>101</v>
      </c>
    </row>
    <row r="24" spans="8:11" x14ac:dyDescent="0.25">
      <c r="H24" t="s">
        <v>43</v>
      </c>
    </row>
    <row r="29" spans="8:11" x14ac:dyDescent="0.25">
      <c r="H29" t="s">
        <v>59</v>
      </c>
      <c r="K29" t="s">
        <v>60</v>
      </c>
    </row>
  </sheetData>
  <hyperlinks>
    <hyperlink ref="B6" location="تراکنش‌ها!A1" display="ثبت تراکنش‌های روزانه"/>
    <hyperlink ref="B10" location="'تنظیمات دفترچه'!A1" display="تنظیمات دفترچه"/>
    <hyperlink ref="B9" location="'تنظیمات حساب'!A1" display="تنظیمات حساب"/>
    <hyperlink ref="B8" location="'دریافت کنندگان - پرداخت کنندگان'!A1" display="دریافت کنندگان - پرداخت کنندگان"/>
    <hyperlink ref="H6" location="'گروه‌‌های درآمدی'!A1" display="گروه‌‌های درآمدی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7"/>
  </sheetPr>
  <dimension ref="A1:S515"/>
  <sheetViews>
    <sheetView showGridLines="0" rightToLeft="1" workbookViewId="0">
      <pane ySplit="7" topLeftCell="A8" activePane="bottomLeft" state="frozen"/>
      <selection pane="bottomLeft" activeCell="K1" sqref="K1"/>
    </sheetView>
  </sheetViews>
  <sheetFormatPr defaultRowHeight="15.75" x14ac:dyDescent="0.25"/>
  <cols>
    <col min="1" max="1" width="6.7109375" style="19" customWidth="1"/>
    <col min="2" max="2" width="18.28515625" style="5" customWidth="1"/>
    <col min="3" max="3" width="22.85546875" style="5" customWidth="1"/>
    <col min="4" max="4" width="36.5703125" style="5" customWidth="1"/>
    <col min="5" max="5" width="18.140625" style="34" customWidth="1"/>
    <col min="6" max="6" width="18.28515625" style="42" customWidth="1"/>
    <col min="7" max="7" width="18.28515625" style="5" customWidth="1"/>
    <col min="8" max="8" width="18.28515625" style="24" customWidth="1"/>
    <col min="9" max="9" width="18.42578125" style="5" customWidth="1"/>
    <col min="10" max="10" width="18.28515625" style="5" customWidth="1"/>
    <col min="11" max="11" width="18.42578125" style="5" customWidth="1"/>
    <col min="12" max="12" width="18.28515625" style="5" customWidth="1"/>
    <col min="13" max="13" width="9.140625" style="34" customWidth="1"/>
    <col min="14" max="14" width="36.5703125" style="5" customWidth="1"/>
    <col min="15" max="17" width="9.140625" style="5"/>
    <col min="18" max="18" width="12.5703125" style="5" bestFit="1" customWidth="1"/>
    <col min="19" max="16384" width="9.140625" style="5"/>
  </cols>
  <sheetData>
    <row r="1" spans="1:19" ht="27" customHeight="1" x14ac:dyDescent="0.25">
      <c r="A1" s="18"/>
      <c r="B1" s="11" t="s">
        <v>8</v>
      </c>
      <c r="C1" s="12" t="s">
        <v>103</v>
      </c>
      <c r="D1" s="13" t="s">
        <v>104</v>
      </c>
      <c r="E1" s="35" t="s">
        <v>105</v>
      </c>
      <c r="F1" s="38" t="s">
        <v>111</v>
      </c>
      <c r="G1" s="15" t="s">
        <v>90</v>
      </c>
      <c r="H1" s="122" t="s">
        <v>112</v>
      </c>
      <c r="I1" s="16" t="s">
        <v>106</v>
      </c>
      <c r="J1" s="17" t="s">
        <v>99</v>
      </c>
      <c r="K1" s="123" t="s">
        <v>7</v>
      </c>
      <c r="L1" s="6"/>
      <c r="M1" s="30"/>
      <c r="N1" s="6"/>
      <c r="O1" s="64"/>
      <c r="P1" s="64"/>
      <c r="Q1" s="64"/>
      <c r="R1" s="64"/>
    </row>
    <row r="2" spans="1:19" ht="3.75" customHeight="1" x14ac:dyDescent="0.25">
      <c r="A2" s="18"/>
      <c r="B2" s="6"/>
      <c r="C2" s="6"/>
      <c r="D2" s="6"/>
      <c r="E2" s="36"/>
      <c r="F2" s="36"/>
      <c r="G2" s="6"/>
      <c r="H2" s="21"/>
      <c r="I2" s="6"/>
      <c r="J2" s="6"/>
      <c r="K2" s="6"/>
      <c r="L2" s="6"/>
      <c r="M2" s="30"/>
      <c r="N2" s="6"/>
      <c r="O2" s="64"/>
      <c r="P2" s="64"/>
      <c r="Q2" s="64"/>
      <c r="R2" s="64"/>
    </row>
    <row r="3" spans="1:19" ht="24" customHeight="1" x14ac:dyDescent="0.25">
      <c r="A3" s="18"/>
      <c r="B3" s="7" t="s">
        <v>109</v>
      </c>
      <c r="C3" s="116">
        <f>SUMIF(Tarakonesh[تراکنش],"دریافت_درآمد",Tarakonesh[مبلغ (ریال)])</f>
        <v>5525000</v>
      </c>
      <c r="D3" s="8" t="s">
        <v>110</v>
      </c>
      <c r="E3" s="115">
        <f>SUMIF(Tarakonesh[تراکنش],"پرداخت_هزینه",Tarakonesh[مبلغ (ریال)])</f>
        <v>3093000</v>
      </c>
      <c r="F3" s="39" t="s">
        <v>344</v>
      </c>
      <c r="G3" s="114">
        <f>SUMIF(Tarakonesh[تراکنش],"انتقال",Tarakonesh[مبلغ (ریال)])</f>
        <v>520000</v>
      </c>
      <c r="H3" s="118" t="s">
        <v>347</v>
      </c>
      <c r="I3" s="120">
        <f>FinancialAccountsTable[[#Totals],[مانده]]</f>
        <v>4427000</v>
      </c>
      <c r="J3" s="148" t="s">
        <v>150</v>
      </c>
      <c r="K3" s="148"/>
      <c r="L3" s="6"/>
      <c r="M3" s="31"/>
      <c r="N3" s="6"/>
      <c r="O3" s="64"/>
      <c r="P3" s="64"/>
      <c r="Q3" s="64"/>
      <c r="R3" s="64"/>
    </row>
    <row r="4" spans="1:19" s="79" customFormat="1" ht="3.75" customHeight="1" x14ac:dyDescent="0.25">
      <c r="A4" s="18"/>
      <c r="B4" s="75"/>
      <c r="C4" s="75"/>
      <c r="D4" s="75"/>
      <c r="E4" s="76"/>
      <c r="F4" s="76"/>
      <c r="G4" s="119"/>
      <c r="H4" s="77"/>
      <c r="I4" s="6"/>
      <c r="J4" s="78"/>
      <c r="K4" s="78"/>
      <c r="L4" s="6"/>
      <c r="M4" s="31"/>
      <c r="N4" s="6"/>
      <c r="O4" s="6"/>
      <c r="P4" s="6"/>
      <c r="Q4" s="6"/>
      <c r="R4" s="6"/>
    </row>
    <row r="5" spans="1:19" ht="24" customHeight="1" x14ac:dyDescent="0.25">
      <c r="A5" s="18"/>
      <c r="B5" s="75"/>
      <c r="C5" s="146">
        <v>0</v>
      </c>
      <c r="D5" s="75"/>
      <c r="E5" s="76"/>
      <c r="F5" s="36"/>
      <c r="G5" s="6"/>
      <c r="H5" s="77"/>
      <c r="I5" s="6"/>
      <c r="J5" s="74" t="s">
        <v>192</v>
      </c>
      <c r="K5" s="80" t="s">
        <v>193</v>
      </c>
      <c r="L5" s="6"/>
      <c r="M5" s="31"/>
      <c r="N5" s="6"/>
      <c r="O5" s="64"/>
      <c r="P5" s="64"/>
      <c r="Q5" s="64"/>
      <c r="R5" s="64"/>
    </row>
    <row r="6" spans="1:19" ht="3.75" customHeight="1" x14ac:dyDescent="0.25">
      <c r="A6" s="18"/>
      <c r="B6" s="9"/>
      <c r="C6" s="9"/>
      <c r="D6" s="9"/>
      <c r="E6" s="26"/>
      <c r="F6" s="26"/>
      <c r="G6" s="9"/>
      <c r="H6" s="22"/>
      <c r="I6" s="9"/>
      <c r="J6" s="9"/>
      <c r="K6" s="9"/>
      <c r="L6" s="9"/>
      <c r="M6" s="31"/>
      <c r="N6" s="6"/>
      <c r="O6" s="64"/>
      <c r="P6" s="64"/>
      <c r="Q6" s="64"/>
      <c r="R6" s="64"/>
    </row>
    <row r="7" spans="1:19" ht="24" customHeight="1" x14ac:dyDescent="0.25">
      <c r="A7" s="20" t="s">
        <v>1</v>
      </c>
      <c r="B7" s="10" t="s">
        <v>119</v>
      </c>
      <c r="C7" s="10" t="s">
        <v>0</v>
      </c>
      <c r="D7" s="32" t="s">
        <v>18</v>
      </c>
      <c r="E7" s="40" t="s">
        <v>108</v>
      </c>
      <c r="F7" s="69" t="s">
        <v>152</v>
      </c>
      <c r="G7" s="10" t="s">
        <v>117</v>
      </c>
      <c r="H7" s="10" t="s">
        <v>153</v>
      </c>
      <c r="I7" s="23" t="s">
        <v>2</v>
      </c>
      <c r="J7" s="10" t="s">
        <v>6</v>
      </c>
      <c r="K7" s="10" t="s">
        <v>5</v>
      </c>
      <c r="L7" s="10" t="s">
        <v>161</v>
      </c>
      <c r="M7" s="32" t="s">
        <v>113</v>
      </c>
      <c r="N7" s="32" t="s">
        <v>41</v>
      </c>
      <c r="O7" s="64"/>
      <c r="P7" s="64"/>
      <c r="Q7" s="64"/>
      <c r="R7" s="64"/>
      <c r="S7" s="64"/>
    </row>
    <row r="8" spans="1:19" x14ac:dyDescent="0.25">
      <c r="A8" s="28">
        <v>1</v>
      </c>
      <c r="B8" s="29" t="s">
        <v>120</v>
      </c>
      <c r="C8" s="33" t="s">
        <v>403</v>
      </c>
      <c r="D8" s="33" t="s">
        <v>160</v>
      </c>
      <c r="E8" s="41" t="s">
        <v>286</v>
      </c>
      <c r="F8" s="29" t="s">
        <v>288</v>
      </c>
      <c r="G8" s="29"/>
      <c r="H8" s="29" t="s">
        <v>311</v>
      </c>
      <c r="I8" s="27">
        <v>80000</v>
      </c>
      <c r="J8" s="29" t="s">
        <v>327</v>
      </c>
      <c r="K8" s="29" t="s">
        <v>337</v>
      </c>
      <c r="L8" s="117">
        <f>IF( Tarakonesh[تراکنش]="", "",IF( Tarakonesh[تراکنش]="انتقال", "",(FinancialAccountsTable[[#Totals],[موجودی اولیه]] + IF(Tarakonesh[تراکنش]="دریافت_درآمد",Tarakonesh[[#This Row],[مبلغ (ریال)]],0))-IF(Tarakonesh[تراکنش]="پرداخت_هزینه",Tarakonesh[[#This Row],[مبلغ (ریال)]],0)))</f>
        <v>1920000</v>
      </c>
      <c r="M8" s="33" t="s">
        <v>114</v>
      </c>
      <c r="N8" s="33"/>
    </row>
    <row r="9" spans="1:19" ht="31.5" x14ac:dyDescent="0.25">
      <c r="A9" s="28">
        <v>2</v>
      </c>
      <c r="B9" s="29"/>
      <c r="C9" s="33" t="s">
        <v>404</v>
      </c>
      <c r="D9" s="33"/>
      <c r="E9" s="41" t="s">
        <v>310</v>
      </c>
      <c r="F9" s="29"/>
      <c r="G9" s="29"/>
      <c r="H9" s="29" t="s">
        <v>156</v>
      </c>
      <c r="I9" s="27">
        <v>1000000</v>
      </c>
      <c r="J9" s="29" t="s">
        <v>332</v>
      </c>
      <c r="K9" s="29" t="s">
        <v>327</v>
      </c>
      <c r="L9" s="117">
        <f>IF( Tarakonesh[تراکنش]="", "",IF( Tarakonesh[تراکنش]="انتقال",L8,IF(Tarakonesh[تراکنش]="دریافت_درآمد",(Tarakonesh[[#This Row],[مبلغ (ریال)]]+IF(Tarakonesh[تراکنش]="انتقال",0,L8)),((IF(Tarakonesh[تراکنش]="انتقال",0,L8))-Tarakonesh[[#This Row],[مبلغ (ریال)]]))))</f>
        <v>2920000</v>
      </c>
      <c r="M9" s="33"/>
      <c r="N9" s="33"/>
    </row>
    <row r="10" spans="1:19" ht="31.5" x14ac:dyDescent="0.25">
      <c r="A10" s="28">
        <v>3</v>
      </c>
      <c r="B10" s="29"/>
      <c r="C10" s="33" t="s">
        <v>402</v>
      </c>
      <c r="D10" s="33"/>
      <c r="E10" s="41" t="s">
        <v>142</v>
      </c>
      <c r="F10" s="29"/>
      <c r="G10" s="29"/>
      <c r="H10" s="29" t="s">
        <v>155</v>
      </c>
      <c r="I10" s="27">
        <v>20000</v>
      </c>
      <c r="J10" s="29" t="s">
        <v>138</v>
      </c>
      <c r="K10" s="29" t="s">
        <v>327</v>
      </c>
      <c r="L10" s="117">
        <f>IF( Tarakonesh[تراکنش]="", "",IF( Tarakonesh[تراکنش]="انتقال",L9,IF(Tarakonesh[تراکنش]="دریافت_درآمد",(Tarakonesh[[#This Row],[مبلغ (ریال)]]+IF(Tarakonesh[تراکنش]="انتقال",0,L9)),((IF(Tarakonesh[تراکنش]="انتقال",0,L9))-Tarakonesh[[#This Row],[مبلغ (ریال)]]))))</f>
        <v>2920000</v>
      </c>
      <c r="M10" s="33"/>
      <c r="N10" s="33"/>
      <c r="R10" s="111"/>
    </row>
    <row r="11" spans="1:19" x14ac:dyDescent="0.25">
      <c r="A11" s="28">
        <v>4</v>
      </c>
      <c r="B11" s="29"/>
      <c r="C11" s="33"/>
      <c r="D11" s="33"/>
      <c r="E11" s="41" t="s">
        <v>310</v>
      </c>
      <c r="F11" s="29"/>
      <c r="G11" s="29"/>
      <c r="H11" s="29" t="s">
        <v>154</v>
      </c>
      <c r="I11" s="27">
        <v>20000</v>
      </c>
      <c r="J11" s="29" t="s">
        <v>330</v>
      </c>
      <c r="K11" s="29" t="s">
        <v>328</v>
      </c>
      <c r="L11" s="117">
        <f>IF( Tarakonesh[تراکنش]="", "",IF( Tarakonesh[تراکنش]="انتقال",L10,IF(Tarakonesh[تراکنش]="دریافت_درآمد",(Tarakonesh[[#This Row],[مبلغ (ریال)]]+IF(Tarakonesh[تراکنش]="انتقال",0,L10)),((IF(Tarakonesh[تراکنش]="انتقال",0,L10))-Tarakonesh[[#This Row],[مبلغ (ریال)]]))))</f>
        <v>2940000</v>
      </c>
      <c r="M11" s="33"/>
      <c r="N11" s="33"/>
      <c r="R11" s="111"/>
    </row>
    <row r="12" spans="1:19" x14ac:dyDescent="0.25">
      <c r="A12" s="28">
        <v>5</v>
      </c>
      <c r="B12" s="29"/>
      <c r="C12" s="33"/>
      <c r="D12" s="33"/>
      <c r="E12" s="41" t="s">
        <v>286</v>
      </c>
      <c r="F12" s="29"/>
      <c r="G12" s="29"/>
      <c r="H12" s="29"/>
      <c r="I12" s="27">
        <v>3000</v>
      </c>
      <c r="J12" s="29" t="s">
        <v>328</v>
      </c>
      <c r="K12" s="29" t="s">
        <v>334</v>
      </c>
      <c r="L12" s="117">
        <f>IF( Tarakonesh[تراکنش]="", "",IF( Tarakonesh[تراکنش]="انتقال",L11,IF(Tarakonesh[تراکنش]="دریافت_درآمد",(Tarakonesh[[#This Row],[مبلغ (ریال)]]+IF(Tarakonesh[تراکنش]="انتقال",0,L11)),((IF(Tarakonesh[تراکنش]="انتقال",0,L11))-Tarakonesh[[#This Row],[مبلغ (ریال)]]))))</f>
        <v>2937000</v>
      </c>
      <c r="M12" s="33"/>
      <c r="N12" s="33"/>
    </row>
    <row r="13" spans="1:19" ht="31.5" x14ac:dyDescent="0.25">
      <c r="A13" s="28">
        <v>6</v>
      </c>
      <c r="B13" s="29"/>
      <c r="C13" s="33"/>
      <c r="D13" s="33"/>
      <c r="E13" s="41" t="s">
        <v>310</v>
      </c>
      <c r="F13" s="29"/>
      <c r="G13" s="29"/>
      <c r="H13" s="29"/>
      <c r="I13" s="27">
        <v>500000</v>
      </c>
      <c r="J13" s="29" t="s">
        <v>331</v>
      </c>
      <c r="K13" s="29" t="s">
        <v>138</v>
      </c>
      <c r="L13" s="117">
        <f>IF( Tarakonesh[تراکنش]="", "",IF( Tarakonesh[تراکنش]="انتقال",L12,IF(Tarakonesh[تراکنش]="دریافت_درآمد",(Tarakonesh[[#This Row],[مبلغ (ریال)]]+IF(Tarakonesh[تراکنش]="انتقال",0,L12)),((IF(Tarakonesh[تراکنش]="انتقال",0,L12))-Tarakonesh[[#This Row],[مبلغ (ریال)]]))))</f>
        <v>3437000</v>
      </c>
      <c r="M13" s="33"/>
      <c r="N13" s="33"/>
    </row>
    <row r="14" spans="1:19" x14ac:dyDescent="0.25">
      <c r="A14" s="28">
        <v>7</v>
      </c>
      <c r="B14" s="29"/>
      <c r="C14" s="33"/>
      <c r="D14" s="33"/>
      <c r="E14" s="41" t="s">
        <v>142</v>
      </c>
      <c r="F14" s="29"/>
      <c r="G14" s="29"/>
      <c r="H14" s="29"/>
      <c r="I14" s="27">
        <v>500000</v>
      </c>
      <c r="J14" s="29" t="s">
        <v>329</v>
      </c>
      <c r="K14" s="29" t="s">
        <v>328</v>
      </c>
      <c r="L14" s="117">
        <f>IF( Tarakonesh[تراکنش]="", "",IF( Tarakonesh[تراکنش]="انتقال",L13,IF(Tarakonesh[تراکنش]="دریافت_درآمد",(Tarakonesh[[#This Row],[مبلغ (ریال)]]+IF(Tarakonesh[تراکنش]="انتقال",0,L13)),((IF(Tarakonesh[تراکنش]="انتقال",0,L13))-Tarakonesh[[#This Row],[مبلغ (ریال)]]))))</f>
        <v>3437000</v>
      </c>
      <c r="M14" s="33"/>
      <c r="N14" s="33"/>
    </row>
    <row r="15" spans="1:19" x14ac:dyDescent="0.25">
      <c r="A15" s="28">
        <v>8</v>
      </c>
      <c r="B15" s="29"/>
      <c r="C15" s="33"/>
      <c r="D15" s="33"/>
      <c r="E15" s="41" t="s">
        <v>286</v>
      </c>
      <c r="F15" s="29"/>
      <c r="G15" s="29"/>
      <c r="H15" s="29"/>
      <c r="I15" s="27">
        <v>10000</v>
      </c>
      <c r="J15" s="29" t="s">
        <v>327</v>
      </c>
      <c r="K15" s="29" t="s">
        <v>331</v>
      </c>
      <c r="L15" s="117">
        <f>IF( Tarakonesh[تراکنش]="", "",IF( Tarakonesh[تراکنش]="انتقال",L14,IF(Tarakonesh[تراکنش]="دریافت_درآمد",(Tarakonesh[[#This Row],[مبلغ (ریال)]]+IF(Tarakonesh[تراکنش]="انتقال",0,L14)),((IF(Tarakonesh[تراکنش]="انتقال",0,L14))-Tarakonesh[[#This Row],[مبلغ (ریال)]]))))</f>
        <v>3427000</v>
      </c>
      <c r="M15" s="33"/>
      <c r="N15" s="33"/>
    </row>
    <row r="16" spans="1:19" x14ac:dyDescent="0.25">
      <c r="A16" s="28">
        <v>9</v>
      </c>
      <c r="B16" s="29"/>
      <c r="C16" s="33"/>
      <c r="D16" s="33"/>
      <c r="E16" s="41" t="s">
        <v>286</v>
      </c>
      <c r="F16" s="29"/>
      <c r="G16" s="29"/>
      <c r="H16" s="29"/>
      <c r="I16" s="27">
        <v>3000000</v>
      </c>
      <c r="J16" s="29" t="s">
        <v>328</v>
      </c>
      <c r="K16" s="29" t="s">
        <v>332</v>
      </c>
      <c r="L16" s="117">
        <f>IF( Tarakonesh[تراکنش]="", "",IF( Tarakonesh[تراکنش]="انتقال",L15,IF(Tarakonesh[تراکنش]="دریافت_درآمد",(Tarakonesh[[#This Row],[مبلغ (ریال)]]+IF(Tarakonesh[تراکنش]="انتقال",0,L15)),((IF(Tarakonesh[تراکنش]="انتقال",0,L15))-Tarakonesh[[#This Row],[مبلغ (ریال)]]))))</f>
        <v>427000</v>
      </c>
      <c r="M16" s="33"/>
      <c r="N16" s="33"/>
    </row>
    <row r="17" spans="1:14" ht="31.5" x14ac:dyDescent="0.25">
      <c r="A17" s="28">
        <v>10</v>
      </c>
      <c r="B17" s="29"/>
      <c r="C17" s="33"/>
      <c r="D17" s="33"/>
      <c r="E17" s="41" t="s">
        <v>310</v>
      </c>
      <c r="F17" s="29"/>
      <c r="G17" s="29"/>
      <c r="H17" s="29"/>
      <c r="I17" s="27">
        <v>4000000</v>
      </c>
      <c r="J17" s="29" t="s">
        <v>333</v>
      </c>
      <c r="K17" s="29" t="s">
        <v>138</v>
      </c>
      <c r="L17" s="117">
        <f>IF( Tarakonesh[تراکنش]="", "",IF( Tarakonesh[تراکنش]="انتقال",L16,IF(Tarakonesh[تراکنش]="دریافت_درآمد",(Tarakonesh[[#This Row],[مبلغ (ریال)]]+IF(Tarakonesh[تراکنش]="انتقال",0,L16)),((IF(Tarakonesh[تراکنش]="انتقال",0,L16))-Tarakonesh[[#This Row],[مبلغ (ریال)]]))))</f>
        <v>4427000</v>
      </c>
      <c r="M17" s="33"/>
      <c r="N17" s="33"/>
    </row>
    <row r="18" spans="1:14" x14ac:dyDescent="0.25">
      <c r="A18" s="28">
        <v>11</v>
      </c>
      <c r="B18" s="29" t="s">
        <v>120</v>
      </c>
      <c r="C18" s="33">
        <f>DATE(2021,8,19)</f>
        <v>44427</v>
      </c>
      <c r="D18" s="33"/>
      <c r="E18" s="41" t="s">
        <v>310</v>
      </c>
      <c r="F18" s="29"/>
      <c r="G18" s="29"/>
      <c r="H18" s="29"/>
      <c r="I18" s="27">
        <v>5000</v>
      </c>
      <c r="J18" s="29"/>
      <c r="K18" s="29"/>
      <c r="L18" s="117">
        <f>IF( Tarakonesh[تراکنش]="", "",IF( Tarakonesh[تراکنش]="انتقال",L17,IF(Tarakonesh[تراکنش]="دریافت_درآمد",(Tarakonesh[[#This Row],[مبلغ (ریال)]]+IF(Tarakonesh[تراکنش]="انتقال",0,L17)),((IF(Tarakonesh[تراکنش]="انتقال",0,L17))-Tarakonesh[[#This Row],[مبلغ (ریال)]]))))</f>
        <v>4432000</v>
      </c>
      <c r="M18" s="33"/>
      <c r="N18" s="33"/>
    </row>
    <row r="19" spans="1:14" x14ac:dyDescent="0.25">
      <c r="A19" s="28">
        <v>12</v>
      </c>
      <c r="B19" s="29"/>
      <c r="C19" s="33"/>
      <c r="D19" s="33"/>
      <c r="E19" s="41"/>
      <c r="F19" s="29"/>
      <c r="G19" s="29"/>
      <c r="H19" s="29"/>
      <c r="I19" s="27"/>
      <c r="J19" s="29"/>
      <c r="K19" s="29"/>
      <c r="L19" s="117" t="str">
        <f>IF( Tarakonesh[تراکنش]="", "",IF( Tarakonesh[تراکنش]="انتقال",L18,IF(Tarakonesh[تراکنش]="دریافت_درآمد",(Tarakonesh[[#This Row],[مبلغ (ریال)]]+IF(Tarakonesh[تراکنش]="انتقال",0,L18)),((IF(Tarakonesh[تراکنش]="انتقال",0,L18))-Tarakonesh[[#This Row],[مبلغ (ریال)]]))))</f>
        <v/>
      </c>
      <c r="M19" s="33"/>
      <c r="N19" s="33"/>
    </row>
    <row r="20" spans="1:14" x14ac:dyDescent="0.25">
      <c r="A20" s="28">
        <v>13</v>
      </c>
      <c r="B20" s="29"/>
      <c r="C20" s="33"/>
      <c r="D20" s="33"/>
      <c r="E20" s="41"/>
      <c r="F20" s="29"/>
      <c r="G20" s="29"/>
      <c r="H20" s="29"/>
      <c r="I20" s="27"/>
      <c r="J20" s="29"/>
      <c r="K20" s="29"/>
      <c r="L20" s="117" t="str">
        <f>IF( Tarakonesh[تراکنش]="", "",IF( Tarakonesh[تراکنش]="انتقال",L19,IF(Tarakonesh[تراکنش]="دریافت_درآمد",(Tarakonesh[[#This Row],[مبلغ (ریال)]]+IF(Tarakonesh[تراکنش]="انتقال",0,L19)),((IF(Tarakonesh[تراکنش]="انتقال",0,L19))-Tarakonesh[[#This Row],[مبلغ (ریال)]]))))</f>
        <v/>
      </c>
      <c r="M20" s="33"/>
      <c r="N20" s="33"/>
    </row>
    <row r="21" spans="1:14" x14ac:dyDescent="0.25">
      <c r="A21" s="28">
        <v>14</v>
      </c>
      <c r="B21" s="29"/>
      <c r="C21" s="33" t="s">
        <v>403</v>
      </c>
      <c r="D21" s="33"/>
      <c r="E21" s="41"/>
      <c r="F21" s="29"/>
      <c r="G21" s="29"/>
      <c r="H21" s="29"/>
      <c r="I21" s="27"/>
      <c r="J21" s="29"/>
      <c r="K21" s="29"/>
      <c r="L21" s="117" t="str">
        <f>IF( Tarakonesh[تراکنش]="", "",IF( Tarakonesh[تراکنش]="انتقال",L20,IF(Tarakonesh[تراکنش]="دریافت_درآمد",(Tarakonesh[[#This Row],[مبلغ (ریال)]]+IF(Tarakonesh[تراکنش]="انتقال",0,L20)),((IF(Tarakonesh[تراکنش]="انتقال",0,L20))-Tarakonesh[[#This Row],[مبلغ (ریال)]]))))</f>
        <v/>
      </c>
      <c r="M21" s="33"/>
      <c r="N21" s="33"/>
    </row>
    <row r="22" spans="1:14" x14ac:dyDescent="0.25">
      <c r="A22" s="28">
        <v>15</v>
      </c>
      <c r="B22" s="29"/>
      <c r="C22" s="33"/>
      <c r="D22" s="33"/>
      <c r="E22" s="41"/>
      <c r="F22" s="29"/>
      <c r="G22" s="29"/>
      <c r="H22" s="29"/>
      <c r="I22" s="27"/>
      <c r="J22" s="29"/>
      <c r="K22" s="29"/>
      <c r="L22" s="117" t="str">
        <f>IF( Tarakonesh[تراکنش]="", "",IF( Tarakonesh[تراکنش]="انتقال",L21,IF(Tarakonesh[تراکنش]="دریافت_درآمد",(Tarakonesh[[#This Row],[مبلغ (ریال)]]+IF(Tarakonesh[تراکنش]="انتقال",0,L21)),((IF(Tarakonesh[تراکنش]="انتقال",0,L21))-Tarakonesh[[#This Row],[مبلغ (ریال)]]))))</f>
        <v/>
      </c>
      <c r="M22" s="33"/>
      <c r="N22" s="33"/>
    </row>
    <row r="23" spans="1:14" x14ac:dyDescent="0.25">
      <c r="A23" s="28">
        <v>16</v>
      </c>
      <c r="B23" s="29"/>
      <c r="C23" s="33"/>
      <c r="D23" s="33"/>
      <c r="E23" s="41"/>
      <c r="F23" s="29"/>
      <c r="G23" s="29"/>
      <c r="H23" s="29"/>
      <c r="I23" s="27"/>
      <c r="J23" s="29"/>
      <c r="K23" s="29"/>
      <c r="L23" s="117" t="str">
        <f>IF( Tarakonesh[تراکنش]="", "",IF( Tarakonesh[تراکنش]="انتقال",L22,IF(Tarakonesh[تراکنش]="دریافت_درآمد",(Tarakonesh[[#This Row],[مبلغ (ریال)]]+IF(Tarakonesh[تراکنش]="انتقال",0,L22)),((IF(Tarakonesh[تراکنش]="انتقال",0,L22))-Tarakonesh[[#This Row],[مبلغ (ریال)]]))))</f>
        <v/>
      </c>
      <c r="M23" s="33"/>
      <c r="N23" s="33"/>
    </row>
    <row r="24" spans="1:14" x14ac:dyDescent="0.25">
      <c r="A24" s="28">
        <v>17</v>
      </c>
      <c r="B24" s="29"/>
      <c r="C24" s="33"/>
      <c r="D24" s="33"/>
      <c r="E24" s="41"/>
      <c r="F24" s="29"/>
      <c r="G24" s="29"/>
      <c r="H24" s="29"/>
      <c r="I24" s="27"/>
      <c r="J24" s="29"/>
      <c r="K24" s="29"/>
      <c r="L24" s="117" t="str">
        <f>IF( Tarakonesh[تراکنش]="", "",IF( Tarakonesh[تراکنش]="انتقال",L23,IF(Tarakonesh[تراکنش]="دریافت_درآمد",(Tarakonesh[[#This Row],[مبلغ (ریال)]]+IF(Tarakonesh[تراکنش]="انتقال",0,L23)),((IF(Tarakonesh[تراکنش]="انتقال",0,L23))-Tarakonesh[[#This Row],[مبلغ (ریال)]]))))</f>
        <v/>
      </c>
      <c r="M24" s="33"/>
      <c r="N24" s="33"/>
    </row>
    <row r="25" spans="1:14" x14ac:dyDescent="0.25">
      <c r="A25" s="28">
        <v>18</v>
      </c>
      <c r="B25" s="29"/>
      <c r="C25" s="33"/>
      <c r="D25" s="33"/>
      <c r="E25" s="41"/>
      <c r="F25" s="29"/>
      <c r="G25" s="29"/>
      <c r="H25" s="29"/>
      <c r="I25" s="27"/>
      <c r="J25" s="29"/>
      <c r="K25" s="29"/>
      <c r="L25" s="117" t="str">
        <f>IF( Tarakonesh[تراکنش]="", "",IF( Tarakonesh[تراکنش]="انتقال",L24,IF(Tarakonesh[تراکنش]="دریافت_درآمد",(Tarakonesh[[#This Row],[مبلغ (ریال)]]+IF(Tarakonesh[تراکنش]="انتقال",0,L24)),((IF(Tarakonesh[تراکنش]="انتقال",0,L24))-Tarakonesh[[#This Row],[مبلغ (ریال)]]))))</f>
        <v/>
      </c>
      <c r="M25" s="33"/>
      <c r="N25" s="33"/>
    </row>
    <row r="26" spans="1:14" x14ac:dyDescent="0.25">
      <c r="A26" s="28">
        <v>19</v>
      </c>
      <c r="B26" s="29"/>
      <c r="C26" s="33"/>
      <c r="D26" s="33"/>
      <c r="E26" s="41"/>
      <c r="F26" s="29"/>
      <c r="G26" s="29"/>
      <c r="H26" s="29"/>
      <c r="I26" s="27"/>
      <c r="J26" s="29"/>
      <c r="K26" s="29"/>
      <c r="L26" s="117" t="str">
        <f>IF( Tarakonesh[تراکنش]="", "",IF( Tarakonesh[تراکنش]="انتقال",L25,IF(Tarakonesh[تراکنش]="دریافت_درآمد",(Tarakonesh[[#This Row],[مبلغ (ریال)]]+IF(Tarakonesh[تراکنش]="انتقال",0,L25)),((IF(Tarakonesh[تراکنش]="انتقال",0,L25))-Tarakonesh[[#This Row],[مبلغ (ریال)]]))))</f>
        <v/>
      </c>
      <c r="M26" s="33"/>
      <c r="N26" s="33"/>
    </row>
    <row r="27" spans="1:14" x14ac:dyDescent="0.25">
      <c r="A27" s="28">
        <v>20</v>
      </c>
      <c r="B27" s="29"/>
      <c r="C27" s="33"/>
      <c r="D27" s="33"/>
      <c r="E27" s="41"/>
      <c r="F27" s="29"/>
      <c r="G27" s="29"/>
      <c r="H27" s="29"/>
      <c r="I27" s="27"/>
      <c r="J27" s="29"/>
      <c r="K27" s="29"/>
      <c r="L27" s="117" t="str">
        <f>IF( Tarakonesh[تراکنش]="", "",IF( Tarakonesh[تراکنش]="انتقال",L26,IF(Tarakonesh[تراکنش]="دریافت_درآمد",(Tarakonesh[[#This Row],[مبلغ (ریال)]]+IF(Tarakonesh[تراکنش]="انتقال",0,L26)),((IF(Tarakonesh[تراکنش]="انتقال",0,L26))-Tarakonesh[[#This Row],[مبلغ (ریال)]]))))</f>
        <v/>
      </c>
      <c r="M27" s="33"/>
      <c r="N27" s="33"/>
    </row>
    <row r="28" spans="1:14" x14ac:dyDescent="0.25">
      <c r="A28" s="28">
        <v>21</v>
      </c>
      <c r="B28" s="29"/>
      <c r="C28" s="33"/>
      <c r="D28" s="33"/>
      <c r="E28" s="41"/>
      <c r="F28" s="29"/>
      <c r="G28" s="29"/>
      <c r="H28" s="29"/>
      <c r="I28" s="27"/>
      <c r="J28" s="29"/>
      <c r="K28" s="29"/>
      <c r="L28" s="117" t="str">
        <f>IF( Tarakonesh[تراکنش]="", "",IF( Tarakonesh[تراکنش]="انتقال",L27,IF(Tarakonesh[تراکنش]="دریافت_درآمد",(Tarakonesh[[#This Row],[مبلغ (ریال)]]+IF(Tarakonesh[تراکنش]="انتقال",0,L27)),((IF(Tarakonesh[تراکنش]="انتقال",0,L27))-Tarakonesh[[#This Row],[مبلغ (ریال)]]))))</f>
        <v/>
      </c>
      <c r="M28" s="33"/>
      <c r="N28" s="33"/>
    </row>
    <row r="29" spans="1:14" x14ac:dyDescent="0.25">
      <c r="A29" s="28">
        <v>22</v>
      </c>
      <c r="B29" s="29"/>
      <c r="C29" s="33"/>
      <c r="D29" s="33"/>
      <c r="E29" s="41"/>
      <c r="F29" s="29"/>
      <c r="G29" s="29"/>
      <c r="H29" s="29"/>
      <c r="I29" s="27"/>
      <c r="J29" s="29"/>
      <c r="K29" s="29"/>
      <c r="L29" s="117" t="str">
        <f>IF( Tarakonesh[تراکنش]="", "",IF( Tarakonesh[تراکنش]="انتقال",L28,IF(Tarakonesh[تراکنش]="دریافت_درآمد",(Tarakonesh[[#This Row],[مبلغ (ریال)]]+IF(Tarakonesh[تراکنش]="انتقال",0,L28)),((IF(Tarakonesh[تراکنش]="انتقال",0,L28))-Tarakonesh[[#This Row],[مبلغ (ریال)]]))))</f>
        <v/>
      </c>
      <c r="M29" s="33"/>
      <c r="N29" s="33"/>
    </row>
    <row r="30" spans="1:14" x14ac:dyDescent="0.25">
      <c r="A30" s="28">
        <v>23</v>
      </c>
      <c r="B30" s="29"/>
      <c r="C30" s="33"/>
      <c r="D30" s="33"/>
      <c r="E30" s="41"/>
      <c r="F30" s="29"/>
      <c r="G30" s="29"/>
      <c r="H30" s="29"/>
      <c r="I30" s="27"/>
      <c r="J30" s="29"/>
      <c r="K30" s="29"/>
      <c r="L30" s="117" t="str">
        <f>IF( Tarakonesh[تراکنش]="", "",IF( Tarakonesh[تراکنش]="انتقال",L29,IF(Tarakonesh[تراکنش]="دریافت_درآمد",(Tarakonesh[[#This Row],[مبلغ (ریال)]]+IF(Tarakonesh[تراکنش]="انتقال",0,L29)),((IF(Tarakonesh[تراکنش]="انتقال",0,L29))-Tarakonesh[[#This Row],[مبلغ (ریال)]]))))</f>
        <v/>
      </c>
      <c r="M30" s="33"/>
      <c r="N30" s="33"/>
    </row>
    <row r="31" spans="1:14" x14ac:dyDescent="0.25">
      <c r="A31" s="28">
        <v>24</v>
      </c>
      <c r="B31" s="29"/>
      <c r="C31" s="33"/>
      <c r="D31" s="33"/>
      <c r="E31" s="41"/>
      <c r="F31" s="29"/>
      <c r="G31" s="29"/>
      <c r="H31" s="29"/>
      <c r="I31" s="27"/>
      <c r="J31" s="29"/>
      <c r="K31" s="29"/>
      <c r="L31" s="117" t="str">
        <f>IF( Tarakonesh[تراکنش]="", "",IF( Tarakonesh[تراکنش]="انتقال",L30,IF(Tarakonesh[تراکنش]="دریافت_درآمد",(Tarakonesh[[#This Row],[مبلغ (ریال)]]+IF(Tarakonesh[تراکنش]="انتقال",0,L30)),((IF(Tarakonesh[تراکنش]="انتقال",0,L30))-Tarakonesh[[#This Row],[مبلغ (ریال)]]))))</f>
        <v/>
      </c>
      <c r="M31" s="33"/>
      <c r="N31" s="33"/>
    </row>
    <row r="32" spans="1:14" x14ac:dyDescent="0.25">
      <c r="A32" s="28">
        <v>25</v>
      </c>
      <c r="B32" s="29"/>
      <c r="C32" s="33"/>
      <c r="D32" s="33"/>
      <c r="E32" s="41"/>
      <c r="F32" s="29"/>
      <c r="G32" s="29"/>
      <c r="H32" s="29"/>
      <c r="I32" s="27"/>
      <c r="J32" s="29"/>
      <c r="K32" s="29"/>
      <c r="L32" s="117" t="str">
        <f>IF( Tarakonesh[تراکنش]="", "",IF( Tarakonesh[تراکنش]="انتقال",L31,IF(Tarakonesh[تراکنش]="دریافت_درآمد",(Tarakonesh[[#This Row],[مبلغ (ریال)]]+IF(Tarakonesh[تراکنش]="انتقال",0,L31)),((IF(Tarakonesh[تراکنش]="انتقال",0,L31))-Tarakonesh[[#This Row],[مبلغ (ریال)]]))))</f>
        <v/>
      </c>
      <c r="M32" s="33"/>
      <c r="N32" s="33"/>
    </row>
    <row r="33" spans="1:14" x14ac:dyDescent="0.25">
      <c r="A33" s="28">
        <v>26</v>
      </c>
      <c r="B33" s="29"/>
      <c r="C33" s="33"/>
      <c r="D33" s="33"/>
      <c r="E33" s="41"/>
      <c r="F33" s="29"/>
      <c r="G33" s="29"/>
      <c r="H33" s="29"/>
      <c r="I33" s="27"/>
      <c r="J33" s="29"/>
      <c r="K33" s="29"/>
      <c r="L33" s="117" t="str">
        <f>IF( Tarakonesh[تراکنش]="", "",IF( Tarakonesh[تراکنش]="انتقال",L32,IF(Tarakonesh[تراکنش]="دریافت_درآمد",(Tarakonesh[[#This Row],[مبلغ (ریال)]]+IF(Tarakonesh[تراکنش]="انتقال",0,L32)),((IF(Tarakonesh[تراکنش]="انتقال",0,L32))-Tarakonesh[[#This Row],[مبلغ (ریال)]]))))</f>
        <v/>
      </c>
      <c r="M33" s="33"/>
      <c r="N33" s="33"/>
    </row>
    <row r="34" spans="1:14" x14ac:dyDescent="0.25">
      <c r="A34" s="28">
        <v>27</v>
      </c>
      <c r="B34" s="29"/>
      <c r="C34" s="33"/>
      <c r="D34" s="33"/>
      <c r="E34" s="41"/>
      <c r="F34" s="29"/>
      <c r="G34" s="29"/>
      <c r="H34" s="29"/>
      <c r="I34" s="27"/>
      <c r="J34" s="29"/>
      <c r="K34" s="29"/>
      <c r="L34" s="117" t="str">
        <f>IF( Tarakonesh[تراکنش]="", "",IF( Tarakonesh[تراکنش]="انتقال",L33,IF(Tarakonesh[تراکنش]="دریافت_درآمد",(Tarakonesh[[#This Row],[مبلغ (ریال)]]+IF(Tarakonesh[تراکنش]="انتقال",0,L33)),((IF(Tarakonesh[تراکنش]="انتقال",0,L33))-Tarakonesh[[#This Row],[مبلغ (ریال)]]))))</f>
        <v/>
      </c>
      <c r="M34" s="33"/>
      <c r="N34" s="33"/>
    </row>
    <row r="35" spans="1:14" x14ac:dyDescent="0.25">
      <c r="A35" s="28">
        <v>28</v>
      </c>
      <c r="B35" s="29"/>
      <c r="C35" s="33"/>
      <c r="D35" s="33"/>
      <c r="E35" s="41"/>
      <c r="F35" s="29"/>
      <c r="G35" s="29"/>
      <c r="H35" s="29"/>
      <c r="I35" s="27"/>
      <c r="J35" s="29"/>
      <c r="K35" s="29"/>
      <c r="L35" s="117" t="str">
        <f>IF( Tarakonesh[تراکنش]="", "",IF( Tarakonesh[تراکنش]="انتقال",L34,IF(Tarakonesh[تراکنش]="دریافت_درآمد",(Tarakonesh[[#This Row],[مبلغ (ریال)]]+IF(Tarakonesh[تراکنش]="انتقال",0,L34)),((IF(Tarakonesh[تراکنش]="انتقال",0,L34))-Tarakonesh[[#This Row],[مبلغ (ریال)]]))))</f>
        <v/>
      </c>
      <c r="M35" s="33"/>
      <c r="N35" s="33"/>
    </row>
    <row r="36" spans="1:14" x14ac:dyDescent="0.25">
      <c r="A36" s="28">
        <v>29</v>
      </c>
      <c r="B36" s="29"/>
      <c r="C36" s="33"/>
      <c r="D36" s="33"/>
      <c r="E36" s="41"/>
      <c r="F36" s="29"/>
      <c r="G36" s="29"/>
      <c r="H36" s="29"/>
      <c r="I36" s="27"/>
      <c r="J36" s="29"/>
      <c r="K36" s="29"/>
      <c r="L36" s="117" t="str">
        <f>IF( Tarakonesh[تراکنش]="", "",IF( Tarakonesh[تراکنش]="انتقال",L35,IF(Tarakonesh[تراکنش]="دریافت_درآمد",(Tarakonesh[[#This Row],[مبلغ (ریال)]]+IF(Tarakonesh[تراکنش]="انتقال",0,L35)),((IF(Tarakonesh[تراکنش]="انتقال",0,L35))-Tarakonesh[[#This Row],[مبلغ (ریال)]]))))</f>
        <v/>
      </c>
      <c r="M36" s="33"/>
      <c r="N36" s="33"/>
    </row>
    <row r="37" spans="1:14" x14ac:dyDescent="0.25">
      <c r="A37" s="28">
        <v>30</v>
      </c>
      <c r="B37" s="29"/>
      <c r="C37" s="33"/>
      <c r="D37" s="33"/>
      <c r="E37" s="41"/>
      <c r="F37" s="29"/>
      <c r="G37" s="29"/>
      <c r="H37" s="29"/>
      <c r="I37" s="27"/>
      <c r="J37" s="29"/>
      <c r="K37" s="29"/>
      <c r="L37" s="117" t="str">
        <f>IF( Tarakonesh[تراکنش]="", "",IF( Tarakonesh[تراکنش]="انتقال",L36,IF(Tarakonesh[تراکنش]="دریافت_درآمد",(Tarakonesh[[#This Row],[مبلغ (ریال)]]+IF(Tarakonesh[تراکنش]="انتقال",0,L36)),((IF(Tarakonesh[تراکنش]="انتقال",0,L36))-Tarakonesh[[#This Row],[مبلغ (ریال)]]))))</f>
        <v/>
      </c>
      <c r="M37" s="33"/>
      <c r="N37" s="33"/>
    </row>
    <row r="38" spans="1:14" x14ac:dyDescent="0.25">
      <c r="A38" s="28">
        <v>31</v>
      </c>
      <c r="B38" s="29"/>
      <c r="C38" s="33"/>
      <c r="D38" s="33"/>
      <c r="E38" s="41"/>
      <c r="F38" s="29"/>
      <c r="G38" s="29"/>
      <c r="H38" s="29"/>
      <c r="I38" s="27"/>
      <c r="J38" s="29"/>
      <c r="K38" s="29"/>
      <c r="L38" s="117" t="str">
        <f>IF( Tarakonesh[تراکنش]="", "",IF( Tarakonesh[تراکنش]="انتقال",L37,IF(Tarakonesh[تراکنش]="دریافت_درآمد",(Tarakonesh[[#This Row],[مبلغ (ریال)]]+IF(Tarakonesh[تراکنش]="انتقال",0,L37)),((IF(Tarakonesh[تراکنش]="انتقال",0,L37))-Tarakonesh[[#This Row],[مبلغ (ریال)]]))))</f>
        <v/>
      </c>
      <c r="M38" s="33"/>
      <c r="N38" s="33"/>
    </row>
    <row r="39" spans="1:14" x14ac:dyDescent="0.25">
      <c r="A39" s="28">
        <v>32</v>
      </c>
      <c r="B39" s="29"/>
      <c r="C39" s="33"/>
      <c r="D39" s="33"/>
      <c r="E39" s="41"/>
      <c r="F39" s="29"/>
      <c r="G39" s="29"/>
      <c r="H39" s="29"/>
      <c r="I39" s="27"/>
      <c r="J39" s="29"/>
      <c r="K39" s="29"/>
      <c r="L39" s="117" t="str">
        <f>IF( Tarakonesh[تراکنش]="", "",IF( Tarakonesh[تراکنش]="انتقال",L38,IF(Tarakonesh[تراکنش]="دریافت_درآمد",(Tarakonesh[[#This Row],[مبلغ (ریال)]]+IF(Tarakonesh[تراکنش]="انتقال",0,L38)),((IF(Tarakonesh[تراکنش]="انتقال",0,L38))-Tarakonesh[[#This Row],[مبلغ (ریال)]]))))</f>
        <v/>
      </c>
      <c r="M39" s="33"/>
      <c r="N39" s="33"/>
    </row>
    <row r="40" spans="1:14" x14ac:dyDescent="0.25">
      <c r="A40" s="28">
        <v>33</v>
      </c>
      <c r="B40" s="29"/>
      <c r="C40" s="33"/>
      <c r="D40" s="33"/>
      <c r="E40" s="41"/>
      <c r="F40" s="29"/>
      <c r="G40" s="29"/>
      <c r="H40" s="29"/>
      <c r="I40" s="27"/>
      <c r="J40" s="29"/>
      <c r="K40" s="29"/>
      <c r="L40" s="117" t="str">
        <f>IF( Tarakonesh[تراکنش]="", "",IF( Tarakonesh[تراکنش]="انتقال",L39,IF(Tarakonesh[تراکنش]="دریافت_درآمد",(Tarakonesh[[#This Row],[مبلغ (ریال)]]+IF(Tarakonesh[تراکنش]="انتقال",0,L39)),((IF(Tarakonesh[تراکنش]="انتقال",0,L39))-Tarakonesh[[#This Row],[مبلغ (ریال)]]))))</f>
        <v/>
      </c>
      <c r="M40" s="33"/>
      <c r="N40" s="33"/>
    </row>
    <row r="41" spans="1:14" x14ac:dyDescent="0.25">
      <c r="A41" s="28">
        <v>34</v>
      </c>
      <c r="B41" s="29"/>
      <c r="C41" s="33"/>
      <c r="D41" s="33"/>
      <c r="E41" s="41"/>
      <c r="F41" s="29"/>
      <c r="G41" s="29"/>
      <c r="H41" s="29"/>
      <c r="I41" s="27"/>
      <c r="J41" s="29"/>
      <c r="K41" s="29"/>
      <c r="L41" s="117" t="str">
        <f>IF( Tarakonesh[تراکنش]="", "",IF( Tarakonesh[تراکنش]="انتقال",L40,IF(Tarakonesh[تراکنش]="دریافت_درآمد",(Tarakonesh[[#This Row],[مبلغ (ریال)]]+IF(Tarakonesh[تراکنش]="انتقال",0,L40)),((IF(Tarakonesh[تراکنش]="انتقال",0,L40))-Tarakonesh[[#This Row],[مبلغ (ریال)]]))))</f>
        <v/>
      </c>
      <c r="M41" s="33"/>
      <c r="N41" s="33"/>
    </row>
    <row r="42" spans="1:14" x14ac:dyDescent="0.25">
      <c r="A42" s="28">
        <v>35</v>
      </c>
      <c r="B42" s="29"/>
      <c r="C42" s="33"/>
      <c r="D42" s="33"/>
      <c r="E42" s="41"/>
      <c r="F42" s="29"/>
      <c r="G42" s="29"/>
      <c r="H42" s="29"/>
      <c r="I42" s="27"/>
      <c r="J42" s="29"/>
      <c r="K42" s="29"/>
      <c r="L42" s="117" t="str">
        <f>IF( Tarakonesh[تراکنش]="", "",IF( Tarakonesh[تراکنش]="انتقال",L41,IF(Tarakonesh[تراکنش]="دریافت_درآمد",(Tarakonesh[[#This Row],[مبلغ (ریال)]]+IF(Tarakonesh[تراکنش]="انتقال",0,L41)),((IF(Tarakonesh[تراکنش]="انتقال",0,L41))-Tarakonesh[[#This Row],[مبلغ (ریال)]]))))</f>
        <v/>
      </c>
      <c r="M42" s="33"/>
      <c r="N42" s="33"/>
    </row>
    <row r="43" spans="1:14" x14ac:dyDescent="0.25">
      <c r="A43" s="28">
        <v>36</v>
      </c>
      <c r="B43" s="29"/>
      <c r="C43" s="33"/>
      <c r="D43" s="33"/>
      <c r="E43" s="41"/>
      <c r="F43" s="29"/>
      <c r="G43" s="29"/>
      <c r="H43" s="29"/>
      <c r="I43" s="27"/>
      <c r="J43" s="29"/>
      <c r="K43" s="29"/>
      <c r="L43" s="117" t="str">
        <f>IF( Tarakonesh[تراکنش]="", "",IF( Tarakonesh[تراکنش]="انتقال",L42,IF(Tarakonesh[تراکنش]="دریافت_درآمد",(Tarakonesh[[#This Row],[مبلغ (ریال)]]+IF(Tarakonesh[تراکنش]="انتقال",0,L42)),((IF(Tarakonesh[تراکنش]="انتقال",0,L42))-Tarakonesh[[#This Row],[مبلغ (ریال)]]))))</f>
        <v/>
      </c>
      <c r="M43" s="33"/>
      <c r="N43" s="33"/>
    </row>
    <row r="44" spans="1:14" x14ac:dyDescent="0.25">
      <c r="A44" s="28">
        <v>37</v>
      </c>
      <c r="B44" s="29"/>
      <c r="C44" s="33"/>
      <c r="D44" s="33"/>
      <c r="E44" s="41"/>
      <c r="F44" s="29"/>
      <c r="G44" s="29"/>
      <c r="H44" s="29"/>
      <c r="I44" s="27"/>
      <c r="J44" s="29"/>
      <c r="K44" s="29"/>
      <c r="L44" s="117" t="str">
        <f>IF( Tarakonesh[تراکنش]="", "",IF( Tarakonesh[تراکنش]="انتقال",L43,IF(Tarakonesh[تراکنش]="دریافت_درآمد",(Tarakonesh[[#This Row],[مبلغ (ریال)]]+IF(Tarakonesh[تراکنش]="انتقال",0,L43)),((IF(Tarakonesh[تراکنش]="انتقال",0,L43))-Tarakonesh[[#This Row],[مبلغ (ریال)]]))))</f>
        <v/>
      </c>
      <c r="M44" s="33"/>
      <c r="N44" s="33"/>
    </row>
    <row r="45" spans="1:14" x14ac:dyDescent="0.25">
      <c r="A45" s="28">
        <v>38</v>
      </c>
      <c r="B45" s="29"/>
      <c r="C45" s="33"/>
      <c r="D45" s="33"/>
      <c r="E45" s="41"/>
      <c r="F45" s="29"/>
      <c r="G45" s="29"/>
      <c r="H45" s="29"/>
      <c r="I45" s="27"/>
      <c r="J45" s="29"/>
      <c r="K45" s="29"/>
      <c r="L45" s="117" t="str">
        <f>IF( Tarakonesh[تراکنش]="", "",IF( Tarakonesh[تراکنش]="انتقال",L44,IF(Tarakonesh[تراکنش]="دریافت_درآمد",(Tarakonesh[[#This Row],[مبلغ (ریال)]]+IF(Tarakonesh[تراکنش]="انتقال",0,L44)),((IF(Tarakonesh[تراکنش]="انتقال",0,L44))-Tarakonesh[[#This Row],[مبلغ (ریال)]]))))</f>
        <v/>
      </c>
      <c r="M45" s="33"/>
      <c r="N45" s="33"/>
    </row>
    <row r="46" spans="1:14" x14ac:dyDescent="0.25">
      <c r="A46" s="28">
        <v>39</v>
      </c>
      <c r="B46" s="29"/>
      <c r="C46" s="33"/>
      <c r="D46" s="33"/>
      <c r="E46" s="41"/>
      <c r="F46" s="29"/>
      <c r="G46" s="29"/>
      <c r="H46" s="29"/>
      <c r="I46" s="27"/>
      <c r="J46" s="29"/>
      <c r="K46" s="29"/>
      <c r="L46" s="117" t="str">
        <f>IF( Tarakonesh[تراکنش]="", "",IF( Tarakonesh[تراکنش]="انتقال",L45,IF(Tarakonesh[تراکنش]="دریافت_درآمد",(Tarakonesh[[#This Row],[مبلغ (ریال)]]+IF(Tarakonesh[تراکنش]="انتقال",0,L45)),((IF(Tarakonesh[تراکنش]="انتقال",0,L45))-Tarakonesh[[#This Row],[مبلغ (ریال)]]))))</f>
        <v/>
      </c>
      <c r="M46" s="33"/>
      <c r="N46" s="33"/>
    </row>
    <row r="47" spans="1:14" x14ac:dyDescent="0.25">
      <c r="A47" s="28">
        <v>40</v>
      </c>
      <c r="B47" s="29"/>
      <c r="C47" s="33"/>
      <c r="D47" s="33"/>
      <c r="E47" s="41"/>
      <c r="F47" s="29"/>
      <c r="G47" s="29"/>
      <c r="H47" s="29"/>
      <c r="I47" s="27"/>
      <c r="J47" s="29"/>
      <c r="K47" s="29"/>
      <c r="L47" s="117" t="str">
        <f>IF( Tarakonesh[تراکنش]="", "",IF( Tarakonesh[تراکنش]="انتقال",L46,IF(Tarakonesh[تراکنش]="دریافت_درآمد",(Tarakonesh[[#This Row],[مبلغ (ریال)]]+IF(Tarakonesh[تراکنش]="انتقال",0,L46)),((IF(Tarakonesh[تراکنش]="انتقال",0,L46))-Tarakonesh[[#This Row],[مبلغ (ریال)]]))))</f>
        <v/>
      </c>
      <c r="M47" s="33"/>
      <c r="N47" s="33"/>
    </row>
    <row r="48" spans="1:14" x14ac:dyDescent="0.25">
      <c r="A48" s="28">
        <v>41</v>
      </c>
      <c r="B48" s="29"/>
      <c r="C48" s="33"/>
      <c r="D48" s="33"/>
      <c r="E48" s="41"/>
      <c r="F48" s="29"/>
      <c r="G48" s="29"/>
      <c r="H48" s="29"/>
      <c r="I48" s="27"/>
      <c r="J48" s="29"/>
      <c r="K48" s="29"/>
      <c r="L48" s="117" t="str">
        <f>IF( Tarakonesh[تراکنش]="", "",IF( Tarakonesh[تراکنش]="انتقال",L47,IF(Tarakonesh[تراکنش]="دریافت_درآمد",(Tarakonesh[[#This Row],[مبلغ (ریال)]]+IF(Tarakonesh[تراکنش]="انتقال",0,L47)),((IF(Tarakonesh[تراکنش]="انتقال",0,L47))-Tarakonesh[[#This Row],[مبلغ (ریال)]]))))</f>
        <v/>
      </c>
      <c r="M48" s="33"/>
      <c r="N48" s="33"/>
    </row>
    <row r="49" spans="1:14" x14ac:dyDescent="0.25">
      <c r="A49" s="28">
        <v>42</v>
      </c>
      <c r="B49" s="29"/>
      <c r="C49" s="33"/>
      <c r="D49" s="33"/>
      <c r="E49" s="41"/>
      <c r="F49" s="29"/>
      <c r="G49" s="29"/>
      <c r="H49" s="29"/>
      <c r="I49" s="27"/>
      <c r="J49" s="29"/>
      <c r="K49" s="29"/>
      <c r="L49" s="117" t="str">
        <f>IF( Tarakonesh[تراکنش]="", "",IF( Tarakonesh[تراکنش]="انتقال",L48,IF(Tarakonesh[تراکنش]="دریافت_درآمد",(Tarakonesh[[#This Row],[مبلغ (ریال)]]+IF(Tarakonesh[تراکنش]="انتقال",0,L48)),((IF(Tarakonesh[تراکنش]="انتقال",0,L48))-Tarakonesh[[#This Row],[مبلغ (ریال)]]))))</f>
        <v/>
      </c>
      <c r="M49" s="33"/>
      <c r="N49" s="33"/>
    </row>
    <row r="50" spans="1:14" x14ac:dyDescent="0.25">
      <c r="A50" s="28">
        <v>43</v>
      </c>
      <c r="B50" s="29"/>
      <c r="C50" s="33"/>
      <c r="D50" s="33"/>
      <c r="E50" s="41"/>
      <c r="F50" s="29"/>
      <c r="G50" s="29"/>
      <c r="H50" s="29"/>
      <c r="I50" s="27"/>
      <c r="J50" s="29"/>
      <c r="K50" s="29"/>
      <c r="L50" s="117" t="str">
        <f>IF( Tarakonesh[تراکنش]="", "",IF( Tarakonesh[تراکنش]="انتقال",L49,IF(Tarakonesh[تراکنش]="دریافت_درآمد",(Tarakonesh[[#This Row],[مبلغ (ریال)]]+IF(Tarakonesh[تراکنش]="انتقال",0,L49)),((IF(Tarakonesh[تراکنش]="انتقال",0,L49))-Tarakonesh[[#This Row],[مبلغ (ریال)]]))))</f>
        <v/>
      </c>
      <c r="M50" s="33"/>
      <c r="N50" s="33"/>
    </row>
    <row r="51" spans="1:14" x14ac:dyDescent="0.25">
      <c r="A51" s="28">
        <v>44</v>
      </c>
      <c r="B51" s="29"/>
      <c r="C51" s="33"/>
      <c r="D51" s="33"/>
      <c r="E51" s="41"/>
      <c r="F51" s="29"/>
      <c r="G51" s="29"/>
      <c r="H51" s="29"/>
      <c r="I51" s="27"/>
      <c r="J51" s="29"/>
      <c r="K51" s="29"/>
      <c r="L51" s="117" t="str">
        <f>IF( Tarakonesh[تراکنش]="", "",IF( Tarakonesh[تراکنش]="انتقال",L50,IF(Tarakonesh[تراکنش]="دریافت_درآمد",(Tarakonesh[[#This Row],[مبلغ (ریال)]]+IF(Tarakonesh[تراکنش]="انتقال",0,L50)),((IF(Tarakonesh[تراکنش]="انتقال",0,L50))-Tarakonesh[[#This Row],[مبلغ (ریال)]]))))</f>
        <v/>
      </c>
      <c r="M51" s="33"/>
      <c r="N51" s="33"/>
    </row>
    <row r="52" spans="1:14" x14ac:dyDescent="0.25">
      <c r="A52" s="28">
        <v>45</v>
      </c>
      <c r="B52" s="29"/>
      <c r="C52" s="33"/>
      <c r="D52" s="33"/>
      <c r="E52" s="41"/>
      <c r="F52" s="29"/>
      <c r="G52" s="29"/>
      <c r="H52" s="29"/>
      <c r="I52" s="27"/>
      <c r="J52" s="29"/>
      <c r="K52" s="29"/>
      <c r="L52" s="117" t="str">
        <f>IF( Tarakonesh[تراکنش]="", "",IF( Tarakonesh[تراکنش]="انتقال",L51,IF(Tarakonesh[تراکنش]="دریافت_درآمد",(Tarakonesh[[#This Row],[مبلغ (ریال)]]+IF(Tarakonesh[تراکنش]="انتقال",0,L51)),((IF(Tarakonesh[تراکنش]="انتقال",0,L51))-Tarakonesh[[#This Row],[مبلغ (ریال)]]))))</f>
        <v/>
      </c>
      <c r="M52" s="33"/>
      <c r="N52" s="33"/>
    </row>
    <row r="53" spans="1:14" x14ac:dyDescent="0.25">
      <c r="A53" s="28">
        <v>46</v>
      </c>
      <c r="B53" s="29"/>
      <c r="C53" s="33"/>
      <c r="D53" s="33"/>
      <c r="E53" s="41"/>
      <c r="F53" s="29"/>
      <c r="G53" s="29"/>
      <c r="H53" s="29"/>
      <c r="I53" s="27"/>
      <c r="J53" s="29"/>
      <c r="K53" s="29"/>
      <c r="L53" s="117" t="str">
        <f>IF( Tarakonesh[تراکنش]="", "",IF( Tarakonesh[تراکنش]="انتقال",L52,IF(Tarakonesh[تراکنش]="دریافت_درآمد",(Tarakonesh[[#This Row],[مبلغ (ریال)]]+IF(Tarakonesh[تراکنش]="انتقال",0,L52)),((IF(Tarakonesh[تراکنش]="انتقال",0,L52))-Tarakonesh[[#This Row],[مبلغ (ریال)]]))))</f>
        <v/>
      </c>
      <c r="M53" s="33"/>
      <c r="N53" s="33"/>
    </row>
    <row r="54" spans="1:14" x14ac:dyDescent="0.25">
      <c r="A54" s="28">
        <v>47</v>
      </c>
      <c r="B54" s="29"/>
      <c r="C54" s="33"/>
      <c r="D54" s="33"/>
      <c r="E54" s="41"/>
      <c r="F54" s="29"/>
      <c r="G54" s="29"/>
      <c r="H54" s="29"/>
      <c r="I54" s="27"/>
      <c r="J54" s="29"/>
      <c r="K54" s="29"/>
      <c r="L54" s="117" t="str">
        <f>IF( Tarakonesh[تراکنش]="", "",IF( Tarakonesh[تراکنش]="انتقال",L53,IF(Tarakonesh[تراکنش]="دریافت_درآمد",(Tarakonesh[[#This Row],[مبلغ (ریال)]]+IF(Tarakonesh[تراکنش]="انتقال",0,L53)),((IF(Tarakonesh[تراکنش]="انتقال",0,L53))-Tarakonesh[[#This Row],[مبلغ (ریال)]]))))</f>
        <v/>
      </c>
      <c r="M54" s="33"/>
      <c r="N54" s="33"/>
    </row>
    <row r="55" spans="1:14" x14ac:dyDescent="0.25">
      <c r="A55" s="28">
        <v>48</v>
      </c>
      <c r="B55" s="29"/>
      <c r="C55" s="33"/>
      <c r="D55" s="33"/>
      <c r="E55" s="41"/>
      <c r="F55" s="29"/>
      <c r="G55" s="29"/>
      <c r="H55" s="29"/>
      <c r="I55" s="27"/>
      <c r="J55" s="29"/>
      <c r="K55" s="29"/>
      <c r="L55" s="117" t="str">
        <f>IF( Tarakonesh[تراکنش]="", "",IF( Tarakonesh[تراکنش]="انتقال",L54,IF(Tarakonesh[تراکنش]="دریافت_درآمد",(Tarakonesh[[#This Row],[مبلغ (ریال)]]+IF(Tarakonesh[تراکنش]="انتقال",0,L54)),((IF(Tarakonesh[تراکنش]="انتقال",0,L54))-Tarakonesh[[#This Row],[مبلغ (ریال)]]))))</f>
        <v/>
      </c>
      <c r="M55" s="33"/>
      <c r="N55" s="33"/>
    </row>
    <row r="56" spans="1:14" x14ac:dyDescent="0.25">
      <c r="A56" s="28">
        <v>49</v>
      </c>
      <c r="B56" s="29"/>
      <c r="C56" s="33"/>
      <c r="D56" s="33"/>
      <c r="E56" s="41"/>
      <c r="F56" s="29"/>
      <c r="G56" s="29"/>
      <c r="H56" s="29"/>
      <c r="I56" s="27"/>
      <c r="J56" s="29"/>
      <c r="K56" s="29"/>
      <c r="L56" s="117" t="str">
        <f>IF( Tarakonesh[تراکنش]="", "",IF( Tarakonesh[تراکنش]="انتقال",L55,IF(Tarakonesh[تراکنش]="دریافت_درآمد",(Tarakonesh[[#This Row],[مبلغ (ریال)]]+IF(Tarakonesh[تراکنش]="انتقال",0,L55)),((IF(Tarakonesh[تراکنش]="انتقال",0,L55))-Tarakonesh[[#This Row],[مبلغ (ریال)]]))))</f>
        <v/>
      </c>
      <c r="M56" s="33"/>
      <c r="N56" s="33"/>
    </row>
    <row r="57" spans="1:14" x14ac:dyDescent="0.25">
      <c r="A57" s="28">
        <v>50</v>
      </c>
      <c r="B57" s="29"/>
      <c r="C57" s="33"/>
      <c r="D57" s="33"/>
      <c r="E57" s="41"/>
      <c r="F57" s="29"/>
      <c r="G57" s="29"/>
      <c r="H57" s="29"/>
      <c r="I57" s="27"/>
      <c r="J57" s="29"/>
      <c r="K57" s="29"/>
      <c r="L57" s="117" t="str">
        <f>IF( Tarakonesh[تراکنش]="", "",IF( Tarakonesh[تراکنش]="انتقال",L56,IF(Tarakonesh[تراکنش]="دریافت_درآمد",(Tarakonesh[[#This Row],[مبلغ (ریال)]]+IF(Tarakonesh[تراکنش]="انتقال",0,L56)),((IF(Tarakonesh[تراکنش]="انتقال",0,L56))-Tarakonesh[[#This Row],[مبلغ (ریال)]]))))</f>
        <v/>
      </c>
      <c r="M57" s="33"/>
      <c r="N57" s="33"/>
    </row>
    <row r="58" spans="1:14" x14ac:dyDescent="0.25">
      <c r="A58" s="28">
        <v>51</v>
      </c>
      <c r="B58" s="29"/>
      <c r="C58" s="33"/>
      <c r="D58" s="33"/>
      <c r="E58" s="41"/>
      <c r="F58" s="29"/>
      <c r="G58" s="29"/>
      <c r="H58" s="29"/>
      <c r="I58" s="27"/>
      <c r="J58" s="29"/>
      <c r="K58" s="29"/>
      <c r="L58" s="117" t="str">
        <f>IF( Tarakonesh[تراکنش]="", "",IF( Tarakonesh[تراکنش]="انتقال",L57,IF(Tarakonesh[تراکنش]="دریافت_درآمد",(Tarakonesh[[#This Row],[مبلغ (ریال)]]+IF(Tarakonesh[تراکنش]="انتقال",0,L57)),((IF(Tarakonesh[تراکنش]="انتقال",0,L57))-Tarakonesh[[#This Row],[مبلغ (ریال)]]))))</f>
        <v/>
      </c>
      <c r="M58" s="33"/>
      <c r="N58" s="33"/>
    </row>
    <row r="59" spans="1:14" x14ac:dyDescent="0.25">
      <c r="A59" s="28">
        <v>52</v>
      </c>
      <c r="B59" s="29"/>
      <c r="C59" s="33"/>
      <c r="D59" s="33"/>
      <c r="E59" s="41"/>
      <c r="F59" s="29"/>
      <c r="G59" s="29"/>
      <c r="H59" s="29"/>
      <c r="I59" s="27"/>
      <c r="J59" s="29"/>
      <c r="K59" s="29"/>
      <c r="L59" s="117" t="str">
        <f>IF( Tarakonesh[تراکنش]="", "",IF( Tarakonesh[تراکنش]="انتقال",L58,IF(Tarakonesh[تراکنش]="دریافت_درآمد",(Tarakonesh[[#This Row],[مبلغ (ریال)]]+IF(Tarakonesh[تراکنش]="انتقال",0,L58)),((IF(Tarakonesh[تراکنش]="انتقال",0,L58))-Tarakonesh[[#This Row],[مبلغ (ریال)]]))))</f>
        <v/>
      </c>
      <c r="M59" s="33"/>
      <c r="N59" s="33"/>
    </row>
    <row r="60" spans="1:14" x14ac:dyDescent="0.25">
      <c r="A60" s="28">
        <v>53</v>
      </c>
      <c r="B60" s="29"/>
      <c r="C60" s="33"/>
      <c r="D60" s="33"/>
      <c r="E60" s="41"/>
      <c r="F60" s="29"/>
      <c r="G60" s="29"/>
      <c r="H60" s="29"/>
      <c r="I60" s="27"/>
      <c r="J60" s="29"/>
      <c r="K60" s="29"/>
      <c r="L60" s="117" t="str">
        <f>IF( Tarakonesh[تراکنش]="", "",IF( Tarakonesh[تراکنش]="انتقال",L59,IF(Tarakonesh[تراکنش]="دریافت_درآمد",(Tarakonesh[[#This Row],[مبلغ (ریال)]]+IF(Tarakonesh[تراکنش]="انتقال",0,L59)),((IF(Tarakonesh[تراکنش]="انتقال",0,L59))-Tarakonesh[[#This Row],[مبلغ (ریال)]]))))</f>
        <v/>
      </c>
      <c r="M60" s="33"/>
      <c r="N60" s="33"/>
    </row>
    <row r="61" spans="1:14" x14ac:dyDescent="0.25">
      <c r="A61" s="28">
        <v>54</v>
      </c>
      <c r="B61" s="29"/>
      <c r="C61" s="33"/>
      <c r="D61" s="33"/>
      <c r="E61" s="41"/>
      <c r="F61" s="29"/>
      <c r="G61" s="29"/>
      <c r="H61" s="29"/>
      <c r="I61" s="27"/>
      <c r="J61" s="29"/>
      <c r="K61" s="29"/>
      <c r="L61" s="117" t="str">
        <f>IF( Tarakonesh[تراکنش]="", "",IF( Tarakonesh[تراکنش]="انتقال",L60,IF(Tarakonesh[تراکنش]="دریافت_درآمد",(Tarakonesh[[#This Row],[مبلغ (ریال)]]+IF(Tarakonesh[تراکنش]="انتقال",0,L60)),((IF(Tarakonesh[تراکنش]="انتقال",0,L60))-Tarakonesh[[#This Row],[مبلغ (ریال)]]))))</f>
        <v/>
      </c>
      <c r="M61" s="33"/>
      <c r="N61" s="33"/>
    </row>
    <row r="62" spans="1:14" x14ac:dyDescent="0.25">
      <c r="A62" s="28">
        <v>55</v>
      </c>
      <c r="B62" s="29"/>
      <c r="C62" s="33"/>
      <c r="D62" s="33"/>
      <c r="E62" s="41"/>
      <c r="F62" s="29"/>
      <c r="G62" s="29"/>
      <c r="H62" s="29"/>
      <c r="I62" s="27"/>
      <c r="J62" s="29"/>
      <c r="K62" s="29"/>
      <c r="L62" s="117" t="str">
        <f>IF( Tarakonesh[تراکنش]="", "",IF( Tarakonesh[تراکنش]="انتقال",L61,IF(Tarakonesh[تراکنش]="دریافت_درآمد",(Tarakonesh[[#This Row],[مبلغ (ریال)]]+IF(Tarakonesh[تراکنش]="انتقال",0,L61)),((IF(Tarakonesh[تراکنش]="انتقال",0,L61))-Tarakonesh[[#This Row],[مبلغ (ریال)]]))))</f>
        <v/>
      </c>
      <c r="M62" s="33"/>
      <c r="N62" s="33"/>
    </row>
    <row r="63" spans="1:14" x14ac:dyDescent="0.25">
      <c r="A63" s="28">
        <v>56</v>
      </c>
      <c r="B63" s="29"/>
      <c r="C63" s="33"/>
      <c r="D63" s="33"/>
      <c r="E63" s="41"/>
      <c r="F63" s="29"/>
      <c r="G63" s="29"/>
      <c r="H63" s="29"/>
      <c r="I63" s="27"/>
      <c r="J63" s="29"/>
      <c r="K63" s="29"/>
      <c r="L63" s="117" t="str">
        <f>IF( Tarakonesh[تراکنش]="", "",IF( Tarakonesh[تراکنش]="انتقال",L62,IF(Tarakonesh[تراکنش]="دریافت_درآمد",(Tarakonesh[[#This Row],[مبلغ (ریال)]]+IF(Tarakonesh[تراکنش]="انتقال",0,L62)),((IF(Tarakonesh[تراکنش]="انتقال",0,L62))-Tarakonesh[[#This Row],[مبلغ (ریال)]]))))</f>
        <v/>
      </c>
      <c r="M63" s="33"/>
      <c r="N63" s="33"/>
    </row>
    <row r="64" spans="1:14" x14ac:dyDescent="0.25">
      <c r="A64" s="28">
        <v>57</v>
      </c>
      <c r="B64" s="29"/>
      <c r="C64" s="33"/>
      <c r="D64" s="33"/>
      <c r="E64" s="41"/>
      <c r="F64" s="29"/>
      <c r="G64" s="29"/>
      <c r="H64" s="29"/>
      <c r="I64" s="27"/>
      <c r="J64" s="29"/>
      <c r="K64" s="29"/>
      <c r="L64" s="117" t="str">
        <f>IF( Tarakonesh[تراکنش]="", "",IF( Tarakonesh[تراکنش]="انتقال",L63,IF(Tarakonesh[تراکنش]="دریافت_درآمد",(Tarakonesh[[#This Row],[مبلغ (ریال)]]+IF(Tarakonesh[تراکنش]="انتقال",0,L63)),((IF(Tarakonesh[تراکنش]="انتقال",0,L63))-Tarakonesh[[#This Row],[مبلغ (ریال)]]))))</f>
        <v/>
      </c>
      <c r="M64" s="33"/>
      <c r="N64" s="33"/>
    </row>
    <row r="65" spans="1:14" x14ac:dyDescent="0.25">
      <c r="A65" s="28">
        <v>58</v>
      </c>
      <c r="B65" s="29"/>
      <c r="C65" s="33"/>
      <c r="D65" s="33"/>
      <c r="E65" s="41"/>
      <c r="F65" s="29"/>
      <c r="G65" s="29"/>
      <c r="H65" s="29"/>
      <c r="I65" s="27"/>
      <c r="J65" s="29"/>
      <c r="K65" s="29"/>
      <c r="L65" s="117" t="str">
        <f>IF( Tarakonesh[تراکنش]="", "",IF( Tarakonesh[تراکنش]="انتقال",L64,IF(Tarakonesh[تراکنش]="دریافت_درآمد",(Tarakonesh[[#This Row],[مبلغ (ریال)]]+IF(Tarakonesh[تراکنش]="انتقال",0,L64)),((IF(Tarakonesh[تراکنش]="انتقال",0,L64))-Tarakonesh[[#This Row],[مبلغ (ریال)]]))))</f>
        <v/>
      </c>
      <c r="M65" s="33"/>
      <c r="N65" s="33"/>
    </row>
    <row r="66" spans="1:14" x14ac:dyDescent="0.25">
      <c r="A66" s="28">
        <v>59</v>
      </c>
      <c r="B66" s="29"/>
      <c r="C66" s="33"/>
      <c r="D66" s="33"/>
      <c r="E66" s="41"/>
      <c r="F66" s="29"/>
      <c r="G66" s="29"/>
      <c r="H66" s="29"/>
      <c r="I66" s="27"/>
      <c r="J66" s="29"/>
      <c r="K66" s="29"/>
      <c r="L66" s="117" t="str">
        <f>IF( Tarakonesh[تراکنش]="", "",IF( Tarakonesh[تراکنش]="انتقال",L65,IF(Tarakonesh[تراکنش]="دریافت_درآمد",(Tarakonesh[[#This Row],[مبلغ (ریال)]]+IF(Tarakonesh[تراکنش]="انتقال",0,L65)),((IF(Tarakonesh[تراکنش]="انتقال",0,L65))-Tarakonesh[[#This Row],[مبلغ (ریال)]]))))</f>
        <v/>
      </c>
      <c r="M66" s="33"/>
      <c r="N66" s="33"/>
    </row>
    <row r="67" spans="1:14" x14ac:dyDescent="0.25">
      <c r="A67" s="28">
        <v>60</v>
      </c>
      <c r="B67" s="29"/>
      <c r="C67" s="33"/>
      <c r="D67" s="33"/>
      <c r="E67" s="41"/>
      <c r="F67" s="29"/>
      <c r="G67" s="29"/>
      <c r="H67" s="29"/>
      <c r="I67" s="27"/>
      <c r="J67" s="29"/>
      <c r="K67" s="29"/>
      <c r="L67" s="117" t="str">
        <f>IF( Tarakonesh[تراکنش]="", "",IF( Tarakonesh[تراکنش]="انتقال",L66,IF(Tarakonesh[تراکنش]="دریافت_درآمد",(Tarakonesh[[#This Row],[مبلغ (ریال)]]+IF(Tarakonesh[تراکنش]="انتقال",0,L66)),((IF(Tarakonesh[تراکنش]="انتقال",0,L66))-Tarakonesh[[#This Row],[مبلغ (ریال)]]))))</f>
        <v/>
      </c>
      <c r="M67" s="33"/>
      <c r="N67" s="33"/>
    </row>
    <row r="68" spans="1:14" x14ac:dyDescent="0.25">
      <c r="A68" s="28">
        <v>61</v>
      </c>
      <c r="B68" s="29"/>
      <c r="C68" s="33"/>
      <c r="D68" s="33"/>
      <c r="E68" s="41"/>
      <c r="F68" s="29"/>
      <c r="G68" s="29"/>
      <c r="H68" s="29"/>
      <c r="I68" s="27"/>
      <c r="J68" s="29"/>
      <c r="K68" s="29"/>
      <c r="L68" s="117" t="str">
        <f>IF( Tarakonesh[تراکنش]="", "",IF( Tarakonesh[تراکنش]="انتقال",L67,IF(Tarakonesh[تراکنش]="دریافت_درآمد",(Tarakonesh[[#This Row],[مبلغ (ریال)]]+IF(Tarakonesh[تراکنش]="انتقال",0,L67)),((IF(Tarakonesh[تراکنش]="انتقال",0,L67))-Tarakonesh[[#This Row],[مبلغ (ریال)]]))))</f>
        <v/>
      </c>
      <c r="M68" s="33"/>
      <c r="N68" s="33"/>
    </row>
    <row r="69" spans="1:14" x14ac:dyDescent="0.25">
      <c r="A69" s="28">
        <v>62</v>
      </c>
      <c r="B69" s="29"/>
      <c r="C69" s="33"/>
      <c r="D69" s="33"/>
      <c r="E69" s="41"/>
      <c r="F69" s="29"/>
      <c r="G69" s="29"/>
      <c r="H69" s="29"/>
      <c r="I69" s="27"/>
      <c r="J69" s="29"/>
      <c r="K69" s="29"/>
      <c r="L69" s="117" t="str">
        <f>IF( Tarakonesh[تراکنش]="", "",IF( Tarakonesh[تراکنش]="انتقال",L68,IF(Tarakonesh[تراکنش]="دریافت_درآمد",(Tarakonesh[[#This Row],[مبلغ (ریال)]]+IF(Tarakonesh[تراکنش]="انتقال",0,L68)),((IF(Tarakonesh[تراکنش]="انتقال",0,L68))-Tarakonesh[[#This Row],[مبلغ (ریال)]]))))</f>
        <v/>
      </c>
      <c r="M69" s="33"/>
      <c r="N69" s="33"/>
    </row>
    <row r="70" spans="1:14" x14ac:dyDescent="0.25">
      <c r="A70" s="28">
        <v>63</v>
      </c>
      <c r="B70" s="29"/>
      <c r="C70" s="33"/>
      <c r="D70" s="33"/>
      <c r="E70" s="41"/>
      <c r="F70" s="29"/>
      <c r="G70" s="29"/>
      <c r="H70" s="29"/>
      <c r="I70" s="27"/>
      <c r="J70" s="29"/>
      <c r="K70" s="29"/>
      <c r="L70" s="117" t="str">
        <f>IF( Tarakonesh[تراکنش]="", "",IF( Tarakonesh[تراکنش]="انتقال",L69,IF(Tarakonesh[تراکنش]="دریافت_درآمد",(Tarakonesh[[#This Row],[مبلغ (ریال)]]+IF(Tarakonesh[تراکنش]="انتقال",0,L69)),((IF(Tarakonesh[تراکنش]="انتقال",0,L69))-Tarakonesh[[#This Row],[مبلغ (ریال)]]))))</f>
        <v/>
      </c>
      <c r="M70" s="33"/>
      <c r="N70" s="33"/>
    </row>
    <row r="71" spans="1:14" x14ac:dyDescent="0.25">
      <c r="A71" s="28">
        <v>64</v>
      </c>
      <c r="B71" s="29"/>
      <c r="C71" s="33"/>
      <c r="D71" s="33"/>
      <c r="E71" s="41"/>
      <c r="F71" s="29"/>
      <c r="G71" s="29"/>
      <c r="H71" s="29"/>
      <c r="I71" s="27"/>
      <c r="J71" s="29"/>
      <c r="K71" s="29"/>
      <c r="L71" s="117" t="str">
        <f>IF( Tarakonesh[تراکنش]="", "",IF( Tarakonesh[تراکنش]="انتقال",L70,IF(Tarakonesh[تراکنش]="دریافت_درآمد",(Tarakonesh[[#This Row],[مبلغ (ریال)]]+IF(Tarakonesh[تراکنش]="انتقال",0,L70)),((IF(Tarakonesh[تراکنش]="انتقال",0,L70))-Tarakonesh[[#This Row],[مبلغ (ریال)]]))))</f>
        <v/>
      </c>
      <c r="M71" s="33"/>
      <c r="N71" s="33"/>
    </row>
    <row r="72" spans="1:14" x14ac:dyDescent="0.25">
      <c r="A72" s="28">
        <v>65</v>
      </c>
      <c r="B72" s="29"/>
      <c r="C72" s="33"/>
      <c r="D72" s="33"/>
      <c r="E72" s="41"/>
      <c r="F72" s="29"/>
      <c r="G72" s="29"/>
      <c r="H72" s="29"/>
      <c r="I72" s="27"/>
      <c r="J72" s="29"/>
      <c r="K72" s="29"/>
      <c r="L72" s="117" t="str">
        <f>IF( Tarakonesh[تراکنش]="", "",IF( Tarakonesh[تراکنش]="انتقال",L71,IF(Tarakonesh[تراکنش]="دریافت_درآمد",(Tarakonesh[[#This Row],[مبلغ (ریال)]]+IF(Tarakonesh[تراکنش]="انتقال",0,L71)),((IF(Tarakonesh[تراکنش]="انتقال",0,L71))-Tarakonesh[[#This Row],[مبلغ (ریال)]]))))</f>
        <v/>
      </c>
      <c r="M72" s="33"/>
      <c r="N72" s="33"/>
    </row>
    <row r="73" spans="1:14" x14ac:dyDescent="0.25">
      <c r="A73" s="28">
        <v>66</v>
      </c>
      <c r="B73" s="29"/>
      <c r="C73" s="33"/>
      <c r="D73" s="33"/>
      <c r="E73" s="41"/>
      <c r="F73" s="29"/>
      <c r="G73" s="29"/>
      <c r="H73" s="29"/>
      <c r="I73" s="27"/>
      <c r="J73" s="29"/>
      <c r="K73" s="29"/>
      <c r="L73" s="117" t="str">
        <f>IF( Tarakonesh[تراکنش]="", "",IF( Tarakonesh[تراکنش]="انتقال",L72,IF(Tarakonesh[تراکنش]="دریافت_درآمد",(Tarakonesh[[#This Row],[مبلغ (ریال)]]+IF(Tarakonesh[تراکنش]="انتقال",0,L72)),((IF(Tarakonesh[تراکنش]="انتقال",0,L72))-Tarakonesh[[#This Row],[مبلغ (ریال)]]))))</f>
        <v/>
      </c>
      <c r="M73" s="33"/>
      <c r="N73" s="33"/>
    </row>
    <row r="74" spans="1:14" x14ac:dyDescent="0.25">
      <c r="A74" s="28">
        <v>67</v>
      </c>
      <c r="B74" s="29"/>
      <c r="C74" s="33"/>
      <c r="D74" s="33"/>
      <c r="E74" s="41"/>
      <c r="F74" s="29"/>
      <c r="G74" s="29"/>
      <c r="H74" s="29"/>
      <c r="I74" s="27"/>
      <c r="J74" s="29"/>
      <c r="K74" s="29"/>
      <c r="L74" s="117" t="str">
        <f>IF( Tarakonesh[تراکنش]="", "",IF( Tarakonesh[تراکنش]="انتقال",L73,IF(Tarakonesh[تراکنش]="دریافت_درآمد",(Tarakonesh[[#This Row],[مبلغ (ریال)]]+IF(Tarakonesh[تراکنش]="انتقال",0,L73)),((IF(Tarakonesh[تراکنش]="انتقال",0,L73))-Tarakonesh[[#This Row],[مبلغ (ریال)]]))))</f>
        <v/>
      </c>
      <c r="M74" s="33"/>
      <c r="N74" s="33"/>
    </row>
    <row r="75" spans="1:14" x14ac:dyDescent="0.25">
      <c r="A75" s="28">
        <v>68</v>
      </c>
      <c r="B75" s="29"/>
      <c r="C75" s="33"/>
      <c r="D75" s="33"/>
      <c r="E75" s="41"/>
      <c r="F75" s="29"/>
      <c r="G75" s="29"/>
      <c r="H75" s="29"/>
      <c r="I75" s="27"/>
      <c r="J75" s="29"/>
      <c r="K75" s="29"/>
      <c r="L75" s="117" t="str">
        <f>IF( Tarakonesh[تراکنش]="", "",IF( Tarakonesh[تراکنش]="انتقال",L74,IF(Tarakonesh[تراکنش]="دریافت_درآمد",(Tarakonesh[[#This Row],[مبلغ (ریال)]]+IF(Tarakonesh[تراکنش]="انتقال",0,L74)),((IF(Tarakonesh[تراکنش]="انتقال",0,L74))-Tarakonesh[[#This Row],[مبلغ (ریال)]]))))</f>
        <v/>
      </c>
      <c r="M75" s="33"/>
      <c r="N75" s="33"/>
    </row>
    <row r="76" spans="1:14" x14ac:dyDescent="0.25">
      <c r="A76" s="28">
        <v>69</v>
      </c>
      <c r="B76" s="29"/>
      <c r="C76" s="33"/>
      <c r="D76" s="33"/>
      <c r="E76" s="41"/>
      <c r="F76" s="29"/>
      <c r="G76" s="29"/>
      <c r="H76" s="29"/>
      <c r="I76" s="27"/>
      <c r="J76" s="29"/>
      <c r="K76" s="29"/>
      <c r="L76" s="117" t="str">
        <f>IF( Tarakonesh[تراکنش]="", "",IF( Tarakonesh[تراکنش]="انتقال",L75,IF(Tarakonesh[تراکنش]="دریافت_درآمد",(Tarakonesh[[#This Row],[مبلغ (ریال)]]+IF(Tarakonesh[تراکنش]="انتقال",0,L75)),((IF(Tarakonesh[تراکنش]="انتقال",0,L75))-Tarakonesh[[#This Row],[مبلغ (ریال)]]))))</f>
        <v/>
      </c>
      <c r="M76" s="33"/>
      <c r="N76" s="33"/>
    </row>
    <row r="77" spans="1:14" x14ac:dyDescent="0.25">
      <c r="A77" s="28">
        <v>70</v>
      </c>
      <c r="B77" s="29"/>
      <c r="C77" s="33"/>
      <c r="D77" s="33"/>
      <c r="E77" s="41"/>
      <c r="F77" s="29"/>
      <c r="G77" s="29"/>
      <c r="H77" s="29"/>
      <c r="I77" s="27"/>
      <c r="J77" s="29"/>
      <c r="K77" s="29"/>
      <c r="L77" s="117" t="str">
        <f>IF( Tarakonesh[تراکنش]="", "",IF( Tarakonesh[تراکنش]="انتقال",L76,IF(Tarakonesh[تراکنش]="دریافت_درآمد",(Tarakonesh[[#This Row],[مبلغ (ریال)]]+IF(Tarakonesh[تراکنش]="انتقال",0,L76)),((IF(Tarakonesh[تراکنش]="انتقال",0,L76))-Tarakonesh[[#This Row],[مبلغ (ریال)]]))))</f>
        <v/>
      </c>
      <c r="M77" s="33"/>
      <c r="N77" s="33"/>
    </row>
    <row r="78" spans="1:14" x14ac:dyDescent="0.25">
      <c r="A78" s="28">
        <v>71</v>
      </c>
      <c r="B78" s="29"/>
      <c r="C78" s="33"/>
      <c r="D78" s="33"/>
      <c r="E78" s="41"/>
      <c r="F78" s="29"/>
      <c r="G78" s="29"/>
      <c r="H78" s="29"/>
      <c r="I78" s="27"/>
      <c r="J78" s="29"/>
      <c r="K78" s="29"/>
      <c r="L78" s="117" t="str">
        <f>IF( Tarakonesh[تراکنش]="", "",IF( Tarakonesh[تراکنش]="انتقال",L77,IF(Tarakonesh[تراکنش]="دریافت_درآمد",(Tarakonesh[[#This Row],[مبلغ (ریال)]]+IF(Tarakonesh[تراکنش]="انتقال",0,L77)),((IF(Tarakonesh[تراکنش]="انتقال",0,L77))-Tarakonesh[[#This Row],[مبلغ (ریال)]]))))</f>
        <v/>
      </c>
      <c r="M78" s="33"/>
      <c r="N78" s="33"/>
    </row>
    <row r="79" spans="1:14" x14ac:dyDescent="0.25">
      <c r="A79" s="28">
        <v>72</v>
      </c>
      <c r="B79" s="29"/>
      <c r="C79" s="33"/>
      <c r="D79" s="33"/>
      <c r="E79" s="41"/>
      <c r="F79" s="29"/>
      <c r="G79" s="29"/>
      <c r="H79" s="29"/>
      <c r="I79" s="27"/>
      <c r="J79" s="29"/>
      <c r="K79" s="29"/>
      <c r="L79" s="117" t="str">
        <f>IF( Tarakonesh[تراکنش]="", "",IF( Tarakonesh[تراکنش]="انتقال",L78,IF(Tarakonesh[تراکنش]="دریافت_درآمد",(Tarakonesh[[#This Row],[مبلغ (ریال)]]+IF(Tarakonesh[تراکنش]="انتقال",0,L78)),((IF(Tarakonesh[تراکنش]="انتقال",0,L78))-Tarakonesh[[#This Row],[مبلغ (ریال)]]))))</f>
        <v/>
      </c>
      <c r="M79" s="33"/>
      <c r="N79" s="33"/>
    </row>
    <row r="80" spans="1:14" x14ac:dyDescent="0.25">
      <c r="A80" s="28">
        <v>73</v>
      </c>
      <c r="B80" s="29"/>
      <c r="C80" s="33"/>
      <c r="D80" s="33"/>
      <c r="E80" s="41"/>
      <c r="F80" s="29"/>
      <c r="G80" s="29"/>
      <c r="H80" s="29"/>
      <c r="I80" s="27"/>
      <c r="J80" s="29"/>
      <c r="K80" s="29"/>
      <c r="L80" s="117" t="str">
        <f>IF( Tarakonesh[تراکنش]="", "",IF( Tarakonesh[تراکنش]="انتقال",L79,IF(Tarakonesh[تراکنش]="دریافت_درآمد",(Tarakonesh[[#This Row],[مبلغ (ریال)]]+IF(Tarakonesh[تراکنش]="انتقال",0,L79)),((IF(Tarakonesh[تراکنش]="انتقال",0,L79))-Tarakonesh[[#This Row],[مبلغ (ریال)]]))))</f>
        <v/>
      </c>
      <c r="M80" s="33"/>
      <c r="N80" s="33"/>
    </row>
    <row r="81" spans="1:14" x14ac:dyDescent="0.25">
      <c r="A81" s="28">
        <v>74</v>
      </c>
      <c r="B81" s="29"/>
      <c r="C81" s="33"/>
      <c r="D81" s="33"/>
      <c r="E81" s="41"/>
      <c r="F81" s="29"/>
      <c r="G81" s="29"/>
      <c r="H81" s="29"/>
      <c r="I81" s="27"/>
      <c r="J81" s="29"/>
      <c r="K81" s="29"/>
      <c r="L81" s="117" t="str">
        <f>IF( Tarakonesh[تراکنش]="", "",IF( Tarakonesh[تراکنش]="انتقال",L80,IF(Tarakonesh[تراکنش]="دریافت_درآمد",(Tarakonesh[[#This Row],[مبلغ (ریال)]]+IF(Tarakonesh[تراکنش]="انتقال",0,L80)),((IF(Tarakonesh[تراکنش]="انتقال",0,L80))-Tarakonesh[[#This Row],[مبلغ (ریال)]]))))</f>
        <v/>
      </c>
      <c r="M81" s="33"/>
      <c r="N81" s="33"/>
    </row>
    <row r="82" spans="1:14" x14ac:dyDescent="0.25">
      <c r="A82" s="28">
        <v>75</v>
      </c>
      <c r="B82" s="29"/>
      <c r="C82" s="33"/>
      <c r="D82" s="33"/>
      <c r="E82" s="41"/>
      <c r="F82" s="29"/>
      <c r="G82" s="29"/>
      <c r="H82" s="29"/>
      <c r="I82" s="27"/>
      <c r="J82" s="29"/>
      <c r="K82" s="29"/>
      <c r="L82" s="117" t="str">
        <f>IF( Tarakonesh[تراکنش]="", "",IF( Tarakonesh[تراکنش]="انتقال",L81,IF(Tarakonesh[تراکنش]="دریافت_درآمد",(Tarakonesh[[#This Row],[مبلغ (ریال)]]+IF(Tarakonesh[تراکنش]="انتقال",0,L81)),((IF(Tarakonesh[تراکنش]="انتقال",0,L81))-Tarakonesh[[#This Row],[مبلغ (ریال)]]))))</f>
        <v/>
      </c>
      <c r="M82" s="33"/>
      <c r="N82" s="33"/>
    </row>
    <row r="83" spans="1:14" x14ac:dyDescent="0.25">
      <c r="A83" s="28">
        <v>76</v>
      </c>
      <c r="B83" s="29"/>
      <c r="C83" s="33"/>
      <c r="D83" s="33"/>
      <c r="E83" s="41"/>
      <c r="F83" s="29"/>
      <c r="G83" s="29"/>
      <c r="H83" s="29"/>
      <c r="I83" s="27"/>
      <c r="J83" s="29"/>
      <c r="K83" s="29"/>
      <c r="L83" s="117" t="str">
        <f>IF( Tarakonesh[تراکنش]="", "",IF( Tarakonesh[تراکنش]="انتقال",L82,IF(Tarakonesh[تراکنش]="دریافت_درآمد",(Tarakonesh[[#This Row],[مبلغ (ریال)]]+IF(Tarakonesh[تراکنش]="انتقال",0,L82)),((IF(Tarakonesh[تراکنش]="انتقال",0,L82))-Tarakonesh[[#This Row],[مبلغ (ریال)]]))))</f>
        <v/>
      </c>
      <c r="M83" s="33"/>
      <c r="N83" s="33"/>
    </row>
    <row r="84" spans="1:14" x14ac:dyDescent="0.25">
      <c r="A84" s="28">
        <v>77</v>
      </c>
      <c r="B84" s="29"/>
      <c r="C84" s="33"/>
      <c r="D84" s="33"/>
      <c r="E84" s="41"/>
      <c r="F84" s="29"/>
      <c r="G84" s="29"/>
      <c r="H84" s="29"/>
      <c r="I84" s="27"/>
      <c r="J84" s="29"/>
      <c r="K84" s="29"/>
      <c r="L84" s="117" t="str">
        <f>IF( Tarakonesh[تراکنش]="", "",IF( Tarakonesh[تراکنش]="انتقال",L83,IF(Tarakonesh[تراکنش]="دریافت_درآمد",(Tarakonesh[[#This Row],[مبلغ (ریال)]]+IF(Tarakonesh[تراکنش]="انتقال",0,L83)),((IF(Tarakonesh[تراکنش]="انتقال",0,L83))-Tarakonesh[[#This Row],[مبلغ (ریال)]]))))</f>
        <v/>
      </c>
      <c r="M84" s="33"/>
      <c r="N84" s="33"/>
    </row>
    <row r="85" spans="1:14" x14ac:dyDescent="0.25">
      <c r="A85" s="28">
        <v>78</v>
      </c>
      <c r="B85" s="29"/>
      <c r="C85" s="33"/>
      <c r="D85" s="33"/>
      <c r="E85" s="41"/>
      <c r="F85" s="29"/>
      <c r="G85" s="29"/>
      <c r="H85" s="29"/>
      <c r="I85" s="27"/>
      <c r="J85" s="29"/>
      <c r="K85" s="29"/>
      <c r="L85" s="117" t="str">
        <f>IF( Tarakonesh[تراکنش]="", "",IF( Tarakonesh[تراکنش]="انتقال",L84,IF(Tarakonesh[تراکنش]="دریافت_درآمد",(Tarakonesh[[#This Row],[مبلغ (ریال)]]+IF(Tarakonesh[تراکنش]="انتقال",0,L84)),((IF(Tarakonesh[تراکنش]="انتقال",0,L84))-Tarakonesh[[#This Row],[مبلغ (ریال)]]))))</f>
        <v/>
      </c>
      <c r="M85" s="33"/>
      <c r="N85" s="33"/>
    </row>
    <row r="86" spans="1:14" x14ac:dyDescent="0.25">
      <c r="A86" s="28">
        <v>79</v>
      </c>
      <c r="B86" s="29"/>
      <c r="C86" s="33"/>
      <c r="D86" s="33"/>
      <c r="E86" s="41"/>
      <c r="F86" s="29"/>
      <c r="G86" s="29"/>
      <c r="H86" s="29"/>
      <c r="I86" s="27"/>
      <c r="J86" s="29"/>
      <c r="K86" s="29"/>
      <c r="L86" s="117" t="str">
        <f>IF( Tarakonesh[تراکنش]="", "",IF( Tarakonesh[تراکنش]="انتقال",L85,IF(Tarakonesh[تراکنش]="دریافت_درآمد",(Tarakonesh[[#This Row],[مبلغ (ریال)]]+IF(Tarakonesh[تراکنش]="انتقال",0,L85)),((IF(Tarakonesh[تراکنش]="انتقال",0,L85))-Tarakonesh[[#This Row],[مبلغ (ریال)]]))))</f>
        <v/>
      </c>
      <c r="M86" s="33"/>
      <c r="N86" s="33"/>
    </row>
    <row r="87" spans="1:14" x14ac:dyDescent="0.25">
      <c r="A87" s="28">
        <v>80</v>
      </c>
      <c r="B87" s="29"/>
      <c r="C87" s="33"/>
      <c r="D87" s="33"/>
      <c r="E87" s="41"/>
      <c r="F87" s="29"/>
      <c r="G87" s="29"/>
      <c r="H87" s="29"/>
      <c r="I87" s="27"/>
      <c r="J87" s="29"/>
      <c r="K87" s="29"/>
      <c r="L87" s="117" t="str">
        <f>IF( Tarakonesh[تراکنش]="", "",IF( Tarakonesh[تراکنش]="انتقال",L86,IF(Tarakonesh[تراکنش]="دریافت_درآمد",(Tarakonesh[[#This Row],[مبلغ (ریال)]]+IF(Tarakonesh[تراکنش]="انتقال",0,L86)),((IF(Tarakonesh[تراکنش]="انتقال",0,L86))-Tarakonesh[[#This Row],[مبلغ (ریال)]]))))</f>
        <v/>
      </c>
      <c r="M87" s="33"/>
      <c r="N87" s="33"/>
    </row>
    <row r="88" spans="1:14" x14ac:dyDescent="0.25">
      <c r="A88" s="28">
        <v>81</v>
      </c>
      <c r="B88" s="29"/>
      <c r="C88" s="33"/>
      <c r="D88" s="33"/>
      <c r="E88" s="41"/>
      <c r="F88" s="29"/>
      <c r="G88" s="29"/>
      <c r="H88" s="29"/>
      <c r="I88" s="27"/>
      <c r="J88" s="29"/>
      <c r="K88" s="29"/>
      <c r="L88" s="117" t="str">
        <f>IF( Tarakonesh[تراکنش]="", "",IF( Tarakonesh[تراکنش]="انتقال",L87,IF(Tarakonesh[تراکنش]="دریافت_درآمد",(Tarakonesh[[#This Row],[مبلغ (ریال)]]+IF(Tarakonesh[تراکنش]="انتقال",0,L87)),((IF(Tarakonesh[تراکنش]="انتقال",0,L87))-Tarakonesh[[#This Row],[مبلغ (ریال)]]))))</f>
        <v/>
      </c>
      <c r="M88" s="33"/>
      <c r="N88" s="33"/>
    </row>
    <row r="89" spans="1:14" x14ac:dyDescent="0.25">
      <c r="A89" s="28">
        <v>82</v>
      </c>
      <c r="B89" s="29"/>
      <c r="C89" s="33"/>
      <c r="D89" s="33"/>
      <c r="E89" s="41"/>
      <c r="F89" s="29"/>
      <c r="G89" s="29"/>
      <c r="H89" s="29"/>
      <c r="I89" s="27"/>
      <c r="J89" s="29"/>
      <c r="K89" s="29"/>
      <c r="L89" s="117" t="str">
        <f>IF( Tarakonesh[تراکنش]="", "",IF( Tarakonesh[تراکنش]="انتقال",L88,IF(Tarakonesh[تراکنش]="دریافت_درآمد",(Tarakonesh[[#This Row],[مبلغ (ریال)]]+IF(Tarakonesh[تراکنش]="انتقال",0,L88)),((IF(Tarakonesh[تراکنش]="انتقال",0,L88))-Tarakonesh[[#This Row],[مبلغ (ریال)]]))))</f>
        <v/>
      </c>
      <c r="M89" s="33"/>
      <c r="N89" s="33"/>
    </row>
    <row r="90" spans="1:14" x14ac:dyDescent="0.25">
      <c r="A90" s="28">
        <v>83</v>
      </c>
      <c r="B90" s="29"/>
      <c r="C90" s="33"/>
      <c r="D90" s="33"/>
      <c r="E90" s="41"/>
      <c r="F90" s="29"/>
      <c r="G90" s="29"/>
      <c r="H90" s="29"/>
      <c r="I90" s="27"/>
      <c r="J90" s="29"/>
      <c r="K90" s="29"/>
      <c r="L90" s="117" t="str">
        <f>IF( Tarakonesh[تراکنش]="", "",IF( Tarakonesh[تراکنش]="انتقال",L89,IF(Tarakonesh[تراکنش]="دریافت_درآمد",(Tarakonesh[[#This Row],[مبلغ (ریال)]]+IF(Tarakonesh[تراکنش]="انتقال",0,L89)),((IF(Tarakonesh[تراکنش]="انتقال",0,L89))-Tarakonesh[[#This Row],[مبلغ (ریال)]]))))</f>
        <v/>
      </c>
      <c r="M90" s="33"/>
      <c r="N90" s="33"/>
    </row>
    <row r="91" spans="1:14" x14ac:dyDescent="0.25">
      <c r="A91" s="28">
        <v>84</v>
      </c>
      <c r="B91" s="29"/>
      <c r="C91" s="33"/>
      <c r="D91" s="33"/>
      <c r="E91" s="41"/>
      <c r="F91" s="29"/>
      <c r="G91" s="29"/>
      <c r="H91" s="29"/>
      <c r="I91" s="27"/>
      <c r="J91" s="29"/>
      <c r="K91" s="29"/>
      <c r="L91" s="117" t="str">
        <f>IF( Tarakonesh[تراکنش]="", "",IF( Tarakonesh[تراکنش]="انتقال",L90,IF(Tarakonesh[تراکنش]="دریافت_درآمد",(Tarakonesh[[#This Row],[مبلغ (ریال)]]+IF(Tarakonesh[تراکنش]="انتقال",0,L90)),((IF(Tarakonesh[تراکنش]="انتقال",0,L90))-Tarakonesh[[#This Row],[مبلغ (ریال)]]))))</f>
        <v/>
      </c>
      <c r="M91" s="33"/>
      <c r="N91" s="33"/>
    </row>
    <row r="92" spans="1:14" x14ac:dyDescent="0.25">
      <c r="A92" s="28">
        <v>85</v>
      </c>
      <c r="B92" s="29"/>
      <c r="C92" s="33"/>
      <c r="D92" s="33"/>
      <c r="E92" s="41"/>
      <c r="F92" s="29"/>
      <c r="G92" s="29"/>
      <c r="H92" s="29"/>
      <c r="I92" s="27"/>
      <c r="J92" s="29"/>
      <c r="K92" s="29"/>
      <c r="L92" s="117" t="str">
        <f>IF( Tarakonesh[تراکنش]="", "",IF( Tarakonesh[تراکنش]="انتقال",L91,IF(Tarakonesh[تراکنش]="دریافت_درآمد",(Tarakonesh[[#This Row],[مبلغ (ریال)]]+IF(Tarakonesh[تراکنش]="انتقال",0,L91)),((IF(Tarakonesh[تراکنش]="انتقال",0,L91))-Tarakonesh[[#This Row],[مبلغ (ریال)]]))))</f>
        <v/>
      </c>
      <c r="M92" s="33"/>
      <c r="N92" s="33"/>
    </row>
    <row r="93" spans="1:14" x14ac:dyDescent="0.25">
      <c r="A93" s="28">
        <v>86</v>
      </c>
      <c r="B93" s="29"/>
      <c r="C93" s="33"/>
      <c r="D93" s="33"/>
      <c r="E93" s="41"/>
      <c r="F93" s="29"/>
      <c r="G93" s="29"/>
      <c r="H93" s="29"/>
      <c r="I93" s="27"/>
      <c r="J93" s="29"/>
      <c r="K93" s="29"/>
      <c r="L93" s="117" t="str">
        <f>IF( Tarakonesh[تراکنش]="", "",IF( Tarakonesh[تراکنش]="انتقال",L92,IF(Tarakonesh[تراکنش]="دریافت_درآمد",(Tarakonesh[[#This Row],[مبلغ (ریال)]]+IF(Tarakonesh[تراکنش]="انتقال",0,L92)),((IF(Tarakonesh[تراکنش]="انتقال",0,L92))-Tarakonesh[[#This Row],[مبلغ (ریال)]]))))</f>
        <v/>
      </c>
      <c r="M93" s="33"/>
      <c r="N93" s="33"/>
    </row>
    <row r="94" spans="1:14" x14ac:dyDescent="0.25">
      <c r="A94" s="28">
        <v>87</v>
      </c>
      <c r="B94" s="29"/>
      <c r="C94" s="33"/>
      <c r="D94" s="33"/>
      <c r="E94" s="41"/>
      <c r="F94" s="29"/>
      <c r="G94" s="29"/>
      <c r="H94" s="29"/>
      <c r="I94" s="27"/>
      <c r="J94" s="29"/>
      <c r="K94" s="29"/>
      <c r="L94" s="117" t="str">
        <f>IF( Tarakonesh[تراکنش]="", "",IF( Tarakonesh[تراکنش]="انتقال",L93,IF(Tarakonesh[تراکنش]="دریافت_درآمد",(Tarakonesh[[#This Row],[مبلغ (ریال)]]+IF(Tarakonesh[تراکنش]="انتقال",0,L93)),((IF(Tarakonesh[تراکنش]="انتقال",0,L93))-Tarakonesh[[#This Row],[مبلغ (ریال)]]))))</f>
        <v/>
      </c>
      <c r="M94" s="33"/>
      <c r="N94" s="33"/>
    </row>
    <row r="95" spans="1:14" x14ac:dyDescent="0.25">
      <c r="A95" s="28">
        <v>88</v>
      </c>
      <c r="B95" s="29"/>
      <c r="C95" s="33"/>
      <c r="D95" s="33"/>
      <c r="E95" s="41"/>
      <c r="F95" s="29"/>
      <c r="G95" s="29"/>
      <c r="H95" s="29"/>
      <c r="I95" s="27"/>
      <c r="J95" s="29"/>
      <c r="K95" s="29"/>
      <c r="L95" s="117" t="str">
        <f>IF( Tarakonesh[تراکنش]="", "",IF( Tarakonesh[تراکنش]="انتقال",L94,IF(Tarakonesh[تراکنش]="دریافت_درآمد",(Tarakonesh[[#This Row],[مبلغ (ریال)]]+IF(Tarakonesh[تراکنش]="انتقال",0,L94)),((IF(Tarakonesh[تراکنش]="انتقال",0,L94))-Tarakonesh[[#This Row],[مبلغ (ریال)]]))))</f>
        <v/>
      </c>
      <c r="M95" s="33"/>
      <c r="N95" s="33"/>
    </row>
    <row r="96" spans="1:14" x14ac:dyDescent="0.25">
      <c r="A96" s="28">
        <v>89</v>
      </c>
      <c r="B96" s="29"/>
      <c r="C96" s="33"/>
      <c r="D96" s="33"/>
      <c r="E96" s="41"/>
      <c r="F96" s="29"/>
      <c r="G96" s="29"/>
      <c r="H96" s="29"/>
      <c r="I96" s="27"/>
      <c r="J96" s="29"/>
      <c r="K96" s="29"/>
      <c r="L96" s="117" t="str">
        <f>IF( Tarakonesh[تراکنش]="", "",IF( Tarakonesh[تراکنش]="انتقال",L95,IF(Tarakonesh[تراکنش]="دریافت_درآمد",(Tarakonesh[[#This Row],[مبلغ (ریال)]]+IF(Tarakonesh[تراکنش]="انتقال",0,L95)),((IF(Tarakonesh[تراکنش]="انتقال",0,L95))-Tarakonesh[[#This Row],[مبلغ (ریال)]]))))</f>
        <v/>
      </c>
      <c r="M96" s="33"/>
      <c r="N96" s="33"/>
    </row>
    <row r="97" spans="1:14" x14ac:dyDescent="0.25">
      <c r="A97" s="28">
        <v>90</v>
      </c>
      <c r="B97" s="29"/>
      <c r="C97" s="33"/>
      <c r="D97" s="33"/>
      <c r="E97" s="41"/>
      <c r="F97" s="29"/>
      <c r="G97" s="29"/>
      <c r="H97" s="29"/>
      <c r="I97" s="27"/>
      <c r="J97" s="29"/>
      <c r="K97" s="29"/>
      <c r="L97" s="117" t="str">
        <f>IF( Tarakonesh[تراکنش]="", "",IF( Tarakonesh[تراکنش]="انتقال",L96,IF(Tarakonesh[تراکنش]="دریافت_درآمد",(Tarakonesh[[#This Row],[مبلغ (ریال)]]+IF(Tarakonesh[تراکنش]="انتقال",0,L96)),((IF(Tarakonesh[تراکنش]="انتقال",0,L96))-Tarakonesh[[#This Row],[مبلغ (ریال)]]))))</f>
        <v/>
      </c>
      <c r="M97" s="33"/>
      <c r="N97" s="33"/>
    </row>
    <row r="98" spans="1:14" x14ac:dyDescent="0.25">
      <c r="A98" s="28">
        <v>91</v>
      </c>
      <c r="B98" s="29"/>
      <c r="C98" s="33"/>
      <c r="D98" s="33"/>
      <c r="E98" s="41"/>
      <c r="F98" s="29"/>
      <c r="G98" s="29"/>
      <c r="H98" s="29"/>
      <c r="I98" s="27"/>
      <c r="J98" s="29"/>
      <c r="K98" s="29"/>
      <c r="L98" s="117" t="str">
        <f>IF( Tarakonesh[تراکنش]="", "",IF( Tarakonesh[تراکنش]="انتقال",L97,IF(Tarakonesh[تراکنش]="دریافت_درآمد",(Tarakonesh[[#This Row],[مبلغ (ریال)]]+IF(Tarakonesh[تراکنش]="انتقال",0,L97)),((IF(Tarakonesh[تراکنش]="انتقال",0,L97))-Tarakonesh[[#This Row],[مبلغ (ریال)]]))))</f>
        <v/>
      </c>
      <c r="M98" s="33"/>
      <c r="N98" s="33"/>
    </row>
    <row r="99" spans="1:14" x14ac:dyDescent="0.25">
      <c r="A99" s="28">
        <v>92</v>
      </c>
      <c r="B99" s="29"/>
      <c r="C99" s="33"/>
      <c r="D99" s="33"/>
      <c r="E99" s="41"/>
      <c r="F99" s="29"/>
      <c r="G99" s="29"/>
      <c r="H99" s="29"/>
      <c r="I99" s="27"/>
      <c r="J99" s="29"/>
      <c r="K99" s="29"/>
      <c r="L99" s="117" t="str">
        <f>IF( Tarakonesh[تراکنش]="", "",IF( Tarakonesh[تراکنش]="انتقال",L98,IF(Tarakonesh[تراکنش]="دریافت_درآمد",(Tarakonesh[[#This Row],[مبلغ (ریال)]]+IF(Tarakonesh[تراکنش]="انتقال",0,L98)),((IF(Tarakonesh[تراکنش]="انتقال",0,L98))-Tarakonesh[[#This Row],[مبلغ (ریال)]]))))</f>
        <v/>
      </c>
      <c r="M99" s="33"/>
      <c r="N99" s="33"/>
    </row>
    <row r="100" spans="1:14" x14ac:dyDescent="0.25">
      <c r="A100" s="28">
        <v>93</v>
      </c>
      <c r="B100" s="29"/>
      <c r="C100" s="33"/>
      <c r="D100" s="33"/>
      <c r="E100" s="41"/>
      <c r="F100" s="29"/>
      <c r="G100" s="29"/>
      <c r="H100" s="29"/>
      <c r="I100" s="27"/>
      <c r="J100" s="29"/>
      <c r="K100" s="29"/>
      <c r="L100" s="117" t="str">
        <f>IF( Tarakonesh[تراکنش]="", "",IF( Tarakonesh[تراکنش]="انتقال",L99,IF(Tarakonesh[تراکنش]="دریافت_درآمد",(Tarakonesh[[#This Row],[مبلغ (ریال)]]+IF(Tarakonesh[تراکنش]="انتقال",0,L99)),((IF(Tarakonesh[تراکنش]="انتقال",0,L99))-Tarakonesh[[#This Row],[مبلغ (ریال)]]))))</f>
        <v/>
      </c>
      <c r="M100" s="33"/>
      <c r="N100" s="33"/>
    </row>
    <row r="101" spans="1:14" x14ac:dyDescent="0.25">
      <c r="A101" s="28">
        <v>94</v>
      </c>
      <c r="B101" s="29"/>
      <c r="C101" s="33"/>
      <c r="D101" s="33"/>
      <c r="E101" s="41"/>
      <c r="F101" s="29"/>
      <c r="G101" s="29"/>
      <c r="H101" s="29"/>
      <c r="I101" s="27"/>
      <c r="J101" s="29"/>
      <c r="K101" s="29"/>
      <c r="L101" s="117" t="str">
        <f>IF( Tarakonesh[تراکنش]="", "",IF( Tarakonesh[تراکنش]="انتقال",L100,IF(Tarakonesh[تراکنش]="دریافت_درآمد",(Tarakonesh[[#This Row],[مبلغ (ریال)]]+IF(Tarakonesh[تراکنش]="انتقال",0,L100)),((IF(Tarakonesh[تراکنش]="انتقال",0,L100))-Tarakonesh[[#This Row],[مبلغ (ریال)]]))))</f>
        <v/>
      </c>
      <c r="M101" s="33"/>
      <c r="N101" s="33"/>
    </row>
    <row r="102" spans="1:14" x14ac:dyDescent="0.25">
      <c r="A102" s="28">
        <v>95</v>
      </c>
      <c r="B102" s="29"/>
      <c r="C102" s="33"/>
      <c r="D102" s="33"/>
      <c r="E102" s="41"/>
      <c r="F102" s="29"/>
      <c r="G102" s="29"/>
      <c r="H102" s="29"/>
      <c r="I102" s="27"/>
      <c r="J102" s="29"/>
      <c r="K102" s="29"/>
      <c r="L102" s="117" t="str">
        <f>IF( Tarakonesh[تراکنش]="", "",IF( Tarakonesh[تراکنش]="انتقال",L101,IF(Tarakonesh[تراکنش]="دریافت_درآمد",(Tarakonesh[[#This Row],[مبلغ (ریال)]]+IF(Tarakonesh[تراکنش]="انتقال",0,L101)),((IF(Tarakonesh[تراکنش]="انتقال",0,L101))-Tarakonesh[[#This Row],[مبلغ (ریال)]]))))</f>
        <v/>
      </c>
      <c r="M102" s="33"/>
      <c r="N102" s="33"/>
    </row>
    <row r="103" spans="1:14" x14ac:dyDescent="0.25">
      <c r="A103" s="28">
        <v>96</v>
      </c>
      <c r="B103" s="29"/>
      <c r="C103" s="33"/>
      <c r="D103" s="33"/>
      <c r="E103" s="41"/>
      <c r="F103" s="29"/>
      <c r="G103" s="29"/>
      <c r="H103" s="29"/>
      <c r="I103" s="27"/>
      <c r="J103" s="29"/>
      <c r="K103" s="29"/>
      <c r="L103" s="117" t="str">
        <f>IF( Tarakonesh[تراکنش]="", "",IF( Tarakonesh[تراکنش]="انتقال",L102,IF(Tarakonesh[تراکنش]="دریافت_درآمد",(Tarakonesh[[#This Row],[مبلغ (ریال)]]+IF(Tarakonesh[تراکنش]="انتقال",0,L102)),((IF(Tarakonesh[تراکنش]="انتقال",0,L102))-Tarakonesh[[#This Row],[مبلغ (ریال)]]))))</f>
        <v/>
      </c>
      <c r="M103" s="33"/>
      <c r="N103" s="33"/>
    </row>
    <row r="104" spans="1:14" x14ac:dyDescent="0.25">
      <c r="A104" s="28">
        <v>97</v>
      </c>
      <c r="B104" s="29"/>
      <c r="C104" s="33"/>
      <c r="D104" s="33"/>
      <c r="E104" s="41"/>
      <c r="F104" s="29"/>
      <c r="G104" s="29"/>
      <c r="H104" s="29"/>
      <c r="I104" s="27"/>
      <c r="J104" s="29"/>
      <c r="K104" s="29"/>
      <c r="L104" s="117" t="str">
        <f>IF( Tarakonesh[تراکنش]="", "",IF( Tarakonesh[تراکنش]="انتقال",L103,IF(Tarakonesh[تراکنش]="دریافت_درآمد",(Tarakonesh[[#This Row],[مبلغ (ریال)]]+IF(Tarakonesh[تراکنش]="انتقال",0,L103)),((IF(Tarakonesh[تراکنش]="انتقال",0,L103))-Tarakonesh[[#This Row],[مبلغ (ریال)]]))))</f>
        <v/>
      </c>
      <c r="M104" s="33"/>
      <c r="N104" s="33"/>
    </row>
    <row r="105" spans="1:14" x14ac:dyDescent="0.25">
      <c r="A105" s="28">
        <v>98</v>
      </c>
      <c r="B105" s="29"/>
      <c r="C105" s="33"/>
      <c r="D105" s="33"/>
      <c r="E105" s="41"/>
      <c r="F105" s="29"/>
      <c r="G105" s="29"/>
      <c r="H105" s="29"/>
      <c r="I105" s="27"/>
      <c r="J105" s="29"/>
      <c r="K105" s="29"/>
      <c r="L105" s="117" t="str">
        <f>IF( Tarakonesh[تراکنش]="", "",IF( Tarakonesh[تراکنش]="انتقال",L104,IF(Tarakonesh[تراکنش]="دریافت_درآمد",(Tarakonesh[[#This Row],[مبلغ (ریال)]]+IF(Tarakonesh[تراکنش]="انتقال",0,L104)),((IF(Tarakonesh[تراکنش]="انتقال",0,L104))-Tarakonesh[[#This Row],[مبلغ (ریال)]]))))</f>
        <v/>
      </c>
      <c r="M105" s="33"/>
      <c r="N105" s="33"/>
    </row>
    <row r="106" spans="1:14" x14ac:dyDescent="0.25">
      <c r="A106" s="28">
        <v>99</v>
      </c>
      <c r="B106" s="29"/>
      <c r="C106" s="33"/>
      <c r="D106" s="33"/>
      <c r="E106" s="41"/>
      <c r="F106" s="29"/>
      <c r="G106" s="29"/>
      <c r="H106" s="29"/>
      <c r="I106" s="27"/>
      <c r="J106" s="29"/>
      <c r="K106" s="29"/>
      <c r="L106" s="117" t="str">
        <f>IF( Tarakonesh[تراکنش]="", "",IF( Tarakonesh[تراکنش]="انتقال",L105,IF(Tarakonesh[تراکنش]="دریافت_درآمد",(Tarakonesh[[#This Row],[مبلغ (ریال)]]+IF(Tarakonesh[تراکنش]="انتقال",0,L105)),((IF(Tarakonesh[تراکنش]="انتقال",0,L105))-Tarakonesh[[#This Row],[مبلغ (ریال)]]))))</f>
        <v/>
      </c>
      <c r="M106" s="33"/>
      <c r="N106" s="33"/>
    </row>
    <row r="107" spans="1:14" x14ac:dyDescent="0.25">
      <c r="A107" s="28">
        <v>100</v>
      </c>
      <c r="B107" s="29"/>
      <c r="C107" s="33"/>
      <c r="D107" s="33"/>
      <c r="E107" s="41"/>
      <c r="F107" s="29"/>
      <c r="G107" s="29"/>
      <c r="H107" s="29"/>
      <c r="I107" s="27"/>
      <c r="J107" s="29"/>
      <c r="K107" s="29"/>
      <c r="L107" s="117" t="str">
        <f>IF( Tarakonesh[تراکنش]="", "",IF( Tarakonesh[تراکنش]="انتقال",L106,IF(Tarakonesh[تراکنش]="دریافت_درآمد",(Tarakonesh[[#This Row],[مبلغ (ریال)]]+IF(Tarakonesh[تراکنش]="انتقال",0,L106)),((IF(Tarakonesh[تراکنش]="انتقال",0,L106))-Tarakonesh[[#This Row],[مبلغ (ریال)]]))))</f>
        <v/>
      </c>
      <c r="M107" s="33"/>
      <c r="N107" s="33"/>
    </row>
    <row r="108" spans="1:14" x14ac:dyDescent="0.25">
      <c r="A108" s="28">
        <v>101</v>
      </c>
      <c r="B108" s="29"/>
      <c r="C108" s="33"/>
      <c r="D108" s="33"/>
      <c r="E108" s="41"/>
      <c r="F108" s="29"/>
      <c r="G108" s="29"/>
      <c r="H108" s="29"/>
      <c r="I108" s="27"/>
      <c r="J108" s="29"/>
      <c r="K108" s="29"/>
      <c r="L108" s="117" t="str">
        <f>IF( Tarakonesh[تراکنش]="", "",IF( Tarakonesh[تراکنش]="انتقال",L107,IF(Tarakonesh[تراکنش]="دریافت_درآمد",(Tarakonesh[[#This Row],[مبلغ (ریال)]]+IF(Tarakonesh[تراکنش]="انتقال",0,L107)),((IF(Tarakonesh[تراکنش]="انتقال",0,L107))-Tarakonesh[[#This Row],[مبلغ (ریال)]]))))</f>
        <v/>
      </c>
      <c r="M108" s="33"/>
      <c r="N108" s="33"/>
    </row>
    <row r="109" spans="1:14" x14ac:dyDescent="0.25">
      <c r="A109" s="28">
        <v>102</v>
      </c>
      <c r="B109" s="29"/>
      <c r="C109" s="33"/>
      <c r="D109" s="33"/>
      <c r="E109" s="41"/>
      <c r="F109" s="29"/>
      <c r="G109" s="29"/>
      <c r="H109" s="29"/>
      <c r="I109" s="27"/>
      <c r="J109" s="29"/>
      <c r="K109" s="29"/>
      <c r="L109" s="117" t="str">
        <f>IF( Tarakonesh[تراکنش]="", "",IF( Tarakonesh[تراکنش]="انتقال",L108,IF(Tarakonesh[تراکنش]="دریافت_درآمد",(Tarakonesh[[#This Row],[مبلغ (ریال)]]+IF(Tarakonesh[تراکنش]="انتقال",0,L108)),((IF(Tarakonesh[تراکنش]="انتقال",0,L108))-Tarakonesh[[#This Row],[مبلغ (ریال)]]))))</f>
        <v/>
      </c>
      <c r="M109" s="33"/>
      <c r="N109" s="33"/>
    </row>
    <row r="110" spans="1:14" x14ac:dyDescent="0.25">
      <c r="A110" s="28">
        <v>103</v>
      </c>
      <c r="B110" s="29"/>
      <c r="C110" s="33"/>
      <c r="D110" s="33"/>
      <c r="E110" s="41"/>
      <c r="F110" s="29"/>
      <c r="G110" s="29"/>
      <c r="H110" s="29"/>
      <c r="I110" s="27"/>
      <c r="J110" s="29"/>
      <c r="K110" s="29"/>
      <c r="L110" s="117" t="str">
        <f>IF( Tarakonesh[تراکنش]="", "",IF( Tarakonesh[تراکنش]="انتقال",L109,IF(Tarakonesh[تراکنش]="دریافت_درآمد",(Tarakonesh[[#This Row],[مبلغ (ریال)]]+IF(Tarakonesh[تراکنش]="انتقال",0,L109)),((IF(Tarakonesh[تراکنش]="انتقال",0,L109))-Tarakonesh[[#This Row],[مبلغ (ریال)]]))))</f>
        <v/>
      </c>
      <c r="M110" s="33"/>
      <c r="N110" s="33"/>
    </row>
    <row r="111" spans="1:14" x14ac:dyDescent="0.25">
      <c r="A111" s="28">
        <v>104</v>
      </c>
      <c r="B111" s="29"/>
      <c r="C111" s="33"/>
      <c r="D111" s="33"/>
      <c r="E111" s="41"/>
      <c r="F111" s="29"/>
      <c r="G111" s="29"/>
      <c r="H111" s="29"/>
      <c r="I111" s="27"/>
      <c r="J111" s="29"/>
      <c r="K111" s="29"/>
      <c r="L111" s="117" t="str">
        <f>IF( Tarakonesh[تراکنش]="", "",IF( Tarakonesh[تراکنش]="انتقال",L110,IF(Tarakonesh[تراکنش]="دریافت_درآمد",(Tarakonesh[[#This Row],[مبلغ (ریال)]]+IF(Tarakonesh[تراکنش]="انتقال",0,L110)),((IF(Tarakonesh[تراکنش]="انتقال",0,L110))-Tarakonesh[[#This Row],[مبلغ (ریال)]]))))</f>
        <v/>
      </c>
      <c r="M111" s="33"/>
      <c r="N111" s="33"/>
    </row>
    <row r="112" spans="1:14" x14ac:dyDescent="0.25">
      <c r="A112" s="28">
        <v>105</v>
      </c>
      <c r="B112" s="29"/>
      <c r="C112" s="33"/>
      <c r="D112" s="33"/>
      <c r="E112" s="41"/>
      <c r="F112" s="29"/>
      <c r="G112" s="29"/>
      <c r="H112" s="29"/>
      <c r="I112" s="27"/>
      <c r="J112" s="29"/>
      <c r="K112" s="29"/>
      <c r="L112" s="117" t="str">
        <f>IF( Tarakonesh[تراکنش]="", "",IF( Tarakonesh[تراکنش]="انتقال",L111,IF(Tarakonesh[تراکنش]="دریافت_درآمد",(Tarakonesh[[#This Row],[مبلغ (ریال)]]+IF(Tarakonesh[تراکنش]="انتقال",0,L111)),((IF(Tarakonesh[تراکنش]="انتقال",0,L111))-Tarakonesh[[#This Row],[مبلغ (ریال)]]))))</f>
        <v/>
      </c>
      <c r="M112" s="33"/>
      <c r="N112" s="33"/>
    </row>
    <row r="113" spans="1:14" x14ac:dyDescent="0.25">
      <c r="A113" s="28">
        <v>106</v>
      </c>
      <c r="B113" s="29"/>
      <c r="C113" s="33"/>
      <c r="D113" s="33"/>
      <c r="E113" s="41"/>
      <c r="F113" s="29"/>
      <c r="G113" s="29"/>
      <c r="H113" s="29"/>
      <c r="I113" s="27"/>
      <c r="J113" s="29"/>
      <c r="K113" s="29"/>
      <c r="L113" s="117" t="str">
        <f>IF( Tarakonesh[تراکنش]="", "",IF( Tarakonesh[تراکنش]="انتقال",L112,IF(Tarakonesh[تراکنش]="دریافت_درآمد",(Tarakonesh[[#This Row],[مبلغ (ریال)]]+IF(Tarakonesh[تراکنش]="انتقال",0,L112)),((IF(Tarakonesh[تراکنش]="انتقال",0,L112))-Tarakonesh[[#This Row],[مبلغ (ریال)]]))))</f>
        <v/>
      </c>
      <c r="M113" s="33"/>
      <c r="N113" s="33"/>
    </row>
    <row r="114" spans="1:14" x14ac:dyDescent="0.25">
      <c r="A114" s="28">
        <v>107</v>
      </c>
      <c r="B114" s="29"/>
      <c r="C114" s="33"/>
      <c r="D114" s="33"/>
      <c r="E114" s="41"/>
      <c r="F114" s="29"/>
      <c r="G114" s="29"/>
      <c r="H114" s="29"/>
      <c r="I114" s="27"/>
      <c r="J114" s="29"/>
      <c r="K114" s="29"/>
      <c r="L114" s="117" t="str">
        <f>IF( Tarakonesh[تراکنش]="", "",IF( Tarakonesh[تراکنش]="انتقال",L113,IF(Tarakonesh[تراکنش]="دریافت_درآمد",(Tarakonesh[[#This Row],[مبلغ (ریال)]]+IF(Tarakonesh[تراکنش]="انتقال",0,L113)),((IF(Tarakonesh[تراکنش]="انتقال",0,L113))-Tarakonesh[[#This Row],[مبلغ (ریال)]]))))</f>
        <v/>
      </c>
      <c r="M114" s="33"/>
      <c r="N114" s="33"/>
    </row>
    <row r="115" spans="1:14" x14ac:dyDescent="0.25">
      <c r="A115" s="28">
        <v>108</v>
      </c>
      <c r="B115" s="29"/>
      <c r="C115" s="33"/>
      <c r="D115" s="33"/>
      <c r="E115" s="41"/>
      <c r="F115" s="29"/>
      <c r="G115" s="29"/>
      <c r="H115" s="29"/>
      <c r="I115" s="27"/>
      <c r="J115" s="29"/>
      <c r="K115" s="29"/>
      <c r="L115" s="117" t="str">
        <f>IF( Tarakonesh[تراکنش]="", "",IF( Tarakonesh[تراکنش]="انتقال",L114,IF(Tarakonesh[تراکنش]="دریافت_درآمد",(Tarakonesh[[#This Row],[مبلغ (ریال)]]+IF(Tarakonesh[تراکنش]="انتقال",0,L114)),((IF(Tarakonesh[تراکنش]="انتقال",0,L114))-Tarakonesh[[#This Row],[مبلغ (ریال)]]))))</f>
        <v/>
      </c>
      <c r="M115" s="33"/>
      <c r="N115" s="33"/>
    </row>
    <row r="116" spans="1:14" x14ac:dyDescent="0.25">
      <c r="A116" s="28">
        <v>109</v>
      </c>
      <c r="B116" s="29"/>
      <c r="C116" s="33"/>
      <c r="D116" s="33"/>
      <c r="E116" s="41"/>
      <c r="F116" s="29"/>
      <c r="G116" s="29"/>
      <c r="H116" s="29"/>
      <c r="I116" s="27"/>
      <c r="J116" s="29"/>
      <c r="K116" s="29"/>
      <c r="L116" s="117" t="str">
        <f>IF( Tarakonesh[تراکنش]="", "",IF( Tarakonesh[تراکنش]="انتقال",L115,IF(Tarakonesh[تراکنش]="دریافت_درآمد",(Tarakonesh[[#This Row],[مبلغ (ریال)]]+IF(Tarakonesh[تراکنش]="انتقال",0,L115)),((IF(Tarakonesh[تراکنش]="انتقال",0,L115))-Tarakonesh[[#This Row],[مبلغ (ریال)]]))))</f>
        <v/>
      </c>
      <c r="M116" s="33"/>
      <c r="N116" s="33"/>
    </row>
    <row r="117" spans="1:14" x14ac:dyDescent="0.25">
      <c r="A117" s="28">
        <v>110</v>
      </c>
      <c r="B117" s="29"/>
      <c r="C117" s="33"/>
      <c r="D117" s="33"/>
      <c r="E117" s="41"/>
      <c r="F117" s="29"/>
      <c r="G117" s="29"/>
      <c r="H117" s="29"/>
      <c r="I117" s="27"/>
      <c r="J117" s="29"/>
      <c r="K117" s="29"/>
      <c r="L117" s="117" t="str">
        <f>IF( Tarakonesh[تراکنش]="", "",IF( Tarakonesh[تراکنش]="انتقال",L116,IF(Tarakonesh[تراکنش]="دریافت_درآمد",(Tarakonesh[[#This Row],[مبلغ (ریال)]]+IF(Tarakonesh[تراکنش]="انتقال",0,L116)),((IF(Tarakonesh[تراکنش]="انتقال",0,L116))-Tarakonesh[[#This Row],[مبلغ (ریال)]]))))</f>
        <v/>
      </c>
      <c r="M117" s="33"/>
      <c r="N117" s="33"/>
    </row>
    <row r="118" spans="1:14" x14ac:dyDescent="0.25">
      <c r="A118" s="28">
        <v>111</v>
      </c>
      <c r="B118" s="29"/>
      <c r="C118" s="33"/>
      <c r="D118" s="33"/>
      <c r="E118" s="41"/>
      <c r="F118" s="29"/>
      <c r="G118" s="29"/>
      <c r="H118" s="29"/>
      <c r="I118" s="27"/>
      <c r="J118" s="29"/>
      <c r="K118" s="29"/>
      <c r="L118" s="117" t="str">
        <f>IF( Tarakonesh[تراکنش]="", "",IF( Tarakonesh[تراکنش]="انتقال",L117,IF(Tarakonesh[تراکنش]="دریافت_درآمد",(Tarakonesh[[#This Row],[مبلغ (ریال)]]+IF(Tarakonesh[تراکنش]="انتقال",0,L117)),((IF(Tarakonesh[تراکنش]="انتقال",0,L117))-Tarakonesh[[#This Row],[مبلغ (ریال)]]))))</f>
        <v/>
      </c>
      <c r="M118" s="33"/>
      <c r="N118" s="33"/>
    </row>
    <row r="119" spans="1:14" x14ac:dyDescent="0.25">
      <c r="A119" s="28">
        <v>112</v>
      </c>
      <c r="B119" s="29"/>
      <c r="C119" s="33"/>
      <c r="D119" s="33"/>
      <c r="E119" s="41"/>
      <c r="F119" s="29"/>
      <c r="G119" s="29"/>
      <c r="H119" s="29"/>
      <c r="I119" s="27"/>
      <c r="J119" s="29"/>
      <c r="K119" s="29"/>
      <c r="L119" s="117" t="str">
        <f>IF( Tarakonesh[تراکنش]="", "",IF( Tarakonesh[تراکنش]="انتقال",L118,IF(Tarakonesh[تراکنش]="دریافت_درآمد",(Tarakonesh[[#This Row],[مبلغ (ریال)]]+IF(Tarakonesh[تراکنش]="انتقال",0,L118)),((IF(Tarakonesh[تراکنش]="انتقال",0,L118))-Tarakonesh[[#This Row],[مبلغ (ریال)]]))))</f>
        <v/>
      </c>
      <c r="M119" s="33"/>
      <c r="N119" s="33"/>
    </row>
    <row r="120" spans="1:14" x14ac:dyDescent="0.25">
      <c r="A120" s="28">
        <v>113</v>
      </c>
      <c r="B120" s="29"/>
      <c r="C120" s="33"/>
      <c r="D120" s="33"/>
      <c r="E120" s="41"/>
      <c r="F120" s="29"/>
      <c r="G120" s="29"/>
      <c r="H120" s="29"/>
      <c r="I120" s="27"/>
      <c r="J120" s="29"/>
      <c r="K120" s="29"/>
      <c r="L120" s="117" t="str">
        <f>IF( Tarakonesh[تراکنش]="", "",IF( Tarakonesh[تراکنش]="انتقال",L119,IF(Tarakonesh[تراکنش]="دریافت_درآمد",(Tarakonesh[[#This Row],[مبلغ (ریال)]]+IF(Tarakonesh[تراکنش]="انتقال",0,L119)),((IF(Tarakonesh[تراکنش]="انتقال",0,L119))-Tarakonesh[[#This Row],[مبلغ (ریال)]]))))</f>
        <v/>
      </c>
      <c r="M120" s="33"/>
      <c r="N120" s="33"/>
    </row>
    <row r="121" spans="1:14" x14ac:dyDescent="0.25">
      <c r="A121" s="28">
        <v>114</v>
      </c>
      <c r="B121" s="29"/>
      <c r="C121" s="33"/>
      <c r="D121" s="33"/>
      <c r="E121" s="41"/>
      <c r="F121" s="29"/>
      <c r="G121" s="29"/>
      <c r="H121" s="29"/>
      <c r="I121" s="27"/>
      <c r="J121" s="29"/>
      <c r="K121" s="29"/>
      <c r="L121" s="117" t="str">
        <f>IF( Tarakonesh[تراکنش]="", "",IF( Tarakonesh[تراکنش]="انتقال",L120,IF(Tarakonesh[تراکنش]="دریافت_درآمد",(Tarakonesh[[#This Row],[مبلغ (ریال)]]+IF(Tarakonesh[تراکنش]="انتقال",0,L120)),((IF(Tarakonesh[تراکنش]="انتقال",0,L120))-Tarakonesh[[#This Row],[مبلغ (ریال)]]))))</f>
        <v/>
      </c>
      <c r="M121" s="33"/>
      <c r="N121" s="33"/>
    </row>
    <row r="122" spans="1:14" x14ac:dyDescent="0.25">
      <c r="A122" s="28">
        <v>115</v>
      </c>
      <c r="B122" s="29"/>
      <c r="C122" s="33"/>
      <c r="D122" s="33"/>
      <c r="E122" s="41"/>
      <c r="F122" s="29"/>
      <c r="G122" s="29"/>
      <c r="H122" s="29"/>
      <c r="I122" s="27"/>
      <c r="J122" s="29"/>
      <c r="K122" s="29"/>
      <c r="L122" s="117" t="str">
        <f>IF( Tarakonesh[تراکنش]="", "",IF( Tarakonesh[تراکنش]="انتقال",L121,IF(Tarakonesh[تراکنش]="دریافت_درآمد",(Tarakonesh[[#This Row],[مبلغ (ریال)]]+IF(Tarakonesh[تراکنش]="انتقال",0,L121)),((IF(Tarakonesh[تراکنش]="انتقال",0,L121))-Tarakonesh[[#This Row],[مبلغ (ریال)]]))))</f>
        <v/>
      </c>
      <c r="M122" s="33"/>
      <c r="N122" s="33"/>
    </row>
    <row r="123" spans="1:14" x14ac:dyDescent="0.25">
      <c r="A123" s="28">
        <v>116</v>
      </c>
      <c r="B123" s="29"/>
      <c r="C123" s="33"/>
      <c r="D123" s="33"/>
      <c r="E123" s="41"/>
      <c r="F123" s="29"/>
      <c r="G123" s="29"/>
      <c r="H123" s="29"/>
      <c r="I123" s="27"/>
      <c r="J123" s="29"/>
      <c r="K123" s="29"/>
      <c r="L123" s="117" t="str">
        <f>IF( Tarakonesh[تراکنش]="", "",IF( Tarakonesh[تراکنش]="انتقال",L122,IF(Tarakonesh[تراکنش]="دریافت_درآمد",(Tarakonesh[[#This Row],[مبلغ (ریال)]]+IF(Tarakonesh[تراکنش]="انتقال",0,L122)),((IF(Tarakonesh[تراکنش]="انتقال",0,L122))-Tarakonesh[[#This Row],[مبلغ (ریال)]]))))</f>
        <v/>
      </c>
      <c r="M123" s="33"/>
      <c r="N123" s="33"/>
    </row>
    <row r="124" spans="1:14" x14ac:dyDescent="0.25">
      <c r="A124" s="28">
        <v>117</v>
      </c>
      <c r="B124" s="29"/>
      <c r="C124" s="33"/>
      <c r="D124" s="33"/>
      <c r="E124" s="41"/>
      <c r="F124" s="29"/>
      <c r="G124" s="29"/>
      <c r="H124" s="29"/>
      <c r="I124" s="27"/>
      <c r="J124" s="29"/>
      <c r="K124" s="29"/>
      <c r="L124" s="117" t="str">
        <f>IF( Tarakonesh[تراکنش]="", "",IF( Tarakonesh[تراکنش]="انتقال",L123,IF(Tarakonesh[تراکنش]="دریافت_درآمد",(Tarakonesh[[#This Row],[مبلغ (ریال)]]+IF(Tarakonesh[تراکنش]="انتقال",0,L123)),((IF(Tarakonesh[تراکنش]="انتقال",0,L123))-Tarakonesh[[#This Row],[مبلغ (ریال)]]))))</f>
        <v/>
      </c>
      <c r="M124" s="33"/>
      <c r="N124" s="33"/>
    </row>
    <row r="125" spans="1:14" x14ac:dyDescent="0.25">
      <c r="A125" s="28">
        <v>118</v>
      </c>
      <c r="B125" s="29"/>
      <c r="C125" s="33"/>
      <c r="D125" s="33"/>
      <c r="E125" s="41"/>
      <c r="F125" s="29"/>
      <c r="G125" s="29"/>
      <c r="H125" s="29"/>
      <c r="I125" s="27"/>
      <c r="J125" s="29"/>
      <c r="K125" s="29"/>
      <c r="L125" s="117" t="str">
        <f>IF( Tarakonesh[تراکنش]="", "",IF( Tarakonesh[تراکنش]="انتقال",L124,IF(Tarakonesh[تراکنش]="دریافت_درآمد",(Tarakonesh[[#This Row],[مبلغ (ریال)]]+IF(Tarakonesh[تراکنش]="انتقال",0,L124)),((IF(Tarakonesh[تراکنش]="انتقال",0,L124))-Tarakonesh[[#This Row],[مبلغ (ریال)]]))))</f>
        <v/>
      </c>
      <c r="M125" s="33"/>
      <c r="N125" s="33"/>
    </row>
    <row r="126" spans="1:14" x14ac:dyDescent="0.25">
      <c r="A126" s="28">
        <v>119</v>
      </c>
      <c r="B126" s="29"/>
      <c r="C126" s="33"/>
      <c r="D126" s="33"/>
      <c r="E126" s="41"/>
      <c r="F126" s="29"/>
      <c r="G126" s="29"/>
      <c r="H126" s="29"/>
      <c r="I126" s="27"/>
      <c r="J126" s="29"/>
      <c r="K126" s="29"/>
      <c r="L126" s="117" t="str">
        <f>IF( Tarakonesh[تراکنش]="", "",IF( Tarakonesh[تراکنش]="انتقال",L125,IF(Tarakonesh[تراکنش]="دریافت_درآمد",(Tarakonesh[[#This Row],[مبلغ (ریال)]]+IF(Tarakonesh[تراکنش]="انتقال",0,L125)),((IF(Tarakonesh[تراکنش]="انتقال",0,L125))-Tarakonesh[[#This Row],[مبلغ (ریال)]]))))</f>
        <v/>
      </c>
      <c r="M126" s="33"/>
      <c r="N126" s="33"/>
    </row>
    <row r="127" spans="1:14" x14ac:dyDescent="0.25">
      <c r="A127" s="28">
        <v>120</v>
      </c>
      <c r="B127" s="29"/>
      <c r="C127" s="33"/>
      <c r="D127" s="33"/>
      <c r="E127" s="41"/>
      <c r="F127" s="29"/>
      <c r="G127" s="29"/>
      <c r="H127" s="29"/>
      <c r="I127" s="27"/>
      <c r="J127" s="29"/>
      <c r="K127" s="29"/>
      <c r="L127" s="117" t="str">
        <f>IF( Tarakonesh[تراکنش]="", "",IF( Tarakonesh[تراکنش]="انتقال",L126,IF(Tarakonesh[تراکنش]="دریافت_درآمد",(Tarakonesh[[#This Row],[مبلغ (ریال)]]+IF(Tarakonesh[تراکنش]="انتقال",0,L126)),((IF(Tarakonesh[تراکنش]="انتقال",0,L126))-Tarakonesh[[#This Row],[مبلغ (ریال)]]))))</f>
        <v/>
      </c>
      <c r="M127" s="33"/>
      <c r="N127" s="33"/>
    </row>
    <row r="128" spans="1:14" x14ac:dyDescent="0.25">
      <c r="A128" s="28">
        <v>121</v>
      </c>
      <c r="B128" s="29"/>
      <c r="C128" s="33"/>
      <c r="D128" s="33"/>
      <c r="E128" s="41"/>
      <c r="F128" s="29"/>
      <c r="G128" s="29"/>
      <c r="H128" s="29"/>
      <c r="I128" s="27"/>
      <c r="J128" s="29"/>
      <c r="K128" s="29"/>
      <c r="L128" s="117" t="str">
        <f>IF( Tarakonesh[تراکنش]="", "",IF( Tarakonesh[تراکنش]="انتقال",L127,IF(Tarakonesh[تراکنش]="دریافت_درآمد",(Tarakonesh[[#This Row],[مبلغ (ریال)]]+IF(Tarakonesh[تراکنش]="انتقال",0,L127)),((IF(Tarakonesh[تراکنش]="انتقال",0,L127))-Tarakonesh[[#This Row],[مبلغ (ریال)]]))))</f>
        <v/>
      </c>
      <c r="M128" s="33"/>
      <c r="N128" s="33"/>
    </row>
    <row r="129" spans="1:14" x14ac:dyDescent="0.25">
      <c r="A129" s="28">
        <v>122</v>
      </c>
      <c r="B129" s="29"/>
      <c r="C129" s="33"/>
      <c r="D129" s="33"/>
      <c r="E129" s="41"/>
      <c r="F129" s="29"/>
      <c r="G129" s="29"/>
      <c r="H129" s="29"/>
      <c r="I129" s="27"/>
      <c r="J129" s="29"/>
      <c r="K129" s="29"/>
      <c r="L129" s="117" t="str">
        <f>IF( Tarakonesh[تراکنش]="", "",IF( Tarakonesh[تراکنش]="انتقال",L128,IF(Tarakonesh[تراکنش]="دریافت_درآمد",(Tarakonesh[[#This Row],[مبلغ (ریال)]]+IF(Tarakonesh[تراکنش]="انتقال",0,L128)),((IF(Tarakonesh[تراکنش]="انتقال",0,L128))-Tarakonesh[[#This Row],[مبلغ (ریال)]]))))</f>
        <v/>
      </c>
      <c r="M129" s="33"/>
      <c r="N129" s="33"/>
    </row>
    <row r="130" spans="1:14" x14ac:dyDescent="0.25">
      <c r="A130" s="28">
        <v>123</v>
      </c>
      <c r="B130" s="29"/>
      <c r="C130" s="33"/>
      <c r="D130" s="33"/>
      <c r="E130" s="41"/>
      <c r="F130" s="29"/>
      <c r="G130" s="29"/>
      <c r="H130" s="29"/>
      <c r="I130" s="27"/>
      <c r="J130" s="29"/>
      <c r="K130" s="29"/>
      <c r="L130" s="117" t="str">
        <f>IF( Tarakonesh[تراکنش]="", "",IF( Tarakonesh[تراکنش]="انتقال",L129,IF(Tarakonesh[تراکنش]="دریافت_درآمد",(Tarakonesh[[#This Row],[مبلغ (ریال)]]+IF(Tarakonesh[تراکنش]="انتقال",0,L129)),((IF(Tarakonesh[تراکنش]="انتقال",0,L129))-Tarakonesh[[#This Row],[مبلغ (ریال)]]))))</f>
        <v/>
      </c>
      <c r="M130" s="33"/>
      <c r="N130" s="33"/>
    </row>
    <row r="131" spans="1:14" x14ac:dyDescent="0.25">
      <c r="A131" s="28">
        <v>124</v>
      </c>
      <c r="B131" s="29"/>
      <c r="C131" s="33"/>
      <c r="D131" s="33"/>
      <c r="E131" s="41"/>
      <c r="F131" s="29"/>
      <c r="G131" s="29"/>
      <c r="H131" s="29"/>
      <c r="I131" s="27"/>
      <c r="J131" s="29"/>
      <c r="K131" s="29"/>
      <c r="L131" s="117" t="str">
        <f>IF( Tarakonesh[تراکنش]="", "",IF( Tarakonesh[تراکنش]="انتقال",L130,IF(Tarakonesh[تراکنش]="دریافت_درآمد",(Tarakonesh[[#This Row],[مبلغ (ریال)]]+IF(Tarakonesh[تراکنش]="انتقال",0,L130)),((IF(Tarakonesh[تراکنش]="انتقال",0,L130))-Tarakonesh[[#This Row],[مبلغ (ریال)]]))))</f>
        <v/>
      </c>
      <c r="M131" s="33"/>
      <c r="N131" s="33"/>
    </row>
    <row r="132" spans="1:14" x14ac:dyDescent="0.25">
      <c r="A132" s="28">
        <v>125</v>
      </c>
      <c r="B132" s="29"/>
      <c r="C132" s="33"/>
      <c r="D132" s="33"/>
      <c r="E132" s="41"/>
      <c r="F132" s="29"/>
      <c r="G132" s="29"/>
      <c r="H132" s="29"/>
      <c r="I132" s="27"/>
      <c r="J132" s="29"/>
      <c r="K132" s="29"/>
      <c r="L132" s="117" t="str">
        <f>IF( Tarakonesh[تراکنش]="", "",IF( Tarakonesh[تراکنش]="انتقال",L131,IF(Tarakonesh[تراکنش]="دریافت_درآمد",(Tarakonesh[[#This Row],[مبلغ (ریال)]]+IF(Tarakonesh[تراکنش]="انتقال",0,L131)),((IF(Tarakonesh[تراکنش]="انتقال",0,L131))-Tarakonesh[[#This Row],[مبلغ (ریال)]]))))</f>
        <v/>
      </c>
      <c r="M132" s="33"/>
      <c r="N132" s="33"/>
    </row>
    <row r="133" spans="1:14" x14ac:dyDescent="0.25">
      <c r="A133" s="28">
        <v>126</v>
      </c>
      <c r="B133" s="29"/>
      <c r="C133" s="33"/>
      <c r="D133" s="33"/>
      <c r="E133" s="41"/>
      <c r="F133" s="29"/>
      <c r="G133" s="29"/>
      <c r="H133" s="29"/>
      <c r="I133" s="27"/>
      <c r="J133" s="29"/>
      <c r="K133" s="29"/>
      <c r="L133" s="117" t="str">
        <f>IF( Tarakonesh[تراکنش]="", "",IF( Tarakonesh[تراکنش]="انتقال",L132,IF(Tarakonesh[تراکنش]="دریافت_درآمد",(Tarakonesh[[#This Row],[مبلغ (ریال)]]+IF(Tarakonesh[تراکنش]="انتقال",0,L132)),((IF(Tarakonesh[تراکنش]="انتقال",0,L132))-Tarakonesh[[#This Row],[مبلغ (ریال)]]))))</f>
        <v/>
      </c>
      <c r="M133" s="33"/>
      <c r="N133" s="33"/>
    </row>
    <row r="134" spans="1:14" x14ac:dyDescent="0.25">
      <c r="A134" s="28">
        <v>127</v>
      </c>
      <c r="B134" s="29"/>
      <c r="C134" s="33"/>
      <c r="D134" s="33"/>
      <c r="E134" s="41"/>
      <c r="F134" s="29"/>
      <c r="G134" s="29"/>
      <c r="H134" s="29"/>
      <c r="I134" s="27"/>
      <c r="J134" s="29"/>
      <c r="K134" s="29"/>
      <c r="L134" s="117" t="str">
        <f>IF( Tarakonesh[تراکنش]="", "",IF( Tarakonesh[تراکنش]="انتقال",L133,IF(Tarakonesh[تراکنش]="دریافت_درآمد",(Tarakonesh[[#This Row],[مبلغ (ریال)]]+IF(Tarakonesh[تراکنش]="انتقال",0,L133)),((IF(Tarakonesh[تراکنش]="انتقال",0,L133))-Tarakonesh[[#This Row],[مبلغ (ریال)]]))))</f>
        <v/>
      </c>
      <c r="M134" s="33"/>
      <c r="N134" s="33"/>
    </row>
    <row r="135" spans="1:14" x14ac:dyDescent="0.25">
      <c r="A135" s="28">
        <v>128</v>
      </c>
      <c r="B135" s="29"/>
      <c r="C135" s="33"/>
      <c r="D135" s="33"/>
      <c r="E135" s="41"/>
      <c r="F135" s="29"/>
      <c r="G135" s="29"/>
      <c r="H135" s="29"/>
      <c r="I135" s="27"/>
      <c r="J135" s="29"/>
      <c r="K135" s="29"/>
      <c r="L135" s="117" t="str">
        <f>IF( Tarakonesh[تراکنش]="", "",IF( Tarakonesh[تراکنش]="انتقال",L134,IF(Tarakonesh[تراکنش]="دریافت_درآمد",(Tarakonesh[[#This Row],[مبلغ (ریال)]]+IF(Tarakonesh[تراکنش]="انتقال",0,L134)),((IF(Tarakonesh[تراکنش]="انتقال",0,L134))-Tarakonesh[[#This Row],[مبلغ (ریال)]]))))</f>
        <v/>
      </c>
      <c r="M135" s="33"/>
      <c r="N135" s="33"/>
    </row>
    <row r="136" spans="1:14" x14ac:dyDescent="0.25">
      <c r="A136" s="28">
        <v>129</v>
      </c>
      <c r="B136" s="29"/>
      <c r="C136" s="33"/>
      <c r="D136" s="33"/>
      <c r="E136" s="41"/>
      <c r="F136" s="29"/>
      <c r="G136" s="29"/>
      <c r="H136" s="29"/>
      <c r="I136" s="27"/>
      <c r="J136" s="29"/>
      <c r="K136" s="29"/>
      <c r="L136" s="117" t="str">
        <f>IF( Tarakonesh[تراکنش]="", "",IF( Tarakonesh[تراکنش]="انتقال",L135,IF(Tarakonesh[تراکنش]="دریافت_درآمد",(Tarakonesh[[#This Row],[مبلغ (ریال)]]+IF(Tarakonesh[تراکنش]="انتقال",0,L135)),((IF(Tarakonesh[تراکنش]="انتقال",0,L135))-Tarakonesh[[#This Row],[مبلغ (ریال)]]))))</f>
        <v/>
      </c>
      <c r="M136" s="33"/>
      <c r="N136" s="33"/>
    </row>
    <row r="137" spans="1:14" x14ac:dyDescent="0.25">
      <c r="A137" s="28">
        <v>130</v>
      </c>
      <c r="B137" s="29"/>
      <c r="C137" s="33"/>
      <c r="D137" s="33"/>
      <c r="E137" s="41"/>
      <c r="F137" s="29"/>
      <c r="G137" s="29"/>
      <c r="H137" s="29"/>
      <c r="I137" s="27"/>
      <c r="J137" s="29"/>
      <c r="K137" s="29"/>
      <c r="L137" s="117" t="str">
        <f>IF( Tarakonesh[تراکنش]="", "",IF( Tarakonesh[تراکنش]="انتقال",L136,IF(Tarakonesh[تراکنش]="دریافت_درآمد",(Tarakonesh[[#This Row],[مبلغ (ریال)]]+IF(Tarakonesh[تراکنش]="انتقال",0,L136)),((IF(Tarakonesh[تراکنش]="انتقال",0,L136))-Tarakonesh[[#This Row],[مبلغ (ریال)]]))))</f>
        <v/>
      </c>
      <c r="M137" s="33"/>
      <c r="N137" s="33"/>
    </row>
    <row r="138" spans="1:14" x14ac:dyDescent="0.25">
      <c r="A138" s="28">
        <v>131</v>
      </c>
      <c r="B138" s="29"/>
      <c r="C138" s="33"/>
      <c r="D138" s="33"/>
      <c r="E138" s="41"/>
      <c r="F138" s="29"/>
      <c r="G138" s="29"/>
      <c r="H138" s="29"/>
      <c r="I138" s="27"/>
      <c r="J138" s="29"/>
      <c r="K138" s="29"/>
      <c r="L138" s="117" t="str">
        <f>IF( Tarakonesh[تراکنش]="", "",IF( Tarakonesh[تراکنش]="انتقال",L137,IF(Tarakonesh[تراکنش]="دریافت_درآمد",(Tarakonesh[[#This Row],[مبلغ (ریال)]]+IF(Tarakonesh[تراکنش]="انتقال",0,L137)),((IF(Tarakonesh[تراکنش]="انتقال",0,L137))-Tarakonesh[[#This Row],[مبلغ (ریال)]]))))</f>
        <v/>
      </c>
      <c r="M138" s="33"/>
      <c r="N138" s="33"/>
    </row>
    <row r="139" spans="1:14" x14ac:dyDescent="0.25">
      <c r="A139" s="28">
        <v>132</v>
      </c>
      <c r="B139" s="29"/>
      <c r="C139" s="33"/>
      <c r="D139" s="33"/>
      <c r="E139" s="41"/>
      <c r="F139" s="29"/>
      <c r="G139" s="29"/>
      <c r="H139" s="29"/>
      <c r="I139" s="27"/>
      <c r="J139" s="29"/>
      <c r="K139" s="29"/>
      <c r="L139" s="117" t="str">
        <f>IF( Tarakonesh[تراکنش]="", "",IF( Tarakonesh[تراکنش]="انتقال",L138,IF(Tarakonesh[تراکنش]="دریافت_درآمد",(Tarakonesh[[#This Row],[مبلغ (ریال)]]+IF(Tarakonesh[تراکنش]="انتقال",0,L138)),((IF(Tarakonesh[تراکنش]="انتقال",0,L138))-Tarakonesh[[#This Row],[مبلغ (ریال)]]))))</f>
        <v/>
      </c>
      <c r="M139" s="33"/>
      <c r="N139" s="33"/>
    </row>
    <row r="140" spans="1:14" x14ac:dyDescent="0.25">
      <c r="A140" s="28">
        <v>133</v>
      </c>
      <c r="B140" s="29"/>
      <c r="C140" s="33"/>
      <c r="D140" s="33"/>
      <c r="E140" s="41"/>
      <c r="F140" s="29"/>
      <c r="G140" s="29"/>
      <c r="H140" s="29"/>
      <c r="I140" s="27"/>
      <c r="J140" s="29"/>
      <c r="K140" s="29"/>
      <c r="L140" s="117" t="str">
        <f>IF( Tarakonesh[تراکنش]="", "",IF( Tarakonesh[تراکنش]="انتقال",L139,IF(Tarakonesh[تراکنش]="دریافت_درآمد",(Tarakonesh[[#This Row],[مبلغ (ریال)]]+IF(Tarakonesh[تراکنش]="انتقال",0,L139)),((IF(Tarakonesh[تراکنش]="انتقال",0,L139))-Tarakonesh[[#This Row],[مبلغ (ریال)]]))))</f>
        <v/>
      </c>
      <c r="M140" s="33"/>
      <c r="N140" s="33"/>
    </row>
    <row r="141" spans="1:14" x14ac:dyDescent="0.25">
      <c r="A141" s="28">
        <v>134</v>
      </c>
      <c r="B141" s="29"/>
      <c r="C141" s="33"/>
      <c r="D141" s="33"/>
      <c r="E141" s="41"/>
      <c r="F141" s="29"/>
      <c r="G141" s="29"/>
      <c r="H141" s="29"/>
      <c r="I141" s="27"/>
      <c r="J141" s="29"/>
      <c r="K141" s="29"/>
      <c r="L141" s="117" t="str">
        <f>IF( Tarakonesh[تراکنش]="", "",IF( Tarakonesh[تراکنش]="انتقال",L140,IF(Tarakonesh[تراکنش]="دریافت_درآمد",(Tarakonesh[[#This Row],[مبلغ (ریال)]]+IF(Tarakonesh[تراکنش]="انتقال",0,L140)),((IF(Tarakonesh[تراکنش]="انتقال",0,L140))-Tarakonesh[[#This Row],[مبلغ (ریال)]]))))</f>
        <v/>
      </c>
      <c r="M141" s="33"/>
      <c r="N141" s="33"/>
    </row>
    <row r="142" spans="1:14" x14ac:dyDescent="0.25">
      <c r="A142" s="28">
        <v>135</v>
      </c>
      <c r="B142" s="29"/>
      <c r="C142" s="33"/>
      <c r="D142" s="33"/>
      <c r="E142" s="41"/>
      <c r="F142" s="29"/>
      <c r="G142" s="29"/>
      <c r="H142" s="29"/>
      <c r="I142" s="27"/>
      <c r="J142" s="29"/>
      <c r="K142" s="29"/>
      <c r="L142" s="117" t="str">
        <f>IF( Tarakonesh[تراکنش]="", "",IF( Tarakonesh[تراکنش]="انتقال",L141,IF(Tarakonesh[تراکنش]="دریافت_درآمد",(Tarakonesh[[#This Row],[مبلغ (ریال)]]+IF(Tarakonesh[تراکنش]="انتقال",0,L141)),((IF(Tarakonesh[تراکنش]="انتقال",0,L141))-Tarakonesh[[#This Row],[مبلغ (ریال)]]))))</f>
        <v/>
      </c>
      <c r="M142" s="33"/>
      <c r="N142" s="33"/>
    </row>
    <row r="143" spans="1:14" x14ac:dyDescent="0.25">
      <c r="A143" s="28">
        <v>136</v>
      </c>
      <c r="B143" s="29"/>
      <c r="C143" s="33"/>
      <c r="D143" s="33"/>
      <c r="E143" s="41"/>
      <c r="F143" s="29"/>
      <c r="G143" s="29"/>
      <c r="H143" s="29"/>
      <c r="I143" s="27"/>
      <c r="J143" s="29"/>
      <c r="K143" s="29"/>
      <c r="L143" s="117" t="str">
        <f>IF( Tarakonesh[تراکنش]="", "",IF( Tarakonesh[تراکنش]="انتقال",L142,IF(Tarakonesh[تراکنش]="دریافت_درآمد",(Tarakonesh[[#This Row],[مبلغ (ریال)]]+IF(Tarakonesh[تراکنش]="انتقال",0,L142)),((IF(Tarakonesh[تراکنش]="انتقال",0,L142))-Tarakonesh[[#This Row],[مبلغ (ریال)]]))))</f>
        <v/>
      </c>
      <c r="M143" s="33"/>
      <c r="N143" s="33"/>
    </row>
    <row r="144" spans="1:14" x14ac:dyDescent="0.25">
      <c r="A144" s="28">
        <v>137</v>
      </c>
      <c r="B144" s="29"/>
      <c r="C144" s="33"/>
      <c r="D144" s="33"/>
      <c r="E144" s="41"/>
      <c r="F144" s="29"/>
      <c r="G144" s="29"/>
      <c r="H144" s="29"/>
      <c r="I144" s="27"/>
      <c r="J144" s="29"/>
      <c r="K144" s="29"/>
      <c r="L144" s="117" t="str">
        <f>IF( Tarakonesh[تراکنش]="", "",IF( Tarakonesh[تراکنش]="انتقال",L143,IF(Tarakonesh[تراکنش]="دریافت_درآمد",(Tarakonesh[[#This Row],[مبلغ (ریال)]]+IF(Tarakonesh[تراکنش]="انتقال",0,L143)),((IF(Tarakonesh[تراکنش]="انتقال",0,L143))-Tarakonesh[[#This Row],[مبلغ (ریال)]]))))</f>
        <v/>
      </c>
      <c r="M144" s="33"/>
      <c r="N144" s="33"/>
    </row>
    <row r="145" spans="1:14" x14ac:dyDescent="0.25">
      <c r="A145" s="28">
        <v>138</v>
      </c>
      <c r="B145" s="29"/>
      <c r="C145" s="33"/>
      <c r="D145" s="33"/>
      <c r="E145" s="41"/>
      <c r="F145" s="29"/>
      <c r="G145" s="29"/>
      <c r="H145" s="29"/>
      <c r="I145" s="27"/>
      <c r="J145" s="29"/>
      <c r="K145" s="29"/>
      <c r="L145" s="117" t="str">
        <f>IF( Tarakonesh[تراکنش]="", "",IF( Tarakonesh[تراکنش]="انتقال",L144,IF(Tarakonesh[تراکنش]="دریافت_درآمد",(Tarakonesh[[#This Row],[مبلغ (ریال)]]+IF(Tarakonesh[تراکنش]="انتقال",0,L144)),((IF(Tarakonesh[تراکنش]="انتقال",0,L144))-Tarakonesh[[#This Row],[مبلغ (ریال)]]))))</f>
        <v/>
      </c>
      <c r="M145" s="33"/>
      <c r="N145" s="33"/>
    </row>
    <row r="146" spans="1:14" x14ac:dyDescent="0.25">
      <c r="A146" s="28">
        <v>139</v>
      </c>
      <c r="B146" s="29"/>
      <c r="C146" s="33"/>
      <c r="D146" s="33"/>
      <c r="E146" s="41"/>
      <c r="F146" s="29"/>
      <c r="G146" s="29"/>
      <c r="H146" s="29"/>
      <c r="I146" s="27"/>
      <c r="J146" s="29"/>
      <c r="K146" s="29"/>
      <c r="L146" s="117" t="str">
        <f>IF( Tarakonesh[تراکنش]="", "",IF( Tarakonesh[تراکنش]="انتقال",L145,IF(Tarakonesh[تراکنش]="دریافت_درآمد",(Tarakonesh[[#This Row],[مبلغ (ریال)]]+IF(Tarakonesh[تراکنش]="انتقال",0,L145)),((IF(Tarakonesh[تراکنش]="انتقال",0,L145))-Tarakonesh[[#This Row],[مبلغ (ریال)]]))))</f>
        <v/>
      </c>
      <c r="M146" s="33"/>
      <c r="N146" s="33"/>
    </row>
    <row r="147" spans="1:14" x14ac:dyDescent="0.25">
      <c r="A147" s="28">
        <v>140</v>
      </c>
      <c r="B147" s="29"/>
      <c r="C147" s="33"/>
      <c r="D147" s="33"/>
      <c r="E147" s="41"/>
      <c r="F147" s="29"/>
      <c r="G147" s="29"/>
      <c r="H147" s="29"/>
      <c r="I147" s="27"/>
      <c r="J147" s="29"/>
      <c r="K147" s="29"/>
      <c r="L147" s="117" t="str">
        <f>IF( Tarakonesh[تراکنش]="", "",IF( Tarakonesh[تراکنش]="انتقال",L146,IF(Tarakonesh[تراکنش]="دریافت_درآمد",(Tarakonesh[[#This Row],[مبلغ (ریال)]]+IF(Tarakonesh[تراکنش]="انتقال",0,L146)),((IF(Tarakonesh[تراکنش]="انتقال",0,L146))-Tarakonesh[[#This Row],[مبلغ (ریال)]]))))</f>
        <v/>
      </c>
      <c r="M147" s="33"/>
      <c r="N147" s="33"/>
    </row>
    <row r="148" spans="1:14" x14ac:dyDescent="0.25">
      <c r="A148" s="28">
        <v>141</v>
      </c>
      <c r="B148" s="29"/>
      <c r="C148" s="33"/>
      <c r="D148" s="33"/>
      <c r="E148" s="41"/>
      <c r="F148" s="29"/>
      <c r="G148" s="29"/>
      <c r="H148" s="29"/>
      <c r="I148" s="27"/>
      <c r="J148" s="29"/>
      <c r="K148" s="29"/>
      <c r="L148" s="117" t="str">
        <f>IF( Tarakonesh[تراکنش]="", "",IF( Tarakonesh[تراکنش]="انتقال",L147,IF(Tarakonesh[تراکنش]="دریافت_درآمد",(Tarakonesh[[#This Row],[مبلغ (ریال)]]+IF(Tarakonesh[تراکنش]="انتقال",0,L147)),((IF(Tarakonesh[تراکنش]="انتقال",0,L147))-Tarakonesh[[#This Row],[مبلغ (ریال)]]))))</f>
        <v/>
      </c>
      <c r="M148" s="33"/>
      <c r="N148" s="33"/>
    </row>
    <row r="149" spans="1:14" x14ac:dyDescent="0.25">
      <c r="A149" s="28">
        <v>142</v>
      </c>
      <c r="B149" s="29"/>
      <c r="C149" s="33"/>
      <c r="D149" s="33"/>
      <c r="E149" s="41"/>
      <c r="F149" s="29"/>
      <c r="G149" s="29"/>
      <c r="H149" s="29"/>
      <c r="I149" s="27"/>
      <c r="J149" s="29"/>
      <c r="K149" s="29"/>
      <c r="L149" s="117" t="str">
        <f>IF( Tarakonesh[تراکنش]="", "",IF( Tarakonesh[تراکنش]="انتقال",L148,IF(Tarakonesh[تراکنش]="دریافت_درآمد",(Tarakonesh[[#This Row],[مبلغ (ریال)]]+IF(Tarakonesh[تراکنش]="انتقال",0,L148)),((IF(Tarakonesh[تراکنش]="انتقال",0,L148))-Tarakonesh[[#This Row],[مبلغ (ریال)]]))))</f>
        <v/>
      </c>
      <c r="M149" s="33"/>
      <c r="N149" s="33"/>
    </row>
    <row r="150" spans="1:14" x14ac:dyDescent="0.25">
      <c r="A150" s="28">
        <v>143</v>
      </c>
      <c r="B150" s="29"/>
      <c r="C150" s="33"/>
      <c r="D150" s="33"/>
      <c r="E150" s="41"/>
      <c r="F150" s="29"/>
      <c r="G150" s="29"/>
      <c r="H150" s="29"/>
      <c r="I150" s="27"/>
      <c r="J150" s="29"/>
      <c r="K150" s="29"/>
      <c r="L150" s="117" t="str">
        <f>IF( Tarakonesh[تراکنش]="", "",IF( Tarakonesh[تراکنش]="انتقال",L149,IF(Tarakonesh[تراکنش]="دریافت_درآمد",(Tarakonesh[[#This Row],[مبلغ (ریال)]]+IF(Tarakonesh[تراکنش]="انتقال",0,L149)),((IF(Tarakonesh[تراکنش]="انتقال",0,L149))-Tarakonesh[[#This Row],[مبلغ (ریال)]]))))</f>
        <v/>
      </c>
      <c r="M150" s="33"/>
      <c r="N150" s="33"/>
    </row>
    <row r="151" spans="1:14" x14ac:dyDescent="0.25">
      <c r="A151" s="28">
        <v>144</v>
      </c>
      <c r="B151" s="29"/>
      <c r="C151" s="33"/>
      <c r="D151" s="33"/>
      <c r="E151" s="41"/>
      <c r="F151" s="29"/>
      <c r="G151" s="29"/>
      <c r="H151" s="29"/>
      <c r="I151" s="27"/>
      <c r="J151" s="29"/>
      <c r="K151" s="29"/>
      <c r="L151" s="117" t="str">
        <f>IF( Tarakonesh[تراکنش]="", "",IF( Tarakonesh[تراکنش]="انتقال",L150,IF(Tarakonesh[تراکنش]="دریافت_درآمد",(Tarakonesh[[#This Row],[مبلغ (ریال)]]+IF(Tarakonesh[تراکنش]="انتقال",0,L150)),((IF(Tarakonesh[تراکنش]="انتقال",0,L150))-Tarakonesh[[#This Row],[مبلغ (ریال)]]))))</f>
        <v/>
      </c>
      <c r="M151" s="33"/>
      <c r="N151" s="33"/>
    </row>
    <row r="152" spans="1:14" x14ac:dyDescent="0.25">
      <c r="A152" s="28">
        <v>145</v>
      </c>
      <c r="B152" s="29"/>
      <c r="C152" s="33"/>
      <c r="D152" s="33"/>
      <c r="E152" s="41"/>
      <c r="F152" s="29"/>
      <c r="G152" s="29"/>
      <c r="H152" s="29"/>
      <c r="I152" s="27"/>
      <c r="J152" s="29"/>
      <c r="K152" s="29"/>
      <c r="L152" s="117" t="str">
        <f>IF( Tarakonesh[تراکنش]="", "",IF( Tarakonesh[تراکنش]="انتقال",L151,IF(Tarakonesh[تراکنش]="دریافت_درآمد",(Tarakonesh[[#This Row],[مبلغ (ریال)]]+IF(Tarakonesh[تراکنش]="انتقال",0,L151)),((IF(Tarakonesh[تراکنش]="انتقال",0,L151))-Tarakonesh[[#This Row],[مبلغ (ریال)]]))))</f>
        <v/>
      </c>
      <c r="M152" s="33"/>
      <c r="N152" s="33"/>
    </row>
    <row r="153" spans="1:14" x14ac:dyDescent="0.25">
      <c r="A153" s="28">
        <v>146</v>
      </c>
      <c r="B153" s="29"/>
      <c r="C153" s="33"/>
      <c r="D153" s="33"/>
      <c r="E153" s="41"/>
      <c r="F153" s="29"/>
      <c r="G153" s="29"/>
      <c r="H153" s="29"/>
      <c r="I153" s="27"/>
      <c r="J153" s="29"/>
      <c r="K153" s="29"/>
      <c r="L153" s="117" t="str">
        <f>IF( Tarakonesh[تراکنش]="", "",IF( Tarakonesh[تراکنش]="انتقال",L152,IF(Tarakonesh[تراکنش]="دریافت_درآمد",(Tarakonesh[[#This Row],[مبلغ (ریال)]]+IF(Tarakonesh[تراکنش]="انتقال",0,L152)),((IF(Tarakonesh[تراکنش]="انتقال",0,L152))-Tarakonesh[[#This Row],[مبلغ (ریال)]]))))</f>
        <v/>
      </c>
      <c r="M153" s="33"/>
      <c r="N153" s="33"/>
    </row>
    <row r="154" spans="1:14" x14ac:dyDescent="0.25">
      <c r="A154" s="28">
        <v>147</v>
      </c>
      <c r="B154" s="29"/>
      <c r="C154" s="33"/>
      <c r="D154" s="33"/>
      <c r="E154" s="41"/>
      <c r="F154" s="29"/>
      <c r="G154" s="29"/>
      <c r="H154" s="29"/>
      <c r="I154" s="27"/>
      <c r="J154" s="29"/>
      <c r="K154" s="29"/>
      <c r="L154" s="117" t="str">
        <f>IF( Tarakonesh[تراکنش]="", "",IF( Tarakonesh[تراکنش]="انتقال",L153,IF(Tarakonesh[تراکنش]="دریافت_درآمد",(Tarakonesh[[#This Row],[مبلغ (ریال)]]+IF(Tarakonesh[تراکنش]="انتقال",0,L153)),((IF(Tarakonesh[تراکنش]="انتقال",0,L153))-Tarakonesh[[#This Row],[مبلغ (ریال)]]))))</f>
        <v/>
      </c>
      <c r="M154" s="33"/>
      <c r="N154" s="33"/>
    </row>
    <row r="155" spans="1:14" x14ac:dyDescent="0.25">
      <c r="A155" s="28">
        <v>148</v>
      </c>
      <c r="B155" s="29"/>
      <c r="C155" s="33"/>
      <c r="D155" s="33"/>
      <c r="E155" s="41"/>
      <c r="F155" s="29"/>
      <c r="G155" s="29"/>
      <c r="H155" s="29"/>
      <c r="I155" s="27"/>
      <c r="J155" s="29"/>
      <c r="K155" s="29"/>
      <c r="L155" s="117" t="str">
        <f>IF( Tarakonesh[تراکنش]="", "",IF( Tarakonesh[تراکنش]="انتقال",L154,IF(Tarakonesh[تراکنش]="دریافت_درآمد",(Tarakonesh[[#This Row],[مبلغ (ریال)]]+IF(Tarakonesh[تراکنش]="انتقال",0,L154)),((IF(Tarakonesh[تراکنش]="انتقال",0,L154))-Tarakonesh[[#This Row],[مبلغ (ریال)]]))))</f>
        <v/>
      </c>
      <c r="M155" s="33"/>
      <c r="N155" s="33"/>
    </row>
    <row r="156" spans="1:14" x14ac:dyDescent="0.25">
      <c r="A156" s="28">
        <v>149</v>
      </c>
      <c r="B156" s="29"/>
      <c r="C156" s="33"/>
      <c r="D156" s="33"/>
      <c r="E156" s="41"/>
      <c r="F156" s="29"/>
      <c r="G156" s="29"/>
      <c r="H156" s="29"/>
      <c r="I156" s="27"/>
      <c r="J156" s="29"/>
      <c r="K156" s="29"/>
      <c r="L156" s="117" t="str">
        <f>IF( Tarakonesh[تراکنش]="", "",IF( Tarakonesh[تراکنش]="انتقال",L155,IF(Tarakonesh[تراکنش]="دریافت_درآمد",(Tarakonesh[[#This Row],[مبلغ (ریال)]]+IF(Tarakonesh[تراکنش]="انتقال",0,L155)),((IF(Tarakonesh[تراکنش]="انتقال",0,L155))-Tarakonesh[[#This Row],[مبلغ (ریال)]]))))</f>
        <v/>
      </c>
      <c r="M156" s="33"/>
      <c r="N156" s="33"/>
    </row>
    <row r="157" spans="1:14" x14ac:dyDescent="0.25">
      <c r="A157" s="28">
        <v>150</v>
      </c>
      <c r="B157" s="29"/>
      <c r="C157" s="33"/>
      <c r="D157" s="33"/>
      <c r="E157" s="41"/>
      <c r="F157" s="29"/>
      <c r="G157" s="29"/>
      <c r="H157" s="29"/>
      <c r="I157" s="27"/>
      <c r="J157" s="29"/>
      <c r="K157" s="29"/>
      <c r="L157" s="117" t="str">
        <f>IF( Tarakonesh[تراکنش]="", "",IF( Tarakonesh[تراکنش]="انتقال",L156,IF(Tarakonesh[تراکنش]="دریافت_درآمد",(Tarakonesh[[#This Row],[مبلغ (ریال)]]+IF(Tarakonesh[تراکنش]="انتقال",0,L156)),((IF(Tarakonesh[تراکنش]="انتقال",0,L156))-Tarakonesh[[#This Row],[مبلغ (ریال)]]))))</f>
        <v/>
      </c>
      <c r="M157" s="33"/>
      <c r="N157" s="33"/>
    </row>
    <row r="158" spans="1:14" x14ac:dyDescent="0.25">
      <c r="A158" s="28">
        <v>151</v>
      </c>
      <c r="B158" s="29"/>
      <c r="C158" s="33"/>
      <c r="D158" s="33"/>
      <c r="E158" s="41"/>
      <c r="F158" s="29"/>
      <c r="G158" s="29"/>
      <c r="H158" s="29"/>
      <c r="I158" s="27"/>
      <c r="J158" s="29"/>
      <c r="K158" s="29"/>
      <c r="L158" s="117" t="str">
        <f>IF( Tarakonesh[تراکنش]="", "",IF( Tarakonesh[تراکنش]="انتقال",L157,IF(Tarakonesh[تراکنش]="دریافت_درآمد",(Tarakonesh[[#This Row],[مبلغ (ریال)]]+IF(Tarakonesh[تراکنش]="انتقال",0,L157)),((IF(Tarakonesh[تراکنش]="انتقال",0,L157))-Tarakonesh[[#This Row],[مبلغ (ریال)]]))))</f>
        <v/>
      </c>
      <c r="M158" s="33"/>
      <c r="N158" s="33"/>
    </row>
    <row r="159" spans="1:14" x14ac:dyDescent="0.25">
      <c r="A159" s="28">
        <v>152</v>
      </c>
      <c r="B159" s="29"/>
      <c r="C159" s="33"/>
      <c r="D159" s="33"/>
      <c r="E159" s="41"/>
      <c r="F159" s="29"/>
      <c r="G159" s="29"/>
      <c r="H159" s="29"/>
      <c r="I159" s="27"/>
      <c r="J159" s="29"/>
      <c r="K159" s="29"/>
      <c r="L159" s="117" t="str">
        <f>IF( Tarakonesh[تراکنش]="", "",IF( Tarakonesh[تراکنش]="انتقال",L158,IF(Tarakonesh[تراکنش]="دریافت_درآمد",(Tarakonesh[[#This Row],[مبلغ (ریال)]]+IF(Tarakonesh[تراکنش]="انتقال",0,L158)),((IF(Tarakonesh[تراکنش]="انتقال",0,L158))-Tarakonesh[[#This Row],[مبلغ (ریال)]]))))</f>
        <v/>
      </c>
      <c r="M159" s="33"/>
      <c r="N159" s="33"/>
    </row>
    <row r="160" spans="1:14" x14ac:dyDescent="0.25">
      <c r="A160" s="28">
        <v>153</v>
      </c>
      <c r="B160" s="29"/>
      <c r="C160" s="33"/>
      <c r="D160" s="33"/>
      <c r="E160" s="41"/>
      <c r="F160" s="29"/>
      <c r="G160" s="29"/>
      <c r="H160" s="29"/>
      <c r="I160" s="27"/>
      <c r="J160" s="29"/>
      <c r="K160" s="29"/>
      <c r="L160" s="117" t="str">
        <f>IF( Tarakonesh[تراکنش]="", "",IF( Tarakonesh[تراکنش]="انتقال",L159,IF(Tarakonesh[تراکنش]="دریافت_درآمد",(Tarakonesh[[#This Row],[مبلغ (ریال)]]+IF(Tarakonesh[تراکنش]="انتقال",0,L159)),((IF(Tarakonesh[تراکنش]="انتقال",0,L159))-Tarakonesh[[#This Row],[مبلغ (ریال)]]))))</f>
        <v/>
      </c>
      <c r="M160" s="33"/>
      <c r="N160" s="33"/>
    </row>
    <row r="161" spans="1:14" x14ac:dyDescent="0.25">
      <c r="A161" s="28">
        <v>154</v>
      </c>
      <c r="B161" s="29"/>
      <c r="C161" s="33"/>
      <c r="D161" s="33"/>
      <c r="E161" s="41"/>
      <c r="F161" s="29"/>
      <c r="G161" s="29"/>
      <c r="H161" s="29"/>
      <c r="I161" s="27"/>
      <c r="J161" s="29"/>
      <c r="K161" s="29"/>
      <c r="L161" s="117" t="str">
        <f>IF( Tarakonesh[تراکنش]="", "",IF( Tarakonesh[تراکنش]="انتقال",L160,IF(Tarakonesh[تراکنش]="دریافت_درآمد",(Tarakonesh[[#This Row],[مبلغ (ریال)]]+IF(Tarakonesh[تراکنش]="انتقال",0,L160)),((IF(Tarakonesh[تراکنش]="انتقال",0,L160))-Tarakonesh[[#This Row],[مبلغ (ریال)]]))))</f>
        <v/>
      </c>
      <c r="M161" s="33"/>
      <c r="N161" s="33"/>
    </row>
    <row r="162" spans="1:14" x14ac:dyDescent="0.25">
      <c r="A162" s="28">
        <v>155</v>
      </c>
      <c r="B162" s="29"/>
      <c r="C162" s="33"/>
      <c r="D162" s="33"/>
      <c r="E162" s="41"/>
      <c r="F162" s="29"/>
      <c r="G162" s="29"/>
      <c r="H162" s="29"/>
      <c r="I162" s="27"/>
      <c r="J162" s="29"/>
      <c r="K162" s="29"/>
      <c r="L162" s="117" t="str">
        <f>IF( Tarakonesh[تراکنش]="", "",IF( Tarakonesh[تراکنش]="انتقال",L161,IF(Tarakonesh[تراکنش]="دریافت_درآمد",(Tarakonesh[[#This Row],[مبلغ (ریال)]]+IF(Tarakonesh[تراکنش]="انتقال",0,L161)),((IF(Tarakonesh[تراکنش]="انتقال",0,L161))-Tarakonesh[[#This Row],[مبلغ (ریال)]]))))</f>
        <v/>
      </c>
      <c r="M162" s="33"/>
      <c r="N162" s="33"/>
    </row>
    <row r="163" spans="1:14" x14ac:dyDescent="0.25">
      <c r="A163" s="28">
        <v>156</v>
      </c>
      <c r="B163" s="29"/>
      <c r="C163" s="33"/>
      <c r="D163" s="33"/>
      <c r="E163" s="41"/>
      <c r="F163" s="29"/>
      <c r="G163" s="29"/>
      <c r="H163" s="29"/>
      <c r="I163" s="27"/>
      <c r="J163" s="29"/>
      <c r="K163" s="29"/>
      <c r="L163" s="117" t="str">
        <f>IF( Tarakonesh[تراکنش]="", "",IF( Tarakonesh[تراکنش]="انتقال",L162,IF(Tarakonesh[تراکنش]="دریافت_درآمد",(Tarakonesh[[#This Row],[مبلغ (ریال)]]+IF(Tarakonesh[تراکنش]="انتقال",0,L162)),((IF(Tarakonesh[تراکنش]="انتقال",0,L162))-Tarakonesh[[#This Row],[مبلغ (ریال)]]))))</f>
        <v/>
      </c>
      <c r="M163" s="33"/>
      <c r="N163" s="33"/>
    </row>
    <row r="164" spans="1:14" x14ac:dyDescent="0.25">
      <c r="A164" s="28">
        <v>157</v>
      </c>
      <c r="B164" s="29"/>
      <c r="C164" s="33"/>
      <c r="D164" s="33"/>
      <c r="E164" s="41"/>
      <c r="F164" s="29"/>
      <c r="G164" s="29"/>
      <c r="H164" s="29"/>
      <c r="I164" s="27"/>
      <c r="J164" s="29"/>
      <c r="K164" s="29"/>
      <c r="L164" s="117" t="str">
        <f>IF( Tarakonesh[تراکنش]="", "",IF( Tarakonesh[تراکنش]="انتقال",L163,IF(Tarakonesh[تراکنش]="دریافت_درآمد",(Tarakonesh[[#This Row],[مبلغ (ریال)]]+IF(Tarakonesh[تراکنش]="انتقال",0,L163)),((IF(Tarakonesh[تراکنش]="انتقال",0,L163))-Tarakonesh[[#This Row],[مبلغ (ریال)]]))))</f>
        <v/>
      </c>
      <c r="M164" s="33"/>
      <c r="N164" s="33"/>
    </row>
    <row r="165" spans="1:14" x14ac:dyDescent="0.25">
      <c r="A165" s="28">
        <v>158</v>
      </c>
      <c r="B165" s="29"/>
      <c r="C165" s="33"/>
      <c r="D165" s="33"/>
      <c r="E165" s="41"/>
      <c r="F165" s="29"/>
      <c r="G165" s="29"/>
      <c r="H165" s="29"/>
      <c r="I165" s="27"/>
      <c r="J165" s="29"/>
      <c r="K165" s="29"/>
      <c r="L165" s="117" t="str">
        <f>IF( Tarakonesh[تراکنش]="", "",IF( Tarakonesh[تراکنش]="انتقال",L164,IF(Tarakonesh[تراکنش]="دریافت_درآمد",(Tarakonesh[[#This Row],[مبلغ (ریال)]]+IF(Tarakonesh[تراکنش]="انتقال",0,L164)),((IF(Tarakonesh[تراکنش]="انتقال",0,L164))-Tarakonesh[[#This Row],[مبلغ (ریال)]]))))</f>
        <v/>
      </c>
      <c r="M165" s="33"/>
      <c r="N165" s="33"/>
    </row>
    <row r="166" spans="1:14" x14ac:dyDescent="0.25">
      <c r="A166" s="28">
        <v>159</v>
      </c>
      <c r="B166" s="29"/>
      <c r="C166" s="33"/>
      <c r="D166" s="33"/>
      <c r="E166" s="41"/>
      <c r="F166" s="29"/>
      <c r="G166" s="29"/>
      <c r="H166" s="29"/>
      <c r="I166" s="27"/>
      <c r="J166" s="29"/>
      <c r="K166" s="29"/>
      <c r="L166" s="117" t="str">
        <f>IF( Tarakonesh[تراکنش]="", "",IF( Tarakonesh[تراکنش]="انتقال",L165,IF(Tarakonesh[تراکنش]="دریافت_درآمد",(Tarakonesh[[#This Row],[مبلغ (ریال)]]+IF(Tarakonesh[تراکنش]="انتقال",0,L165)),((IF(Tarakonesh[تراکنش]="انتقال",0,L165))-Tarakonesh[[#This Row],[مبلغ (ریال)]]))))</f>
        <v/>
      </c>
      <c r="M166" s="33"/>
      <c r="N166" s="33"/>
    </row>
    <row r="167" spans="1:14" x14ac:dyDescent="0.25">
      <c r="A167" s="28">
        <v>160</v>
      </c>
      <c r="B167" s="29"/>
      <c r="C167" s="33"/>
      <c r="D167" s="33"/>
      <c r="E167" s="41"/>
      <c r="F167" s="29"/>
      <c r="G167" s="29"/>
      <c r="H167" s="29"/>
      <c r="I167" s="27"/>
      <c r="J167" s="29"/>
      <c r="K167" s="29"/>
      <c r="L167" s="117" t="str">
        <f>IF( Tarakonesh[تراکنش]="", "",IF( Tarakonesh[تراکنش]="انتقال",L166,IF(Tarakonesh[تراکنش]="دریافت_درآمد",(Tarakonesh[[#This Row],[مبلغ (ریال)]]+IF(Tarakonesh[تراکنش]="انتقال",0,L166)),((IF(Tarakonesh[تراکنش]="انتقال",0,L166))-Tarakonesh[[#This Row],[مبلغ (ریال)]]))))</f>
        <v/>
      </c>
      <c r="M167" s="33"/>
      <c r="N167" s="33"/>
    </row>
    <row r="168" spans="1:14" x14ac:dyDescent="0.25">
      <c r="A168" s="28">
        <v>161</v>
      </c>
      <c r="B168" s="29"/>
      <c r="C168" s="33"/>
      <c r="D168" s="33"/>
      <c r="E168" s="41"/>
      <c r="F168" s="29"/>
      <c r="G168" s="29"/>
      <c r="H168" s="29"/>
      <c r="I168" s="27"/>
      <c r="J168" s="29"/>
      <c r="K168" s="29"/>
      <c r="L168" s="117" t="str">
        <f>IF( Tarakonesh[تراکنش]="", "",IF( Tarakonesh[تراکنش]="انتقال",L167,IF(Tarakonesh[تراکنش]="دریافت_درآمد",(Tarakonesh[[#This Row],[مبلغ (ریال)]]+IF(Tarakonesh[تراکنش]="انتقال",0,L167)),((IF(Tarakonesh[تراکنش]="انتقال",0,L167))-Tarakonesh[[#This Row],[مبلغ (ریال)]]))))</f>
        <v/>
      </c>
      <c r="M168" s="33"/>
      <c r="N168" s="33"/>
    </row>
    <row r="169" spans="1:14" x14ac:dyDescent="0.25">
      <c r="A169" s="28">
        <v>162</v>
      </c>
      <c r="B169" s="29"/>
      <c r="C169" s="33"/>
      <c r="D169" s="33"/>
      <c r="E169" s="41"/>
      <c r="F169" s="29"/>
      <c r="G169" s="29"/>
      <c r="H169" s="29"/>
      <c r="I169" s="27"/>
      <c r="J169" s="29"/>
      <c r="K169" s="29"/>
      <c r="L169" s="117" t="str">
        <f>IF( Tarakonesh[تراکنش]="", "",IF( Tarakonesh[تراکنش]="انتقال",L168,IF(Tarakonesh[تراکنش]="دریافت_درآمد",(Tarakonesh[[#This Row],[مبلغ (ریال)]]+IF(Tarakonesh[تراکنش]="انتقال",0,L168)),((IF(Tarakonesh[تراکنش]="انتقال",0,L168))-Tarakonesh[[#This Row],[مبلغ (ریال)]]))))</f>
        <v/>
      </c>
      <c r="M169" s="33"/>
      <c r="N169" s="33"/>
    </row>
    <row r="170" spans="1:14" x14ac:dyDescent="0.25">
      <c r="A170" s="28">
        <v>163</v>
      </c>
      <c r="B170" s="29"/>
      <c r="C170" s="33"/>
      <c r="D170" s="33"/>
      <c r="E170" s="41"/>
      <c r="F170" s="29"/>
      <c r="G170" s="29"/>
      <c r="H170" s="29"/>
      <c r="I170" s="27"/>
      <c r="J170" s="29"/>
      <c r="K170" s="29"/>
      <c r="L170" s="117" t="str">
        <f>IF( Tarakonesh[تراکنش]="", "",IF( Tarakonesh[تراکنش]="انتقال",L169,IF(Tarakonesh[تراکنش]="دریافت_درآمد",(Tarakonesh[[#This Row],[مبلغ (ریال)]]+IF(Tarakonesh[تراکنش]="انتقال",0,L169)),((IF(Tarakonesh[تراکنش]="انتقال",0,L169))-Tarakonesh[[#This Row],[مبلغ (ریال)]]))))</f>
        <v/>
      </c>
      <c r="M170" s="33"/>
      <c r="N170" s="33"/>
    </row>
    <row r="171" spans="1:14" x14ac:dyDescent="0.25">
      <c r="A171" s="28">
        <v>164</v>
      </c>
      <c r="B171" s="29"/>
      <c r="C171" s="33"/>
      <c r="D171" s="33"/>
      <c r="E171" s="41"/>
      <c r="F171" s="29"/>
      <c r="G171" s="29"/>
      <c r="H171" s="29"/>
      <c r="I171" s="27"/>
      <c r="J171" s="29"/>
      <c r="K171" s="29"/>
      <c r="L171" s="117" t="str">
        <f>IF( Tarakonesh[تراکنش]="", "",IF( Tarakonesh[تراکنش]="انتقال",L170,IF(Tarakonesh[تراکنش]="دریافت_درآمد",(Tarakonesh[[#This Row],[مبلغ (ریال)]]+IF(Tarakonesh[تراکنش]="انتقال",0,L170)),((IF(Tarakonesh[تراکنش]="انتقال",0,L170))-Tarakonesh[[#This Row],[مبلغ (ریال)]]))))</f>
        <v/>
      </c>
      <c r="M171" s="33"/>
      <c r="N171" s="33"/>
    </row>
    <row r="172" spans="1:14" x14ac:dyDescent="0.25">
      <c r="A172" s="28">
        <v>165</v>
      </c>
      <c r="B172" s="29"/>
      <c r="C172" s="33"/>
      <c r="D172" s="33"/>
      <c r="E172" s="41"/>
      <c r="F172" s="29"/>
      <c r="G172" s="29"/>
      <c r="H172" s="29"/>
      <c r="I172" s="27"/>
      <c r="J172" s="29"/>
      <c r="K172" s="29"/>
      <c r="L172" s="117" t="str">
        <f>IF( Tarakonesh[تراکنش]="", "",IF( Tarakonesh[تراکنش]="انتقال",L171,IF(Tarakonesh[تراکنش]="دریافت_درآمد",(Tarakonesh[[#This Row],[مبلغ (ریال)]]+IF(Tarakonesh[تراکنش]="انتقال",0,L171)),((IF(Tarakonesh[تراکنش]="انتقال",0,L171))-Tarakonesh[[#This Row],[مبلغ (ریال)]]))))</f>
        <v/>
      </c>
      <c r="M172" s="33"/>
      <c r="N172" s="33"/>
    </row>
    <row r="173" spans="1:14" x14ac:dyDescent="0.25">
      <c r="A173" s="28">
        <v>166</v>
      </c>
      <c r="B173" s="29"/>
      <c r="C173" s="33"/>
      <c r="D173" s="33"/>
      <c r="E173" s="41"/>
      <c r="F173" s="29"/>
      <c r="G173" s="29"/>
      <c r="H173" s="29"/>
      <c r="I173" s="27"/>
      <c r="J173" s="29"/>
      <c r="K173" s="29"/>
      <c r="L173" s="117" t="str">
        <f>IF( Tarakonesh[تراکنش]="", "",IF( Tarakonesh[تراکنش]="انتقال",L172,IF(Tarakonesh[تراکنش]="دریافت_درآمد",(Tarakonesh[[#This Row],[مبلغ (ریال)]]+IF(Tarakonesh[تراکنش]="انتقال",0,L172)),((IF(Tarakonesh[تراکنش]="انتقال",0,L172))-Tarakonesh[[#This Row],[مبلغ (ریال)]]))))</f>
        <v/>
      </c>
      <c r="M173" s="33"/>
      <c r="N173" s="33"/>
    </row>
    <row r="174" spans="1:14" x14ac:dyDescent="0.25">
      <c r="A174" s="28">
        <v>167</v>
      </c>
      <c r="B174" s="29"/>
      <c r="C174" s="33"/>
      <c r="D174" s="33"/>
      <c r="E174" s="41"/>
      <c r="F174" s="29"/>
      <c r="G174" s="29"/>
      <c r="H174" s="29"/>
      <c r="I174" s="27"/>
      <c r="J174" s="29"/>
      <c r="K174" s="29"/>
      <c r="L174" s="117" t="str">
        <f>IF( Tarakonesh[تراکنش]="", "",IF( Tarakonesh[تراکنش]="انتقال",L173,IF(Tarakonesh[تراکنش]="دریافت_درآمد",(Tarakonesh[[#This Row],[مبلغ (ریال)]]+IF(Tarakonesh[تراکنش]="انتقال",0,L173)),((IF(Tarakonesh[تراکنش]="انتقال",0,L173))-Tarakonesh[[#This Row],[مبلغ (ریال)]]))))</f>
        <v/>
      </c>
      <c r="M174" s="33"/>
      <c r="N174" s="33"/>
    </row>
    <row r="175" spans="1:14" x14ac:dyDescent="0.25">
      <c r="A175" s="28">
        <v>168</v>
      </c>
      <c r="B175" s="29"/>
      <c r="C175" s="33"/>
      <c r="D175" s="33"/>
      <c r="E175" s="41"/>
      <c r="F175" s="29"/>
      <c r="G175" s="29"/>
      <c r="H175" s="29"/>
      <c r="I175" s="27"/>
      <c r="J175" s="29"/>
      <c r="K175" s="29"/>
      <c r="L175" s="117" t="str">
        <f>IF( Tarakonesh[تراکنش]="", "",IF( Tarakonesh[تراکنش]="انتقال",L174,IF(Tarakonesh[تراکنش]="دریافت_درآمد",(Tarakonesh[[#This Row],[مبلغ (ریال)]]+IF(Tarakonesh[تراکنش]="انتقال",0,L174)),((IF(Tarakonesh[تراکنش]="انتقال",0,L174))-Tarakonesh[[#This Row],[مبلغ (ریال)]]))))</f>
        <v/>
      </c>
      <c r="M175" s="33"/>
      <c r="N175" s="33"/>
    </row>
    <row r="176" spans="1:14" x14ac:dyDescent="0.25">
      <c r="A176" s="28">
        <v>169</v>
      </c>
      <c r="B176" s="29"/>
      <c r="C176" s="33"/>
      <c r="D176" s="33"/>
      <c r="E176" s="41"/>
      <c r="F176" s="29"/>
      <c r="G176" s="29"/>
      <c r="H176" s="29"/>
      <c r="I176" s="27"/>
      <c r="J176" s="29"/>
      <c r="K176" s="29"/>
      <c r="L176" s="117" t="str">
        <f>IF( Tarakonesh[تراکنش]="", "",IF( Tarakonesh[تراکنش]="انتقال",L175,IF(Tarakonesh[تراکنش]="دریافت_درآمد",(Tarakonesh[[#This Row],[مبلغ (ریال)]]+IF(Tarakonesh[تراکنش]="انتقال",0,L175)),((IF(Tarakonesh[تراکنش]="انتقال",0,L175))-Tarakonesh[[#This Row],[مبلغ (ریال)]]))))</f>
        <v/>
      </c>
      <c r="M176" s="33"/>
      <c r="N176" s="33"/>
    </row>
    <row r="177" spans="1:14" x14ac:dyDescent="0.25">
      <c r="A177" s="28">
        <v>170</v>
      </c>
      <c r="B177" s="29"/>
      <c r="C177" s="33"/>
      <c r="D177" s="33"/>
      <c r="E177" s="41"/>
      <c r="F177" s="29"/>
      <c r="G177" s="29"/>
      <c r="H177" s="29"/>
      <c r="I177" s="27"/>
      <c r="J177" s="29"/>
      <c r="K177" s="29"/>
      <c r="L177" s="117" t="str">
        <f>IF( Tarakonesh[تراکنش]="", "",IF( Tarakonesh[تراکنش]="انتقال",L176,IF(Tarakonesh[تراکنش]="دریافت_درآمد",(Tarakonesh[[#This Row],[مبلغ (ریال)]]+IF(Tarakonesh[تراکنش]="انتقال",0,L176)),((IF(Tarakonesh[تراکنش]="انتقال",0,L176))-Tarakonesh[[#This Row],[مبلغ (ریال)]]))))</f>
        <v/>
      </c>
      <c r="M177" s="33"/>
      <c r="N177" s="33"/>
    </row>
    <row r="178" spans="1:14" x14ac:dyDescent="0.25">
      <c r="A178" s="28">
        <v>171</v>
      </c>
      <c r="B178" s="29"/>
      <c r="C178" s="33"/>
      <c r="D178" s="33"/>
      <c r="E178" s="41"/>
      <c r="F178" s="29"/>
      <c r="G178" s="29"/>
      <c r="H178" s="29"/>
      <c r="I178" s="27"/>
      <c r="J178" s="29"/>
      <c r="K178" s="29"/>
      <c r="L178" s="117" t="str">
        <f>IF( Tarakonesh[تراکنش]="", "",IF( Tarakonesh[تراکنش]="انتقال",L177,IF(Tarakonesh[تراکنش]="دریافت_درآمد",(Tarakonesh[[#This Row],[مبلغ (ریال)]]+IF(Tarakonesh[تراکنش]="انتقال",0,L177)),((IF(Tarakonesh[تراکنش]="انتقال",0,L177))-Tarakonesh[[#This Row],[مبلغ (ریال)]]))))</f>
        <v/>
      </c>
      <c r="M178" s="33"/>
      <c r="N178" s="33"/>
    </row>
    <row r="179" spans="1:14" x14ac:dyDescent="0.25">
      <c r="A179" s="28">
        <v>172</v>
      </c>
      <c r="B179" s="29"/>
      <c r="C179" s="33"/>
      <c r="D179" s="33"/>
      <c r="E179" s="41"/>
      <c r="F179" s="29"/>
      <c r="G179" s="29"/>
      <c r="H179" s="29"/>
      <c r="I179" s="27"/>
      <c r="J179" s="29"/>
      <c r="K179" s="29"/>
      <c r="L179" s="117" t="str">
        <f>IF( Tarakonesh[تراکنش]="", "",IF( Tarakonesh[تراکنش]="انتقال",L178,IF(Tarakonesh[تراکنش]="دریافت_درآمد",(Tarakonesh[[#This Row],[مبلغ (ریال)]]+IF(Tarakonesh[تراکنش]="انتقال",0,L178)),((IF(Tarakonesh[تراکنش]="انتقال",0,L178))-Tarakonesh[[#This Row],[مبلغ (ریال)]]))))</f>
        <v/>
      </c>
      <c r="M179" s="33"/>
      <c r="N179" s="33"/>
    </row>
    <row r="180" spans="1:14" x14ac:dyDescent="0.25">
      <c r="A180" s="28">
        <v>173</v>
      </c>
      <c r="B180" s="29"/>
      <c r="C180" s="33"/>
      <c r="D180" s="33"/>
      <c r="E180" s="41"/>
      <c r="F180" s="29"/>
      <c r="G180" s="29"/>
      <c r="H180" s="29"/>
      <c r="I180" s="27"/>
      <c r="J180" s="29"/>
      <c r="K180" s="29"/>
      <c r="L180" s="117" t="str">
        <f>IF( Tarakonesh[تراکنش]="", "",IF( Tarakonesh[تراکنش]="انتقال",L179,IF(Tarakonesh[تراکنش]="دریافت_درآمد",(Tarakonesh[[#This Row],[مبلغ (ریال)]]+IF(Tarakonesh[تراکنش]="انتقال",0,L179)),((IF(Tarakonesh[تراکنش]="انتقال",0,L179))-Tarakonesh[[#This Row],[مبلغ (ریال)]]))))</f>
        <v/>
      </c>
      <c r="M180" s="33"/>
      <c r="N180" s="33"/>
    </row>
    <row r="181" spans="1:14" x14ac:dyDescent="0.25">
      <c r="A181" s="28">
        <v>174</v>
      </c>
      <c r="B181" s="29"/>
      <c r="C181" s="33"/>
      <c r="D181" s="33"/>
      <c r="E181" s="41"/>
      <c r="F181" s="29"/>
      <c r="G181" s="29"/>
      <c r="H181" s="29"/>
      <c r="I181" s="27"/>
      <c r="J181" s="29"/>
      <c r="K181" s="29"/>
      <c r="L181" s="117" t="str">
        <f>IF( Tarakonesh[تراکنش]="", "",IF( Tarakonesh[تراکنش]="انتقال",L180,IF(Tarakonesh[تراکنش]="دریافت_درآمد",(Tarakonesh[[#This Row],[مبلغ (ریال)]]+IF(Tarakonesh[تراکنش]="انتقال",0,L180)),((IF(Tarakonesh[تراکنش]="انتقال",0,L180))-Tarakonesh[[#This Row],[مبلغ (ریال)]]))))</f>
        <v/>
      </c>
      <c r="M181" s="33"/>
      <c r="N181" s="33"/>
    </row>
    <row r="182" spans="1:14" x14ac:dyDescent="0.25">
      <c r="A182" s="28">
        <v>175</v>
      </c>
      <c r="B182" s="29"/>
      <c r="C182" s="33"/>
      <c r="D182" s="33"/>
      <c r="E182" s="41"/>
      <c r="F182" s="29"/>
      <c r="G182" s="29"/>
      <c r="H182" s="29"/>
      <c r="I182" s="27"/>
      <c r="J182" s="29"/>
      <c r="K182" s="29"/>
      <c r="L182" s="117" t="str">
        <f>IF( Tarakonesh[تراکنش]="", "",IF( Tarakonesh[تراکنش]="انتقال",L181,IF(Tarakonesh[تراکنش]="دریافت_درآمد",(Tarakonesh[[#This Row],[مبلغ (ریال)]]+IF(Tarakonesh[تراکنش]="انتقال",0,L181)),((IF(Tarakonesh[تراکنش]="انتقال",0,L181))-Tarakonesh[[#This Row],[مبلغ (ریال)]]))))</f>
        <v/>
      </c>
      <c r="M182" s="33"/>
      <c r="N182" s="33"/>
    </row>
    <row r="183" spans="1:14" x14ac:dyDescent="0.25">
      <c r="A183" s="28">
        <v>176</v>
      </c>
      <c r="B183" s="29"/>
      <c r="C183" s="33"/>
      <c r="D183" s="33"/>
      <c r="E183" s="41"/>
      <c r="F183" s="29"/>
      <c r="G183" s="29"/>
      <c r="H183" s="29"/>
      <c r="I183" s="27"/>
      <c r="J183" s="29"/>
      <c r="K183" s="29"/>
      <c r="L183" s="117" t="str">
        <f>IF( Tarakonesh[تراکنش]="", "",IF( Tarakonesh[تراکنش]="انتقال",L182,IF(Tarakonesh[تراکنش]="دریافت_درآمد",(Tarakonesh[[#This Row],[مبلغ (ریال)]]+IF(Tarakonesh[تراکنش]="انتقال",0,L182)),((IF(Tarakonesh[تراکنش]="انتقال",0,L182))-Tarakonesh[[#This Row],[مبلغ (ریال)]]))))</f>
        <v/>
      </c>
      <c r="M183" s="33"/>
      <c r="N183" s="33"/>
    </row>
    <row r="184" spans="1:14" x14ac:dyDescent="0.25">
      <c r="A184" s="28">
        <v>177</v>
      </c>
      <c r="B184" s="29"/>
      <c r="C184" s="33"/>
      <c r="D184" s="33"/>
      <c r="E184" s="41"/>
      <c r="F184" s="29"/>
      <c r="G184" s="29"/>
      <c r="H184" s="29"/>
      <c r="I184" s="27"/>
      <c r="J184" s="29"/>
      <c r="K184" s="29"/>
      <c r="L184" s="117" t="str">
        <f>IF( Tarakonesh[تراکنش]="", "",IF( Tarakonesh[تراکنش]="انتقال",L183,IF(Tarakonesh[تراکنش]="دریافت_درآمد",(Tarakonesh[[#This Row],[مبلغ (ریال)]]+IF(Tarakonesh[تراکنش]="انتقال",0,L183)),((IF(Tarakonesh[تراکنش]="انتقال",0,L183))-Tarakonesh[[#This Row],[مبلغ (ریال)]]))))</f>
        <v/>
      </c>
      <c r="M184" s="33"/>
      <c r="N184" s="33"/>
    </row>
    <row r="185" spans="1:14" x14ac:dyDescent="0.25">
      <c r="A185" s="28">
        <v>178</v>
      </c>
      <c r="B185" s="29"/>
      <c r="C185" s="33"/>
      <c r="D185" s="33"/>
      <c r="E185" s="41"/>
      <c r="F185" s="29"/>
      <c r="G185" s="29"/>
      <c r="H185" s="29"/>
      <c r="I185" s="27"/>
      <c r="J185" s="29"/>
      <c r="K185" s="29"/>
      <c r="L185" s="117" t="str">
        <f>IF( Tarakonesh[تراکنش]="", "",IF( Tarakonesh[تراکنش]="انتقال",L184,IF(Tarakonesh[تراکنش]="دریافت_درآمد",(Tarakonesh[[#This Row],[مبلغ (ریال)]]+IF(Tarakonesh[تراکنش]="انتقال",0,L184)),((IF(Tarakonesh[تراکنش]="انتقال",0,L184))-Tarakonesh[[#This Row],[مبلغ (ریال)]]))))</f>
        <v/>
      </c>
      <c r="M185" s="33"/>
      <c r="N185" s="33"/>
    </row>
    <row r="186" spans="1:14" x14ac:dyDescent="0.25">
      <c r="A186" s="28">
        <v>179</v>
      </c>
      <c r="B186" s="29"/>
      <c r="C186" s="33"/>
      <c r="D186" s="33"/>
      <c r="E186" s="41"/>
      <c r="F186" s="29"/>
      <c r="G186" s="29"/>
      <c r="H186" s="29"/>
      <c r="I186" s="27"/>
      <c r="J186" s="29"/>
      <c r="K186" s="29"/>
      <c r="L186" s="117" t="str">
        <f>IF( Tarakonesh[تراکنش]="", "",IF( Tarakonesh[تراکنش]="انتقال",L185,IF(Tarakonesh[تراکنش]="دریافت_درآمد",(Tarakonesh[[#This Row],[مبلغ (ریال)]]+IF(Tarakonesh[تراکنش]="انتقال",0,L185)),((IF(Tarakonesh[تراکنش]="انتقال",0,L185))-Tarakonesh[[#This Row],[مبلغ (ریال)]]))))</f>
        <v/>
      </c>
      <c r="M186" s="33"/>
      <c r="N186" s="33"/>
    </row>
    <row r="187" spans="1:14" x14ac:dyDescent="0.25">
      <c r="A187" s="28">
        <v>180</v>
      </c>
      <c r="B187" s="29"/>
      <c r="C187" s="33"/>
      <c r="D187" s="33"/>
      <c r="E187" s="41"/>
      <c r="F187" s="29"/>
      <c r="G187" s="29"/>
      <c r="H187" s="29"/>
      <c r="I187" s="27"/>
      <c r="J187" s="29"/>
      <c r="K187" s="29"/>
      <c r="L187" s="117" t="str">
        <f>IF( Tarakonesh[تراکنش]="", "",IF( Tarakonesh[تراکنش]="انتقال",L186,IF(Tarakonesh[تراکنش]="دریافت_درآمد",(Tarakonesh[[#This Row],[مبلغ (ریال)]]+IF(Tarakonesh[تراکنش]="انتقال",0,L186)),((IF(Tarakonesh[تراکنش]="انتقال",0,L186))-Tarakonesh[[#This Row],[مبلغ (ریال)]]))))</f>
        <v/>
      </c>
      <c r="M187" s="33"/>
      <c r="N187" s="33"/>
    </row>
    <row r="188" spans="1:14" x14ac:dyDescent="0.25">
      <c r="A188" s="28">
        <v>181</v>
      </c>
      <c r="B188" s="29"/>
      <c r="C188" s="33"/>
      <c r="D188" s="33"/>
      <c r="E188" s="41"/>
      <c r="F188" s="29"/>
      <c r="G188" s="29"/>
      <c r="H188" s="29"/>
      <c r="I188" s="27"/>
      <c r="J188" s="29"/>
      <c r="K188" s="29"/>
      <c r="L188" s="117" t="str">
        <f>IF( Tarakonesh[تراکنش]="", "",IF( Tarakonesh[تراکنش]="انتقال",L187,IF(Tarakonesh[تراکنش]="دریافت_درآمد",(Tarakonesh[[#This Row],[مبلغ (ریال)]]+IF(Tarakonesh[تراکنش]="انتقال",0,L187)),((IF(Tarakonesh[تراکنش]="انتقال",0,L187))-Tarakonesh[[#This Row],[مبلغ (ریال)]]))))</f>
        <v/>
      </c>
      <c r="M188" s="33"/>
      <c r="N188" s="33"/>
    </row>
    <row r="189" spans="1:14" x14ac:dyDescent="0.25">
      <c r="A189" s="28">
        <v>182</v>
      </c>
      <c r="B189" s="29"/>
      <c r="C189" s="33"/>
      <c r="D189" s="33"/>
      <c r="E189" s="41"/>
      <c r="F189" s="29"/>
      <c r="G189" s="29"/>
      <c r="H189" s="29"/>
      <c r="I189" s="27"/>
      <c r="J189" s="29"/>
      <c r="K189" s="29"/>
      <c r="L189" s="117" t="str">
        <f>IF( Tarakonesh[تراکنش]="", "",IF( Tarakonesh[تراکنش]="انتقال",L188,IF(Tarakonesh[تراکنش]="دریافت_درآمد",(Tarakonesh[[#This Row],[مبلغ (ریال)]]+IF(Tarakonesh[تراکنش]="انتقال",0,L188)),((IF(Tarakonesh[تراکنش]="انتقال",0,L188))-Tarakonesh[[#This Row],[مبلغ (ریال)]]))))</f>
        <v/>
      </c>
      <c r="M189" s="33"/>
      <c r="N189" s="33"/>
    </row>
    <row r="190" spans="1:14" x14ac:dyDescent="0.25">
      <c r="A190" s="28">
        <v>183</v>
      </c>
      <c r="B190" s="29"/>
      <c r="C190" s="33"/>
      <c r="D190" s="33"/>
      <c r="E190" s="41"/>
      <c r="F190" s="29"/>
      <c r="G190" s="29"/>
      <c r="H190" s="29"/>
      <c r="I190" s="27"/>
      <c r="J190" s="29"/>
      <c r="K190" s="29"/>
      <c r="L190" s="117" t="str">
        <f>IF( Tarakonesh[تراکنش]="", "",IF( Tarakonesh[تراکنش]="انتقال",L189,IF(Tarakonesh[تراکنش]="دریافت_درآمد",(Tarakonesh[[#This Row],[مبلغ (ریال)]]+IF(Tarakonesh[تراکنش]="انتقال",0,L189)),((IF(Tarakonesh[تراکنش]="انتقال",0,L189))-Tarakonesh[[#This Row],[مبلغ (ریال)]]))))</f>
        <v/>
      </c>
      <c r="M190" s="33"/>
      <c r="N190" s="33"/>
    </row>
    <row r="191" spans="1:14" x14ac:dyDescent="0.25">
      <c r="A191" s="28">
        <v>184</v>
      </c>
      <c r="B191" s="29"/>
      <c r="C191" s="33"/>
      <c r="D191" s="33"/>
      <c r="E191" s="41"/>
      <c r="F191" s="29"/>
      <c r="G191" s="29"/>
      <c r="H191" s="29"/>
      <c r="I191" s="27"/>
      <c r="J191" s="29"/>
      <c r="K191" s="29"/>
      <c r="L191" s="117" t="str">
        <f>IF( Tarakonesh[تراکنش]="", "",IF( Tarakonesh[تراکنش]="انتقال",L190,IF(Tarakonesh[تراکنش]="دریافت_درآمد",(Tarakonesh[[#This Row],[مبلغ (ریال)]]+IF(Tarakonesh[تراکنش]="انتقال",0,L190)),((IF(Tarakonesh[تراکنش]="انتقال",0,L190))-Tarakonesh[[#This Row],[مبلغ (ریال)]]))))</f>
        <v/>
      </c>
      <c r="M191" s="33"/>
      <c r="N191" s="33"/>
    </row>
    <row r="192" spans="1:14" x14ac:dyDescent="0.25">
      <c r="A192" s="28">
        <v>185</v>
      </c>
      <c r="B192" s="29"/>
      <c r="C192" s="33"/>
      <c r="D192" s="33"/>
      <c r="E192" s="41"/>
      <c r="F192" s="29"/>
      <c r="G192" s="29"/>
      <c r="H192" s="29"/>
      <c r="I192" s="27"/>
      <c r="J192" s="29"/>
      <c r="K192" s="29"/>
      <c r="L192" s="117" t="str">
        <f>IF( Tarakonesh[تراکنش]="", "",IF( Tarakonesh[تراکنش]="انتقال",L191,IF(Tarakonesh[تراکنش]="دریافت_درآمد",(Tarakonesh[[#This Row],[مبلغ (ریال)]]+IF(Tarakonesh[تراکنش]="انتقال",0,L191)),((IF(Tarakonesh[تراکنش]="انتقال",0,L191))-Tarakonesh[[#This Row],[مبلغ (ریال)]]))))</f>
        <v/>
      </c>
      <c r="M192" s="33"/>
      <c r="N192" s="33"/>
    </row>
    <row r="193" spans="1:14" x14ac:dyDescent="0.25">
      <c r="A193" s="28">
        <v>186</v>
      </c>
      <c r="B193" s="29"/>
      <c r="C193" s="33"/>
      <c r="D193" s="33"/>
      <c r="E193" s="41"/>
      <c r="F193" s="29"/>
      <c r="G193" s="29"/>
      <c r="H193" s="29"/>
      <c r="I193" s="27"/>
      <c r="J193" s="29"/>
      <c r="K193" s="29"/>
      <c r="L193" s="117" t="str">
        <f>IF( Tarakonesh[تراکنش]="", "",IF( Tarakonesh[تراکنش]="انتقال",L192,IF(Tarakonesh[تراکنش]="دریافت_درآمد",(Tarakonesh[[#This Row],[مبلغ (ریال)]]+IF(Tarakonesh[تراکنش]="انتقال",0,L192)),((IF(Tarakonesh[تراکنش]="انتقال",0,L192))-Tarakonesh[[#This Row],[مبلغ (ریال)]]))))</f>
        <v/>
      </c>
      <c r="M193" s="33"/>
      <c r="N193" s="33"/>
    </row>
    <row r="194" spans="1:14" x14ac:dyDescent="0.25">
      <c r="A194" s="28">
        <v>187</v>
      </c>
      <c r="B194" s="29"/>
      <c r="C194" s="33"/>
      <c r="D194" s="33"/>
      <c r="E194" s="41"/>
      <c r="F194" s="29"/>
      <c r="G194" s="29"/>
      <c r="H194" s="29"/>
      <c r="I194" s="27"/>
      <c r="J194" s="29"/>
      <c r="K194" s="29"/>
      <c r="L194" s="117" t="str">
        <f>IF( Tarakonesh[تراکنش]="", "",IF( Tarakonesh[تراکنش]="انتقال",L193,IF(Tarakonesh[تراکنش]="دریافت_درآمد",(Tarakonesh[[#This Row],[مبلغ (ریال)]]+IF(Tarakonesh[تراکنش]="انتقال",0,L193)),((IF(Tarakonesh[تراکنش]="انتقال",0,L193))-Tarakonesh[[#This Row],[مبلغ (ریال)]]))))</f>
        <v/>
      </c>
      <c r="M194" s="33"/>
      <c r="N194" s="33"/>
    </row>
    <row r="195" spans="1:14" x14ac:dyDescent="0.25">
      <c r="A195" s="28">
        <v>188</v>
      </c>
      <c r="B195" s="29"/>
      <c r="C195" s="33"/>
      <c r="D195" s="33"/>
      <c r="E195" s="41"/>
      <c r="F195" s="29"/>
      <c r="G195" s="29"/>
      <c r="H195" s="29"/>
      <c r="I195" s="27"/>
      <c r="J195" s="29"/>
      <c r="K195" s="29"/>
      <c r="L195" s="117" t="str">
        <f>IF( Tarakonesh[تراکنش]="", "",IF( Tarakonesh[تراکنش]="انتقال",L194,IF(Tarakonesh[تراکنش]="دریافت_درآمد",(Tarakonesh[[#This Row],[مبلغ (ریال)]]+IF(Tarakonesh[تراکنش]="انتقال",0,L194)),((IF(Tarakonesh[تراکنش]="انتقال",0,L194))-Tarakonesh[[#This Row],[مبلغ (ریال)]]))))</f>
        <v/>
      </c>
      <c r="M195" s="33"/>
      <c r="N195" s="33"/>
    </row>
    <row r="196" spans="1:14" x14ac:dyDescent="0.25">
      <c r="A196" s="28">
        <v>189</v>
      </c>
      <c r="B196" s="29"/>
      <c r="C196" s="33"/>
      <c r="D196" s="33"/>
      <c r="E196" s="41"/>
      <c r="F196" s="29"/>
      <c r="G196" s="29"/>
      <c r="H196" s="29"/>
      <c r="I196" s="27"/>
      <c r="J196" s="29"/>
      <c r="K196" s="29"/>
      <c r="L196" s="117" t="str">
        <f>IF( Tarakonesh[تراکنش]="", "",IF( Tarakonesh[تراکنش]="انتقال",L195,IF(Tarakonesh[تراکنش]="دریافت_درآمد",(Tarakonesh[[#This Row],[مبلغ (ریال)]]+IF(Tarakonesh[تراکنش]="انتقال",0,L195)),((IF(Tarakonesh[تراکنش]="انتقال",0,L195))-Tarakonesh[[#This Row],[مبلغ (ریال)]]))))</f>
        <v/>
      </c>
      <c r="M196" s="33"/>
      <c r="N196" s="33"/>
    </row>
    <row r="197" spans="1:14" x14ac:dyDescent="0.25">
      <c r="A197" s="28">
        <v>190</v>
      </c>
      <c r="B197" s="29"/>
      <c r="C197" s="33"/>
      <c r="D197" s="33"/>
      <c r="E197" s="41"/>
      <c r="F197" s="29"/>
      <c r="G197" s="29"/>
      <c r="H197" s="29"/>
      <c r="I197" s="27"/>
      <c r="J197" s="29"/>
      <c r="K197" s="29"/>
      <c r="L197" s="117" t="str">
        <f>IF( Tarakonesh[تراکنش]="", "",IF( Tarakonesh[تراکنش]="انتقال",L196,IF(Tarakonesh[تراکنش]="دریافت_درآمد",(Tarakonesh[[#This Row],[مبلغ (ریال)]]+IF(Tarakonesh[تراکنش]="انتقال",0,L196)),((IF(Tarakonesh[تراکنش]="انتقال",0,L196))-Tarakonesh[[#This Row],[مبلغ (ریال)]]))))</f>
        <v/>
      </c>
      <c r="M197" s="33"/>
      <c r="N197" s="33"/>
    </row>
    <row r="198" spans="1:14" x14ac:dyDescent="0.25">
      <c r="A198" s="28">
        <v>191</v>
      </c>
      <c r="B198" s="29"/>
      <c r="C198" s="33"/>
      <c r="D198" s="33"/>
      <c r="E198" s="41"/>
      <c r="F198" s="29"/>
      <c r="G198" s="29"/>
      <c r="H198" s="29"/>
      <c r="I198" s="27"/>
      <c r="J198" s="29"/>
      <c r="K198" s="29"/>
      <c r="L198" s="117" t="str">
        <f>IF( Tarakonesh[تراکنش]="", "",IF( Tarakonesh[تراکنش]="انتقال",L197,IF(Tarakonesh[تراکنش]="دریافت_درآمد",(Tarakonesh[[#This Row],[مبلغ (ریال)]]+IF(Tarakonesh[تراکنش]="انتقال",0,L197)),((IF(Tarakonesh[تراکنش]="انتقال",0,L197))-Tarakonesh[[#This Row],[مبلغ (ریال)]]))))</f>
        <v/>
      </c>
      <c r="M198" s="33"/>
      <c r="N198" s="33"/>
    </row>
    <row r="199" spans="1:14" x14ac:dyDescent="0.25">
      <c r="A199" s="28">
        <v>192</v>
      </c>
      <c r="B199" s="29"/>
      <c r="C199" s="33"/>
      <c r="D199" s="33"/>
      <c r="E199" s="41"/>
      <c r="F199" s="29"/>
      <c r="G199" s="29"/>
      <c r="H199" s="29"/>
      <c r="I199" s="27"/>
      <c r="J199" s="29"/>
      <c r="K199" s="29"/>
      <c r="L199" s="117" t="str">
        <f>IF( Tarakonesh[تراکنش]="", "",IF( Tarakonesh[تراکنش]="انتقال",L198,IF(Tarakonesh[تراکنش]="دریافت_درآمد",(Tarakonesh[[#This Row],[مبلغ (ریال)]]+IF(Tarakonesh[تراکنش]="انتقال",0,L198)),((IF(Tarakonesh[تراکنش]="انتقال",0,L198))-Tarakonesh[[#This Row],[مبلغ (ریال)]]))))</f>
        <v/>
      </c>
      <c r="M199" s="33"/>
      <c r="N199" s="33"/>
    </row>
    <row r="200" spans="1:14" x14ac:dyDescent="0.25">
      <c r="A200" s="28">
        <v>193</v>
      </c>
      <c r="B200" s="29"/>
      <c r="C200" s="33"/>
      <c r="D200" s="33"/>
      <c r="E200" s="41"/>
      <c r="F200" s="29"/>
      <c r="G200" s="29"/>
      <c r="H200" s="29"/>
      <c r="I200" s="27"/>
      <c r="J200" s="29"/>
      <c r="K200" s="29"/>
      <c r="L200" s="117" t="str">
        <f>IF( Tarakonesh[تراکنش]="", "",IF( Tarakonesh[تراکنش]="انتقال",L199,IF(Tarakonesh[تراکنش]="دریافت_درآمد",(Tarakonesh[[#This Row],[مبلغ (ریال)]]+IF(Tarakonesh[تراکنش]="انتقال",0,L199)),((IF(Tarakonesh[تراکنش]="انتقال",0,L199))-Tarakonesh[[#This Row],[مبلغ (ریال)]]))))</f>
        <v/>
      </c>
      <c r="M200" s="33"/>
      <c r="N200" s="33"/>
    </row>
    <row r="201" spans="1:14" x14ac:dyDescent="0.25">
      <c r="A201" s="28">
        <v>194</v>
      </c>
      <c r="B201" s="29"/>
      <c r="C201" s="33"/>
      <c r="D201" s="33"/>
      <c r="E201" s="41"/>
      <c r="F201" s="29"/>
      <c r="G201" s="29"/>
      <c r="H201" s="29"/>
      <c r="I201" s="27"/>
      <c r="J201" s="29"/>
      <c r="K201" s="29"/>
      <c r="L201" s="117" t="str">
        <f>IF( Tarakonesh[تراکنش]="", "",IF( Tarakonesh[تراکنش]="انتقال",L200,IF(Tarakonesh[تراکنش]="دریافت_درآمد",(Tarakonesh[[#This Row],[مبلغ (ریال)]]+IF(Tarakonesh[تراکنش]="انتقال",0,L200)),((IF(Tarakonesh[تراکنش]="انتقال",0,L200))-Tarakonesh[[#This Row],[مبلغ (ریال)]]))))</f>
        <v/>
      </c>
      <c r="M201" s="33"/>
      <c r="N201" s="33"/>
    </row>
    <row r="202" spans="1:14" x14ac:dyDescent="0.25">
      <c r="A202" s="28">
        <v>195</v>
      </c>
      <c r="B202" s="29"/>
      <c r="C202" s="33"/>
      <c r="D202" s="33"/>
      <c r="E202" s="41"/>
      <c r="F202" s="29"/>
      <c r="G202" s="29"/>
      <c r="H202" s="29"/>
      <c r="I202" s="27"/>
      <c r="J202" s="29"/>
      <c r="K202" s="29"/>
      <c r="L202" s="117" t="str">
        <f>IF( Tarakonesh[تراکنش]="", "",IF( Tarakonesh[تراکنش]="انتقال",L201,IF(Tarakonesh[تراکنش]="دریافت_درآمد",(Tarakonesh[[#This Row],[مبلغ (ریال)]]+IF(Tarakonesh[تراکنش]="انتقال",0,L201)),((IF(Tarakonesh[تراکنش]="انتقال",0,L201))-Tarakonesh[[#This Row],[مبلغ (ریال)]]))))</f>
        <v/>
      </c>
      <c r="M202" s="33"/>
      <c r="N202" s="33"/>
    </row>
    <row r="203" spans="1:14" x14ac:dyDescent="0.25">
      <c r="A203" s="28">
        <v>196</v>
      </c>
      <c r="B203" s="29"/>
      <c r="C203" s="33"/>
      <c r="D203" s="33"/>
      <c r="E203" s="41"/>
      <c r="F203" s="29"/>
      <c r="G203" s="29"/>
      <c r="H203" s="29"/>
      <c r="I203" s="27"/>
      <c r="J203" s="29"/>
      <c r="K203" s="29"/>
      <c r="L203" s="117" t="str">
        <f>IF( Tarakonesh[تراکنش]="", "",IF( Tarakonesh[تراکنش]="انتقال",L202,IF(Tarakonesh[تراکنش]="دریافت_درآمد",(Tarakonesh[[#This Row],[مبلغ (ریال)]]+IF(Tarakonesh[تراکنش]="انتقال",0,L202)),((IF(Tarakonesh[تراکنش]="انتقال",0,L202))-Tarakonesh[[#This Row],[مبلغ (ریال)]]))))</f>
        <v/>
      </c>
      <c r="M203" s="33"/>
      <c r="N203" s="33"/>
    </row>
    <row r="204" spans="1:14" x14ac:dyDescent="0.25">
      <c r="A204" s="28">
        <v>197</v>
      </c>
      <c r="B204" s="29"/>
      <c r="C204" s="33"/>
      <c r="D204" s="33"/>
      <c r="E204" s="41"/>
      <c r="F204" s="29"/>
      <c r="G204" s="29"/>
      <c r="H204" s="29"/>
      <c r="I204" s="27"/>
      <c r="J204" s="29"/>
      <c r="K204" s="29"/>
      <c r="L204" s="117" t="str">
        <f>IF( Tarakonesh[تراکنش]="", "",IF( Tarakonesh[تراکنش]="انتقال",L203,IF(Tarakonesh[تراکنش]="دریافت_درآمد",(Tarakonesh[[#This Row],[مبلغ (ریال)]]+IF(Tarakonesh[تراکنش]="انتقال",0,L203)),((IF(Tarakonesh[تراکنش]="انتقال",0,L203))-Tarakonesh[[#This Row],[مبلغ (ریال)]]))))</f>
        <v/>
      </c>
      <c r="M204" s="33"/>
      <c r="N204" s="33"/>
    </row>
    <row r="205" spans="1:14" x14ac:dyDescent="0.25">
      <c r="A205" s="28">
        <v>198</v>
      </c>
      <c r="B205" s="29"/>
      <c r="C205" s="33"/>
      <c r="D205" s="33"/>
      <c r="E205" s="41"/>
      <c r="F205" s="29"/>
      <c r="G205" s="29"/>
      <c r="H205" s="29"/>
      <c r="I205" s="27"/>
      <c r="J205" s="29"/>
      <c r="K205" s="29"/>
      <c r="L205" s="117" t="str">
        <f>IF( Tarakonesh[تراکنش]="", "",IF( Tarakonesh[تراکنش]="انتقال",L204,IF(Tarakonesh[تراکنش]="دریافت_درآمد",(Tarakonesh[[#This Row],[مبلغ (ریال)]]+IF(Tarakonesh[تراکنش]="انتقال",0,L204)),((IF(Tarakonesh[تراکنش]="انتقال",0,L204))-Tarakonesh[[#This Row],[مبلغ (ریال)]]))))</f>
        <v/>
      </c>
      <c r="M205" s="33"/>
      <c r="N205" s="33"/>
    </row>
    <row r="206" spans="1:14" x14ac:dyDescent="0.25">
      <c r="A206" s="28">
        <v>199</v>
      </c>
      <c r="B206" s="29"/>
      <c r="C206" s="33"/>
      <c r="D206" s="33"/>
      <c r="E206" s="41"/>
      <c r="F206" s="29"/>
      <c r="G206" s="29"/>
      <c r="H206" s="29"/>
      <c r="I206" s="27"/>
      <c r="J206" s="29"/>
      <c r="K206" s="29"/>
      <c r="L206" s="117" t="str">
        <f>IF( Tarakonesh[تراکنش]="", "",IF( Tarakonesh[تراکنش]="انتقال",L205,IF(Tarakonesh[تراکنش]="دریافت_درآمد",(Tarakonesh[[#This Row],[مبلغ (ریال)]]+IF(Tarakonesh[تراکنش]="انتقال",0,L205)),((IF(Tarakonesh[تراکنش]="انتقال",0,L205))-Tarakonesh[[#This Row],[مبلغ (ریال)]]))))</f>
        <v/>
      </c>
      <c r="M206" s="33"/>
      <c r="N206" s="33"/>
    </row>
    <row r="207" spans="1:14" x14ac:dyDescent="0.25">
      <c r="A207" s="28">
        <v>200</v>
      </c>
      <c r="B207" s="29"/>
      <c r="C207" s="33"/>
      <c r="D207" s="33"/>
      <c r="E207" s="41"/>
      <c r="F207" s="29"/>
      <c r="G207" s="29"/>
      <c r="H207" s="29"/>
      <c r="I207" s="27"/>
      <c r="J207" s="29"/>
      <c r="K207" s="29"/>
      <c r="L207" s="117" t="str">
        <f>IF( Tarakonesh[تراکنش]="", "",IF( Tarakonesh[تراکنش]="انتقال",L206,IF(Tarakonesh[تراکنش]="دریافت_درآمد",(Tarakonesh[[#This Row],[مبلغ (ریال)]]+IF(Tarakonesh[تراکنش]="انتقال",0,L206)),((IF(Tarakonesh[تراکنش]="انتقال",0,L206))-Tarakonesh[[#This Row],[مبلغ (ریال)]]))))</f>
        <v/>
      </c>
      <c r="M207" s="33"/>
      <c r="N207" s="33"/>
    </row>
    <row r="208" spans="1:14" x14ac:dyDescent="0.25">
      <c r="A208" s="28">
        <v>201</v>
      </c>
      <c r="B208" s="29"/>
      <c r="C208" s="33"/>
      <c r="D208" s="33"/>
      <c r="E208" s="41"/>
      <c r="F208" s="29"/>
      <c r="G208" s="29"/>
      <c r="H208" s="29"/>
      <c r="I208" s="27"/>
      <c r="J208" s="29"/>
      <c r="K208" s="29"/>
      <c r="L208" s="117" t="str">
        <f>IF( Tarakonesh[تراکنش]="", "",IF( Tarakonesh[تراکنش]="انتقال",L207,IF(Tarakonesh[تراکنش]="دریافت_درآمد",(Tarakonesh[[#This Row],[مبلغ (ریال)]]+IF(Tarakonesh[تراکنش]="انتقال",0,L207)),((IF(Tarakonesh[تراکنش]="انتقال",0,L207))-Tarakonesh[[#This Row],[مبلغ (ریال)]]))))</f>
        <v/>
      </c>
      <c r="M208" s="33"/>
      <c r="N208" s="33"/>
    </row>
    <row r="209" spans="1:14" x14ac:dyDescent="0.25">
      <c r="A209" s="28">
        <v>202</v>
      </c>
      <c r="B209" s="29"/>
      <c r="C209" s="33"/>
      <c r="D209" s="33"/>
      <c r="E209" s="41"/>
      <c r="F209" s="29"/>
      <c r="G209" s="29"/>
      <c r="H209" s="29"/>
      <c r="I209" s="27"/>
      <c r="J209" s="29"/>
      <c r="K209" s="29"/>
      <c r="L209" s="117" t="str">
        <f>IF( Tarakonesh[تراکنش]="", "",IF( Tarakonesh[تراکنش]="انتقال",L208,IF(Tarakonesh[تراکنش]="دریافت_درآمد",(Tarakonesh[[#This Row],[مبلغ (ریال)]]+IF(Tarakonesh[تراکنش]="انتقال",0,L208)),((IF(Tarakonesh[تراکنش]="انتقال",0,L208))-Tarakonesh[[#This Row],[مبلغ (ریال)]]))))</f>
        <v/>
      </c>
      <c r="M209" s="33"/>
      <c r="N209" s="33"/>
    </row>
    <row r="210" spans="1:14" x14ac:dyDescent="0.25">
      <c r="A210" s="28">
        <v>203</v>
      </c>
      <c r="B210" s="29"/>
      <c r="C210" s="33"/>
      <c r="D210" s="33"/>
      <c r="E210" s="41"/>
      <c r="F210" s="29"/>
      <c r="G210" s="29"/>
      <c r="H210" s="29"/>
      <c r="I210" s="27"/>
      <c r="J210" s="29"/>
      <c r="K210" s="29"/>
      <c r="L210" s="117" t="str">
        <f>IF( Tarakonesh[تراکنش]="", "",IF( Tarakonesh[تراکنش]="انتقال",L209,IF(Tarakonesh[تراکنش]="دریافت_درآمد",(Tarakonesh[[#This Row],[مبلغ (ریال)]]+IF(Tarakonesh[تراکنش]="انتقال",0,L209)),((IF(Tarakonesh[تراکنش]="انتقال",0,L209))-Tarakonesh[[#This Row],[مبلغ (ریال)]]))))</f>
        <v/>
      </c>
      <c r="M210" s="33"/>
      <c r="N210" s="33"/>
    </row>
    <row r="211" spans="1:14" x14ac:dyDescent="0.25">
      <c r="A211" s="28">
        <v>204</v>
      </c>
      <c r="B211" s="29"/>
      <c r="C211" s="33"/>
      <c r="D211" s="33"/>
      <c r="E211" s="41"/>
      <c r="F211" s="29"/>
      <c r="G211" s="29"/>
      <c r="H211" s="29"/>
      <c r="I211" s="27"/>
      <c r="J211" s="29"/>
      <c r="K211" s="29"/>
      <c r="L211" s="117" t="str">
        <f>IF( Tarakonesh[تراکنش]="", "",IF( Tarakonesh[تراکنش]="انتقال",L210,IF(Tarakonesh[تراکنش]="دریافت_درآمد",(Tarakonesh[[#This Row],[مبلغ (ریال)]]+IF(Tarakonesh[تراکنش]="انتقال",0,L210)),((IF(Tarakonesh[تراکنش]="انتقال",0,L210))-Tarakonesh[[#This Row],[مبلغ (ریال)]]))))</f>
        <v/>
      </c>
      <c r="M211" s="33"/>
      <c r="N211" s="33"/>
    </row>
    <row r="212" spans="1:14" x14ac:dyDescent="0.25">
      <c r="A212" s="28">
        <v>205</v>
      </c>
      <c r="B212" s="29"/>
      <c r="C212" s="33"/>
      <c r="D212" s="33"/>
      <c r="E212" s="41"/>
      <c r="F212" s="29"/>
      <c r="G212" s="29"/>
      <c r="H212" s="29"/>
      <c r="I212" s="27"/>
      <c r="J212" s="29"/>
      <c r="K212" s="29"/>
      <c r="L212" s="117" t="str">
        <f>IF( Tarakonesh[تراکنش]="", "",IF( Tarakonesh[تراکنش]="انتقال",L211,IF(Tarakonesh[تراکنش]="دریافت_درآمد",(Tarakonesh[[#This Row],[مبلغ (ریال)]]+IF(Tarakonesh[تراکنش]="انتقال",0,L211)),((IF(Tarakonesh[تراکنش]="انتقال",0,L211))-Tarakonesh[[#This Row],[مبلغ (ریال)]]))))</f>
        <v/>
      </c>
      <c r="M212" s="33"/>
      <c r="N212" s="33"/>
    </row>
    <row r="213" spans="1:14" x14ac:dyDescent="0.25">
      <c r="A213" s="28">
        <v>206</v>
      </c>
      <c r="B213" s="29"/>
      <c r="C213" s="33"/>
      <c r="D213" s="33"/>
      <c r="E213" s="41"/>
      <c r="F213" s="29"/>
      <c r="G213" s="29"/>
      <c r="H213" s="29"/>
      <c r="I213" s="27"/>
      <c r="J213" s="29"/>
      <c r="K213" s="29"/>
      <c r="L213" s="117" t="str">
        <f>IF( Tarakonesh[تراکنش]="", "",IF( Tarakonesh[تراکنش]="انتقال",L212,IF(Tarakonesh[تراکنش]="دریافت_درآمد",(Tarakonesh[[#This Row],[مبلغ (ریال)]]+IF(Tarakonesh[تراکنش]="انتقال",0,L212)),((IF(Tarakonesh[تراکنش]="انتقال",0,L212))-Tarakonesh[[#This Row],[مبلغ (ریال)]]))))</f>
        <v/>
      </c>
      <c r="M213" s="33"/>
      <c r="N213" s="33"/>
    </row>
    <row r="214" spans="1:14" x14ac:dyDescent="0.25">
      <c r="A214" s="28">
        <v>207</v>
      </c>
      <c r="B214" s="29"/>
      <c r="C214" s="33"/>
      <c r="D214" s="33"/>
      <c r="E214" s="41"/>
      <c r="F214" s="29"/>
      <c r="G214" s="29"/>
      <c r="H214" s="29"/>
      <c r="I214" s="27"/>
      <c r="J214" s="29"/>
      <c r="K214" s="29"/>
      <c r="L214" s="117" t="str">
        <f>IF( Tarakonesh[تراکنش]="", "",IF( Tarakonesh[تراکنش]="انتقال",L213,IF(Tarakonesh[تراکنش]="دریافت_درآمد",(Tarakonesh[[#This Row],[مبلغ (ریال)]]+IF(Tarakonesh[تراکنش]="انتقال",0,L213)),((IF(Tarakonesh[تراکنش]="انتقال",0,L213))-Tarakonesh[[#This Row],[مبلغ (ریال)]]))))</f>
        <v/>
      </c>
      <c r="M214" s="33"/>
      <c r="N214" s="33"/>
    </row>
    <row r="215" spans="1:14" x14ac:dyDescent="0.25">
      <c r="A215" s="28">
        <v>208</v>
      </c>
      <c r="B215" s="29"/>
      <c r="C215" s="33"/>
      <c r="D215" s="33"/>
      <c r="E215" s="41"/>
      <c r="F215" s="29"/>
      <c r="G215" s="29"/>
      <c r="H215" s="29"/>
      <c r="I215" s="27"/>
      <c r="J215" s="29"/>
      <c r="K215" s="29"/>
      <c r="L215" s="117" t="str">
        <f>IF( Tarakonesh[تراکنش]="", "",IF( Tarakonesh[تراکنش]="انتقال",L214,IF(Tarakonesh[تراکنش]="دریافت_درآمد",(Tarakonesh[[#This Row],[مبلغ (ریال)]]+IF(Tarakonesh[تراکنش]="انتقال",0,L214)),((IF(Tarakonesh[تراکنش]="انتقال",0,L214))-Tarakonesh[[#This Row],[مبلغ (ریال)]]))))</f>
        <v/>
      </c>
      <c r="M215" s="33"/>
      <c r="N215" s="33"/>
    </row>
    <row r="216" spans="1:14" x14ac:dyDescent="0.25">
      <c r="A216" s="28">
        <v>209</v>
      </c>
      <c r="B216" s="29"/>
      <c r="C216" s="33"/>
      <c r="D216" s="33"/>
      <c r="E216" s="41"/>
      <c r="F216" s="29"/>
      <c r="G216" s="29"/>
      <c r="H216" s="29"/>
      <c r="I216" s="27"/>
      <c r="J216" s="29"/>
      <c r="K216" s="29"/>
      <c r="L216" s="117" t="str">
        <f>IF( Tarakonesh[تراکنش]="", "",IF( Tarakonesh[تراکنش]="انتقال",L215,IF(Tarakonesh[تراکنش]="دریافت_درآمد",(Tarakonesh[[#This Row],[مبلغ (ریال)]]+IF(Tarakonesh[تراکنش]="انتقال",0,L215)),((IF(Tarakonesh[تراکنش]="انتقال",0,L215))-Tarakonesh[[#This Row],[مبلغ (ریال)]]))))</f>
        <v/>
      </c>
      <c r="M216" s="33"/>
      <c r="N216" s="33"/>
    </row>
    <row r="217" spans="1:14" x14ac:dyDescent="0.25">
      <c r="A217" s="28">
        <v>210</v>
      </c>
      <c r="B217" s="29"/>
      <c r="C217" s="33"/>
      <c r="D217" s="33"/>
      <c r="E217" s="41"/>
      <c r="F217" s="29"/>
      <c r="G217" s="29"/>
      <c r="H217" s="29"/>
      <c r="I217" s="27"/>
      <c r="J217" s="29"/>
      <c r="K217" s="29"/>
      <c r="L217" s="117" t="str">
        <f>IF( Tarakonesh[تراکنش]="", "",IF( Tarakonesh[تراکنش]="انتقال",L216,IF(Tarakonesh[تراکنش]="دریافت_درآمد",(Tarakonesh[[#This Row],[مبلغ (ریال)]]+IF(Tarakonesh[تراکنش]="انتقال",0,L216)),((IF(Tarakonesh[تراکنش]="انتقال",0,L216))-Tarakonesh[[#This Row],[مبلغ (ریال)]]))))</f>
        <v/>
      </c>
      <c r="M217" s="33"/>
      <c r="N217" s="33"/>
    </row>
    <row r="218" spans="1:14" x14ac:dyDescent="0.25">
      <c r="A218" s="28">
        <v>211</v>
      </c>
      <c r="B218" s="29"/>
      <c r="C218" s="33"/>
      <c r="D218" s="33"/>
      <c r="E218" s="41"/>
      <c r="F218" s="29"/>
      <c r="G218" s="29"/>
      <c r="H218" s="29"/>
      <c r="I218" s="27"/>
      <c r="J218" s="29"/>
      <c r="K218" s="29"/>
      <c r="L218" s="117" t="str">
        <f>IF( Tarakonesh[تراکنش]="", "",IF( Tarakonesh[تراکنش]="انتقال",L217,IF(Tarakonesh[تراکنش]="دریافت_درآمد",(Tarakonesh[[#This Row],[مبلغ (ریال)]]+IF(Tarakonesh[تراکنش]="انتقال",0,L217)),((IF(Tarakonesh[تراکنش]="انتقال",0,L217))-Tarakonesh[[#This Row],[مبلغ (ریال)]]))))</f>
        <v/>
      </c>
      <c r="M218" s="33"/>
      <c r="N218" s="33"/>
    </row>
    <row r="219" spans="1:14" x14ac:dyDescent="0.25">
      <c r="A219" s="28">
        <v>212</v>
      </c>
      <c r="B219" s="29"/>
      <c r="C219" s="33"/>
      <c r="D219" s="33"/>
      <c r="E219" s="41"/>
      <c r="F219" s="29"/>
      <c r="G219" s="29"/>
      <c r="H219" s="29"/>
      <c r="I219" s="27"/>
      <c r="J219" s="29"/>
      <c r="K219" s="29"/>
      <c r="L219" s="117" t="str">
        <f>IF( Tarakonesh[تراکنش]="", "",IF( Tarakonesh[تراکنش]="انتقال",L218,IF(Tarakonesh[تراکنش]="دریافت_درآمد",(Tarakonesh[[#This Row],[مبلغ (ریال)]]+IF(Tarakonesh[تراکنش]="انتقال",0,L218)),((IF(Tarakonesh[تراکنش]="انتقال",0,L218))-Tarakonesh[[#This Row],[مبلغ (ریال)]]))))</f>
        <v/>
      </c>
      <c r="M219" s="33"/>
      <c r="N219" s="33"/>
    </row>
    <row r="220" spans="1:14" x14ac:dyDescent="0.25">
      <c r="A220" s="28">
        <v>213</v>
      </c>
      <c r="B220" s="29"/>
      <c r="C220" s="33"/>
      <c r="D220" s="33"/>
      <c r="E220" s="41"/>
      <c r="F220" s="29"/>
      <c r="G220" s="29"/>
      <c r="H220" s="29"/>
      <c r="I220" s="27"/>
      <c r="J220" s="29"/>
      <c r="K220" s="29"/>
      <c r="L220" s="117" t="str">
        <f>IF( Tarakonesh[تراکنش]="", "",IF( Tarakonesh[تراکنش]="انتقال",L219,IF(Tarakonesh[تراکنش]="دریافت_درآمد",(Tarakonesh[[#This Row],[مبلغ (ریال)]]+IF(Tarakonesh[تراکنش]="انتقال",0,L219)),((IF(Tarakonesh[تراکنش]="انتقال",0,L219))-Tarakonesh[[#This Row],[مبلغ (ریال)]]))))</f>
        <v/>
      </c>
      <c r="M220" s="33"/>
      <c r="N220" s="33"/>
    </row>
    <row r="221" spans="1:14" x14ac:dyDescent="0.25">
      <c r="A221" s="28">
        <v>214</v>
      </c>
      <c r="B221" s="29"/>
      <c r="C221" s="33"/>
      <c r="D221" s="33"/>
      <c r="E221" s="41"/>
      <c r="F221" s="29"/>
      <c r="G221" s="29"/>
      <c r="H221" s="29"/>
      <c r="I221" s="27"/>
      <c r="J221" s="29"/>
      <c r="K221" s="29"/>
      <c r="L221" s="117" t="str">
        <f>IF( Tarakonesh[تراکنش]="", "",IF( Tarakonesh[تراکنش]="انتقال",L220,IF(Tarakonesh[تراکنش]="دریافت_درآمد",(Tarakonesh[[#This Row],[مبلغ (ریال)]]+IF(Tarakonesh[تراکنش]="انتقال",0,L220)),((IF(Tarakonesh[تراکنش]="انتقال",0,L220))-Tarakonesh[[#This Row],[مبلغ (ریال)]]))))</f>
        <v/>
      </c>
      <c r="M221" s="33"/>
      <c r="N221" s="33"/>
    </row>
    <row r="222" spans="1:14" x14ac:dyDescent="0.25">
      <c r="A222" s="28">
        <v>215</v>
      </c>
      <c r="B222" s="29"/>
      <c r="C222" s="33"/>
      <c r="D222" s="33"/>
      <c r="E222" s="41"/>
      <c r="F222" s="29"/>
      <c r="G222" s="29"/>
      <c r="H222" s="29"/>
      <c r="I222" s="27"/>
      <c r="J222" s="29"/>
      <c r="K222" s="29"/>
      <c r="L222" s="117" t="str">
        <f>IF( Tarakonesh[تراکنش]="", "",IF( Tarakonesh[تراکنش]="انتقال",L221,IF(Tarakonesh[تراکنش]="دریافت_درآمد",(Tarakonesh[[#This Row],[مبلغ (ریال)]]+IF(Tarakonesh[تراکنش]="انتقال",0,L221)),((IF(Tarakonesh[تراکنش]="انتقال",0,L221))-Tarakonesh[[#This Row],[مبلغ (ریال)]]))))</f>
        <v/>
      </c>
      <c r="M222" s="33"/>
      <c r="N222" s="33"/>
    </row>
    <row r="223" spans="1:14" x14ac:dyDescent="0.25">
      <c r="A223" s="28">
        <v>216</v>
      </c>
      <c r="B223" s="29"/>
      <c r="C223" s="33"/>
      <c r="D223" s="33"/>
      <c r="E223" s="41"/>
      <c r="F223" s="29"/>
      <c r="G223" s="29"/>
      <c r="H223" s="29"/>
      <c r="I223" s="27"/>
      <c r="J223" s="29"/>
      <c r="K223" s="29"/>
      <c r="L223" s="117" t="str">
        <f>IF( Tarakonesh[تراکنش]="", "",IF( Tarakonesh[تراکنش]="انتقال",L222,IF(Tarakonesh[تراکنش]="دریافت_درآمد",(Tarakonesh[[#This Row],[مبلغ (ریال)]]+IF(Tarakonesh[تراکنش]="انتقال",0,L222)),((IF(Tarakonesh[تراکنش]="انتقال",0,L222))-Tarakonesh[[#This Row],[مبلغ (ریال)]]))))</f>
        <v/>
      </c>
      <c r="M223" s="33"/>
      <c r="N223" s="33"/>
    </row>
    <row r="224" spans="1:14" x14ac:dyDescent="0.25">
      <c r="A224" s="28">
        <v>217</v>
      </c>
      <c r="B224" s="29"/>
      <c r="C224" s="33"/>
      <c r="D224" s="33"/>
      <c r="E224" s="41"/>
      <c r="F224" s="29"/>
      <c r="G224" s="29"/>
      <c r="H224" s="29"/>
      <c r="I224" s="27"/>
      <c r="J224" s="29"/>
      <c r="K224" s="29"/>
      <c r="L224" s="117" t="str">
        <f>IF( Tarakonesh[تراکنش]="", "",IF( Tarakonesh[تراکنش]="انتقال",L223,IF(Tarakonesh[تراکنش]="دریافت_درآمد",(Tarakonesh[[#This Row],[مبلغ (ریال)]]+IF(Tarakonesh[تراکنش]="انتقال",0,L223)),((IF(Tarakonesh[تراکنش]="انتقال",0,L223))-Tarakonesh[[#This Row],[مبلغ (ریال)]]))))</f>
        <v/>
      </c>
      <c r="M224" s="33"/>
      <c r="N224" s="33"/>
    </row>
    <row r="225" spans="1:14" x14ac:dyDescent="0.25">
      <c r="A225" s="28">
        <v>218</v>
      </c>
      <c r="B225" s="29"/>
      <c r="C225" s="33"/>
      <c r="D225" s="33"/>
      <c r="E225" s="41"/>
      <c r="F225" s="29"/>
      <c r="G225" s="29"/>
      <c r="H225" s="29"/>
      <c r="I225" s="27"/>
      <c r="J225" s="29"/>
      <c r="K225" s="29"/>
      <c r="L225" s="117" t="str">
        <f>IF( Tarakonesh[تراکنش]="", "",IF( Tarakonesh[تراکنش]="انتقال",L224,IF(Tarakonesh[تراکنش]="دریافت_درآمد",(Tarakonesh[[#This Row],[مبلغ (ریال)]]+IF(Tarakonesh[تراکنش]="انتقال",0,L224)),((IF(Tarakonesh[تراکنش]="انتقال",0,L224))-Tarakonesh[[#This Row],[مبلغ (ریال)]]))))</f>
        <v/>
      </c>
      <c r="M225" s="33"/>
      <c r="N225" s="33"/>
    </row>
    <row r="226" spans="1:14" x14ac:dyDescent="0.25">
      <c r="A226" s="28">
        <v>219</v>
      </c>
      <c r="B226" s="29"/>
      <c r="C226" s="33"/>
      <c r="D226" s="33"/>
      <c r="E226" s="41"/>
      <c r="F226" s="29"/>
      <c r="G226" s="29"/>
      <c r="H226" s="29"/>
      <c r="I226" s="27"/>
      <c r="J226" s="29"/>
      <c r="K226" s="29"/>
      <c r="L226" s="117" t="str">
        <f>IF( Tarakonesh[تراکنش]="", "",IF( Tarakonesh[تراکنش]="انتقال",L225,IF(Tarakonesh[تراکنش]="دریافت_درآمد",(Tarakonesh[[#This Row],[مبلغ (ریال)]]+IF(Tarakonesh[تراکنش]="انتقال",0,L225)),((IF(Tarakonesh[تراکنش]="انتقال",0,L225))-Tarakonesh[[#This Row],[مبلغ (ریال)]]))))</f>
        <v/>
      </c>
      <c r="M226" s="33"/>
      <c r="N226" s="33"/>
    </row>
    <row r="227" spans="1:14" x14ac:dyDescent="0.25">
      <c r="A227" s="28">
        <v>220</v>
      </c>
      <c r="B227" s="29"/>
      <c r="C227" s="33"/>
      <c r="D227" s="33"/>
      <c r="E227" s="41"/>
      <c r="F227" s="29"/>
      <c r="G227" s="29"/>
      <c r="H227" s="29"/>
      <c r="I227" s="27"/>
      <c r="J227" s="29"/>
      <c r="K227" s="29"/>
      <c r="L227" s="117" t="str">
        <f>IF( Tarakonesh[تراکنش]="", "",IF( Tarakonesh[تراکنش]="انتقال",L226,IF(Tarakonesh[تراکنش]="دریافت_درآمد",(Tarakonesh[[#This Row],[مبلغ (ریال)]]+IF(Tarakonesh[تراکنش]="انتقال",0,L226)),((IF(Tarakonesh[تراکنش]="انتقال",0,L226))-Tarakonesh[[#This Row],[مبلغ (ریال)]]))))</f>
        <v/>
      </c>
      <c r="M227" s="33"/>
      <c r="N227" s="33"/>
    </row>
    <row r="228" spans="1:14" x14ac:dyDescent="0.25">
      <c r="A228" s="28">
        <v>221</v>
      </c>
      <c r="B228" s="29"/>
      <c r="C228" s="33"/>
      <c r="D228" s="33"/>
      <c r="E228" s="41"/>
      <c r="F228" s="29"/>
      <c r="G228" s="29"/>
      <c r="H228" s="29"/>
      <c r="I228" s="27"/>
      <c r="J228" s="29"/>
      <c r="K228" s="29"/>
      <c r="L228" s="117" t="str">
        <f>IF( Tarakonesh[تراکنش]="", "",IF( Tarakonesh[تراکنش]="انتقال",L227,IF(Tarakonesh[تراکنش]="دریافت_درآمد",(Tarakonesh[[#This Row],[مبلغ (ریال)]]+IF(Tarakonesh[تراکنش]="انتقال",0,L227)),((IF(Tarakonesh[تراکنش]="انتقال",0,L227))-Tarakonesh[[#This Row],[مبلغ (ریال)]]))))</f>
        <v/>
      </c>
      <c r="M228" s="33"/>
      <c r="N228" s="33"/>
    </row>
    <row r="229" spans="1:14" x14ac:dyDescent="0.25">
      <c r="A229" s="28">
        <v>222</v>
      </c>
      <c r="B229" s="29"/>
      <c r="C229" s="33"/>
      <c r="D229" s="33"/>
      <c r="E229" s="41"/>
      <c r="F229" s="29"/>
      <c r="G229" s="29"/>
      <c r="H229" s="29"/>
      <c r="I229" s="27"/>
      <c r="J229" s="29"/>
      <c r="K229" s="29"/>
      <c r="L229" s="117" t="str">
        <f>IF( Tarakonesh[تراکنش]="", "",IF( Tarakonesh[تراکنش]="انتقال",L228,IF(Tarakonesh[تراکنش]="دریافت_درآمد",(Tarakonesh[[#This Row],[مبلغ (ریال)]]+IF(Tarakonesh[تراکنش]="انتقال",0,L228)),((IF(Tarakonesh[تراکنش]="انتقال",0,L228))-Tarakonesh[[#This Row],[مبلغ (ریال)]]))))</f>
        <v/>
      </c>
      <c r="M229" s="33"/>
      <c r="N229" s="33"/>
    </row>
    <row r="230" spans="1:14" x14ac:dyDescent="0.25">
      <c r="A230" s="28">
        <v>223</v>
      </c>
      <c r="B230" s="29"/>
      <c r="C230" s="33"/>
      <c r="D230" s="33"/>
      <c r="E230" s="41"/>
      <c r="F230" s="29"/>
      <c r="G230" s="29"/>
      <c r="H230" s="29"/>
      <c r="I230" s="27"/>
      <c r="J230" s="29"/>
      <c r="K230" s="29"/>
      <c r="L230" s="117" t="str">
        <f>IF( Tarakonesh[تراکنش]="", "",IF( Tarakonesh[تراکنش]="انتقال",L229,IF(Tarakonesh[تراکنش]="دریافت_درآمد",(Tarakonesh[[#This Row],[مبلغ (ریال)]]+IF(Tarakonesh[تراکنش]="انتقال",0,L229)),((IF(Tarakonesh[تراکنش]="انتقال",0,L229))-Tarakonesh[[#This Row],[مبلغ (ریال)]]))))</f>
        <v/>
      </c>
      <c r="M230" s="33"/>
      <c r="N230" s="33"/>
    </row>
    <row r="231" spans="1:14" x14ac:dyDescent="0.25">
      <c r="A231" s="28">
        <v>224</v>
      </c>
      <c r="B231" s="29"/>
      <c r="C231" s="33"/>
      <c r="D231" s="33"/>
      <c r="E231" s="41"/>
      <c r="F231" s="29"/>
      <c r="G231" s="29"/>
      <c r="H231" s="29"/>
      <c r="I231" s="27"/>
      <c r="J231" s="29"/>
      <c r="K231" s="29"/>
      <c r="L231" s="117" t="str">
        <f>IF( Tarakonesh[تراکنش]="", "",IF( Tarakonesh[تراکنش]="انتقال",L230,IF(Tarakonesh[تراکنش]="دریافت_درآمد",(Tarakonesh[[#This Row],[مبلغ (ریال)]]+IF(Tarakonesh[تراکنش]="انتقال",0,L230)),((IF(Tarakonesh[تراکنش]="انتقال",0,L230))-Tarakonesh[[#This Row],[مبلغ (ریال)]]))))</f>
        <v/>
      </c>
      <c r="M231" s="33"/>
      <c r="N231" s="33"/>
    </row>
    <row r="232" spans="1:14" x14ac:dyDescent="0.25">
      <c r="A232" s="28">
        <v>225</v>
      </c>
      <c r="B232" s="29"/>
      <c r="C232" s="33"/>
      <c r="D232" s="33"/>
      <c r="E232" s="41"/>
      <c r="F232" s="29"/>
      <c r="G232" s="29"/>
      <c r="H232" s="29"/>
      <c r="I232" s="27"/>
      <c r="J232" s="29"/>
      <c r="K232" s="29"/>
      <c r="L232" s="117" t="str">
        <f>IF( Tarakonesh[تراکنش]="", "",IF( Tarakonesh[تراکنش]="انتقال",L231,IF(Tarakonesh[تراکنش]="دریافت_درآمد",(Tarakonesh[[#This Row],[مبلغ (ریال)]]+IF(Tarakonesh[تراکنش]="انتقال",0,L231)),((IF(Tarakonesh[تراکنش]="انتقال",0,L231))-Tarakonesh[[#This Row],[مبلغ (ریال)]]))))</f>
        <v/>
      </c>
      <c r="M232" s="33"/>
      <c r="N232" s="33"/>
    </row>
    <row r="233" spans="1:14" x14ac:dyDescent="0.25">
      <c r="A233" s="28">
        <v>226</v>
      </c>
      <c r="B233" s="29"/>
      <c r="C233" s="33"/>
      <c r="D233" s="33"/>
      <c r="E233" s="41"/>
      <c r="F233" s="29"/>
      <c r="G233" s="29"/>
      <c r="H233" s="29"/>
      <c r="I233" s="27"/>
      <c r="J233" s="29"/>
      <c r="K233" s="29"/>
      <c r="L233" s="117" t="str">
        <f>IF( Tarakonesh[تراکنش]="", "",IF( Tarakonesh[تراکنش]="انتقال",L232,IF(Tarakonesh[تراکنش]="دریافت_درآمد",(Tarakonesh[[#This Row],[مبلغ (ریال)]]+IF(Tarakonesh[تراکنش]="انتقال",0,L232)),((IF(Tarakonesh[تراکنش]="انتقال",0,L232))-Tarakonesh[[#This Row],[مبلغ (ریال)]]))))</f>
        <v/>
      </c>
      <c r="M233" s="33"/>
      <c r="N233" s="33"/>
    </row>
    <row r="234" spans="1:14" x14ac:dyDescent="0.25">
      <c r="A234" s="28">
        <v>227</v>
      </c>
      <c r="B234" s="29"/>
      <c r="C234" s="33"/>
      <c r="D234" s="33"/>
      <c r="E234" s="41"/>
      <c r="F234" s="29"/>
      <c r="G234" s="29"/>
      <c r="H234" s="29"/>
      <c r="I234" s="27"/>
      <c r="J234" s="29"/>
      <c r="K234" s="29"/>
      <c r="L234" s="117" t="str">
        <f>IF( Tarakonesh[تراکنش]="", "",IF( Tarakonesh[تراکنش]="انتقال",L233,IF(Tarakonesh[تراکنش]="دریافت_درآمد",(Tarakonesh[[#This Row],[مبلغ (ریال)]]+IF(Tarakonesh[تراکنش]="انتقال",0,L233)),((IF(Tarakonesh[تراکنش]="انتقال",0,L233))-Tarakonesh[[#This Row],[مبلغ (ریال)]]))))</f>
        <v/>
      </c>
      <c r="M234" s="33"/>
      <c r="N234" s="33"/>
    </row>
    <row r="235" spans="1:14" x14ac:dyDescent="0.25">
      <c r="A235" s="28">
        <v>228</v>
      </c>
      <c r="B235" s="29"/>
      <c r="C235" s="33"/>
      <c r="D235" s="33"/>
      <c r="E235" s="41"/>
      <c r="F235" s="29"/>
      <c r="G235" s="29"/>
      <c r="H235" s="29"/>
      <c r="I235" s="27"/>
      <c r="J235" s="29"/>
      <c r="K235" s="29"/>
      <c r="L235" s="117" t="str">
        <f>IF( Tarakonesh[تراکنش]="", "",IF( Tarakonesh[تراکنش]="انتقال",L234,IF(Tarakonesh[تراکنش]="دریافت_درآمد",(Tarakonesh[[#This Row],[مبلغ (ریال)]]+IF(Tarakonesh[تراکنش]="انتقال",0,L234)),((IF(Tarakonesh[تراکنش]="انتقال",0,L234))-Tarakonesh[[#This Row],[مبلغ (ریال)]]))))</f>
        <v/>
      </c>
      <c r="M235" s="33"/>
      <c r="N235" s="33"/>
    </row>
    <row r="236" spans="1:14" x14ac:dyDescent="0.25">
      <c r="A236" s="28">
        <v>229</v>
      </c>
      <c r="B236" s="29"/>
      <c r="C236" s="33"/>
      <c r="D236" s="33"/>
      <c r="E236" s="41"/>
      <c r="F236" s="29"/>
      <c r="G236" s="29"/>
      <c r="H236" s="29"/>
      <c r="I236" s="27"/>
      <c r="J236" s="29"/>
      <c r="K236" s="29"/>
      <c r="L236" s="117" t="str">
        <f>IF( Tarakonesh[تراکنش]="", "",IF( Tarakonesh[تراکنش]="انتقال",L235,IF(Tarakonesh[تراکنش]="دریافت_درآمد",(Tarakonesh[[#This Row],[مبلغ (ریال)]]+IF(Tarakonesh[تراکنش]="انتقال",0,L235)),((IF(Tarakonesh[تراکنش]="انتقال",0,L235))-Tarakonesh[[#This Row],[مبلغ (ریال)]]))))</f>
        <v/>
      </c>
      <c r="M236" s="33"/>
      <c r="N236" s="33"/>
    </row>
    <row r="237" spans="1:14" x14ac:dyDescent="0.25">
      <c r="A237" s="28">
        <v>230</v>
      </c>
      <c r="B237" s="29"/>
      <c r="C237" s="33"/>
      <c r="D237" s="33"/>
      <c r="E237" s="41"/>
      <c r="F237" s="29"/>
      <c r="G237" s="29"/>
      <c r="H237" s="29"/>
      <c r="I237" s="27"/>
      <c r="J237" s="29"/>
      <c r="K237" s="29"/>
      <c r="L237" s="117" t="str">
        <f>IF( Tarakonesh[تراکنش]="", "",IF( Tarakonesh[تراکنش]="انتقال",L236,IF(Tarakonesh[تراکنش]="دریافت_درآمد",(Tarakonesh[[#This Row],[مبلغ (ریال)]]+IF(Tarakonesh[تراکنش]="انتقال",0,L236)),((IF(Tarakonesh[تراکنش]="انتقال",0,L236))-Tarakonesh[[#This Row],[مبلغ (ریال)]]))))</f>
        <v/>
      </c>
      <c r="M237" s="33"/>
      <c r="N237" s="33"/>
    </row>
    <row r="238" spans="1:14" x14ac:dyDescent="0.25">
      <c r="A238" s="28">
        <v>231</v>
      </c>
      <c r="B238" s="29"/>
      <c r="C238" s="33"/>
      <c r="D238" s="33"/>
      <c r="E238" s="41"/>
      <c r="F238" s="29"/>
      <c r="G238" s="29"/>
      <c r="H238" s="29"/>
      <c r="I238" s="27"/>
      <c r="J238" s="29"/>
      <c r="K238" s="29"/>
      <c r="L238" s="117" t="str">
        <f>IF( Tarakonesh[تراکنش]="", "",IF( Tarakonesh[تراکنش]="انتقال",L237,IF(Tarakonesh[تراکنش]="دریافت_درآمد",(Tarakonesh[[#This Row],[مبلغ (ریال)]]+IF(Tarakonesh[تراکنش]="انتقال",0,L237)),((IF(Tarakonesh[تراکنش]="انتقال",0,L237))-Tarakonesh[[#This Row],[مبلغ (ریال)]]))))</f>
        <v/>
      </c>
      <c r="M238" s="33"/>
      <c r="N238" s="33"/>
    </row>
    <row r="239" spans="1:14" x14ac:dyDescent="0.25">
      <c r="A239" s="28">
        <v>232</v>
      </c>
      <c r="B239" s="29"/>
      <c r="C239" s="33"/>
      <c r="D239" s="33"/>
      <c r="E239" s="41"/>
      <c r="F239" s="29"/>
      <c r="G239" s="29"/>
      <c r="H239" s="29"/>
      <c r="I239" s="27"/>
      <c r="J239" s="29"/>
      <c r="K239" s="29"/>
      <c r="L239" s="117" t="str">
        <f>IF( Tarakonesh[تراکنش]="", "",IF( Tarakonesh[تراکنش]="انتقال",L238,IF(Tarakonesh[تراکنش]="دریافت_درآمد",(Tarakonesh[[#This Row],[مبلغ (ریال)]]+IF(Tarakonesh[تراکنش]="انتقال",0,L238)),((IF(Tarakonesh[تراکنش]="انتقال",0,L238))-Tarakonesh[[#This Row],[مبلغ (ریال)]]))))</f>
        <v/>
      </c>
      <c r="M239" s="33"/>
      <c r="N239" s="33"/>
    </row>
    <row r="240" spans="1:14" x14ac:dyDescent="0.25">
      <c r="A240" s="28">
        <v>233</v>
      </c>
      <c r="B240" s="29"/>
      <c r="C240" s="33"/>
      <c r="D240" s="33"/>
      <c r="E240" s="41"/>
      <c r="F240" s="29"/>
      <c r="G240" s="29"/>
      <c r="H240" s="29"/>
      <c r="I240" s="27"/>
      <c r="J240" s="29"/>
      <c r="K240" s="29"/>
      <c r="L240" s="117" t="str">
        <f>IF( Tarakonesh[تراکنش]="", "",IF( Tarakonesh[تراکنش]="انتقال",L239,IF(Tarakonesh[تراکنش]="دریافت_درآمد",(Tarakonesh[[#This Row],[مبلغ (ریال)]]+IF(Tarakonesh[تراکنش]="انتقال",0,L239)),((IF(Tarakonesh[تراکنش]="انتقال",0,L239))-Tarakonesh[[#This Row],[مبلغ (ریال)]]))))</f>
        <v/>
      </c>
      <c r="M240" s="33"/>
      <c r="N240" s="33"/>
    </row>
    <row r="241" spans="1:14" x14ac:dyDescent="0.25">
      <c r="A241" s="28">
        <v>234</v>
      </c>
      <c r="B241" s="29"/>
      <c r="C241" s="33"/>
      <c r="D241" s="33"/>
      <c r="E241" s="41"/>
      <c r="F241" s="29"/>
      <c r="G241" s="29"/>
      <c r="H241" s="29"/>
      <c r="I241" s="27"/>
      <c r="J241" s="29"/>
      <c r="K241" s="29"/>
      <c r="L241" s="117" t="str">
        <f>IF( Tarakonesh[تراکنش]="", "",IF( Tarakonesh[تراکنش]="انتقال",L240,IF(Tarakonesh[تراکنش]="دریافت_درآمد",(Tarakonesh[[#This Row],[مبلغ (ریال)]]+IF(Tarakonesh[تراکنش]="انتقال",0,L240)),((IF(Tarakonesh[تراکنش]="انتقال",0,L240))-Tarakonesh[[#This Row],[مبلغ (ریال)]]))))</f>
        <v/>
      </c>
      <c r="M241" s="33"/>
      <c r="N241" s="33"/>
    </row>
    <row r="242" spans="1:14" x14ac:dyDescent="0.25">
      <c r="A242" s="28">
        <v>235</v>
      </c>
      <c r="B242" s="29"/>
      <c r="C242" s="33"/>
      <c r="D242" s="33"/>
      <c r="E242" s="41"/>
      <c r="F242" s="29"/>
      <c r="G242" s="29"/>
      <c r="H242" s="29"/>
      <c r="I242" s="27"/>
      <c r="J242" s="29"/>
      <c r="K242" s="29"/>
      <c r="L242" s="117" t="str">
        <f>IF( Tarakonesh[تراکنش]="", "",IF( Tarakonesh[تراکنش]="انتقال",L241,IF(Tarakonesh[تراکنش]="دریافت_درآمد",(Tarakonesh[[#This Row],[مبلغ (ریال)]]+IF(Tarakonesh[تراکنش]="انتقال",0,L241)),((IF(Tarakonesh[تراکنش]="انتقال",0,L241))-Tarakonesh[[#This Row],[مبلغ (ریال)]]))))</f>
        <v/>
      </c>
      <c r="M242" s="33"/>
      <c r="N242" s="33"/>
    </row>
    <row r="243" spans="1:14" x14ac:dyDescent="0.25">
      <c r="A243" s="28">
        <v>236</v>
      </c>
      <c r="B243" s="29"/>
      <c r="C243" s="33"/>
      <c r="D243" s="33"/>
      <c r="E243" s="41"/>
      <c r="F243" s="29"/>
      <c r="G243" s="29"/>
      <c r="H243" s="29"/>
      <c r="I243" s="27"/>
      <c r="J243" s="29"/>
      <c r="K243" s="29"/>
      <c r="L243" s="117" t="str">
        <f>IF( Tarakonesh[تراکنش]="", "",IF( Tarakonesh[تراکنش]="انتقال",L242,IF(Tarakonesh[تراکنش]="دریافت_درآمد",(Tarakonesh[[#This Row],[مبلغ (ریال)]]+IF(Tarakonesh[تراکنش]="انتقال",0,L242)),((IF(Tarakonesh[تراکنش]="انتقال",0,L242))-Tarakonesh[[#This Row],[مبلغ (ریال)]]))))</f>
        <v/>
      </c>
      <c r="M243" s="33"/>
      <c r="N243" s="33"/>
    </row>
    <row r="244" spans="1:14" x14ac:dyDescent="0.25">
      <c r="A244" s="28">
        <v>237</v>
      </c>
      <c r="B244" s="29"/>
      <c r="C244" s="33"/>
      <c r="D244" s="33"/>
      <c r="E244" s="41"/>
      <c r="F244" s="29"/>
      <c r="G244" s="29"/>
      <c r="H244" s="29"/>
      <c r="I244" s="27"/>
      <c r="J244" s="29"/>
      <c r="K244" s="29"/>
      <c r="L244" s="117" t="str">
        <f>IF( Tarakonesh[تراکنش]="", "",IF( Tarakonesh[تراکنش]="انتقال",L243,IF(Tarakonesh[تراکنش]="دریافت_درآمد",(Tarakonesh[[#This Row],[مبلغ (ریال)]]+IF(Tarakonesh[تراکنش]="انتقال",0,L243)),((IF(Tarakonesh[تراکنش]="انتقال",0,L243))-Tarakonesh[[#This Row],[مبلغ (ریال)]]))))</f>
        <v/>
      </c>
      <c r="M244" s="33"/>
      <c r="N244" s="33"/>
    </row>
    <row r="245" spans="1:14" x14ac:dyDescent="0.25">
      <c r="A245" s="28">
        <v>238</v>
      </c>
      <c r="B245" s="29"/>
      <c r="C245" s="33"/>
      <c r="D245" s="33"/>
      <c r="E245" s="41"/>
      <c r="F245" s="29"/>
      <c r="G245" s="29"/>
      <c r="H245" s="29"/>
      <c r="I245" s="27"/>
      <c r="J245" s="29"/>
      <c r="K245" s="29"/>
      <c r="L245" s="117" t="str">
        <f>IF( Tarakonesh[تراکنش]="", "",IF( Tarakonesh[تراکنش]="انتقال",L244,IF(Tarakonesh[تراکنش]="دریافت_درآمد",(Tarakonesh[[#This Row],[مبلغ (ریال)]]+IF(Tarakonesh[تراکنش]="انتقال",0,L244)),((IF(Tarakonesh[تراکنش]="انتقال",0,L244))-Tarakonesh[[#This Row],[مبلغ (ریال)]]))))</f>
        <v/>
      </c>
      <c r="M245" s="33"/>
      <c r="N245" s="33"/>
    </row>
    <row r="246" spans="1:14" x14ac:dyDescent="0.25">
      <c r="A246" s="28">
        <v>239</v>
      </c>
      <c r="B246" s="29"/>
      <c r="C246" s="33"/>
      <c r="D246" s="33"/>
      <c r="E246" s="41"/>
      <c r="F246" s="29"/>
      <c r="G246" s="29"/>
      <c r="H246" s="29"/>
      <c r="I246" s="27"/>
      <c r="J246" s="29"/>
      <c r="K246" s="29"/>
      <c r="L246" s="117" t="str">
        <f>IF( Tarakonesh[تراکنش]="", "",IF( Tarakonesh[تراکنش]="انتقال",L245,IF(Tarakonesh[تراکنش]="دریافت_درآمد",(Tarakonesh[[#This Row],[مبلغ (ریال)]]+IF(Tarakonesh[تراکنش]="انتقال",0,L245)),((IF(Tarakonesh[تراکنش]="انتقال",0,L245))-Tarakonesh[[#This Row],[مبلغ (ریال)]]))))</f>
        <v/>
      </c>
      <c r="M246" s="33"/>
      <c r="N246" s="33"/>
    </row>
    <row r="247" spans="1:14" x14ac:dyDescent="0.25">
      <c r="A247" s="28">
        <v>240</v>
      </c>
      <c r="B247" s="29"/>
      <c r="C247" s="33"/>
      <c r="D247" s="33"/>
      <c r="E247" s="41"/>
      <c r="F247" s="29"/>
      <c r="G247" s="29"/>
      <c r="H247" s="29"/>
      <c r="I247" s="27"/>
      <c r="J247" s="29"/>
      <c r="K247" s="29"/>
      <c r="L247" s="117" t="str">
        <f>IF( Tarakonesh[تراکنش]="", "",IF( Tarakonesh[تراکنش]="انتقال",L246,IF(Tarakonesh[تراکنش]="دریافت_درآمد",(Tarakonesh[[#This Row],[مبلغ (ریال)]]+IF(Tarakonesh[تراکنش]="انتقال",0,L246)),((IF(Tarakonesh[تراکنش]="انتقال",0,L246))-Tarakonesh[[#This Row],[مبلغ (ریال)]]))))</f>
        <v/>
      </c>
      <c r="M247" s="33"/>
      <c r="N247" s="33"/>
    </row>
    <row r="248" spans="1:14" x14ac:dyDescent="0.25">
      <c r="A248" s="28">
        <v>241</v>
      </c>
      <c r="B248" s="29"/>
      <c r="C248" s="33"/>
      <c r="D248" s="33"/>
      <c r="E248" s="41"/>
      <c r="F248" s="29"/>
      <c r="G248" s="29"/>
      <c r="H248" s="29"/>
      <c r="I248" s="27"/>
      <c r="J248" s="29"/>
      <c r="K248" s="29"/>
      <c r="L248" s="117" t="str">
        <f>IF( Tarakonesh[تراکنش]="", "",IF( Tarakonesh[تراکنش]="انتقال",L247,IF(Tarakonesh[تراکنش]="دریافت_درآمد",(Tarakonesh[[#This Row],[مبلغ (ریال)]]+IF(Tarakonesh[تراکنش]="انتقال",0,L247)),((IF(Tarakonesh[تراکنش]="انتقال",0,L247))-Tarakonesh[[#This Row],[مبلغ (ریال)]]))))</f>
        <v/>
      </c>
      <c r="M248" s="33"/>
      <c r="N248" s="33"/>
    </row>
    <row r="249" spans="1:14" x14ac:dyDescent="0.25">
      <c r="A249" s="28">
        <v>242</v>
      </c>
      <c r="B249" s="29"/>
      <c r="C249" s="33"/>
      <c r="D249" s="33"/>
      <c r="E249" s="41"/>
      <c r="F249" s="29"/>
      <c r="G249" s="29"/>
      <c r="H249" s="29"/>
      <c r="I249" s="27"/>
      <c r="J249" s="29"/>
      <c r="K249" s="29"/>
      <c r="L249" s="117" t="str">
        <f>IF( Tarakonesh[تراکنش]="", "",IF( Tarakonesh[تراکنش]="انتقال",L248,IF(Tarakonesh[تراکنش]="دریافت_درآمد",(Tarakonesh[[#This Row],[مبلغ (ریال)]]+IF(Tarakonesh[تراکنش]="انتقال",0,L248)),((IF(Tarakonesh[تراکنش]="انتقال",0,L248))-Tarakonesh[[#This Row],[مبلغ (ریال)]]))))</f>
        <v/>
      </c>
      <c r="M249" s="33"/>
      <c r="N249" s="33"/>
    </row>
    <row r="250" spans="1:14" x14ac:dyDescent="0.25">
      <c r="A250" s="28">
        <v>243</v>
      </c>
      <c r="B250" s="29"/>
      <c r="C250" s="33"/>
      <c r="D250" s="33"/>
      <c r="E250" s="41"/>
      <c r="F250" s="29"/>
      <c r="G250" s="29"/>
      <c r="H250" s="29"/>
      <c r="I250" s="27"/>
      <c r="J250" s="29"/>
      <c r="K250" s="29"/>
      <c r="L250" s="117" t="str">
        <f>IF( Tarakonesh[تراکنش]="", "",IF( Tarakonesh[تراکنش]="انتقال",L249,IF(Tarakonesh[تراکنش]="دریافت_درآمد",(Tarakonesh[[#This Row],[مبلغ (ریال)]]+IF(Tarakonesh[تراکنش]="انتقال",0,L249)),((IF(Tarakonesh[تراکنش]="انتقال",0,L249))-Tarakonesh[[#This Row],[مبلغ (ریال)]]))))</f>
        <v/>
      </c>
      <c r="M250" s="33"/>
      <c r="N250" s="33"/>
    </row>
    <row r="251" spans="1:14" x14ac:dyDescent="0.25">
      <c r="A251" s="28">
        <v>244</v>
      </c>
      <c r="B251" s="29"/>
      <c r="C251" s="33"/>
      <c r="D251" s="33"/>
      <c r="E251" s="41"/>
      <c r="F251" s="29"/>
      <c r="G251" s="29"/>
      <c r="H251" s="29"/>
      <c r="I251" s="27"/>
      <c r="J251" s="29"/>
      <c r="K251" s="29"/>
      <c r="L251" s="117" t="str">
        <f>IF( Tarakonesh[تراکنش]="", "",IF( Tarakonesh[تراکنش]="انتقال",L250,IF(Tarakonesh[تراکنش]="دریافت_درآمد",(Tarakonesh[[#This Row],[مبلغ (ریال)]]+IF(Tarakonesh[تراکنش]="انتقال",0,L250)),((IF(Tarakonesh[تراکنش]="انتقال",0,L250))-Tarakonesh[[#This Row],[مبلغ (ریال)]]))))</f>
        <v/>
      </c>
      <c r="M251" s="33"/>
      <c r="N251" s="33"/>
    </row>
    <row r="252" spans="1:14" x14ac:dyDescent="0.25">
      <c r="A252" s="28">
        <v>245</v>
      </c>
      <c r="B252" s="29"/>
      <c r="C252" s="33"/>
      <c r="D252" s="33"/>
      <c r="E252" s="41"/>
      <c r="F252" s="29"/>
      <c r="G252" s="29"/>
      <c r="H252" s="29"/>
      <c r="I252" s="27"/>
      <c r="J252" s="29"/>
      <c r="K252" s="29"/>
      <c r="L252" s="117" t="str">
        <f>IF( Tarakonesh[تراکنش]="", "",IF( Tarakonesh[تراکنش]="انتقال",L251,IF(Tarakonesh[تراکنش]="دریافت_درآمد",(Tarakonesh[[#This Row],[مبلغ (ریال)]]+IF(Tarakonesh[تراکنش]="انتقال",0,L251)),((IF(Tarakonesh[تراکنش]="انتقال",0,L251))-Tarakonesh[[#This Row],[مبلغ (ریال)]]))))</f>
        <v/>
      </c>
      <c r="M252" s="33"/>
      <c r="N252" s="33"/>
    </row>
    <row r="253" spans="1:14" x14ac:dyDescent="0.25">
      <c r="A253" s="28">
        <v>246</v>
      </c>
      <c r="B253" s="29"/>
      <c r="C253" s="33"/>
      <c r="D253" s="33"/>
      <c r="E253" s="41"/>
      <c r="F253" s="29"/>
      <c r="G253" s="29"/>
      <c r="H253" s="29"/>
      <c r="I253" s="27"/>
      <c r="J253" s="29"/>
      <c r="K253" s="29"/>
      <c r="L253" s="117" t="str">
        <f>IF( Tarakonesh[تراکنش]="", "",IF( Tarakonesh[تراکنش]="انتقال",L252,IF(Tarakonesh[تراکنش]="دریافت_درآمد",(Tarakonesh[[#This Row],[مبلغ (ریال)]]+IF(Tarakonesh[تراکنش]="انتقال",0,L252)),((IF(Tarakonesh[تراکنش]="انتقال",0,L252))-Tarakonesh[[#This Row],[مبلغ (ریال)]]))))</f>
        <v/>
      </c>
      <c r="M253" s="33"/>
      <c r="N253" s="33"/>
    </row>
    <row r="254" spans="1:14" x14ac:dyDescent="0.25">
      <c r="A254" s="28">
        <v>247</v>
      </c>
      <c r="B254" s="29"/>
      <c r="C254" s="33"/>
      <c r="D254" s="33"/>
      <c r="E254" s="41"/>
      <c r="F254" s="29"/>
      <c r="G254" s="29"/>
      <c r="H254" s="29"/>
      <c r="I254" s="27"/>
      <c r="J254" s="29"/>
      <c r="K254" s="29"/>
      <c r="L254" s="117" t="str">
        <f>IF( Tarakonesh[تراکنش]="", "",IF( Tarakonesh[تراکنش]="انتقال",L253,IF(Tarakonesh[تراکنش]="دریافت_درآمد",(Tarakonesh[[#This Row],[مبلغ (ریال)]]+IF(Tarakonesh[تراکنش]="انتقال",0,L253)),((IF(Tarakonesh[تراکنش]="انتقال",0,L253))-Tarakonesh[[#This Row],[مبلغ (ریال)]]))))</f>
        <v/>
      </c>
      <c r="M254" s="33"/>
      <c r="N254" s="33"/>
    </row>
    <row r="255" spans="1:14" x14ac:dyDescent="0.25">
      <c r="A255" s="28">
        <v>248</v>
      </c>
      <c r="B255" s="29"/>
      <c r="C255" s="33"/>
      <c r="D255" s="33"/>
      <c r="E255" s="41"/>
      <c r="F255" s="29"/>
      <c r="G255" s="29"/>
      <c r="H255" s="29"/>
      <c r="I255" s="27"/>
      <c r="J255" s="29"/>
      <c r="K255" s="29"/>
      <c r="L255" s="117" t="str">
        <f>IF( Tarakonesh[تراکنش]="", "",IF( Tarakonesh[تراکنش]="انتقال",L254,IF(Tarakonesh[تراکنش]="دریافت_درآمد",(Tarakonesh[[#This Row],[مبلغ (ریال)]]+IF(Tarakonesh[تراکنش]="انتقال",0,L254)),((IF(Tarakonesh[تراکنش]="انتقال",0,L254))-Tarakonesh[[#This Row],[مبلغ (ریال)]]))))</f>
        <v/>
      </c>
      <c r="M255" s="33"/>
      <c r="N255" s="33"/>
    </row>
    <row r="256" spans="1:14" x14ac:dyDescent="0.25">
      <c r="A256" s="28">
        <v>249</v>
      </c>
      <c r="B256" s="29"/>
      <c r="C256" s="33"/>
      <c r="D256" s="33"/>
      <c r="E256" s="41"/>
      <c r="F256" s="29"/>
      <c r="G256" s="29"/>
      <c r="H256" s="29"/>
      <c r="I256" s="27"/>
      <c r="J256" s="29"/>
      <c r="K256" s="29"/>
      <c r="L256" s="117" t="str">
        <f>IF( Tarakonesh[تراکنش]="", "",IF( Tarakonesh[تراکنش]="انتقال",L255,IF(Tarakonesh[تراکنش]="دریافت_درآمد",(Tarakonesh[[#This Row],[مبلغ (ریال)]]+IF(Tarakonesh[تراکنش]="انتقال",0,L255)),((IF(Tarakonesh[تراکنش]="انتقال",0,L255))-Tarakonesh[[#This Row],[مبلغ (ریال)]]))))</f>
        <v/>
      </c>
      <c r="M256" s="33"/>
      <c r="N256" s="33"/>
    </row>
    <row r="257" spans="1:14" x14ac:dyDescent="0.25">
      <c r="A257" s="28">
        <v>250</v>
      </c>
      <c r="B257" s="29"/>
      <c r="C257" s="33"/>
      <c r="D257" s="33"/>
      <c r="E257" s="41"/>
      <c r="F257" s="29"/>
      <c r="G257" s="29"/>
      <c r="H257" s="29"/>
      <c r="I257" s="27"/>
      <c r="J257" s="29"/>
      <c r="K257" s="29"/>
      <c r="L257" s="117" t="str">
        <f>IF( Tarakonesh[تراکنش]="", "",IF( Tarakonesh[تراکنش]="انتقال",L256,IF(Tarakonesh[تراکنش]="دریافت_درآمد",(Tarakonesh[[#This Row],[مبلغ (ریال)]]+IF(Tarakonesh[تراکنش]="انتقال",0,L256)),((IF(Tarakonesh[تراکنش]="انتقال",0,L256))-Tarakonesh[[#This Row],[مبلغ (ریال)]]))))</f>
        <v/>
      </c>
      <c r="M257" s="33"/>
      <c r="N257" s="33"/>
    </row>
    <row r="258" spans="1:14" x14ac:dyDescent="0.25">
      <c r="A258" s="28">
        <v>251</v>
      </c>
      <c r="B258" s="29"/>
      <c r="C258" s="33"/>
      <c r="D258" s="33"/>
      <c r="E258" s="41"/>
      <c r="F258" s="29"/>
      <c r="G258" s="29"/>
      <c r="H258" s="29"/>
      <c r="I258" s="27"/>
      <c r="J258" s="29"/>
      <c r="K258" s="29"/>
      <c r="L258" s="117" t="str">
        <f>IF( Tarakonesh[تراکنش]="", "",IF( Tarakonesh[تراکنش]="انتقال",L257,IF(Tarakonesh[تراکنش]="دریافت_درآمد",(Tarakonesh[[#This Row],[مبلغ (ریال)]]+IF(Tarakonesh[تراکنش]="انتقال",0,L257)),((IF(Tarakonesh[تراکنش]="انتقال",0,L257))-Tarakonesh[[#This Row],[مبلغ (ریال)]]))))</f>
        <v/>
      </c>
      <c r="M258" s="33"/>
      <c r="N258" s="33"/>
    </row>
    <row r="259" spans="1:14" x14ac:dyDescent="0.25">
      <c r="A259" s="28">
        <v>252</v>
      </c>
      <c r="B259" s="29"/>
      <c r="C259" s="33"/>
      <c r="D259" s="33"/>
      <c r="E259" s="41"/>
      <c r="F259" s="29"/>
      <c r="G259" s="29"/>
      <c r="H259" s="29"/>
      <c r="I259" s="27"/>
      <c r="J259" s="29"/>
      <c r="K259" s="29"/>
      <c r="L259" s="117" t="str">
        <f>IF( Tarakonesh[تراکنش]="", "",IF( Tarakonesh[تراکنش]="انتقال",L258,IF(Tarakonesh[تراکنش]="دریافت_درآمد",(Tarakonesh[[#This Row],[مبلغ (ریال)]]+IF(Tarakonesh[تراکنش]="انتقال",0,L258)),((IF(Tarakonesh[تراکنش]="انتقال",0,L258))-Tarakonesh[[#This Row],[مبلغ (ریال)]]))))</f>
        <v/>
      </c>
      <c r="M259" s="33"/>
      <c r="N259" s="33"/>
    </row>
    <row r="260" spans="1:14" x14ac:dyDescent="0.25">
      <c r="A260" s="28">
        <v>253</v>
      </c>
      <c r="B260" s="29"/>
      <c r="C260" s="33"/>
      <c r="D260" s="33"/>
      <c r="E260" s="41"/>
      <c r="F260" s="29"/>
      <c r="G260" s="29"/>
      <c r="H260" s="29"/>
      <c r="I260" s="27"/>
      <c r="J260" s="29"/>
      <c r="K260" s="29"/>
      <c r="L260" s="117" t="str">
        <f>IF( Tarakonesh[تراکنش]="", "",IF( Tarakonesh[تراکنش]="انتقال",L259,IF(Tarakonesh[تراکنش]="دریافت_درآمد",(Tarakonesh[[#This Row],[مبلغ (ریال)]]+IF(Tarakonesh[تراکنش]="انتقال",0,L259)),((IF(Tarakonesh[تراکنش]="انتقال",0,L259))-Tarakonesh[[#This Row],[مبلغ (ریال)]]))))</f>
        <v/>
      </c>
      <c r="M260" s="33"/>
      <c r="N260" s="33"/>
    </row>
    <row r="261" spans="1:14" x14ac:dyDescent="0.25">
      <c r="A261" s="28">
        <v>254</v>
      </c>
      <c r="B261" s="29"/>
      <c r="C261" s="33"/>
      <c r="D261" s="33"/>
      <c r="E261" s="41"/>
      <c r="F261" s="29"/>
      <c r="G261" s="29"/>
      <c r="H261" s="29"/>
      <c r="I261" s="27"/>
      <c r="J261" s="29"/>
      <c r="K261" s="29"/>
      <c r="L261" s="117" t="str">
        <f>IF( Tarakonesh[تراکنش]="", "",IF( Tarakonesh[تراکنش]="انتقال",L260,IF(Tarakonesh[تراکنش]="دریافت_درآمد",(Tarakonesh[[#This Row],[مبلغ (ریال)]]+IF(Tarakonesh[تراکنش]="انتقال",0,L260)),((IF(Tarakonesh[تراکنش]="انتقال",0,L260))-Tarakonesh[[#This Row],[مبلغ (ریال)]]))))</f>
        <v/>
      </c>
      <c r="M261" s="33"/>
      <c r="N261" s="33"/>
    </row>
    <row r="262" spans="1:14" x14ac:dyDescent="0.25">
      <c r="A262" s="28">
        <v>255</v>
      </c>
      <c r="B262" s="29"/>
      <c r="C262" s="33"/>
      <c r="D262" s="33"/>
      <c r="E262" s="41"/>
      <c r="F262" s="29"/>
      <c r="G262" s="29"/>
      <c r="H262" s="29"/>
      <c r="I262" s="27"/>
      <c r="J262" s="29"/>
      <c r="K262" s="29"/>
      <c r="L262" s="117" t="str">
        <f>IF( Tarakonesh[تراکنش]="", "",IF( Tarakonesh[تراکنش]="انتقال",L261,IF(Tarakonesh[تراکنش]="دریافت_درآمد",(Tarakonesh[[#This Row],[مبلغ (ریال)]]+IF(Tarakonesh[تراکنش]="انتقال",0,L261)),((IF(Tarakonesh[تراکنش]="انتقال",0,L261))-Tarakonesh[[#This Row],[مبلغ (ریال)]]))))</f>
        <v/>
      </c>
      <c r="M262" s="33"/>
      <c r="N262" s="33"/>
    </row>
    <row r="263" spans="1:14" x14ac:dyDescent="0.25">
      <c r="A263" s="28">
        <v>256</v>
      </c>
      <c r="B263" s="29"/>
      <c r="C263" s="33"/>
      <c r="D263" s="33"/>
      <c r="E263" s="41"/>
      <c r="F263" s="29"/>
      <c r="G263" s="29"/>
      <c r="H263" s="29"/>
      <c r="I263" s="27"/>
      <c r="J263" s="29"/>
      <c r="K263" s="29"/>
      <c r="L263" s="117" t="str">
        <f>IF( Tarakonesh[تراکنش]="", "",IF( Tarakonesh[تراکنش]="انتقال",L262,IF(Tarakonesh[تراکنش]="دریافت_درآمد",(Tarakonesh[[#This Row],[مبلغ (ریال)]]+IF(Tarakonesh[تراکنش]="انتقال",0,L262)),((IF(Tarakonesh[تراکنش]="انتقال",0,L262))-Tarakonesh[[#This Row],[مبلغ (ریال)]]))))</f>
        <v/>
      </c>
      <c r="M263" s="33"/>
      <c r="N263" s="33"/>
    </row>
    <row r="264" spans="1:14" x14ac:dyDescent="0.25">
      <c r="A264" s="28">
        <v>257</v>
      </c>
      <c r="B264" s="29"/>
      <c r="C264" s="33"/>
      <c r="D264" s="33"/>
      <c r="E264" s="41"/>
      <c r="F264" s="29"/>
      <c r="G264" s="29"/>
      <c r="H264" s="29"/>
      <c r="I264" s="27"/>
      <c r="J264" s="29"/>
      <c r="K264" s="29"/>
      <c r="L264" s="117" t="str">
        <f>IF( Tarakonesh[تراکنش]="", "",IF( Tarakonesh[تراکنش]="انتقال",L263,IF(Tarakonesh[تراکنش]="دریافت_درآمد",(Tarakonesh[[#This Row],[مبلغ (ریال)]]+IF(Tarakonesh[تراکنش]="انتقال",0,L263)),((IF(Tarakonesh[تراکنش]="انتقال",0,L263))-Tarakonesh[[#This Row],[مبلغ (ریال)]]))))</f>
        <v/>
      </c>
      <c r="M264" s="33"/>
      <c r="N264" s="33"/>
    </row>
    <row r="265" spans="1:14" x14ac:dyDescent="0.25">
      <c r="A265" s="28">
        <v>258</v>
      </c>
      <c r="B265" s="29"/>
      <c r="C265" s="33"/>
      <c r="D265" s="33"/>
      <c r="E265" s="41"/>
      <c r="F265" s="29"/>
      <c r="G265" s="29"/>
      <c r="H265" s="29"/>
      <c r="I265" s="27"/>
      <c r="J265" s="29"/>
      <c r="K265" s="29"/>
      <c r="L265" s="117" t="str">
        <f>IF( Tarakonesh[تراکنش]="", "",IF( Tarakonesh[تراکنش]="انتقال",L264,IF(Tarakonesh[تراکنش]="دریافت_درآمد",(Tarakonesh[[#This Row],[مبلغ (ریال)]]+IF(Tarakonesh[تراکنش]="انتقال",0,L264)),((IF(Tarakonesh[تراکنش]="انتقال",0,L264))-Tarakonesh[[#This Row],[مبلغ (ریال)]]))))</f>
        <v/>
      </c>
      <c r="M265" s="33"/>
      <c r="N265" s="33"/>
    </row>
    <row r="266" spans="1:14" x14ac:dyDescent="0.25">
      <c r="A266" s="28">
        <v>259</v>
      </c>
      <c r="B266" s="29"/>
      <c r="C266" s="33"/>
      <c r="D266" s="33"/>
      <c r="E266" s="41"/>
      <c r="F266" s="29"/>
      <c r="G266" s="29"/>
      <c r="H266" s="29"/>
      <c r="I266" s="27"/>
      <c r="J266" s="29"/>
      <c r="K266" s="29"/>
      <c r="L266" s="117" t="str">
        <f>IF( Tarakonesh[تراکنش]="", "",IF( Tarakonesh[تراکنش]="انتقال",L265,IF(Tarakonesh[تراکنش]="دریافت_درآمد",(Tarakonesh[[#This Row],[مبلغ (ریال)]]+IF(Tarakonesh[تراکنش]="انتقال",0,L265)),((IF(Tarakonesh[تراکنش]="انتقال",0,L265))-Tarakonesh[[#This Row],[مبلغ (ریال)]]))))</f>
        <v/>
      </c>
      <c r="M266" s="33"/>
      <c r="N266" s="33"/>
    </row>
    <row r="267" spans="1:14" x14ac:dyDescent="0.25">
      <c r="A267" s="28">
        <v>260</v>
      </c>
      <c r="B267" s="29"/>
      <c r="C267" s="33"/>
      <c r="D267" s="33"/>
      <c r="E267" s="41"/>
      <c r="F267" s="29"/>
      <c r="G267" s="29"/>
      <c r="H267" s="29"/>
      <c r="I267" s="27"/>
      <c r="J267" s="29"/>
      <c r="K267" s="29"/>
      <c r="L267" s="117" t="str">
        <f>IF( Tarakonesh[تراکنش]="", "",IF( Tarakonesh[تراکنش]="انتقال",L266,IF(Tarakonesh[تراکنش]="دریافت_درآمد",(Tarakonesh[[#This Row],[مبلغ (ریال)]]+IF(Tarakonesh[تراکنش]="انتقال",0,L266)),((IF(Tarakonesh[تراکنش]="انتقال",0,L266))-Tarakonesh[[#This Row],[مبلغ (ریال)]]))))</f>
        <v/>
      </c>
      <c r="M267" s="33"/>
      <c r="N267" s="33"/>
    </row>
    <row r="268" spans="1:14" x14ac:dyDescent="0.25">
      <c r="A268" s="28">
        <v>261</v>
      </c>
      <c r="B268" s="29"/>
      <c r="C268" s="33"/>
      <c r="D268" s="33"/>
      <c r="E268" s="41"/>
      <c r="F268" s="29"/>
      <c r="G268" s="29"/>
      <c r="H268" s="29"/>
      <c r="I268" s="27"/>
      <c r="J268" s="29"/>
      <c r="K268" s="29"/>
      <c r="L268" s="117" t="str">
        <f>IF( Tarakonesh[تراکنش]="", "",IF( Tarakonesh[تراکنش]="انتقال",L267,IF(Tarakonesh[تراکنش]="دریافت_درآمد",(Tarakonesh[[#This Row],[مبلغ (ریال)]]+IF(Tarakonesh[تراکنش]="انتقال",0,L267)),((IF(Tarakonesh[تراکنش]="انتقال",0,L267))-Tarakonesh[[#This Row],[مبلغ (ریال)]]))))</f>
        <v/>
      </c>
      <c r="M268" s="33"/>
      <c r="N268" s="33"/>
    </row>
    <row r="269" spans="1:14" x14ac:dyDescent="0.25">
      <c r="A269" s="28">
        <v>262</v>
      </c>
      <c r="B269" s="29"/>
      <c r="C269" s="33"/>
      <c r="D269" s="33"/>
      <c r="E269" s="41"/>
      <c r="F269" s="29"/>
      <c r="G269" s="29"/>
      <c r="H269" s="29"/>
      <c r="I269" s="27"/>
      <c r="J269" s="29"/>
      <c r="K269" s="29"/>
      <c r="L269" s="117" t="str">
        <f>IF( Tarakonesh[تراکنش]="", "",IF( Tarakonesh[تراکنش]="انتقال",L268,IF(Tarakonesh[تراکنش]="دریافت_درآمد",(Tarakonesh[[#This Row],[مبلغ (ریال)]]+IF(Tarakonesh[تراکنش]="انتقال",0,L268)),((IF(Tarakonesh[تراکنش]="انتقال",0,L268))-Tarakonesh[[#This Row],[مبلغ (ریال)]]))))</f>
        <v/>
      </c>
      <c r="M269" s="33"/>
      <c r="N269" s="33"/>
    </row>
    <row r="270" spans="1:14" x14ac:dyDescent="0.25">
      <c r="A270" s="28">
        <v>263</v>
      </c>
      <c r="B270" s="29"/>
      <c r="C270" s="33"/>
      <c r="D270" s="33"/>
      <c r="E270" s="41"/>
      <c r="F270" s="29"/>
      <c r="G270" s="29"/>
      <c r="H270" s="29"/>
      <c r="I270" s="27"/>
      <c r="J270" s="29"/>
      <c r="K270" s="29"/>
      <c r="L270" s="117" t="str">
        <f>IF( Tarakonesh[تراکنش]="", "",IF( Tarakonesh[تراکنش]="انتقال",L269,IF(Tarakonesh[تراکنش]="دریافت_درآمد",(Tarakonesh[[#This Row],[مبلغ (ریال)]]+IF(Tarakonesh[تراکنش]="انتقال",0,L269)),((IF(Tarakonesh[تراکنش]="انتقال",0,L269))-Tarakonesh[[#This Row],[مبلغ (ریال)]]))))</f>
        <v/>
      </c>
      <c r="M270" s="33"/>
      <c r="N270" s="33"/>
    </row>
    <row r="271" spans="1:14" x14ac:dyDescent="0.25">
      <c r="A271" s="28">
        <v>264</v>
      </c>
      <c r="B271" s="29"/>
      <c r="C271" s="33"/>
      <c r="D271" s="33"/>
      <c r="E271" s="41"/>
      <c r="F271" s="29"/>
      <c r="G271" s="29"/>
      <c r="H271" s="29"/>
      <c r="I271" s="27"/>
      <c r="J271" s="29"/>
      <c r="K271" s="29"/>
      <c r="L271" s="117" t="str">
        <f>IF( Tarakonesh[تراکنش]="", "",IF( Tarakonesh[تراکنش]="انتقال",L270,IF(Tarakonesh[تراکنش]="دریافت_درآمد",(Tarakonesh[[#This Row],[مبلغ (ریال)]]+IF(Tarakonesh[تراکنش]="انتقال",0,L270)),((IF(Tarakonesh[تراکنش]="انتقال",0,L270))-Tarakonesh[[#This Row],[مبلغ (ریال)]]))))</f>
        <v/>
      </c>
      <c r="M271" s="33"/>
      <c r="N271" s="33"/>
    </row>
    <row r="272" spans="1:14" x14ac:dyDescent="0.25">
      <c r="A272" s="28">
        <v>265</v>
      </c>
      <c r="B272" s="29"/>
      <c r="C272" s="33"/>
      <c r="D272" s="33"/>
      <c r="E272" s="41"/>
      <c r="F272" s="29"/>
      <c r="G272" s="29"/>
      <c r="H272" s="29"/>
      <c r="I272" s="27"/>
      <c r="J272" s="29"/>
      <c r="K272" s="29"/>
      <c r="L272" s="117" t="str">
        <f>IF( Tarakonesh[تراکنش]="", "",IF( Tarakonesh[تراکنش]="انتقال",L271,IF(Tarakonesh[تراکنش]="دریافت_درآمد",(Tarakonesh[[#This Row],[مبلغ (ریال)]]+IF(Tarakonesh[تراکنش]="انتقال",0,L271)),((IF(Tarakonesh[تراکنش]="انتقال",0,L271))-Tarakonesh[[#This Row],[مبلغ (ریال)]]))))</f>
        <v/>
      </c>
      <c r="M272" s="33"/>
      <c r="N272" s="33"/>
    </row>
    <row r="273" spans="1:14" x14ac:dyDescent="0.25">
      <c r="A273" s="28">
        <v>266</v>
      </c>
      <c r="B273" s="29"/>
      <c r="C273" s="33"/>
      <c r="D273" s="33"/>
      <c r="E273" s="41"/>
      <c r="F273" s="29"/>
      <c r="G273" s="29"/>
      <c r="H273" s="29"/>
      <c r="I273" s="27"/>
      <c r="J273" s="29"/>
      <c r="K273" s="29"/>
      <c r="L273" s="117" t="str">
        <f>IF( Tarakonesh[تراکنش]="", "",IF( Tarakonesh[تراکنش]="انتقال",L272,IF(Tarakonesh[تراکنش]="دریافت_درآمد",(Tarakonesh[[#This Row],[مبلغ (ریال)]]+IF(Tarakonesh[تراکنش]="انتقال",0,L272)),((IF(Tarakonesh[تراکنش]="انتقال",0,L272))-Tarakonesh[[#This Row],[مبلغ (ریال)]]))))</f>
        <v/>
      </c>
      <c r="M273" s="33"/>
      <c r="N273" s="33"/>
    </row>
    <row r="274" spans="1:14" x14ac:dyDescent="0.25">
      <c r="A274" s="28">
        <v>267</v>
      </c>
      <c r="B274" s="29"/>
      <c r="C274" s="33"/>
      <c r="D274" s="33"/>
      <c r="E274" s="41"/>
      <c r="F274" s="29"/>
      <c r="G274" s="29"/>
      <c r="H274" s="29"/>
      <c r="I274" s="27"/>
      <c r="J274" s="29"/>
      <c r="K274" s="29"/>
      <c r="L274" s="117" t="str">
        <f>IF( Tarakonesh[تراکنش]="", "",IF( Tarakonesh[تراکنش]="انتقال",L273,IF(Tarakonesh[تراکنش]="دریافت_درآمد",(Tarakonesh[[#This Row],[مبلغ (ریال)]]+IF(Tarakonesh[تراکنش]="انتقال",0,L273)),((IF(Tarakonesh[تراکنش]="انتقال",0,L273))-Tarakonesh[[#This Row],[مبلغ (ریال)]]))))</f>
        <v/>
      </c>
      <c r="M274" s="33"/>
      <c r="N274" s="33"/>
    </row>
    <row r="275" spans="1:14" x14ac:dyDescent="0.25">
      <c r="A275" s="28">
        <v>268</v>
      </c>
      <c r="B275" s="29"/>
      <c r="C275" s="33"/>
      <c r="D275" s="33"/>
      <c r="E275" s="41"/>
      <c r="F275" s="29"/>
      <c r="G275" s="29"/>
      <c r="H275" s="29"/>
      <c r="I275" s="27"/>
      <c r="J275" s="29"/>
      <c r="K275" s="29"/>
      <c r="L275" s="117" t="str">
        <f>IF( Tarakonesh[تراکنش]="", "",IF( Tarakonesh[تراکنش]="انتقال",L274,IF(Tarakonesh[تراکنش]="دریافت_درآمد",(Tarakonesh[[#This Row],[مبلغ (ریال)]]+IF(Tarakonesh[تراکنش]="انتقال",0,L274)),((IF(Tarakonesh[تراکنش]="انتقال",0,L274))-Tarakonesh[[#This Row],[مبلغ (ریال)]]))))</f>
        <v/>
      </c>
      <c r="M275" s="33"/>
      <c r="N275" s="33"/>
    </row>
    <row r="276" spans="1:14" x14ac:dyDescent="0.25">
      <c r="A276" s="28">
        <v>269</v>
      </c>
      <c r="B276" s="29"/>
      <c r="C276" s="33"/>
      <c r="D276" s="33"/>
      <c r="E276" s="41"/>
      <c r="F276" s="29"/>
      <c r="G276" s="29"/>
      <c r="H276" s="29"/>
      <c r="I276" s="27"/>
      <c r="J276" s="29"/>
      <c r="K276" s="29"/>
      <c r="L276" s="117" t="str">
        <f>IF( Tarakonesh[تراکنش]="", "",IF( Tarakonesh[تراکنش]="انتقال",L275,IF(Tarakonesh[تراکنش]="دریافت_درآمد",(Tarakonesh[[#This Row],[مبلغ (ریال)]]+IF(Tarakonesh[تراکنش]="انتقال",0,L275)),((IF(Tarakonesh[تراکنش]="انتقال",0,L275))-Tarakonesh[[#This Row],[مبلغ (ریال)]]))))</f>
        <v/>
      </c>
      <c r="M276" s="33"/>
      <c r="N276" s="33"/>
    </row>
    <row r="277" spans="1:14" x14ac:dyDescent="0.25">
      <c r="A277" s="28">
        <v>270</v>
      </c>
      <c r="B277" s="29"/>
      <c r="C277" s="33"/>
      <c r="D277" s="33"/>
      <c r="E277" s="41"/>
      <c r="F277" s="29"/>
      <c r="G277" s="29"/>
      <c r="H277" s="29"/>
      <c r="I277" s="27"/>
      <c r="J277" s="29"/>
      <c r="K277" s="29"/>
      <c r="L277" s="117" t="str">
        <f>IF( Tarakonesh[تراکنش]="", "",IF( Tarakonesh[تراکنش]="انتقال",L276,IF(Tarakonesh[تراکنش]="دریافت_درآمد",(Tarakonesh[[#This Row],[مبلغ (ریال)]]+IF(Tarakonesh[تراکنش]="انتقال",0,L276)),((IF(Tarakonesh[تراکنش]="انتقال",0,L276))-Tarakonesh[[#This Row],[مبلغ (ریال)]]))))</f>
        <v/>
      </c>
      <c r="M277" s="33"/>
      <c r="N277" s="33"/>
    </row>
    <row r="278" spans="1:14" x14ac:dyDescent="0.25">
      <c r="A278" s="28">
        <v>271</v>
      </c>
      <c r="B278" s="29"/>
      <c r="C278" s="33"/>
      <c r="D278" s="33"/>
      <c r="E278" s="41"/>
      <c r="F278" s="29"/>
      <c r="G278" s="29"/>
      <c r="H278" s="29"/>
      <c r="I278" s="27"/>
      <c r="J278" s="29"/>
      <c r="K278" s="29"/>
      <c r="L278" s="117" t="str">
        <f>IF( Tarakonesh[تراکنش]="", "",IF( Tarakonesh[تراکنش]="انتقال",L277,IF(Tarakonesh[تراکنش]="دریافت_درآمد",(Tarakonesh[[#This Row],[مبلغ (ریال)]]+IF(Tarakonesh[تراکنش]="انتقال",0,L277)),((IF(Tarakonesh[تراکنش]="انتقال",0,L277))-Tarakonesh[[#This Row],[مبلغ (ریال)]]))))</f>
        <v/>
      </c>
      <c r="M278" s="33"/>
      <c r="N278" s="33"/>
    </row>
    <row r="279" spans="1:14" x14ac:dyDescent="0.25">
      <c r="A279" s="28">
        <v>272</v>
      </c>
      <c r="B279" s="29"/>
      <c r="C279" s="33"/>
      <c r="D279" s="33"/>
      <c r="E279" s="41"/>
      <c r="F279" s="29"/>
      <c r="G279" s="29"/>
      <c r="H279" s="29"/>
      <c r="I279" s="27"/>
      <c r="J279" s="29"/>
      <c r="K279" s="29"/>
      <c r="L279" s="117" t="str">
        <f>IF( Tarakonesh[تراکنش]="", "",IF( Tarakonesh[تراکنش]="انتقال",L278,IF(Tarakonesh[تراکنش]="دریافت_درآمد",(Tarakonesh[[#This Row],[مبلغ (ریال)]]+IF(Tarakonesh[تراکنش]="انتقال",0,L278)),((IF(Tarakonesh[تراکنش]="انتقال",0,L278))-Tarakonesh[[#This Row],[مبلغ (ریال)]]))))</f>
        <v/>
      </c>
      <c r="M279" s="33"/>
      <c r="N279" s="33"/>
    </row>
    <row r="280" spans="1:14" x14ac:dyDescent="0.25">
      <c r="A280" s="28">
        <v>273</v>
      </c>
      <c r="B280" s="29"/>
      <c r="C280" s="33"/>
      <c r="D280" s="33"/>
      <c r="E280" s="41"/>
      <c r="F280" s="29"/>
      <c r="G280" s="29"/>
      <c r="H280" s="29"/>
      <c r="I280" s="27"/>
      <c r="J280" s="29"/>
      <c r="K280" s="29"/>
      <c r="L280" s="117" t="str">
        <f>IF( Tarakonesh[تراکنش]="", "",IF( Tarakonesh[تراکنش]="انتقال",L279,IF(Tarakonesh[تراکنش]="دریافت_درآمد",(Tarakonesh[[#This Row],[مبلغ (ریال)]]+IF(Tarakonesh[تراکنش]="انتقال",0,L279)),((IF(Tarakonesh[تراکنش]="انتقال",0,L279))-Tarakonesh[[#This Row],[مبلغ (ریال)]]))))</f>
        <v/>
      </c>
      <c r="M280" s="33"/>
      <c r="N280" s="33"/>
    </row>
    <row r="281" spans="1:14" x14ac:dyDescent="0.25">
      <c r="A281" s="28">
        <v>274</v>
      </c>
      <c r="B281" s="29"/>
      <c r="C281" s="33"/>
      <c r="D281" s="33"/>
      <c r="E281" s="41"/>
      <c r="F281" s="29"/>
      <c r="G281" s="29"/>
      <c r="H281" s="29"/>
      <c r="I281" s="27"/>
      <c r="J281" s="29"/>
      <c r="K281" s="29"/>
      <c r="L281" s="117" t="str">
        <f>IF( Tarakonesh[تراکنش]="", "",IF( Tarakonesh[تراکنش]="انتقال",L280,IF(Tarakonesh[تراکنش]="دریافت_درآمد",(Tarakonesh[[#This Row],[مبلغ (ریال)]]+IF(Tarakonesh[تراکنش]="انتقال",0,L280)),((IF(Tarakonesh[تراکنش]="انتقال",0,L280))-Tarakonesh[[#This Row],[مبلغ (ریال)]]))))</f>
        <v/>
      </c>
      <c r="M281" s="33"/>
      <c r="N281" s="33"/>
    </row>
    <row r="282" spans="1:14" x14ac:dyDescent="0.25">
      <c r="A282" s="28">
        <v>275</v>
      </c>
      <c r="B282" s="29"/>
      <c r="C282" s="33"/>
      <c r="D282" s="33"/>
      <c r="E282" s="41"/>
      <c r="F282" s="29"/>
      <c r="G282" s="29"/>
      <c r="H282" s="29"/>
      <c r="I282" s="27"/>
      <c r="J282" s="29"/>
      <c r="K282" s="29"/>
      <c r="L282" s="117" t="str">
        <f>IF( Tarakonesh[تراکنش]="", "",IF( Tarakonesh[تراکنش]="انتقال",L281,IF(Tarakonesh[تراکنش]="دریافت_درآمد",(Tarakonesh[[#This Row],[مبلغ (ریال)]]+IF(Tarakonesh[تراکنش]="انتقال",0,L281)),((IF(Tarakonesh[تراکنش]="انتقال",0,L281))-Tarakonesh[[#This Row],[مبلغ (ریال)]]))))</f>
        <v/>
      </c>
      <c r="M282" s="33"/>
      <c r="N282" s="33"/>
    </row>
    <row r="283" spans="1:14" x14ac:dyDescent="0.25">
      <c r="A283" s="28">
        <v>276</v>
      </c>
      <c r="B283" s="29"/>
      <c r="C283" s="33"/>
      <c r="D283" s="33"/>
      <c r="E283" s="41"/>
      <c r="F283" s="29"/>
      <c r="G283" s="29"/>
      <c r="H283" s="29"/>
      <c r="I283" s="27"/>
      <c r="J283" s="29"/>
      <c r="K283" s="29"/>
      <c r="L283" s="117" t="str">
        <f>IF( Tarakonesh[تراکنش]="", "",IF( Tarakonesh[تراکنش]="انتقال",L282,IF(Tarakonesh[تراکنش]="دریافت_درآمد",(Tarakonesh[[#This Row],[مبلغ (ریال)]]+IF(Tarakonesh[تراکنش]="انتقال",0,L282)),((IF(Tarakonesh[تراکنش]="انتقال",0,L282))-Tarakonesh[[#This Row],[مبلغ (ریال)]]))))</f>
        <v/>
      </c>
      <c r="M283" s="33"/>
      <c r="N283" s="33"/>
    </row>
    <row r="284" spans="1:14" x14ac:dyDescent="0.25">
      <c r="A284" s="28">
        <v>277</v>
      </c>
      <c r="B284" s="29"/>
      <c r="C284" s="33"/>
      <c r="D284" s="33"/>
      <c r="E284" s="41"/>
      <c r="F284" s="29"/>
      <c r="G284" s="29"/>
      <c r="H284" s="29"/>
      <c r="I284" s="27"/>
      <c r="J284" s="29"/>
      <c r="K284" s="29"/>
      <c r="L284" s="117" t="str">
        <f>IF( Tarakonesh[تراکنش]="", "",IF( Tarakonesh[تراکنش]="انتقال",L283,IF(Tarakonesh[تراکنش]="دریافت_درآمد",(Tarakonesh[[#This Row],[مبلغ (ریال)]]+IF(Tarakonesh[تراکنش]="انتقال",0,L283)),((IF(Tarakonesh[تراکنش]="انتقال",0,L283))-Tarakonesh[[#This Row],[مبلغ (ریال)]]))))</f>
        <v/>
      </c>
      <c r="M284" s="33"/>
      <c r="N284" s="33"/>
    </row>
    <row r="285" spans="1:14" x14ac:dyDescent="0.25">
      <c r="A285" s="28">
        <v>278</v>
      </c>
      <c r="B285" s="29"/>
      <c r="C285" s="33"/>
      <c r="D285" s="33"/>
      <c r="E285" s="41"/>
      <c r="F285" s="29"/>
      <c r="G285" s="29"/>
      <c r="H285" s="29"/>
      <c r="I285" s="27"/>
      <c r="J285" s="29"/>
      <c r="K285" s="29"/>
      <c r="L285" s="117" t="str">
        <f>IF( Tarakonesh[تراکنش]="", "",IF( Tarakonesh[تراکنش]="انتقال",L284,IF(Tarakonesh[تراکنش]="دریافت_درآمد",(Tarakonesh[[#This Row],[مبلغ (ریال)]]+IF(Tarakonesh[تراکنش]="انتقال",0,L284)),((IF(Tarakonesh[تراکنش]="انتقال",0,L284))-Tarakonesh[[#This Row],[مبلغ (ریال)]]))))</f>
        <v/>
      </c>
      <c r="M285" s="33"/>
      <c r="N285" s="33"/>
    </row>
    <row r="286" spans="1:14" x14ac:dyDescent="0.25">
      <c r="A286" s="28">
        <v>279</v>
      </c>
      <c r="B286" s="29"/>
      <c r="C286" s="33"/>
      <c r="D286" s="33"/>
      <c r="E286" s="41"/>
      <c r="F286" s="29"/>
      <c r="G286" s="29"/>
      <c r="H286" s="29"/>
      <c r="I286" s="27"/>
      <c r="J286" s="29"/>
      <c r="K286" s="29"/>
      <c r="L286" s="117" t="str">
        <f>IF( Tarakonesh[تراکنش]="", "",IF( Tarakonesh[تراکنش]="انتقال",L285,IF(Tarakonesh[تراکنش]="دریافت_درآمد",(Tarakonesh[[#This Row],[مبلغ (ریال)]]+IF(Tarakonesh[تراکنش]="انتقال",0,L285)),((IF(Tarakonesh[تراکنش]="انتقال",0,L285))-Tarakonesh[[#This Row],[مبلغ (ریال)]]))))</f>
        <v/>
      </c>
      <c r="M286" s="33"/>
      <c r="N286" s="33"/>
    </row>
    <row r="287" spans="1:14" x14ac:dyDescent="0.25">
      <c r="A287" s="28">
        <v>280</v>
      </c>
      <c r="B287" s="29"/>
      <c r="C287" s="33"/>
      <c r="D287" s="33"/>
      <c r="E287" s="41"/>
      <c r="F287" s="29"/>
      <c r="G287" s="29"/>
      <c r="H287" s="29"/>
      <c r="I287" s="27"/>
      <c r="J287" s="29"/>
      <c r="K287" s="29"/>
      <c r="L287" s="117" t="str">
        <f>IF( Tarakonesh[تراکنش]="", "",IF( Tarakonesh[تراکنش]="انتقال",L286,IF(Tarakonesh[تراکنش]="دریافت_درآمد",(Tarakonesh[[#This Row],[مبلغ (ریال)]]+IF(Tarakonesh[تراکنش]="انتقال",0,L286)),((IF(Tarakonesh[تراکنش]="انتقال",0,L286))-Tarakonesh[[#This Row],[مبلغ (ریال)]]))))</f>
        <v/>
      </c>
      <c r="M287" s="33"/>
      <c r="N287" s="33"/>
    </row>
    <row r="288" spans="1:14" x14ac:dyDescent="0.25">
      <c r="A288" s="28">
        <v>281</v>
      </c>
      <c r="B288" s="29"/>
      <c r="C288" s="33"/>
      <c r="D288" s="33"/>
      <c r="E288" s="41"/>
      <c r="F288" s="29"/>
      <c r="G288" s="29"/>
      <c r="H288" s="29"/>
      <c r="I288" s="27"/>
      <c r="J288" s="29"/>
      <c r="K288" s="29"/>
      <c r="L288" s="117" t="str">
        <f>IF( Tarakonesh[تراکنش]="", "",IF( Tarakonesh[تراکنش]="انتقال",L287,IF(Tarakonesh[تراکنش]="دریافت_درآمد",(Tarakonesh[[#This Row],[مبلغ (ریال)]]+IF(Tarakonesh[تراکنش]="انتقال",0,L287)),((IF(Tarakonesh[تراکنش]="انتقال",0,L287))-Tarakonesh[[#This Row],[مبلغ (ریال)]]))))</f>
        <v/>
      </c>
      <c r="M288" s="33"/>
      <c r="N288" s="33"/>
    </row>
    <row r="289" spans="1:14" x14ac:dyDescent="0.25">
      <c r="A289" s="28">
        <v>282</v>
      </c>
      <c r="B289" s="29"/>
      <c r="C289" s="33"/>
      <c r="D289" s="33"/>
      <c r="E289" s="41"/>
      <c r="F289" s="29"/>
      <c r="G289" s="29"/>
      <c r="H289" s="29"/>
      <c r="I289" s="27"/>
      <c r="J289" s="29"/>
      <c r="K289" s="29"/>
      <c r="L289" s="117" t="str">
        <f>IF( Tarakonesh[تراکنش]="", "",IF( Tarakonesh[تراکنش]="انتقال",L288,IF(Tarakonesh[تراکنش]="دریافت_درآمد",(Tarakonesh[[#This Row],[مبلغ (ریال)]]+IF(Tarakonesh[تراکنش]="انتقال",0,L288)),((IF(Tarakonesh[تراکنش]="انتقال",0,L288))-Tarakonesh[[#This Row],[مبلغ (ریال)]]))))</f>
        <v/>
      </c>
      <c r="M289" s="33"/>
      <c r="N289" s="33"/>
    </row>
    <row r="290" spans="1:14" x14ac:dyDescent="0.25">
      <c r="A290" s="28">
        <v>283</v>
      </c>
      <c r="B290" s="29"/>
      <c r="C290" s="33"/>
      <c r="D290" s="33"/>
      <c r="E290" s="41"/>
      <c r="F290" s="29"/>
      <c r="G290" s="29"/>
      <c r="H290" s="29"/>
      <c r="I290" s="27"/>
      <c r="J290" s="29"/>
      <c r="K290" s="29"/>
      <c r="L290" s="117" t="str">
        <f>IF( Tarakonesh[تراکنش]="", "",IF( Tarakonesh[تراکنش]="انتقال",L289,IF(Tarakonesh[تراکنش]="دریافت_درآمد",(Tarakonesh[[#This Row],[مبلغ (ریال)]]+IF(Tarakonesh[تراکنش]="انتقال",0,L289)),((IF(Tarakonesh[تراکنش]="انتقال",0,L289))-Tarakonesh[[#This Row],[مبلغ (ریال)]]))))</f>
        <v/>
      </c>
      <c r="M290" s="33"/>
      <c r="N290" s="33"/>
    </row>
    <row r="291" spans="1:14" x14ac:dyDescent="0.25">
      <c r="A291" s="28">
        <v>284</v>
      </c>
      <c r="B291" s="29"/>
      <c r="C291" s="33"/>
      <c r="D291" s="33"/>
      <c r="E291" s="41"/>
      <c r="F291" s="29"/>
      <c r="G291" s="29"/>
      <c r="H291" s="29"/>
      <c r="I291" s="27"/>
      <c r="J291" s="29"/>
      <c r="K291" s="29"/>
      <c r="L291" s="117" t="str">
        <f>IF( Tarakonesh[تراکنش]="", "",IF( Tarakonesh[تراکنش]="انتقال",L290,IF(Tarakonesh[تراکنش]="دریافت_درآمد",(Tarakonesh[[#This Row],[مبلغ (ریال)]]+IF(Tarakonesh[تراکنش]="انتقال",0,L290)),((IF(Tarakonesh[تراکنش]="انتقال",0,L290))-Tarakonesh[[#This Row],[مبلغ (ریال)]]))))</f>
        <v/>
      </c>
      <c r="M291" s="33"/>
      <c r="N291" s="33"/>
    </row>
    <row r="292" spans="1:14" x14ac:dyDescent="0.25">
      <c r="A292" s="28">
        <v>285</v>
      </c>
      <c r="B292" s="29"/>
      <c r="C292" s="33"/>
      <c r="D292" s="33"/>
      <c r="E292" s="41"/>
      <c r="F292" s="29"/>
      <c r="G292" s="29"/>
      <c r="H292" s="29"/>
      <c r="I292" s="27"/>
      <c r="J292" s="29"/>
      <c r="K292" s="29"/>
      <c r="L292" s="117" t="str">
        <f>IF( Tarakonesh[تراکنش]="", "",IF( Tarakonesh[تراکنش]="انتقال",L291,IF(Tarakonesh[تراکنش]="دریافت_درآمد",(Tarakonesh[[#This Row],[مبلغ (ریال)]]+IF(Tarakonesh[تراکنش]="انتقال",0,L291)),((IF(Tarakonesh[تراکنش]="انتقال",0,L291))-Tarakonesh[[#This Row],[مبلغ (ریال)]]))))</f>
        <v/>
      </c>
      <c r="M292" s="33"/>
      <c r="N292" s="33"/>
    </row>
    <row r="293" spans="1:14" x14ac:dyDescent="0.25">
      <c r="A293" s="28">
        <v>286</v>
      </c>
      <c r="B293" s="29"/>
      <c r="C293" s="33"/>
      <c r="D293" s="33"/>
      <c r="E293" s="41"/>
      <c r="F293" s="29"/>
      <c r="G293" s="29"/>
      <c r="H293" s="29"/>
      <c r="I293" s="27"/>
      <c r="J293" s="29"/>
      <c r="K293" s="29"/>
      <c r="L293" s="117" t="str">
        <f>IF( Tarakonesh[تراکنش]="", "",IF( Tarakonesh[تراکنش]="انتقال",L292,IF(Tarakonesh[تراکنش]="دریافت_درآمد",(Tarakonesh[[#This Row],[مبلغ (ریال)]]+IF(Tarakonesh[تراکنش]="انتقال",0,L292)),((IF(Tarakonesh[تراکنش]="انتقال",0,L292))-Tarakonesh[[#This Row],[مبلغ (ریال)]]))))</f>
        <v/>
      </c>
      <c r="M293" s="33"/>
      <c r="N293" s="33"/>
    </row>
    <row r="294" spans="1:14" x14ac:dyDescent="0.25">
      <c r="A294" s="28">
        <v>287</v>
      </c>
      <c r="B294" s="29"/>
      <c r="C294" s="33"/>
      <c r="D294" s="33"/>
      <c r="E294" s="41"/>
      <c r="F294" s="29"/>
      <c r="G294" s="29"/>
      <c r="H294" s="29"/>
      <c r="I294" s="27"/>
      <c r="J294" s="29"/>
      <c r="K294" s="29"/>
      <c r="L294" s="117" t="str">
        <f>IF( Tarakonesh[تراکنش]="", "",IF( Tarakonesh[تراکنش]="انتقال",L293,IF(Tarakonesh[تراکنش]="دریافت_درآمد",(Tarakonesh[[#This Row],[مبلغ (ریال)]]+IF(Tarakonesh[تراکنش]="انتقال",0,L293)),((IF(Tarakonesh[تراکنش]="انتقال",0,L293))-Tarakonesh[[#This Row],[مبلغ (ریال)]]))))</f>
        <v/>
      </c>
      <c r="M294" s="33"/>
      <c r="N294" s="33"/>
    </row>
    <row r="295" spans="1:14" x14ac:dyDescent="0.25">
      <c r="A295" s="28">
        <v>288</v>
      </c>
      <c r="B295" s="29"/>
      <c r="C295" s="33"/>
      <c r="D295" s="33"/>
      <c r="E295" s="41"/>
      <c r="F295" s="29"/>
      <c r="G295" s="29"/>
      <c r="H295" s="29"/>
      <c r="I295" s="27"/>
      <c r="J295" s="29"/>
      <c r="K295" s="29"/>
      <c r="L295" s="117" t="str">
        <f>IF( Tarakonesh[تراکنش]="", "",IF( Tarakonesh[تراکنش]="انتقال",L294,IF(Tarakonesh[تراکنش]="دریافت_درآمد",(Tarakonesh[[#This Row],[مبلغ (ریال)]]+IF(Tarakonesh[تراکنش]="انتقال",0,L294)),((IF(Tarakonesh[تراکنش]="انتقال",0,L294))-Tarakonesh[[#This Row],[مبلغ (ریال)]]))))</f>
        <v/>
      </c>
      <c r="M295" s="33"/>
      <c r="N295" s="33"/>
    </row>
    <row r="296" spans="1:14" x14ac:dyDescent="0.25">
      <c r="A296" s="28">
        <v>289</v>
      </c>
      <c r="B296" s="29"/>
      <c r="C296" s="33"/>
      <c r="D296" s="33"/>
      <c r="E296" s="41"/>
      <c r="F296" s="29"/>
      <c r="G296" s="29"/>
      <c r="H296" s="29"/>
      <c r="I296" s="27"/>
      <c r="J296" s="29"/>
      <c r="K296" s="29"/>
      <c r="L296" s="117" t="str">
        <f>IF( Tarakonesh[تراکنش]="", "",IF( Tarakonesh[تراکنش]="انتقال",L295,IF(Tarakonesh[تراکنش]="دریافت_درآمد",(Tarakonesh[[#This Row],[مبلغ (ریال)]]+IF(Tarakonesh[تراکنش]="انتقال",0,L295)),((IF(Tarakonesh[تراکنش]="انتقال",0,L295))-Tarakonesh[[#This Row],[مبلغ (ریال)]]))))</f>
        <v/>
      </c>
      <c r="M296" s="33"/>
      <c r="N296" s="33"/>
    </row>
    <row r="297" spans="1:14" x14ac:dyDescent="0.25">
      <c r="A297" s="28">
        <v>290</v>
      </c>
      <c r="B297" s="29"/>
      <c r="C297" s="33"/>
      <c r="D297" s="33"/>
      <c r="E297" s="41"/>
      <c r="F297" s="29"/>
      <c r="G297" s="29"/>
      <c r="H297" s="29"/>
      <c r="I297" s="27"/>
      <c r="J297" s="29"/>
      <c r="K297" s="29"/>
      <c r="L297" s="117" t="str">
        <f>IF( Tarakonesh[تراکنش]="", "",IF( Tarakonesh[تراکنش]="انتقال",L296,IF(Tarakonesh[تراکنش]="دریافت_درآمد",(Tarakonesh[[#This Row],[مبلغ (ریال)]]+IF(Tarakonesh[تراکنش]="انتقال",0,L296)),((IF(Tarakonesh[تراکنش]="انتقال",0,L296))-Tarakonesh[[#This Row],[مبلغ (ریال)]]))))</f>
        <v/>
      </c>
      <c r="M297" s="33"/>
      <c r="N297" s="33"/>
    </row>
    <row r="298" spans="1:14" x14ac:dyDescent="0.25">
      <c r="A298" s="28">
        <v>291</v>
      </c>
      <c r="B298" s="29"/>
      <c r="C298" s="33"/>
      <c r="D298" s="33"/>
      <c r="E298" s="41"/>
      <c r="F298" s="29"/>
      <c r="G298" s="29"/>
      <c r="H298" s="29"/>
      <c r="I298" s="27"/>
      <c r="J298" s="29"/>
      <c r="K298" s="29"/>
      <c r="L298" s="117" t="str">
        <f>IF( Tarakonesh[تراکنش]="", "",IF( Tarakonesh[تراکنش]="انتقال",L297,IF(Tarakonesh[تراکنش]="دریافت_درآمد",(Tarakonesh[[#This Row],[مبلغ (ریال)]]+IF(Tarakonesh[تراکنش]="انتقال",0,L297)),((IF(Tarakonesh[تراکنش]="انتقال",0,L297))-Tarakonesh[[#This Row],[مبلغ (ریال)]]))))</f>
        <v/>
      </c>
      <c r="M298" s="33"/>
      <c r="N298" s="33"/>
    </row>
    <row r="299" spans="1:14" x14ac:dyDescent="0.25">
      <c r="A299" s="28">
        <v>292</v>
      </c>
      <c r="B299" s="29"/>
      <c r="C299" s="33"/>
      <c r="D299" s="33"/>
      <c r="E299" s="41"/>
      <c r="F299" s="29"/>
      <c r="G299" s="29"/>
      <c r="H299" s="29"/>
      <c r="I299" s="27"/>
      <c r="J299" s="29"/>
      <c r="K299" s="29"/>
      <c r="L299" s="117" t="str">
        <f>IF( Tarakonesh[تراکنش]="", "",IF( Tarakonesh[تراکنش]="انتقال",L298,IF(Tarakonesh[تراکنش]="دریافت_درآمد",(Tarakonesh[[#This Row],[مبلغ (ریال)]]+IF(Tarakonesh[تراکنش]="انتقال",0,L298)),((IF(Tarakonesh[تراکنش]="انتقال",0,L298))-Tarakonesh[[#This Row],[مبلغ (ریال)]]))))</f>
        <v/>
      </c>
      <c r="M299" s="33"/>
      <c r="N299" s="33"/>
    </row>
    <row r="300" spans="1:14" x14ac:dyDescent="0.25">
      <c r="A300" s="28">
        <v>293</v>
      </c>
      <c r="B300" s="29"/>
      <c r="C300" s="33"/>
      <c r="D300" s="33"/>
      <c r="E300" s="41"/>
      <c r="F300" s="29"/>
      <c r="G300" s="29"/>
      <c r="H300" s="29"/>
      <c r="I300" s="27"/>
      <c r="J300" s="29"/>
      <c r="K300" s="29"/>
      <c r="L300" s="117" t="str">
        <f>IF( Tarakonesh[تراکنش]="", "",IF( Tarakonesh[تراکنش]="انتقال",L299,IF(Tarakonesh[تراکنش]="دریافت_درآمد",(Tarakonesh[[#This Row],[مبلغ (ریال)]]+IF(Tarakonesh[تراکنش]="انتقال",0,L299)),((IF(Tarakonesh[تراکنش]="انتقال",0,L299))-Tarakonesh[[#This Row],[مبلغ (ریال)]]))))</f>
        <v/>
      </c>
      <c r="M300" s="33"/>
      <c r="N300" s="33"/>
    </row>
    <row r="301" spans="1:14" x14ac:dyDescent="0.25">
      <c r="A301" s="28">
        <v>294</v>
      </c>
      <c r="B301" s="29"/>
      <c r="C301" s="33"/>
      <c r="D301" s="33"/>
      <c r="E301" s="41"/>
      <c r="F301" s="29"/>
      <c r="G301" s="29"/>
      <c r="H301" s="29"/>
      <c r="I301" s="27"/>
      <c r="J301" s="29"/>
      <c r="K301" s="29"/>
      <c r="L301" s="117" t="str">
        <f>IF( Tarakonesh[تراکنش]="", "",IF( Tarakonesh[تراکنش]="انتقال",L300,IF(Tarakonesh[تراکنش]="دریافت_درآمد",(Tarakonesh[[#This Row],[مبلغ (ریال)]]+IF(Tarakonesh[تراکنش]="انتقال",0,L300)),((IF(Tarakonesh[تراکنش]="انتقال",0,L300))-Tarakonesh[[#This Row],[مبلغ (ریال)]]))))</f>
        <v/>
      </c>
      <c r="M301" s="33"/>
      <c r="N301" s="33"/>
    </row>
    <row r="302" spans="1:14" x14ac:dyDescent="0.25">
      <c r="A302" s="28">
        <v>295</v>
      </c>
      <c r="B302" s="29"/>
      <c r="C302" s="33"/>
      <c r="D302" s="33"/>
      <c r="E302" s="41"/>
      <c r="F302" s="29"/>
      <c r="G302" s="29"/>
      <c r="H302" s="29"/>
      <c r="I302" s="27"/>
      <c r="J302" s="29"/>
      <c r="K302" s="29"/>
      <c r="L302" s="117" t="str">
        <f>IF( Tarakonesh[تراکنش]="", "",IF( Tarakonesh[تراکنش]="انتقال",L301,IF(Tarakonesh[تراکنش]="دریافت_درآمد",(Tarakonesh[[#This Row],[مبلغ (ریال)]]+IF(Tarakonesh[تراکنش]="انتقال",0,L301)),((IF(Tarakonesh[تراکنش]="انتقال",0,L301))-Tarakonesh[[#This Row],[مبلغ (ریال)]]))))</f>
        <v/>
      </c>
      <c r="M302" s="33"/>
      <c r="N302" s="33"/>
    </row>
    <row r="303" spans="1:14" x14ac:dyDescent="0.25">
      <c r="A303" s="28">
        <v>296</v>
      </c>
      <c r="B303" s="29"/>
      <c r="C303" s="33"/>
      <c r="D303" s="33"/>
      <c r="E303" s="41"/>
      <c r="F303" s="29"/>
      <c r="G303" s="29"/>
      <c r="H303" s="29"/>
      <c r="I303" s="27"/>
      <c r="J303" s="29"/>
      <c r="K303" s="29"/>
      <c r="L303" s="117" t="str">
        <f>IF( Tarakonesh[تراکنش]="", "",IF( Tarakonesh[تراکنش]="انتقال",L302,IF(Tarakonesh[تراکنش]="دریافت_درآمد",(Tarakonesh[[#This Row],[مبلغ (ریال)]]+IF(Tarakonesh[تراکنش]="انتقال",0,L302)),((IF(Tarakonesh[تراکنش]="انتقال",0,L302))-Tarakonesh[[#This Row],[مبلغ (ریال)]]))))</f>
        <v/>
      </c>
      <c r="M303" s="33"/>
      <c r="N303" s="33"/>
    </row>
    <row r="304" spans="1:14" x14ac:dyDescent="0.25">
      <c r="A304" s="28">
        <v>297</v>
      </c>
      <c r="B304" s="29"/>
      <c r="C304" s="33"/>
      <c r="D304" s="33"/>
      <c r="E304" s="41"/>
      <c r="F304" s="29"/>
      <c r="G304" s="29"/>
      <c r="H304" s="29"/>
      <c r="I304" s="27"/>
      <c r="J304" s="29"/>
      <c r="K304" s="29"/>
      <c r="L304" s="117" t="str">
        <f>IF( Tarakonesh[تراکنش]="", "",IF( Tarakonesh[تراکنش]="انتقال",L303,IF(Tarakonesh[تراکنش]="دریافت_درآمد",(Tarakonesh[[#This Row],[مبلغ (ریال)]]+IF(Tarakonesh[تراکنش]="انتقال",0,L303)),((IF(Tarakonesh[تراکنش]="انتقال",0,L303))-Tarakonesh[[#This Row],[مبلغ (ریال)]]))))</f>
        <v/>
      </c>
      <c r="M304" s="33"/>
      <c r="N304" s="33"/>
    </row>
    <row r="305" spans="1:14" x14ac:dyDescent="0.25">
      <c r="A305" s="28">
        <v>298</v>
      </c>
      <c r="B305" s="29"/>
      <c r="C305" s="33"/>
      <c r="D305" s="33"/>
      <c r="E305" s="41"/>
      <c r="F305" s="29"/>
      <c r="G305" s="29"/>
      <c r="H305" s="29"/>
      <c r="I305" s="27"/>
      <c r="J305" s="29"/>
      <c r="K305" s="29"/>
      <c r="L305" s="117" t="str">
        <f>IF( Tarakonesh[تراکنش]="", "",IF( Tarakonesh[تراکنش]="انتقال",L304,IF(Tarakonesh[تراکنش]="دریافت_درآمد",(Tarakonesh[[#This Row],[مبلغ (ریال)]]+IF(Tarakonesh[تراکنش]="انتقال",0,L304)),((IF(Tarakonesh[تراکنش]="انتقال",0,L304))-Tarakonesh[[#This Row],[مبلغ (ریال)]]))))</f>
        <v/>
      </c>
      <c r="M305" s="33"/>
      <c r="N305" s="33"/>
    </row>
    <row r="306" spans="1:14" x14ac:dyDescent="0.25">
      <c r="A306" s="28">
        <v>299</v>
      </c>
      <c r="B306" s="29"/>
      <c r="C306" s="33"/>
      <c r="D306" s="33"/>
      <c r="E306" s="41"/>
      <c r="F306" s="29"/>
      <c r="G306" s="29"/>
      <c r="H306" s="29"/>
      <c r="I306" s="27"/>
      <c r="J306" s="29"/>
      <c r="K306" s="29"/>
      <c r="L306" s="117" t="str">
        <f>IF( Tarakonesh[تراکنش]="", "",IF( Tarakonesh[تراکنش]="انتقال",L305,IF(Tarakonesh[تراکنش]="دریافت_درآمد",(Tarakonesh[[#This Row],[مبلغ (ریال)]]+IF(Tarakonesh[تراکنش]="انتقال",0,L305)),((IF(Tarakonesh[تراکنش]="انتقال",0,L305))-Tarakonesh[[#This Row],[مبلغ (ریال)]]))))</f>
        <v/>
      </c>
      <c r="M306" s="33"/>
      <c r="N306" s="33"/>
    </row>
    <row r="307" spans="1:14" x14ac:dyDescent="0.25">
      <c r="A307" s="28">
        <v>300</v>
      </c>
      <c r="B307" s="29"/>
      <c r="C307" s="33"/>
      <c r="D307" s="33"/>
      <c r="E307" s="41"/>
      <c r="F307" s="29"/>
      <c r="G307" s="29"/>
      <c r="H307" s="29"/>
      <c r="I307" s="27"/>
      <c r="J307" s="29"/>
      <c r="K307" s="29"/>
      <c r="L307" s="117" t="str">
        <f>IF( Tarakonesh[تراکنش]="", "",IF( Tarakonesh[تراکنش]="انتقال",L306,IF(Tarakonesh[تراکنش]="دریافت_درآمد",(Tarakonesh[[#This Row],[مبلغ (ریال)]]+IF(Tarakonesh[تراکنش]="انتقال",0,L306)),((IF(Tarakonesh[تراکنش]="انتقال",0,L306))-Tarakonesh[[#This Row],[مبلغ (ریال)]]))))</f>
        <v/>
      </c>
      <c r="M307" s="33"/>
      <c r="N307" s="33"/>
    </row>
    <row r="308" spans="1:14" x14ac:dyDescent="0.25">
      <c r="A308" s="28">
        <v>301</v>
      </c>
      <c r="B308" s="29"/>
      <c r="C308" s="33"/>
      <c r="D308" s="33"/>
      <c r="E308" s="41"/>
      <c r="F308" s="29"/>
      <c r="G308" s="29"/>
      <c r="H308" s="29"/>
      <c r="I308" s="27"/>
      <c r="J308" s="29"/>
      <c r="K308" s="29"/>
      <c r="L308" s="117" t="str">
        <f>IF( Tarakonesh[تراکنش]="", "",IF( Tarakonesh[تراکنش]="انتقال",L307,IF(Tarakonesh[تراکنش]="دریافت_درآمد",(Tarakonesh[[#This Row],[مبلغ (ریال)]]+IF(Tarakonesh[تراکنش]="انتقال",0,L307)),((IF(Tarakonesh[تراکنش]="انتقال",0,L307))-Tarakonesh[[#This Row],[مبلغ (ریال)]]))))</f>
        <v/>
      </c>
      <c r="M308" s="33"/>
      <c r="N308" s="33"/>
    </row>
    <row r="309" spans="1:14" x14ac:dyDescent="0.25">
      <c r="A309" s="28">
        <v>302</v>
      </c>
      <c r="B309" s="29"/>
      <c r="C309" s="33"/>
      <c r="D309" s="33"/>
      <c r="E309" s="41"/>
      <c r="F309" s="29"/>
      <c r="G309" s="29"/>
      <c r="H309" s="29"/>
      <c r="I309" s="27"/>
      <c r="J309" s="29"/>
      <c r="K309" s="29"/>
      <c r="L309" s="117" t="str">
        <f>IF( Tarakonesh[تراکنش]="", "",IF( Tarakonesh[تراکنش]="انتقال",L308,IF(Tarakonesh[تراکنش]="دریافت_درآمد",(Tarakonesh[[#This Row],[مبلغ (ریال)]]+IF(Tarakonesh[تراکنش]="انتقال",0,L308)),((IF(Tarakonesh[تراکنش]="انتقال",0,L308))-Tarakonesh[[#This Row],[مبلغ (ریال)]]))))</f>
        <v/>
      </c>
      <c r="M309" s="33"/>
      <c r="N309" s="33"/>
    </row>
    <row r="310" spans="1:14" x14ac:dyDescent="0.25">
      <c r="A310" s="28">
        <v>303</v>
      </c>
      <c r="B310" s="29"/>
      <c r="C310" s="33"/>
      <c r="D310" s="33"/>
      <c r="E310" s="41"/>
      <c r="F310" s="29"/>
      <c r="G310" s="29"/>
      <c r="H310" s="29"/>
      <c r="I310" s="27"/>
      <c r="J310" s="29"/>
      <c r="K310" s="29"/>
      <c r="L310" s="117" t="str">
        <f>IF( Tarakonesh[تراکنش]="", "",IF( Tarakonesh[تراکنش]="انتقال",L309,IF(Tarakonesh[تراکنش]="دریافت_درآمد",(Tarakonesh[[#This Row],[مبلغ (ریال)]]+IF(Tarakonesh[تراکنش]="انتقال",0,L309)),((IF(Tarakonesh[تراکنش]="انتقال",0,L309))-Tarakonesh[[#This Row],[مبلغ (ریال)]]))))</f>
        <v/>
      </c>
      <c r="M310" s="33"/>
      <c r="N310" s="33"/>
    </row>
    <row r="311" spans="1:14" x14ac:dyDescent="0.25">
      <c r="A311" s="28">
        <v>304</v>
      </c>
      <c r="B311" s="29"/>
      <c r="C311" s="33"/>
      <c r="D311" s="33"/>
      <c r="E311" s="41"/>
      <c r="F311" s="29"/>
      <c r="G311" s="29"/>
      <c r="H311" s="29"/>
      <c r="I311" s="27"/>
      <c r="J311" s="29"/>
      <c r="K311" s="29"/>
      <c r="L311" s="117" t="str">
        <f>IF( Tarakonesh[تراکنش]="", "",IF( Tarakonesh[تراکنش]="انتقال",L310,IF(Tarakonesh[تراکنش]="دریافت_درآمد",(Tarakonesh[[#This Row],[مبلغ (ریال)]]+IF(Tarakonesh[تراکنش]="انتقال",0,L310)),((IF(Tarakonesh[تراکنش]="انتقال",0,L310))-Tarakonesh[[#This Row],[مبلغ (ریال)]]))))</f>
        <v/>
      </c>
      <c r="M311" s="33"/>
      <c r="N311" s="33"/>
    </row>
    <row r="312" spans="1:14" x14ac:dyDescent="0.25">
      <c r="A312" s="28">
        <v>305</v>
      </c>
      <c r="B312" s="29"/>
      <c r="C312" s="33"/>
      <c r="D312" s="33"/>
      <c r="E312" s="41"/>
      <c r="F312" s="29"/>
      <c r="G312" s="29"/>
      <c r="H312" s="29"/>
      <c r="I312" s="27"/>
      <c r="J312" s="29"/>
      <c r="K312" s="29"/>
      <c r="L312" s="117" t="str">
        <f>IF( Tarakonesh[تراکنش]="", "",IF( Tarakonesh[تراکنش]="انتقال",L311,IF(Tarakonesh[تراکنش]="دریافت_درآمد",(Tarakonesh[[#This Row],[مبلغ (ریال)]]+IF(Tarakonesh[تراکنش]="انتقال",0,L311)),((IF(Tarakonesh[تراکنش]="انتقال",0,L311))-Tarakonesh[[#This Row],[مبلغ (ریال)]]))))</f>
        <v/>
      </c>
      <c r="M312" s="33"/>
      <c r="N312" s="33"/>
    </row>
    <row r="313" spans="1:14" x14ac:dyDescent="0.25">
      <c r="A313" s="28">
        <v>306</v>
      </c>
      <c r="B313" s="29"/>
      <c r="C313" s="33"/>
      <c r="D313" s="33"/>
      <c r="E313" s="41"/>
      <c r="F313" s="29"/>
      <c r="G313" s="29"/>
      <c r="H313" s="29"/>
      <c r="I313" s="27"/>
      <c r="J313" s="29"/>
      <c r="K313" s="29"/>
      <c r="L313" s="117" t="str">
        <f>IF( Tarakonesh[تراکنش]="", "",IF( Tarakonesh[تراکنش]="انتقال",L312,IF(Tarakonesh[تراکنش]="دریافت_درآمد",(Tarakonesh[[#This Row],[مبلغ (ریال)]]+IF(Tarakonesh[تراکنش]="انتقال",0,L312)),((IF(Tarakonesh[تراکنش]="انتقال",0,L312))-Tarakonesh[[#This Row],[مبلغ (ریال)]]))))</f>
        <v/>
      </c>
      <c r="M313" s="33"/>
      <c r="N313" s="33"/>
    </row>
    <row r="314" spans="1:14" x14ac:dyDescent="0.25">
      <c r="A314" s="28">
        <v>307</v>
      </c>
      <c r="B314" s="29"/>
      <c r="C314" s="33"/>
      <c r="D314" s="33"/>
      <c r="E314" s="41"/>
      <c r="F314" s="29"/>
      <c r="G314" s="29"/>
      <c r="H314" s="29"/>
      <c r="I314" s="27"/>
      <c r="J314" s="29"/>
      <c r="K314" s="29"/>
      <c r="L314" s="117" t="str">
        <f>IF( Tarakonesh[تراکنش]="", "",IF( Tarakonesh[تراکنش]="انتقال",L313,IF(Tarakonesh[تراکنش]="دریافت_درآمد",(Tarakonesh[[#This Row],[مبلغ (ریال)]]+IF(Tarakonesh[تراکنش]="انتقال",0,L313)),((IF(Tarakonesh[تراکنش]="انتقال",0,L313))-Tarakonesh[[#This Row],[مبلغ (ریال)]]))))</f>
        <v/>
      </c>
      <c r="M314" s="33"/>
      <c r="N314" s="33"/>
    </row>
    <row r="315" spans="1:14" x14ac:dyDescent="0.25">
      <c r="A315" s="28">
        <v>308</v>
      </c>
      <c r="B315" s="29"/>
      <c r="C315" s="33"/>
      <c r="D315" s="33"/>
      <c r="E315" s="41"/>
      <c r="F315" s="29"/>
      <c r="G315" s="29"/>
      <c r="H315" s="29"/>
      <c r="I315" s="27"/>
      <c r="J315" s="29"/>
      <c r="K315" s="29"/>
      <c r="L315" s="117" t="str">
        <f>IF( Tarakonesh[تراکنش]="", "",IF( Tarakonesh[تراکنش]="انتقال",L314,IF(Tarakonesh[تراکنش]="دریافت_درآمد",(Tarakonesh[[#This Row],[مبلغ (ریال)]]+IF(Tarakonesh[تراکنش]="انتقال",0,L314)),((IF(Tarakonesh[تراکنش]="انتقال",0,L314))-Tarakonesh[[#This Row],[مبلغ (ریال)]]))))</f>
        <v/>
      </c>
      <c r="M315" s="33"/>
      <c r="N315" s="33"/>
    </row>
    <row r="316" spans="1:14" x14ac:dyDescent="0.25">
      <c r="A316" s="28">
        <v>309</v>
      </c>
      <c r="B316" s="29"/>
      <c r="C316" s="33"/>
      <c r="D316" s="33"/>
      <c r="E316" s="41"/>
      <c r="F316" s="29"/>
      <c r="G316" s="29"/>
      <c r="H316" s="29"/>
      <c r="I316" s="27"/>
      <c r="J316" s="29"/>
      <c r="K316" s="29"/>
      <c r="L316" s="117" t="str">
        <f>IF( Tarakonesh[تراکنش]="", "",IF( Tarakonesh[تراکنش]="انتقال",L315,IF(Tarakonesh[تراکنش]="دریافت_درآمد",(Tarakonesh[[#This Row],[مبلغ (ریال)]]+IF(Tarakonesh[تراکنش]="انتقال",0,L315)),((IF(Tarakonesh[تراکنش]="انتقال",0,L315))-Tarakonesh[[#This Row],[مبلغ (ریال)]]))))</f>
        <v/>
      </c>
      <c r="M316" s="33"/>
      <c r="N316" s="33"/>
    </row>
    <row r="317" spans="1:14" x14ac:dyDescent="0.25">
      <c r="A317" s="28">
        <v>310</v>
      </c>
      <c r="B317" s="29"/>
      <c r="C317" s="33"/>
      <c r="D317" s="33"/>
      <c r="E317" s="41"/>
      <c r="F317" s="29"/>
      <c r="G317" s="29"/>
      <c r="H317" s="29"/>
      <c r="I317" s="27"/>
      <c r="J317" s="29"/>
      <c r="K317" s="29"/>
      <c r="L317" s="117" t="str">
        <f>IF( Tarakonesh[تراکنش]="", "",IF( Tarakonesh[تراکنش]="انتقال",L316,IF(Tarakonesh[تراکنش]="دریافت_درآمد",(Tarakonesh[[#This Row],[مبلغ (ریال)]]+IF(Tarakonesh[تراکنش]="انتقال",0,L316)),((IF(Tarakonesh[تراکنش]="انتقال",0,L316))-Tarakonesh[[#This Row],[مبلغ (ریال)]]))))</f>
        <v/>
      </c>
      <c r="M317" s="33"/>
      <c r="N317" s="33"/>
    </row>
    <row r="318" spans="1:14" x14ac:dyDescent="0.25">
      <c r="A318" s="28">
        <v>311</v>
      </c>
      <c r="B318" s="29"/>
      <c r="C318" s="33"/>
      <c r="D318" s="33"/>
      <c r="E318" s="41"/>
      <c r="F318" s="29"/>
      <c r="G318" s="29"/>
      <c r="H318" s="29"/>
      <c r="I318" s="27"/>
      <c r="J318" s="29"/>
      <c r="K318" s="29"/>
      <c r="L318" s="117" t="str">
        <f>IF( Tarakonesh[تراکنش]="", "",IF( Tarakonesh[تراکنش]="انتقال",L317,IF(Tarakonesh[تراکنش]="دریافت_درآمد",(Tarakonesh[[#This Row],[مبلغ (ریال)]]+IF(Tarakonesh[تراکنش]="انتقال",0,L317)),((IF(Tarakonesh[تراکنش]="انتقال",0,L317))-Tarakonesh[[#This Row],[مبلغ (ریال)]]))))</f>
        <v/>
      </c>
      <c r="M318" s="33"/>
      <c r="N318" s="33"/>
    </row>
    <row r="319" spans="1:14" x14ac:dyDescent="0.25">
      <c r="A319" s="28">
        <v>312</v>
      </c>
      <c r="B319" s="29"/>
      <c r="C319" s="33"/>
      <c r="D319" s="33"/>
      <c r="E319" s="41"/>
      <c r="F319" s="29"/>
      <c r="G319" s="29"/>
      <c r="H319" s="29"/>
      <c r="I319" s="27"/>
      <c r="J319" s="29"/>
      <c r="K319" s="29"/>
      <c r="L319" s="117" t="str">
        <f>IF( Tarakonesh[تراکنش]="", "",IF( Tarakonesh[تراکنش]="انتقال",L318,IF(Tarakonesh[تراکنش]="دریافت_درآمد",(Tarakonesh[[#This Row],[مبلغ (ریال)]]+IF(Tarakonesh[تراکنش]="انتقال",0,L318)),((IF(Tarakonesh[تراکنش]="انتقال",0,L318))-Tarakonesh[[#This Row],[مبلغ (ریال)]]))))</f>
        <v/>
      </c>
      <c r="M319" s="33"/>
      <c r="N319" s="33"/>
    </row>
    <row r="320" spans="1:14" x14ac:dyDescent="0.25">
      <c r="A320" s="28">
        <v>313</v>
      </c>
      <c r="B320" s="29"/>
      <c r="C320" s="33"/>
      <c r="D320" s="33"/>
      <c r="E320" s="41"/>
      <c r="F320" s="29"/>
      <c r="G320" s="29"/>
      <c r="H320" s="29"/>
      <c r="I320" s="27"/>
      <c r="J320" s="29"/>
      <c r="K320" s="29"/>
      <c r="L320" s="117" t="str">
        <f>IF( Tarakonesh[تراکنش]="", "",IF( Tarakonesh[تراکنش]="انتقال",L319,IF(Tarakonesh[تراکنش]="دریافت_درآمد",(Tarakonesh[[#This Row],[مبلغ (ریال)]]+IF(Tarakonesh[تراکنش]="انتقال",0,L319)),((IF(Tarakonesh[تراکنش]="انتقال",0,L319))-Tarakonesh[[#This Row],[مبلغ (ریال)]]))))</f>
        <v/>
      </c>
      <c r="M320" s="33"/>
      <c r="N320" s="33"/>
    </row>
    <row r="321" spans="1:14" x14ac:dyDescent="0.25">
      <c r="A321" s="28">
        <v>314</v>
      </c>
      <c r="B321" s="29"/>
      <c r="C321" s="33"/>
      <c r="D321" s="33"/>
      <c r="E321" s="41"/>
      <c r="F321" s="29"/>
      <c r="G321" s="29"/>
      <c r="H321" s="29"/>
      <c r="I321" s="27"/>
      <c r="J321" s="29"/>
      <c r="K321" s="29"/>
      <c r="L321" s="117" t="str">
        <f>IF( Tarakonesh[تراکنش]="", "",IF( Tarakonesh[تراکنش]="انتقال",L320,IF(Tarakonesh[تراکنش]="دریافت_درآمد",(Tarakonesh[[#This Row],[مبلغ (ریال)]]+IF(Tarakonesh[تراکنش]="انتقال",0,L320)),((IF(Tarakonesh[تراکنش]="انتقال",0,L320))-Tarakonesh[[#This Row],[مبلغ (ریال)]]))))</f>
        <v/>
      </c>
      <c r="M321" s="33"/>
      <c r="N321" s="33"/>
    </row>
    <row r="322" spans="1:14" x14ac:dyDescent="0.25">
      <c r="A322" s="28">
        <v>315</v>
      </c>
      <c r="B322" s="29"/>
      <c r="C322" s="33"/>
      <c r="D322" s="33"/>
      <c r="E322" s="41"/>
      <c r="F322" s="29"/>
      <c r="G322" s="29"/>
      <c r="H322" s="29"/>
      <c r="I322" s="27"/>
      <c r="J322" s="29"/>
      <c r="K322" s="29"/>
      <c r="L322" s="117" t="str">
        <f>IF( Tarakonesh[تراکنش]="", "",IF( Tarakonesh[تراکنش]="انتقال",L321,IF(Tarakonesh[تراکنش]="دریافت_درآمد",(Tarakonesh[[#This Row],[مبلغ (ریال)]]+IF(Tarakonesh[تراکنش]="انتقال",0,L321)),((IF(Tarakonesh[تراکنش]="انتقال",0,L321))-Tarakonesh[[#This Row],[مبلغ (ریال)]]))))</f>
        <v/>
      </c>
      <c r="M322" s="33"/>
      <c r="N322" s="33"/>
    </row>
    <row r="323" spans="1:14" x14ac:dyDescent="0.25">
      <c r="A323" s="28">
        <v>316</v>
      </c>
      <c r="B323" s="29"/>
      <c r="C323" s="33"/>
      <c r="D323" s="33"/>
      <c r="E323" s="41"/>
      <c r="F323" s="29"/>
      <c r="G323" s="29"/>
      <c r="H323" s="29"/>
      <c r="I323" s="27"/>
      <c r="J323" s="29"/>
      <c r="K323" s="29"/>
      <c r="L323" s="117" t="str">
        <f>IF( Tarakonesh[تراکنش]="", "",IF( Tarakonesh[تراکنش]="انتقال",L322,IF(Tarakonesh[تراکنش]="دریافت_درآمد",(Tarakonesh[[#This Row],[مبلغ (ریال)]]+IF(Tarakonesh[تراکنش]="انتقال",0,L322)),((IF(Tarakonesh[تراکنش]="انتقال",0,L322))-Tarakonesh[[#This Row],[مبلغ (ریال)]]))))</f>
        <v/>
      </c>
      <c r="M323" s="33"/>
      <c r="N323" s="33"/>
    </row>
    <row r="324" spans="1:14" x14ac:dyDescent="0.25">
      <c r="A324" s="28">
        <v>317</v>
      </c>
      <c r="B324" s="29"/>
      <c r="C324" s="33"/>
      <c r="D324" s="33"/>
      <c r="E324" s="41"/>
      <c r="F324" s="29"/>
      <c r="G324" s="29"/>
      <c r="H324" s="29"/>
      <c r="I324" s="27"/>
      <c r="J324" s="29"/>
      <c r="K324" s="29"/>
      <c r="L324" s="117" t="str">
        <f>IF( Tarakonesh[تراکنش]="", "",IF( Tarakonesh[تراکنش]="انتقال",L323,IF(Tarakonesh[تراکنش]="دریافت_درآمد",(Tarakonesh[[#This Row],[مبلغ (ریال)]]+IF(Tarakonesh[تراکنش]="انتقال",0,L323)),((IF(Tarakonesh[تراکنش]="انتقال",0,L323))-Tarakonesh[[#This Row],[مبلغ (ریال)]]))))</f>
        <v/>
      </c>
      <c r="M324" s="33"/>
      <c r="N324" s="33"/>
    </row>
    <row r="325" spans="1:14" x14ac:dyDescent="0.25">
      <c r="A325" s="28">
        <v>318</v>
      </c>
      <c r="B325" s="29"/>
      <c r="C325" s="33"/>
      <c r="D325" s="33"/>
      <c r="E325" s="41"/>
      <c r="F325" s="29"/>
      <c r="G325" s="29"/>
      <c r="H325" s="29"/>
      <c r="I325" s="27"/>
      <c r="J325" s="29"/>
      <c r="K325" s="29"/>
      <c r="L325" s="117" t="str">
        <f>IF( Tarakonesh[تراکنش]="", "",IF( Tarakonesh[تراکنش]="انتقال",L324,IF(Tarakonesh[تراکنش]="دریافت_درآمد",(Tarakonesh[[#This Row],[مبلغ (ریال)]]+IF(Tarakonesh[تراکنش]="انتقال",0,L324)),((IF(Tarakonesh[تراکنش]="انتقال",0,L324))-Tarakonesh[[#This Row],[مبلغ (ریال)]]))))</f>
        <v/>
      </c>
      <c r="M325" s="33"/>
      <c r="N325" s="33"/>
    </row>
    <row r="326" spans="1:14" x14ac:dyDescent="0.25">
      <c r="A326" s="28">
        <v>319</v>
      </c>
      <c r="B326" s="29"/>
      <c r="C326" s="33"/>
      <c r="D326" s="33"/>
      <c r="E326" s="41"/>
      <c r="F326" s="29"/>
      <c r="G326" s="29"/>
      <c r="H326" s="29"/>
      <c r="I326" s="27"/>
      <c r="J326" s="29"/>
      <c r="K326" s="29"/>
      <c r="L326" s="117" t="str">
        <f>IF( Tarakonesh[تراکنش]="", "",IF( Tarakonesh[تراکنش]="انتقال",L325,IF(Tarakonesh[تراکنش]="دریافت_درآمد",(Tarakonesh[[#This Row],[مبلغ (ریال)]]+IF(Tarakonesh[تراکنش]="انتقال",0,L325)),((IF(Tarakonesh[تراکنش]="انتقال",0,L325))-Tarakonesh[[#This Row],[مبلغ (ریال)]]))))</f>
        <v/>
      </c>
      <c r="M326" s="33"/>
      <c r="N326" s="33"/>
    </row>
    <row r="327" spans="1:14" x14ac:dyDescent="0.25">
      <c r="A327" s="28">
        <v>320</v>
      </c>
      <c r="B327" s="29"/>
      <c r="C327" s="33"/>
      <c r="D327" s="33"/>
      <c r="E327" s="41"/>
      <c r="F327" s="29"/>
      <c r="G327" s="29"/>
      <c r="H327" s="29"/>
      <c r="I327" s="27"/>
      <c r="J327" s="29"/>
      <c r="K327" s="29"/>
      <c r="L327" s="117" t="str">
        <f>IF( Tarakonesh[تراکنش]="", "",IF( Tarakonesh[تراکنش]="انتقال",L326,IF(Tarakonesh[تراکنش]="دریافت_درآمد",(Tarakonesh[[#This Row],[مبلغ (ریال)]]+IF(Tarakonesh[تراکنش]="انتقال",0,L326)),((IF(Tarakonesh[تراکنش]="انتقال",0,L326))-Tarakonesh[[#This Row],[مبلغ (ریال)]]))))</f>
        <v/>
      </c>
      <c r="M327" s="33"/>
      <c r="N327" s="33"/>
    </row>
    <row r="328" spans="1:14" x14ac:dyDescent="0.25">
      <c r="A328" s="28">
        <v>321</v>
      </c>
      <c r="B328" s="29"/>
      <c r="C328" s="33"/>
      <c r="D328" s="33"/>
      <c r="E328" s="41"/>
      <c r="F328" s="29"/>
      <c r="G328" s="29"/>
      <c r="H328" s="29"/>
      <c r="I328" s="27"/>
      <c r="J328" s="29"/>
      <c r="K328" s="29"/>
      <c r="L328" s="117" t="str">
        <f>IF( Tarakonesh[تراکنش]="", "",IF( Tarakonesh[تراکنش]="انتقال",L327,IF(Tarakonesh[تراکنش]="دریافت_درآمد",(Tarakonesh[[#This Row],[مبلغ (ریال)]]+IF(Tarakonesh[تراکنش]="انتقال",0,L327)),((IF(Tarakonesh[تراکنش]="انتقال",0,L327))-Tarakonesh[[#This Row],[مبلغ (ریال)]]))))</f>
        <v/>
      </c>
      <c r="M328" s="33"/>
      <c r="N328" s="33"/>
    </row>
    <row r="329" spans="1:14" x14ac:dyDescent="0.25">
      <c r="A329" s="28">
        <v>322</v>
      </c>
      <c r="B329" s="29"/>
      <c r="C329" s="33"/>
      <c r="D329" s="33"/>
      <c r="E329" s="41"/>
      <c r="F329" s="29"/>
      <c r="G329" s="29"/>
      <c r="H329" s="29"/>
      <c r="I329" s="27"/>
      <c r="J329" s="29"/>
      <c r="K329" s="29"/>
      <c r="L329" s="117" t="str">
        <f>IF( Tarakonesh[تراکنش]="", "",IF( Tarakonesh[تراکنش]="انتقال",L328,IF(Tarakonesh[تراکنش]="دریافت_درآمد",(Tarakonesh[[#This Row],[مبلغ (ریال)]]+IF(Tarakonesh[تراکنش]="انتقال",0,L328)),((IF(Tarakonesh[تراکنش]="انتقال",0,L328))-Tarakonesh[[#This Row],[مبلغ (ریال)]]))))</f>
        <v/>
      </c>
      <c r="M329" s="33"/>
      <c r="N329" s="33"/>
    </row>
    <row r="330" spans="1:14" x14ac:dyDescent="0.25">
      <c r="A330" s="28">
        <v>323</v>
      </c>
      <c r="B330" s="29"/>
      <c r="C330" s="33"/>
      <c r="D330" s="33"/>
      <c r="E330" s="41"/>
      <c r="F330" s="29"/>
      <c r="G330" s="29"/>
      <c r="H330" s="29"/>
      <c r="I330" s="27"/>
      <c r="J330" s="29"/>
      <c r="K330" s="29"/>
      <c r="L330" s="117" t="str">
        <f>IF( Tarakonesh[تراکنش]="", "",IF( Tarakonesh[تراکنش]="انتقال",L329,IF(Tarakonesh[تراکنش]="دریافت_درآمد",(Tarakonesh[[#This Row],[مبلغ (ریال)]]+IF(Tarakonesh[تراکنش]="انتقال",0,L329)),((IF(Tarakonesh[تراکنش]="انتقال",0,L329))-Tarakonesh[[#This Row],[مبلغ (ریال)]]))))</f>
        <v/>
      </c>
      <c r="M330" s="33"/>
      <c r="N330" s="33"/>
    </row>
    <row r="331" spans="1:14" x14ac:dyDescent="0.25">
      <c r="A331" s="28">
        <v>324</v>
      </c>
      <c r="B331" s="29"/>
      <c r="C331" s="33"/>
      <c r="D331" s="33"/>
      <c r="E331" s="41"/>
      <c r="F331" s="29"/>
      <c r="G331" s="29"/>
      <c r="H331" s="29"/>
      <c r="I331" s="27"/>
      <c r="J331" s="29"/>
      <c r="K331" s="29"/>
      <c r="L331" s="117" t="str">
        <f>IF( Tarakonesh[تراکنش]="", "",IF( Tarakonesh[تراکنش]="انتقال",L330,IF(Tarakonesh[تراکنش]="دریافت_درآمد",(Tarakonesh[[#This Row],[مبلغ (ریال)]]+IF(Tarakonesh[تراکنش]="انتقال",0,L330)),((IF(Tarakonesh[تراکنش]="انتقال",0,L330))-Tarakonesh[[#This Row],[مبلغ (ریال)]]))))</f>
        <v/>
      </c>
      <c r="M331" s="33"/>
      <c r="N331" s="33"/>
    </row>
    <row r="332" spans="1:14" x14ac:dyDescent="0.25">
      <c r="A332" s="28">
        <v>325</v>
      </c>
      <c r="B332" s="29"/>
      <c r="C332" s="33"/>
      <c r="D332" s="33"/>
      <c r="E332" s="41"/>
      <c r="F332" s="29"/>
      <c r="G332" s="29"/>
      <c r="H332" s="29"/>
      <c r="I332" s="27"/>
      <c r="J332" s="29"/>
      <c r="K332" s="29"/>
      <c r="L332" s="117" t="str">
        <f>IF( Tarakonesh[تراکنش]="", "",IF( Tarakonesh[تراکنش]="انتقال",L331,IF(Tarakonesh[تراکنش]="دریافت_درآمد",(Tarakonesh[[#This Row],[مبلغ (ریال)]]+IF(Tarakonesh[تراکنش]="انتقال",0,L331)),((IF(Tarakonesh[تراکنش]="انتقال",0,L331))-Tarakonesh[[#This Row],[مبلغ (ریال)]]))))</f>
        <v/>
      </c>
      <c r="M332" s="33"/>
      <c r="N332" s="33"/>
    </row>
    <row r="333" spans="1:14" x14ac:dyDescent="0.25">
      <c r="A333" s="28">
        <v>326</v>
      </c>
      <c r="B333" s="29"/>
      <c r="C333" s="33"/>
      <c r="D333" s="33"/>
      <c r="E333" s="41"/>
      <c r="F333" s="29"/>
      <c r="G333" s="29"/>
      <c r="H333" s="29"/>
      <c r="I333" s="27"/>
      <c r="J333" s="29"/>
      <c r="K333" s="29"/>
      <c r="L333" s="117" t="str">
        <f>IF( Tarakonesh[تراکنش]="", "",IF( Tarakonesh[تراکنش]="انتقال",L332,IF(Tarakonesh[تراکنش]="دریافت_درآمد",(Tarakonesh[[#This Row],[مبلغ (ریال)]]+IF(Tarakonesh[تراکنش]="انتقال",0,L332)),((IF(Tarakonesh[تراکنش]="انتقال",0,L332))-Tarakonesh[[#This Row],[مبلغ (ریال)]]))))</f>
        <v/>
      </c>
      <c r="M333" s="33"/>
      <c r="N333" s="33"/>
    </row>
    <row r="334" spans="1:14" x14ac:dyDescent="0.25">
      <c r="A334" s="28">
        <v>327</v>
      </c>
      <c r="B334" s="29"/>
      <c r="C334" s="33"/>
      <c r="D334" s="33"/>
      <c r="E334" s="41"/>
      <c r="F334" s="29"/>
      <c r="G334" s="29"/>
      <c r="H334" s="29"/>
      <c r="I334" s="27"/>
      <c r="J334" s="29"/>
      <c r="K334" s="29"/>
      <c r="L334" s="117" t="str">
        <f>IF( Tarakonesh[تراکنش]="", "",IF( Tarakonesh[تراکنش]="انتقال",L333,IF(Tarakonesh[تراکنش]="دریافت_درآمد",(Tarakonesh[[#This Row],[مبلغ (ریال)]]+IF(Tarakonesh[تراکنش]="انتقال",0,L333)),((IF(Tarakonesh[تراکنش]="انتقال",0,L333))-Tarakonesh[[#This Row],[مبلغ (ریال)]]))))</f>
        <v/>
      </c>
      <c r="M334" s="33"/>
      <c r="N334" s="33"/>
    </row>
    <row r="335" spans="1:14" x14ac:dyDescent="0.25">
      <c r="A335" s="28">
        <v>328</v>
      </c>
      <c r="B335" s="29"/>
      <c r="C335" s="33"/>
      <c r="D335" s="33"/>
      <c r="E335" s="41"/>
      <c r="F335" s="29"/>
      <c r="G335" s="29"/>
      <c r="H335" s="29"/>
      <c r="I335" s="27"/>
      <c r="J335" s="29"/>
      <c r="K335" s="29"/>
      <c r="L335" s="117" t="str">
        <f>IF( Tarakonesh[تراکنش]="", "",IF( Tarakonesh[تراکنش]="انتقال",L334,IF(Tarakonesh[تراکنش]="دریافت_درآمد",(Tarakonesh[[#This Row],[مبلغ (ریال)]]+IF(Tarakonesh[تراکنش]="انتقال",0,L334)),((IF(Tarakonesh[تراکنش]="انتقال",0,L334))-Tarakonesh[[#This Row],[مبلغ (ریال)]]))))</f>
        <v/>
      </c>
      <c r="M335" s="33"/>
      <c r="N335" s="33"/>
    </row>
    <row r="336" spans="1:14" x14ac:dyDescent="0.25">
      <c r="A336" s="28">
        <v>329</v>
      </c>
      <c r="B336" s="29"/>
      <c r="C336" s="33"/>
      <c r="D336" s="33"/>
      <c r="E336" s="41"/>
      <c r="F336" s="29"/>
      <c r="G336" s="29"/>
      <c r="H336" s="29"/>
      <c r="I336" s="27"/>
      <c r="J336" s="29"/>
      <c r="K336" s="29"/>
      <c r="L336" s="117" t="str">
        <f>IF( Tarakonesh[تراکنش]="", "",IF( Tarakonesh[تراکنش]="انتقال",L335,IF(Tarakonesh[تراکنش]="دریافت_درآمد",(Tarakonesh[[#This Row],[مبلغ (ریال)]]+IF(Tarakonesh[تراکنش]="انتقال",0,L335)),((IF(Tarakonesh[تراکنش]="انتقال",0,L335))-Tarakonesh[[#This Row],[مبلغ (ریال)]]))))</f>
        <v/>
      </c>
      <c r="M336" s="33"/>
      <c r="N336" s="33"/>
    </row>
    <row r="337" spans="1:14" x14ac:dyDescent="0.25">
      <c r="A337" s="28">
        <v>330</v>
      </c>
      <c r="B337" s="29"/>
      <c r="C337" s="33"/>
      <c r="D337" s="33"/>
      <c r="E337" s="41"/>
      <c r="F337" s="29"/>
      <c r="G337" s="29"/>
      <c r="H337" s="29"/>
      <c r="I337" s="27"/>
      <c r="J337" s="29"/>
      <c r="K337" s="29"/>
      <c r="L337" s="117" t="str">
        <f>IF( Tarakonesh[تراکنش]="", "",IF( Tarakonesh[تراکنش]="انتقال",L336,IF(Tarakonesh[تراکنش]="دریافت_درآمد",(Tarakonesh[[#This Row],[مبلغ (ریال)]]+IF(Tarakonesh[تراکنش]="انتقال",0,L336)),((IF(Tarakonesh[تراکنش]="انتقال",0,L336))-Tarakonesh[[#This Row],[مبلغ (ریال)]]))))</f>
        <v/>
      </c>
      <c r="M337" s="33"/>
      <c r="N337" s="33"/>
    </row>
    <row r="338" spans="1:14" x14ac:dyDescent="0.25">
      <c r="A338" s="28">
        <v>331</v>
      </c>
      <c r="B338" s="29"/>
      <c r="C338" s="33"/>
      <c r="D338" s="33"/>
      <c r="E338" s="41"/>
      <c r="F338" s="29"/>
      <c r="G338" s="29"/>
      <c r="H338" s="29"/>
      <c r="I338" s="27"/>
      <c r="J338" s="29"/>
      <c r="K338" s="29"/>
      <c r="L338" s="117" t="str">
        <f>IF( Tarakonesh[تراکنش]="", "",IF( Tarakonesh[تراکنش]="انتقال",L337,IF(Tarakonesh[تراکنش]="دریافت_درآمد",(Tarakonesh[[#This Row],[مبلغ (ریال)]]+IF(Tarakonesh[تراکنش]="انتقال",0,L337)),((IF(Tarakonesh[تراکنش]="انتقال",0,L337))-Tarakonesh[[#This Row],[مبلغ (ریال)]]))))</f>
        <v/>
      </c>
      <c r="M338" s="33"/>
      <c r="N338" s="33"/>
    </row>
    <row r="339" spans="1:14" x14ac:dyDescent="0.25">
      <c r="A339" s="28">
        <v>332</v>
      </c>
      <c r="B339" s="29"/>
      <c r="C339" s="33"/>
      <c r="D339" s="33"/>
      <c r="E339" s="41"/>
      <c r="F339" s="29"/>
      <c r="G339" s="29"/>
      <c r="H339" s="29"/>
      <c r="I339" s="27"/>
      <c r="J339" s="29"/>
      <c r="K339" s="29"/>
      <c r="L339" s="117" t="str">
        <f>IF( Tarakonesh[تراکنش]="", "",IF( Tarakonesh[تراکنش]="انتقال",L338,IF(Tarakonesh[تراکنش]="دریافت_درآمد",(Tarakonesh[[#This Row],[مبلغ (ریال)]]+IF(Tarakonesh[تراکنش]="انتقال",0,L338)),((IF(Tarakonesh[تراکنش]="انتقال",0,L338))-Tarakonesh[[#This Row],[مبلغ (ریال)]]))))</f>
        <v/>
      </c>
      <c r="M339" s="33"/>
      <c r="N339" s="33"/>
    </row>
    <row r="340" spans="1:14" x14ac:dyDescent="0.25">
      <c r="A340" s="28">
        <v>333</v>
      </c>
      <c r="B340" s="29"/>
      <c r="C340" s="33"/>
      <c r="D340" s="33"/>
      <c r="E340" s="41"/>
      <c r="F340" s="29"/>
      <c r="G340" s="29"/>
      <c r="H340" s="29"/>
      <c r="I340" s="27"/>
      <c r="J340" s="29"/>
      <c r="K340" s="29"/>
      <c r="L340" s="117" t="str">
        <f>IF( Tarakonesh[تراکنش]="", "",IF( Tarakonesh[تراکنش]="انتقال",L339,IF(Tarakonesh[تراکنش]="دریافت_درآمد",(Tarakonesh[[#This Row],[مبلغ (ریال)]]+IF(Tarakonesh[تراکنش]="انتقال",0,L339)),((IF(Tarakonesh[تراکنش]="انتقال",0,L339))-Tarakonesh[[#This Row],[مبلغ (ریال)]]))))</f>
        <v/>
      </c>
      <c r="M340" s="33"/>
      <c r="N340" s="33"/>
    </row>
    <row r="341" spans="1:14" x14ac:dyDescent="0.25">
      <c r="A341" s="28">
        <v>334</v>
      </c>
      <c r="B341" s="29"/>
      <c r="C341" s="33"/>
      <c r="D341" s="33"/>
      <c r="E341" s="41"/>
      <c r="F341" s="29"/>
      <c r="G341" s="29"/>
      <c r="H341" s="29"/>
      <c r="I341" s="27"/>
      <c r="J341" s="29"/>
      <c r="K341" s="29"/>
      <c r="L341" s="117" t="str">
        <f>IF( Tarakonesh[تراکنش]="", "",IF( Tarakonesh[تراکنش]="انتقال",L340,IF(Tarakonesh[تراکنش]="دریافت_درآمد",(Tarakonesh[[#This Row],[مبلغ (ریال)]]+IF(Tarakonesh[تراکنش]="انتقال",0,L340)),((IF(Tarakonesh[تراکنش]="انتقال",0,L340))-Tarakonesh[[#This Row],[مبلغ (ریال)]]))))</f>
        <v/>
      </c>
      <c r="M341" s="33"/>
      <c r="N341" s="33"/>
    </row>
    <row r="342" spans="1:14" x14ac:dyDescent="0.25">
      <c r="A342" s="28">
        <v>335</v>
      </c>
      <c r="B342" s="29"/>
      <c r="C342" s="33"/>
      <c r="D342" s="33"/>
      <c r="E342" s="41"/>
      <c r="F342" s="29"/>
      <c r="G342" s="29"/>
      <c r="H342" s="29"/>
      <c r="I342" s="27"/>
      <c r="J342" s="29"/>
      <c r="K342" s="29"/>
      <c r="L342" s="117" t="str">
        <f>IF( Tarakonesh[تراکنش]="", "",IF( Tarakonesh[تراکنش]="انتقال",L341,IF(Tarakonesh[تراکنش]="دریافت_درآمد",(Tarakonesh[[#This Row],[مبلغ (ریال)]]+IF(Tarakonesh[تراکنش]="انتقال",0,L341)),((IF(Tarakonesh[تراکنش]="انتقال",0,L341))-Tarakonesh[[#This Row],[مبلغ (ریال)]]))))</f>
        <v/>
      </c>
      <c r="M342" s="33"/>
      <c r="N342" s="33"/>
    </row>
    <row r="343" spans="1:14" x14ac:dyDescent="0.25">
      <c r="A343" s="28">
        <v>336</v>
      </c>
      <c r="B343" s="29"/>
      <c r="C343" s="33"/>
      <c r="D343" s="33"/>
      <c r="E343" s="41"/>
      <c r="F343" s="29"/>
      <c r="G343" s="29"/>
      <c r="H343" s="29"/>
      <c r="I343" s="27"/>
      <c r="J343" s="29"/>
      <c r="K343" s="29"/>
      <c r="L343" s="117" t="str">
        <f>IF( Tarakonesh[تراکنش]="", "",IF( Tarakonesh[تراکنش]="انتقال",L342,IF(Tarakonesh[تراکنش]="دریافت_درآمد",(Tarakonesh[[#This Row],[مبلغ (ریال)]]+IF(Tarakonesh[تراکنش]="انتقال",0,L342)),((IF(Tarakonesh[تراکنش]="انتقال",0,L342))-Tarakonesh[[#This Row],[مبلغ (ریال)]]))))</f>
        <v/>
      </c>
      <c r="M343" s="33"/>
      <c r="N343" s="33"/>
    </row>
    <row r="344" spans="1:14" x14ac:dyDescent="0.25">
      <c r="A344" s="28">
        <v>337</v>
      </c>
      <c r="B344" s="29"/>
      <c r="C344" s="33"/>
      <c r="D344" s="33"/>
      <c r="E344" s="41"/>
      <c r="F344" s="29"/>
      <c r="G344" s="29"/>
      <c r="H344" s="29"/>
      <c r="I344" s="27"/>
      <c r="J344" s="29"/>
      <c r="K344" s="29"/>
      <c r="L344" s="117" t="str">
        <f>IF( Tarakonesh[تراکنش]="", "",IF( Tarakonesh[تراکنش]="انتقال",L343,IF(Tarakonesh[تراکنش]="دریافت_درآمد",(Tarakonesh[[#This Row],[مبلغ (ریال)]]+IF(Tarakonesh[تراکنش]="انتقال",0,L343)),((IF(Tarakonesh[تراکنش]="انتقال",0,L343))-Tarakonesh[[#This Row],[مبلغ (ریال)]]))))</f>
        <v/>
      </c>
      <c r="M344" s="33"/>
      <c r="N344" s="33"/>
    </row>
    <row r="345" spans="1:14" x14ac:dyDescent="0.25">
      <c r="A345" s="28">
        <v>338</v>
      </c>
      <c r="B345" s="29"/>
      <c r="C345" s="33"/>
      <c r="D345" s="33"/>
      <c r="E345" s="41"/>
      <c r="F345" s="29"/>
      <c r="G345" s="29"/>
      <c r="H345" s="29"/>
      <c r="I345" s="27"/>
      <c r="J345" s="29"/>
      <c r="K345" s="29"/>
      <c r="L345" s="117" t="str">
        <f>IF( Tarakonesh[تراکنش]="", "",IF( Tarakonesh[تراکنش]="انتقال",L344,IF(Tarakonesh[تراکنش]="دریافت_درآمد",(Tarakonesh[[#This Row],[مبلغ (ریال)]]+IF(Tarakonesh[تراکنش]="انتقال",0,L344)),((IF(Tarakonesh[تراکنش]="انتقال",0,L344))-Tarakonesh[[#This Row],[مبلغ (ریال)]]))))</f>
        <v/>
      </c>
      <c r="M345" s="33"/>
      <c r="N345" s="33"/>
    </row>
    <row r="346" spans="1:14" x14ac:dyDescent="0.25">
      <c r="A346" s="28">
        <v>339</v>
      </c>
      <c r="B346" s="29"/>
      <c r="C346" s="33"/>
      <c r="D346" s="33"/>
      <c r="E346" s="41"/>
      <c r="F346" s="29"/>
      <c r="G346" s="29"/>
      <c r="H346" s="29"/>
      <c r="I346" s="27"/>
      <c r="J346" s="29"/>
      <c r="K346" s="29"/>
      <c r="L346" s="117" t="str">
        <f>IF( Tarakonesh[تراکنش]="", "",IF( Tarakonesh[تراکنش]="انتقال",L345,IF(Tarakonesh[تراکنش]="دریافت_درآمد",(Tarakonesh[[#This Row],[مبلغ (ریال)]]+IF(Tarakonesh[تراکنش]="انتقال",0,L345)),((IF(Tarakonesh[تراکنش]="انتقال",0,L345))-Tarakonesh[[#This Row],[مبلغ (ریال)]]))))</f>
        <v/>
      </c>
      <c r="M346" s="33"/>
      <c r="N346" s="33"/>
    </row>
    <row r="347" spans="1:14" x14ac:dyDescent="0.25">
      <c r="A347" s="28">
        <v>340</v>
      </c>
      <c r="B347" s="29"/>
      <c r="C347" s="33"/>
      <c r="D347" s="33"/>
      <c r="E347" s="41"/>
      <c r="F347" s="29"/>
      <c r="G347" s="29"/>
      <c r="H347" s="29"/>
      <c r="I347" s="27"/>
      <c r="J347" s="29"/>
      <c r="K347" s="29"/>
      <c r="L347" s="117" t="str">
        <f>IF( Tarakonesh[تراکنش]="", "",IF( Tarakonesh[تراکنش]="انتقال",L346,IF(Tarakonesh[تراکنش]="دریافت_درآمد",(Tarakonesh[[#This Row],[مبلغ (ریال)]]+IF(Tarakonesh[تراکنش]="انتقال",0,L346)),((IF(Tarakonesh[تراکنش]="انتقال",0,L346))-Tarakonesh[[#This Row],[مبلغ (ریال)]]))))</f>
        <v/>
      </c>
      <c r="M347" s="33"/>
      <c r="N347" s="33"/>
    </row>
    <row r="348" spans="1:14" x14ac:dyDescent="0.25">
      <c r="A348" s="28">
        <v>341</v>
      </c>
      <c r="B348" s="29"/>
      <c r="C348" s="33"/>
      <c r="D348" s="33"/>
      <c r="E348" s="41"/>
      <c r="F348" s="29"/>
      <c r="G348" s="29"/>
      <c r="H348" s="29"/>
      <c r="I348" s="27"/>
      <c r="J348" s="29"/>
      <c r="K348" s="29"/>
      <c r="L348" s="117" t="str">
        <f>IF( Tarakonesh[تراکنش]="", "",IF( Tarakonesh[تراکنش]="انتقال",L347,IF(Tarakonesh[تراکنش]="دریافت_درآمد",(Tarakonesh[[#This Row],[مبلغ (ریال)]]+IF(Tarakonesh[تراکنش]="انتقال",0,L347)),((IF(Tarakonesh[تراکنش]="انتقال",0,L347))-Tarakonesh[[#This Row],[مبلغ (ریال)]]))))</f>
        <v/>
      </c>
      <c r="M348" s="33"/>
      <c r="N348" s="33"/>
    </row>
    <row r="349" spans="1:14" x14ac:dyDescent="0.25">
      <c r="A349" s="28">
        <v>342</v>
      </c>
      <c r="B349" s="29"/>
      <c r="C349" s="33"/>
      <c r="D349" s="33"/>
      <c r="E349" s="41"/>
      <c r="F349" s="29"/>
      <c r="G349" s="29"/>
      <c r="H349" s="29"/>
      <c r="I349" s="27"/>
      <c r="J349" s="29"/>
      <c r="K349" s="29"/>
      <c r="L349" s="117" t="str">
        <f>IF( Tarakonesh[تراکنش]="", "",IF( Tarakonesh[تراکنش]="انتقال",L348,IF(Tarakonesh[تراکنش]="دریافت_درآمد",(Tarakonesh[[#This Row],[مبلغ (ریال)]]+IF(Tarakonesh[تراکنش]="انتقال",0,L348)),((IF(Tarakonesh[تراکنش]="انتقال",0,L348))-Tarakonesh[[#This Row],[مبلغ (ریال)]]))))</f>
        <v/>
      </c>
      <c r="M349" s="33"/>
      <c r="N349" s="33"/>
    </row>
    <row r="350" spans="1:14" x14ac:dyDescent="0.25">
      <c r="A350" s="28">
        <v>343</v>
      </c>
      <c r="B350" s="29"/>
      <c r="C350" s="33"/>
      <c r="D350" s="33"/>
      <c r="E350" s="41"/>
      <c r="F350" s="29"/>
      <c r="G350" s="29"/>
      <c r="H350" s="29"/>
      <c r="I350" s="27"/>
      <c r="J350" s="29"/>
      <c r="K350" s="29"/>
      <c r="L350" s="117" t="str">
        <f>IF( Tarakonesh[تراکنش]="", "",IF( Tarakonesh[تراکنش]="انتقال",L349,IF(Tarakonesh[تراکنش]="دریافت_درآمد",(Tarakonesh[[#This Row],[مبلغ (ریال)]]+IF(Tarakonesh[تراکنش]="انتقال",0,L349)),((IF(Tarakonesh[تراکنش]="انتقال",0,L349))-Tarakonesh[[#This Row],[مبلغ (ریال)]]))))</f>
        <v/>
      </c>
      <c r="M350" s="33"/>
      <c r="N350" s="33"/>
    </row>
    <row r="351" spans="1:14" x14ac:dyDescent="0.25">
      <c r="A351" s="28">
        <v>344</v>
      </c>
      <c r="B351" s="29"/>
      <c r="C351" s="33"/>
      <c r="D351" s="33"/>
      <c r="E351" s="41"/>
      <c r="F351" s="29"/>
      <c r="G351" s="29"/>
      <c r="H351" s="29"/>
      <c r="I351" s="27"/>
      <c r="J351" s="29"/>
      <c r="K351" s="29"/>
      <c r="L351" s="117" t="str">
        <f>IF( Tarakonesh[تراکنش]="", "",IF( Tarakonesh[تراکنش]="انتقال",L350,IF(Tarakonesh[تراکنش]="دریافت_درآمد",(Tarakonesh[[#This Row],[مبلغ (ریال)]]+IF(Tarakonesh[تراکنش]="انتقال",0,L350)),((IF(Tarakonesh[تراکنش]="انتقال",0,L350))-Tarakonesh[[#This Row],[مبلغ (ریال)]]))))</f>
        <v/>
      </c>
      <c r="M351" s="33"/>
      <c r="N351" s="33"/>
    </row>
    <row r="352" spans="1:14" x14ac:dyDescent="0.25">
      <c r="A352" s="28">
        <v>345</v>
      </c>
      <c r="B352" s="29"/>
      <c r="C352" s="33"/>
      <c r="D352" s="33"/>
      <c r="E352" s="41"/>
      <c r="F352" s="29"/>
      <c r="G352" s="29"/>
      <c r="H352" s="29"/>
      <c r="I352" s="27"/>
      <c r="J352" s="29"/>
      <c r="K352" s="29"/>
      <c r="L352" s="117" t="str">
        <f>IF( Tarakonesh[تراکنش]="", "",IF( Tarakonesh[تراکنش]="انتقال",L351,IF(Tarakonesh[تراکنش]="دریافت_درآمد",(Tarakonesh[[#This Row],[مبلغ (ریال)]]+IF(Tarakonesh[تراکنش]="انتقال",0,L351)),((IF(Tarakonesh[تراکنش]="انتقال",0,L351))-Tarakonesh[[#This Row],[مبلغ (ریال)]]))))</f>
        <v/>
      </c>
      <c r="M352" s="33"/>
      <c r="N352" s="33"/>
    </row>
    <row r="353" spans="1:14" x14ac:dyDescent="0.25">
      <c r="A353" s="28">
        <v>346</v>
      </c>
      <c r="B353" s="29"/>
      <c r="C353" s="33"/>
      <c r="D353" s="33"/>
      <c r="E353" s="41"/>
      <c r="F353" s="29"/>
      <c r="G353" s="29"/>
      <c r="H353" s="29"/>
      <c r="I353" s="27"/>
      <c r="J353" s="29"/>
      <c r="K353" s="29"/>
      <c r="L353" s="117" t="str">
        <f>IF( Tarakonesh[تراکنش]="", "",IF( Tarakonesh[تراکنش]="انتقال",L352,IF(Tarakonesh[تراکنش]="دریافت_درآمد",(Tarakonesh[[#This Row],[مبلغ (ریال)]]+IF(Tarakonesh[تراکنش]="انتقال",0,L352)),((IF(Tarakonesh[تراکنش]="انتقال",0,L352))-Tarakonesh[[#This Row],[مبلغ (ریال)]]))))</f>
        <v/>
      </c>
      <c r="M353" s="33"/>
      <c r="N353" s="33"/>
    </row>
    <row r="354" spans="1:14" x14ac:dyDescent="0.25">
      <c r="A354" s="28">
        <v>347</v>
      </c>
      <c r="B354" s="29"/>
      <c r="C354" s="33"/>
      <c r="D354" s="33"/>
      <c r="E354" s="41"/>
      <c r="F354" s="29"/>
      <c r="G354" s="29"/>
      <c r="H354" s="29"/>
      <c r="I354" s="27"/>
      <c r="J354" s="29"/>
      <c r="K354" s="29"/>
      <c r="L354" s="117" t="str">
        <f>IF( Tarakonesh[تراکنش]="", "",IF( Tarakonesh[تراکنش]="انتقال",L353,IF(Tarakonesh[تراکنش]="دریافت_درآمد",(Tarakonesh[[#This Row],[مبلغ (ریال)]]+IF(Tarakonesh[تراکنش]="انتقال",0,L353)),((IF(Tarakonesh[تراکنش]="انتقال",0,L353))-Tarakonesh[[#This Row],[مبلغ (ریال)]]))))</f>
        <v/>
      </c>
      <c r="M354" s="33"/>
      <c r="N354" s="33"/>
    </row>
    <row r="355" spans="1:14" x14ac:dyDescent="0.25">
      <c r="A355" s="28">
        <v>348</v>
      </c>
      <c r="B355" s="29"/>
      <c r="C355" s="33"/>
      <c r="D355" s="33"/>
      <c r="E355" s="41"/>
      <c r="F355" s="29"/>
      <c r="G355" s="29"/>
      <c r="H355" s="29"/>
      <c r="I355" s="27"/>
      <c r="J355" s="29"/>
      <c r="K355" s="29"/>
      <c r="L355" s="117" t="str">
        <f>IF( Tarakonesh[تراکنش]="", "",IF( Tarakonesh[تراکنش]="انتقال",L354,IF(Tarakonesh[تراکنش]="دریافت_درآمد",(Tarakonesh[[#This Row],[مبلغ (ریال)]]+IF(Tarakonesh[تراکنش]="انتقال",0,L354)),((IF(Tarakonesh[تراکنش]="انتقال",0,L354))-Tarakonesh[[#This Row],[مبلغ (ریال)]]))))</f>
        <v/>
      </c>
      <c r="M355" s="33"/>
      <c r="N355" s="33"/>
    </row>
    <row r="356" spans="1:14" x14ac:dyDescent="0.25">
      <c r="A356" s="28">
        <v>349</v>
      </c>
      <c r="B356" s="29"/>
      <c r="C356" s="33"/>
      <c r="D356" s="33"/>
      <c r="E356" s="41"/>
      <c r="F356" s="29"/>
      <c r="G356" s="29"/>
      <c r="H356" s="29"/>
      <c r="I356" s="27"/>
      <c r="J356" s="29"/>
      <c r="K356" s="29"/>
      <c r="L356" s="117" t="str">
        <f>IF( Tarakonesh[تراکنش]="", "",IF( Tarakonesh[تراکنش]="انتقال",L355,IF(Tarakonesh[تراکنش]="دریافت_درآمد",(Tarakonesh[[#This Row],[مبلغ (ریال)]]+IF(Tarakonesh[تراکنش]="انتقال",0,L355)),((IF(Tarakonesh[تراکنش]="انتقال",0,L355))-Tarakonesh[[#This Row],[مبلغ (ریال)]]))))</f>
        <v/>
      </c>
      <c r="M356" s="33"/>
      <c r="N356" s="33"/>
    </row>
    <row r="357" spans="1:14" x14ac:dyDescent="0.25">
      <c r="A357" s="28">
        <v>350</v>
      </c>
      <c r="B357" s="29"/>
      <c r="C357" s="33"/>
      <c r="D357" s="33"/>
      <c r="E357" s="41"/>
      <c r="F357" s="29"/>
      <c r="G357" s="29"/>
      <c r="H357" s="29"/>
      <c r="I357" s="27"/>
      <c r="J357" s="29"/>
      <c r="K357" s="29"/>
      <c r="L357" s="117" t="str">
        <f>IF( Tarakonesh[تراکنش]="", "",IF( Tarakonesh[تراکنش]="انتقال",L356,IF(Tarakonesh[تراکنش]="دریافت_درآمد",(Tarakonesh[[#This Row],[مبلغ (ریال)]]+IF(Tarakonesh[تراکنش]="انتقال",0,L356)),((IF(Tarakonesh[تراکنش]="انتقال",0,L356))-Tarakonesh[[#This Row],[مبلغ (ریال)]]))))</f>
        <v/>
      </c>
      <c r="M357" s="33"/>
      <c r="N357" s="33"/>
    </row>
    <row r="358" spans="1:14" x14ac:dyDescent="0.25">
      <c r="A358" s="28">
        <v>351</v>
      </c>
      <c r="B358" s="29"/>
      <c r="C358" s="33"/>
      <c r="D358" s="33"/>
      <c r="E358" s="41"/>
      <c r="F358" s="29"/>
      <c r="G358" s="29"/>
      <c r="H358" s="29"/>
      <c r="I358" s="27"/>
      <c r="J358" s="29"/>
      <c r="K358" s="29"/>
      <c r="L358" s="117" t="str">
        <f>IF( Tarakonesh[تراکنش]="", "",IF( Tarakonesh[تراکنش]="انتقال",L357,IF(Tarakonesh[تراکنش]="دریافت_درآمد",(Tarakonesh[[#This Row],[مبلغ (ریال)]]+IF(Tarakonesh[تراکنش]="انتقال",0,L357)),((IF(Tarakonesh[تراکنش]="انتقال",0,L357))-Tarakonesh[[#This Row],[مبلغ (ریال)]]))))</f>
        <v/>
      </c>
      <c r="M358" s="33"/>
      <c r="N358" s="33"/>
    </row>
    <row r="359" spans="1:14" x14ac:dyDescent="0.25">
      <c r="A359" s="28">
        <v>352</v>
      </c>
      <c r="B359" s="29"/>
      <c r="C359" s="33"/>
      <c r="D359" s="33"/>
      <c r="E359" s="41"/>
      <c r="F359" s="29"/>
      <c r="G359" s="29"/>
      <c r="H359" s="29"/>
      <c r="I359" s="27"/>
      <c r="J359" s="29"/>
      <c r="K359" s="29"/>
      <c r="L359" s="117" t="str">
        <f>IF( Tarakonesh[تراکنش]="", "",IF( Tarakonesh[تراکنش]="انتقال",L358,IF(Tarakonesh[تراکنش]="دریافت_درآمد",(Tarakonesh[[#This Row],[مبلغ (ریال)]]+IF(Tarakonesh[تراکنش]="انتقال",0,L358)),((IF(Tarakonesh[تراکنش]="انتقال",0,L358))-Tarakonesh[[#This Row],[مبلغ (ریال)]]))))</f>
        <v/>
      </c>
      <c r="M359" s="33"/>
      <c r="N359" s="33"/>
    </row>
    <row r="360" spans="1:14" x14ac:dyDescent="0.25">
      <c r="A360" s="28">
        <v>353</v>
      </c>
      <c r="B360" s="29"/>
      <c r="C360" s="33"/>
      <c r="D360" s="33"/>
      <c r="E360" s="41"/>
      <c r="F360" s="29"/>
      <c r="G360" s="29"/>
      <c r="H360" s="29"/>
      <c r="I360" s="27"/>
      <c r="J360" s="29"/>
      <c r="K360" s="29"/>
      <c r="L360" s="117" t="str">
        <f>IF( Tarakonesh[تراکنش]="", "",IF( Tarakonesh[تراکنش]="انتقال",L359,IF(Tarakonesh[تراکنش]="دریافت_درآمد",(Tarakonesh[[#This Row],[مبلغ (ریال)]]+IF(Tarakonesh[تراکنش]="انتقال",0,L359)),((IF(Tarakonesh[تراکنش]="انتقال",0,L359))-Tarakonesh[[#This Row],[مبلغ (ریال)]]))))</f>
        <v/>
      </c>
      <c r="M360" s="33"/>
      <c r="N360" s="33"/>
    </row>
    <row r="361" spans="1:14" x14ac:dyDescent="0.25">
      <c r="A361" s="28">
        <v>354</v>
      </c>
      <c r="B361" s="29"/>
      <c r="C361" s="33"/>
      <c r="D361" s="33"/>
      <c r="E361" s="41"/>
      <c r="F361" s="29"/>
      <c r="G361" s="29"/>
      <c r="H361" s="29"/>
      <c r="I361" s="27"/>
      <c r="J361" s="29"/>
      <c r="K361" s="29"/>
      <c r="L361" s="117" t="str">
        <f>IF( Tarakonesh[تراکنش]="", "",IF( Tarakonesh[تراکنش]="انتقال",L360,IF(Tarakonesh[تراکنش]="دریافت_درآمد",(Tarakonesh[[#This Row],[مبلغ (ریال)]]+IF(Tarakonesh[تراکنش]="انتقال",0,L360)),((IF(Tarakonesh[تراکنش]="انتقال",0,L360))-Tarakonesh[[#This Row],[مبلغ (ریال)]]))))</f>
        <v/>
      </c>
      <c r="M361" s="33"/>
      <c r="N361" s="33"/>
    </row>
    <row r="362" spans="1:14" x14ac:dyDescent="0.25">
      <c r="A362" s="28">
        <v>355</v>
      </c>
      <c r="B362" s="29"/>
      <c r="C362" s="33"/>
      <c r="D362" s="33"/>
      <c r="E362" s="41"/>
      <c r="F362" s="29"/>
      <c r="G362" s="29"/>
      <c r="H362" s="29"/>
      <c r="I362" s="27"/>
      <c r="J362" s="29"/>
      <c r="K362" s="29"/>
      <c r="L362" s="117" t="str">
        <f>IF( Tarakonesh[تراکنش]="", "",IF( Tarakonesh[تراکنش]="انتقال",L361,IF(Tarakonesh[تراکنش]="دریافت_درآمد",(Tarakonesh[[#This Row],[مبلغ (ریال)]]+IF(Tarakonesh[تراکنش]="انتقال",0,L361)),((IF(Tarakonesh[تراکنش]="انتقال",0,L361))-Tarakonesh[[#This Row],[مبلغ (ریال)]]))))</f>
        <v/>
      </c>
      <c r="M362" s="33"/>
      <c r="N362" s="33"/>
    </row>
    <row r="363" spans="1:14" x14ac:dyDescent="0.25">
      <c r="A363" s="28">
        <v>356</v>
      </c>
      <c r="B363" s="29"/>
      <c r="C363" s="33"/>
      <c r="D363" s="33"/>
      <c r="E363" s="41"/>
      <c r="F363" s="29"/>
      <c r="G363" s="29"/>
      <c r="H363" s="29"/>
      <c r="I363" s="27"/>
      <c r="J363" s="29"/>
      <c r="K363" s="29"/>
      <c r="L363" s="117" t="str">
        <f>IF( Tarakonesh[تراکنش]="", "",IF( Tarakonesh[تراکنش]="انتقال",L362,IF(Tarakonesh[تراکنش]="دریافت_درآمد",(Tarakonesh[[#This Row],[مبلغ (ریال)]]+IF(Tarakonesh[تراکنش]="انتقال",0,L362)),((IF(Tarakonesh[تراکنش]="انتقال",0,L362))-Tarakonesh[[#This Row],[مبلغ (ریال)]]))))</f>
        <v/>
      </c>
      <c r="M363" s="33"/>
      <c r="N363" s="33"/>
    </row>
    <row r="364" spans="1:14" x14ac:dyDescent="0.25">
      <c r="A364" s="28">
        <v>357</v>
      </c>
      <c r="B364" s="29"/>
      <c r="C364" s="33"/>
      <c r="D364" s="33"/>
      <c r="E364" s="41"/>
      <c r="F364" s="29"/>
      <c r="G364" s="29"/>
      <c r="H364" s="29"/>
      <c r="I364" s="27"/>
      <c r="J364" s="29"/>
      <c r="K364" s="29"/>
      <c r="L364" s="117" t="str">
        <f>IF( Tarakonesh[تراکنش]="", "",IF( Tarakonesh[تراکنش]="انتقال",L363,IF(Tarakonesh[تراکنش]="دریافت_درآمد",(Tarakonesh[[#This Row],[مبلغ (ریال)]]+IF(Tarakonesh[تراکنش]="انتقال",0,L363)),((IF(Tarakonesh[تراکنش]="انتقال",0,L363))-Tarakonesh[[#This Row],[مبلغ (ریال)]]))))</f>
        <v/>
      </c>
      <c r="M364" s="33"/>
      <c r="N364" s="33"/>
    </row>
    <row r="365" spans="1:14" x14ac:dyDescent="0.25">
      <c r="A365" s="28">
        <v>358</v>
      </c>
      <c r="B365" s="29"/>
      <c r="C365" s="33"/>
      <c r="D365" s="33"/>
      <c r="E365" s="41"/>
      <c r="F365" s="29"/>
      <c r="G365" s="29"/>
      <c r="H365" s="29"/>
      <c r="I365" s="27"/>
      <c r="J365" s="29"/>
      <c r="K365" s="29"/>
      <c r="L365" s="117" t="str">
        <f>IF( Tarakonesh[تراکنش]="", "",IF( Tarakonesh[تراکنش]="انتقال",L364,IF(Tarakonesh[تراکنش]="دریافت_درآمد",(Tarakonesh[[#This Row],[مبلغ (ریال)]]+IF(Tarakonesh[تراکنش]="انتقال",0,L364)),((IF(Tarakonesh[تراکنش]="انتقال",0,L364))-Tarakonesh[[#This Row],[مبلغ (ریال)]]))))</f>
        <v/>
      </c>
      <c r="M365" s="33"/>
      <c r="N365" s="33"/>
    </row>
    <row r="366" spans="1:14" x14ac:dyDescent="0.25">
      <c r="A366" s="28">
        <v>359</v>
      </c>
      <c r="B366" s="29"/>
      <c r="C366" s="33"/>
      <c r="D366" s="33"/>
      <c r="E366" s="41"/>
      <c r="F366" s="29"/>
      <c r="G366" s="29"/>
      <c r="H366" s="29"/>
      <c r="I366" s="27"/>
      <c r="J366" s="29"/>
      <c r="K366" s="29"/>
      <c r="L366" s="117" t="str">
        <f>IF( Tarakonesh[تراکنش]="", "",IF( Tarakonesh[تراکنش]="انتقال",L365,IF(Tarakonesh[تراکنش]="دریافت_درآمد",(Tarakonesh[[#This Row],[مبلغ (ریال)]]+IF(Tarakonesh[تراکنش]="انتقال",0,L365)),((IF(Tarakonesh[تراکنش]="انتقال",0,L365))-Tarakonesh[[#This Row],[مبلغ (ریال)]]))))</f>
        <v/>
      </c>
      <c r="M366" s="33"/>
      <c r="N366" s="33"/>
    </row>
    <row r="367" spans="1:14" x14ac:dyDescent="0.25">
      <c r="A367" s="28">
        <v>360</v>
      </c>
      <c r="B367" s="29"/>
      <c r="C367" s="33"/>
      <c r="D367" s="33"/>
      <c r="E367" s="41"/>
      <c r="F367" s="29"/>
      <c r="G367" s="29"/>
      <c r="H367" s="29"/>
      <c r="I367" s="27"/>
      <c r="J367" s="29"/>
      <c r="K367" s="29"/>
      <c r="L367" s="117" t="str">
        <f>IF( Tarakonesh[تراکنش]="", "",IF( Tarakonesh[تراکنش]="انتقال",L366,IF(Tarakonesh[تراکنش]="دریافت_درآمد",(Tarakonesh[[#This Row],[مبلغ (ریال)]]+IF(Tarakonesh[تراکنش]="انتقال",0,L366)),((IF(Tarakonesh[تراکنش]="انتقال",0,L366))-Tarakonesh[[#This Row],[مبلغ (ریال)]]))))</f>
        <v/>
      </c>
      <c r="M367" s="33"/>
      <c r="N367" s="33"/>
    </row>
    <row r="368" spans="1:14" x14ac:dyDescent="0.25">
      <c r="A368" s="28">
        <v>361</v>
      </c>
      <c r="B368" s="29"/>
      <c r="C368" s="33"/>
      <c r="D368" s="33"/>
      <c r="E368" s="41"/>
      <c r="F368" s="29"/>
      <c r="G368" s="29"/>
      <c r="H368" s="29"/>
      <c r="I368" s="27"/>
      <c r="J368" s="29"/>
      <c r="K368" s="29"/>
      <c r="L368" s="117" t="str">
        <f>IF( Tarakonesh[تراکنش]="", "",IF( Tarakonesh[تراکنش]="انتقال",L367,IF(Tarakonesh[تراکنش]="دریافت_درآمد",(Tarakonesh[[#This Row],[مبلغ (ریال)]]+IF(Tarakonesh[تراکنش]="انتقال",0,L367)),((IF(Tarakonesh[تراکنش]="انتقال",0,L367))-Tarakonesh[[#This Row],[مبلغ (ریال)]]))))</f>
        <v/>
      </c>
      <c r="M368" s="33"/>
      <c r="N368" s="33"/>
    </row>
    <row r="369" spans="1:14" x14ac:dyDescent="0.25">
      <c r="A369" s="28">
        <v>362</v>
      </c>
      <c r="B369" s="29"/>
      <c r="C369" s="33"/>
      <c r="D369" s="33"/>
      <c r="E369" s="41"/>
      <c r="F369" s="29"/>
      <c r="G369" s="29"/>
      <c r="H369" s="29"/>
      <c r="I369" s="27"/>
      <c r="J369" s="29"/>
      <c r="K369" s="29"/>
      <c r="L369" s="117" t="str">
        <f>IF( Tarakonesh[تراکنش]="", "",IF( Tarakonesh[تراکنش]="انتقال",L368,IF(Tarakonesh[تراکنش]="دریافت_درآمد",(Tarakonesh[[#This Row],[مبلغ (ریال)]]+IF(Tarakonesh[تراکنش]="انتقال",0,L368)),((IF(Tarakonesh[تراکنش]="انتقال",0,L368))-Tarakonesh[[#This Row],[مبلغ (ریال)]]))))</f>
        <v/>
      </c>
      <c r="M369" s="33"/>
      <c r="N369" s="33"/>
    </row>
    <row r="370" spans="1:14" x14ac:dyDescent="0.25">
      <c r="A370" s="28">
        <v>363</v>
      </c>
      <c r="B370" s="29"/>
      <c r="C370" s="33"/>
      <c r="D370" s="33"/>
      <c r="E370" s="41"/>
      <c r="F370" s="29"/>
      <c r="G370" s="29"/>
      <c r="H370" s="29"/>
      <c r="I370" s="27"/>
      <c r="J370" s="29"/>
      <c r="K370" s="29"/>
      <c r="L370" s="117" t="str">
        <f>IF( Tarakonesh[تراکنش]="", "",IF( Tarakonesh[تراکنش]="انتقال",L369,IF(Tarakonesh[تراکنش]="دریافت_درآمد",(Tarakonesh[[#This Row],[مبلغ (ریال)]]+IF(Tarakonesh[تراکنش]="انتقال",0,L369)),((IF(Tarakonesh[تراکنش]="انتقال",0,L369))-Tarakonesh[[#This Row],[مبلغ (ریال)]]))))</f>
        <v/>
      </c>
      <c r="M370" s="33"/>
      <c r="N370" s="33"/>
    </row>
    <row r="371" spans="1:14" x14ac:dyDescent="0.25">
      <c r="A371" s="28">
        <v>364</v>
      </c>
      <c r="B371" s="29"/>
      <c r="C371" s="33"/>
      <c r="D371" s="33"/>
      <c r="E371" s="41"/>
      <c r="F371" s="29"/>
      <c r="G371" s="29"/>
      <c r="H371" s="29"/>
      <c r="I371" s="27"/>
      <c r="J371" s="29"/>
      <c r="K371" s="29"/>
      <c r="L371" s="117" t="str">
        <f>IF( Tarakonesh[تراکنش]="", "",IF( Tarakonesh[تراکنش]="انتقال",L370,IF(Tarakonesh[تراکنش]="دریافت_درآمد",(Tarakonesh[[#This Row],[مبلغ (ریال)]]+IF(Tarakonesh[تراکنش]="انتقال",0,L370)),((IF(Tarakonesh[تراکنش]="انتقال",0,L370))-Tarakonesh[[#This Row],[مبلغ (ریال)]]))))</f>
        <v/>
      </c>
      <c r="M371" s="33"/>
      <c r="N371" s="33"/>
    </row>
    <row r="372" spans="1:14" x14ac:dyDescent="0.25">
      <c r="A372" s="28">
        <v>365</v>
      </c>
      <c r="B372" s="29"/>
      <c r="C372" s="33"/>
      <c r="D372" s="33"/>
      <c r="E372" s="41"/>
      <c r="F372" s="29"/>
      <c r="G372" s="29"/>
      <c r="H372" s="29"/>
      <c r="I372" s="27"/>
      <c r="J372" s="29"/>
      <c r="K372" s="29"/>
      <c r="L372" s="117" t="str">
        <f>IF( Tarakonesh[تراکنش]="", "",IF( Tarakonesh[تراکنش]="انتقال",L371,IF(Tarakonesh[تراکنش]="دریافت_درآمد",(Tarakonesh[[#This Row],[مبلغ (ریال)]]+IF(Tarakonesh[تراکنش]="انتقال",0,L371)),((IF(Tarakonesh[تراکنش]="انتقال",0,L371))-Tarakonesh[[#This Row],[مبلغ (ریال)]]))))</f>
        <v/>
      </c>
      <c r="M372" s="33"/>
      <c r="N372" s="33"/>
    </row>
    <row r="373" spans="1:14" x14ac:dyDescent="0.25">
      <c r="A373" s="28">
        <v>366</v>
      </c>
      <c r="B373" s="29"/>
      <c r="C373" s="33"/>
      <c r="D373" s="33"/>
      <c r="E373" s="41"/>
      <c r="F373" s="29"/>
      <c r="G373" s="29"/>
      <c r="H373" s="29"/>
      <c r="I373" s="27"/>
      <c r="J373" s="29"/>
      <c r="K373" s="29"/>
      <c r="L373" s="117" t="str">
        <f>IF( Tarakonesh[تراکنش]="", "",IF( Tarakonesh[تراکنش]="انتقال",L372,IF(Tarakonesh[تراکنش]="دریافت_درآمد",(Tarakonesh[[#This Row],[مبلغ (ریال)]]+IF(Tarakonesh[تراکنش]="انتقال",0,L372)),((IF(Tarakonesh[تراکنش]="انتقال",0,L372))-Tarakonesh[[#This Row],[مبلغ (ریال)]]))))</f>
        <v/>
      </c>
      <c r="M373" s="33"/>
      <c r="N373" s="33"/>
    </row>
    <row r="374" spans="1:14" x14ac:dyDescent="0.25">
      <c r="A374" s="28">
        <v>367</v>
      </c>
      <c r="B374" s="29"/>
      <c r="C374" s="33"/>
      <c r="D374" s="33"/>
      <c r="E374" s="41"/>
      <c r="F374" s="29"/>
      <c r="G374" s="29"/>
      <c r="H374" s="29"/>
      <c r="I374" s="27"/>
      <c r="J374" s="29"/>
      <c r="K374" s="29"/>
      <c r="L374" s="117" t="str">
        <f>IF( Tarakonesh[تراکنش]="", "",IF( Tarakonesh[تراکنش]="انتقال",L373,IF(Tarakonesh[تراکنش]="دریافت_درآمد",(Tarakonesh[[#This Row],[مبلغ (ریال)]]+IF(Tarakonesh[تراکنش]="انتقال",0,L373)),((IF(Tarakonesh[تراکنش]="انتقال",0,L373))-Tarakonesh[[#This Row],[مبلغ (ریال)]]))))</f>
        <v/>
      </c>
      <c r="M374" s="33"/>
      <c r="N374" s="33"/>
    </row>
    <row r="375" spans="1:14" x14ac:dyDescent="0.25">
      <c r="A375" s="28">
        <v>368</v>
      </c>
      <c r="B375" s="29"/>
      <c r="C375" s="33"/>
      <c r="D375" s="33"/>
      <c r="E375" s="41"/>
      <c r="F375" s="29"/>
      <c r="G375" s="29"/>
      <c r="H375" s="29"/>
      <c r="I375" s="27"/>
      <c r="J375" s="29"/>
      <c r="K375" s="29"/>
      <c r="L375" s="117" t="str">
        <f>IF( Tarakonesh[تراکنش]="", "",IF( Tarakonesh[تراکنش]="انتقال",L374,IF(Tarakonesh[تراکنش]="دریافت_درآمد",(Tarakonesh[[#This Row],[مبلغ (ریال)]]+IF(Tarakonesh[تراکنش]="انتقال",0,L374)),((IF(Tarakonesh[تراکنش]="انتقال",0,L374))-Tarakonesh[[#This Row],[مبلغ (ریال)]]))))</f>
        <v/>
      </c>
      <c r="M375" s="33"/>
      <c r="N375" s="33"/>
    </row>
    <row r="376" spans="1:14" x14ac:dyDescent="0.25">
      <c r="A376" s="28">
        <v>369</v>
      </c>
      <c r="B376" s="29"/>
      <c r="C376" s="33"/>
      <c r="D376" s="33"/>
      <c r="E376" s="41"/>
      <c r="F376" s="29"/>
      <c r="G376" s="29"/>
      <c r="H376" s="29"/>
      <c r="I376" s="27"/>
      <c r="J376" s="29"/>
      <c r="K376" s="29"/>
      <c r="L376" s="117" t="str">
        <f>IF( Tarakonesh[تراکنش]="", "",IF( Tarakonesh[تراکنش]="انتقال",L375,IF(Tarakonesh[تراکنش]="دریافت_درآمد",(Tarakonesh[[#This Row],[مبلغ (ریال)]]+IF(Tarakonesh[تراکنش]="انتقال",0,L375)),((IF(Tarakonesh[تراکنش]="انتقال",0,L375))-Tarakonesh[[#This Row],[مبلغ (ریال)]]))))</f>
        <v/>
      </c>
      <c r="M376" s="33"/>
      <c r="N376" s="33"/>
    </row>
    <row r="377" spans="1:14" x14ac:dyDescent="0.25">
      <c r="A377" s="28">
        <v>370</v>
      </c>
      <c r="B377" s="29"/>
      <c r="C377" s="33"/>
      <c r="D377" s="33"/>
      <c r="E377" s="41"/>
      <c r="F377" s="29"/>
      <c r="G377" s="29"/>
      <c r="H377" s="29"/>
      <c r="I377" s="27"/>
      <c r="J377" s="29"/>
      <c r="K377" s="29"/>
      <c r="L377" s="117" t="str">
        <f>IF( Tarakonesh[تراکنش]="", "",IF( Tarakonesh[تراکنش]="انتقال",L376,IF(Tarakonesh[تراکنش]="دریافت_درآمد",(Tarakonesh[[#This Row],[مبلغ (ریال)]]+IF(Tarakonesh[تراکنش]="انتقال",0,L376)),((IF(Tarakonesh[تراکنش]="انتقال",0,L376))-Tarakonesh[[#This Row],[مبلغ (ریال)]]))))</f>
        <v/>
      </c>
      <c r="M377" s="33"/>
      <c r="N377" s="33"/>
    </row>
    <row r="378" spans="1:14" x14ac:dyDescent="0.25">
      <c r="A378" s="28">
        <v>371</v>
      </c>
      <c r="B378" s="29"/>
      <c r="C378" s="33"/>
      <c r="D378" s="33"/>
      <c r="E378" s="41"/>
      <c r="F378" s="29"/>
      <c r="G378" s="29"/>
      <c r="H378" s="29"/>
      <c r="I378" s="27"/>
      <c r="J378" s="29"/>
      <c r="K378" s="29"/>
      <c r="L378" s="117" t="str">
        <f>IF( Tarakonesh[تراکنش]="", "",IF( Tarakonesh[تراکنش]="انتقال",L377,IF(Tarakonesh[تراکنش]="دریافت_درآمد",(Tarakonesh[[#This Row],[مبلغ (ریال)]]+IF(Tarakonesh[تراکنش]="انتقال",0,L377)),((IF(Tarakonesh[تراکنش]="انتقال",0,L377))-Tarakonesh[[#This Row],[مبلغ (ریال)]]))))</f>
        <v/>
      </c>
      <c r="M378" s="33"/>
      <c r="N378" s="33"/>
    </row>
    <row r="379" spans="1:14" x14ac:dyDescent="0.25">
      <c r="A379" s="28">
        <v>372</v>
      </c>
      <c r="B379" s="29"/>
      <c r="C379" s="33"/>
      <c r="D379" s="33"/>
      <c r="E379" s="41"/>
      <c r="F379" s="29"/>
      <c r="G379" s="29"/>
      <c r="H379" s="29"/>
      <c r="I379" s="27"/>
      <c r="J379" s="29"/>
      <c r="K379" s="29"/>
      <c r="L379" s="117" t="str">
        <f>IF( Tarakonesh[تراکنش]="", "",IF( Tarakonesh[تراکنش]="انتقال",L378,IF(Tarakonesh[تراکنش]="دریافت_درآمد",(Tarakonesh[[#This Row],[مبلغ (ریال)]]+IF(Tarakonesh[تراکنش]="انتقال",0,L378)),((IF(Tarakonesh[تراکنش]="انتقال",0,L378))-Tarakonesh[[#This Row],[مبلغ (ریال)]]))))</f>
        <v/>
      </c>
      <c r="M379" s="33"/>
      <c r="N379" s="33"/>
    </row>
    <row r="380" spans="1:14" x14ac:dyDescent="0.25">
      <c r="A380" s="28">
        <v>373</v>
      </c>
      <c r="B380" s="29"/>
      <c r="C380" s="33"/>
      <c r="D380" s="33"/>
      <c r="E380" s="41"/>
      <c r="F380" s="29"/>
      <c r="G380" s="29"/>
      <c r="H380" s="29"/>
      <c r="I380" s="27"/>
      <c r="J380" s="29"/>
      <c r="K380" s="29"/>
      <c r="L380" s="117" t="str">
        <f>IF( Tarakonesh[تراکنش]="", "",IF( Tarakonesh[تراکنش]="انتقال",L379,IF(Tarakonesh[تراکنش]="دریافت_درآمد",(Tarakonesh[[#This Row],[مبلغ (ریال)]]+IF(Tarakonesh[تراکنش]="انتقال",0,L379)),((IF(Tarakonesh[تراکنش]="انتقال",0,L379))-Tarakonesh[[#This Row],[مبلغ (ریال)]]))))</f>
        <v/>
      </c>
      <c r="M380" s="33"/>
      <c r="N380" s="33"/>
    </row>
    <row r="381" spans="1:14" x14ac:dyDescent="0.25">
      <c r="A381" s="28">
        <v>374</v>
      </c>
      <c r="B381" s="29"/>
      <c r="C381" s="33"/>
      <c r="D381" s="33"/>
      <c r="E381" s="41"/>
      <c r="F381" s="29"/>
      <c r="G381" s="29"/>
      <c r="H381" s="29"/>
      <c r="I381" s="27"/>
      <c r="J381" s="29"/>
      <c r="K381" s="29"/>
      <c r="L381" s="117" t="str">
        <f>IF( Tarakonesh[تراکنش]="", "",IF( Tarakonesh[تراکنش]="انتقال",L380,IF(Tarakonesh[تراکنش]="دریافت_درآمد",(Tarakonesh[[#This Row],[مبلغ (ریال)]]+IF(Tarakonesh[تراکنش]="انتقال",0,L380)),((IF(Tarakonesh[تراکنش]="انتقال",0,L380))-Tarakonesh[[#This Row],[مبلغ (ریال)]]))))</f>
        <v/>
      </c>
      <c r="M381" s="33"/>
      <c r="N381" s="33"/>
    </row>
    <row r="382" spans="1:14" x14ac:dyDescent="0.25">
      <c r="A382" s="28">
        <v>375</v>
      </c>
      <c r="B382" s="29"/>
      <c r="C382" s="33"/>
      <c r="D382" s="33"/>
      <c r="E382" s="41"/>
      <c r="F382" s="29"/>
      <c r="G382" s="29"/>
      <c r="H382" s="29"/>
      <c r="I382" s="27"/>
      <c r="J382" s="29"/>
      <c r="K382" s="29"/>
      <c r="L382" s="117" t="str">
        <f>IF( Tarakonesh[تراکنش]="", "",IF( Tarakonesh[تراکنش]="انتقال",L381,IF(Tarakonesh[تراکنش]="دریافت_درآمد",(Tarakonesh[[#This Row],[مبلغ (ریال)]]+IF(Tarakonesh[تراکنش]="انتقال",0,L381)),((IF(Tarakonesh[تراکنش]="انتقال",0,L381))-Tarakonesh[[#This Row],[مبلغ (ریال)]]))))</f>
        <v/>
      </c>
      <c r="M382" s="33"/>
      <c r="N382" s="33"/>
    </row>
    <row r="383" spans="1:14" x14ac:dyDescent="0.25">
      <c r="A383" s="28">
        <v>376</v>
      </c>
      <c r="B383" s="29"/>
      <c r="C383" s="33"/>
      <c r="D383" s="33"/>
      <c r="E383" s="41"/>
      <c r="F383" s="29"/>
      <c r="G383" s="29"/>
      <c r="H383" s="29"/>
      <c r="I383" s="27"/>
      <c r="J383" s="29"/>
      <c r="K383" s="29"/>
      <c r="L383" s="117" t="str">
        <f>IF( Tarakonesh[تراکنش]="", "",IF( Tarakonesh[تراکنش]="انتقال",L382,IF(Tarakonesh[تراکنش]="دریافت_درآمد",(Tarakonesh[[#This Row],[مبلغ (ریال)]]+IF(Tarakonesh[تراکنش]="انتقال",0,L382)),((IF(Tarakonesh[تراکنش]="انتقال",0,L382))-Tarakonesh[[#This Row],[مبلغ (ریال)]]))))</f>
        <v/>
      </c>
      <c r="M383" s="33"/>
      <c r="N383" s="33"/>
    </row>
    <row r="384" spans="1:14" x14ac:dyDescent="0.25">
      <c r="A384" s="28">
        <v>377</v>
      </c>
      <c r="B384" s="29"/>
      <c r="C384" s="33"/>
      <c r="D384" s="33"/>
      <c r="E384" s="41"/>
      <c r="F384" s="29"/>
      <c r="G384" s="29"/>
      <c r="H384" s="29"/>
      <c r="I384" s="27"/>
      <c r="J384" s="29"/>
      <c r="K384" s="29"/>
      <c r="L384" s="117" t="str">
        <f>IF( Tarakonesh[تراکنش]="", "",IF( Tarakonesh[تراکنش]="انتقال",L383,IF(Tarakonesh[تراکنش]="دریافت_درآمد",(Tarakonesh[[#This Row],[مبلغ (ریال)]]+IF(Tarakonesh[تراکنش]="انتقال",0,L383)),((IF(Tarakonesh[تراکنش]="انتقال",0,L383))-Tarakonesh[[#This Row],[مبلغ (ریال)]]))))</f>
        <v/>
      </c>
      <c r="M384" s="33"/>
      <c r="N384" s="33"/>
    </row>
    <row r="385" spans="1:14" x14ac:dyDescent="0.25">
      <c r="A385" s="28">
        <v>378</v>
      </c>
      <c r="B385" s="29"/>
      <c r="C385" s="33"/>
      <c r="D385" s="33"/>
      <c r="E385" s="41"/>
      <c r="F385" s="29"/>
      <c r="G385" s="29"/>
      <c r="H385" s="29"/>
      <c r="I385" s="27"/>
      <c r="J385" s="29"/>
      <c r="K385" s="29"/>
      <c r="L385" s="117" t="str">
        <f>IF( Tarakonesh[تراکنش]="", "",IF( Tarakonesh[تراکنش]="انتقال",L384,IF(Tarakonesh[تراکنش]="دریافت_درآمد",(Tarakonesh[[#This Row],[مبلغ (ریال)]]+IF(Tarakonesh[تراکنش]="انتقال",0,L384)),((IF(Tarakonesh[تراکنش]="انتقال",0,L384))-Tarakonesh[[#This Row],[مبلغ (ریال)]]))))</f>
        <v/>
      </c>
      <c r="M385" s="33"/>
      <c r="N385" s="33"/>
    </row>
    <row r="386" spans="1:14" x14ac:dyDescent="0.25">
      <c r="A386" s="28">
        <v>379</v>
      </c>
      <c r="B386" s="29"/>
      <c r="C386" s="33"/>
      <c r="D386" s="33"/>
      <c r="E386" s="41"/>
      <c r="F386" s="29"/>
      <c r="G386" s="29"/>
      <c r="H386" s="29"/>
      <c r="I386" s="27"/>
      <c r="J386" s="29"/>
      <c r="K386" s="29"/>
      <c r="L386" s="117" t="str">
        <f>IF( Tarakonesh[تراکنش]="", "",IF( Tarakonesh[تراکنش]="انتقال",L385,IF(Tarakonesh[تراکنش]="دریافت_درآمد",(Tarakonesh[[#This Row],[مبلغ (ریال)]]+IF(Tarakonesh[تراکنش]="انتقال",0,L385)),((IF(Tarakonesh[تراکنش]="انتقال",0,L385))-Tarakonesh[[#This Row],[مبلغ (ریال)]]))))</f>
        <v/>
      </c>
      <c r="M386" s="33"/>
      <c r="N386" s="33"/>
    </row>
    <row r="387" spans="1:14" x14ac:dyDescent="0.25">
      <c r="A387" s="28">
        <v>380</v>
      </c>
      <c r="B387" s="29"/>
      <c r="C387" s="33"/>
      <c r="D387" s="33"/>
      <c r="E387" s="41"/>
      <c r="F387" s="29"/>
      <c r="G387" s="29"/>
      <c r="H387" s="29"/>
      <c r="I387" s="27"/>
      <c r="J387" s="29"/>
      <c r="K387" s="29"/>
      <c r="L387" s="117" t="str">
        <f>IF( Tarakonesh[تراکنش]="", "",IF( Tarakonesh[تراکنش]="انتقال",L386,IF(Tarakonesh[تراکنش]="دریافت_درآمد",(Tarakonesh[[#This Row],[مبلغ (ریال)]]+IF(Tarakonesh[تراکنش]="انتقال",0,L386)),((IF(Tarakonesh[تراکنش]="انتقال",0,L386))-Tarakonesh[[#This Row],[مبلغ (ریال)]]))))</f>
        <v/>
      </c>
      <c r="M387" s="33"/>
      <c r="N387" s="33"/>
    </row>
    <row r="388" spans="1:14" x14ac:dyDescent="0.25">
      <c r="A388" s="28">
        <v>381</v>
      </c>
      <c r="B388" s="29"/>
      <c r="C388" s="33"/>
      <c r="D388" s="33"/>
      <c r="E388" s="41"/>
      <c r="F388" s="29"/>
      <c r="G388" s="29"/>
      <c r="H388" s="29"/>
      <c r="I388" s="27"/>
      <c r="J388" s="29"/>
      <c r="K388" s="29"/>
      <c r="L388" s="117" t="str">
        <f>IF( Tarakonesh[تراکنش]="", "",IF( Tarakonesh[تراکنش]="انتقال",L387,IF(Tarakonesh[تراکنش]="دریافت_درآمد",(Tarakonesh[[#This Row],[مبلغ (ریال)]]+IF(Tarakonesh[تراکنش]="انتقال",0,L387)),((IF(Tarakonesh[تراکنش]="انتقال",0,L387))-Tarakonesh[[#This Row],[مبلغ (ریال)]]))))</f>
        <v/>
      </c>
      <c r="M388" s="33"/>
      <c r="N388" s="33"/>
    </row>
    <row r="389" spans="1:14" x14ac:dyDescent="0.25">
      <c r="A389" s="28">
        <v>382</v>
      </c>
      <c r="B389" s="29"/>
      <c r="C389" s="33"/>
      <c r="D389" s="33"/>
      <c r="E389" s="41"/>
      <c r="F389" s="29"/>
      <c r="G389" s="29"/>
      <c r="H389" s="29"/>
      <c r="I389" s="27"/>
      <c r="J389" s="29"/>
      <c r="K389" s="29"/>
      <c r="L389" s="117" t="str">
        <f>IF( Tarakonesh[تراکنش]="", "",IF( Tarakonesh[تراکنش]="انتقال",L388,IF(Tarakonesh[تراکنش]="دریافت_درآمد",(Tarakonesh[[#This Row],[مبلغ (ریال)]]+IF(Tarakonesh[تراکنش]="انتقال",0,L388)),((IF(Tarakonesh[تراکنش]="انتقال",0,L388))-Tarakonesh[[#This Row],[مبلغ (ریال)]]))))</f>
        <v/>
      </c>
      <c r="M389" s="33"/>
      <c r="N389" s="33"/>
    </row>
    <row r="390" spans="1:14" x14ac:dyDescent="0.25">
      <c r="A390" s="28">
        <v>383</v>
      </c>
      <c r="B390" s="29"/>
      <c r="C390" s="33"/>
      <c r="D390" s="33"/>
      <c r="E390" s="41"/>
      <c r="F390" s="29"/>
      <c r="G390" s="29"/>
      <c r="H390" s="29"/>
      <c r="I390" s="27"/>
      <c r="J390" s="29"/>
      <c r="K390" s="29"/>
      <c r="L390" s="117" t="str">
        <f>IF( Tarakonesh[تراکنش]="", "",IF( Tarakonesh[تراکنش]="انتقال",L389,IF(Tarakonesh[تراکنش]="دریافت_درآمد",(Tarakonesh[[#This Row],[مبلغ (ریال)]]+IF(Tarakonesh[تراکنش]="انتقال",0,L389)),((IF(Tarakonesh[تراکنش]="انتقال",0,L389))-Tarakonesh[[#This Row],[مبلغ (ریال)]]))))</f>
        <v/>
      </c>
      <c r="M390" s="33"/>
      <c r="N390" s="33"/>
    </row>
    <row r="391" spans="1:14" x14ac:dyDescent="0.25">
      <c r="A391" s="28">
        <v>384</v>
      </c>
      <c r="B391" s="29"/>
      <c r="C391" s="33"/>
      <c r="D391" s="33"/>
      <c r="E391" s="41"/>
      <c r="F391" s="29"/>
      <c r="G391" s="29"/>
      <c r="H391" s="29"/>
      <c r="I391" s="27"/>
      <c r="J391" s="29"/>
      <c r="K391" s="29"/>
      <c r="L391" s="117" t="str">
        <f>IF( Tarakonesh[تراکنش]="", "",IF( Tarakonesh[تراکنش]="انتقال",L390,IF(Tarakonesh[تراکنش]="دریافت_درآمد",(Tarakonesh[[#This Row],[مبلغ (ریال)]]+IF(Tarakonesh[تراکنش]="انتقال",0,L390)),((IF(Tarakonesh[تراکنش]="انتقال",0,L390))-Tarakonesh[[#This Row],[مبلغ (ریال)]]))))</f>
        <v/>
      </c>
      <c r="M391" s="33"/>
      <c r="N391" s="33"/>
    </row>
    <row r="392" spans="1:14" x14ac:dyDescent="0.25">
      <c r="A392" s="28">
        <v>385</v>
      </c>
      <c r="B392" s="29"/>
      <c r="C392" s="33"/>
      <c r="D392" s="33"/>
      <c r="E392" s="41"/>
      <c r="F392" s="29"/>
      <c r="G392" s="29"/>
      <c r="H392" s="29"/>
      <c r="I392" s="27"/>
      <c r="J392" s="29"/>
      <c r="K392" s="29"/>
      <c r="L392" s="117" t="str">
        <f>IF( Tarakonesh[تراکنش]="", "",IF( Tarakonesh[تراکنش]="انتقال",L391,IF(Tarakonesh[تراکنش]="دریافت_درآمد",(Tarakonesh[[#This Row],[مبلغ (ریال)]]+IF(Tarakonesh[تراکنش]="انتقال",0,L391)),((IF(Tarakonesh[تراکنش]="انتقال",0,L391))-Tarakonesh[[#This Row],[مبلغ (ریال)]]))))</f>
        <v/>
      </c>
      <c r="M392" s="33"/>
      <c r="N392" s="33"/>
    </row>
    <row r="393" spans="1:14" x14ac:dyDescent="0.25">
      <c r="A393" s="28">
        <v>386</v>
      </c>
      <c r="B393" s="29"/>
      <c r="C393" s="33"/>
      <c r="D393" s="33"/>
      <c r="E393" s="41"/>
      <c r="F393" s="29"/>
      <c r="G393" s="29"/>
      <c r="H393" s="29"/>
      <c r="I393" s="27"/>
      <c r="J393" s="29"/>
      <c r="K393" s="29"/>
      <c r="L393" s="117" t="str">
        <f>IF( Tarakonesh[تراکنش]="", "",IF( Tarakonesh[تراکنش]="انتقال",L392,IF(Tarakonesh[تراکنش]="دریافت_درآمد",(Tarakonesh[[#This Row],[مبلغ (ریال)]]+IF(Tarakonesh[تراکنش]="انتقال",0,L392)),((IF(Tarakonesh[تراکنش]="انتقال",0,L392))-Tarakonesh[[#This Row],[مبلغ (ریال)]]))))</f>
        <v/>
      </c>
      <c r="M393" s="33"/>
      <c r="N393" s="33"/>
    </row>
    <row r="394" spans="1:14" x14ac:dyDescent="0.25">
      <c r="A394" s="28">
        <v>387</v>
      </c>
      <c r="B394" s="29"/>
      <c r="C394" s="33"/>
      <c r="D394" s="33"/>
      <c r="E394" s="41"/>
      <c r="F394" s="29"/>
      <c r="G394" s="29"/>
      <c r="H394" s="29"/>
      <c r="I394" s="27"/>
      <c r="J394" s="29"/>
      <c r="K394" s="29"/>
      <c r="L394" s="117" t="str">
        <f>IF( Tarakonesh[تراکنش]="", "",IF( Tarakonesh[تراکنش]="انتقال",L393,IF(Tarakonesh[تراکنش]="دریافت_درآمد",(Tarakonesh[[#This Row],[مبلغ (ریال)]]+IF(Tarakonesh[تراکنش]="انتقال",0,L393)),((IF(Tarakonesh[تراکنش]="انتقال",0,L393))-Tarakonesh[[#This Row],[مبلغ (ریال)]]))))</f>
        <v/>
      </c>
      <c r="M394" s="33"/>
      <c r="N394" s="33"/>
    </row>
    <row r="395" spans="1:14" x14ac:dyDescent="0.25">
      <c r="A395" s="28">
        <v>388</v>
      </c>
      <c r="B395" s="29"/>
      <c r="C395" s="33"/>
      <c r="D395" s="33"/>
      <c r="E395" s="41"/>
      <c r="F395" s="29"/>
      <c r="G395" s="29"/>
      <c r="H395" s="29"/>
      <c r="I395" s="27"/>
      <c r="J395" s="29"/>
      <c r="K395" s="29"/>
      <c r="L395" s="117" t="str">
        <f>IF( Tarakonesh[تراکنش]="", "",IF( Tarakonesh[تراکنش]="انتقال",L394,IF(Tarakonesh[تراکنش]="دریافت_درآمد",(Tarakonesh[[#This Row],[مبلغ (ریال)]]+IF(Tarakonesh[تراکنش]="انتقال",0,L394)),((IF(Tarakonesh[تراکنش]="انتقال",0,L394))-Tarakonesh[[#This Row],[مبلغ (ریال)]]))))</f>
        <v/>
      </c>
      <c r="M395" s="33"/>
      <c r="N395" s="33"/>
    </row>
    <row r="396" spans="1:14" x14ac:dyDescent="0.25">
      <c r="A396" s="28">
        <v>389</v>
      </c>
      <c r="B396" s="29"/>
      <c r="C396" s="33"/>
      <c r="D396" s="33"/>
      <c r="E396" s="41"/>
      <c r="F396" s="29"/>
      <c r="G396" s="29"/>
      <c r="H396" s="29"/>
      <c r="I396" s="27"/>
      <c r="J396" s="29"/>
      <c r="K396" s="29"/>
      <c r="L396" s="117" t="str">
        <f>IF( Tarakonesh[تراکنش]="", "",IF( Tarakonesh[تراکنش]="انتقال",L395,IF(Tarakonesh[تراکنش]="دریافت_درآمد",(Tarakonesh[[#This Row],[مبلغ (ریال)]]+IF(Tarakonesh[تراکنش]="انتقال",0,L395)),((IF(Tarakonesh[تراکنش]="انتقال",0,L395))-Tarakonesh[[#This Row],[مبلغ (ریال)]]))))</f>
        <v/>
      </c>
      <c r="M396" s="33"/>
      <c r="N396" s="33"/>
    </row>
    <row r="397" spans="1:14" x14ac:dyDescent="0.25">
      <c r="A397" s="28">
        <v>390</v>
      </c>
      <c r="B397" s="29"/>
      <c r="C397" s="33"/>
      <c r="D397" s="33"/>
      <c r="E397" s="41"/>
      <c r="F397" s="29"/>
      <c r="G397" s="29"/>
      <c r="H397" s="29"/>
      <c r="I397" s="27"/>
      <c r="J397" s="29"/>
      <c r="K397" s="29"/>
      <c r="L397" s="117" t="str">
        <f>IF( Tarakonesh[تراکنش]="", "",IF( Tarakonesh[تراکنش]="انتقال",L396,IF(Tarakonesh[تراکنش]="دریافت_درآمد",(Tarakonesh[[#This Row],[مبلغ (ریال)]]+IF(Tarakonesh[تراکنش]="انتقال",0,L396)),((IF(Tarakonesh[تراکنش]="انتقال",0,L396))-Tarakonesh[[#This Row],[مبلغ (ریال)]]))))</f>
        <v/>
      </c>
      <c r="M397" s="33"/>
      <c r="N397" s="33"/>
    </row>
    <row r="398" spans="1:14" x14ac:dyDescent="0.25">
      <c r="A398" s="28">
        <v>391</v>
      </c>
      <c r="B398" s="29"/>
      <c r="C398" s="33"/>
      <c r="D398" s="33"/>
      <c r="E398" s="41"/>
      <c r="F398" s="29"/>
      <c r="G398" s="29"/>
      <c r="H398" s="29"/>
      <c r="I398" s="27"/>
      <c r="J398" s="29"/>
      <c r="K398" s="29"/>
      <c r="L398" s="117" t="str">
        <f>IF( Tarakonesh[تراکنش]="", "",IF( Tarakonesh[تراکنش]="انتقال",L397,IF(Tarakonesh[تراکنش]="دریافت_درآمد",(Tarakonesh[[#This Row],[مبلغ (ریال)]]+IF(Tarakonesh[تراکنش]="انتقال",0,L397)),((IF(Tarakonesh[تراکنش]="انتقال",0,L397))-Tarakonesh[[#This Row],[مبلغ (ریال)]]))))</f>
        <v/>
      </c>
      <c r="M398" s="33"/>
      <c r="N398" s="33"/>
    </row>
    <row r="399" spans="1:14" x14ac:dyDescent="0.25">
      <c r="A399" s="28">
        <v>392</v>
      </c>
      <c r="B399" s="29"/>
      <c r="C399" s="33"/>
      <c r="D399" s="33"/>
      <c r="E399" s="41"/>
      <c r="F399" s="29"/>
      <c r="G399" s="29"/>
      <c r="H399" s="29"/>
      <c r="I399" s="27"/>
      <c r="J399" s="29"/>
      <c r="K399" s="29"/>
      <c r="L399" s="117" t="str">
        <f>IF( Tarakonesh[تراکنش]="", "",IF( Tarakonesh[تراکنش]="انتقال",L398,IF(Tarakonesh[تراکنش]="دریافت_درآمد",(Tarakonesh[[#This Row],[مبلغ (ریال)]]+IF(Tarakonesh[تراکنش]="انتقال",0,L398)),((IF(Tarakonesh[تراکنش]="انتقال",0,L398))-Tarakonesh[[#This Row],[مبلغ (ریال)]]))))</f>
        <v/>
      </c>
      <c r="M399" s="33"/>
      <c r="N399" s="33"/>
    </row>
    <row r="400" spans="1:14" x14ac:dyDescent="0.25">
      <c r="A400" s="28">
        <v>393</v>
      </c>
      <c r="B400" s="29"/>
      <c r="C400" s="33"/>
      <c r="D400" s="33"/>
      <c r="E400" s="41"/>
      <c r="F400" s="29"/>
      <c r="G400" s="29"/>
      <c r="H400" s="29"/>
      <c r="I400" s="27"/>
      <c r="J400" s="29"/>
      <c r="K400" s="29"/>
      <c r="L400" s="117" t="str">
        <f>IF( Tarakonesh[تراکنش]="", "",IF( Tarakonesh[تراکنش]="انتقال",L399,IF(Tarakonesh[تراکنش]="دریافت_درآمد",(Tarakonesh[[#This Row],[مبلغ (ریال)]]+IF(Tarakonesh[تراکنش]="انتقال",0,L399)),((IF(Tarakonesh[تراکنش]="انتقال",0,L399))-Tarakonesh[[#This Row],[مبلغ (ریال)]]))))</f>
        <v/>
      </c>
      <c r="M400" s="33"/>
      <c r="N400" s="33"/>
    </row>
    <row r="401" spans="1:14" x14ac:dyDescent="0.25">
      <c r="A401" s="28">
        <v>394</v>
      </c>
      <c r="B401" s="29"/>
      <c r="C401" s="33"/>
      <c r="D401" s="33"/>
      <c r="E401" s="41"/>
      <c r="F401" s="29"/>
      <c r="G401" s="29"/>
      <c r="H401" s="29"/>
      <c r="I401" s="27"/>
      <c r="J401" s="29"/>
      <c r="K401" s="29"/>
      <c r="L401" s="117" t="str">
        <f>IF( Tarakonesh[تراکنش]="", "",IF( Tarakonesh[تراکنش]="انتقال",L400,IF(Tarakonesh[تراکنش]="دریافت_درآمد",(Tarakonesh[[#This Row],[مبلغ (ریال)]]+IF(Tarakonesh[تراکنش]="انتقال",0,L400)),((IF(Tarakonesh[تراکنش]="انتقال",0,L400))-Tarakonesh[[#This Row],[مبلغ (ریال)]]))))</f>
        <v/>
      </c>
      <c r="M401" s="33"/>
      <c r="N401" s="33"/>
    </row>
    <row r="402" spans="1:14" x14ac:dyDescent="0.25">
      <c r="A402" s="28">
        <v>395</v>
      </c>
      <c r="B402" s="29"/>
      <c r="C402" s="33"/>
      <c r="D402" s="33"/>
      <c r="E402" s="41"/>
      <c r="F402" s="29"/>
      <c r="G402" s="29"/>
      <c r="H402" s="29"/>
      <c r="I402" s="27"/>
      <c r="J402" s="29"/>
      <c r="K402" s="29"/>
      <c r="L402" s="117" t="str">
        <f>IF( Tarakonesh[تراکنش]="", "",IF( Tarakonesh[تراکنش]="انتقال",L401,IF(Tarakonesh[تراکنش]="دریافت_درآمد",(Tarakonesh[[#This Row],[مبلغ (ریال)]]+IF(Tarakonesh[تراکنش]="انتقال",0,L401)),((IF(Tarakonesh[تراکنش]="انتقال",0,L401))-Tarakonesh[[#This Row],[مبلغ (ریال)]]))))</f>
        <v/>
      </c>
      <c r="M402" s="33"/>
      <c r="N402" s="33"/>
    </row>
    <row r="403" spans="1:14" x14ac:dyDescent="0.25">
      <c r="A403" s="28">
        <v>396</v>
      </c>
      <c r="B403" s="29"/>
      <c r="C403" s="33"/>
      <c r="D403" s="33"/>
      <c r="E403" s="41"/>
      <c r="F403" s="29"/>
      <c r="G403" s="29"/>
      <c r="H403" s="29"/>
      <c r="I403" s="27"/>
      <c r="J403" s="29"/>
      <c r="K403" s="29"/>
      <c r="L403" s="117" t="str">
        <f>IF( Tarakonesh[تراکنش]="", "",IF( Tarakonesh[تراکنش]="انتقال",L402,IF(Tarakonesh[تراکنش]="دریافت_درآمد",(Tarakonesh[[#This Row],[مبلغ (ریال)]]+IF(Tarakonesh[تراکنش]="انتقال",0,L402)),((IF(Tarakonesh[تراکنش]="انتقال",0,L402))-Tarakonesh[[#This Row],[مبلغ (ریال)]]))))</f>
        <v/>
      </c>
      <c r="M403" s="33"/>
      <c r="N403" s="33"/>
    </row>
    <row r="404" spans="1:14" x14ac:dyDescent="0.25">
      <c r="A404" s="28">
        <v>397</v>
      </c>
      <c r="B404" s="29"/>
      <c r="C404" s="33"/>
      <c r="D404" s="33"/>
      <c r="E404" s="41"/>
      <c r="F404" s="29"/>
      <c r="G404" s="29"/>
      <c r="H404" s="29"/>
      <c r="I404" s="27"/>
      <c r="J404" s="29"/>
      <c r="K404" s="29"/>
      <c r="L404" s="117" t="str">
        <f>IF( Tarakonesh[تراکنش]="", "",IF( Tarakonesh[تراکنش]="انتقال",L403,IF(Tarakonesh[تراکنش]="دریافت_درآمد",(Tarakonesh[[#This Row],[مبلغ (ریال)]]+IF(Tarakonesh[تراکنش]="انتقال",0,L403)),((IF(Tarakonesh[تراکنش]="انتقال",0,L403))-Tarakonesh[[#This Row],[مبلغ (ریال)]]))))</f>
        <v/>
      </c>
      <c r="M404" s="33"/>
      <c r="N404" s="33"/>
    </row>
    <row r="405" spans="1:14" x14ac:dyDescent="0.25">
      <c r="A405" s="28">
        <v>398</v>
      </c>
      <c r="B405" s="29"/>
      <c r="C405" s="33"/>
      <c r="D405" s="33"/>
      <c r="E405" s="41"/>
      <c r="F405" s="29"/>
      <c r="G405" s="29"/>
      <c r="H405" s="29"/>
      <c r="I405" s="27"/>
      <c r="J405" s="29"/>
      <c r="K405" s="29"/>
      <c r="L405" s="117" t="str">
        <f>IF( Tarakonesh[تراکنش]="", "",IF( Tarakonesh[تراکنش]="انتقال",L404,IF(Tarakonesh[تراکنش]="دریافت_درآمد",(Tarakonesh[[#This Row],[مبلغ (ریال)]]+IF(Tarakonesh[تراکنش]="انتقال",0,L404)),((IF(Tarakonesh[تراکنش]="انتقال",0,L404))-Tarakonesh[[#This Row],[مبلغ (ریال)]]))))</f>
        <v/>
      </c>
      <c r="M405" s="33"/>
      <c r="N405" s="33"/>
    </row>
    <row r="406" spans="1:14" x14ac:dyDescent="0.25">
      <c r="A406" s="28">
        <v>399</v>
      </c>
      <c r="B406" s="29"/>
      <c r="C406" s="33"/>
      <c r="D406" s="33"/>
      <c r="E406" s="41"/>
      <c r="F406" s="29"/>
      <c r="G406" s="29"/>
      <c r="H406" s="29"/>
      <c r="I406" s="27"/>
      <c r="J406" s="29"/>
      <c r="K406" s="29"/>
      <c r="L406" s="117" t="str">
        <f>IF( Tarakonesh[تراکنش]="", "",IF( Tarakonesh[تراکنش]="انتقال",L405,IF(Tarakonesh[تراکنش]="دریافت_درآمد",(Tarakonesh[[#This Row],[مبلغ (ریال)]]+IF(Tarakonesh[تراکنش]="انتقال",0,L405)),((IF(Tarakonesh[تراکنش]="انتقال",0,L405))-Tarakonesh[[#This Row],[مبلغ (ریال)]]))))</f>
        <v/>
      </c>
      <c r="M406" s="33"/>
      <c r="N406" s="33"/>
    </row>
    <row r="407" spans="1:14" x14ac:dyDescent="0.25">
      <c r="A407" s="28">
        <v>400</v>
      </c>
      <c r="B407" s="29"/>
      <c r="C407" s="33"/>
      <c r="D407" s="33"/>
      <c r="E407" s="41"/>
      <c r="F407" s="29"/>
      <c r="G407" s="29"/>
      <c r="H407" s="29"/>
      <c r="I407" s="27"/>
      <c r="J407" s="29"/>
      <c r="K407" s="29"/>
      <c r="L407" s="117" t="str">
        <f>IF( Tarakonesh[تراکنش]="", "",IF( Tarakonesh[تراکنش]="انتقال",L406,IF(Tarakonesh[تراکنش]="دریافت_درآمد",(Tarakonesh[[#This Row],[مبلغ (ریال)]]+IF(Tarakonesh[تراکنش]="انتقال",0,L406)),((IF(Tarakonesh[تراکنش]="انتقال",0,L406))-Tarakonesh[[#This Row],[مبلغ (ریال)]]))))</f>
        <v/>
      </c>
      <c r="M407" s="33"/>
      <c r="N407" s="33"/>
    </row>
    <row r="408" spans="1:14" x14ac:dyDescent="0.25">
      <c r="A408" s="28">
        <v>401</v>
      </c>
      <c r="B408" s="29"/>
      <c r="C408" s="33"/>
      <c r="D408" s="33"/>
      <c r="E408" s="41"/>
      <c r="F408" s="29"/>
      <c r="G408" s="29"/>
      <c r="H408" s="29"/>
      <c r="I408" s="27"/>
      <c r="J408" s="29"/>
      <c r="K408" s="29"/>
      <c r="L408" s="117" t="str">
        <f>IF( Tarakonesh[تراکنش]="", "",IF( Tarakonesh[تراکنش]="انتقال",L407,IF(Tarakonesh[تراکنش]="دریافت_درآمد",(Tarakonesh[[#This Row],[مبلغ (ریال)]]+IF(Tarakonesh[تراکنش]="انتقال",0,L407)),((IF(Tarakonesh[تراکنش]="انتقال",0,L407))-Tarakonesh[[#This Row],[مبلغ (ریال)]]))))</f>
        <v/>
      </c>
      <c r="M408" s="33"/>
      <c r="N408" s="33"/>
    </row>
    <row r="409" spans="1:14" x14ac:dyDescent="0.25">
      <c r="A409" s="28">
        <v>402</v>
      </c>
      <c r="B409" s="29"/>
      <c r="C409" s="33"/>
      <c r="D409" s="33"/>
      <c r="E409" s="41"/>
      <c r="F409" s="29"/>
      <c r="G409" s="29"/>
      <c r="H409" s="29"/>
      <c r="I409" s="27"/>
      <c r="J409" s="29"/>
      <c r="K409" s="29"/>
      <c r="L409" s="117" t="str">
        <f>IF( Tarakonesh[تراکنش]="", "",IF( Tarakonesh[تراکنش]="انتقال",L408,IF(Tarakonesh[تراکنش]="دریافت_درآمد",(Tarakonesh[[#This Row],[مبلغ (ریال)]]+IF(Tarakonesh[تراکنش]="انتقال",0,L408)),((IF(Tarakonesh[تراکنش]="انتقال",0,L408))-Tarakonesh[[#This Row],[مبلغ (ریال)]]))))</f>
        <v/>
      </c>
      <c r="M409" s="33"/>
      <c r="N409" s="33"/>
    </row>
    <row r="410" spans="1:14" x14ac:dyDescent="0.25">
      <c r="A410" s="28">
        <v>403</v>
      </c>
      <c r="B410" s="29"/>
      <c r="C410" s="33"/>
      <c r="D410" s="33"/>
      <c r="E410" s="41"/>
      <c r="F410" s="29"/>
      <c r="G410" s="29"/>
      <c r="H410" s="29"/>
      <c r="I410" s="27"/>
      <c r="J410" s="29"/>
      <c r="K410" s="29"/>
      <c r="L410" s="117" t="str">
        <f>IF( Tarakonesh[تراکنش]="", "",IF( Tarakonesh[تراکنش]="انتقال",L409,IF(Tarakonesh[تراکنش]="دریافت_درآمد",(Tarakonesh[[#This Row],[مبلغ (ریال)]]+IF(Tarakonesh[تراکنش]="انتقال",0,L409)),((IF(Tarakonesh[تراکنش]="انتقال",0,L409))-Tarakonesh[[#This Row],[مبلغ (ریال)]]))))</f>
        <v/>
      </c>
      <c r="M410" s="33"/>
      <c r="N410" s="33"/>
    </row>
    <row r="411" spans="1:14" x14ac:dyDescent="0.25">
      <c r="A411" s="28">
        <v>404</v>
      </c>
      <c r="B411" s="29"/>
      <c r="C411" s="33"/>
      <c r="D411" s="33"/>
      <c r="E411" s="41"/>
      <c r="F411" s="29"/>
      <c r="G411" s="29"/>
      <c r="H411" s="29"/>
      <c r="I411" s="27"/>
      <c r="J411" s="29"/>
      <c r="K411" s="29"/>
      <c r="L411" s="117" t="str">
        <f>IF( Tarakonesh[تراکنش]="", "",IF( Tarakonesh[تراکنش]="انتقال",L410,IF(Tarakonesh[تراکنش]="دریافت_درآمد",(Tarakonesh[[#This Row],[مبلغ (ریال)]]+IF(Tarakonesh[تراکنش]="انتقال",0,L410)),((IF(Tarakonesh[تراکنش]="انتقال",0,L410))-Tarakonesh[[#This Row],[مبلغ (ریال)]]))))</f>
        <v/>
      </c>
      <c r="M411" s="33"/>
      <c r="N411" s="33"/>
    </row>
    <row r="412" spans="1:14" x14ac:dyDescent="0.25">
      <c r="A412" s="28">
        <v>405</v>
      </c>
      <c r="B412" s="29"/>
      <c r="C412" s="33"/>
      <c r="D412" s="33"/>
      <c r="E412" s="41"/>
      <c r="F412" s="29"/>
      <c r="G412" s="29"/>
      <c r="H412" s="29"/>
      <c r="I412" s="27"/>
      <c r="J412" s="29"/>
      <c r="K412" s="29"/>
      <c r="L412" s="117" t="str">
        <f>IF( Tarakonesh[تراکنش]="", "",IF( Tarakonesh[تراکنش]="انتقال",L411,IF(Tarakonesh[تراکنش]="دریافت_درآمد",(Tarakonesh[[#This Row],[مبلغ (ریال)]]+IF(Tarakonesh[تراکنش]="انتقال",0,L411)),((IF(Tarakonesh[تراکنش]="انتقال",0,L411))-Tarakonesh[[#This Row],[مبلغ (ریال)]]))))</f>
        <v/>
      </c>
      <c r="M412" s="33"/>
      <c r="N412" s="33"/>
    </row>
    <row r="413" spans="1:14" x14ac:dyDescent="0.25">
      <c r="A413" s="28">
        <v>406</v>
      </c>
      <c r="B413" s="29"/>
      <c r="C413" s="33"/>
      <c r="D413" s="33"/>
      <c r="E413" s="41"/>
      <c r="F413" s="29"/>
      <c r="G413" s="29"/>
      <c r="H413" s="29"/>
      <c r="I413" s="27"/>
      <c r="J413" s="29"/>
      <c r="K413" s="29"/>
      <c r="L413" s="117" t="str">
        <f>IF( Tarakonesh[تراکنش]="", "",IF( Tarakonesh[تراکنش]="انتقال",L412,IF(Tarakonesh[تراکنش]="دریافت_درآمد",(Tarakonesh[[#This Row],[مبلغ (ریال)]]+IF(Tarakonesh[تراکنش]="انتقال",0,L412)),((IF(Tarakonesh[تراکنش]="انتقال",0,L412))-Tarakonesh[[#This Row],[مبلغ (ریال)]]))))</f>
        <v/>
      </c>
      <c r="M413" s="33"/>
      <c r="N413" s="33"/>
    </row>
    <row r="414" spans="1:14" x14ac:dyDescent="0.25">
      <c r="A414" s="28">
        <v>407</v>
      </c>
      <c r="B414" s="29"/>
      <c r="C414" s="33"/>
      <c r="D414" s="33"/>
      <c r="E414" s="41"/>
      <c r="F414" s="29"/>
      <c r="G414" s="29"/>
      <c r="H414" s="29"/>
      <c r="I414" s="27"/>
      <c r="J414" s="29"/>
      <c r="K414" s="29"/>
      <c r="L414" s="117" t="str">
        <f>IF( Tarakonesh[تراکنش]="", "",IF( Tarakonesh[تراکنش]="انتقال",L413,IF(Tarakonesh[تراکنش]="دریافت_درآمد",(Tarakonesh[[#This Row],[مبلغ (ریال)]]+IF(Tarakonesh[تراکنش]="انتقال",0,L413)),((IF(Tarakonesh[تراکنش]="انتقال",0,L413))-Tarakonesh[[#This Row],[مبلغ (ریال)]]))))</f>
        <v/>
      </c>
      <c r="M414" s="33"/>
      <c r="N414" s="33"/>
    </row>
    <row r="415" spans="1:14" x14ac:dyDescent="0.25">
      <c r="A415" s="28">
        <v>408</v>
      </c>
      <c r="B415" s="29"/>
      <c r="C415" s="33"/>
      <c r="D415" s="33"/>
      <c r="E415" s="41"/>
      <c r="F415" s="29"/>
      <c r="G415" s="29"/>
      <c r="H415" s="29"/>
      <c r="I415" s="27"/>
      <c r="J415" s="29"/>
      <c r="K415" s="29"/>
      <c r="L415" s="117" t="str">
        <f>IF( Tarakonesh[تراکنش]="", "",IF( Tarakonesh[تراکنش]="انتقال",L414,IF(Tarakonesh[تراکنش]="دریافت_درآمد",(Tarakonesh[[#This Row],[مبلغ (ریال)]]+IF(Tarakonesh[تراکنش]="انتقال",0,L414)),((IF(Tarakonesh[تراکنش]="انتقال",0,L414))-Tarakonesh[[#This Row],[مبلغ (ریال)]]))))</f>
        <v/>
      </c>
      <c r="M415" s="33"/>
      <c r="N415" s="33"/>
    </row>
    <row r="416" spans="1:14" x14ac:dyDescent="0.25">
      <c r="A416" s="28">
        <v>409</v>
      </c>
      <c r="B416" s="29"/>
      <c r="C416" s="33"/>
      <c r="D416" s="33"/>
      <c r="E416" s="41"/>
      <c r="F416" s="29"/>
      <c r="G416" s="29"/>
      <c r="H416" s="29"/>
      <c r="I416" s="27"/>
      <c r="J416" s="29"/>
      <c r="K416" s="29"/>
      <c r="L416" s="117" t="str">
        <f>IF( Tarakonesh[تراکنش]="", "",IF( Tarakonesh[تراکنش]="انتقال",L415,IF(Tarakonesh[تراکنش]="دریافت_درآمد",(Tarakonesh[[#This Row],[مبلغ (ریال)]]+IF(Tarakonesh[تراکنش]="انتقال",0,L415)),((IF(Tarakonesh[تراکنش]="انتقال",0,L415))-Tarakonesh[[#This Row],[مبلغ (ریال)]]))))</f>
        <v/>
      </c>
      <c r="M416" s="33"/>
      <c r="N416" s="33"/>
    </row>
    <row r="417" spans="1:14" x14ac:dyDescent="0.25">
      <c r="A417" s="28">
        <v>410</v>
      </c>
      <c r="B417" s="29"/>
      <c r="C417" s="33"/>
      <c r="D417" s="33"/>
      <c r="E417" s="41"/>
      <c r="F417" s="29"/>
      <c r="G417" s="29"/>
      <c r="H417" s="29"/>
      <c r="I417" s="27"/>
      <c r="J417" s="29"/>
      <c r="K417" s="29"/>
      <c r="L417" s="117" t="str">
        <f>IF( Tarakonesh[تراکنش]="", "",IF( Tarakonesh[تراکنش]="انتقال",L416,IF(Tarakonesh[تراکنش]="دریافت_درآمد",(Tarakonesh[[#This Row],[مبلغ (ریال)]]+IF(Tarakonesh[تراکنش]="انتقال",0,L416)),((IF(Tarakonesh[تراکنش]="انتقال",0,L416))-Tarakonesh[[#This Row],[مبلغ (ریال)]]))))</f>
        <v/>
      </c>
      <c r="M417" s="33"/>
      <c r="N417" s="33"/>
    </row>
    <row r="418" spans="1:14" x14ac:dyDescent="0.25">
      <c r="A418" s="28">
        <v>411</v>
      </c>
      <c r="B418" s="29"/>
      <c r="C418" s="33"/>
      <c r="D418" s="33"/>
      <c r="E418" s="41"/>
      <c r="F418" s="29"/>
      <c r="G418" s="29"/>
      <c r="H418" s="29"/>
      <c r="I418" s="27"/>
      <c r="J418" s="29"/>
      <c r="K418" s="29"/>
      <c r="L418" s="117" t="str">
        <f>IF( Tarakonesh[تراکنش]="", "",IF( Tarakonesh[تراکنش]="انتقال",L417,IF(Tarakonesh[تراکنش]="دریافت_درآمد",(Tarakonesh[[#This Row],[مبلغ (ریال)]]+IF(Tarakonesh[تراکنش]="انتقال",0,L417)),((IF(Tarakonesh[تراکنش]="انتقال",0,L417))-Tarakonesh[[#This Row],[مبلغ (ریال)]]))))</f>
        <v/>
      </c>
      <c r="M418" s="33"/>
      <c r="N418" s="33"/>
    </row>
    <row r="419" spans="1:14" x14ac:dyDescent="0.25">
      <c r="A419" s="28">
        <v>412</v>
      </c>
      <c r="B419" s="29"/>
      <c r="C419" s="33"/>
      <c r="D419" s="33"/>
      <c r="E419" s="41"/>
      <c r="F419" s="29"/>
      <c r="G419" s="29"/>
      <c r="H419" s="29"/>
      <c r="I419" s="27"/>
      <c r="J419" s="29"/>
      <c r="K419" s="29"/>
      <c r="L419" s="117" t="str">
        <f>IF( Tarakonesh[تراکنش]="", "",IF( Tarakonesh[تراکنش]="انتقال",L418,IF(Tarakonesh[تراکنش]="دریافت_درآمد",(Tarakonesh[[#This Row],[مبلغ (ریال)]]+IF(Tarakonesh[تراکنش]="انتقال",0,L418)),((IF(Tarakonesh[تراکنش]="انتقال",0,L418))-Tarakonesh[[#This Row],[مبلغ (ریال)]]))))</f>
        <v/>
      </c>
      <c r="M419" s="33"/>
      <c r="N419" s="33"/>
    </row>
    <row r="420" spans="1:14" x14ac:dyDescent="0.25">
      <c r="A420" s="28">
        <v>413</v>
      </c>
      <c r="B420" s="29"/>
      <c r="C420" s="33"/>
      <c r="D420" s="33"/>
      <c r="E420" s="41"/>
      <c r="F420" s="29"/>
      <c r="G420" s="29"/>
      <c r="H420" s="29"/>
      <c r="I420" s="27"/>
      <c r="J420" s="29"/>
      <c r="K420" s="29"/>
      <c r="L420" s="117" t="str">
        <f>IF( Tarakonesh[تراکنش]="", "",IF( Tarakonesh[تراکنش]="انتقال",L419,IF(Tarakonesh[تراکنش]="دریافت_درآمد",(Tarakonesh[[#This Row],[مبلغ (ریال)]]+IF(Tarakonesh[تراکنش]="انتقال",0,L419)),((IF(Tarakonesh[تراکنش]="انتقال",0,L419))-Tarakonesh[[#This Row],[مبلغ (ریال)]]))))</f>
        <v/>
      </c>
      <c r="M420" s="33"/>
      <c r="N420" s="33"/>
    </row>
    <row r="421" spans="1:14" x14ac:dyDescent="0.25">
      <c r="A421" s="28">
        <v>414</v>
      </c>
      <c r="B421" s="29"/>
      <c r="C421" s="33"/>
      <c r="D421" s="33"/>
      <c r="E421" s="41"/>
      <c r="F421" s="29"/>
      <c r="G421" s="29"/>
      <c r="H421" s="29"/>
      <c r="I421" s="27"/>
      <c r="J421" s="29"/>
      <c r="K421" s="29"/>
      <c r="L421" s="117" t="str">
        <f>IF( Tarakonesh[تراکنش]="", "",IF( Tarakonesh[تراکنش]="انتقال",L420,IF(Tarakonesh[تراکنش]="دریافت_درآمد",(Tarakonesh[[#This Row],[مبلغ (ریال)]]+IF(Tarakonesh[تراکنش]="انتقال",0,L420)),((IF(Tarakonesh[تراکنش]="انتقال",0,L420))-Tarakonesh[[#This Row],[مبلغ (ریال)]]))))</f>
        <v/>
      </c>
      <c r="M421" s="33"/>
      <c r="N421" s="33"/>
    </row>
    <row r="422" spans="1:14" x14ac:dyDescent="0.25">
      <c r="A422" s="28">
        <v>415</v>
      </c>
      <c r="B422" s="29"/>
      <c r="C422" s="33"/>
      <c r="D422" s="33"/>
      <c r="E422" s="41"/>
      <c r="F422" s="29"/>
      <c r="G422" s="29"/>
      <c r="H422" s="29"/>
      <c r="I422" s="27"/>
      <c r="J422" s="29"/>
      <c r="K422" s="29"/>
      <c r="L422" s="117" t="str">
        <f>IF( Tarakonesh[تراکنش]="", "",IF( Tarakonesh[تراکنش]="انتقال",L421,IF(Tarakonesh[تراکنش]="دریافت_درآمد",(Tarakonesh[[#This Row],[مبلغ (ریال)]]+IF(Tarakonesh[تراکنش]="انتقال",0,L421)),((IF(Tarakonesh[تراکنش]="انتقال",0,L421))-Tarakonesh[[#This Row],[مبلغ (ریال)]]))))</f>
        <v/>
      </c>
      <c r="M422" s="33"/>
      <c r="N422" s="33"/>
    </row>
    <row r="423" spans="1:14" x14ac:dyDescent="0.25">
      <c r="A423" s="28">
        <v>416</v>
      </c>
      <c r="B423" s="29"/>
      <c r="C423" s="33"/>
      <c r="D423" s="33"/>
      <c r="E423" s="41"/>
      <c r="F423" s="29"/>
      <c r="G423" s="29"/>
      <c r="H423" s="29"/>
      <c r="I423" s="27"/>
      <c r="J423" s="29"/>
      <c r="K423" s="29"/>
      <c r="L423" s="117" t="str">
        <f>IF( Tarakonesh[تراکنش]="", "",IF( Tarakonesh[تراکنش]="انتقال",L422,IF(Tarakonesh[تراکنش]="دریافت_درآمد",(Tarakonesh[[#This Row],[مبلغ (ریال)]]+IF(Tarakonesh[تراکنش]="انتقال",0,L422)),((IF(Tarakonesh[تراکنش]="انتقال",0,L422))-Tarakonesh[[#This Row],[مبلغ (ریال)]]))))</f>
        <v/>
      </c>
      <c r="M423" s="33"/>
      <c r="N423" s="33"/>
    </row>
    <row r="424" spans="1:14" x14ac:dyDescent="0.25">
      <c r="A424" s="28">
        <v>417</v>
      </c>
      <c r="B424" s="29"/>
      <c r="C424" s="33"/>
      <c r="D424" s="33"/>
      <c r="E424" s="41"/>
      <c r="F424" s="29"/>
      <c r="G424" s="29"/>
      <c r="H424" s="29"/>
      <c r="I424" s="27"/>
      <c r="J424" s="29"/>
      <c r="K424" s="29"/>
      <c r="L424" s="117" t="str">
        <f>IF( Tarakonesh[تراکنش]="", "",IF( Tarakonesh[تراکنش]="انتقال",L423,IF(Tarakonesh[تراکنش]="دریافت_درآمد",(Tarakonesh[[#This Row],[مبلغ (ریال)]]+IF(Tarakonesh[تراکنش]="انتقال",0,L423)),((IF(Tarakonesh[تراکنش]="انتقال",0,L423))-Tarakonesh[[#This Row],[مبلغ (ریال)]]))))</f>
        <v/>
      </c>
      <c r="M424" s="33"/>
      <c r="N424" s="33"/>
    </row>
    <row r="425" spans="1:14" x14ac:dyDescent="0.25">
      <c r="A425" s="28">
        <v>418</v>
      </c>
      <c r="B425" s="29"/>
      <c r="C425" s="33"/>
      <c r="D425" s="33"/>
      <c r="E425" s="41"/>
      <c r="F425" s="29"/>
      <c r="G425" s="29"/>
      <c r="H425" s="29"/>
      <c r="I425" s="27"/>
      <c r="J425" s="29"/>
      <c r="K425" s="29"/>
      <c r="L425" s="117" t="str">
        <f>IF( Tarakonesh[تراکنش]="", "",IF( Tarakonesh[تراکنش]="انتقال",L424,IF(Tarakonesh[تراکنش]="دریافت_درآمد",(Tarakonesh[[#This Row],[مبلغ (ریال)]]+IF(Tarakonesh[تراکنش]="انتقال",0,L424)),((IF(Tarakonesh[تراکنش]="انتقال",0,L424))-Tarakonesh[[#This Row],[مبلغ (ریال)]]))))</f>
        <v/>
      </c>
      <c r="M425" s="33"/>
      <c r="N425" s="33"/>
    </row>
    <row r="426" spans="1:14" x14ac:dyDescent="0.25">
      <c r="A426" s="28">
        <v>419</v>
      </c>
      <c r="B426" s="29"/>
      <c r="C426" s="33"/>
      <c r="D426" s="33"/>
      <c r="E426" s="41"/>
      <c r="F426" s="29"/>
      <c r="G426" s="29"/>
      <c r="H426" s="29"/>
      <c r="I426" s="27"/>
      <c r="J426" s="29"/>
      <c r="K426" s="29"/>
      <c r="L426" s="117" t="str">
        <f>IF( Tarakonesh[تراکنش]="", "",IF( Tarakonesh[تراکنش]="انتقال",L425,IF(Tarakonesh[تراکنش]="دریافت_درآمد",(Tarakonesh[[#This Row],[مبلغ (ریال)]]+IF(Tarakonesh[تراکنش]="انتقال",0,L425)),((IF(Tarakonesh[تراکنش]="انتقال",0,L425))-Tarakonesh[[#This Row],[مبلغ (ریال)]]))))</f>
        <v/>
      </c>
      <c r="M426" s="33"/>
      <c r="N426" s="33"/>
    </row>
    <row r="427" spans="1:14" x14ac:dyDescent="0.25">
      <c r="A427" s="28">
        <v>420</v>
      </c>
      <c r="B427" s="29"/>
      <c r="C427" s="33"/>
      <c r="D427" s="33"/>
      <c r="E427" s="41"/>
      <c r="F427" s="29"/>
      <c r="G427" s="29"/>
      <c r="H427" s="29"/>
      <c r="I427" s="27"/>
      <c r="J427" s="29"/>
      <c r="K427" s="29"/>
      <c r="L427" s="117" t="str">
        <f>IF( Tarakonesh[تراکنش]="", "",IF( Tarakonesh[تراکنش]="انتقال",L426,IF(Tarakonesh[تراکنش]="دریافت_درآمد",(Tarakonesh[[#This Row],[مبلغ (ریال)]]+IF(Tarakonesh[تراکنش]="انتقال",0,L426)),((IF(Tarakonesh[تراکنش]="انتقال",0,L426))-Tarakonesh[[#This Row],[مبلغ (ریال)]]))))</f>
        <v/>
      </c>
      <c r="M427" s="33"/>
      <c r="N427" s="33"/>
    </row>
    <row r="428" spans="1:14" x14ac:dyDescent="0.25">
      <c r="A428" s="28">
        <v>421</v>
      </c>
      <c r="B428" s="29"/>
      <c r="C428" s="33"/>
      <c r="D428" s="33"/>
      <c r="E428" s="41"/>
      <c r="F428" s="29"/>
      <c r="G428" s="29"/>
      <c r="H428" s="29"/>
      <c r="I428" s="27"/>
      <c r="J428" s="29"/>
      <c r="K428" s="29"/>
      <c r="L428" s="117" t="str">
        <f>IF( Tarakonesh[تراکنش]="", "",IF( Tarakonesh[تراکنش]="انتقال",L427,IF(Tarakonesh[تراکنش]="دریافت_درآمد",(Tarakonesh[[#This Row],[مبلغ (ریال)]]+IF(Tarakonesh[تراکنش]="انتقال",0,L427)),((IF(Tarakonesh[تراکنش]="انتقال",0,L427))-Tarakonesh[[#This Row],[مبلغ (ریال)]]))))</f>
        <v/>
      </c>
      <c r="M428" s="33"/>
      <c r="N428" s="33"/>
    </row>
    <row r="429" spans="1:14" x14ac:dyDescent="0.25">
      <c r="A429" s="28">
        <v>422</v>
      </c>
      <c r="B429" s="29"/>
      <c r="C429" s="33"/>
      <c r="D429" s="33"/>
      <c r="E429" s="41"/>
      <c r="F429" s="29"/>
      <c r="G429" s="29"/>
      <c r="H429" s="29"/>
      <c r="I429" s="27"/>
      <c r="J429" s="29"/>
      <c r="K429" s="29"/>
      <c r="L429" s="117" t="str">
        <f>IF( Tarakonesh[تراکنش]="", "",IF( Tarakonesh[تراکنش]="انتقال",L428,IF(Tarakonesh[تراکنش]="دریافت_درآمد",(Tarakonesh[[#This Row],[مبلغ (ریال)]]+IF(Tarakonesh[تراکنش]="انتقال",0,L428)),((IF(Tarakonesh[تراکنش]="انتقال",0,L428))-Tarakonesh[[#This Row],[مبلغ (ریال)]]))))</f>
        <v/>
      </c>
      <c r="M429" s="33"/>
      <c r="N429" s="33"/>
    </row>
    <row r="430" spans="1:14" x14ac:dyDescent="0.25">
      <c r="A430" s="28">
        <v>423</v>
      </c>
      <c r="B430" s="29"/>
      <c r="C430" s="33"/>
      <c r="D430" s="33"/>
      <c r="E430" s="41"/>
      <c r="F430" s="29"/>
      <c r="G430" s="29"/>
      <c r="H430" s="29"/>
      <c r="I430" s="27"/>
      <c r="J430" s="29"/>
      <c r="K430" s="29"/>
      <c r="L430" s="117" t="str">
        <f>IF( Tarakonesh[تراکنش]="", "",IF( Tarakonesh[تراکنش]="انتقال",L429,IF(Tarakonesh[تراکنش]="دریافت_درآمد",(Tarakonesh[[#This Row],[مبلغ (ریال)]]+IF(Tarakonesh[تراکنش]="انتقال",0,L429)),((IF(Tarakonesh[تراکنش]="انتقال",0,L429))-Tarakonesh[[#This Row],[مبلغ (ریال)]]))))</f>
        <v/>
      </c>
      <c r="M430" s="33"/>
      <c r="N430" s="33"/>
    </row>
    <row r="431" spans="1:14" x14ac:dyDescent="0.25">
      <c r="A431" s="28">
        <v>424</v>
      </c>
      <c r="B431" s="29"/>
      <c r="C431" s="33"/>
      <c r="D431" s="33"/>
      <c r="E431" s="41"/>
      <c r="F431" s="29"/>
      <c r="G431" s="29"/>
      <c r="H431" s="29"/>
      <c r="I431" s="27"/>
      <c r="J431" s="29"/>
      <c r="K431" s="29"/>
      <c r="L431" s="117" t="str">
        <f>IF( Tarakonesh[تراکنش]="", "",IF( Tarakonesh[تراکنش]="انتقال",L430,IF(Tarakonesh[تراکنش]="دریافت_درآمد",(Tarakonesh[[#This Row],[مبلغ (ریال)]]+IF(Tarakonesh[تراکنش]="انتقال",0,L430)),((IF(Tarakonesh[تراکنش]="انتقال",0,L430))-Tarakonesh[[#This Row],[مبلغ (ریال)]]))))</f>
        <v/>
      </c>
      <c r="M431" s="33"/>
      <c r="N431" s="33"/>
    </row>
    <row r="432" spans="1:14" x14ac:dyDescent="0.25">
      <c r="A432" s="28">
        <v>425</v>
      </c>
      <c r="B432" s="29"/>
      <c r="C432" s="33"/>
      <c r="D432" s="33"/>
      <c r="E432" s="41"/>
      <c r="F432" s="29"/>
      <c r="G432" s="29"/>
      <c r="H432" s="29"/>
      <c r="I432" s="27"/>
      <c r="J432" s="29"/>
      <c r="K432" s="29"/>
      <c r="L432" s="117" t="str">
        <f>IF( Tarakonesh[تراکنش]="", "",IF( Tarakonesh[تراکنش]="انتقال",L431,IF(Tarakonesh[تراکنش]="دریافت_درآمد",(Tarakonesh[[#This Row],[مبلغ (ریال)]]+IF(Tarakonesh[تراکنش]="انتقال",0,L431)),((IF(Tarakonesh[تراکنش]="انتقال",0,L431))-Tarakonesh[[#This Row],[مبلغ (ریال)]]))))</f>
        <v/>
      </c>
      <c r="M432" s="33"/>
      <c r="N432" s="33"/>
    </row>
    <row r="433" spans="1:14" x14ac:dyDescent="0.25">
      <c r="A433" s="28">
        <v>426</v>
      </c>
      <c r="B433" s="29"/>
      <c r="C433" s="33"/>
      <c r="D433" s="33"/>
      <c r="E433" s="41"/>
      <c r="F433" s="29"/>
      <c r="G433" s="29"/>
      <c r="H433" s="29"/>
      <c r="I433" s="27"/>
      <c r="J433" s="29"/>
      <c r="K433" s="29"/>
      <c r="L433" s="117" t="str">
        <f>IF( Tarakonesh[تراکنش]="", "",IF( Tarakonesh[تراکنش]="انتقال",L432,IF(Tarakonesh[تراکنش]="دریافت_درآمد",(Tarakonesh[[#This Row],[مبلغ (ریال)]]+IF(Tarakonesh[تراکنش]="انتقال",0,L432)),((IF(Tarakonesh[تراکنش]="انتقال",0,L432))-Tarakonesh[[#This Row],[مبلغ (ریال)]]))))</f>
        <v/>
      </c>
      <c r="M433" s="33"/>
      <c r="N433" s="33"/>
    </row>
    <row r="434" spans="1:14" x14ac:dyDescent="0.25">
      <c r="A434" s="28">
        <v>427</v>
      </c>
      <c r="B434" s="29"/>
      <c r="C434" s="33"/>
      <c r="D434" s="33"/>
      <c r="E434" s="41"/>
      <c r="F434" s="29"/>
      <c r="G434" s="29"/>
      <c r="H434" s="29"/>
      <c r="I434" s="27"/>
      <c r="J434" s="29"/>
      <c r="K434" s="29"/>
      <c r="L434" s="117" t="str">
        <f>IF( Tarakonesh[تراکنش]="", "",IF( Tarakonesh[تراکنش]="انتقال",L433,IF(Tarakonesh[تراکنش]="دریافت_درآمد",(Tarakonesh[[#This Row],[مبلغ (ریال)]]+IF(Tarakonesh[تراکنش]="انتقال",0,L433)),((IF(Tarakonesh[تراکنش]="انتقال",0,L433))-Tarakonesh[[#This Row],[مبلغ (ریال)]]))))</f>
        <v/>
      </c>
      <c r="M434" s="33"/>
      <c r="N434" s="33"/>
    </row>
    <row r="435" spans="1:14" x14ac:dyDescent="0.25">
      <c r="A435" s="28">
        <v>428</v>
      </c>
      <c r="B435" s="29"/>
      <c r="C435" s="33"/>
      <c r="D435" s="33"/>
      <c r="E435" s="41"/>
      <c r="F435" s="29"/>
      <c r="G435" s="29"/>
      <c r="H435" s="29"/>
      <c r="I435" s="27"/>
      <c r="J435" s="29"/>
      <c r="K435" s="29"/>
      <c r="L435" s="117" t="str">
        <f>IF( Tarakonesh[تراکنش]="", "",IF( Tarakonesh[تراکنش]="انتقال",L434,IF(Tarakonesh[تراکنش]="دریافت_درآمد",(Tarakonesh[[#This Row],[مبلغ (ریال)]]+IF(Tarakonesh[تراکنش]="انتقال",0,L434)),((IF(Tarakonesh[تراکنش]="انتقال",0,L434))-Tarakonesh[[#This Row],[مبلغ (ریال)]]))))</f>
        <v/>
      </c>
      <c r="M435" s="33"/>
      <c r="N435" s="33"/>
    </row>
    <row r="436" spans="1:14" x14ac:dyDescent="0.25">
      <c r="A436" s="28">
        <v>429</v>
      </c>
      <c r="B436" s="29"/>
      <c r="C436" s="33"/>
      <c r="D436" s="33"/>
      <c r="E436" s="41"/>
      <c r="F436" s="29"/>
      <c r="G436" s="29"/>
      <c r="H436" s="29"/>
      <c r="I436" s="27"/>
      <c r="J436" s="29"/>
      <c r="K436" s="29"/>
      <c r="L436" s="117" t="str">
        <f>IF( Tarakonesh[تراکنش]="", "",IF( Tarakonesh[تراکنش]="انتقال",L435,IF(Tarakonesh[تراکنش]="دریافت_درآمد",(Tarakonesh[[#This Row],[مبلغ (ریال)]]+IF(Tarakonesh[تراکنش]="انتقال",0,L435)),((IF(Tarakonesh[تراکنش]="انتقال",0,L435))-Tarakonesh[[#This Row],[مبلغ (ریال)]]))))</f>
        <v/>
      </c>
      <c r="M436" s="33"/>
      <c r="N436" s="33"/>
    </row>
    <row r="437" spans="1:14" x14ac:dyDescent="0.25">
      <c r="A437" s="28">
        <v>430</v>
      </c>
      <c r="B437" s="29"/>
      <c r="C437" s="33"/>
      <c r="D437" s="33"/>
      <c r="E437" s="41"/>
      <c r="F437" s="29"/>
      <c r="G437" s="29"/>
      <c r="H437" s="29"/>
      <c r="I437" s="27"/>
      <c r="J437" s="29"/>
      <c r="K437" s="29"/>
      <c r="L437" s="117" t="str">
        <f>IF( Tarakonesh[تراکنش]="", "",IF( Tarakonesh[تراکنش]="انتقال",L436,IF(Tarakonesh[تراکنش]="دریافت_درآمد",(Tarakonesh[[#This Row],[مبلغ (ریال)]]+IF(Tarakonesh[تراکنش]="انتقال",0,L436)),((IF(Tarakonesh[تراکنش]="انتقال",0,L436))-Tarakonesh[[#This Row],[مبلغ (ریال)]]))))</f>
        <v/>
      </c>
      <c r="M437" s="33"/>
      <c r="N437" s="33"/>
    </row>
    <row r="438" spans="1:14" x14ac:dyDescent="0.25">
      <c r="A438" s="28">
        <v>431</v>
      </c>
      <c r="B438" s="29"/>
      <c r="C438" s="33"/>
      <c r="D438" s="33"/>
      <c r="E438" s="41"/>
      <c r="F438" s="29"/>
      <c r="G438" s="29"/>
      <c r="H438" s="29"/>
      <c r="I438" s="27"/>
      <c r="J438" s="29"/>
      <c r="K438" s="29"/>
      <c r="L438" s="117" t="str">
        <f>IF( Tarakonesh[تراکنش]="", "",IF( Tarakonesh[تراکنش]="انتقال",L437,IF(Tarakonesh[تراکنش]="دریافت_درآمد",(Tarakonesh[[#This Row],[مبلغ (ریال)]]+IF(Tarakonesh[تراکنش]="انتقال",0,L437)),((IF(Tarakonesh[تراکنش]="انتقال",0,L437))-Tarakonesh[[#This Row],[مبلغ (ریال)]]))))</f>
        <v/>
      </c>
      <c r="M438" s="33"/>
      <c r="N438" s="33"/>
    </row>
    <row r="439" spans="1:14" x14ac:dyDescent="0.25">
      <c r="A439" s="28">
        <v>432</v>
      </c>
      <c r="B439" s="29"/>
      <c r="C439" s="33"/>
      <c r="D439" s="33"/>
      <c r="E439" s="41"/>
      <c r="F439" s="29"/>
      <c r="G439" s="29"/>
      <c r="H439" s="29"/>
      <c r="I439" s="27"/>
      <c r="J439" s="29"/>
      <c r="K439" s="29"/>
      <c r="L439" s="117" t="str">
        <f>IF( Tarakonesh[تراکنش]="", "",IF( Tarakonesh[تراکنش]="انتقال",L438,IF(Tarakonesh[تراکنش]="دریافت_درآمد",(Tarakonesh[[#This Row],[مبلغ (ریال)]]+IF(Tarakonesh[تراکنش]="انتقال",0,L438)),((IF(Tarakonesh[تراکنش]="انتقال",0,L438))-Tarakonesh[[#This Row],[مبلغ (ریال)]]))))</f>
        <v/>
      </c>
      <c r="M439" s="33"/>
      <c r="N439" s="33"/>
    </row>
    <row r="440" spans="1:14" x14ac:dyDescent="0.25">
      <c r="A440" s="28">
        <v>433</v>
      </c>
      <c r="B440" s="29"/>
      <c r="C440" s="33"/>
      <c r="D440" s="33"/>
      <c r="E440" s="41"/>
      <c r="F440" s="29"/>
      <c r="G440" s="29"/>
      <c r="H440" s="29"/>
      <c r="I440" s="27"/>
      <c r="J440" s="29"/>
      <c r="K440" s="29"/>
      <c r="L440" s="117" t="str">
        <f>IF( Tarakonesh[تراکنش]="", "",IF( Tarakonesh[تراکنش]="انتقال",L439,IF(Tarakonesh[تراکنش]="دریافت_درآمد",(Tarakonesh[[#This Row],[مبلغ (ریال)]]+IF(Tarakonesh[تراکنش]="انتقال",0,L439)),((IF(Tarakonesh[تراکنش]="انتقال",0,L439))-Tarakonesh[[#This Row],[مبلغ (ریال)]]))))</f>
        <v/>
      </c>
      <c r="M440" s="33"/>
      <c r="N440" s="33"/>
    </row>
    <row r="441" spans="1:14" x14ac:dyDescent="0.25">
      <c r="A441" s="28">
        <v>434</v>
      </c>
      <c r="B441" s="29"/>
      <c r="C441" s="33"/>
      <c r="D441" s="33"/>
      <c r="E441" s="41"/>
      <c r="F441" s="29"/>
      <c r="G441" s="29"/>
      <c r="H441" s="29"/>
      <c r="I441" s="27"/>
      <c r="J441" s="29"/>
      <c r="K441" s="29"/>
      <c r="L441" s="117" t="str">
        <f>IF( Tarakonesh[تراکنش]="", "",IF( Tarakonesh[تراکنش]="انتقال",L440,IF(Tarakonesh[تراکنش]="دریافت_درآمد",(Tarakonesh[[#This Row],[مبلغ (ریال)]]+IF(Tarakonesh[تراکنش]="انتقال",0,L440)),((IF(Tarakonesh[تراکنش]="انتقال",0,L440))-Tarakonesh[[#This Row],[مبلغ (ریال)]]))))</f>
        <v/>
      </c>
      <c r="M441" s="33"/>
      <c r="N441" s="33"/>
    </row>
    <row r="442" spans="1:14" x14ac:dyDescent="0.25">
      <c r="A442" s="28">
        <v>435</v>
      </c>
      <c r="B442" s="29"/>
      <c r="C442" s="33"/>
      <c r="D442" s="33"/>
      <c r="E442" s="41"/>
      <c r="F442" s="29"/>
      <c r="G442" s="29"/>
      <c r="H442" s="29"/>
      <c r="I442" s="27"/>
      <c r="J442" s="29"/>
      <c r="K442" s="29"/>
      <c r="L442" s="117" t="str">
        <f>IF( Tarakonesh[تراکنش]="", "",IF( Tarakonesh[تراکنش]="انتقال",L441,IF(Tarakonesh[تراکنش]="دریافت_درآمد",(Tarakonesh[[#This Row],[مبلغ (ریال)]]+IF(Tarakonesh[تراکنش]="انتقال",0,L441)),((IF(Tarakonesh[تراکنش]="انتقال",0,L441))-Tarakonesh[[#This Row],[مبلغ (ریال)]]))))</f>
        <v/>
      </c>
      <c r="M442" s="33"/>
      <c r="N442" s="33"/>
    </row>
    <row r="443" spans="1:14" x14ac:dyDescent="0.25">
      <c r="A443" s="28">
        <v>436</v>
      </c>
      <c r="B443" s="29"/>
      <c r="C443" s="33"/>
      <c r="D443" s="33"/>
      <c r="E443" s="41"/>
      <c r="F443" s="29"/>
      <c r="G443" s="29"/>
      <c r="H443" s="29"/>
      <c r="I443" s="27"/>
      <c r="J443" s="29"/>
      <c r="K443" s="29"/>
      <c r="L443" s="117" t="str">
        <f>IF( Tarakonesh[تراکنش]="", "",IF( Tarakonesh[تراکنش]="انتقال",L442,IF(Tarakonesh[تراکنش]="دریافت_درآمد",(Tarakonesh[[#This Row],[مبلغ (ریال)]]+IF(Tarakonesh[تراکنش]="انتقال",0,L442)),((IF(Tarakonesh[تراکنش]="انتقال",0,L442))-Tarakonesh[[#This Row],[مبلغ (ریال)]]))))</f>
        <v/>
      </c>
      <c r="M443" s="33"/>
      <c r="N443" s="33"/>
    </row>
    <row r="444" spans="1:14" x14ac:dyDescent="0.25">
      <c r="A444" s="28">
        <v>437</v>
      </c>
      <c r="B444" s="29"/>
      <c r="C444" s="33"/>
      <c r="D444" s="33"/>
      <c r="E444" s="41"/>
      <c r="F444" s="29"/>
      <c r="G444" s="29"/>
      <c r="H444" s="29"/>
      <c r="I444" s="27"/>
      <c r="J444" s="29"/>
      <c r="K444" s="29"/>
      <c r="L444" s="117" t="str">
        <f>IF( Tarakonesh[تراکنش]="", "",IF( Tarakonesh[تراکنش]="انتقال",L443,IF(Tarakonesh[تراکنش]="دریافت_درآمد",(Tarakonesh[[#This Row],[مبلغ (ریال)]]+IF(Tarakonesh[تراکنش]="انتقال",0,L443)),((IF(Tarakonesh[تراکنش]="انتقال",0,L443))-Tarakonesh[[#This Row],[مبلغ (ریال)]]))))</f>
        <v/>
      </c>
      <c r="M444" s="33"/>
      <c r="N444" s="33"/>
    </row>
    <row r="445" spans="1:14" x14ac:dyDescent="0.25">
      <c r="A445" s="28">
        <v>438</v>
      </c>
      <c r="B445" s="29"/>
      <c r="C445" s="33"/>
      <c r="D445" s="33"/>
      <c r="E445" s="41"/>
      <c r="F445" s="29"/>
      <c r="G445" s="29"/>
      <c r="H445" s="29"/>
      <c r="I445" s="27"/>
      <c r="J445" s="29"/>
      <c r="K445" s="29"/>
      <c r="L445" s="117" t="str">
        <f>IF( Tarakonesh[تراکنش]="", "",IF( Tarakonesh[تراکنش]="انتقال",L444,IF(Tarakonesh[تراکنش]="دریافت_درآمد",(Tarakonesh[[#This Row],[مبلغ (ریال)]]+IF(Tarakonesh[تراکنش]="انتقال",0,L444)),((IF(Tarakonesh[تراکنش]="انتقال",0,L444))-Tarakonesh[[#This Row],[مبلغ (ریال)]]))))</f>
        <v/>
      </c>
      <c r="M445" s="33"/>
      <c r="N445" s="33"/>
    </row>
    <row r="446" spans="1:14" x14ac:dyDescent="0.25">
      <c r="A446" s="28">
        <v>439</v>
      </c>
      <c r="B446" s="29"/>
      <c r="C446" s="33"/>
      <c r="D446" s="33"/>
      <c r="E446" s="41"/>
      <c r="F446" s="29"/>
      <c r="G446" s="29"/>
      <c r="H446" s="29"/>
      <c r="I446" s="27"/>
      <c r="J446" s="29"/>
      <c r="K446" s="29"/>
      <c r="L446" s="117" t="str">
        <f>IF( Tarakonesh[تراکنش]="", "",IF( Tarakonesh[تراکنش]="انتقال",L445,IF(Tarakonesh[تراکنش]="دریافت_درآمد",(Tarakonesh[[#This Row],[مبلغ (ریال)]]+IF(Tarakonesh[تراکنش]="انتقال",0,L445)),((IF(Tarakonesh[تراکنش]="انتقال",0,L445))-Tarakonesh[[#This Row],[مبلغ (ریال)]]))))</f>
        <v/>
      </c>
      <c r="M446" s="33"/>
      <c r="N446" s="33"/>
    </row>
    <row r="447" spans="1:14" x14ac:dyDescent="0.25">
      <c r="A447" s="28">
        <v>440</v>
      </c>
      <c r="B447" s="29"/>
      <c r="C447" s="33"/>
      <c r="D447" s="33"/>
      <c r="E447" s="41"/>
      <c r="F447" s="29"/>
      <c r="G447" s="29"/>
      <c r="H447" s="29"/>
      <c r="I447" s="27"/>
      <c r="J447" s="29"/>
      <c r="K447" s="29"/>
      <c r="L447" s="117" t="str">
        <f>IF( Tarakonesh[تراکنش]="", "",IF( Tarakonesh[تراکنش]="انتقال",L446,IF(Tarakonesh[تراکنش]="دریافت_درآمد",(Tarakonesh[[#This Row],[مبلغ (ریال)]]+IF(Tarakonesh[تراکنش]="انتقال",0,L446)),((IF(Tarakonesh[تراکنش]="انتقال",0,L446))-Tarakonesh[[#This Row],[مبلغ (ریال)]]))))</f>
        <v/>
      </c>
      <c r="M447" s="33"/>
      <c r="N447" s="33"/>
    </row>
    <row r="448" spans="1:14" x14ac:dyDescent="0.25">
      <c r="A448" s="28">
        <v>441</v>
      </c>
      <c r="B448" s="29"/>
      <c r="C448" s="33"/>
      <c r="D448" s="33"/>
      <c r="E448" s="41"/>
      <c r="F448" s="29"/>
      <c r="G448" s="29"/>
      <c r="H448" s="29"/>
      <c r="I448" s="27"/>
      <c r="J448" s="29"/>
      <c r="K448" s="29"/>
      <c r="L448" s="117" t="str">
        <f>IF( Tarakonesh[تراکنش]="", "",IF( Tarakonesh[تراکنش]="انتقال",L447,IF(Tarakonesh[تراکنش]="دریافت_درآمد",(Tarakonesh[[#This Row],[مبلغ (ریال)]]+IF(Tarakonesh[تراکنش]="انتقال",0,L447)),((IF(Tarakonesh[تراکنش]="انتقال",0,L447))-Tarakonesh[[#This Row],[مبلغ (ریال)]]))))</f>
        <v/>
      </c>
      <c r="M448" s="33"/>
      <c r="N448" s="33"/>
    </row>
    <row r="449" spans="1:14" x14ac:dyDescent="0.25">
      <c r="A449" s="28">
        <v>442</v>
      </c>
      <c r="B449" s="29"/>
      <c r="C449" s="33"/>
      <c r="D449" s="33"/>
      <c r="E449" s="41"/>
      <c r="F449" s="29"/>
      <c r="G449" s="29"/>
      <c r="H449" s="29"/>
      <c r="I449" s="27"/>
      <c r="J449" s="29"/>
      <c r="K449" s="29"/>
      <c r="L449" s="117" t="str">
        <f>IF( Tarakonesh[تراکنش]="", "",IF( Tarakonesh[تراکنش]="انتقال",L448,IF(Tarakonesh[تراکنش]="دریافت_درآمد",(Tarakonesh[[#This Row],[مبلغ (ریال)]]+IF(Tarakonesh[تراکنش]="انتقال",0,L448)),((IF(Tarakonesh[تراکنش]="انتقال",0,L448))-Tarakonesh[[#This Row],[مبلغ (ریال)]]))))</f>
        <v/>
      </c>
      <c r="M449" s="33"/>
      <c r="N449" s="33"/>
    </row>
    <row r="450" spans="1:14" x14ac:dyDescent="0.25">
      <c r="A450" s="28">
        <v>443</v>
      </c>
      <c r="B450" s="29"/>
      <c r="C450" s="33"/>
      <c r="D450" s="33"/>
      <c r="E450" s="41"/>
      <c r="F450" s="29"/>
      <c r="G450" s="29"/>
      <c r="H450" s="29"/>
      <c r="I450" s="27"/>
      <c r="J450" s="29"/>
      <c r="K450" s="29"/>
      <c r="L450" s="117" t="str">
        <f>IF( Tarakonesh[تراکنش]="", "",IF( Tarakonesh[تراکنش]="انتقال",L449,IF(Tarakonesh[تراکنش]="دریافت_درآمد",(Tarakonesh[[#This Row],[مبلغ (ریال)]]+IF(Tarakonesh[تراکنش]="انتقال",0,L449)),((IF(Tarakonesh[تراکنش]="انتقال",0,L449))-Tarakonesh[[#This Row],[مبلغ (ریال)]]))))</f>
        <v/>
      </c>
      <c r="M450" s="33"/>
      <c r="N450" s="33"/>
    </row>
    <row r="451" spans="1:14" x14ac:dyDescent="0.25">
      <c r="A451" s="28">
        <v>444</v>
      </c>
      <c r="B451" s="29"/>
      <c r="C451" s="33"/>
      <c r="D451" s="33"/>
      <c r="E451" s="41"/>
      <c r="F451" s="29"/>
      <c r="G451" s="29"/>
      <c r="H451" s="29"/>
      <c r="I451" s="27"/>
      <c r="J451" s="29"/>
      <c r="K451" s="29"/>
      <c r="L451" s="117" t="str">
        <f>IF( Tarakonesh[تراکنش]="", "",IF( Tarakonesh[تراکنش]="انتقال",L450,IF(Tarakonesh[تراکنش]="دریافت_درآمد",(Tarakonesh[[#This Row],[مبلغ (ریال)]]+IF(Tarakonesh[تراکنش]="انتقال",0,L450)),((IF(Tarakonesh[تراکنش]="انتقال",0,L450))-Tarakonesh[[#This Row],[مبلغ (ریال)]]))))</f>
        <v/>
      </c>
      <c r="M451" s="33"/>
      <c r="N451" s="33"/>
    </row>
    <row r="452" spans="1:14" x14ac:dyDescent="0.25">
      <c r="A452" s="28">
        <v>445</v>
      </c>
      <c r="B452" s="29"/>
      <c r="C452" s="33"/>
      <c r="D452" s="33"/>
      <c r="E452" s="41"/>
      <c r="F452" s="29"/>
      <c r="G452" s="29"/>
      <c r="H452" s="29"/>
      <c r="I452" s="27"/>
      <c r="J452" s="29"/>
      <c r="K452" s="29"/>
      <c r="L452" s="117" t="str">
        <f>IF( Tarakonesh[تراکنش]="", "",IF( Tarakonesh[تراکنش]="انتقال",L451,IF(Tarakonesh[تراکنش]="دریافت_درآمد",(Tarakonesh[[#This Row],[مبلغ (ریال)]]+IF(Tarakonesh[تراکنش]="انتقال",0,L451)),((IF(Tarakonesh[تراکنش]="انتقال",0,L451))-Tarakonesh[[#This Row],[مبلغ (ریال)]]))))</f>
        <v/>
      </c>
      <c r="M452" s="33"/>
      <c r="N452" s="33"/>
    </row>
    <row r="453" spans="1:14" x14ac:dyDescent="0.25">
      <c r="A453" s="28">
        <v>446</v>
      </c>
      <c r="B453" s="29"/>
      <c r="C453" s="33"/>
      <c r="D453" s="33"/>
      <c r="E453" s="41"/>
      <c r="F453" s="29"/>
      <c r="G453" s="29"/>
      <c r="H453" s="29"/>
      <c r="I453" s="27"/>
      <c r="J453" s="29"/>
      <c r="K453" s="29"/>
      <c r="L453" s="117" t="str">
        <f>IF( Tarakonesh[تراکنش]="", "",IF( Tarakonesh[تراکنش]="انتقال",L452,IF(Tarakonesh[تراکنش]="دریافت_درآمد",(Tarakonesh[[#This Row],[مبلغ (ریال)]]+IF(Tarakonesh[تراکنش]="انتقال",0,L452)),((IF(Tarakonesh[تراکنش]="انتقال",0,L452))-Tarakonesh[[#This Row],[مبلغ (ریال)]]))))</f>
        <v/>
      </c>
      <c r="M453" s="33"/>
      <c r="N453" s="33"/>
    </row>
    <row r="454" spans="1:14" x14ac:dyDescent="0.25">
      <c r="A454" s="28">
        <v>447</v>
      </c>
      <c r="B454" s="29"/>
      <c r="C454" s="33"/>
      <c r="D454" s="33"/>
      <c r="E454" s="41"/>
      <c r="F454" s="29"/>
      <c r="G454" s="29"/>
      <c r="H454" s="29"/>
      <c r="I454" s="27"/>
      <c r="J454" s="29"/>
      <c r="K454" s="29"/>
      <c r="L454" s="117" t="str">
        <f>IF( Tarakonesh[تراکنش]="", "",IF( Tarakonesh[تراکنش]="انتقال",L453,IF(Tarakonesh[تراکنش]="دریافت_درآمد",(Tarakonesh[[#This Row],[مبلغ (ریال)]]+IF(Tarakonesh[تراکنش]="انتقال",0,L453)),((IF(Tarakonesh[تراکنش]="انتقال",0,L453))-Tarakonesh[[#This Row],[مبلغ (ریال)]]))))</f>
        <v/>
      </c>
      <c r="M454" s="33"/>
      <c r="N454" s="33"/>
    </row>
    <row r="455" spans="1:14" x14ac:dyDescent="0.25">
      <c r="A455" s="28">
        <v>448</v>
      </c>
      <c r="B455" s="29"/>
      <c r="C455" s="33"/>
      <c r="D455" s="33"/>
      <c r="E455" s="41"/>
      <c r="F455" s="29"/>
      <c r="G455" s="29"/>
      <c r="H455" s="29"/>
      <c r="I455" s="27"/>
      <c r="J455" s="29"/>
      <c r="K455" s="29"/>
      <c r="L455" s="117" t="str">
        <f>IF( Tarakonesh[تراکنش]="", "",IF( Tarakonesh[تراکنش]="انتقال",L454,IF(Tarakonesh[تراکنش]="دریافت_درآمد",(Tarakonesh[[#This Row],[مبلغ (ریال)]]+IF(Tarakonesh[تراکنش]="انتقال",0,L454)),((IF(Tarakonesh[تراکنش]="انتقال",0,L454))-Tarakonesh[[#This Row],[مبلغ (ریال)]]))))</f>
        <v/>
      </c>
      <c r="M455" s="33"/>
      <c r="N455" s="33"/>
    </row>
    <row r="456" spans="1:14" x14ac:dyDescent="0.25">
      <c r="A456" s="28">
        <v>449</v>
      </c>
      <c r="B456" s="29"/>
      <c r="C456" s="33"/>
      <c r="D456" s="33"/>
      <c r="E456" s="41"/>
      <c r="F456" s="29"/>
      <c r="G456" s="29"/>
      <c r="H456" s="29"/>
      <c r="I456" s="27"/>
      <c r="J456" s="29"/>
      <c r="K456" s="29"/>
      <c r="L456" s="117" t="str">
        <f>IF( Tarakonesh[تراکنش]="", "",IF( Tarakonesh[تراکنش]="انتقال",L455,IF(Tarakonesh[تراکنش]="دریافت_درآمد",(Tarakonesh[[#This Row],[مبلغ (ریال)]]+IF(Tarakonesh[تراکنش]="انتقال",0,L455)),((IF(Tarakonesh[تراکنش]="انتقال",0,L455))-Tarakonesh[[#This Row],[مبلغ (ریال)]]))))</f>
        <v/>
      </c>
      <c r="M456" s="33"/>
      <c r="N456" s="33"/>
    </row>
    <row r="457" spans="1:14" x14ac:dyDescent="0.25">
      <c r="A457" s="28">
        <v>450</v>
      </c>
      <c r="B457" s="29"/>
      <c r="C457" s="33"/>
      <c r="D457" s="33"/>
      <c r="E457" s="41"/>
      <c r="F457" s="29"/>
      <c r="G457" s="29"/>
      <c r="H457" s="29"/>
      <c r="I457" s="27"/>
      <c r="J457" s="29"/>
      <c r="K457" s="29"/>
      <c r="L457" s="117" t="str">
        <f>IF( Tarakonesh[تراکنش]="", "",IF( Tarakonesh[تراکنش]="انتقال",L456,IF(Tarakonesh[تراکنش]="دریافت_درآمد",(Tarakonesh[[#This Row],[مبلغ (ریال)]]+IF(Tarakonesh[تراکنش]="انتقال",0,L456)),((IF(Tarakonesh[تراکنش]="انتقال",0,L456))-Tarakonesh[[#This Row],[مبلغ (ریال)]]))))</f>
        <v/>
      </c>
      <c r="M457" s="33"/>
      <c r="N457" s="33"/>
    </row>
    <row r="458" spans="1:14" x14ac:dyDescent="0.25">
      <c r="A458" s="28">
        <v>451</v>
      </c>
      <c r="B458" s="29"/>
      <c r="C458" s="33"/>
      <c r="D458" s="33"/>
      <c r="E458" s="41"/>
      <c r="F458" s="29"/>
      <c r="G458" s="29"/>
      <c r="H458" s="29"/>
      <c r="I458" s="27"/>
      <c r="J458" s="29"/>
      <c r="K458" s="29"/>
      <c r="L458" s="117" t="str">
        <f>IF( Tarakonesh[تراکنش]="", "",IF( Tarakonesh[تراکنش]="انتقال",L457,IF(Tarakonesh[تراکنش]="دریافت_درآمد",(Tarakonesh[[#This Row],[مبلغ (ریال)]]+IF(Tarakonesh[تراکنش]="انتقال",0,L457)),((IF(Tarakonesh[تراکنش]="انتقال",0,L457))-Tarakonesh[[#This Row],[مبلغ (ریال)]]))))</f>
        <v/>
      </c>
      <c r="M458" s="33"/>
      <c r="N458" s="33"/>
    </row>
    <row r="459" spans="1:14" x14ac:dyDescent="0.25">
      <c r="A459" s="28">
        <v>452</v>
      </c>
      <c r="B459" s="29"/>
      <c r="C459" s="33"/>
      <c r="D459" s="33"/>
      <c r="E459" s="41"/>
      <c r="F459" s="29"/>
      <c r="G459" s="29"/>
      <c r="H459" s="29"/>
      <c r="I459" s="27"/>
      <c r="J459" s="29"/>
      <c r="K459" s="29"/>
      <c r="L459" s="117" t="str">
        <f>IF( Tarakonesh[تراکنش]="", "",IF( Tarakonesh[تراکنش]="انتقال",L458,IF(Tarakonesh[تراکنش]="دریافت_درآمد",(Tarakonesh[[#This Row],[مبلغ (ریال)]]+IF(Tarakonesh[تراکنش]="انتقال",0,L458)),((IF(Tarakonesh[تراکنش]="انتقال",0,L458))-Tarakonesh[[#This Row],[مبلغ (ریال)]]))))</f>
        <v/>
      </c>
      <c r="M459" s="33"/>
      <c r="N459" s="33"/>
    </row>
    <row r="460" spans="1:14" x14ac:dyDescent="0.25">
      <c r="A460" s="28">
        <v>453</v>
      </c>
      <c r="B460" s="29"/>
      <c r="C460" s="33"/>
      <c r="D460" s="33"/>
      <c r="E460" s="41"/>
      <c r="F460" s="29"/>
      <c r="G460" s="29"/>
      <c r="H460" s="29"/>
      <c r="I460" s="27"/>
      <c r="J460" s="29"/>
      <c r="K460" s="29"/>
      <c r="L460" s="117" t="str">
        <f>IF( Tarakonesh[تراکنش]="", "",IF( Tarakonesh[تراکنش]="انتقال",L459,IF(Tarakonesh[تراکنش]="دریافت_درآمد",(Tarakonesh[[#This Row],[مبلغ (ریال)]]+IF(Tarakonesh[تراکنش]="انتقال",0,L459)),((IF(Tarakonesh[تراکنش]="انتقال",0,L459))-Tarakonesh[[#This Row],[مبلغ (ریال)]]))))</f>
        <v/>
      </c>
      <c r="M460" s="33"/>
      <c r="N460" s="33"/>
    </row>
    <row r="461" spans="1:14" x14ac:dyDescent="0.25">
      <c r="A461" s="28">
        <v>454</v>
      </c>
      <c r="B461" s="29"/>
      <c r="C461" s="33"/>
      <c r="D461" s="33"/>
      <c r="E461" s="41"/>
      <c r="F461" s="29"/>
      <c r="G461" s="29"/>
      <c r="H461" s="29"/>
      <c r="I461" s="27"/>
      <c r="J461" s="29"/>
      <c r="K461" s="29"/>
      <c r="L461" s="117" t="str">
        <f>IF( Tarakonesh[تراکنش]="", "",IF( Tarakonesh[تراکنش]="انتقال",L460,IF(Tarakonesh[تراکنش]="دریافت_درآمد",(Tarakonesh[[#This Row],[مبلغ (ریال)]]+IF(Tarakonesh[تراکنش]="انتقال",0,L460)),((IF(Tarakonesh[تراکنش]="انتقال",0,L460))-Tarakonesh[[#This Row],[مبلغ (ریال)]]))))</f>
        <v/>
      </c>
      <c r="M461" s="33"/>
      <c r="N461" s="33"/>
    </row>
    <row r="462" spans="1:14" x14ac:dyDescent="0.25">
      <c r="A462" s="28">
        <v>455</v>
      </c>
      <c r="B462" s="29"/>
      <c r="C462" s="33"/>
      <c r="D462" s="33"/>
      <c r="E462" s="41"/>
      <c r="F462" s="29"/>
      <c r="G462" s="29"/>
      <c r="H462" s="29"/>
      <c r="I462" s="27"/>
      <c r="J462" s="29"/>
      <c r="K462" s="29"/>
      <c r="L462" s="117" t="str">
        <f>IF( Tarakonesh[تراکنش]="", "",IF( Tarakonesh[تراکنش]="انتقال",L461,IF(Tarakonesh[تراکنش]="دریافت_درآمد",(Tarakonesh[[#This Row],[مبلغ (ریال)]]+IF(Tarakonesh[تراکنش]="انتقال",0,L461)),((IF(Tarakonesh[تراکنش]="انتقال",0,L461))-Tarakonesh[[#This Row],[مبلغ (ریال)]]))))</f>
        <v/>
      </c>
      <c r="M462" s="33"/>
      <c r="N462" s="33"/>
    </row>
    <row r="463" spans="1:14" x14ac:dyDescent="0.25">
      <c r="A463" s="28">
        <v>456</v>
      </c>
      <c r="B463" s="29"/>
      <c r="C463" s="33"/>
      <c r="D463" s="33"/>
      <c r="E463" s="41"/>
      <c r="F463" s="29"/>
      <c r="G463" s="29"/>
      <c r="H463" s="29"/>
      <c r="I463" s="27"/>
      <c r="J463" s="29"/>
      <c r="K463" s="29"/>
      <c r="L463" s="117" t="str">
        <f>IF( Tarakonesh[تراکنش]="", "",IF( Tarakonesh[تراکنش]="انتقال",L462,IF(Tarakonesh[تراکنش]="دریافت_درآمد",(Tarakonesh[[#This Row],[مبلغ (ریال)]]+IF(Tarakonesh[تراکنش]="انتقال",0,L462)),((IF(Tarakonesh[تراکنش]="انتقال",0,L462))-Tarakonesh[[#This Row],[مبلغ (ریال)]]))))</f>
        <v/>
      </c>
      <c r="M463" s="33"/>
      <c r="N463" s="33"/>
    </row>
    <row r="464" spans="1:14" x14ac:dyDescent="0.25">
      <c r="A464" s="28">
        <v>457</v>
      </c>
      <c r="B464" s="29"/>
      <c r="C464" s="33"/>
      <c r="D464" s="33"/>
      <c r="E464" s="41"/>
      <c r="F464" s="29"/>
      <c r="G464" s="29"/>
      <c r="H464" s="29"/>
      <c r="I464" s="27"/>
      <c r="J464" s="29"/>
      <c r="K464" s="29"/>
      <c r="L464" s="117" t="str">
        <f>IF( Tarakonesh[تراکنش]="", "",IF( Tarakonesh[تراکنش]="انتقال",L463,IF(Tarakonesh[تراکنش]="دریافت_درآمد",(Tarakonesh[[#This Row],[مبلغ (ریال)]]+IF(Tarakonesh[تراکنش]="انتقال",0,L463)),((IF(Tarakonesh[تراکنش]="انتقال",0,L463))-Tarakonesh[[#This Row],[مبلغ (ریال)]]))))</f>
        <v/>
      </c>
      <c r="M464" s="33"/>
      <c r="N464" s="33"/>
    </row>
    <row r="465" spans="1:14" x14ac:dyDescent="0.25">
      <c r="A465" s="28">
        <v>458</v>
      </c>
      <c r="B465" s="29"/>
      <c r="C465" s="33"/>
      <c r="D465" s="33"/>
      <c r="E465" s="41"/>
      <c r="F465" s="29"/>
      <c r="G465" s="29"/>
      <c r="H465" s="29"/>
      <c r="I465" s="27"/>
      <c r="J465" s="29"/>
      <c r="K465" s="29"/>
      <c r="L465" s="117" t="str">
        <f>IF( Tarakonesh[تراکنش]="", "",IF( Tarakonesh[تراکنش]="انتقال",L464,IF(Tarakonesh[تراکنش]="دریافت_درآمد",(Tarakonesh[[#This Row],[مبلغ (ریال)]]+IF(Tarakonesh[تراکنش]="انتقال",0,L464)),((IF(Tarakonesh[تراکنش]="انتقال",0,L464))-Tarakonesh[[#This Row],[مبلغ (ریال)]]))))</f>
        <v/>
      </c>
      <c r="M465" s="33"/>
      <c r="N465" s="33"/>
    </row>
    <row r="466" spans="1:14" x14ac:dyDescent="0.25">
      <c r="A466" s="28">
        <v>459</v>
      </c>
      <c r="B466" s="29"/>
      <c r="C466" s="33"/>
      <c r="D466" s="33"/>
      <c r="E466" s="41"/>
      <c r="F466" s="29"/>
      <c r="G466" s="29"/>
      <c r="H466" s="29"/>
      <c r="I466" s="27"/>
      <c r="J466" s="29"/>
      <c r="K466" s="29"/>
      <c r="L466" s="117" t="str">
        <f>IF( Tarakonesh[تراکنش]="", "",IF( Tarakonesh[تراکنش]="انتقال",L465,IF(Tarakonesh[تراکنش]="دریافت_درآمد",(Tarakonesh[[#This Row],[مبلغ (ریال)]]+IF(Tarakonesh[تراکنش]="انتقال",0,L465)),((IF(Tarakonesh[تراکنش]="انتقال",0,L465))-Tarakonesh[[#This Row],[مبلغ (ریال)]]))))</f>
        <v/>
      </c>
      <c r="M466" s="33"/>
      <c r="N466" s="33"/>
    </row>
    <row r="467" spans="1:14" x14ac:dyDescent="0.25">
      <c r="A467" s="28">
        <v>460</v>
      </c>
      <c r="B467" s="29"/>
      <c r="C467" s="33"/>
      <c r="D467" s="33"/>
      <c r="E467" s="41"/>
      <c r="F467" s="29"/>
      <c r="G467" s="29"/>
      <c r="H467" s="29"/>
      <c r="I467" s="27"/>
      <c r="J467" s="29"/>
      <c r="K467" s="29"/>
      <c r="L467" s="117" t="str">
        <f>IF( Tarakonesh[تراکنش]="", "",IF( Tarakonesh[تراکنش]="انتقال",L466,IF(Tarakonesh[تراکنش]="دریافت_درآمد",(Tarakonesh[[#This Row],[مبلغ (ریال)]]+IF(Tarakonesh[تراکنش]="انتقال",0,L466)),((IF(Tarakonesh[تراکنش]="انتقال",0,L466))-Tarakonesh[[#This Row],[مبلغ (ریال)]]))))</f>
        <v/>
      </c>
      <c r="M467" s="33"/>
      <c r="N467" s="33"/>
    </row>
    <row r="468" spans="1:14" x14ac:dyDescent="0.25">
      <c r="A468" s="28">
        <v>461</v>
      </c>
      <c r="B468" s="29"/>
      <c r="C468" s="33"/>
      <c r="D468" s="33"/>
      <c r="E468" s="41"/>
      <c r="F468" s="29"/>
      <c r="G468" s="29"/>
      <c r="H468" s="29"/>
      <c r="I468" s="27"/>
      <c r="J468" s="29"/>
      <c r="K468" s="29"/>
      <c r="L468" s="117" t="str">
        <f>IF( Tarakonesh[تراکنش]="", "",IF( Tarakonesh[تراکنش]="انتقال",L467,IF(Tarakonesh[تراکنش]="دریافت_درآمد",(Tarakonesh[[#This Row],[مبلغ (ریال)]]+IF(Tarakonesh[تراکنش]="انتقال",0,L467)),((IF(Tarakonesh[تراکنش]="انتقال",0,L467))-Tarakonesh[[#This Row],[مبلغ (ریال)]]))))</f>
        <v/>
      </c>
      <c r="M468" s="33"/>
      <c r="N468" s="33"/>
    </row>
    <row r="469" spans="1:14" x14ac:dyDescent="0.25">
      <c r="A469" s="28">
        <v>462</v>
      </c>
      <c r="B469" s="29"/>
      <c r="C469" s="33"/>
      <c r="D469" s="33"/>
      <c r="E469" s="41"/>
      <c r="F469" s="29"/>
      <c r="G469" s="29"/>
      <c r="H469" s="29"/>
      <c r="I469" s="27"/>
      <c r="J469" s="29"/>
      <c r="K469" s="29"/>
      <c r="L469" s="117" t="str">
        <f>IF( Tarakonesh[تراکنش]="", "",IF( Tarakonesh[تراکنش]="انتقال",L468,IF(Tarakonesh[تراکنش]="دریافت_درآمد",(Tarakonesh[[#This Row],[مبلغ (ریال)]]+IF(Tarakonesh[تراکنش]="انتقال",0,L468)),((IF(Tarakonesh[تراکنش]="انتقال",0,L468))-Tarakonesh[[#This Row],[مبلغ (ریال)]]))))</f>
        <v/>
      </c>
      <c r="M469" s="33"/>
      <c r="N469" s="33"/>
    </row>
    <row r="470" spans="1:14" x14ac:dyDescent="0.25">
      <c r="A470" s="28">
        <v>463</v>
      </c>
      <c r="B470" s="29"/>
      <c r="C470" s="33"/>
      <c r="D470" s="33"/>
      <c r="E470" s="41"/>
      <c r="F470" s="29"/>
      <c r="G470" s="29"/>
      <c r="H470" s="29"/>
      <c r="I470" s="27"/>
      <c r="J470" s="29"/>
      <c r="K470" s="29"/>
      <c r="L470" s="117" t="str">
        <f>IF( Tarakonesh[تراکنش]="", "",IF( Tarakonesh[تراکنش]="انتقال",L469,IF(Tarakonesh[تراکنش]="دریافت_درآمد",(Tarakonesh[[#This Row],[مبلغ (ریال)]]+IF(Tarakonesh[تراکنش]="انتقال",0,L469)),((IF(Tarakonesh[تراکنش]="انتقال",0,L469))-Tarakonesh[[#This Row],[مبلغ (ریال)]]))))</f>
        <v/>
      </c>
      <c r="M470" s="33"/>
      <c r="N470" s="33"/>
    </row>
    <row r="471" spans="1:14" x14ac:dyDescent="0.25">
      <c r="A471" s="28">
        <v>464</v>
      </c>
      <c r="B471" s="29"/>
      <c r="C471" s="33"/>
      <c r="D471" s="33"/>
      <c r="E471" s="41"/>
      <c r="F471" s="29"/>
      <c r="G471" s="29"/>
      <c r="H471" s="29"/>
      <c r="I471" s="27"/>
      <c r="J471" s="29"/>
      <c r="K471" s="29"/>
      <c r="L471" s="117" t="str">
        <f>IF( Tarakonesh[تراکنش]="", "",IF( Tarakonesh[تراکنش]="انتقال",L470,IF(Tarakonesh[تراکنش]="دریافت_درآمد",(Tarakonesh[[#This Row],[مبلغ (ریال)]]+IF(Tarakonesh[تراکنش]="انتقال",0,L470)),((IF(Tarakonesh[تراکنش]="انتقال",0,L470))-Tarakonesh[[#This Row],[مبلغ (ریال)]]))))</f>
        <v/>
      </c>
      <c r="M471" s="33"/>
      <c r="N471" s="33"/>
    </row>
    <row r="472" spans="1:14" x14ac:dyDescent="0.25">
      <c r="A472" s="28">
        <v>465</v>
      </c>
      <c r="B472" s="29"/>
      <c r="C472" s="33"/>
      <c r="D472" s="33"/>
      <c r="E472" s="41"/>
      <c r="F472" s="29"/>
      <c r="G472" s="29"/>
      <c r="H472" s="29"/>
      <c r="I472" s="27"/>
      <c r="J472" s="29"/>
      <c r="K472" s="29"/>
      <c r="L472" s="117" t="str">
        <f>IF( Tarakonesh[تراکنش]="", "",IF( Tarakonesh[تراکنش]="انتقال",L471,IF(Tarakonesh[تراکنش]="دریافت_درآمد",(Tarakonesh[[#This Row],[مبلغ (ریال)]]+IF(Tarakonesh[تراکنش]="انتقال",0,L471)),((IF(Tarakonesh[تراکنش]="انتقال",0,L471))-Tarakonesh[[#This Row],[مبلغ (ریال)]]))))</f>
        <v/>
      </c>
      <c r="M472" s="33"/>
      <c r="N472" s="33"/>
    </row>
    <row r="473" spans="1:14" x14ac:dyDescent="0.25">
      <c r="A473" s="28">
        <v>466</v>
      </c>
      <c r="B473" s="29"/>
      <c r="C473" s="33"/>
      <c r="D473" s="33"/>
      <c r="E473" s="41"/>
      <c r="F473" s="29"/>
      <c r="G473" s="29"/>
      <c r="H473" s="29"/>
      <c r="I473" s="27"/>
      <c r="J473" s="29"/>
      <c r="K473" s="29"/>
      <c r="L473" s="117" t="str">
        <f>IF( Tarakonesh[تراکنش]="", "",IF( Tarakonesh[تراکنش]="انتقال",L472,IF(Tarakonesh[تراکنش]="دریافت_درآمد",(Tarakonesh[[#This Row],[مبلغ (ریال)]]+IF(Tarakonesh[تراکنش]="انتقال",0,L472)),((IF(Tarakonesh[تراکنش]="انتقال",0,L472))-Tarakonesh[[#This Row],[مبلغ (ریال)]]))))</f>
        <v/>
      </c>
      <c r="M473" s="33"/>
      <c r="N473" s="33"/>
    </row>
    <row r="474" spans="1:14" x14ac:dyDescent="0.25">
      <c r="A474" s="28">
        <v>467</v>
      </c>
      <c r="B474" s="29"/>
      <c r="C474" s="33"/>
      <c r="D474" s="33"/>
      <c r="E474" s="41"/>
      <c r="F474" s="29"/>
      <c r="G474" s="29"/>
      <c r="H474" s="29"/>
      <c r="I474" s="27"/>
      <c r="J474" s="29"/>
      <c r="K474" s="29"/>
      <c r="L474" s="117" t="str">
        <f>IF( Tarakonesh[تراکنش]="", "",IF( Tarakonesh[تراکنش]="انتقال",L473,IF(Tarakonesh[تراکنش]="دریافت_درآمد",(Tarakonesh[[#This Row],[مبلغ (ریال)]]+IF(Tarakonesh[تراکنش]="انتقال",0,L473)),((IF(Tarakonesh[تراکنش]="انتقال",0,L473))-Tarakonesh[[#This Row],[مبلغ (ریال)]]))))</f>
        <v/>
      </c>
      <c r="M474" s="33"/>
      <c r="N474" s="33"/>
    </row>
    <row r="475" spans="1:14" x14ac:dyDescent="0.25">
      <c r="A475" s="28">
        <v>468</v>
      </c>
      <c r="B475" s="29"/>
      <c r="C475" s="33"/>
      <c r="D475" s="33"/>
      <c r="E475" s="41"/>
      <c r="F475" s="29"/>
      <c r="G475" s="29"/>
      <c r="H475" s="29"/>
      <c r="I475" s="27"/>
      <c r="J475" s="29"/>
      <c r="K475" s="29"/>
      <c r="L475" s="117" t="str">
        <f>IF( Tarakonesh[تراکنش]="", "",IF( Tarakonesh[تراکنش]="انتقال",L474,IF(Tarakonesh[تراکنش]="دریافت_درآمد",(Tarakonesh[[#This Row],[مبلغ (ریال)]]+IF(Tarakonesh[تراکنش]="انتقال",0,L474)),((IF(Tarakonesh[تراکنش]="انتقال",0,L474))-Tarakonesh[[#This Row],[مبلغ (ریال)]]))))</f>
        <v/>
      </c>
      <c r="M475" s="33"/>
      <c r="N475" s="33"/>
    </row>
    <row r="476" spans="1:14" x14ac:dyDescent="0.25">
      <c r="A476" s="28">
        <v>469</v>
      </c>
      <c r="B476" s="29"/>
      <c r="C476" s="33"/>
      <c r="D476" s="33"/>
      <c r="E476" s="41"/>
      <c r="F476" s="29"/>
      <c r="G476" s="29"/>
      <c r="H476" s="29"/>
      <c r="I476" s="27"/>
      <c r="J476" s="29"/>
      <c r="K476" s="29"/>
      <c r="L476" s="117" t="str">
        <f>IF( Tarakonesh[تراکنش]="", "",IF( Tarakonesh[تراکنش]="انتقال",L475,IF(Tarakonesh[تراکنش]="دریافت_درآمد",(Tarakonesh[[#This Row],[مبلغ (ریال)]]+IF(Tarakonesh[تراکنش]="انتقال",0,L475)),((IF(Tarakonesh[تراکنش]="انتقال",0,L475))-Tarakonesh[[#This Row],[مبلغ (ریال)]]))))</f>
        <v/>
      </c>
      <c r="M476" s="33"/>
      <c r="N476" s="33"/>
    </row>
    <row r="477" spans="1:14" x14ac:dyDescent="0.25">
      <c r="A477" s="28">
        <v>470</v>
      </c>
      <c r="B477" s="29"/>
      <c r="C477" s="33"/>
      <c r="D477" s="33"/>
      <c r="E477" s="41"/>
      <c r="F477" s="29"/>
      <c r="G477" s="29"/>
      <c r="H477" s="29"/>
      <c r="I477" s="27"/>
      <c r="J477" s="29"/>
      <c r="K477" s="29"/>
      <c r="L477" s="117" t="str">
        <f>IF( Tarakonesh[تراکنش]="", "",IF( Tarakonesh[تراکنش]="انتقال",L476,IF(Tarakonesh[تراکنش]="دریافت_درآمد",(Tarakonesh[[#This Row],[مبلغ (ریال)]]+IF(Tarakonesh[تراکنش]="انتقال",0,L476)),((IF(Tarakonesh[تراکنش]="انتقال",0,L476))-Tarakonesh[[#This Row],[مبلغ (ریال)]]))))</f>
        <v/>
      </c>
      <c r="M477" s="33"/>
      <c r="N477" s="33"/>
    </row>
    <row r="478" spans="1:14" x14ac:dyDescent="0.25">
      <c r="A478" s="28">
        <v>471</v>
      </c>
      <c r="B478" s="29"/>
      <c r="C478" s="33"/>
      <c r="D478" s="33"/>
      <c r="E478" s="41"/>
      <c r="F478" s="29"/>
      <c r="G478" s="29"/>
      <c r="H478" s="29"/>
      <c r="I478" s="27"/>
      <c r="J478" s="29"/>
      <c r="K478" s="29"/>
      <c r="L478" s="117" t="str">
        <f>IF( Tarakonesh[تراکنش]="", "",IF( Tarakonesh[تراکنش]="انتقال",L477,IF(Tarakonesh[تراکنش]="دریافت_درآمد",(Tarakonesh[[#This Row],[مبلغ (ریال)]]+IF(Tarakonesh[تراکنش]="انتقال",0,L477)),((IF(Tarakonesh[تراکنش]="انتقال",0,L477))-Tarakonesh[[#This Row],[مبلغ (ریال)]]))))</f>
        <v/>
      </c>
      <c r="M478" s="33"/>
      <c r="N478" s="33"/>
    </row>
    <row r="479" spans="1:14" x14ac:dyDescent="0.25">
      <c r="A479" s="28">
        <v>472</v>
      </c>
      <c r="B479" s="29"/>
      <c r="C479" s="33"/>
      <c r="D479" s="33"/>
      <c r="E479" s="41"/>
      <c r="F479" s="29"/>
      <c r="G479" s="29"/>
      <c r="H479" s="29"/>
      <c r="I479" s="27"/>
      <c r="J479" s="29"/>
      <c r="K479" s="29"/>
      <c r="L479" s="117" t="str">
        <f>IF( Tarakonesh[تراکنش]="", "",IF( Tarakonesh[تراکنش]="انتقال",L478,IF(Tarakonesh[تراکنش]="دریافت_درآمد",(Tarakonesh[[#This Row],[مبلغ (ریال)]]+IF(Tarakonesh[تراکنش]="انتقال",0,L478)),((IF(Tarakonesh[تراکنش]="انتقال",0,L478))-Tarakonesh[[#This Row],[مبلغ (ریال)]]))))</f>
        <v/>
      </c>
      <c r="M479" s="33"/>
      <c r="N479" s="33"/>
    </row>
    <row r="480" spans="1:14" x14ac:dyDescent="0.25">
      <c r="A480" s="28">
        <v>473</v>
      </c>
      <c r="B480" s="29"/>
      <c r="C480" s="33"/>
      <c r="D480" s="33"/>
      <c r="E480" s="41"/>
      <c r="F480" s="29"/>
      <c r="G480" s="29"/>
      <c r="H480" s="29"/>
      <c r="I480" s="27"/>
      <c r="J480" s="29"/>
      <c r="K480" s="29"/>
      <c r="L480" s="117" t="str">
        <f>IF( Tarakonesh[تراکنش]="", "",IF( Tarakonesh[تراکنش]="انتقال",L479,IF(Tarakonesh[تراکنش]="دریافت_درآمد",(Tarakonesh[[#This Row],[مبلغ (ریال)]]+IF(Tarakonesh[تراکنش]="انتقال",0,L479)),((IF(Tarakonesh[تراکنش]="انتقال",0,L479))-Tarakonesh[[#This Row],[مبلغ (ریال)]]))))</f>
        <v/>
      </c>
      <c r="M480" s="33"/>
      <c r="N480" s="33"/>
    </row>
    <row r="481" spans="1:14" x14ac:dyDescent="0.25">
      <c r="A481" s="28">
        <v>474</v>
      </c>
      <c r="B481" s="29"/>
      <c r="C481" s="33"/>
      <c r="D481" s="33"/>
      <c r="E481" s="41"/>
      <c r="F481" s="29"/>
      <c r="G481" s="29"/>
      <c r="H481" s="29"/>
      <c r="I481" s="27"/>
      <c r="J481" s="29"/>
      <c r="K481" s="29"/>
      <c r="L481" s="117" t="str">
        <f>IF( Tarakonesh[تراکنش]="", "",IF( Tarakonesh[تراکنش]="انتقال",L480,IF(Tarakonesh[تراکنش]="دریافت_درآمد",(Tarakonesh[[#This Row],[مبلغ (ریال)]]+IF(Tarakonesh[تراکنش]="انتقال",0,L480)),((IF(Tarakonesh[تراکنش]="انتقال",0,L480))-Tarakonesh[[#This Row],[مبلغ (ریال)]]))))</f>
        <v/>
      </c>
      <c r="M481" s="33"/>
      <c r="N481" s="33"/>
    </row>
    <row r="482" spans="1:14" x14ac:dyDescent="0.25">
      <c r="A482" s="28">
        <v>475</v>
      </c>
      <c r="B482" s="29"/>
      <c r="C482" s="33"/>
      <c r="D482" s="33"/>
      <c r="E482" s="41"/>
      <c r="F482" s="29"/>
      <c r="G482" s="29"/>
      <c r="H482" s="29"/>
      <c r="I482" s="27"/>
      <c r="J482" s="29"/>
      <c r="K482" s="29"/>
      <c r="L482" s="117" t="str">
        <f>IF( Tarakonesh[تراکنش]="", "",IF( Tarakonesh[تراکنش]="انتقال",L481,IF(Tarakonesh[تراکنش]="دریافت_درآمد",(Tarakonesh[[#This Row],[مبلغ (ریال)]]+IF(Tarakonesh[تراکنش]="انتقال",0,L481)),((IF(Tarakonesh[تراکنش]="انتقال",0,L481))-Tarakonesh[[#This Row],[مبلغ (ریال)]]))))</f>
        <v/>
      </c>
      <c r="M482" s="33"/>
      <c r="N482" s="33"/>
    </row>
    <row r="483" spans="1:14" x14ac:dyDescent="0.25">
      <c r="A483" s="28">
        <v>476</v>
      </c>
      <c r="B483" s="29"/>
      <c r="C483" s="33"/>
      <c r="D483" s="33"/>
      <c r="E483" s="41"/>
      <c r="F483" s="29"/>
      <c r="G483" s="29"/>
      <c r="H483" s="29"/>
      <c r="I483" s="27"/>
      <c r="J483" s="29"/>
      <c r="K483" s="29"/>
      <c r="L483" s="117" t="str">
        <f>IF( Tarakonesh[تراکنش]="", "",IF( Tarakonesh[تراکنش]="انتقال",L482,IF(Tarakonesh[تراکنش]="دریافت_درآمد",(Tarakonesh[[#This Row],[مبلغ (ریال)]]+IF(Tarakonesh[تراکنش]="انتقال",0,L482)),((IF(Tarakonesh[تراکنش]="انتقال",0,L482))-Tarakonesh[[#This Row],[مبلغ (ریال)]]))))</f>
        <v/>
      </c>
      <c r="M483" s="33"/>
      <c r="N483" s="33"/>
    </row>
    <row r="484" spans="1:14" x14ac:dyDescent="0.25">
      <c r="A484" s="28">
        <v>477</v>
      </c>
      <c r="B484" s="29"/>
      <c r="C484" s="33"/>
      <c r="D484" s="33"/>
      <c r="E484" s="41"/>
      <c r="F484" s="29"/>
      <c r="G484" s="29"/>
      <c r="H484" s="29"/>
      <c r="I484" s="27"/>
      <c r="J484" s="29"/>
      <c r="K484" s="29"/>
      <c r="L484" s="117" t="str">
        <f>IF( Tarakonesh[تراکنش]="", "",IF( Tarakonesh[تراکنش]="انتقال",L483,IF(Tarakonesh[تراکنش]="دریافت_درآمد",(Tarakonesh[[#This Row],[مبلغ (ریال)]]+IF(Tarakonesh[تراکنش]="انتقال",0,L483)),((IF(Tarakonesh[تراکنش]="انتقال",0,L483))-Tarakonesh[[#This Row],[مبلغ (ریال)]]))))</f>
        <v/>
      </c>
      <c r="M484" s="33"/>
      <c r="N484" s="33"/>
    </row>
    <row r="485" spans="1:14" x14ac:dyDescent="0.25">
      <c r="A485" s="28">
        <v>478</v>
      </c>
      <c r="B485" s="29"/>
      <c r="C485" s="33"/>
      <c r="D485" s="33"/>
      <c r="E485" s="41"/>
      <c r="F485" s="29"/>
      <c r="G485" s="29"/>
      <c r="H485" s="29"/>
      <c r="I485" s="27"/>
      <c r="J485" s="29"/>
      <c r="K485" s="29"/>
      <c r="L485" s="117" t="str">
        <f>IF( Tarakonesh[تراکنش]="", "",IF( Tarakonesh[تراکنش]="انتقال",L484,IF(Tarakonesh[تراکنش]="دریافت_درآمد",(Tarakonesh[[#This Row],[مبلغ (ریال)]]+IF(Tarakonesh[تراکنش]="انتقال",0,L484)),((IF(Tarakonesh[تراکنش]="انتقال",0,L484))-Tarakonesh[[#This Row],[مبلغ (ریال)]]))))</f>
        <v/>
      </c>
      <c r="M485" s="33"/>
      <c r="N485" s="33"/>
    </row>
    <row r="486" spans="1:14" x14ac:dyDescent="0.25">
      <c r="A486" s="28">
        <v>479</v>
      </c>
      <c r="B486" s="29"/>
      <c r="C486" s="33"/>
      <c r="D486" s="33"/>
      <c r="E486" s="41"/>
      <c r="F486" s="29"/>
      <c r="G486" s="29"/>
      <c r="H486" s="29"/>
      <c r="I486" s="27"/>
      <c r="J486" s="29"/>
      <c r="K486" s="29"/>
      <c r="L486" s="117" t="str">
        <f>IF( Tarakonesh[تراکنش]="", "",IF( Tarakonesh[تراکنش]="انتقال",L485,IF(Tarakonesh[تراکنش]="دریافت_درآمد",(Tarakonesh[[#This Row],[مبلغ (ریال)]]+IF(Tarakonesh[تراکنش]="انتقال",0,L485)),((IF(Tarakonesh[تراکنش]="انتقال",0,L485))-Tarakonesh[[#This Row],[مبلغ (ریال)]]))))</f>
        <v/>
      </c>
      <c r="M486" s="33"/>
      <c r="N486" s="33"/>
    </row>
    <row r="487" spans="1:14" x14ac:dyDescent="0.25">
      <c r="A487" s="28">
        <v>480</v>
      </c>
      <c r="B487" s="29"/>
      <c r="C487" s="33"/>
      <c r="D487" s="33"/>
      <c r="E487" s="41"/>
      <c r="F487" s="29"/>
      <c r="G487" s="29"/>
      <c r="H487" s="29"/>
      <c r="I487" s="27"/>
      <c r="J487" s="29"/>
      <c r="K487" s="29"/>
      <c r="L487" s="117" t="str">
        <f>IF( Tarakonesh[تراکنش]="", "",IF( Tarakonesh[تراکنش]="انتقال",L486,IF(Tarakonesh[تراکنش]="دریافت_درآمد",(Tarakonesh[[#This Row],[مبلغ (ریال)]]+IF(Tarakonesh[تراکنش]="انتقال",0,L486)),((IF(Tarakonesh[تراکنش]="انتقال",0,L486))-Tarakonesh[[#This Row],[مبلغ (ریال)]]))))</f>
        <v/>
      </c>
      <c r="M487" s="33"/>
      <c r="N487" s="33"/>
    </row>
    <row r="488" spans="1:14" x14ac:dyDescent="0.25">
      <c r="A488" s="28">
        <v>481</v>
      </c>
      <c r="B488" s="29"/>
      <c r="C488" s="33"/>
      <c r="D488" s="33"/>
      <c r="E488" s="41"/>
      <c r="F488" s="29"/>
      <c r="G488" s="29"/>
      <c r="H488" s="29"/>
      <c r="I488" s="27"/>
      <c r="J488" s="29"/>
      <c r="K488" s="29"/>
      <c r="L488" s="117" t="str">
        <f>IF( Tarakonesh[تراکنش]="", "",IF( Tarakonesh[تراکنش]="انتقال",L487,IF(Tarakonesh[تراکنش]="دریافت_درآمد",(Tarakonesh[[#This Row],[مبلغ (ریال)]]+IF(Tarakonesh[تراکنش]="انتقال",0,L487)),((IF(Tarakonesh[تراکنش]="انتقال",0,L487))-Tarakonesh[[#This Row],[مبلغ (ریال)]]))))</f>
        <v/>
      </c>
      <c r="M488" s="33"/>
      <c r="N488" s="33"/>
    </row>
    <row r="489" spans="1:14" x14ac:dyDescent="0.25">
      <c r="A489" s="28">
        <v>482</v>
      </c>
      <c r="B489" s="29"/>
      <c r="C489" s="33"/>
      <c r="D489" s="33"/>
      <c r="E489" s="41"/>
      <c r="F489" s="29"/>
      <c r="G489" s="29"/>
      <c r="H489" s="29"/>
      <c r="I489" s="27"/>
      <c r="J489" s="29"/>
      <c r="K489" s="29"/>
      <c r="L489" s="117" t="str">
        <f>IF( Tarakonesh[تراکنش]="", "",IF( Tarakonesh[تراکنش]="انتقال",L488,IF(Tarakonesh[تراکنش]="دریافت_درآمد",(Tarakonesh[[#This Row],[مبلغ (ریال)]]+IF(Tarakonesh[تراکنش]="انتقال",0,L488)),((IF(Tarakonesh[تراکنش]="انتقال",0,L488))-Tarakonesh[[#This Row],[مبلغ (ریال)]]))))</f>
        <v/>
      </c>
      <c r="M489" s="33"/>
      <c r="N489" s="33"/>
    </row>
    <row r="490" spans="1:14" x14ac:dyDescent="0.25">
      <c r="A490" s="28">
        <v>483</v>
      </c>
      <c r="B490" s="29"/>
      <c r="C490" s="33"/>
      <c r="D490" s="33"/>
      <c r="E490" s="41"/>
      <c r="F490" s="29"/>
      <c r="G490" s="29"/>
      <c r="H490" s="29"/>
      <c r="I490" s="27"/>
      <c r="J490" s="29"/>
      <c r="K490" s="29"/>
      <c r="L490" s="117" t="str">
        <f>IF( Tarakonesh[تراکنش]="", "",IF( Tarakonesh[تراکنش]="انتقال",L489,IF(Tarakonesh[تراکنش]="دریافت_درآمد",(Tarakonesh[[#This Row],[مبلغ (ریال)]]+IF(Tarakonesh[تراکنش]="انتقال",0,L489)),((IF(Tarakonesh[تراکنش]="انتقال",0,L489))-Tarakonesh[[#This Row],[مبلغ (ریال)]]))))</f>
        <v/>
      </c>
      <c r="M490" s="33"/>
      <c r="N490" s="33"/>
    </row>
    <row r="491" spans="1:14" x14ac:dyDescent="0.25">
      <c r="A491" s="28">
        <v>484</v>
      </c>
      <c r="B491" s="29"/>
      <c r="C491" s="33"/>
      <c r="D491" s="33"/>
      <c r="E491" s="41"/>
      <c r="F491" s="29"/>
      <c r="G491" s="29"/>
      <c r="H491" s="29"/>
      <c r="I491" s="27"/>
      <c r="J491" s="29"/>
      <c r="K491" s="29"/>
      <c r="L491" s="117" t="str">
        <f>IF( Tarakonesh[تراکنش]="", "",IF( Tarakonesh[تراکنش]="انتقال",L490,IF(Tarakonesh[تراکنش]="دریافت_درآمد",(Tarakonesh[[#This Row],[مبلغ (ریال)]]+IF(Tarakonesh[تراکنش]="انتقال",0,L490)),((IF(Tarakonesh[تراکنش]="انتقال",0,L490))-Tarakonesh[[#This Row],[مبلغ (ریال)]]))))</f>
        <v/>
      </c>
      <c r="M491" s="33"/>
      <c r="N491" s="33"/>
    </row>
    <row r="492" spans="1:14" x14ac:dyDescent="0.25">
      <c r="A492" s="28">
        <v>485</v>
      </c>
      <c r="B492" s="29"/>
      <c r="C492" s="33"/>
      <c r="D492" s="33"/>
      <c r="E492" s="41"/>
      <c r="F492" s="29"/>
      <c r="G492" s="29"/>
      <c r="H492" s="29"/>
      <c r="I492" s="27"/>
      <c r="J492" s="29"/>
      <c r="K492" s="29"/>
      <c r="L492" s="117" t="str">
        <f>IF( Tarakonesh[تراکنش]="", "",IF( Tarakonesh[تراکنش]="انتقال",L491,IF(Tarakonesh[تراکنش]="دریافت_درآمد",(Tarakonesh[[#This Row],[مبلغ (ریال)]]+IF(Tarakonesh[تراکنش]="انتقال",0,L491)),((IF(Tarakonesh[تراکنش]="انتقال",0,L491))-Tarakonesh[[#This Row],[مبلغ (ریال)]]))))</f>
        <v/>
      </c>
      <c r="M492" s="33"/>
      <c r="N492" s="33"/>
    </row>
    <row r="493" spans="1:14" x14ac:dyDescent="0.25">
      <c r="A493" s="28">
        <v>486</v>
      </c>
      <c r="B493" s="29"/>
      <c r="C493" s="33"/>
      <c r="D493" s="33"/>
      <c r="E493" s="41"/>
      <c r="F493" s="29"/>
      <c r="G493" s="29"/>
      <c r="H493" s="29"/>
      <c r="I493" s="27"/>
      <c r="J493" s="29"/>
      <c r="K493" s="29"/>
      <c r="L493" s="117" t="str">
        <f>IF( Tarakonesh[تراکنش]="", "",IF( Tarakonesh[تراکنش]="انتقال",L492,IF(Tarakonesh[تراکنش]="دریافت_درآمد",(Tarakonesh[[#This Row],[مبلغ (ریال)]]+IF(Tarakonesh[تراکنش]="انتقال",0,L492)),((IF(Tarakonesh[تراکنش]="انتقال",0,L492))-Tarakonesh[[#This Row],[مبلغ (ریال)]]))))</f>
        <v/>
      </c>
      <c r="M493" s="33"/>
      <c r="N493" s="33"/>
    </row>
    <row r="494" spans="1:14" x14ac:dyDescent="0.25">
      <c r="A494" s="28">
        <v>487</v>
      </c>
      <c r="B494" s="29"/>
      <c r="C494" s="33"/>
      <c r="D494" s="33"/>
      <c r="E494" s="41"/>
      <c r="F494" s="29"/>
      <c r="G494" s="29"/>
      <c r="H494" s="29"/>
      <c r="I494" s="27"/>
      <c r="J494" s="29"/>
      <c r="K494" s="29"/>
      <c r="L494" s="117" t="str">
        <f>IF( Tarakonesh[تراکنش]="", "",IF( Tarakonesh[تراکنش]="انتقال",L493,IF(Tarakonesh[تراکنش]="دریافت_درآمد",(Tarakonesh[[#This Row],[مبلغ (ریال)]]+IF(Tarakonesh[تراکنش]="انتقال",0,L493)),((IF(Tarakonesh[تراکنش]="انتقال",0,L493))-Tarakonesh[[#This Row],[مبلغ (ریال)]]))))</f>
        <v/>
      </c>
      <c r="M494" s="33"/>
      <c r="N494" s="33"/>
    </row>
    <row r="495" spans="1:14" x14ac:dyDescent="0.25">
      <c r="A495" s="28">
        <v>488</v>
      </c>
      <c r="B495" s="29"/>
      <c r="C495" s="33"/>
      <c r="D495" s="33"/>
      <c r="E495" s="41"/>
      <c r="F495" s="29"/>
      <c r="G495" s="29"/>
      <c r="H495" s="29"/>
      <c r="I495" s="27"/>
      <c r="J495" s="29"/>
      <c r="K495" s="29"/>
      <c r="L495" s="117" t="str">
        <f>IF( Tarakonesh[تراکنش]="", "",IF( Tarakonesh[تراکنش]="انتقال",L494,IF(Tarakonesh[تراکنش]="دریافت_درآمد",(Tarakonesh[[#This Row],[مبلغ (ریال)]]+IF(Tarakonesh[تراکنش]="انتقال",0,L494)),((IF(Tarakonesh[تراکنش]="انتقال",0,L494))-Tarakonesh[[#This Row],[مبلغ (ریال)]]))))</f>
        <v/>
      </c>
      <c r="M495" s="33"/>
      <c r="N495" s="33"/>
    </row>
    <row r="496" spans="1:14" x14ac:dyDescent="0.25">
      <c r="A496" s="28">
        <v>489</v>
      </c>
      <c r="B496" s="29"/>
      <c r="C496" s="33"/>
      <c r="D496" s="33"/>
      <c r="E496" s="41"/>
      <c r="F496" s="29"/>
      <c r="G496" s="29"/>
      <c r="H496" s="29"/>
      <c r="I496" s="27"/>
      <c r="J496" s="29"/>
      <c r="K496" s="29"/>
      <c r="L496" s="117" t="str">
        <f>IF( Tarakonesh[تراکنش]="", "",IF( Tarakonesh[تراکنش]="انتقال",L495,IF(Tarakonesh[تراکنش]="دریافت_درآمد",(Tarakonesh[[#This Row],[مبلغ (ریال)]]+IF(Tarakonesh[تراکنش]="انتقال",0,L495)),((IF(Tarakonesh[تراکنش]="انتقال",0,L495))-Tarakonesh[[#This Row],[مبلغ (ریال)]]))))</f>
        <v/>
      </c>
      <c r="M496" s="33"/>
      <c r="N496" s="33"/>
    </row>
    <row r="497" spans="1:14" x14ac:dyDescent="0.25">
      <c r="A497" s="28">
        <v>490</v>
      </c>
      <c r="B497" s="29"/>
      <c r="C497" s="33"/>
      <c r="D497" s="33"/>
      <c r="E497" s="41"/>
      <c r="F497" s="29"/>
      <c r="G497" s="29"/>
      <c r="H497" s="29"/>
      <c r="I497" s="27"/>
      <c r="J497" s="29"/>
      <c r="K497" s="29"/>
      <c r="L497" s="117" t="str">
        <f>IF( Tarakonesh[تراکنش]="", "",IF( Tarakonesh[تراکنش]="انتقال",L496,IF(Tarakonesh[تراکنش]="دریافت_درآمد",(Tarakonesh[[#This Row],[مبلغ (ریال)]]+IF(Tarakonesh[تراکنش]="انتقال",0,L496)),((IF(Tarakonesh[تراکنش]="انتقال",0,L496))-Tarakonesh[[#This Row],[مبلغ (ریال)]]))))</f>
        <v/>
      </c>
      <c r="M497" s="33"/>
      <c r="N497" s="33"/>
    </row>
    <row r="498" spans="1:14" x14ac:dyDescent="0.25">
      <c r="A498" s="28">
        <v>491</v>
      </c>
      <c r="B498" s="29"/>
      <c r="C498" s="33"/>
      <c r="D498" s="33"/>
      <c r="E498" s="41"/>
      <c r="F498" s="29"/>
      <c r="G498" s="29"/>
      <c r="H498" s="29"/>
      <c r="I498" s="27"/>
      <c r="J498" s="29"/>
      <c r="K498" s="29"/>
      <c r="L498" s="117" t="str">
        <f>IF( Tarakonesh[تراکنش]="", "",IF( Tarakonesh[تراکنش]="انتقال",L497,IF(Tarakonesh[تراکنش]="دریافت_درآمد",(Tarakonesh[[#This Row],[مبلغ (ریال)]]+IF(Tarakonesh[تراکنش]="انتقال",0,L497)),((IF(Tarakonesh[تراکنش]="انتقال",0,L497))-Tarakonesh[[#This Row],[مبلغ (ریال)]]))))</f>
        <v/>
      </c>
      <c r="M498" s="33"/>
      <c r="N498" s="33"/>
    </row>
    <row r="499" spans="1:14" x14ac:dyDescent="0.25">
      <c r="A499" s="28">
        <v>492</v>
      </c>
      <c r="B499" s="29"/>
      <c r="C499" s="33"/>
      <c r="D499" s="33"/>
      <c r="E499" s="41"/>
      <c r="F499" s="29"/>
      <c r="G499" s="29"/>
      <c r="H499" s="29"/>
      <c r="I499" s="27"/>
      <c r="J499" s="29"/>
      <c r="K499" s="29"/>
      <c r="L499" s="117" t="str">
        <f>IF( Tarakonesh[تراکنش]="", "",IF( Tarakonesh[تراکنش]="انتقال",L498,IF(Tarakonesh[تراکنش]="دریافت_درآمد",(Tarakonesh[[#This Row],[مبلغ (ریال)]]+IF(Tarakonesh[تراکنش]="انتقال",0,L498)),((IF(Tarakonesh[تراکنش]="انتقال",0,L498))-Tarakonesh[[#This Row],[مبلغ (ریال)]]))))</f>
        <v/>
      </c>
      <c r="M499" s="33"/>
      <c r="N499" s="33"/>
    </row>
    <row r="500" spans="1:14" x14ac:dyDescent="0.25">
      <c r="A500" s="28">
        <v>493</v>
      </c>
      <c r="B500" s="29"/>
      <c r="C500" s="33"/>
      <c r="D500" s="33"/>
      <c r="E500" s="41"/>
      <c r="F500" s="29"/>
      <c r="G500" s="29"/>
      <c r="H500" s="29"/>
      <c r="I500" s="27"/>
      <c r="J500" s="29"/>
      <c r="K500" s="29"/>
      <c r="L500" s="117" t="str">
        <f>IF( Tarakonesh[تراکنش]="", "",IF( Tarakonesh[تراکنش]="انتقال",L499,IF(Tarakonesh[تراکنش]="دریافت_درآمد",(Tarakonesh[[#This Row],[مبلغ (ریال)]]+IF(Tarakonesh[تراکنش]="انتقال",0,L499)),((IF(Tarakonesh[تراکنش]="انتقال",0,L499))-Tarakonesh[[#This Row],[مبلغ (ریال)]]))))</f>
        <v/>
      </c>
      <c r="M500" s="33"/>
      <c r="N500" s="33"/>
    </row>
    <row r="501" spans="1:14" x14ac:dyDescent="0.25">
      <c r="A501" s="28">
        <v>494</v>
      </c>
      <c r="B501" s="29"/>
      <c r="C501" s="33"/>
      <c r="D501" s="33"/>
      <c r="E501" s="41"/>
      <c r="F501" s="29"/>
      <c r="G501" s="29"/>
      <c r="H501" s="29"/>
      <c r="I501" s="27"/>
      <c r="J501" s="29"/>
      <c r="K501" s="29"/>
      <c r="L501" s="117" t="str">
        <f>IF( Tarakonesh[تراکنش]="", "",IF( Tarakonesh[تراکنش]="انتقال",L500,IF(Tarakonesh[تراکنش]="دریافت_درآمد",(Tarakonesh[[#This Row],[مبلغ (ریال)]]+IF(Tarakonesh[تراکنش]="انتقال",0,L500)),((IF(Tarakonesh[تراکنش]="انتقال",0,L500))-Tarakonesh[[#This Row],[مبلغ (ریال)]]))))</f>
        <v/>
      </c>
      <c r="M501" s="33"/>
      <c r="N501" s="33"/>
    </row>
    <row r="502" spans="1:14" x14ac:dyDescent="0.25">
      <c r="A502" s="28">
        <v>495</v>
      </c>
      <c r="B502" s="29"/>
      <c r="C502" s="33"/>
      <c r="D502" s="33"/>
      <c r="E502" s="41"/>
      <c r="F502" s="29"/>
      <c r="G502" s="29"/>
      <c r="H502" s="29"/>
      <c r="I502" s="27"/>
      <c r="J502" s="29"/>
      <c r="K502" s="29"/>
      <c r="L502" s="117" t="str">
        <f>IF( Tarakonesh[تراکنش]="", "",IF( Tarakonesh[تراکنش]="انتقال",L501,IF(Tarakonesh[تراکنش]="دریافت_درآمد",(Tarakonesh[[#This Row],[مبلغ (ریال)]]+IF(Tarakonesh[تراکنش]="انتقال",0,L501)),((IF(Tarakonesh[تراکنش]="انتقال",0,L501))-Tarakonesh[[#This Row],[مبلغ (ریال)]]))))</f>
        <v/>
      </c>
      <c r="M502" s="33"/>
      <c r="N502" s="33"/>
    </row>
    <row r="503" spans="1:14" x14ac:dyDescent="0.25">
      <c r="A503" s="28">
        <v>496</v>
      </c>
      <c r="B503" s="29"/>
      <c r="C503" s="33"/>
      <c r="D503" s="33"/>
      <c r="E503" s="41"/>
      <c r="F503" s="29"/>
      <c r="G503" s="29"/>
      <c r="H503" s="29"/>
      <c r="I503" s="27"/>
      <c r="J503" s="29"/>
      <c r="K503" s="29"/>
      <c r="L503" s="117" t="str">
        <f>IF( Tarakonesh[تراکنش]="", "",IF( Tarakonesh[تراکنش]="انتقال",L502,IF(Tarakonesh[تراکنش]="دریافت_درآمد",(Tarakonesh[[#This Row],[مبلغ (ریال)]]+IF(Tarakonesh[تراکنش]="انتقال",0,L502)),((IF(Tarakonesh[تراکنش]="انتقال",0,L502))-Tarakonesh[[#This Row],[مبلغ (ریال)]]))))</f>
        <v/>
      </c>
      <c r="M503" s="33"/>
      <c r="N503" s="33"/>
    </row>
    <row r="504" spans="1:14" x14ac:dyDescent="0.25">
      <c r="A504" s="28">
        <v>497</v>
      </c>
      <c r="B504" s="29"/>
      <c r="C504" s="33"/>
      <c r="D504" s="33"/>
      <c r="E504" s="41"/>
      <c r="F504" s="29"/>
      <c r="G504" s="29"/>
      <c r="H504" s="29"/>
      <c r="I504" s="27"/>
      <c r="J504" s="29"/>
      <c r="K504" s="29"/>
      <c r="L504" s="117" t="str">
        <f>IF( Tarakonesh[تراکنش]="", "",IF( Tarakonesh[تراکنش]="انتقال",L503,IF(Tarakonesh[تراکنش]="دریافت_درآمد",(Tarakonesh[[#This Row],[مبلغ (ریال)]]+IF(Tarakonesh[تراکنش]="انتقال",0,L503)),((IF(Tarakonesh[تراکنش]="انتقال",0,L503))-Tarakonesh[[#This Row],[مبلغ (ریال)]]))))</f>
        <v/>
      </c>
      <c r="M504" s="33"/>
      <c r="N504" s="33"/>
    </row>
    <row r="505" spans="1:14" x14ac:dyDescent="0.25">
      <c r="A505" s="28">
        <v>498</v>
      </c>
      <c r="B505" s="29"/>
      <c r="C505" s="33"/>
      <c r="D505" s="33"/>
      <c r="E505" s="41"/>
      <c r="F505" s="29"/>
      <c r="G505" s="29"/>
      <c r="H505" s="29"/>
      <c r="I505" s="27"/>
      <c r="J505" s="29"/>
      <c r="K505" s="29"/>
      <c r="L505" s="117" t="str">
        <f>IF( Tarakonesh[تراکنش]="", "",IF( Tarakonesh[تراکنش]="انتقال",L504,IF(Tarakonesh[تراکنش]="دریافت_درآمد",(Tarakonesh[[#This Row],[مبلغ (ریال)]]+IF(Tarakonesh[تراکنش]="انتقال",0,L504)),((IF(Tarakonesh[تراکنش]="انتقال",0,L504))-Tarakonesh[[#This Row],[مبلغ (ریال)]]))))</f>
        <v/>
      </c>
      <c r="M505" s="33"/>
      <c r="N505" s="33"/>
    </row>
    <row r="506" spans="1:14" x14ac:dyDescent="0.25">
      <c r="A506" s="28">
        <v>499</v>
      </c>
      <c r="B506" s="29"/>
      <c r="C506" s="33"/>
      <c r="D506" s="33"/>
      <c r="E506" s="41"/>
      <c r="F506" s="29"/>
      <c r="G506" s="29"/>
      <c r="H506" s="29"/>
      <c r="I506" s="27"/>
      <c r="J506" s="29"/>
      <c r="K506" s="29"/>
      <c r="L506" s="117" t="str">
        <f>IF( Tarakonesh[تراکنش]="", "",IF( Tarakonesh[تراکنش]="انتقال",L505,IF(Tarakonesh[تراکنش]="دریافت_درآمد",(Tarakonesh[[#This Row],[مبلغ (ریال)]]+IF(Tarakonesh[تراکنش]="انتقال",0,L505)),((IF(Tarakonesh[تراکنش]="انتقال",0,L505))-Tarakonesh[[#This Row],[مبلغ (ریال)]]))))</f>
        <v/>
      </c>
      <c r="M506" s="33"/>
      <c r="N506" s="33"/>
    </row>
    <row r="507" spans="1:14" x14ac:dyDescent="0.25">
      <c r="A507" s="28">
        <v>500</v>
      </c>
      <c r="B507" s="29"/>
      <c r="C507" s="33"/>
      <c r="D507" s="33"/>
      <c r="E507" s="41"/>
      <c r="F507" s="29"/>
      <c r="G507" s="29"/>
      <c r="H507" s="29"/>
      <c r="I507" s="27"/>
      <c r="J507" s="29"/>
      <c r="K507" s="29"/>
      <c r="L507" s="117" t="str">
        <f>IF( Tarakonesh[تراکنش]="", "",IF( Tarakonesh[تراکنش]="انتقال",L506,IF(Tarakonesh[تراکنش]="دریافت_درآمد",(Tarakonesh[[#This Row],[مبلغ (ریال)]]+IF(Tarakonesh[تراکنش]="انتقال",0,L506)),((IF(Tarakonesh[تراکنش]="انتقال",0,L506))-Tarakonesh[[#This Row],[مبلغ (ریال)]]))))</f>
        <v/>
      </c>
      <c r="M507" s="33"/>
      <c r="N507" s="33"/>
    </row>
    <row r="514" spans="4:4" x14ac:dyDescent="0.25">
      <c r="D514" s="147"/>
    </row>
    <row r="515" spans="4:4" x14ac:dyDescent="0.25">
      <c r="D515" s="147"/>
    </row>
  </sheetData>
  <dataConsolidate/>
  <mergeCells count="1">
    <mergeCell ref="J3:K3"/>
  </mergeCells>
  <conditionalFormatting sqref="A8:N507">
    <cfRule type="expression" dxfId="4" priority="1">
      <formula xml:space="preserve"> "" = $E8</formula>
    </cfRule>
    <cfRule type="expression" dxfId="3" priority="5">
      <formula xml:space="preserve"> "انتقال" = $E8</formula>
    </cfRule>
    <cfRule type="expression" dxfId="2" priority="6">
      <formula xml:space="preserve"> "پرداخت_هزینه" = $E8</formula>
    </cfRule>
    <cfRule type="expression" dxfId="1" priority="7">
      <formula>"دریافت_درآمد" = $E8</formula>
    </cfRule>
  </conditionalFormatting>
  <dataValidations xWindow="680" yWindow="432" count="9">
    <dataValidation type="list" allowBlank="1" showInputMessage="1" showErrorMessage="1" errorTitle="Error" error="نوع خرج باید از گزینه‌های موجود در لیست کشویی باشد." promptTitle="راهنما" prompt="نوع خرج را مشخص کنید._x000a_نا مشخص_x000a_خرج صحیح_x000a_خرج اضافی" sqref="M8:M507">
      <formula1>INDIRECT("TypeOfExpenditureTable[نوع خرج]")</formula1>
    </dataValidation>
    <dataValidation type="list" allowBlank="1" showInputMessage="1" showErrorMessage="1" errorTitle="Error" error="فرد باید از لیست «افراد» انتخاب شود._x000a_به جدول «افراد» موجود در کاربردگ «تنظیمات حساب» مراجعه شود." promptTitle="راهنما" prompt="فردی که هزینه کرده یا برای آن هزینه شده" sqref="B8:B507">
      <formula1>INDIRECT("PersonsTable[افراد]")</formula1>
    </dataValidation>
    <dataValidation type="list" allowBlank="1" showInputMessage="1" showErrorMessage="1" errorTitle="Error" error="مقدار ورودی را از لیست انتخاب کنید" promptTitle="راهنما" prompt="حساب/فرد پرداخت کننده و دریافت کننده را تعیین کنید" sqref="J8:K507">
      <formula1>Accounts_and_ReceiversAndPayers_List</formula1>
    </dataValidation>
    <dataValidation type="list" allowBlank="1" showInputMessage="1" showErrorMessage="1" errorTitle="Error" error="مقدار ورودی را از لیست انتخاب کنید" promptTitle="راهنما" prompt="نوع تراکنش را مشخص کنید._x000a_پرداخت (هزینه)_x000a_دریافت (درآمد)_x000a_انتقال_x000a__x000a_در صورت انتخاب «انتقال» ستون‌های «گروه» و «زیر‌گروه» غیر‌فعال می‌شوند." sqref="E8:E507">
      <formula1>INDIRECT("TypeOfTransactionTable[نوع تراکنش]")</formula1>
    </dataValidation>
    <dataValidation type="list" allowBlank="1" showInputMessage="1" showErrorMessage="1" errorTitle="Error" error="مقدار ورودی را از لیست انتخاب کنید" promptTitle="راهنما" prompt="روش انتقال پول را انتخاب کنید_x000a_" sqref="H8:H507">
      <formula1 xml:space="preserve"> TransactionMethodsList</formula1>
    </dataValidation>
    <dataValidation showInputMessage="1" promptTitle="راهنما" prompt="تاریخ به صورت 13770101 ثبت شود." sqref="C8:C507"/>
    <dataValidation type="list" allowBlank="1" showErrorMessage="1" errorTitle="Error" error="مقدار ورودی را از لیست انتخاب کنید_x000a__x000a_در حالت «انتقال» گزینه‌ای وجود ندارد" promptTitle="راهنما" prompt="از بین گروه‌های درآمدی یا هزینه‌ها انتخاب کنید." sqref="F8:F507">
      <formula1>INDIRECT($E8)</formula1>
    </dataValidation>
    <dataValidation type="list" allowBlank="1" showErrorMessage="1" errorTitle="Error" error="مقدار ورودی را از لیست انتخاب کنید_x000a__x000a_در حالت «انتقال» گزینه‌ای وجود ندارد" sqref="G8:G507">
      <formula1>INDIRECT($F8)</formula1>
    </dataValidation>
    <dataValidation type="list" allowBlank="1" showInputMessage="1" showErrorMessage="1" sqref="C5">
      <formula1>INDIRECT("showDateTable[ID]")</formula1>
    </dataValidation>
  </dataValidations>
  <hyperlinks>
    <hyperlink ref="B1" location="فهرست!A1" display="فهرست"/>
    <hyperlink ref="C1" location="'مدیریت وام و اقساط'!A1" display="وام و اقساط"/>
    <hyperlink ref="D1" location="'مدیریت چک‌ها'!A1" display="چک‌ها"/>
    <hyperlink ref="E1" location="'مدیریت بدهی‌ها-طلب‌ها'!A1" display="بدهی‌ها و طلب‌ها"/>
    <hyperlink ref="F1" location="'برنامه ریزی پرداخت‌ها'!A1" display="برنامه ریزی"/>
    <hyperlink ref="G1" location="تقویم!A1" display="تقویم"/>
    <hyperlink ref="H1" location="'بودجه بندی'!A1" display="بودجه بندی"/>
    <hyperlink ref="I1" location="'گزارش فعالیت‌های ماه جاری'!A1" display="ماه جاری"/>
    <hyperlink ref="J1" location="'جست و جو'!A1" display="جست و جو"/>
    <hyperlink ref="J5" location="'گروه‌‌های (بابت‌ها) هزینه'!A1" display="گروه‌های هزینه"/>
    <hyperlink ref="K5" location="'گروه‌‌های درآمدی'!A1" display="گروه‌های درآمد"/>
    <hyperlink ref="K1" location="'تنظیمات حساب'!A1" display="تنظیمات حساب"/>
    <hyperlink ref="J3:K3" location="'دریافت کنندگان - پرداخت کنندگان'!A1" display="دریافت کنندگان - پرداخت کنندگان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rgb="FF00B0F0"/>
  </sheetPr>
  <dimension ref="A1"/>
  <sheetViews>
    <sheetView rightToLeft="1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/>
  </sheetPr>
  <dimension ref="A1:K1"/>
  <sheetViews>
    <sheetView rightToLeft="1" workbookViewId="0">
      <selection activeCell="D3" sqref="D3"/>
    </sheetView>
  </sheetViews>
  <sheetFormatPr defaultRowHeight="15" x14ac:dyDescent="0.25"/>
  <cols>
    <col min="6" max="7" width="10.140625" customWidth="1"/>
    <col min="8" max="8" width="17.5703125" customWidth="1"/>
    <col min="9" max="9" width="13.140625" customWidth="1"/>
  </cols>
  <sheetData>
    <row r="1" spans="1:11" x14ac:dyDescent="0.25">
      <c r="A1" t="s">
        <v>1</v>
      </c>
      <c r="B1" t="s">
        <v>27</v>
      </c>
      <c r="C1" t="s">
        <v>28</v>
      </c>
      <c r="D1" t="s">
        <v>29</v>
      </c>
      <c r="E1" t="s">
        <v>36</v>
      </c>
      <c r="F1" t="s">
        <v>30</v>
      </c>
      <c r="G1" t="s">
        <v>35</v>
      </c>
      <c r="H1" t="s">
        <v>31</v>
      </c>
      <c r="I1" t="s">
        <v>32</v>
      </c>
      <c r="J1" t="s">
        <v>33</v>
      </c>
      <c r="K1" t="s">
        <v>34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8"/>
  </sheetPr>
  <dimension ref="A1:J1"/>
  <sheetViews>
    <sheetView rightToLeft="1" workbookViewId="0"/>
  </sheetViews>
  <sheetFormatPr defaultRowHeight="15" x14ac:dyDescent="0.25"/>
  <cols>
    <col min="3" max="5" width="10.7109375" customWidth="1"/>
    <col min="6" max="6" width="13.28515625" customWidth="1"/>
    <col min="7" max="7" width="14.5703125" customWidth="1"/>
    <col min="8" max="8" width="19.85546875" customWidth="1"/>
    <col min="9" max="9" width="13.5703125" customWidth="1"/>
    <col min="10" max="10" width="15.7109375" customWidth="1"/>
  </cols>
  <sheetData>
    <row r="1" spans="1:10" x14ac:dyDescent="0.25">
      <c r="A1" t="s">
        <v>1</v>
      </c>
      <c r="B1" t="s">
        <v>20</v>
      </c>
      <c r="C1" t="s">
        <v>9</v>
      </c>
      <c r="D1" t="s">
        <v>21</v>
      </c>
      <c r="E1" t="s">
        <v>23</v>
      </c>
      <c r="F1" t="s">
        <v>22</v>
      </c>
      <c r="G1" t="s">
        <v>10</v>
      </c>
      <c r="H1" t="s">
        <v>24</v>
      </c>
      <c r="I1" t="s">
        <v>25</v>
      </c>
      <c r="J1" t="s">
        <v>26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6"/>
  </sheetPr>
  <dimension ref="A1"/>
  <sheetViews>
    <sheetView rightToLeft="1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5"/>
  </sheetPr>
  <dimension ref="A1:M1"/>
  <sheetViews>
    <sheetView rightToLeft="1" workbookViewId="0"/>
  </sheetViews>
  <sheetFormatPr defaultRowHeight="15" x14ac:dyDescent="0.25"/>
  <cols>
    <col min="7" max="8" width="18.28515625" customWidth="1"/>
  </cols>
  <sheetData>
    <row r="1" spans="1:13" x14ac:dyDescent="0.25">
      <c r="A1" t="s">
        <v>1</v>
      </c>
      <c r="B1" t="s">
        <v>14</v>
      </c>
      <c r="C1" t="s">
        <v>16</v>
      </c>
      <c r="D1" t="s">
        <v>18</v>
      </c>
      <c r="E1" t="s">
        <v>38</v>
      </c>
      <c r="F1" t="s">
        <v>37</v>
      </c>
      <c r="G1" t="s">
        <v>39</v>
      </c>
      <c r="H1" t="s">
        <v>40</v>
      </c>
      <c r="I1" t="s">
        <v>4</v>
      </c>
      <c r="J1" t="s">
        <v>2</v>
      </c>
      <c r="K1" t="s">
        <v>17</v>
      </c>
      <c r="L1" t="s">
        <v>5</v>
      </c>
      <c r="M1" t="s">
        <v>41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5" tint="-0.499984740745262"/>
  </sheetPr>
  <dimension ref="A1:AG37"/>
  <sheetViews>
    <sheetView showGridLines="0" rightToLeft="1" zoomScaleNormal="100" workbookViewId="0">
      <selection activeCell="A14" sqref="A14"/>
    </sheetView>
  </sheetViews>
  <sheetFormatPr defaultRowHeight="15" x14ac:dyDescent="0.25"/>
  <cols>
    <col min="1" max="1" width="19.42578125" customWidth="1"/>
    <col min="2" max="2" width="0.7109375" style="43" customWidth="1"/>
    <col min="3" max="4" width="9.140625" customWidth="1"/>
    <col min="5" max="5" width="0.7109375" customWidth="1"/>
    <col min="6" max="11" width="9.140625" customWidth="1"/>
    <col min="13" max="13" width="0.7109375" customWidth="1"/>
    <col min="14" max="14" width="4.5703125" customWidth="1"/>
    <col min="15" max="15" width="0.7109375" customWidth="1"/>
    <col min="23" max="23" width="0.7109375" customWidth="1"/>
    <col min="24" max="24" width="4.5703125" customWidth="1"/>
    <col min="25" max="25" width="0.7109375" customWidth="1"/>
    <col min="33" max="33" width="0.7109375" customWidth="1"/>
  </cols>
  <sheetData>
    <row r="1" spans="1:33" ht="24" customHeight="1" x14ac:dyDescent="0.25">
      <c r="A1" s="127" t="s">
        <v>355</v>
      </c>
    </row>
    <row r="2" spans="1:33" ht="24" customHeight="1" x14ac:dyDescent="0.25">
      <c r="A2" s="126">
        <v>1400</v>
      </c>
      <c r="D2" s="138"/>
      <c r="E2" s="138"/>
      <c r="F2" s="138">
        <v>0</v>
      </c>
      <c r="G2" s="138">
        <v>1</v>
      </c>
      <c r="H2" s="138">
        <v>2</v>
      </c>
      <c r="I2" s="138">
        <v>3</v>
      </c>
      <c r="J2" s="138">
        <v>4</v>
      </c>
      <c r="K2" s="138">
        <v>5</v>
      </c>
      <c r="L2" s="138">
        <v>6</v>
      </c>
      <c r="M2" s="139"/>
      <c r="N2" s="139"/>
      <c r="O2" s="138"/>
      <c r="P2" s="138">
        <v>0</v>
      </c>
      <c r="Q2" s="138">
        <v>1</v>
      </c>
      <c r="R2" s="138">
        <v>2</v>
      </c>
      <c r="S2" s="138">
        <v>3</v>
      </c>
      <c r="T2" s="138">
        <v>4</v>
      </c>
      <c r="U2" s="138">
        <v>5</v>
      </c>
      <c r="V2" s="138">
        <v>6</v>
      </c>
      <c r="W2" s="139"/>
      <c r="X2" s="139"/>
      <c r="Y2" s="138"/>
      <c r="Z2" s="138">
        <v>0</v>
      </c>
      <c r="AA2" s="138">
        <v>1</v>
      </c>
      <c r="AB2" s="138">
        <v>2</v>
      </c>
      <c r="AC2" s="138">
        <v>3</v>
      </c>
      <c r="AD2" s="138">
        <v>4</v>
      </c>
      <c r="AE2" s="138">
        <v>5</v>
      </c>
      <c r="AF2" s="138">
        <v>6</v>
      </c>
    </row>
    <row r="3" spans="1:33" ht="24" customHeight="1" x14ac:dyDescent="0.25">
      <c r="A3" s="43"/>
      <c r="D3" s="152" t="s">
        <v>366</v>
      </c>
      <c r="E3" s="129"/>
      <c r="F3" s="150" t="s">
        <v>356</v>
      </c>
      <c r="G3" s="150"/>
      <c r="H3" s="150"/>
      <c r="I3" s="150"/>
      <c r="J3" s="150"/>
      <c r="K3" s="150"/>
      <c r="L3" s="150"/>
      <c r="M3" s="131"/>
      <c r="O3" s="129"/>
      <c r="P3" s="150" t="s">
        <v>367</v>
      </c>
      <c r="Q3" s="150"/>
      <c r="R3" s="150"/>
      <c r="S3" s="150"/>
      <c r="T3" s="150"/>
      <c r="U3" s="150"/>
      <c r="V3" s="150"/>
      <c r="W3" s="131"/>
      <c r="Y3" s="129"/>
      <c r="Z3" s="150" t="s">
        <v>370</v>
      </c>
      <c r="AA3" s="150"/>
      <c r="AB3" s="150"/>
      <c r="AC3" s="150"/>
      <c r="AD3" s="150"/>
      <c r="AE3" s="150"/>
      <c r="AF3" s="150"/>
      <c r="AG3" s="131"/>
    </row>
    <row r="4" spans="1:33" ht="24" customHeight="1" thickBot="1" x14ac:dyDescent="0.3">
      <c r="A4" s="11" t="s">
        <v>8</v>
      </c>
      <c r="D4" s="152"/>
      <c r="E4" s="129"/>
      <c r="F4" s="130" t="s">
        <v>357</v>
      </c>
      <c r="G4" s="130" t="s">
        <v>360</v>
      </c>
      <c r="H4" s="130" t="s">
        <v>361</v>
      </c>
      <c r="I4" s="130" t="s">
        <v>362</v>
      </c>
      <c r="J4" s="130" t="s">
        <v>363</v>
      </c>
      <c r="K4" s="130" t="s">
        <v>364</v>
      </c>
      <c r="L4" s="130" t="s">
        <v>358</v>
      </c>
      <c r="M4" s="131"/>
      <c r="O4" s="129"/>
      <c r="P4" s="130" t="s">
        <v>357</v>
      </c>
      <c r="Q4" s="130" t="s">
        <v>360</v>
      </c>
      <c r="R4" s="130" t="s">
        <v>361</v>
      </c>
      <c r="S4" s="130" t="s">
        <v>362</v>
      </c>
      <c r="T4" s="130" t="s">
        <v>363</v>
      </c>
      <c r="U4" s="130" t="s">
        <v>364</v>
      </c>
      <c r="V4" s="130" t="s">
        <v>358</v>
      </c>
      <c r="W4" s="131"/>
      <c r="Y4" s="129"/>
      <c r="Z4" s="130" t="s">
        <v>357</v>
      </c>
      <c r="AA4" s="130" t="s">
        <v>360</v>
      </c>
      <c r="AB4" s="130" t="s">
        <v>361</v>
      </c>
      <c r="AC4" s="130" t="s">
        <v>362</v>
      </c>
      <c r="AD4" s="130" t="s">
        <v>363</v>
      </c>
      <c r="AE4" s="130" t="s">
        <v>364</v>
      </c>
      <c r="AF4" s="130" t="s">
        <v>358</v>
      </c>
      <c r="AG4" s="131"/>
    </row>
    <row r="5" spans="1:33" ht="24" customHeight="1" x14ac:dyDescent="0.25">
      <c r="A5" s="37" t="s">
        <v>116</v>
      </c>
      <c r="D5" s="152"/>
      <c r="E5" s="129"/>
      <c r="F5" s="128" t="str">
        <f>IF(DayWeekNo($A$2&amp;"0101")=F2,1,IF(DayWeekNo($A$2&amp;"0101")&lt;F2,E5+1,""))</f>
        <v/>
      </c>
      <c r="G5" s="128">
        <f>IF(DayWeekNo($A$2&amp;"0101")=G2,1,IF(DayWeekNo($A$2&amp;"0101")&lt;G2,F5+1,""))</f>
        <v>1</v>
      </c>
      <c r="H5" s="128">
        <f>IF(DayWeekNo($A$2&amp;"0101")=H2,1,IF(DayWeekNo($A$2&amp;"0101")&lt;H2,G5+1,""))</f>
        <v>2</v>
      </c>
      <c r="I5" s="128">
        <f>IF(DayWeekNo($A$2&amp;"0101")=I2,1,IF(DayWeekNo($A$2&amp;"0101")&lt;I2,H5+1,""))</f>
        <v>3</v>
      </c>
      <c r="J5" s="128">
        <f>IF(DayWeekNo($A$2&amp;"0101")=J2,1,IF(DayWeekNo($A$2&amp;"0101")&lt;J2,I5+1,""))</f>
        <v>4</v>
      </c>
      <c r="K5" s="128">
        <f>IF(DayWeekNo($A$2&amp;"0101")=K2,1,IF(DayWeekNo($A$2&amp;"0101")&lt;K2,J5+1,""))</f>
        <v>5</v>
      </c>
      <c r="L5" s="128">
        <f>IF(DayWeekNo($A$2&amp;"0101")=L2,1,IF(DayWeekNo($A$2&amp;"0101")&lt;L2,K5+1,""))</f>
        <v>6</v>
      </c>
      <c r="M5" s="132"/>
      <c r="O5" s="129"/>
      <c r="P5" s="128" t="str">
        <f>IF(DayWeekNo($A$2&amp;"0201")=P2,1,IF(DayWeekNo($A$2&amp;"0201")&lt;P2,O5+1,""))</f>
        <v/>
      </c>
      <c r="Q5" s="128" t="str">
        <f>IF(DayWeekNo($A$2&amp;"0201")=Q2,1,IF(DayWeekNo($A$2&amp;"0201")&lt;Q2,P5+1,""))</f>
        <v/>
      </c>
      <c r="R5" s="128" t="str">
        <f>IF(DayWeekNo($A$2&amp;"0201")=R2,1,IF(DayWeekNo($A$2&amp;"0201")&lt;R2,Q5+1,""))</f>
        <v/>
      </c>
      <c r="S5" s="128" t="str">
        <f>IF(DayWeekNo($A$2&amp;"0201")=S2,1,IF(DayWeekNo($A$2&amp;"0201")&lt;S2,R5+1,""))</f>
        <v/>
      </c>
      <c r="T5" s="128">
        <f>IF(DayWeekNo($A$2&amp;"0201")=T2,1,IF(DayWeekNo($A$2&amp;"0201")&lt;T2,S5+1,""))</f>
        <v>1</v>
      </c>
      <c r="U5" s="128">
        <f>IF(DayWeekNo($A$2&amp;"0201")=U2,1,IF(DayWeekNo($A$2&amp;"0201")&lt;U2,T5+1,""))</f>
        <v>2</v>
      </c>
      <c r="V5" s="128">
        <f>IF(DayWeekNo($A$2&amp;"0201")=V2,1,IF(DayWeekNo($A$2&amp;"0201")&lt;V2,U5+1,""))</f>
        <v>3</v>
      </c>
      <c r="Y5" s="129"/>
      <c r="Z5" s="128">
        <f>IF(DayWeekNo($A$2&amp;"0301")=Z2,1,IF(DayWeekNo($A$2&amp;"0301")&lt;Z2,Y5+1,""))</f>
        <v>1</v>
      </c>
      <c r="AA5" s="128">
        <f>IF(DayWeekNo($A$2&amp;"0301")=AA2,1,IF(DayWeekNo($A$2&amp;"0301")&lt;AA2,Z5+1,""))</f>
        <v>2</v>
      </c>
      <c r="AB5" s="128">
        <f>IF(DayWeekNo($A$2&amp;"0301")=AB2,1,IF(DayWeekNo($A$2&amp;"0301")&lt;AB2,AA5+1,""))</f>
        <v>3</v>
      </c>
      <c r="AC5" s="128">
        <f>IF(DayWeekNo($A$2&amp;"0301")=AC2,1,IF(DayWeekNo($A$2&amp;"0301")&lt;AC2,AB5+1,""))</f>
        <v>4</v>
      </c>
      <c r="AD5" s="128">
        <f>IF(DayWeekNo($A$2&amp;"0301")=AD2,1,IF(DayWeekNo($A$2&amp;"0301")&lt;AD2,AC5+1,""))</f>
        <v>5</v>
      </c>
      <c r="AE5" s="128">
        <f>IF(DayWeekNo($A$2&amp;"0301")=AE2,1,IF(DayWeekNo($A$2&amp;"0301")&lt;AE2,AD5+1,""))</f>
        <v>6</v>
      </c>
      <c r="AF5" s="128">
        <f>IF(DayWeekNo($A$2&amp;"0301")=AF2,1,IF(DayWeekNo($A$2&amp;"0301")&lt;AF2,AE5+1,""))</f>
        <v>7</v>
      </c>
      <c r="AG5" s="132"/>
    </row>
    <row r="6" spans="1:33" ht="24" customHeight="1" x14ac:dyDescent="0.25">
      <c r="A6" s="12" t="s">
        <v>103</v>
      </c>
      <c r="D6" s="152"/>
      <c r="E6" s="129"/>
      <c r="F6" s="128">
        <f>IFERROR(IF(L5+1&lt;=31,L5+1,""),"")</f>
        <v>7</v>
      </c>
      <c r="G6" s="128">
        <f>IFERROR(IF(F6+1&lt;=31,F6+1,""),"")</f>
        <v>8</v>
      </c>
      <c r="H6" s="128">
        <f t="shared" ref="H6:L6" si="0">IFERROR(IF(G6+1&lt;=31,G6+1,""),"")</f>
        <v>9</v>
      </c>
      <c r="I6" s="128">
        <f t="shared" si="0"/>
        <v>10</v>
      </c>
      <c r="J6" s="128">
        <f t="shared" si="0"/>
        <v>11</v>
      </c>
      <c r="K6" s="128">
        <f t="shared" si="0"/>
        <v>12</v>
      </c>
      <c r="L6" s="128">
        <f t="shared" si="0"/>
        <v>13</v>
      </c>
      <c r="M6" s="132"/>
      <c r="O6" s="129"/>
      <c r="P6" s="128">
        <f>IFERROR(IF(V5+1&lt;=31,V5+1,""),"")</f>
        <v>4</v>
      </c>
      <c r="Q6" s="128">
        <f>IFERROR(IF(P6+1&lt;=31,P6+1,""),"")</f>
        <v>5</v>
      </c>
      <c r="R6" s="128">
        <f t="shared" ref="R6:V6" si="1">IFERROR(IF(Q6+1&lt;=31,Q6+1,""),"")</f>
        <v>6</v>
      </c>
      <c r="S6" s="128">
        <f t="shared" si="1"/>
        <v>7</v>
      </c>
      <c r="T6" s="128">
        <f t="shared" si="1"/>
        <v>8</v>
      </c>
      <c r="U6" s="128">
        <f t="shared" si="1"/>
        <v>9</v>
      </c>
      <c r="V6" s="128">
        <f t="shared" si="1"/>
        <v>10</v>
      </c>
      <c r="Y6" s="129"/>
      <c r="Z6" s="128">
        <f>IFERROR(IF(AF5+1&lt;=31,AF5+1,""),"")</f>
        <v>8</v>
      </c>
      <c r="AA6" s="128">
        <f>IFERROR(IF(Z6+1&lt;=31,Z6+1,""),"")</f>
        <v>9</v>
      </c>
      <c r="AB6" s="128">
        <f t="shared" ref="AB6:AF6" si="2">IFERROR(IF(AA6+1&lt;=31,AA6+1,""),"")</f>
        <v>10</v>
      </c>
      <c r="AC6" s="128">
        <f t="shared" si="2"/>
        <v>11</v>
      </c>
      <c r="AD6" s="128">
        <f t="shared" si="2"/>
        <v>12</v>
      </c>
      <c r="AE6" s="128">
        <f t="shared" si="2"/>
        <v>13</v>
      </c>
      <c r="AF6" s="128">
        <f t="shared" si="2"/>
        <v>14</v>
      </c>
      <c r="AG6" s="132"/>
    </row>
    <row r="7" spans="1:33" ht="24" customHeight="1" x14ac:dyDescent="0.25">
      <c r="A7" s="13" t="s">
        <v>104</v>
      </c>
      <c r="D7" s="152"/>
      <c r="E7" s="129"/>
      <c r="F7" s="128">
        <f t="shared" ref="F7:F9" si="3">IFERROR(IF(L6+1&lt;=31,L6+1,""),"")</f>
        <v>14</v>
      </c>
      <c r="G7" s="128">
        <f t="shared" ref="G7:L7" si="4">IFERROR(IF(F7+1&lt;=31,F7+1,""),"")</f>
        <v>15</v>
      </c>
      <c r="H7" s="128">
        <f t="shared" si="4"/>
        <v>16</v>
      </c>
      <c r="I7" s="128">
        <f t="shared" si="4"/>
        <v>17</v>
      </c>
      <c r="J7" s="128">
        <f t="shared" si="4"/>
        <v>18</v>
      </c>
      <c r="K7" s="128">
        <f t="shared" si="4"/>
        <v>19</v>
      </c>
      <c r="L7" s="128">
        <f t="shared" si="4"/>
        <v>20</v>
      </c>
      <c r="M7" s="132"/>
      <c r="O7" s="129"/>
      <c r="P7" s="128">
        <f t="shared" ref="P7:P9" si="5">IFERROR(IF(V6+1&lt;=31,V6+1,""),"")</f>
        <v>11</v>
      </c>
      <c r="Q7" s="128">
        <f t="shared" ref="Q7:V7" si="6">IFERROR(IF(P7+1&lt;=31,P7+1,""),"")</f>
        <v>12</v>
      </c>
      <c r="R7" s="128">
        <f t="shared" si="6"/>
        <v>13</v>
      </c>
      <c r="S7" s="128">
        <f t="shared" si="6"/>
        <v>14</v>
      </c>
      <c r="T7" s="128">
        <f t="shared" si="6"/>
        <v>15</v>
      </c>
      <c r="U7" s="128">
        <f t="shared" si="6"/>
        <v>16</v>
      </c>
      <c r="V7" s="128">
        <f t="shared" si="6"/>
        <v>17</v>
      </c>
      <c r="Y7" s="129"/>
      <c r="Z7" s="128">
        <f t="shared" ref="Z7:Z9" si="7">IFERROR(IF(AF6+1&lt;=31,AF6+1,""),"")</f>
        <v>15</v>
      </c>
      <c r="AA7" s="128">
        <f t="shared" ref="AA7:AF7" si="8">IFERROR(IF(Z7+1&lt;=31,Z7+1,""),"")</f>
        <v>16</v>
      </c>
      <c r="AB7" s="128">
        <f t="shared" si="8"/>
        <v>17</v>
      </c>
      <c r="AC7" s="128">
        <f t="shared" si="8"/>
        <v>18</v>
      </c>
      <c r="AD7" s="128">
        <f t="shared" si="8"/>
        <v>19</v>
      </c>
      <c r="AE7" s="128">
        <f t="shared" si="8"/>
        <v>20</v>
      </c>
      <c r="AF7" s="128">
        <f t="shared" si="8"/>
        <v>21</v>
      </c>
      <c r="AG7" s="132"/>
    </row>
    <row r="8" spans="1:33" ht="24" customHeight="1" x14ac:dyDescent="0.25">
      <c r="A8" s="35" t="s">
        <v>105</v>
      </c>
      <c r="D8" s="152"/>
      <c r="E8" s="129"/>
      <c r="F8" s="128">
        <f t="shared" si="3"/>
        <v>21</v>
      </c>
      <c r="G8" s="128">
        <f t="shared" ref="G8:L8" si="9">IFERROR(IF(F8+1&lt;=31,F8+1,""),"")</f>
        <v>22</v>
      </c>
      <c r="H8" s="128">
        <f t="shared" si="9"/>
        <v>23</v>
      </c>
      <c r="I8" s="128">
        <f t="shared" si="9"/>
        <v>24</v>
      </c>
      <c r="J8" s="128">
        <f t="shared" si="9"/>
        <v>25</v>
      </c>
      <c r="K8" s="128">
        <f t="shared" si="9"/>
        <v>26</v>
      </c>
      <c r="L8" s="128">
        <f t="shared" si="9"/>
        <v>27</v>
      </c>
      <c r="M8" s="132"/>
      <c r="O8" s="129"/>
      <c r="P8" s="128">
        <f t="shared" si="5"/>
        <v>18</v>
      </c>
      <c r="Q8" s="128">
        <f t="shared" ref="Q8:V8" si="10">IFERROR(IF(P8+1&lt;=31,P8+1,""),"")</f>
        <v>19</v>
      </c>
      <c r="R8" s="128">
        <f t="shared" si="10"/>
        <v>20</v>
      </c>
      <c r="S8" s="128">
        <f t="shared" si="10"/>
        <v>21</v>
      </c>
      <c r="T8" s="128">
        <f t="shared" si="10"/>
        <v>22</v>
      </c>
      <c r="U8" s="128">
        <f t="shared" si="10"/>
        <v>23</v>
      </c>
      <c r="V8" s="128">
        <f t="shared" si="10"/>
        <v>24</v>
      </c>
      <c r="Y8" s="129"/>
      <c r="Z8" s="128">
        <f t="shared" si="7"/>
        <v>22</v>
      </c>
      <c r="AA8" s="128">
        <f t="shared" ref="AA8:AF8" si="11">IFERROR(IF(Z8+1&lt;=31,Z8+1,""),"")</f>
        <v>23</v>
      </c>
      <c r="AB8" s="128">
        <f t="shared" si="11"/>
        <v>24</v>
      </c>
      <c r="AC8" s="128">
        <f t="shared" si="11"/>
        <v>25</v>
      </c>
      <c r="AD8" s="128">
        <f t="shared" si="11"/>
        <v>26</v>
      </c>
      <c r="AE8" s="128">
        <f t="shared" si="11"/>
        <v>27</v>
      </c>
      <c r="AF8" s="128">
        <f t="shared" si="11"/>
        <v>28</v>
      </c>
      <c r="AG8" s="132"/>
    </row>
    <row r="9" spans="1:33" ht="24" customHeight="1" x14ac:dyDescent="0.25">
      <c r="A9" s="14" t="s">
        <v>111</v>
      </c>
      <c r="D9" s="152"/>
      <c r="E9" s="129"/>
      <c r="F9" s="128">
        <f t="shared" si="3"/>
        <v>28</v>
      </c>
      <c r="G9" s="128">
        <f t="shared" ref="G9:L10" si="12">IFERROR(IF(F9+1&lt;=31,F9+1,""),"")</f>
        <v>29</v>
      </c>
      <c r="H9" s="128">
        <f t="shared" si="12"/>
        <v>30</v>
      </c>
      <c r="I9" s="128">
        <f t="shared" si="12"/>
        <v>31</v>
      </c>
      <c r="J9" s="128" t="str">
        <f t="shared" si="12"/>
        <v/>
      </c>
      <c r="K9" s="128" t="str">
        <f t="shared" si="12"/>
        <v/>
      </c>
      <c r="L9" s="128" t="str">
        <f t="shared" si="12"/>
        <v/>
      </c>
      <c r="M9" s="132"/>
      <c r="O9" s="129"/>
      <c r="P9" s="128">
        <f t="shared" si="5"/>
        <v>25</v>
      </c>
      <c r="Q9" s="128">
        <f t="shared" ref="Q9:V10" si="13">IFERROR(IF(P9+1&lt;=31,P9+1,""),"")</f>
        <v>26</v>
      </c>
      <c r="R9" s="128">
        <f t="shared" si="13"/>
        <v>27</v>
      </c>
      <c r="S9" s="128">
        <f t="shared" si="13"/>
        <v>28</v>
      </c>
      <c r="T9" s="128">
        <f t="shared" si="13"/>
        <v>29</v>
      </c>
      <c r="U9" s="128">
        <f t="shared" si="13"/>
        <v>30</v>
      </c>
      <c r="V9" s="128">
        <f t="shared" si="13"/>
        <v>31</v>
      </c>
      <c r="Y9" s="129"/>
      <c r="Z9" s="128">
        <f t="shared" si="7"/>
        <v>29</v>
      </c>
      <c r="AA9" s="128">
        <f t="shared" ref="AA9:AF10" si="14">IFERROR(IF(Z9+1&lt;=31,Z9+1,""),"")</f>
        <v>30</v>
      </c>
      <c r="AB9" s="128">
        <f t="shared" si="14"/>
        <v>31</v>
      </c>
      <c r="AC9" s="128" t="str">
        <f t="shared" si="14"/>
        <v/>
      </c>
      <c r="AD9" s="128" t="str">
        <f t="shared" si="14"/>
        <v/>
      </c>
      <c r="AE9" s="128" t="str">
        <f t="shared" si="14"/>
        <v/>
      </c>
      <c r="AF9" s="128" t="str">
        <f t="shared" si="14"/>
        <v/>
      </c>
      <c r="AG9" s="132"/>
    </row>
    <row r="10" spans="1:33" ht="24" customHeight="1" x14ac:dyDescent="0.25">
      <c r="A10" s="15" t="s">
        <v>90</v>
      </c>
      <c r="D10" s="152"/>
      <c r="E10" s="129"/>
      <c r="F10" s="128" t="str">
        <f t="shared" ref="F10" si="15">IFERROR(IF(L9+1&lt;=31,L9+1,""),"")</f>
        <v/>
      </c>
      <c r="G10" s="128" t="str">
        <f t="shared" si="12"/>
        <v/>
      </c>
      <c r="H10" s="128" t="str">
        <f t="shared" si="12"/>
        <v/>
      </c>
      <c r="I10" s="128" t="str">
        <f t="shared" si="12"/>
        <v/>
      </c>
      <c r="J10" s="128" t="str">
        <f t="shared" si="12"/>
        <v/>
      </c>
      <c r="K10" s="128" t="str">
        <f t="shared" si="12"/>
        <v/>
      </c>
      <c r="L10" s="128" t="str">
        <f t="shared" si="12"/>
        <v/>
      </c>
      <c r="O10" s="129"/>
      <c r="P10" s="128" t="str">
        <f t="shared" ref="P10" si="16">IFERROR(IF(V9+1&lt;=31,V9+1,""),"")</f>
        <v/>
      </c>
      <c r="Q10" s="128" t="str">
        <f t="shared" si="13"/>
        <v/>
      </c>
      <c r="R10" s="128" t="str">
        <f t="shared" si="13"/>
        <v/>
      </c>
      <c r="S10" s="128" t="str">
        <f t="shared" si="13"/>
        <v/>
      </c>
      <c r="T10" s="128" t="str">
        <f t="shared" si="13"/>
        <v/>
      </c>
      <c r="U10" s="128" t="str">
        <f t="shared" si="13"/>
        <v/>
      </c>
      <c r="V10" s="128" t="str">
        <f t="shared" si="13"/>
        <v/>
      </c>
      <c r="Y10" s="129"/>
      <c r="Z10" s="128" t="str">
        <f t="shared" ref="Z10" si="17">IFERROR(IF(AF9+1&lt;=31,AF9+1,""),"")</f>
        <v/>
      </c>
      <c r="AA10" s="128" t="str">
        <f t="shared" si="14"/>
        <v/>
      </c>
      <c r="AB10" s="128" t="str">
        <f t="shared" si="14"/>
        <v/>
      </c>
      <c r="AC10" s="128" t="str">
        <f t="shared" si="14"/>
        <v/>
      </c>
      <c r="AD10" s="128" t="str">
        <f t="shared" si="14"/>
        <v/>
      </c>
      <c r="AE10" s="128" t="str">
        <f t="shared" si="14"/>
        <v/>
      </c>
      <c r="AF10" s="128" t="str">
        <f t="shared" si="14"/>
        <v/>
      </c>
    </row>
    <row r="11" spans="1:33" ht="24" customHeight="1" x14ac:dyDescent="0.25">
      <c r="A11" s="25" t="s">
        <v>112</v>
      </c>
      <c r="D11" s="138"/>
      <c r="E11" s="138"/>
      <c r="F11" s="138">
        <v>0</v>
      </c>
      <c r="G11" s="138">
        <v>1</v>
      </c>
      <c r="H11" s="138">
        <v>2</v>
      </c>
      <c r="I11" s="138">
        <v>3</v>
      </c>
      <c r="J11" s="138">
        <v>4</v>
      </c>
      <c r="K11" s="138">
        <v>5</v>
      </c>
      <c r="L11" s="138">
        <v>6</v>
      </c>
      <c r="M11" s="139"/>
      <c r="N11" s="139"/>
      <c r="O11" s="138"/>
      <c r="P11" s="138">
        <v>0</v>
      </c>
      <c r="Q11" s="138">
        <v>1</v>
      </c>
      <c r="R11" s="138">
        <v>2</v>
      </c>
      <c r="S11" s="138">
        <v>3</v>
      </c>
      <c r="T11" s="138">
        <v>4</v>
      </c>
      <c r="U11" s="138">
        <v>5</v>
      </c>
      <c r="V11" s="138">
        <v>6</v>
      </c>
      <c r="W11" s="139"/>
      <c r="X11" s="139"/>
      <c r="Y11" s="139"/>
      <c r="Z11" s="138">
        <v>0</v>
      </c>
      <c r="AA11" s="138">
        <v>1</v>
      </c>
      <c r="AB11" s="138">
        <v>2</v>
      </c>
      <c r="AC11" s="138">
        <v>3</v>
      </c>
      <c r="AD11" s="138">
        <v>4</v>
      </c>
      <c r="AE11" s="138">
        <v>5</v>
      </c>
      <c r="AF11" s="138">
        <v>6</v>
      </c>
      <c r="AG11" s="139"/>
    </row>
    <row r="12" spans="1:33" ht="24" customHeight="1" x14ac:dyDescent="0.25">
      <c r="A12" s="16" t="s">
        <v>106</v>
      </c>
      <c r="D12" s="151" t="s">
        <v>368</v>
      </c>
      <c r="E12" s="133"/>
      <c r="F12" s="149" t="s">
        <v>369</v>
      </c>
      <c r="G12" s="149"/>
      <c r="H12" s="149"/>
      <c r="I12" s="149"/>
      <c r="J12" s="149"/>
      <c r="K12" s="149"/>
      <c r="L12" s="149"/>
      <c r="M12" s="134"/>
      <c r="O12" s="133"/>
      <c r="P12" s="149" t="s">
        <v>371</v>
      </c>
      <c r="Q12" s="149"/>
      <c r="R12" s="149"/>
      <c r="S12" s="149"/>
      <c r="T12" s="149"/>
      <c r="U12" s="149"/>
      <c r="V12" s="149"/>
      <c r="W12" s="134"/>
      <c r="Y12" s="133"/>
      <c r="Z12" s="149" t="s">
        <v>372</v>
      </c>
      <c r="AA12" s="149"/>
      <c r="AB12" s="149"/>
      <c r="AC12" s="149"/>
      <c r="AD12" s="149"/>
      <c r="AE12" s="149"/>
      <c r="AF12" s="149"/>
      <c r="AG12" s="134"/>
    </row>
    <row r="13" spans="1:33" ht="24" customHeight="1" thickBot="1" x14ac:dyDescent="0.3">
      <c r="A13" s="17" t="s">
        <v>99</v>
      </c>
      <c r="D13" s="151"/>
      <c r="E13" s="133"/>
      <c r="F13" s="130" t="s">
        <v>357</v>
      </c>
      <c r="G13" s="130" t="s">
        <v>360</v>
      </c>
      <c r="H13" s="130" t="s">
        <v>361</v>
      </c>
      <c r="I13" s="130" t="s">
        <v>362</v>
      </c>
      <c r="J13" s="130" t="s">
        <v>363</v>
      </c>
      <c r="K13" s="130" t="s">
        <v>364</v>
      </c>
      <c r="L13" s="130" t="s">
        <v>358</v>
      </c>
      <c r="M13" s="134"/>
      <c r="O13" s="133"/>
      <c r="P13" s="130" t="s">
        <v>357</v>
      </c>
      <c r="Q13" s="130" t="s">
        <v>360</v>
      </c>
      <c r="R13" s="130" t="s">
        <v>361</v>
      </c>
      <c r="S13" s="130" t="s">
        <v>362</v>
      </c>
      <c r="T13" s="130" t="s">
        <v>363</v>
      </c>
      <c r="U13" s="130" t="s">
        <v>364</v>
      </c>
      <c r="V13" s="130" t="s">
        <v>358</v>
      </c>
      <c r="W13" s="134"/>
      <c r="Y13" s="133"/>
      <c r="Z13" s="130" t="s">
        <v>357</v>
      </c>
      <c r="AA13" s="130" t="s">
        <v>360</v>
      </c>
      <c r="AB13" s="130" t="s">
        <v>361</v>
      </c>
      <c r="AC13" s="130" t="s">
        <v>362</v>
      </c>
      <c r="AD13" s="130" t="s">
        <v>363</v>
      </c>
      <c r="AE13" s="130" t="s">
        <v>364</v>
      </c>
      <c r="AF13" s="130" t="s">
        <v>358</v>
      </c>
      <c r="AG13" s="134"/>
    </row>
    <row r="14" spans="1:33" ht="24" customHeight="1" x14ac:dyDescent="0.25">
      <c r="A14" s="143" t="s">
        <v>100</v>
      </c>
      <c r="D14" s="151"/>
      <c r="E14" s="133"/>
      <c r="F14" s="128" t="str">
        <f>IF(DayWeekNo($A$2&amp;"0401")=F11,1,IF(DayWeekNo($A$2&amp;"0401")&lt;F11,E14+1,""))</f>
        <v/>
      </c>
      <c r="G14" s="128" t="str">
        <f>IF(DayWeekNo($A$2&amp;"0401")=G11,1,IF(DayWeekNo($A$2&amp;"0401")&lt;G11,F14+1,""))</f>
        <v/>
      </c>
      <c r="H14" s="128" t="str">
        <f>IF(DayWeekNo($A$2&amp;"0401")=H11,1,IF(DayWeekNo($A$2&amp;"0401")&lt;H11,G14+1,""))</f>
        <v/>
      </c>
      <c r="I14" s="128">
        <f>IF(DayWeekNo($A$2&amp;"0401")=I11,1,IF(DayWeekNo($A$2&amp;"0401")&lt;I11,H14+1,""))</f>
        <v>1</v>
      </c>
      <c r="J14" s="128">
        <f>IF(DayWeekNo($A$2&amp;"0401")=J11,1,IF(DayWeekNo($A$2&amp;"0401")&lt;J11,I14+1,""))</f>
        <v>2</v>
      </c>
      <c r="K14" s="128">
        <f>IF(DayWeekNo($A$2&amp;"0401")=K11,1,IF(DayWeekNo($A$2&amp;"0401")&lt;K11,J14+1,""))</f>
        <v>3</v>
      </c>
      <c r="L14" s="128">
        <f>IF(DayWeekNo($A$2&amp;"0401")=L11,1,IF(DayWeekNo($A$2&amp;"0401")&lt;L11,K14+1,""))</f>
        <v>4</v>
      </c>
      <c r="M14" s="132"/>
      <c r="O14" s="133"/>
      <c r="P14" s="128" t="str">
        <f>IF(DayWeekNo($A$2&amp;"0501")=P11,1,IF(DayWeekNo($A$2&amp;"0501")&lt;P11,O14+1,""))</f>
        <v/>
      </c>
      <c r="Q14" s="128" t="str">
        <f>IF(DayWeekNo($A$2&amp;"0501")=Q11,1,IF(DayWeekNo($A$2&amp;"0501")&lt;Q11,P14+1,""))</f>
        <v/>
      </c>
      <c r="R14" s="128" t="str">
        <f>IF(DayWeekNo($A$2&amp;"0501")=R11,1,IF(DayWeekNo($A$2&amp;"0501")&lt;R11,Q14+1,""))</f>
        <v/>
      </c>
      <c r="S14" s="128" t="str">
        <f>IF(DayWeekNo($A$2&amp;"0501")=S11,1,IF(DayWeekNo($A$2&amp;"0501")&lt;S11,R14+1,""))</f>
        <v/>
      </c>
      <c r="T14" s="128" t="str">
        <f>IF(DayWeekNo($A$2&amp;"0501")=T11,1,IF(DayWeekNo($A$2&amp;"0501")&lt;T11,S14+1,""))</f>
        <v/>
      </c>
      <c r="U14" s="128" t="str">
        <f>IF(DayWeekNo($A$2&amp;"0501")=U11,1,IF(DayWeekNo($A$2&amp;"0501")&lt;U11,T14+1,""))</f>
        <v/>
      </c>
      <c r="V14" s="128">
        <f>IF(DayWeekNo($A$2&amp;"0501")=V11,1,IF(DayWeekNo($A$2&amp;"0501")&lt;V11,U14+1,""))</f>
        <v>1</v>
      </c>
      <c r="W14" s="132"/>
      <c r="Y14" s="133"/>
      <c r="Z14" s="128" t="str">
        <f>IF(DayWeekNo($A$2&amp;"0601")=Z11,1,IF(DayWeekNo($A$2&amp;"0601")&lt;Z11,Y14+1,""))</f>
        <v/>
      </c>
      <c r="AA14" s="128" t="str">
        <f>IF(DayWeekNo($A$2&amp;"0601")=AA11,1,IF(DayWeekNo($A$2&amp;"0601")&lt;AA11,Z14+1,""))</f>
        <v/>
      </c>
      <c r="AB14" s="128">
        <f>IF(DayWeekNo($A$2&amp;"0601")=AB11,1,IF(DayWeekNo($A$2&amp;"0601")&lt;AB11,AA14+1,""))</f>
        <v>1</v>
      </c>
      <c r="AC14" s="128">
        <f>IF(DayWeekNo($A$2&amp;"0601")=AC11,1,IF(DayWeekNo($A$2&amp;"0601")&lt;AC11,AB14+1,""))</f>
        <v>2</v>
      </c>
      <c r="AD14" s="128">
        <f>IF(DayWeekNo($A$2&amp;"0601")=AD11,1,IF(DayWeekNo($A$2&amp;"0601")&lt;AD11,AC14+1,""))</f>
        <v>3</v>
      </c>
      <c r="AE14" s="128">
        <f>IF(DayWeekNo($A$2&amp;"0601")=AE11,1,IF(DayWeekNo($A$2&amp;"0601")&lt;AE11,AD14+1,""))</f>
        <v>4</v>
      </c>
      <c r="AF14" s="128">
        <f>IF(DayWeekNo($A$2&amp;"0601")=AF11,1,IF(DayWeekNo($A$2&amp;"0601")&lt;AF11,AE14+1,""))</f>
        <v>5</v>
      </c>
      <c r="AG14" s="132"/>
    </row>
    <row r="15" spans="1:33" ht="24" customHeight="1" x14ac:dyDescent="0.25">
      <c r="A15" s="124" t="s">
        <v>101</v>
      </c>
      <c r="D15" s="151"/>
      <c r="E15" s="133"/>
      <c r="F15" s="128">
        <f>IFERROR(IF(L14+1&lt;=31,L14+1,""),"")</f>
        <v>5</v>
      </c>
      <c r="G15" s="128">
        <f>IFERROR(IF(F15+1&lt;=31,F15+1,""),"")</f>
        <v>6</v>
      </c>
      <c r="H15" s="128">
        <f t="shared" ref="H15:L15" si="18">IFERROR(IF(G15+1&lt;=31,G15+1,""),"")</f>
        <v>7</v>
      </c>
      <c r="I15" s="128">
        <f t="shared" si="18"/>
        <v>8</v>
      </c>
      <c r="J15" s="128">
        <f t="shared" si="18"/>
        <v>9</v>
      </c>
      <c r="K15" s="128">
        <f t="shared" si="18"/>
        <v>10</v>
      </c>
      <c r="L15" s="128">
        <f t="shared" si="18"/>
        <v>11</v>
      </c>
      <c r="M15" s="132"/>
      <c r="O15" s="133"/>
      <c r="P15" s="128">
        <f>IFERROR(IF(V14+1&lt;=31,V14+1,""),"")</f>
        <v>2</v>
      </c>
      <c r="Q15" s="128">
        <f>IFERROR(IF(P15+1&lt;=31,P15+1,""),"")</f>
        <v>3</v>
      </c>
      <c r="R15" s="128">
        <f t="shared" ref="R15:V15" si="19">IFERROR(IF(Q15+1&lt;=31,Q15+1,""),"")</f>
        <v>4</v>
      </c>
      <c r="S15" s="128">
        <f t="shared" si="19"/>
        <v>5</v>
      </c>
      <c r="T15" s="128">
        <f t="shared" si="19"/>
        <v>6</v>
      </c>
      <c r="U15" s="128">
        <f t="shared" si="19"/>
        <v>7</v>
      </c>
      <c r="V15" s="128">
        <f t="shared" si="19"/>
        <v>8</v>
      </c>
      <c r="W15" s="132"/>
      <c r="Y15" s="133"/>
      <c r="Z15" s="128">
        <f>IFERROR(IF(AF14+1&lt;=31,AF14+1,""),"")</f>
        <v>6</v>
      </c>
      <c r="AA15" s="128">
        <f>IFERROR(IF(Z15+1&lt;=31,Z15+1,""),"")</f>
        <v>7</v>
      </c>
      <c r="AB15" s="128">
        <f t="shared" ref="AB15:AF15" si="20">IFERROR(IF(AA15+1&lt;=31,AA15+1,""),"")</f>
        <v>8</v>
      </c>
      <c r="AC15" s="128">
        <f t="shared" si="20"/>
        <v>9</v>
      </c>
      <c r="AD15" s="128">
        <f t="shared" si="20"/>
        <v>10</v>
      </c>
      <c r="AE15" s="128">
        <f t="shared" si="20"/>
        <v>11</v>
      </c>
      <c r="AF15" s="128">
        <f t="shared" si="20"/>
        <v>12</v>
      </c>
      <c r="AG15" s="132"/>
    </row>
    <row r="16" spans="1:33" ht="24" customHeight="1" x14ac:dyDescent="0.25">
      <c r="D16" s="151"/>
      <c r="E16" s="133"/>
      <c r="F16" s="128">
        <f t="shared" ref="F16:F18" si="21">IFERROR(IF(L15+1&lt;=31,L15+1,""),"")</f>
        <v>12</v>
      </c>
      <c r="G16" s="128">
        <f t="shared" ref="G16:L16" si="22">IFERROR(IF(F16+1&lt;=31,F16+1,""),"")</f>
        <v>13</v>
      </c>
      <c r="H16" s="128">
        <f t="shared" si="22"/>
        <v>14</v>
      </c>
      <c r="I16" s="128">
        <f t="shared" si="22"/>
        <v>15</v>
      </c>
      <c r="J16" s="128">
        <f t="shared" si="22"/>
        <v>16</v>
      </c>
      <c r="K16" s="128">
        <f t="shared" si="22"/>
        <v>17</v>
      </c>
      <c r="L16" s="128">
        <f t="shared" si="22"/>
        <v>18</v>
      </c>
      <c r="M16" s="132"/>
      <c r="O16" s="133"/>
      <c r="P16" s="128">
        <f t="shared" ref="P16:P18" si="23">IFERROR(IF(V15+1&lt;=31,V15+1,""),"")</f>
        <v>9</v>
      </c>
      <c r="Q16" s="128">
        <f t="shared" ref="Q16:V16" si="24">IFERROR(IF(P16+1&lt;=31,P16+1,""),"")</f>
        <v>10</v>
      </c>
      <c r="R16" s="128">
        <f t="shared" si="24"/>
        <v>11</v>
      </c>
      <c r="S16" s="128">
        <f t="shared" si="24"/>
        <v>12</v>
      </c>
      <c r="T16" s="128">
        <f t="shared" si="24"/>
        <v>13</v>
      </c>
      <c r="U16" s="128">
        <f t="shared" si="24"/>
        <v>14</v>
      </c>
      <c r="V16" s="128">
        <f t="shared" si="24"/>
        <v>15</v>
      </c>
      <c r="W16" s="132"/>
      <c r="Y16" s="133"/>
      <c r="Z16" s="128">
        <f t="shared" ref="Z16:Z19" si="25">IFERROR(IF(AF15+1&lt;=31,AF15+1,""),"")</f>
        <v>13</v>
      </c>
      <c r="AA16" s="128">
        <f t="shared" ref="AA16:AF16" si="26">IFERROR(IF(Z16+1&lt;=31,Z16+1,""),"")</f>
        <v>14</v>
      </c>
      <c r="AB16" s="128">
        <f t="shared" si="26"/>
        <v>15</v>
      </c>
      <c r="AC16" s="128">
        <f t="shared" si="26"/>
        <v>16</v>
      </c>
      <c r="AD16" s="128">
        <f t="shared" si="26"/>
        <v>17</v>
      </c>
      <c r="AE16" s="128">
        <f t="shared" si="26"/>
        <v>18</v>
      </c>
      <c r="AF16" s="128">
        <f t="shared" si="26"/>
        <v>19</v>
      </c>
      <c r="AG16" s="132"/>
    </row>
    <row r="17" spans="4:33" ht="21" x14ac:dyDescent="0.25">
      <c r="D17" s="151"/>
      <c r="E17" s="133"/>
      <c r="F17" s="128">
        <f t="shared" si="21"/>
        <v>19</v>
      </c>
      <c r="G17" s="128">
        <f t="shared" ref="G17:L17" si="27">IFERROR(IF(F17+1&lt;=31,F17+1,""),"")</f>
        <v>20</v>
      </c>
      <c r="H17" s="128">
        <f t="shared" si="27"/>
        <v>21</v>
      </c>
      <c r="I17" s="128">
        <f t="shared" si="27"/>
        <v>22</v>
      </c>
      <c r="J17" s="128">
        <f t="shared" si="27"/>
        <v>23</v>
      </c>
      <c r="K17" s="128">
        <f t="shared" si="27"/>
        <v>24</v>
      </c>
      <c r="L17" s="128">
        <f t="shared" si="27"/>
        <v>25</v>
      </c>
      <c r="M17" s="132"/>
      <c r="O17" s="133"/>
      <c r="P17" s="128">
        <f t="shared" si="23"/>
        <v>16</v>
      </c>
      <c r="Q17" s="128">
        <f t="shared" ref="Q17:V17" si="28">IFERROR(IF(P17+1&lt;=31,P17+1,""),"")</f>
        <v>17</v>
      </c>
      <c r="R17" s="128">
        <f t="shared" si="28"/>
        <v>18</v>
      </c>
      <c r="S17" s="128">
        <f t="shared" si="28"/>
        <v>19</v>
      </c>
      <c r="T17" s="128">
        <f t="shared" si="28"/>
        <v>20</v>
      </c>
      <c r="U17" s="128">
        <f t="shared" si="28"/>
        <v>21</v>
      </c>
      <c r="V17" s="128">
        <f t="shared" si="28"/>
        <v>22</v>
      </c>
      <c r="W17" s="132"/>
      <c r="Y17" s="133"/>
      <c r="Z17" s="128">
        <f t="shared" si="25"/>
        <v>20</v>
      </c>
      <c r="AA17" s="128">
        <f t="shared" ref="AA17:AF17" si="29">IFERROR(IF(Z17+1&lt;=31,Z17+1,""),"")</f>
        <v>21</v>
      </c>
      <c r="AB17" s="128">
        <f t="shared" si="29"/>
        <v>22</v>
      </c>
      <c r="AC17" s="128">
        <f t="shared" si="29"/>
        <v>23</v>
      </c>
      <c r="AD17" s="128">
        <f t="shared" si="29"/>
        <v>24</v>
      </c>
      <c r="AE17" s="128">
        <f t="shared" si="29"/>
        <v>25</v>
      </c>
      <c r="AF17" s="128">
        <f t="shared" si="29"/>
        <v>26</v>
      </c>
      <c r="AG17" s="132"/>
    </row>
    <row r="18" spans="4:33" ht="21" x14ac:dyDescent="0.25">
      <c r="D18" s="151"/>
      <c r="E18" s="133"/>
      <c r="F18" s="128">
        <f t="shared" si="21"/>
        <v>26</v>
      </c>
      <c r="G18" s="128">
        <f t="shared" ref="G18:L19" si="30">IFERROR(IF(F18+1&lt;=31,F18+1,""),"")</f>
        <v>27</v>
      </c>
      <c r="H18" s="128">
        <f t="shared" si="30"/>
        <v>28</v>
      </c>
      <c r="I18" s="128">
        <f t="shared" si="30"/>
        <v>29</v>
      </c>
      <c r="J18" s="128">
        <f t="shared" si="30"/>
        <v>30</v>
      </c>
      <c r="K18" s="128">
        <f t="shared" si="30"/>
        <v>31</v>
      </c>
      <c r="L18" s="128" t="str">
        <f t="shared" si="30"/>
        <v/>
      </c>
      <c r="M18" s="132"/>
      <c r="O18" s="133"/>
      <c r="P18" s="128">
        <f t="shared" si="23"/>
        <v>23</v>
      </c>
      <c r="Q18" s="128">
        <f t="shared" ref="Q18:V19" si="31">IFERROR(IF(P18+1&lt;=31,P18+1,""),"")</f>
        <v>24</v>
      </c>
      <c r="R18" s="128">
        <f t="shared" si="31"/>
        <v>25</v>
      </c>
      <c r="S18" s="128">
        <f t="shared" si="31"/>
        <v>26</v>
      </c>
      <c r="T18" s="128">
        <f t="shared" si="31"/>
        <v>27</v>
      </c>
      <c r="U18" s="128">
        <f t="shared" si="31"/>
        <v>28</v>
      </c>
      <c r="V18" s="128">
        <f t="shared" si="31"/>
        <v>29</v>
      </c>
      <c r="W18" s="132"/>
      <c r="Y18" s="133"/>
      <c r="Z18" s="128">
        <f t="shared" si="25"/>
        <v>27</v>
      </c>
      <c r="AA18" s="128">
        <f t="shared" ref="AA18:AF18" si="32">IFERROR(IF(Z18+1&lt;=31,Z18+1,""),"")</f>
        <v>28</v>
      </c>
      <c r="AB18" s="128">
        <f t="shared" si="32"/>
        <v>29</v>
      </c>
      <c r="AC18" s="128">
        <f t="shared" si="32"/>
        <v>30</v>
      </c>
      <c r="AD18" s="128">
        <f t="shared" si="32"/>
        <v>31</v>
      </c>
      <c r="AE18" s="128" t="str">
        <f t="shared" si="32"/>
        <v/>
      </c>
      <c r="AF18" s="128" t="str">
        <f t="shared" si="32"/>
        <v/>
      </c>
      <c r="AG18" s="132"/>
    </row>
    <row r="19" spans="4:33" ht="21" x14ac:dyDescent="0.25">
      <c r="D19" s="151"/>
      <c r="E19" s="134"/>
      <c r="F19" s="128" t="str">
        <f t="shared" ref="F19" si="33">IFERROR(IF(L18+1&lt;=31,L18+1,""),"")</f>
        <v/>
      </c>
      <c r="G19" s="128" t="str">
        <f t="shared" si="30"/>
        <v/>
      </c>
      <c r="H19" s="128" t="str">
        <f t="shared" si="30"/>
        <v/>
      </c>
      <c r="I19" s="128" t="str">
        <f t="shared" si="30"/>
        <v/>
      </c>
      <c r="J19" s="128" t="str">
        <f t="shared" si="30"/>
        <v/>
      </c>
      <c r="K19" s="128" t="str">
        <f t="shared" si="30"/>
        <v/>
      </c>
      <c r="L19" s="128" t="str">
        <f t="shared" si="30"/>
        <v/>
      </c>
      <c r="O19" s="134"/>
      <c r="P19" s="128">
        <f t="shared" ref="P19" si="34">IFERROR(IF(V18+1&lt;=31,V18+1,""),"")</f>
        <v>30</v>
      </c>
      <c r="Q19" s="128">
        <f t="shared" si="31"/>
        <v>31</v>
      </c>
      <c r="R19" s="128" t="str">
        <f t="shared" si="31"/>
        <v/>
      </c>
      <c r="S19" s="128" t="str">
        <f t="shared" si="31"/>
        <v/>
      </c>
      <c r="T19" s="128" t="str">
        <f t="shared" si="31"/>
        <v/>
      </c>
      <c r="U19" s="128" t="str">
        <f t="shared" si="31"/>
        <v/>
      </c>
      <c r="V19" s="128" t="str">
        <f t="shared" si="31"/>
        <v/>
      </c>
      <c r="Y19" s="134"/>
      <c r="Z19" s="128" t="str">
        <f t="shared" si="25"/>
        <v/>
      </c>
      <c r="AA19" s="128" t="str">
        <f t="shared" ref="AA19:AF19" si="35">IFERROR(IF(Z19+1&lt;=31,Z19+1,""),"")</f>
        <v/>
      </c>
      <c r="AB19" s="128" t="str">
        <f t="shared" si="35"/>
        <v/>
      </c>
      <c r="AC19" s="128" t="str">
        <f t="shared" si="35"/>
        <v/>
      </c>
      <c r="AD19" s="128" t="str">
        <f t="shared" si="35"/>
        <v/>
      </c>
      <c r="AE19" s="128" t="str">
        <f t="shared" si="35"/>
        <v/>
      </c>
      <c r="AF19" s="128" t="str">
        <f t="shared" si="35"/>
        <v/>
      </c>
    </row>
    <row r="20" spans="4:33" ht="21" x14ac:dyDescent="0.25">
      <c r="D20" s="138"/>
      <c r="E20" s="138"/>
      <c r="F20" s="138">
        <v>0</v>
      </c>
      <c r="G20" s="138">
        <v>1</v>
      </c>
      <c r="H20" s="138">
        <v>2</v>
      </c>
      <c r="I20" s="138">
        <v>3</v>
      </c>
      <c r="J20" s="138">
        <v>4</v>
      </c>
      <c r="K20" s="138">
        <v>5</v>
      </c>
      <c r="L20" s="138">
        <v>6</v>
      </c>
      <c r="M20" s="139"/>
      <c r="N20" s="139"/>
      <c r="O20" s="138"/>
      <c r="P20" s="138">
        <v>0</v>
      </c>
      <c r="Q20" s="138">
        <v>1</v>
      </c>
      <c r="R20" s="138">
        <v>2</v>
      </c>
      <c r="S20" s="138">
        <v>3</v>
      </c>
      <c r="T20" s="138">
        <v>4</v>
      </c>
      <c r="U20" s="138">
        <v>5</v>
      </c>
      <c r="V20" s="138">
        <v>6</v>
      </c>
      <c r="W20" s="139"/>
      <c r="X20" s="139"/>
      <c r="Y20" s="138"/>
      <c r="Z20" s="138">
        <v>0</v>
      </c>
      <c r="AA20" s="138">
        <v>1</v>
      </c>
      <c r="AB20" s="138">
        <v>2</v>
      </c>
      <c r="AC20" s="138">
        <v>3</v>
      </c>
      <c r="AD20" s="138">
        <v>4</v>
      </c>
      <c r="AE20" s="138">
        <v>5</v>
      </c>
      <c r="AF20" s="138">
        <v>6</v>
      </c>
      <c r="AG20" s="139"/>
    </row>
    <row r="21" spans="4:33" ht="25.5" x14ac:dyDescent="0.25">
      <c r="D21" s="156" t="s">
        <v>373</v>
      </c>
      <c r="E21" s="135"/>
      <c r="F21" s="153" t="s">
        <v>374</v>
      </c>
      <c r="G21" s="153"/>
      <c r="H21" s="153"/>
      <c r="I21" s="153"/>
      <c r="J21" s="153"/>
      <c r="K21" s="153"/>
      <c r="L21" s="153"/>
      <c r="M21" s="137"/>
      <c r="O21" s="135"/>
      <c r="P21" s="153" t="s">
        <v>375</v>
      </c>
      <c r="Q21" s="153"/>
      <c r="R21" s="153"/>
      <c r="S21" s="153"/>
      <c r="T21" s="153"/>
      <c r="U21" s="153"/>
      <c r="V21" s="153"/>
      <c r="W21" s="137"/>
      <c r="Y21" s="135"/>
      <c r="Z21" s="153" t="s">
        <v>375</v>
      </c>
      <c r="AA21" s="153"/>
      <c r="AB21" s="153"/>
      <c r="AC21" s="153"/>
      <c r="AD21" s="153"/>
      <c r="AE21" s="153"/>
      <c r="AF21" s="153"/>
      <c r="AG21" s="137"/>
    </row>
    <row r="22" spans="4:33" ht="21.75" thickBot="1" x14ac:dyDescent="0.3">
      <c r="D22" s="156"/>
      <c r="E22" s="135"/>
      <c r="F22" s="130" t="s">
        <v>357</v>
      </c>
      <c r="G22" s="130" t="s">
        <v>360</v>
      </c>
      <c r="H22" s="130" t="s">
        <v>361</v>
      </c>
      <c r="I22" s="130" t="s">
        <v>362</v>
      </c>
      <c r="J22" s="130" t="s">
        <v>363</v>
      </c>
      <c r="K22" s="130" t="s">
        <v>364</v>
      </c>
      <c r="L22" s="130" t="s">
        <v>358</v>
      </c>
      <c r="M22" s="137"/>
      <c r="O22" s="135"/>
      <c r="P22" s="130" t="s">
        <v>357</v>
      </c>
      <c r="Q22" s="130" t="s">
        <v>360</v>
      </c>
      <c r="R22" s="130" t="s">
        <v>361</v>
      </c>
      <c r="S22" s="130" t="s">
        <v>362</v>
      </c>
      <c r="T22" s="130" t="s">
        <v>363</v>
      </c>
      <c r="U22" s="130" t="s">
        <v>364</v>
      </c>
      <c r="V22" s="130" t="s">
        <v>358</v>
      </c>
      <c r="W22" s="137"/>
      <c r="Y22" s="135"/>
      <c r="Z22" s="130" t="s">
        <v>357</v>
      </c>
      <c r="AA22" s="130" t="s">
        <v>360</v>
      </c>
      <c r="AB22" s="130" t="s">
        <v>361</v>
      </c>
      <c r="AC22" s="130" t="s">
        <v>362</v>
      </c>
      <c r="AD22" s="130" t="s">
        <v>363</v>
      </c>
      <c r="AE22" s="130" t="s">
        <v>364</v>
      </c>
      <c r="AF22" s="130" t="s">
        <v>358</v>
      </c>
      <c r="AG22" s="137"/>
    </row>
    <row r="23" spans="4:33" ht="21" x14ac:dyDescent="0.25">
      <c r="D23" s="156"/>
      <c r="E23" s="135"/>
      <c r="F23" s="128" t="str">
        <f>IF(DayWeekNo($A$2&amp;"0701")=F20,1,IF(DayWeekNo($A$2&amp;"0701")&lt;F20,E23+1,""))</f>
        <v/>
      </c>
      <c r="G23" s="128" t="str">
        <f>IF(DayWeekNo($A$2&amp;"0701")=G20,1,IF(DayWeekNo($A$2&amp;"0701")&lt;G20,F23+1,""))</f>
        <v/>
      </c>
      <c r="H23" s="128" t="str">
        <f>IF(DayWeekNo($A$2&amp;"0701")=H20,1,IF(DayWeekNo($A$2&amp;"0701")&lt;H20,G23+1,""))</f>
        <v/>
      </c>
      <c r="I23" s="128" t="str">
        <f>IF(DayWeekNo($A$2&amp;"0701")=I20,1,IF(DayWeekNo($A$2&amp;"0701")&lt;I20,H23+1,""))</f>
        <v/>
      </c>
      <c r="J23" s="128" t="str">
        <f>IF(DayWeekNo($A$2&amp;"0701")=J20,1,IF(DayWeekNo($A$2&amp;"0701")&lt;J20,I23+1,""))</f>
        <v/>
      </c>
      <c r="K23" s="128">
        <f>IF(DayWeekNo($A$2&amp;"0701")=K20,1,IF(DayWeekNo($A$2&amp;"0701")&lt;K20,J23+1,""))</f>
        <v>1</v>
      </c>
      <c r="L23" s="128">
        <f>IF(DayWeekNo($A$2&amp;"0701")=L20,1,IF(DayWeekNo($A$2&amp;"0701")&lt;L20,K23+1,""))</f>
        <v>2</v>
      </c>
      <c r="M23" s="132"/>
      <c r="O23" s="135"/>
      <c r="P23" s="128">
        <f>IF(DayWeekNo($A$2&amp;"0801")=P20,1,IF(DayWeekNo($A$2&amp;"0801")&lt;P20,O23+1,""))</f>
        <v>1</v>
      </c>
      <c r="Q23" s="128">
        <f>IF(DayWeekNo($A$2&amp;"0801")=Q20,1,IF(DayWeekNo($A$2&amp;"0801")&lt;Q20,P23+1,""))</f>
        <v>2</v>
      </c>
      <c r="R23" s="128">
        <f>IF(DayWeekNo($A$2&amp;"0801")=R20,1,IF(DayWeekNo($A$2&amp;"0801")&lt;R20,Q23+1,""))</f>
        <v>3</v>
      </c>
      <c r="S23" s="128">
        <f>IF(DayWeekNo($A$2&amp;"0801")=S20,1,IF(DayWeekNo($A$2&amp;"0801")&lt;S20,R23+1,""))</f>
        <v>4</v>
      </c>
      <c r="T23" s="128">
        <f>IF(DayWeekNo($A$2&amp;"0801")=T20,1,IF(DayWeekNo($A$2&amp;"0801")&lt;T20,S23+1,""))</f>
        <v>5</v>
      </c>
      <c r="U23" s="128">
        <f>IF(DayWeekNo($A$2&amp;"0801")=U20,1,IF(DayWeekNo($A$2&amp;"0801")&lt;U20,T23+1,""))</f>
        <v>6</v>
      </c>
      <c r="V23" s="128">
        <f>IF(DayWeekNo($A$2&amp;"0801")=V20,1,IF(DayWeekNo($A$2&amp;"0801")&lt;V20,U23+1,""))</f>
        <v>7</v>
      </c>
      <c r="W23" s="132"/>
      <c r="Y23" s="135"/>
      <c r="Z23" s="128" t="str">
        <f>IF(DayWeekNo($A$2&amp;"0901")=Z20,1,IF(DayWeekNo($A$2&amp;"0901")&lt;Z20,Y23+1,""))</f>
        <v/>
      </c>
      <c r="AA23" s="128" t="str">
        <f>IF(DayWeekNo($A$2&amp;"0901")=AA20,1,IF(DayWeekNo($A$2&amp;"0901")&lt;AA20,Z23+1,""))</f>
        <v/>
      </c>
      <c r="AB23" s="128">
        <f>IF(DayWeekNo($A$2&amp;"0901")=AB20,1,IF(DayWeekNo($A$2&amp;"0901")&lt;AB20,AA23+1,""))</f>
        <v>1</v>
      </c>
      <c r="AC23" s="128">
        <f>IF(DayWeekNo($A$2&amp;"0901")=AC20,1,IF(DayWeekNo($A$2&amp;"0901")&lt;AC20,AB23+1,""))</f>
        <v>2</v>
      </c>
      <c r="AD23" s="128">
        <f>IF(DayWeekNo($A$2&amp;"0901")=AD20,1,IF(DayWeekNo($A$2&amp;"0901")&lt;AD20,AC23+1,""))</f>
        <v>3</v>
      </c>
      <c r="AE23" s="128">
        <f>IF(DayWeekNo($A$2&amp;"0901")=AE20,1,IF(DayWeekNo($A$2&amp;"0901")&lt;AE20,AD23+1,""))</f>
        <v>4</v>
      </c>
      <c r="AF23" s="128">
        <f>IF(DayWeekNo($A$2&amp;"0901")=AF20,1,IF(DayWeekNo($A$2&amp;"0901")&lt;AF20,AE23+1,""))</f>
        <v>5</v>
      </c>
      <c r="AG23" s="132"/>
    </row>
    <row r="24" spans="4:33" ht="21" x14ac:dyDescent="0.25">
      <c r="D24" s="156"/>
      <c r="E24" s="135"/>
      <c r="F24" s="128">
        <f>IFERROR(IF(L23+1&lt;=30,L23+1,""),"")</f>
        <v>3</v>
      </c>
      <c r="G24" s="128">
        <f>IFERROR(IF(F24+1&lt;=30,F24+1,""),"")</f>
        <v>4</v>
      </c>
      <c r="H24" s="128">
        <f t="shared" ref="H24:L24" si="36">IFERROR(IF(G24+1&lt;=30,G24+1,""),"")</f>
        <v>5</v>
      </c>
      <c r="I24" s="128">
        <f t="shared" si="36"/>
        <v>6</v>
      </c>
      <c r="J24" s="128">
        <f t="shared" si="36"/>
        <v>7</v>
      </c>
      <c r="K24" s="128">
        <f t="shared" si="36"/>
        <v>8</v>
      </c>
      <c r="L24" s="128">
        <f t="shared" si="36"/>
        <v>9</v>
      </c>
      <c r="M24" s="132"/>
      <c r="O24" s="135"/>
      <c r="P24" s="128">
        <f>IFERROR(IF(V23+1&lt;=30,V23+1,""),"")</f>
        <v>8</v>
      </c>
      <c r="Q24" s="128">
        <f>IFERROR(IF(P24+1&lt;=30,P24+1,""),"")</f>
        <v>9</v>
      </c>
      <c r="R24" s="128">
        <f t="shared" ref="R24:V24" si="37">IFERROR(IF(Q24+1&lt;=30,Q24+1,""),"")</f>
        <v>10</v>
      </c>
      <c r="S24" s="128">
        <f t="shared" si="37"/>
        <v>11</v>
      </c>
      <c r="T24" s="128">
        <f t="shared" si="37"/>
        <v>12</v>
      </c>
      <c r="U24" s="128">
        <f t="shared" si="37"/>
        <v>13</v>
      </c>
      <c r="V24" s="128">
        <f t="shared" si="37"/>
        <v>14</v>
      </c>
      <c r="W24" s="132"/>
      <c r="Y24" s="135"/>
      <c r="Z24" s="128">
        <f>IFERROR(IF(AF23+1&lt;=30,AF23+1,""),"")</f>
        <v>6</v>
      </c>
      <c r="AA24" s="128">
        <f>IFERROR(IF(Z24+1&lt;=30,Z24+1,""),"")</f>
        <v>7</v>
      </c>
      <c r="AB24" s="128">
        <f t="shared" ref="AB24:AF24" si="38">IFERROR(IF(AA24+1&lt;=30,AA24+1,""),"")</f>
        <v>8</v>
      </c>
      <c r="AC24" s="128">
        <f t="shared" si="38"/>
        <v>9</v>
      </c>
      <c r="AD24" s="128">
        <f t="shared" si="38"/>
        <v>10</v>
      </c>
      <c r="AE24" s="128">
        <f t="shared" si="38"/>
        <v>11</v>
      </c>
      <c r="AF24" s="128">
        <f t="shared" si="38"/>
        <v>12</v>
      </c>
      <c r="AG24" s="132"/>
    </row>
    <row r="25" spans="4:33" ht="21" x14ac:dyDescent="0.25">
      <c r="D25" s="156"/>
      <c r="E25" s="135"/>
      <c r="F25" s="128">
        <f t="shared" ref="F25:F28" si="39">IFERROR(IF(L24+1&lt;=30,L24+1,""),"")</f>
        <v>10</v>
      </c>
      <c r="G25" s="128">
        <f t="shared" ref="G25:L25" si="40">IFERROR(IF(F25+1&lt;=30,F25+1,""),"")</f>
        <v>11</v>
      </c>
      <c r="H25" s="128">
        <f t="shared" si="40"/>
        <v>12</v>
      </c>
      <c r="I25" s="128">
        <f t="shared" si="40"/>
        <v>13</v>
      </c>
      <c r="J25" s="128">
        <f t="shared" si="40"/>
        <v>14</v>
      </c>
      <c r="K25" s="128">
        <f t="shared" si="40"/>
        <v>15</v>
      </c>
      <c r="L25" s="128">
        <f t="shared" si="40"/>
        <v>16</v>
      </c>
      <c r="M25" s="132"/>
      <c r="O25" s="135"/>
      <c r="P25" s="128">
        <f t="shared" ref="P25:P28" si="41">IFERROR(IF(V24+1&lt;=30,V24+1,""),"")</f>
        <v>15</v>
      </c>
      <c r="Q25" s="128">
        <f t="shared" ref="Q25:V25" si="42">IFERROR(IF(P25+1&lt;=30,P25+1,""),"")</f>
        <v>16</v>
      </c>
      <c r="R25" s="128">
        <f t="shared" si="42"/>
        <v>17</v>
      </c>
      <c r="S25" s="128">
        <f t="shared" si="42"/>
        <v>18</v>
      </c>
      <c r="T25" s="128">
        <f t="shared" si="42"/>
        <v>19</v>
      </c>
      <c r="U25" s="128">
        <f t="shared" si="42"/>
        <v>20</v>
      </c>
      <c r="V25" s="128">
        <f t="shared" si="42"/>
        <v>21</v>
      </c>
      <c r="W25" s="132"/>
      <c r="Y25" s="135"/>
      <c r="Z25" s="128">
        <f t="shared" ref="Z25:Z28" si="43">IFERROR(IF(AF24+1&lt;=30,AF24+1,""),"")</f>
        <v>13</v>
      </c>
      <c r="AA25" s="128">
        <f t="shared" ref="AA25:AF25" si="44">IFERROR(IF(Z25+1&lt;=30,Z25+1,""),"")</f>
        <v>14</v>
      </c>
      <c r="AB25" s="128">
        <f t="shared" si="44"/>
        <v>15</v>
      </c>
      <c r="AC25" s="128">
        <f t="shared" si="44"/>
        <v>16</v>
      </c>
      <c r="AD25" s="128">
        <f t="shared" si="44"/>
        <v>17</v>
      </c>
      <c r="AE25" s="128">
        <f t="shared" si="44"/>
        <v>18</v>
      </c>
      <c r="AF25" s="128">
        <f t="shared" si="44"/>
        <v>19</v>
      </c>
      <c r="AG25" s="132"/>
    </row>
    <row r="26" spans="4:33" ht="21" x14ac:dyDescent="0.25">
      <c r="D26" s="156"/>
      <c r="E26" s="135"/>
      <c r="F26" s="128">
        <f t="shared" si="39"/>
        <v>17</v>
      </c>
      <c r="G26" s="128">
        <f t="shared" ref="G26:L26" si="45">IFERROR(IF(F26+1&lt;=30,F26+1,""),"")</f>
        <v>18</v>
      </c>
      <c r="H26" s="128">
        <f t="shared" si="45"/>
        <v>19</v>
      </c>
      <c r="I26" s="128">
        <f t="shared" si="45"/>
        <v>20</v>
      </c>
      <c r="J26" s="128">
        <f t="shared" si="45"/>
        <v>21</v>
      </c>
      <c r="K26" s="128">
        <f t="shared" si="45"/>
        <v>22</v>
      </c>
      <c r="L26" s="128">
        <f t="shared" si="45"/>
        <v>23</v>
      </c>
      <c r="M26" s="132"/>
      <c r="O26" s="135"/>
      <c r="P26" s="128">
        <f t="shared" si="41"/>
        <v>22</v>
      </c>
      <c r="Q26" s="128">
        <f t="shared" ref="Q26:V26" si="46">IFERROR(IF(P26+1&lt;=30,P26+1,""),"")</f>
        <v>23</v>
      </c>
      <c r="R26" s="128">
        <f t="shared" si="46"/>
        <v>24</v>
      </c>
      <c r="S26" s="128">
        <f t="shared" si="46"/>
        <v>25</v>
      </c>
      <c r="T26" s="128">
        <f t="shared" si="46"/>
        <v>26</v>
      </c>
      <c r="U26" s="128">
        <f t="shared" si="46"/>
        <v>27</v>
      </c>
      <c r="V26" s="128">
        <f t="shared" si="46"/>
        <v>28</v>
      </c>
      <c r="W26" s="132"/>
      <c r="Y26" s="135"/>
      <c r="Z26" s="128">
        <f t="shared" si="43"/>
        <v>20</v>
      </c>
      <c r="AA26" s="128">
        <f t="shared" ref="AA26:AF26" si="47">IFERROR(IF(Z26+1&lt;=30,Z26+1,""),"")</f>
        <v>21</v>
      </c>
      <c r="AB26" s="128">
        <f t="shared" si="47"/>
        <v>22</v>
      </c>
      <c r="AC26" s="128">
        <f t="shared" si="47"/>
        <v>23</v>
      </c>
      <c r="AD26" s="128">
        <f t="shared" si="47"/>
        <v>24</v>
      </c>
      <c r="AE26" s="128">
        <f t="shared" si="47"/>
        <v>25</v>
      </c>
      <c r="AF26" s="128">
        <f t="shared" si="47"/>
        <v>26</v>
      </c>
      <c r="AG26" s="132"/>
    </row>
    <row r="27" spans="4:33" ht="21" x14ac:dyDescent="0.25">
      <c r="D27" s="156"/>
      <c r="E27" s="135"/>
      <c r="F27" s="128">
        <f t="shared" si="39"/>
        <v>24</v>
      </c>
      <c r="G27" s="128">
        <f t="shared" ref="G27:L27" si="48">IFERROR(IF(F27+1&lt;=30,F27+1,""),"")</f>
        <v>25</v>
      </c>
      <c r="H27" s="128">
        <f t="shared" si="48"/>
        <v>26</v>
      </c>
      <c r="I27" s="128">
        <f t="shared" si="48"/>
        <v>27</v>
      </c>
      <c r="J27" s="128">
        <f t="shared" si="48"/>
        <v>28</v>
      </c>
      <c r="K27" s="128">
        <f t="shared" si="48"/>
        <v>29</v>
      </c>
      <c r="L27" s="128">
        <f t="shared" si="48"/>
        <v>30</v>
      </c>
      <c r="M27" s="132"/>
      <c r="O27" s="135"/>
      <c r="P27" s="128">
        <f t="shared" si="41"/>
        <v>29</v>
      </c>
      <c r="Q27" s="128">
        <f t="shared" ref="Q27:V27" si="49">IFERROR(IF(P27+1&lt;=30,P27+1,""),"")</f>
        <v>30</v>
      </c>
      <c r="R27" s="128" t="str">
        <f t="shared" si="49"/>
        <v/>
      </c>
      <c r="S27" s="128" t="str">
        <f t="shared" si="49"/>
        <v/>
      </c>
      <c r="T27" s="128" t="str">
        <f t="shared" si="49"/>
        <v/>
      </c>
      <c r="U27" s="128" t="str">
        <f t="shared" si="49"/>
        <v/>
      </c>
      <c r="V27" s="128" t="str">
        <f t="shared" si="49"/>
        <v/>
      </c>
      <c r="W27" s="132"/>
      <c r="Y27" s="135"/>
      <c r="Z27" s="128">
        <f t="shared" si="43"/>
        <v>27</v>
      </c>
      <c r="AA27" s="128">
        <f t="shared" ref="AA27:AF27" si="50">IFERROR(IF(Z27+1&lt;=30,Z27+1,""),"")</f>
        <v>28</v>
      </c>
      <c r="AB27" s="128">
        <f t="shared" si="50"/>
        <v>29</v>
      </c>
      <c r="AC27" s="128">
        <f t="shared" si="50"/>
        <v>30</v>
      </c>
      <c r="AD27" s="128" t="str">
        <f t="shared" si="50"/>
        <v/>
      </c>
      <c r="AE27" s="128" t="str">
        <f t="shared" si="50"/>
        <v/>
      </c>
      <c r="AF27" s="128" t="str">
        <f t="shared" si="50"/>
        <v/>
      </c>
      <c r="AG27" s="132"/>
    </row>
    <row r="28" spans="4:33" ht="21" x14ac:dyDescent="0.25">
      <c r="D28" s="156"/>
      <c r="E28" s="136"/>
      <c r="F28" s="128" t="str">
        <f t="shared" si="39"/>
        <v/>
      </c>
      <c r="G28" s="128" t="str">
        <f t="shared" ref="G28:L28" si="51">IFERROR(IF(F28+1&lt;=30,F28+1,""),"")</f>
        <v/>
      </c>
      <c r="H28" s="128" t="str">
        <f t="shared" si="51"/>
        <v/>
      </c>
      <c r="I28" s="128" t="str">
        <f t="shared" si="51"/>
        <v/>
      </c>
      <c r="J28" s="128" t="str">
        <f t="shared" si="51"/>
        <v/>
      </c>
      <c r="K28" s="128" t="str">
        <f t="shared" si="51"/>
        <v/>
      </c>
      <c r="L28" s="128" t="str">
        <f t="shared" si="51"/>
        <v/>
      </c>
      <c r="O28" s="136"/>
      <c r="P28" s="128" t="str">
        <f t="shared" si="41"/>
        <v/>
      </c>
      <c r="Q28" s="128" t="str">
        <f t="shared" ref="Q28:V28" si="52">IFERROR(IF(P28+1&lt;=30,P28+1,""),"")</f>
        <v/>
      </c>
      <c r="R28" s="128" t="str">
        <f t="shared" si="52"/>
        <v/>
      </c>
      <c r="S28" s="128" t="str">
        <f t="shared" si="52"/>
        <v/>
      </c>
      <c r="T28" s="128" t="str">
        <f t="shared" si="52"/>
        <v/>
      </c>
      <c r="U28" s="128" t="str">
        <f t="shared" si="52"/>
        <v/>
      </c>
      <c r="V28" s="128" t="str">
        <f t="shared" si="52"/>
        <v/>
      </c>
      <c r="Y28" s="136"/>
      <c r="Z28" s="128" t="str">
        <f t="shared" si="43"/>
        <v/>
      </c>
      <c r="AA28" s="128" t="str">
        <f t="shared" ref="AA28:AF28" si="53">IFERROR(IF(Z28+1&lt;=30,Z28+1,""),"")</f>
        <v/>
      </c>
      <c r="AB28" s="128" t="str">
        <f t="shared" si="53"/>
        <v/>
      </c>
      <c r="AC28" s="128" t="str">
        <f t="shared" si="53"/>
        <v/>
      </c>
      <c r="AD28" s="128" t="str">
        <f t="shared" si="53"/>
        <v/>
      </c>
      <c r="AE28" s="128" t="str">
        <f t="shared" si="53"/>
        <v/>
      </c>
      <c r="AF28" s="128" t="str">
        <f t="shared" si="53"/>
        <v/>
      </c>
    </row>
    <row r="29" spans="4:33" ht="21" x14ac:dyDescent="0.25">
      <c r="D29" s="138"/>
      <c r="E29" s="138"/>
      <c r="F29" s="138">
        <v>0</v>
      </c>
      <c r="G29" s="138">
        <v>1</v>
      </c>
      <c r="H29" s="138">
        <v>2</v>
      </c>
      <c r="I29" s="138">
        <v>3</v>
      </c>
      <c r="J29" s="138">
        <v>4</v>
      </c>
      <c r="K29" s="138">
        <v>5</v>
      </c>
      <c r="L29" s="138">
        <v>6</v>
      </c>
      <c r="M29" s="139"/>
      <c r="N29" s="139"/>
      <c r="O29" s="138"/>
      <c r="P29" s="138">
        <v>0</v>
      </c>
      <c r="Q29" s="138">
        <v>1</v>
      </c>
      <c r="R29" s="138">
        <v>2</v>
      </c>
      <c r="S29" s="138">
        <v>3</v>
      </c>
      <c r="T29" s="138">
        <v>4</v>
      </c>
      <c r="U29" s="138">
        <v>5</v>
      </c>
      <c r="V29" s="138">
        <v>6</v>
      </c>
      <c r="W29" s="139"/>
      <c r="X29" s="139"/>
      <c r="Y29" s="138"/>
      <c r="Z29" s="138">
        <v>0</v>
      </c>
      <c r="AA29" s="138">
        <v>1</v>
      </c>
      <c r="AB29" s="138">
        <v>2</v>
      </c>
      <c r="AC29" s="138">
        <v>3</v>
      </c>
      <c r="AD29" s="138">
        <v>4</v>
      </c>
      <c r="AE29" s="138">
        <v>5</v>
      </c>
      <c r="AF29" s="138">
        <v>6</v>
      </c>
      <c r="AG29" s="139"/>
    </row>
    <row r="30" spans="4:33" ht="25.5" x14ac:dyDescent="0.25">
      <c r="D30" s="154" t="s">
        <v>376</v>
      </c>
      <c r="E30" s="140"/>
      <c r="F30" s="155" t="s">
        <v>377</v>
      </c>
      <c r="G30" s="155"/>
      <c r="H30" s="155"/>
      <c r="I30" s="155"/>
      <c r="J30" s="155"/>
      <c r="K30" s="155"/>
      <c r="L30" s="155"/>
      <c r="M30" s="142"/>
      <c r="O30" s="140"/>
      <c r="P30" s="155" t="s">
        <v>378</v>
      </c>
      <c r="Q30" s="155"/>
      <c r="R30" s="155"/>
      <c r="S30" s="155"/>
      <c r="T30" s="155"/>
      <c r="U30" s="155"/>
      <c r="V30" s="155"/>
      <c r="W30" s="142"/>
      <c r="Y30" s="140"/>
      <c r="Z30" s="155" t="s">
        <v>379</v>
      </c>
      <c r="AA30" s="155"/>
      <c r="AB30" s="155"/>
      <c r="AC30" s="155"/>
      <c r="AD30" s="155"/>
      <c r="AE30" s="155"/>
      <c r="AF30" s="155"/>
      <c r="AG30" s="142"/>
    </row>
    <row r="31" spans="4:33" ht="21.75" thickBot="1" x14ac:dyDescent="0.3">
      <c r="D31" s="154"/>
      <c r="E31" s="140"/>
      <c r="F31" s="130" t="s">
        <v>357</v>
      </c>
      <c r="G31" s="130" t="s">
        <v>360</v>
      </c>
      <c r="H31" s="130" t="s">
        <v>361</v>
      </c>
      <c r="I31" s="130" t="s">
        <v>362</v>
      </c>
      <c r="J31" s="130" t="s">
        <v>363</v>
      </c>
      <c r="K31" s="130" t="s">
        <v>364</v>
      </c>
      <c r="L31" s="130" t="s">
        <v>358</v>
      </c>
      <c r="M31" s="142"/>
      <c r="O31" s="140"/>
      <c r="P31" s="130" t="s">
        <v>357</v>
      </c>
      <c r="Q31" s="130" t="s">
        <v>360</v>
      </c>
      <c r="R31" s="130" t="s">
        <v>361</v>
      </c>
      <c r="S31" s="130" t="s">
        <v>362</v>
      </c>
      <c r="T31" s="130" t="s">
        <v>363</v>
      </c>
      <c r="U31" s="130" t="s">
        <v>364</v>
      </c>
      <c r="V31" s="130" t="s">
        <v>358</v>
      </c>
      <c r="W31" s="142"/>
      <c r="Y31" s="140"/>
      <c r="Z31" s="130" t="s">
        <v>357</v>
      </c>
      <c r="AA31" s="130" t="s">
        <v>360</v>
      </c>
      <c r="AB31" s="130" t="s">
        <v>361</v>
      </c>
      <c r="AC31" s="130" t="s">
        <v>362</v>
      </c>
      <c r="AD31" s="130" t="s">
        <v>363</v>
      </c>
      <c r="AE31" s="130" t="s">
        <v>364</v>
      </c>
      <c r="AF31" s="130" t="s">
        <v>358</v>
      </c>
      <c r="AG31" s="142"/>
    </row>
    <row r="32" spans="4:33" ht="21" x14ac:dyDescent="0.25">
      <c r="D32" s="154"/>
      <c r="E32" s="140"/>
      <c r="F32" s="128" t="str">
        <f>IF(DayWeekNo($A$2&amp;"1001")=F29,1,IF(DayWeekNo($A$2&amp;"1001")&lt;F29,E32+1,""))</f>
        <v/>
      </c>
      <c r="G32" s="128" t="str">
        <f>IF(DayWeekNo($A$2&amp;"1001")=G29,1,IF(DayWeekNo($A$2&amp;"1001")&lt;G29,F32+1,""))</f>
        <v/>
      </c>
      <c r="H32" s="128" t="str">
        <f>IF(DayWeekNo($A$2&amp;"1001")=H29,1,IF(DayWeekNo($A$2&amp;"1001")&lt;H29,G32+1,""))</f>
        <v/>
      </c>
      <c r="I32" s="128" t="str">
        <f>IF(DayWeekNo($A$2&amp;"1001")=I29,1,IF(DayWeekNo($A$2&amp;"1001")&lt;I29,H32+1,""))</f>
        <v/>
      </c>
      <c r="J32" s="128">
        <f>IF(DayWeekNo($A$2&amp;"1001")=J29,1,IF(DayWeekNo($A$2&amp;"1001")&lt;J29,I32+1,""))</f>
        <v>1</v>
      </c>
      <c r="K32" s="128">
        <f>IF(DayWeekNo($A$2&amp;"1001")=K29,1,IF(DayWeekNo($A$2&amp;"1001")&lt;K29,J32+1,""))</f>
        <v>2</v>
      </c>
      <c r="L32" s="128">
        <f>IF(DayWeekNo($A$2&amp;"1001")=L29,1,IF(DayWeekNo($A$2&amp;"1001")&lt;L29,K32+1,""))</f>
        <v>3</v>
      </c>
      <c r="M32" s="132"/>
      <c r="O32" s="140"/>
      <c r="P32" s="128" t="str">
        <f>IF(DayWeekNo($A$2&amp;"1101")=P29,1,IF(DayWeekNo($A$2&amp;"1101")&lt;P29,O32+1,""))</f>
        <v/>
      </c>
      <c r="Q32" s="128" t="str">
        <f>IF(DayWeekNo($A$2&amp;"1101")=Q29,1,IF(DayWeekNo($A$2&amp;"1101")&lt;Q29,P32+1,""))</f>
        <v/>
      </c>
      <c r="R32" s="128" t="str">
        <f>IF(DayWeekNo($A$2&amp;"1101")=R29,1,IF(DayWeekNo($A$2&amp;"1101")&lt;R29,Q32+1,""))</f>
        <v/>
      </c>
      <c r="S32" s="128" t="str">
        <f>IF(DayWeekNo($A$2&amp;"1101")=S29,1,IF(DayWeekNo($A$2&amp;"1101")&lt;S29,R32+1,""))</f>
        <v/>
      </c>
      <c r="T32" s="128" t="str">
        <f>IF(DayWeekNo($A$2&amp;"1101")=T29,1,IF(DayWeekNo($A$2&amp;"1101")&lt;T29,S32+1,""))</f>
        <v/>
      </c>
      <c r="U32" s="128" t="str">
        <f>IF(DayWeekNo($A$2&amp;"1101")=U29,1,IF(DayWeekNo($A$2&amp;"1101")&lt;U29,T32+1,""))</f>
        <v/>
      </c>
      <c r="V32" s="128">
        <f>IF(DayWeekNo($A$2&amp;"1101")=V29,1,IF(DayWeekNo($A$2&amp;"1101")&lt;V29,U32+1,""))</f>
        <v>1</v>
      </c>
      <c r="W32" s="132"/>
      <c r="Y32" s="140"/>
      <c r="Z32" s="128" t="str">
        <f>IF(DayWeekNo($A$2&amp;"1201")=Z29,1,IF(DayWeekNo($A$2&amp;"1201")&lt;Z29,Y32+1,""))</f>
        <v/>
      </c>
      <c r="AA32" s="128">
        <f>IF(DayWeekNo($A$2&amp;"1201")=AA29,1,IF(DayWeekNo($A$2&amp;"1201")&lt;AA29,Z32+1,""))</f>
        <v>1</v>
      </c>
      <c r="AB32" s="128">
        <f>IF(DayWeekNo($A$2&amp;"1201")=AB29,1,IF(DayWeekNo($A$2&amp;"1201")&lt;AB29,AA32+1,""))</f>
        <v>2</v>
      </c>
      <c r="AC32" s="128">
        <f>IF(DayWeekNo($A$2&amp;"1201")=AC29,1,IF(DayWeekNo($A$2&amp;"1201")&lt;AC29,AB32+1,""))</f>
        <v>3</v>
      </c>
      <c r="AD32" s="128">
        <f>IF(DayWeekNo($A$2&amp;"1201")=AD29,1,IF(DayWeekNo($A$2&amp;"1201")&lt;AD29,AC32+1,""))</f>
        <v>4</v>
      </c>
      <c r="AE32" s="128">
        <f>IF(DayWeekNo($A$2&amp;"1201")=AE29,1,IF(DayWeekNo($A$2&amp;"1201")&lt;AE29,AD32+1,""))</f>
        <v>5</v>
      </c>
      <c r="AF32" s="128">
        <f>IF(DayWeekNo($A$2&amp;"1201")=AF29,1,IF(DayWeekNo($A$2&amp;"1201")&lt;AF29,AE32+1,""))</f>
        <v>6</v>
      </c>
      <c r="AG32" s="132"/>
    </row>
    <row r="33" spans="4:33" ht="21" x14ac:dyDescent="0.25">
      <c r="D33" s="154"/>
      <c r="E33" s="140"/>
      <c r="F33" s="128">
        <f>IFERROR(IF(L32+1&lt;=30,L32+1,""),"")</f>
        <v>4</v>
      </c>
      <c r="G33" s="128">
        <f>IFERROR(IF(F33+1&lt;=30,F33+1,""),"")</f>
        <v>5</v>
      </c>
      <c r="H33" s="128">
        <f t="shared" ref="H33:L33" si="54">IFERROR(IF(G33+1&lt;=30,G33+1,""),"")</f>
        <v>6</v>
      </c>
      <c r="I33" s="128">
        <f t="shared" si="54"/>
        <v>7</v>
      </c>
      <c r="J33" s="128">
        <f t="shared" si="54"/>
        <v>8</v>
      </c>
      <c r="K33" s="128">
        <f t="shared" si="54"/>
        <v>9</v>
      </c>
      <c r="L33" s="128">
        <f t="shared" si="54"/>
        <v>10</v>
      </c>
      <c r="M33" s="132"/>
      <c r="O33" s="140"/>
      <c r="P33" s="128">
        <f>IFERROR(IF(V32+1&lt;=30,V32+1,""),"")</f>
        <v>2</v>
      </c>
      <c r="Q33" s="128">
        <f>IFERROR(IF(P33+1&lt;=30,P33+1,""),"")</f>
        <v>3</v>
      </c>
      <c r="R33" s="128">
        <f t="shared" ref="R33:V33" si="55">IFERROR(IF(Q33+1&lt;=30,Q33+1,""),"")</f>
        <v>4</v>
      </c>
      <c r="S33" s="128">
        <f t="shared" si="55"/>
        <v>5</v>
      </c>
      <c r="T33" s="128">
        <f t="shared" si="55"/>
        <v>6</v>
      </c>
      <c r="U33" s="128">
        <f t="shared" si="55"/>
        <v>7</v>
      </c>
      <c r="V33" s="128">
        <f t="shared" si="55"/>
        <v>8</v>
      </c>
      <c r="W33" s="132"/>
      <c r="Y33" s="140"/>
      <c r="Z33" s="128">
        <f>IFERROR(IF(AF32+1&lt;=29,AF32+1,""),"")</f>
        <v>7</v>
      </c>
      <c r="AA33" s="128">
        <f>IFERROR(IF(Z33+1&lt;=29,Z33+1,""),"")</f>
        <v>8</v>
      </c>
      <c r="AB33" s="128">
        <f t="shared" ref="AB33:AF33" si="56">IFERROR(IF(AA33+1&lt;=29,AA33+1,""),"")</f>
        <v>9</v>
      </c>
      <c r="AC33" s="128">
        <f t="shared" si="56"/>
        <v>10</v>
      </c>
      <c r="AD33" s="128">
        <f t="shared" si="56"/>
        <v>11</v>
      </c>
      <c r="AE33" s="128">
        <f t="shared" si="56"/>
        <v>12</v>
      </c>
      <c r="AF33" s="128">
        <f t="shared" si="56"/>
        <v>13</v>
      </c>
      <c r="AG33" s="132"/>
    </row>
    <row r="34" spans="4:33" ht="21" x14ac:dyDescent="0.25">
      <c r="D34" s="154"/>
      <c r="E34" s="140"/>
      <c r="F34" s="128">
        <f t="shared" ref="F34:F37" si="57">IFERROR(IF(L33+1&lt;=30,L33+1,""),"")</f>
        <v>11</v>
      </c>
      <c r="G34" s="128">
        <f t="shared" ref="G34:L34" si="58">IFERROR(IF(F34+1&lt;=30,F34+1,""),"")</f>
        <v>12</v>
      </c>
      <c r="H34" s="128">
        <f t="shared" si="58"/>
        <v>13</v>
      </c>
      <c r="I34" s="128">
        <f t="shared" si="58"/>
        <v>14</v>
      </c>
      <c r="J34" s="128">
        <f t="shared" si="58"/>
        <v>15</v>
      </c>
      <c r="K34" s="128">
        <f t="shared" si="58"/>
        <v>16</v>
      </c>
      <c r="L34" s="128">
        <f t="shared" si="58"/>
        <v>17</v>
      </c>
      <c r="M34" s="132"/>
      <c r="O34" s="140"/>
      <c r="P34" s="128">
        <f t="shared" ref="P34:P37" si="59">IFERROR(IF(V33+1&lt;=30,V33+1,""),"")</f>
        <v>9</v>
      </c>
      <c r="Q34" s="128">
        <f t="shared" ref="Q34:V34" si="60">IFERROR(IF(P34+1&lt;=30,P34+1,""),"")</f>
        <v>10</v>
      </c>
      <c r="R34" s="128">
        <f t="shared" si="60"/>
        <v>11</v>
      </c>
      <c r="S34" s="128">
        <f t="shared" si="60"/>
        <v>12</v>
      </c>
      <c r="T34" s="128">
        <f t="shared" si="60"/>
        <v>13</v>
      </c>
      <c r="U34" s="128">
        <f t="shared" si="60"/>
        <v>14</v>
      </c>
      <c r="V34" s="128">
        <f t="shared" si="60"/>
        <v>15</v>
      </c>
      <c r="W34" s="132"/>
      <c r="Y34" s="140"/>
      <c r="Z34" s="128">
        <f t="shared" ref="Z34:Z36" si="61">IFERROR(IF(AF33+1&lt;=29,AF33+1,""),"")</f>
        <v>14</v>
      </c>
      <c r="AA34" s="128">
        <f t="shared" ref="AA34:AF34" si="62">IFERROR(IF(Z34+1&lt;=29,Z34+1,""),"")</f>
        <v>15</v>
      </c>
      <c r="AB34" s="128">
        <f t="shared" si="62"/>
        <v>16</v>
      </c>
      <c r="AC34" s="128">
        <f t="shared" si="62"/>
        <v>17</v>
      </c>
      <c r="AD34" s="128">
        <f t="shared" si="62"/>
        <v>18</v>
      </c>
      <c r="AE34" s="128">
        <f t="shared" si="62"/>
        <v>19</v>
      </c>
      <c r="AF34" s="128">
        <f t="shared" si="62"/>
        <v>20</v>
      </c>
      <c r="AG34" s="132"/>
    </row>
    <row r="35" spans="4:33" ht="21" x14ac:dyDescent="0.25">
      <c r="D35" s="154"/>
      <c r="E35" s="140"/>
      <c r="F35" s="128">
        <f t="shared" si="57"/>
        <v>18</v>
      </c>
      <c r="G35" s="128">
        <f t="shared" ref="G35:L35" si="63">IFERROR(IF(F35+1&lt;=30,F35+1,""),"")</f>
        <v>19</v>
      </c>
      <c r="H35" s="128">
        <f t="shared" si="63"/>
        <v>20</v>
      </c>
      <c r="I35" s="128">
        <f t="shared" si="63"/>
        <v>21</v>
      </c>
      <c r="J35" s="128">
        <f t="shared" si="63"/>
        <v>22</v>
      </c>
      <c r="K35" s="128">
        <f t="shared" si="63"/>
        <v>23</v>
      </c>
      <c r="L35" s="128">
        <f t="shared" si="63"/>
        <v>24</v>
      </c>
      <c r="M35" s="132"/>
      <c r="O35" s="140"/>
      <c r="P35" s="128">
        <f t="shared" si="59"/>
        <v>16</v>
      </c>
      <c r="Q35" s="128">
        <f t="shared" ref="Q35:V35" si="64">IFERROR(IF(P35+1&lt;=30,P35+1,""),"")</f>
        <v>17</v>
      </c>
      <c r="R35" s="128">
        <f t="shared" si="64"/>
        <v>18</v>
      </c>
      <c r="S35" s="128">
        <f t="shared" si="64"/>
        <v>19</v>
      </c>
      <c r="T35" s="128">
        <f t="shared" si="64"/>
        <v>20</v>
      </c>
      <c r="U35" s="128">
        <f t="shared" si="64"/>
        <v>21</v>
      </c>
      <c r="V35" s="128">
        <f t="shared" si="64"/>
        <v>22</v>
      </c>
      <c r="W35" s="132"/>
      <c r="Y35" s="140"/>
      <c r="Z35" s="128">
        <f t="shared" si="61"/>
        <v>21</v>
      </c>
      <c r="AA35" s="128">
        <f t="shared" ref="AA35:AF35" si="65">IFERROR(IF(Z35+1&lt;=29,Z35+1,""),"")</f>
        <v>22</v>
      </c>
      <c r="AB35" s="128">
        <f t="shared" si="65"/>
        <v>23</v>
      </c>
      <c r="AC35" s="128">
        <f t="shared" si="65"/>
        <v>24</v>
      </c>
      <c r="AD35" s="128">
        <f t="shared" si="65"/>
        <v>25</v>
      </c>
      <c r="AE35" s="128">
        <f t="shared" si="65"/>
        <v>26</v>
      </c>
      <c r="AF35" s="128">
        <f t="shared" si="65"/>
        <v>27</v>
      </c>
      <c r="AG35" s="132"/>
    </row>
    <row r="36" spans="4:33" ht="21" x14ac:dyDescent="0.25">
      <c r="D36" s="154"/>
      <c r="E36" s="140"/>
      <c r="F36" s="128">
        <f t="shared" si="57"/>
        <v>25</v>
      </c>
      <c r="G36" s="128">
        <f t="shared" ref="G36:L36" si="66">IFERROR(IF(F36+1&lt;=30,F36+1,""),"")</f>
        <v>26</v>
      </c>
      <c r="H36" s="128">
        <f t="shared" si="66"/>
        <v>27</v>
      </c>
      <c r="I36" s="128">
        <f t="shared" si="66"/>
        <v>28</v>
      </c>
      <c r="J36" s="128">
        <f t="shared" si="66"/>
        <v>29</v>
      </c>
      <c r="K36" s="128">
        <f t="shared" si="66"/>
        <v>30</v>
      </c>
      <c r="L36" s="128" t="str">
        <f t="shared" si="66"/>
        <v/>
      </c>
      <c r="M36" s="132"/>
      <c r="O36" s="140"/>
      <c r="P36" s="128">
        <f t="shared" si="59"/>
        <v>23</v>
      </c>
      <c r="Q36" s="128">
        <f t="shared" ref="Q36:V36" si="67">IFERROR(IF(P36+1&lt;=30,P36+1,""),"")</f>
        <v>24</v>
      </c>
      <c r="R36" s="128">
        <f t="shared" si="67"/>
        <v>25</v>
      </c>
      <c r="S36" s="128">
        <f t="shared" si="67"/>
        <v>26</v>
      </c>
      <c r="T36" s="128">
        <f t="shared" si="67"/>
        <v>27</v>
      </c>
      <c r="U36" s="128">
        <f t="shared" si="67"/>
        <v>28</v>
      </c>
      <c r="V36" s="128">
        <f t="shared" si="67"/>
        <v>29</v>
      </c>
      <c r="W36" s="132"/>
      <c r="Y36" s="140"/>
      <c r="Z36" s="128">
        <f t="shared" si="61"/>
        <v>28</v>
      </c>
      <c r="AA36" s="128">
        <f t="shared" ref="AA36:AF36" si="68">IFERROR(IF(Z36+1&lt;=29,Z36+1,""),"")</f>
        <v>29</v>
      </c>
      <c r="AB36" s="128" t="str">
        <f t="shared" si="68"/>
        <v/>
      </c>
      <c r="AC36" s="128" t="str">
        <f t="shared" si="68"/>
        <v/>
      </c>
      <c r="AD36" s="128" t="str">
        <f t="shared" si="68"/>
        <v/>
      </c>
      <c r="AE36" s="128" t="str">
        <f t="shared" si="68"/>
        <v/>
      </c>
      <c r="AF36" s="128" t="str">
        <f t="shared" si="68"/>
        <v/>
      </c>
      <c r="AG36" s="132"/>
    </row>
    <row r="37" spans="4:33" ht="21" x14ac:dyDescent="0.25">
      <c r="D37" s="154"/>
      <c r="E37" s="141"/>
      <c r="F37" s="128" t="str">
        <f t="shared" si="57"/>
        <v/>
      </c>
      <c r="G37" s="128" t="str">
        <f t="shared" ref="G37:L37" si="69">IFERROR(IF(F37+1&lt;=30,F37+1,""),"")</f>
        <v/>
      </c>
      <c r="H37" s="128" t="str">
        <f t="shared" si="69"/>
        <v/>
      </c>
      <c r="I37" s="128" t="str">
        <f t="shared" si="69"/>
        <v/>
      </c>
      <c r="J37" s="128" t="str">
        <f t="shared" si="69"/>
        <v/>
      </c>
      <c r="K37" s="128" t="str">
        <f t="shared" si="69"/>
        <v/>
      </c>
      <c r="L37" s="128" t="str">
        <f t="shared" si="69"/>
        <v/>
      </c>
      <c r="O37" s="141"/>
      <c r="P37" s="128">
        <f t="shared" si="59"/>
        <v>30</v>
      </c>
      <c r="Q37" s="128" t="str">
        <f t="shared" ref="Q37:V37" si="70">IFERROR(IF(P37+1&lt;=30,P37+1,""),"")</f>
        <v/>
      </c>
      <c r="R37" s="128" t="str">
        <f t="shared" si="70"/>
        <v/>
      </c>
      <c r="S37" s="128" t="str">
        <f t="shared" si="70"/>
        <v/>
      </c>
      <c r="T37" s="128" t="str">
        <f t="shared" si="70"/>
        <v/>
      </c>
      <c r="U37" s="128" t="str">
        <f t="shared" si="70"/>
        <v/>
      </c>
      <c r="V37" s="128" t="str">
        <f t="shared" si="70"/>
        <v/>
      </c>
      <c r="Y37" s="141"/>
      <c r="Z37" s="128" t="str">
        <f>IFERROR(IF(AF36+1&lt;=29,AF36+1,""),"")</f>
        <v/>
      </c>
      <c r="AA37" s="128" t="str">
        <f t="shared" ref="AA37:AF37" si="71">IFERROR(IF(Z37+1&lt;=29,Z37+1,""),"")</f>
        <v/>
      </c>
      <c r="AB37" s="128" t="str">
        <f t="shared" si="71"/>
        <v/>
      </c>
      <c r="AC37" s="128" t="str">
        <f t="shared" si="71"/>
        <v/>
      </c>
      <c r="AD37" s="128" t="str">
        <f t="shared" si="71"/>
        <v/>
      </c>
      <c r="AE37" s="128" t="str">
        <f t="shared" si="71"/>
        <v/>
      </c>
      <c r="AF37" s="128" t="str">
        <f t="shared" si="71"/>
        <v/>
      </c>
    </row>
  </sheetData>
  <mergeCells count="16">
    <mergeCell ref="Z21:AF21"/>
    <mergeCell ref="D30:D37"/>
    <mergeCell ref="F30:L30"/>
    <mergeCell ref="P30:V30"/>
    <mergeCell ref="Z30:AF30"/>
    <mergeCell ref="D21:D28"/>
    <mergeCell ref="F21:L21"/>
    <mergeCell ref="P21:V21"/>
    <mergeCell ref="F12:L12"/>
    <mergeCell ref="Z3:AF3"/>
    <mergeCell ref="P12:V12"/>
    <mergeCell ref="D12:D19"/>
    <mergeCell ref="Z12:AF12"/>
    <mergeCell ref="F3:L3"/>
    <mergeCell ref="D3:D10"/>
    <mergeCell ref="P3:V3"/>
  </mergeCells>
  <conditionalFormatting sqref="F5:L10">
    <cfRule type="expression" dxfId="0" priority="1">
      <formula>COUNTIF(INDIRECT("HolidayTable[Date]"),($A$2 &amp; "01" &amp; REPT("0",(2 - LEN(F5))) &amp; F5))=1</formula>
    </cfRule>
  </conditionalFormatting>
  <hyperlinks>
    <hyperlink ref="A4" location="فهرست!A1" display="فهرست"/>
    <hyperlink ref="A6" location="'مدیریت وام و اقساط'!A1" display="وام و اقساط"/>
    <hyperlink ref="A7" location="'مدیریت چک‌ها'!A1" display="چک‌ها"/>
    <hyperlink ref="A8" location="'مدیریت بدهی‌ها-طلب‌ها'!A1" display="بدهی‌ها و طلب‌ها"/>
    <hyperlink ref="A9" location="'برنامه ریزی پرداخت‌ها'!A1" display="برنامه ریزی"/>
    <hyperlink ref="A10" location="تقویم!A1" display="تقویم"/>
    <hyperlink ref="A11" location="'بودجه بندی'!A1" display="بودجه بندی"/>
    <hyperlink ref="A12" location="'گزارش فعالیت‌های ماه جاری'!A1" display="ماه جاری"/>
    <hyperlink ref="A13" location="'جست و جو'!A1" display="جست و جو"/>
    <hyperlink ref="A5" location="تراکنش‌ها!A1" display="تراکنش‌ها"/>
    <hyperlink ref="A15" location="راهنما!A1" display="راهنما"/>
    <hyperlink ref="A14" location="'تنظیمات دفترچه'!A1" display="تنظیمات دفترچه"/>
  </hyperlink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/>
  </sheetPr>
  <dimension ref="B13:J43"/>
  <sheetViews>
    <sheetView rightToLeft="1" workbookViewId="0"/>
  </sheetViews>
  <sheetFormatPr defaultRowHeight="15" x14ac:dyDescent="0.25"/>
  <cols>
    <col min="7" max="7" width="11.28515625" bestFit="1" customWidth="1"/>
  </cols>
  <sheetData>
    <row r="13" spans="2:2" x14ac:dyDescent="0.25">
      <c r="B13" t="s">
        <v>62</v>
      </c>
    </row>
    <row r="14" spans="2:2" x14ac:dyDescent="0.25">
      <c r="B14" t="s">
        <v>61</v>
      </c>
    </row>
    <row r="15" spans="2:2" x14ac:dyDescent="0.25">
      <c r="B15" t="s">
        <v>63</v>
      </c>
    </row>
    <row r="20" spans="2:10" x14ac:dyDescent="0.25">
      <c r="B20" t="s">
        <v>64</v>
      </c>
    </row>
    <row r="21" spans="2:10" x14ac:dyDescent="0.25">
      <c r="B21" t="s">
        <v>65</v>
      </c>
    </row>
    <row r="22" spans="2:10" x14ac:dyDescent="0.25">
      <c r="B22" t="s">
        <v>66</v>
      </c>
    </row>
    <row r="24" spans="2:10" x14ac:dyDescent="0.25">
      <c r="B24" t="s">
        <v>67</v>
      </c>
    </row>
    <row r="25" spans="2:10" x14ac:dyDescent="0.25">
      <c r="B25" t="s">
        <v>68</v>
      </c>
    </row>
    <row r="28" spans="2:10" x14ac:dyDescent="0.25">
      <c r="B28" t="s">
        <v>69</v>
      </c>
      <c r="J28" t="s">
        <v>83</v>
      </c>
    </row>
    <row r="29" spans="2:10" x14ac:dyDescent="0.25">
      <c r="J29" t="s">
        <v>84</v>
      </c>
    </row>
    <row r="31" spans="2:10" x14ac:dyDescent="0.25">
      <c r="B31" t="s">
        <v>70</v>
      </c>
    </row>
    <row r="32" spans="2:10" x14ac:dyDescent="0.25">
      <c r="B32" t="s">
        <v>71</v>
      </c>
    </row>
    <row r="33" spans="2:7" x14ac:dyDescent="0.25">
      <c r="B33" t="s">
        <v>72</v>
      </c>
    </row>
    <row r="34" spans="2:7" x14ac:dyDescent="0.25">
      <c r="B34" t="s">
        <v>73</v>
      </c>
    </row>
    <row r="35" spans="2:7" x14ac:dyDescent="0.25">
      <c r="B35" t="s">
        <v>74</v>
      </c>
    </row>
    <row r="36" spans="2:7" x14ac:dyDescent="0.25">
      <c r="G36" t="s">
        <v>80</v>
      </c>
    </row>
    <row r="37" spans="2:7" x14ac:dyDescent="0.25">
      <c r="B37" t="s">
        <v>75</v>
      </c>
      <c r="G37" t="s">
        <v>81</v>
      </c>
    </row>
    <row r="38" spans="2:7" x14ac:dyDescent="0.25">
      <c r="B38" t="s">
        <v>76</v>
      </c>
      <c r="G38" s="3">
        <v>323423423</v>
      </c>
    </row>
    <row r="39" spans="2:7" x14ac:dyDescent="0.25">
      <c r="B39" t="s">
        <v>77</v>
      </c>
    </row>
    <row r="40" spans="2:7" x14ac:dyDescent="0.25">
      <c r="B40" t="s">
        <v>78</v>
      </c>
      <c r="G40" t="s">
        <v>82</v>
      </c>
    </row>
    <row r="41" spans="2:7" x14ac:dyDescent="0.25">
      <c r="B41" t="s">
        <v>79</v>
      </c>
    </row>
    <row r="42" spans="2:7" x14ac:dyDescent="0.25">
      <c r="B42" t="s">
        <v>73</v>
      </c>
    </row>
    <row r="43" spans="2:7" x14ac:dyDescent="0.25">
      <c r="B43" t="s">
        <v>74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4"/>
  </sheetPr>
  <dimension ref="A1"/>
  <sheetViews>
    <sheetView rightToLeft="1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4"/>
  </sheetPr>
  <dimension ref="A1"/>
  <sheetViews>
    <sheetView rightToLeft="1" workbookViewId="0"/>
  </sheetViews>
  <sheetFormatPr defaultRowHeight="15" x14ac:dyDescent="0.25"/>
  <sheetData>
    <row r="1" spans="1:1" x14ac:dyDescent="0.25">
      <c r="A1" t="s">
        <v>11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4"/>
  </sheetPr>
  <dimension ref="A1"/>
  <sheetViews>
    <sheetView rightToLeft="1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/>
  </sheetPr>
  <dimension ref="A1:W15"/>
  <sheetViews>
    <sheetView rightToLeft="1" workbookViewId="0">
      <pane ySplit="2" topLeftCell="A3" activePane="bottomLeft" state="frozen"/>
      <selection pane="bottomLeft" activeCell="B1" sqref="B1"/>
    </sheetView>
  </sheetViews>
  <sheetFormatPr defaultRowHeight="15" x14ac:dyDescent="0.25"/>
  <cols>
    <col min="1" max="1" width="19.28515625" customWidth="1"/>
    <col min="2" max="2" width="24.28515625" customWidth="1"/>
    <col min="3" max="3" width="2.85546875" style="43" customWidth="1"/>
    <col min="4" max="4" width="35.85546875" customWidth="1"/>
    <col min="5" max="5" width="0.7109375" style="43" customWidth="1"/>
    <col min="6" max="6" width="36.5703125" customWidth="1"/>
    <col min="7" max="7" width="0.5703125" style="43" customWidth="1"/>
    <col min="8" max="8" width="17.28515625" customWidth="1"/>
    <col min="9" max="9" width="0.7109375" style="43" customWidth="1"/>
    <col min="10" max="10" width="22.85546875" customWidth="1"/>
    <col min="11" max="11" width="0.7109375" style="43" customWidth="1"/>
    <col min="12" max="12" width="36.5703125" customWidth="1"/>
    <col min="13" max="13" width="0.7109375" style="43" customWidth="1"/>
    <col min="14" max="14" width="36.5703125" customWidth="1"/>
    <col min="15" max="15" width="0.7109375" style="43" customWidth="1"/>
    <col min="16" max="16" width="36.5703125" customWidth="1"/>
    <col min="17" max="17" width="0.7109375" style="43" customWidth="1"/>
    <col min="18" max="25" width="36.5703125" customWidth="1"/>
  </cols>
  <sheetData>
    <row r="1" spans="1:23" ht="18.75" x14ac:dyDescent="0.25">
      <c r="A1" s="11" t="s">
        <v>8</v>
      </c>
      <c r="B1" s="37" t="s">
        <v>116</v>
      </c>
      <c r="C1" s="73"/>
      <c r="D1" s="43"/>
      <c r="F1" s="43"/>
      <c r="H1" s="43"/>
      <c r="J1" s="43"/>
      <c r="L1" s="43"/>
      <c r="N1" s="43"/>
      <c r="P1" s="43"/>
      <c r="R1" s="43"/>
      <c r="S1" s="43"/>
      <c r="T1" s="43"/>
      <c r="U1" s="43"/>
      <c r="V1" s="43"/>
      <c r="W1" s="43"/>
    </row>
    <row r="2" spans="1:23" s="43" customFormat="1" ht="3.75" customHeight="1" x14ac:dyDescent="0.25"/>
    <row r="3" spans="1:23" ht="15.75" x14ac:dyDescent="0.25">
      <c r="A3" s="157" t="s">
        <v>163</v>
      </c>
      <c r="B3" s="157"/>
      <c r="D3" s="43"/>
      <c r="F3" s="43"/>
      <c r="H3" s="43"/>
      <c r="J3" s="43"/>
      <c r="L3" s="43"/>
      <c r="N3" s="43"/>
      <c r="P3" s="71"/>
      <c r="Q3" s="71"/>
      <c r="R3" s="43"/>
      <c r="S3" s="43"/>
      <c r="T3" s="43"/>
      <c r="U3" s="43"/>
      <c r="V3" s="43"/>
      <c r="W3" s="43"/>
    </row>
    <row r="4" spans="1:23" ht="15.75" customHeight="1" x14ac:dyDescent="0.25">
      <c r="A4" s="45" t="s">
        <v>162</v>
      </c>
      <c r="B4" s="45" t="s">
        <v>174</v>
      </c>
      <c r="D4" s="43"/>
      <c r="F4" s="43"/>
      <c r="H4" s="43"/>
      <c r="J4" s="43"/>
      <c r="L4" s="43"/>
      <c r="N4" s="43"/>
      <c r="P4" s="71"/>
      <c r="Q4" s="71"/>
      <c r="R4" s="43"/>
      <c r="S4" s="43"/>
      <c r="T4" s="43"/>
      <c r="U4" s="43"/>
      <c r="V4" s="43"/>
      <c r="W4" s="43"/>
    </row>
    <row r="5" spans="1:23" ht="15.75" x14ac:dyDescent="0.25">
      <c r="A5" s="44">
        <v>1</v>
      </c>
      <c r="B5" s="44" t="s">
        <v>312</v>
      </c>
      <c r="D5" s="90" t="s">
        <v>312</v>
      </c>
      <c r="F5" s="90" t="s">
        <v>164</v>
      </c>
      <c r="G5" s="71"/>
      <c r="H5" s="90" t="s">
        <v>166</v>
      </c>
      <c r="I5" s="71"/>
      <c r="J5" s="90" t="s">
        <v>168</v>
      </c>
      <c r="K5" s="71"/>
      <c r="L5" s="90" t="s">
        <v>170</v>
      </c>
      <c r="N5" s="90" t="s">
        <v>171</v>
      </c>
      <c r="O5" s="71"/>
      <c r="P5" s="90" t="s">
        <v>169</v>
      </c>
      <c r="Q5" s="71"/>
      <c r="R5" s="91" t="s">
        <v>322</v>
      </c>
    </row>
    <row r="6" spans="1:23" ht="15.75" x14ac:dyDescent="0.25">
      <c r="A6" s="44">
        <v>2</v>
      </c>
      <c r="B6" s="88" t="s">
        <v>164</v>
      </c>
      <c r="D6" s="90" t="s">
        <v>323</v>
      </c>
      <c r="F6" s="90" t="s">
        <v>165</v>
      </c>
      <c r="G6" s="71"/>
      <c r="H6" s="90" t="s">
        <v>167</v>
      </c>
      <c r="I6" s="71"/>
      <c r="J6" s="90" t="s">
        <v>324</v>
      </c>
      <c r="K6" s="71"/>
      <c r="L6" s="90" t="s">
        <v>323</v>
      </c>
      <c r="M6" s="71"/>
      <c r="N6" s="90" t="s">
        <v>159</v>
      </c>
      <c r="O6" s="71"/>
      <c r="P6" s="90" t="s">
        <v>325</v>
      </c>
      <c r="Q6" s="71"/>
      <c r="R6" s="89" t="s">
        <v>320</v>
      </c>
    </row>
    <row r="7" spans="1:23" ht="15.75" x14ac:dyDescent="0.25">
      <c r="A7" s="44">
        <v>3</v>
      </c>
      <c r="B7" s="44" t="s">
        <v>316</v>
      </c>
      <c r="F7" s="70"/>
      <c r="G7" s="71"/>
      <c r="H7" s="70"/>
      <c r="I7" s="71"/>
      <c r="J7" s="70"/>
      <c r="K7" s="71"/>
      <c r="L7" s="90" t="s">
        <v>317</v>
      </c>
      <c r="M7" s="71"/>
      <c r="N7" s="70"/>
      <c r="O7" s="71"/>
      <c r="P7" s="70"/>
      <c r="Q7" s="71"/>
    </row>
    <row r="8" spans="1:23" ht="15.75" x14ac:dyDescent="0.25">
      <c r="A8" s="44">
        <v>4</v>
      </c>
      <c r="B8" s="44" t="s">
        <v>313</v>
      </c>
      <c r="F8" s="70"/>
      <c r="G8" s="71"/>
      <c r="H8" s="70"/>
      <c r="I8" s="71"/>
      <c r="J8" s="70"/>
      <c r="K8" s="71"/>
      <c r="L8" s="90" t="s">
        <v>318</v>
      </c>
      <c r="M8" s="71"/>
      <c r="N8" s="70"/>
      <c r="O8" s="71"/>
      <c r="P8" s="70"/>
      <c r="Q8" s="71"/>
    </row>
    <row r="9" spans="1:23" ht="15.75" x14ac:dyDescent="0.25">
      <c r="A9" s="44">
        <v>5</v>
      </c>
      <c r="B9" s="44" t="s">
        <v>319</v>
      </c>
      <c r="H9" s="70"/>
      <c r="I9" s="71"/>
      <c r="J9" s="70"/>
      <c r="K9" s="71"/>
      <c r="L9" s="70"/>
      <c r="M9" s="71"/>
      <c r="N9" s="70"/>
      <c r="O9" s="71"/>
    </row>
    <row r="10" spans="1:23" ht="15.75" x14ac:dyDescent="0.25">
      <c r="A10" s="44">
        <v>6</v>
      </c>
      <c r="B10" s="44" t="s">
        <v>314</v>
      </c>
      <c r="L10" s="70"/>
    </row>
    <row r="11" spans="1:23" ht="15.75" x14ac:dyDescent="0.25">
      <c r="A11" s="44">
        <v>7</v>
      </c>
      <c r="B11" s="44" t="s">
        <v>315</v>
      </c>
      <c r="L11" s="70"/>
    </row>
    <row r="12" spans="1:23" ht="15.75" x14ac:dyDescent="0.25">
      <c r="A12" s="44">
        <v>8</v>
      </c>
      <c r="B12" s="44" t="s">
        <v>321</v>
      </c>
    </row>
    <row r="13" spans="1:23" ht="15.75" x14ac:dyDescent="0.25">
      <c r="A13" s="44"/>
      <c r="B13" s="44"/>
    </row>
    <row r="14" spans="1:23" ht="15.75" x14ac:dyDescent="0.25">
      <c r="A14" s="44"/>
      <c r="B14" s="44"/>
    </row>
    <row r="15" spans="1:23" ht="15.75" x14ac:dyDescent="0.25">
      <c r="A15" s="44"/>
      <c r="B15" s="44"/>
    </row>
  </sheetData>
  <mergeCells count="1">
    <mergeCell ref="A3:B3"/>
  </mergeCells>
  <hyperlinks>
    <hyperlink ref="A1" location="فهرست!A1" display="فهرست"/>
    <hyperlink ref="B1" location="تراکنش‌ها!A1" display="تراکنش‌ها"/>
  </hyperlinks>
  <pageMargins left="0.7" right="0.7" top="0.75" bottom="0.75" header="0.3" footer="0.3"/>
  <pageSetup orientation="portrait" r:id="rId1"/>
  <tableParts count="9"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/>
  </sheetPr>
  <dimension ref="A1:B4"/>
  <sheetViews>
    <sheetView rightToLeft="1" workbookViewId="0">
      <selection activeCell="B4" sqref="B4"/>
    </sheetView>
  </sheetViews>
  <sheetFormatPr defaultRowHeight="15" x14ac:dyDescent="0.25"/>
  <sheetData>
    <row r="1" spans="1:2" x14ac:dyDescent="0.25">
      <c r="A1" t="s">
        <v>12</v>
      </c>
    </row>
    <row r="4" spans="1:2" x14ac:dyDescent="0.25">
      <c r="B4" t="s">
        <v>144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5"/>
  </sheetPr>
  <dimension ref="A1:BC29"/>
  <sheetViews>
    <sheetView rightToLeft="1" topLeftCell="A2" workbookViewId="0">
      <pane ySplit="2" topLeftCell="A4" activePane="bottomLeft" state="frozen"/>
      <selection activeCell="A2" sqref="A2"/>
      <selection pane="bottomLeft" activeCell="O10" sqref="O10"/>
    </sheetView>
  </sheetViews>
  <sheetFormatPr defaultRowHeight="15" x14ac:dyDescent="0.25"/>
  <cols>
    <col min="1" max="1" width="18.28515625" customWidth="1"/>
    <col min="2" max="2" width="36.5703125" customWidth="1"/>
    <col min="3" max="3" width="3" style="43" customWidth="1"/>
    <col min="4" max="4" width="17.140625" customWidth="1"/>
    <col min="5" max="5" width="0.7109375" style="83" customWidth="1"/>
    <col min="6" max="6" width="21.42578125" customWidth="1"/>
    <col min="7" max="7" width="0.7109375" style="83" customWidth="1"/>
    <col min="8" max="8" width="15.7109375" customWidth="1"/>
    <col min="9" max="9" width="0.7109375" style="83" customWidth="1"/>
    <col min="10" max="10" width="20.7109375" customWidth="1"/>
    <col min="11" max="11" width="0.7109375" style="83" customWidth="1"/>
    <col min="12" max="12" width="21.42578125" customWidth="1"/>
    <col min="13" max="13" width="0.7109375" style="83" customWidth="1"/>
    <col min="14" max="14" width="14.28515625" customWidth="1"/>
    <col min="15" max="15" width="0.7109375" style="83" customWidth="1"/>
    <col min="16" max="16" width="18.85546875" customWidth="1"/>
    <col min="17" max="17" width="0.7109375" style="83" customWidth="1"/>
    <col min="18" max="18" width="17.140625" customWidth="1"/>
    <col min="19" max="19" width="0.7109375" style="83" customWidth="1"/>
    <col min="20" max="20" width="17.140625" customWidth="1"/>
    <col min="21" max="21" width="0.7109375" style="83" customWidth="1"/>
    <col min="22" max="22" width="30.7109375" customWidth="1"/>
    <col min="23" max="23" width="0.7109375" style="83" customWidth="1"/>
    <col min="24" max="24" width="22.85546875" customWidth="1"/>
    <col min="25" max="25" width="0.7109375" style="83" customWidth="1"/>
    <col min="26" max="26" width="17.140625" customWidth="1"/>
    <col min="27" max="27" width="0.7109375" style="83" customWidth="1"/>
    <col min="28" max="28" width="22.85546875" customWidth="1"/>
    <col min="29" max="29" width="0.7109375" style="83" customWidth="1"/>
    <col min="30" max="30" width="17.140625" customWidth="1"/>
    <col min="31" max="31" width="0.7109375" style="43" customWidth="1"/>
    <col min="32" max="32" width="22.85546875" customWidth="1"/>
    <col min="33" max="33" width="0.7109375" style="43" customWidth="1"/>
    <col min="34" max="34" width="22.85546875" customWidth="1"/>
    <col min="35" max="35" width="0.7109375" style="43" customWidth="1"/>
    <col min="36" max="36" width="17.140625" customWidth="1"/>
    <col min="37" max="37" width="0.7109375" style="43" customWidth="1"/>
    <col min="38" max="38" width="22.85546875" customWidth="1"/>
    <col min="39" max="39" width="0.7109375" style="43" customWidth="1"/>
    <col min="40" max="40" width="21.42578125" customWidth="1"/>
    <col min="41" max="41" width="0.7109375" style="43" customWidth="1"/>
    <col min="42" max="42" width="17.140625" customWidth="1"/>
    <col min="43" max="43" width="0.7109375" style="43" customWidth="1"/>
    <col min="44" max="44" width="18.85546875" customWidth="1"/>
    <col min="45" max="45" width="0.7109375" style="43" customWidth="1"/>
    <col min="46" max="46" width="17.140625" customWidth="1"/>
    <col min="47" max="47" width="0.7109375" style="43" customWidth="1"/>
    <col min="48" max="48" width="17.140625" customWidth="1"/>
    <col min="49" max="49" width="0.7109375" style="43" customWidth="1"/>
    <col min="50" max="50" width="19.5703125" customWidth="1"/>
  </cols>
  <sheetData>
    <row r="1" spans="1:55" ht="18.75" hidden="1" customHeight="1" x14ac:dyDescent="0.25">
      <c r="A1" s="11" t="s">
        <v>8</v>
      </c>
      <c r="B1" s="37" t="s">
        <v>116</v>
      </c>
      <c r="C1" s="72"/>
      <c r="D1" s="83"/>
      <c r="F1" s="43"/>
      <c r="H1" s="43"/>
      <c r="J1" s="43"/>
      <c r="L1" s="43"/>
      <c r="N1" s="83"/>
      <c r="P1" s="83"/>
      <c r="R1" s="83"/>
      <c r="T1" s="43"/>
      <c r="V1" s="43"/>
      <c r="X1" s="43"/>
      <c r="Z1" s="43"/>
      <c r="AB1" s="43"/>
      <c r="AD1" s="43"/>
      <c r="AF1" s="43"/>
      <c r="AH1" s="43"/>
      <c r="AJ1" s="43"/>
      <c r="AL1" s="43"/>
      <c r="AN1" s="43"/>
      <c r="AP1" s="43"/>
      <c r="AR1" s="43"/>
      <c r="AT1" s="43"/>
      <c r="AV1" s="43"/>
      <c r="AX1" s="43"/>
      <c r="AY1" s="43"/>
      <c r="AZ1" s="43"/>
      <c r="BA1" s="43"/>
      <c r="BB1" s="43"/>
      <c r="BC1" s="43"/>
    </row>
    <row r="2" spans="1:55" ht="18.75" customHeight="1" x14ac:dyDescent="0.25">
      <c r="A2" s="11" t="s">
        <v>8</v>
      </c>
      <c r="B2" s="37" t="s">
        <v>116</v>
      </c>
      <c r="C2" s="72"/>
      <c r="D2" s="83"/>
      <c r="F2" s="43"/>
      <c r="H2" s="43"/>
      <c r="J2" s="43"/>
      <c r="L2" s="43"/>
      <c r="N2" s="83"/>
      <c r="P2" s="83"/>
      <c r="R2" s="83"/>
      <c r="T2" s="43"/>
      <c r="V2" s="43"/>
      <c r="X2" s="43"/>
      <c r="Z2" s="43"/>
      <c r="AB2" s="43"/>
      <c r="AD2" s="43"/>
      <c r="AF2" s="43"/>
      <c r="AH2" s="43"/>
      <c r="AJ2" s="43"/>
      <c r="AL2" s="43"/>
      <c r="AN2" s="43"/>
      <c r="AP2" s="43"/>
      <c r="AR2" s="43"/>
      <c r="AT2" s="43"/>
      <c r="AV2" s="43"/>
      <c r="AX2" s="43"/>
      <c r="AY2" s="43"/>
      <c r="AZ2" s="43"/>
      <c r="BA2" s="43"/>
      <c r="BB2" s="43"/>
      <c r="BC2" s="43"/>
    </row>
    <row r="3" spans="1:55" s="43" customFormat="1" ht="3.75" customHeight="1" x14ac:dyDescent="0.25">
      <c r="D3" s="83"/>
      <c r="E3" s="83"/>
      <c r="G3" s="83"/>
      <c r="I3" s="83"/>
      <c r="K3" s="83"/>
      <c r="M3" s="83"/>
      <c r="N3" s="83"/>
      <c r="O3" s="83"/>
      <c r="P3" s="83"/>
      <c r="Q3" s="83"/>
      <c r="R3" s="83"/>
      <c r="S3" s="83"/>
      <c r="U3" s="83"/>
      <c r="W3" s="83"/>
      <c r="Y3" s="83"/>
      <c r="AA3" s="83"/>
      <c r="AC3" s="83"/>
    </row>
    <row r="4" spans="1:55" ht="15.75" x14ac:dyDescent="0.25">
      <c r="A4" s="158" t="s">
        <v>172</v>
      </c>
      <c r="B4" s="158"/>
      <c r="D4" s="44" t="s">
        <v>190</v>
      </c>
      <c r="E4" s="84"/>
      <c r="F4" s="44" t="s">
        <v>194</v>
      </c>
      <c r="G4" s="84"/>
      <c r="H4" s="44" t="s">
        <v>188</v>
      </c>
      <c r="I4" s="84"/>
      <c r="J4" s="44" t="s">
        <v>178</v>
      </c>
      <c r="K4" s="84"/>
      <c r="L4" s="44" t="s">
        <v>177</v>
      </c>
      <c r="M4" s="84"/>
      <c r="N4" s="44" t="s">
        <v>179</v>
      </c>
      <c r="O4" s="84"/>
      <c r="P4" s="44" t="s">
        <v>183</v>
      </c>
      <c r="Q4" s="84"/>
      <c r="R4" s="44" t="s">
        <v>189</v>
      </c>
      <c r="S4" s="84"/>
      <c r="T4" s="44" t="s">
        <v>204</v>
      </c>
      <c r="U4" s="84"/>
      <c r="V4" s="44" t="s">
        <v>187</v>
      </c>
      <c r="W4" s="84"/>
      <c r="X4" s="44" t="s">
        <v>266</v>
      </c>
      <c r="Y4" s="84"/>
      <c r="Z4" s="44" t="s">
        <v>191</v>
      </c>
      <c r="AA4" s="84"/>
      <c r="AB4" s="44" t="s">
        <v>208</v>
      </c>
      <c r="AC4" s="84"/>
      <c r="AD4" s="44" t="s">
        <v>276</v>
      </c>
      <c r="AE4" s="85"/>
      <c r="AF4" s="44" t="s">
        <v>279</v>
      </c>
      <c r="AG4" s="85"/>
      <c r="AH4" s="44" t="s">
        <v>281</v>
      </c>
      <c r="AI4" s="85"/>
      <c r="AJ4" s="44" t="s">
        <v>181</v>
      </c>
      <c r="AK4" s="85"/>
      <c r="AL4" s="44" t="s">
        <v>230</v>
      </c>
      <c r="AM4" s="85"/>
      <c r="AN4" s="44" t="s">
        <v>244</v>
      </c>
      <c r="AO4" s="85"/>
      <c r="AP4" s="44" t="s">
        <v>180</v>
      </c>
      <c r="AQ4" s="85"/>
      <c r="AR4" s="44" t="s">
        <v>282</v>
      </c>
      <c r="AS4" s="85"/>
      <c r="AT4" s="44" t="s">
        <v>249</v>
      </c>
      <c r="AU4" s="85"/>
      <c r="AV4" s="44" t="s">
        <v>182</v>
      </c>
      <c r="AW4" s="71"/>
      <c r="AX4" s="70" t="s">
        <v>176</v>
      </c>
      <c r="AY4" s="70"/>
      <c r="AZ4" s="70"/>
      <c r="BA4" s="70"/>
    </row>
    <row r="5" spans="1:55" ht="15.75" x14ac:dyDescent="0.25">
      <c r="A5" s="44" t="s">
        <v>173</v>
      </c>
      <c r="B5" s="44" t="s">
        <v>175</v>
      </c>
      <c r="D5" s="44" t="s">
        <v>269</v>
      </c>
      <c r="E5" s="84"/>
      <c r="F5" s="44" t="s">
        <v>199</v>
      </c>
      <c r="G5" s="84"/>
      <c r="H5" s="44" t="s">
        <v>218</v>
      </c>
      <c r="I5" s="84"/>
      <c r="J5" s="44" t="s">
        <v>223</v>
      </c>
      <c r="K5" s="84"/>
      <c r="L5" s="44" t="s">
        <v>227</v>
      </c>
      <c r="M5" s="84"/>
      <c r="N5" s="44" t="s">
        <v>205</v>
      </c>
      <c r="O5" s="84"/>
      <c r="P5" s="44" t="s">
        <v>272</v>
      </c>
      <c r="Q5" s="84"/>
      <c r="R5" s="44" t="s">
        <v>240</v>
      </c>
      <c r="S5" s="84"/>
      <c r="T5" s="44" t="s">
        <v>209</v>
      </c>
      <c r="U5" s="84"/>
      <c r="V5" s="44" t="s">
        <v>214</v>
      </c>
      <c r="W5" s="84"/>
      <c r="X5" s="44" t="s">
        <v>273</v>
      </c>
      <c r="Y5" s="84"/>
      <c r="Z5" s="44" t="s">
        <v>274</v>
      </c>
      <c r="AA5" s="84"/>
      <c r="AB5" s="44" t="s">
        <v>271</v>
      </c>
      <c r="AC5" s="84"/>
      <c r="AD5" s="44" t="s">
        <v>285</v>
      </c>
      <c r="AE5" s="85"/>
      <c r="AF5" s="44" t="s">
        <v>280</v>
      </c>
      <c r="AG5" s="85"/>
      <c r="AH5" s="44" t="s">
        <v>308</v>
      </c>
      <c r="AI5" s="85"/>
      <c r="AJ5" s="44" t="s">
        <v>258</v>
      </c>
      <c r="AK5" s="85"/>
      <c r="AL5" s="44" t="s">
        <v>256</v>
      </c>
      <c r="AM5" s="85"/>
      <c r="AN5" s="44" t="s">
        <v>246</v>
      </c>
      <c r="AO5" s="85"/>
      <c r="AP5" s="44" t="s">
        <v>204</v>
      </c>
      <c r="AQ5" s="85"/>
      <c r="AR5" s="44" t="s">
        <v>283</v>
      </c>
      <c r="AS5" s="85"/>
      <c r="AT5" s="44" t="s">
        <v>251</v>
      </c>
      <c r="AU5" s="85"/>
      <c r="AV5" s="44" t="s">
        <v>261</v>
      </c>
      <c r="AW5" s="71"/>
      <c r="AX5" s="70" t="s">
        <v>304</v>
      </c>
      <c r="AY5" s="70"/>
      <c r="AZ5" s="70"/>
      <c r="BA5" s="70"/>
    </row>
    <row r="6" spans="1:55" ht="15.75" x14ac:dyDescent="0.25">
      <c r="A6" s="44">
        <v>1</v>
      </c>
      <c r="B6" s="81" t="s">
        <v>190</v>
      </c>
      <c r="D6" s="44" t="s">
        <v>270</v>
      </c>
      <c r="E6" s="84"/>
      <c r="F6" s="44" t="s">
        <v>198</v>
      </c>
      <c r="G6" s="84"/>
      <c r="H6" s="44" t="s">
        <v>219</v>
      </c>
      <c r="I6" s="84"/>
      <c r="J6" s="44" t="s">
        <v>226</v>
      </c>
      <c r="K6" s="84"/>
      <c r="L6" s="44" t="s">
        <v>228</v>
      </c>
      <c r="M6" s="84"/>
      <c r="N6" s="44" t="s">
        <v>204</v>
      </c>
      <c r="O6" s="84"/>
      <c r="P6" s="44" t="s">
        <v>159</v>
      </c>
      <c r="Q6" s="84"/>
      <c r="R6" s="44" t="s">
        <v>241</v>
      </c>
      <c r="S6" s="84"/>
      <c r="T6" s="44" t="s">
        <v>213</v>
      </c>
      <c r="U6" s="84"/>
      <c r="V6" s="44" t="s">
        <v>215</v>
      </c>
      <c r="W6" s="84"/>
      <c r="X6" s="44" t="s">
        <v>159</v>
      </c>
      <c r="Y6" s="84"/>
      <c r="Z6" s="44" t="s">
        <v>275</v>
      </c>
      <c r="AA6" s="84"/>
      <c r="AB6" s="44" t="s">
        <v>236</v>
      </c>
      <c r="AC6" s="84"/>
      <c r="AD6" s="44" t="s">
        <v>284</v>
      </c>
      <c r="AE6" s="85"/>
      <c r="AF6" s="44" t="s">
        <v>307</v>
      </c>
      <c r="AG6" s="85"/>
      <c r="AH6" s="44" t="s">
        <v>323</v>
      </c>
      <c r="AI6" s="85"/>
      <c r="AJ6" s="44" t="s">
        <v>257</v>
      </c>
      <c r="AK6" s="85"/>
      <c r="AL6" s="44" t="s">
        <v>231</v>
      </c>
      <c r="AM6" s="85"/>
      <c r="AN6" s="44" t="s">
        <v>245</v>
      </c>
      <c r="AO6" s="85"/>
      <c r="AP6" s="44" t="s">
        <v>253</v>
      </c>
      <c r="AQ6" s="85"/>
      <c r="AR6" s="44" t="s">
        <v>309</v>
      </c>
      <c r="AS6" s="85"/>
      <c r="AT6" s="44" t="s">
        <v>250</v>
      </c>
      <c r="AU6" s="85"/>
      <c r="AV6" s="44" t="s">
        <v>262</v>
      </c>
      <c r="AW6" s="71"/>
      <c r="AX6" s="70" t="s">
        <v>303</v>
      </c>
      <c r="AY6" s="70"/>
      <c r="AZ6" s="70"/>
      <c r="BA6" s="70"/>
    </row>
    <row r="7" spans="1:55" ht="15.75" x14ac:dyDescent="0.25">
      <c r="A7" s="44">
        <v>2</v>
      </c>
      <c r="B7" s="82" t="s">
        <v>288</v>
      </c>
      <c r="D7" s="44" t="s">
        <v>267</v>
      </c>
      <c r="E7" s="84"/>
      <c r="F7" s="44" t="s">
        <v>197</v>
      </c>
      <c r="G7" s="84"/>
      <c r="H7" s="44" t="s">
        <v>220</v>
      </c>
      <c r="I7" s="84"/>
      <c r="J7" s="44" t="s">
        <v>224</v>
      </c>
      <c r="K7" s="84"/>
      <c r="L7" s="44"/>
      <c r="M7" s="84"/>
      <c r="N7" s="44" t="s">
        <v>206</v>
      </c>
      <c r="O7" s="84"/>
      <c r="P7" s="44"/>
      <c r="Q7" s="84"/>
      <c r="R7" s="44" t="s">
        <v>242</v>
      </c>
      <c r="S7" s="84"/>
      <c r="T7" s="44" t="s">
        <v>210</v>
      </c>
      <c r="U7" s="84"/>
      <c r="V7" s="44" t="s">
        <v>216</v>
      </c>
      <c r="W7" s="84"/>
      <c r="X7" s="44"/>
      <c r="Y7" s="84"/>
      <c r="Z7" s="44"/>
      <c r="AA7" s="84"/>
      <c r="AB7" s="44"/>
      <c r="AC7" s="84"/>
      <c r="AD7" s="44" t="s">
        <v>277</v>
      </c>
      <c r="AE7" s="85"/>
      <c r="AF7" s="44"/>
      <c r="AG7" s="85"/>
      <c r="AH7" s="44"/>
      <c r="AI7" s="85"/>
      <c r="AJ7" s="44"/>
      <c r="AK7" s="85"/>
      <c r="AL7" s="44" t="s">
        <v>232</v>
      </c>
      <c r="AM7" s="85"/>
      <c r="AN7" s="44" t="s">
        <v>247</v>
      </c>
      <c r="AO7" s="85"/>
      <c r="AP7" s="44" t="s">
        <v>254</v>
      </c>
      <c r="AQ7" s="85"/>
      <c r="AR7" s="44"/>
      <c r="AS7" s="85"/>
      <c r="AT7" s="44" t="s">
        <v>252</v>
      </c>
      <c r="AU7" s="85"/>
      <c r="AV7" s="44" t="s">
        <v>263</v>
      </c>
      <c r="AW7" s="71"/>
      <c r="AX7" s="70" t="s">
        <v>305</v>
      </c>
      <c r="AY7" s="70"/>
      <c r="AZ7" s="70"/>
      <c r="BA7" s="70"/>
    </row>
    <row r="8" spans="1:55" ht="15.75" x14ac:dyDescent="0.25">
      <c r="A8" s="44">
        <v>3</v>
      </c>
      <c r="B8" s="82" t="s">
        <v>289</v>
      </c>
      <c r="D8" s="44" t="s">
        <v>268</v>
      </c>
      <c r="E8" s="84"/>
      <c r="F8" s="44" t="s">
        <v>195</v>
      </c>
      <c r="G8" s="84"/>
      <c r="H8" s="44" t="s">
        <v>221</v>
      </c>
      <c r="I8" s="84"/>
      <c r="J8" s="44" t="s">
        <v>229</v>
      </c>
      <c r="K8" s="84"/>
      <c r="L8" s="44"/>
      <c r="M8" s="84"/>
      <c r="N8" s="44" t="s">
        <v>207</v>
      </c>
      <c r="O8" s="84"/>
      <c r="P8" s="44"/>
      <c r="Q8" s="84"/>
      <c r="R8" s="44" t="s">
        <v>243</v>
      </c>
      <c r="S8" s="84"/>
      <c r="T8" s="44" t="s">
        <v>211</v>
      </c>
      <c r="U8" s="84"/>
      <c r="V8" s="44" t="s">
        <v>217</v>
      </c>
      <c r="W8" s="84"/>
      <c r="X8" s="44"/>
      <c r="Y8" s="84"/>
      <c r="Z8" s="44"/>
      <c r="AA8" s="84"/>
      <c r="AB8" s="44"/>
      <c r="AC8" s="84"/>
      <c r="AD8" s="44" t="s">
        <v>278</v>
      </c>
      <c r="AE8" s="85"/>
      <c r="AF8" s="44"/>
      <c r="AG8" s="85"/>
      <c r="AH8" s="44"/>
      <c r="AI8" s="85"/>
      <c r="AJ8" s="44"/>
      <c r="AK8" s="85"/>
      <c r="AL8" s="44" t="s">
        <v>233</v>
      </c>
      <c r="AM8" s="85"/>
      <c r="AN8" s="44" t="s">
        <v>248</v>
      </c>
      <c r="AO8" s="85"/>
      <c r="AP8" s="44" t="s">
        <v>255</v>
      </c>
      <c r="AQ8" s="85"/>
      <c r="AR8" s="44"/>
      <c r="AS8" s="85"/>
      <c r="AT8" s="44"/>
      <c r="AU8" s="85"/>
      <c r="AV8" s="44" t="s">
        <v>259</v>
      </c>
      <c r="AW8" s="71"/>
      <c r="AX8" s="70"/>
      <c r="AY8" s="70"/>
      <c r="AZ8" s="70"/>
      <c r="BA8" s="70"/>
    </row>
    <row r="9" spans="1:55" ht="15.75" x14ac:dyDescent="0.25">
      <c r="A9" s="44">
        <v>4</v>
      </c>
      <c r="B9" s="81" t="s">
        <v>290</v>
      </c>
      <c r="D9" s="44"/>
      <c r="E9" s="84"/>
      <c r="F9" s="44" t="s">
        <v>196</v>
      </c>
      <c r="G9" s="84"/>
      <c r="H9" s="44" t="s">
        <v>222</v>
      </c>
      <c r="I9" s="84"/>
      <c r="J9" s="44" t="s">
        <v>225</v>
      </c>
      <c r="K9" s="84"/>
      <c r="L9" s="44"/>
      <c r="M9" s="84"/>
      <c r="N9" s="44"/>
      <c r="O9" s="84"/>
      <c r="P9" s="44"/>
      <c r="Q9" s="84"/>
      <c r="R9" s="44"/>
      <c r="S9" s="84"/>
      <c r="T9" s="44" t="s">
        <v>212</v>
      </c>
      <c r="U9" s="84"/>
      <c r="V9" s="44"/>
      <c r="W9" s="84"/>
      <c r="X9" s="44"/>
      <c r="Y9" s="84"/>
      <c r="Z9" s="44"/>
      <c r="AA9" s="84"/>
      <c r="AB9" s="44"/>
      <c r="AC9" s="84"/>
      <c r="AD9" s="44"/>
      <c r="AE9" s="85"/>
      <c r="AF9" s="44"/>
      <c r="AG9" s="85"/>
      <c r="AH9" s="44"/>
      <c r="AI9" s="85"/>
      <c r="AJ9" s="44"/>
      <c r="AK9" s="85"/>
      <c r="AL9" s="44" t="s">
        <v>239</v>
      </c>
      <c r="AM9" s="85"/>
      <c r="AN9" s="44"/>
      <c r="AO9" s="85"/>
      <c r="AP9" s="44"/>
      <c r="AQ9" s="85"/>
      <c r="AR9" s="44"/>
      <c r="AS9" s="85"/>
      <c r="AT9" s="44"/>
      <c r="AU9" s="85"/>
      <c r="AV9" s="44" t="s">
        <v>260</v>
      </c>
      <c r="AW9" s="71"/>
      <c r="AX9" s="70"/>
      <c r="AY9" s="70"/>
      <c r="AZ9" s="70"/>
      <c r="BA9" s="70"/>
    </row>
    <row r="10" spans="1:55" ht="15.75" x14ac:dyDescent="0.25">
      <c r="A10" s="44">
        <v>5</v>
      </c>
      <c r="B10" s="81" t="s">
        <v>291</v>
      </c>
      <c r="D10" s="44"/>
      <c r="E10" s="84"/>
      <c r="F10" s="44" t="s">
        <v>200</v>
      </c>
      <c r="G10" s="84"/>
      <c r="H10" s="44"/>
      <c r="I10" s="84"/>
      <c r="J10" s="44"/>
      <c r="K10" s="84"/>
      <c r="L10" s="44"/>
      <c r="M10" s="84"/>
      <c r="N10" s="44"/>
      <c r="O10" s="84"/>
      <c r="P10" s="44"/>
      <c r="Q10" s="84"/>
      <c r="R10" s="44"/>
      <c r="S10" s="84"/>
      <c r="T10" s="44"/>
      <c r="U10" s="84"/>
      <c r="V10" s="44"/>
      <c r="W10" s="84"/>
      <c r="X10" s="44"/>
      <c r="Y10" s="84"/>
      <c r="Z10" s="44"/>
      <c r="AA10" s="84"/>
      <c r="AB10" s="44"/>
      <c r="AC10" s="84"/>
      <c r="AD10" s="44"/>
      <c r="AE10" s="85"/>
      <c r="AF10" s="44"/>
      <c r="AG10" s="85"/>
      <c r="AH10" s="44"/>
      <c r="AI10" s="85"/>
      <c r="AJ10" s="44"/>
      <c r="AK10" s="85"/>
      <c r="AL10" s="44" t="s">
        <v>234</v>
      </c>
      <c r="AM10" s="85"/>
      <c r="AN10" s="44"/>
      <c r="AO10" s="85"/>
      <c r="AP10" s="44"/>
      <c r="AQ10" s="85"/>
      <c r="AR10" s="44"/>
      <c r="AS10" s="85"/>
      <c r="AT10" s="44"/>
      <c r="AU10" s="85"/>
      <c r="AV10" s="44" t="s">
        <v>264</v>
      </c>
      <c r="AW10" s="71"/>
      <c r="AX10" s="70"/>
      <c r="AY10" s="70"/>
      <c r="AZ10" s="70"/>
      <c r="BA10" s="70"/>
    </row>
    <row r="11" spans="1:55" ht="15.75" x14ac:dyDescent="0.25">
      <c r="A11" s="44">
        <v>6</v>
      </c>
      <c r="B11" s="82" t="s">
        <v>179</v>
      </c>
      <c r="D11" s="44"/>
      <c r="E11" s="84"/>
      <c r="F11" s="44" t="s">
        <v>203</v>
      </c>
      <c r="G11" s="84"/>
      <c r="H11" s="44"/>
      <c r="I11" s="84"/>
      <c r="J11" s="44"/>
      <c r="K11" s="84"/>
      <c r="L11" s="44"/>
      <c r="M11" s="84"/>
      <c r="N11" s="44"/>
      <c r="O11" s="84"/>
      <c r="P11" s="44"/>
      <c r="Q11" s="84"/>
      <c r="R11" s="44"/>
      <c r="S11" s="84"/>
      <c r="T11" s="44"/>
      <c r="U11" s="84"/>
      <c r="V11" s="44"/>
      <c r="W11" s="84"/>
      <c r="X11" s="44"/>
      <c r="Y11" s="84"/>
      <c r="Z11" s="44"/>
      <c r="AA11" s="84"/>
      <c r="AB11" s="44"/>
      <c r="AC11" s="84"/>
      <c r="AD11" s="44"/>
      <c r="AE11" s="85"/>
      <c r="AF11" s="44"/>
      <c r="AG11" s="85"/>
      <c r="AH11" s="44"/>
      <c r="AI11" s="85"/>
      <c r="AJ11" s="44"/>
      <c r="AK11" s="85"/>
      <c r="AL11" s="44" t="s">
        <v>238</v>
      </c>
      <c r="AM11" s="85"/>
      <c r="AN11" s="44"/>
      <c r="AO11" s="85"/>
      <c r="AP11" s="44"/>
      <c r="AQ11" s="85"/>
      <c r="AR11" s="44"/>
      <c r="AS11" s="85"/>
      <c r="AT11" s="44"/>
      <c r="AU11" s="85"/>
      <c r="AV11" s="44" t="s">
        <v>265</v>
      </c>
      <c r="AW11" s="71"/>
      <c r="AX11" s="70"/>
      <c r="AY11" s="70"/>
      <c r="AZ11" s="70"/>
      <c r="BA11" s="70"/>
    </row>
    <row r="12" spans="1:55" ht="15.75" x14ac:dyDescent="0.25">
      <c r="A12" s="44">
        <v>7</v>
      </c>
      <c r="B12" s="82" t="s">
        <v>292</v>
      </c>
      <c r="D12" s="44"/>
      <c r="E12" s="84"/>
      <c r="F12" s="44" t="s">
        <v>201</v>
      </c>
      <c r="G12" s="84"/>
      <c r="H12" s="44"/>
      <c r="I12" s="84"/>
      <c r="J12" s="44"/>
      <c r="K12" s="84"/>
      <c r="L12" s="44"/>
      <c r="M12" s="84"/>
      <c r="N12" s="44"/>
      <c r="O12" s="84"/>
      <c r="P12" s="44"/>
      <c r="Q12" s="84"/>
      <c r="R12" s="44"/>
      <c r="S12" s="84"/>
      <c r="T12" s="44"/>
      <c r="U12" s="84"/>
      <c r="V12" s="44"/>
      <c r="W12" s="84"/>
      <c r="X12" s="44"/>
      <c r="Y12" s="84"/>
      <c r="Z12" s="44"/>
      <c r="AA12" s="84"/>
      <c r="AB12" s="44"/>
      <c r="AC12" s="84"/>
      <c r="AD12" s="44"/>
      <c r="AE12" s="85"/>
      <c r="AF12" s="44"/>
      <c r="AG12" s="85"/>
      <c r="AH12" s="44"/>
      <c r="AI12" s="85"/>
      <c r="AJ12" s="44"/>
      <c r="AK12" s="85"/>
      <c r="AL12" s="44" t="s">
        <v>253</v>
      </c>
      <c r="AM12" s="85"/>
      <c r="AN12" s="44"/>
      <c r="AO12" s="85"/>
      <c r="AP12" s="44"/>
      <c r="AQ12" s="85"/>
      <c r="AR12" s="44"/>
      <c r="AS12" s="85"/>
      <c r="AT12" s="44"/>
      <c r="AU12" s="85"/>
      <c r="AV12" s="44"/>
      <c r="AW12" s="71"/>
      <c r="AX12" s="70"/>
      <c r="AY12" s="70"/>
      <c r="AZ12" s="70"/>
      <c r="BA12" s="70"/>
    </row>
    <row r="13" spans="1:55" ht="15.75" x14ac:dyDescent="0.25">
      <c r="A13" s="44">
        <v>8</v>
      </c>
      <c r="B13" s="82" t="s">
        <v>293</v>
      </c>
      <c r="D13" s="44"/>
      <c r="E13" s="84"/>
      <c r="F13" s="44" t="s">
        <v>202</v>
      </c>
      <c r="G13" s="84"/>
      <c r="H13" s="44"/>
      <c r="I13" s="84"/>
      <c r="J13" s="44"/>
      <c r="K13" s="84"/>
      <c r="L13" s="44"/>
      <c r="M13" s="84"/>
      <c r="N13" s="44"/>
      <c r="O13" s="84"/>
      <c r="P13" s="44"/>
      <c r="Q13" s="84"/>
      <c r="R13" s="44"/>
      <c r="S13" s="86"/>
      <c r="T13" s="44"/>
      <c r="U13" s="84"/>
      <c r="V13" s="44"/>
      <c r="W13" s="84"/>
      <c r="X13" s="44"/>
      <c r="Y13" s="84"/>
      <c r="Z13" s="44"/>
      <c r="AA13" s="84"/>
      <c r="AB13" s="44"/>
      <c r="AC13" s="84"/>
      <c r="AD13" s="44"/>
      <c r="AE13" s="85"/>
      <c r="AF13" s="44"/>
      <c r="AG13" s="85"/>
      <c r="AH13" s="44"/>
      <c r="AI13" s="85"/>
      <c r="AJ13" s="44"/>
      <c r="AK13" s="85"/>
      <c r="AL13" s="44" t="s">
        <v>237</v>
      </c>
      <c r="AM13" s="85"/>
      <c r="AN13" s="44"/>
      <c r="AO13" s="85"/>
      <c r="AP13" s="44"/>
      <c r="AQ13" s="85"/>
      <c r="AR13" s="44"/>
      <c r="AS13" s="85"/>
      <c r="AT13" s="44"/>
      <c r="AU13" s="85"/>
      <c r="AV13" s="44"/>
      <c r="AW13" s="71"/>
      <c r="AX13" s="70"/>
      <c r="AY13" s="70"/>
      <c r="AZ13" s="70"/>
      <c r="BA13" s="70"/>
    </row>
    <row r="14" spans="1:55" ht="15.75" x14ac:dyDescent="0.25">
      <c r="A14" s="44">
        <v>9</v>
      </c>
      <c r="B14" s="81" t="s">
        <v>204</v>
      </c>
      <c r="D14" s="44"/>
      <c r="E14" s="84"/>
      <c r="F14" s="44"/>
      <c r="G14" s="84"/>
      <c r="H14" s="44"/>
      <c r="I14" s="84"/>
      <c r="J14" s="44"/>
      <c r="K14" s="84"/>
      <c r="L14" s="44"/>
      <c r="M14" s="84"/>
      <c r="N14" s="44"/>
      <c r="O14" s="84"/>
      <c r="P14" s="44"/>
      <c r="Q14" s="84"/>
      <c r="R14" s="44"/>
      <c r="S14" s="84"/>
      <c r="T14" s="44"/>
      <c r="U14" s="84"/>
      <c r="V14" s="44"/>
      <c r="W14" s="84"/>
      <c r="X14" s="44"/>
      <c r="Y14" s="84"/>
      <c r="Z14" s="44"/>
      <c r="AA14" s="84"/>
      <c r="AB14" s="44"/>
      <c r="AC14" s="84"/>
      <c r="AD14" s="44"/>
      <c r="AE14" s="85"/>
      <c r="AF14" s="44"/>
      <c r="AG14" s="85"/>
      <c r="AH14" s="44"/>
      <c r="AI14" s="85"/>
      <c r="AJ14" s="44"/>
      <c r="AK14" s="85"/>
      <c r="AL14" s="44" t="s">
        <v>235</v>
      </c>
      <c r="AM14" s="85"/>
      <c r="AN14" s="44"/>
      <c r="AO14" s="85"/>
      <c r="AP14" s="44"/>
      <c r="AQ14" s="85"/>
      <c r="AR14" s="44"/>
      <c r="AS14" s="85"/>
      <c r="AT14" s="44"/>
      <c r="AU14" s="85"/>
      <c r="AV14" s="44"/>
      <c r="AW14" s="71"/>
      <c r="AX14" s="70"/>
      <c r="AY14" s="70"/>
      <c r="AZ14" s="70"/>
      <c r="BA14" s="70"/>
    </row>
    <row r="15" spans="1:55" ht="15.75" x14ac:dyDescent="0.25">
      <c r="A15" s="44">
        <v>10</v>
      </c>
      <c r="B15" s="82" t="s">
        <v>294</v>
      </c>
      <c r="D15" s="44"/>
      <c r="E15" s="84"/>
      <c r="F15" s="44"/>
      <c r="G15" s="84"/>
      <c r="H15" s="44"/>
      <c r="I15" s="84"/>
      <c r="J15" s="44"/>
      <c r="K15" s="84"/>
      <c r="L15" s="44"/>
      <c r="M15" s="84"/>
      <c r="N15" s="44"/>
      <c r="O15" s="84"/>
      <c r="P15" s="44"/>
      <c r="Q15" s="84"/>
      <c r="R15" s="44"/>
      <c r="S15" s="84"/>
      <c r="T15" s="44"/>
      <c r="U15" s="84"/>
      <c r="V15" s="44"/>
      <c r="W15" s="84"/>
      <c r="X15" s="44"/>
      <c r="Y15" s="84"/>
      <c r="Z15" s="44"/>
      <c r="AA15" s="84"/>
      <c r="AB15" s="44"/>
      <c r="AC15" s="84"/>
      <c r="AD15" s="44"/>
      <c r="AE15" s="85"/>
      <c r="AF15" s="44"/>
      <c r="AG15" s="85"/>
      <c r="AH15" s="44"/>
      <c r="AI15" s="85"/>
      <c r="AJ15" s="44"/>
      <c r="AK15" s="85"/>
      <c r="AL15" s="44" t="s">
        <v>236</v>
      </c>
      <c r="AM15" s="85"/>
      <c r="AN15" s="44"/>
      <c r="AO15" s="85"/>
      <c r="AP15" s="44"/>
      <c r="AQ15" s="85"/>
      <c r="AR15" s="44"/>
      <c r="AS15" s="85"/>
      <c r="AT15" s="44"/>
      <c r="AU15" s="85"/>
      <c r="AV15" s="44"/>
      <c r="AW15" s="71"/>
      <c r="AX15" s="70"/>
      <c r="AY15" s="70"/>
      <c r="AZ15" s="70"/>
      <c r="BA15" s="70"/>
    </row>
    <row r="16" spans="1:55" ht="15.75" x14ac:dyDescent="0.25">
      <c r="A16" s="44">
        <v>11</v>
      </c>
      <c r="B16" s="82" t="s">
        <v>287</v>
      </c>
      <c r="D16" s="44"/>
      <c r="E16" s="84"/>
      <c r="F16" s="44"/>
      <c r="G16" s="84"/>
      <c r="H16" s="44"/>
      <c r="I16" s="84"/>
      <c r="J16" s="44"/>
      <c r="K16" s="84"/>
      <c r="L16" s="44"/>
      <c r="M16" s="84"/>
      <c r="N16" s="44"/>
      <c r="O16" s="84"/>
      <c r="P16" s="44"/>
      <c r="Q16" s="84"/>
      <c r="R16" s="44"/>
      <c r="S16" s="84"/>
      <c r="T16" s="44"/>
      <c r="U16" s="84"/>
      <c r="V16" s="44"/>
      <c r="W16" s="84"/>
      <c r="X16" s="44"/>
      <c r="Y16" s="84"/>
      <c r="Z16" s="44"/>
      <c r="AA16" s="84"/>
      <c r="AB16" s="44"/>
      <c r="AC16" s="84"/>
      <c r="AD16" s="44"/>
      <c r="AE16" s="85"/>
      <c r="AF16" s="44"/>
      <c r="AG16" s="85"/>
      <c r="AH16" s="44"/>
      <c r="AI16" s="85"/>
      <c r="AJ16" s="44"/>
      <c r="AK16" s="85"/>
      <c r="AL16" s="44"/>
      <c r="AM16" s="85"/>
      <c r="AN16" s="44"/>
      <c r="AO16" s="85"/>
      <c r="AP16" s="44"/>
      <c r="AQ16" s="85"/>
      <c r="AR16" s="44"/>
      <c r="AS16" s="85"/>
      <c r="AT16" s="44"/>
      <c r="AU16" s="85"/>
      <c r="AV16" s="44"/>
      <c r="AW16" s="71"/>
      <c r="AX16" s="70"/>
      <c r="AY16" s="70"/>
      <c r="AZ16" s="70"/>
      <c r="BA16" s="70"/>
    </row>
    <row r="17" spans="1:53" ht="15.75" x14ac:dyDescent="0.25">
      <c r="A17" s="44">
        <v>12</v>
      </c>
      <c r="B17" s="82" t="s">
        <v>191</v>
      </c>
      <c r="D17" s="70"/>
      <c r="E17" s="87"/>
      <c r="F17" s="70"/>
      <c r="G17" s="87"/>
      <c r="H17" s="70"/>
      <c r="I17" s="87"/>
      <c r="J17" s="70"/>
      <c r="K17" s="87"/>
      <c r="L17" s="70"/>
      <c r="M17" s="87"/>
      <c r="N17" s="70"/>
      <c r="O17" s="87"/>
      <c r="P17" s="70"/>
      <c r="Q17" s="87"/>
      <c r="R17" s="70"/>
      <c r="S17" s="87"/>
      <c r="T17" s="70"/>
      <c r="U17" s="87"/>
      <c r="V17" s="70"/>
      <c r="W17" s="87"/>
      <c r="X17" s="70"/>
      <c r="Y17" s="87"/>
      <c r="Z17" s="70"/>
      <c r="AA17" s="87"/>
      <c r="AB17" s="70"/>
      <c r="AC17" s="87"/>
      <c r="AD17" s="70"/>
      <c r="AE17" s="71"/>
      <c r="AF17" s="70"/>
      <c r="AG17" s="71"/>
      <c r="AH17" s="70"/>
      <c r="AI17" s="71"/>
      <c r="AJ17" s="70"/>
      <c r="AK17" s="71"/>
      <c r="AL17" s="70"/>
      <c r="AM17" s="71"/>
      <c r="AN17" s="70"/>
      <c r="AO17" s="71"/>
      <c r="AP17" s="70"/>
      <c r="AQ17" s="71"/>
      <c r="AR17" s="70"/>
      <c r="AS17" s="71"/>
      <c r="AT17" s="70"/>
      <c r="AU17" s="71"/>
      <c r="AV17" s="70"/>
      <c r="AW17" s="71"/>
      <c r="AX17" s="70"/>
      <c r="AY17" s="70"/>
      <c r="AZ17" s="70"/>
      <c r="BA17" s="70"/>
    </row>
    <row r="18" spans="1:53" ht="15.75" x14ac:dyDescent="0.25">
      <c r="A18" s="44">
        <v>13</v>
      </c>
      <c r="B18" s="81" t="s">
        <v>208</v>
      </c>
      <c r="D18" s="70"/>
      <c r="E18" s="87"/>
      <c r="F18" s="70"/>
      <c r="G18" s="87"/>
      <c r="H18" s="70"/>
      <c r="I18" s="87"/>
      <c r="J18" s="70"/>
      <c r="K18" s="87"/>
      <c r="L18" s="70"/>
      <c r="M18" s="87"/>
      <c r="N18" s="70"/>
      <c r="O18" s="87"/>
      <c r="P18" s="70"/>
      <c r="Q18" s="87"/>
      <c r="R18" s="70"/>
      <c r="S18" s="87"/>
      <c r="T18" s="70"/>
      <c r="U18" s="87"/>
      <c r="V18" s="70"/>
      <c r="W18" s="87"/>
      <c r="X18" s="70"/>
      <c r="Y18" s="87"/>
      <c r="Z18" s="70"/>
      <c r="AA18" s="87"/>
      <c r="AB18" s="70"/>
      <c r="AC18" s="87"/>
      <c r="AD18" s="70"/>
      <c r="AE18" s="71"/>
      <c r="AF18" s="70"/>
      <c r="AG18" s="71"/>
      <c r="AH18" s="70"/>
      <c r="AI18" s="71"/>
      <c r="AJ18" s="70"/>
      <c r="AK18" s="71"/>
      <c r="AL18" s="70"/>
      <c r="AM18" s="71"/>
      <c r="AN18" s="70"/>
      <c r="AO18" s="71"/>
      <c r="AP18" s="70"/>
      <c r="AQ18" s="71"/>
      <c r="AR18" s="70"/>
      <c r="AS18" s="71"/>
      <c r="AT18" s="70"/>
      <c r="AU18" s="71"/>
      <c r="AV18" s="70"/>
      <c r="AW18" s="71"/>
      <c r="AX18" s="70"/>
      <c r="AY18" s="70"/>
      <c r="AZ18" s="70"/>
      <c r="BA18" s="70"/>
    </row>
    <row r="19" spans="1:53" ht="15.75" x14ac:dyDescent="0.25">
      <c r="A19" s="44">
        <v>14</v>
      </c>
      <c r="B19" s="82" t="s">
        <v>295</v>
      </c>
      <c r="D19" s="70"/>
      <c r="E19" s="87"/>
      <c r="F19" s="70"/>
      <c r="G19" s="87"/>
      <c r="H19" s="70"/>
      <c r="I19" s="87"/>
      <c r="J19" s="70"/>
      <c r="K19" s="87"/>
      <c r="L19" s="70"/>
      <c r="M19" s="87"/>
      <c r="N19" s="70"/>
      <c r="O19" s="87"/>
      <c r="P19" s="70"/>
      <c r="Q19" s="87"/>
      <c r="R19" s="70"/>
      <c r="S19" s="87"/>
      <c r="T19" s="70"/>
      <c r="U19" s="87"/>
      <c r="V19" s="70"/>
      <c r="W19" s="87"/>
      <c r="X19" s="70"/>
      <c r="Y19" s="87"/>
      <c r="Z19" s="70"/>
      <c r="AA19" s="87"/>
      <c r="AB19" s="70"/>
      <c r="AC19" s="87"/>
      <c r="AD19" s="70"/>
      <c r="AE19" s="71"/>
      <c r="AF19" s="70"/>
      <c r="AG19" s="71"/>
      <c r="AH19" s="70"/>
      <c r="AI19" s="71"/>
      <c r="AJ19" s="70"/>
      <c r="AK19" s="71"/>
      <c r="AL19" s="70"/>
      <c r="AM19" s="71"/>
      <c r="AN19" s="70"/>
      <c r="AO19" s="71"/>
      <c r="AP19" s="70"/>
      <c r="AQ19" s="71"/>
      <c r="AR19" s="70"/>
      <c r="AS19" s="71"/>
      <c r="AT19" s="70"/>
      <c r="AU19" s="71"/>
      <c r="AV19" s="70"/>
      <c r="AW19" s="71"/>
      <c r="AX19" s="70"/>
      <c r="AY19" s="70"/>
      <c r="AZ19" s="70"/>
      <c r="BA19" s="70"/>
    </row>
    <row r="20" spans="1:53" ht="15.75" x14ac:dyDescent="0.25">
      <c r="A20" s="44">
        <v>15</v>
      </c>
      <c r="B20" s="82" t="s">
        <v>296</v>
      </c>
      <c r="D20" s="70"/>
      <c r="E20" s="87"/>
      <c r="F20" s="70"/>
      <c r="G20" s="87"/>
      <c r="H20" s="70"/>
      <c r="I20" s="87"/>
      <c r="J20" s="70"/>
      <c r="K20" s="87"/>
      <c r="L20" s="70"/>
      <c r="M20" s="87"/>
      <c r="N20" s="70"/>
      <c r="O20" s="87"/>
      <c r="P20" s="70"/>
      <c r="Q20" s="87"/>
      <c r="R20" s="70"/>
      <c r="S20" s="87"/>
      <c r="T20" s="70"/>
      <c r="U20" s="87"/>
      <c r="V20" s="70"/>
      <c r="W20" s="87"/>
      <c r="X20" s="70"/>
      <c r="Y20" s="87"/>
      <c r="Z20" s="70"/>
      <c r="AA20" s="87"/>
      <c r="AB20" s="70"/>
      <c r="AC20" s="87"/>
      <c r="AD20" s="70"/>
      <c r="AE20" s="71"/>
      <c r="AF20" s="70"/>
      <c r="AG20" s="71"/>
      <c r="AH20" s="70"/>
      <c r="AI20" s="71"/>
      <c r="AJ20" s="70"/>
      <c r="AK20" s="71"/>
      <c r="AL20" s="70"/>
      <c r="AM20" s="71"/>
      <c r="AN20" s="70"/>
      <c r="AO20" s="71"/>
      <c r="AP20" s="70"/>
      <c r="AQ20" s="71"/>
      <c r="AR20" s="70"/>
      <c r="AS20" s="71"/>
      <c r="AT20" s="70"/>
      <c r="AU20" s="71"/>
      <c r="AV20" s="70"/>
      <c r="AW20" s="71"/>
      <c r="AX20" s="70"/>
      <c r="AY20" s="70"/>
      <c r="AZ20" s="70"/>
      <c r="BA20" s="70"/>
    </row>
    <row r="21" spans="1:53" ht="15.75" x14ac:dyDescent="0.25">
      <c r="A21" s="44">
        <v>16</v>
      </c>
      <c r="B21" s="82" t="s">
        <v>297</v>
      </c>
      <c r="D21" s="70"/>
      <c r="E21" s="87"/>
      <c r="F21" s="70"/>
      <c r="G21" s="87"/>
      <c r="H21" s="70"/>
      <c r="I21" s="87"/>
      <c r="J21" s="70"/>
      <c r="K21" s="87"/>
      <c r="L21" s="70"/>
      <c r="M21" s="87"/>
      <c r="N21" s="70"/>
      <c r="O21" s="87"/>
      <c r="P21" s="70"/>
      <c r="Q21" s="87"/>
      <c r="R21" s="70"/>
      <c r="S21" s="87"/>
      <c r="T21" s="70"/>
      <c r="U21" s="87"/>
      <c r="V21" s="70"/>
      <c r="W21" s="87"/>
      <c r="X21" s="70"/>
      <c r="Y21" s="87"/>
      <c r="Z21" s="70"/>
      <c r="AA21" s="87"/>
      <c r="AB21" s="70"/>
      <c r="AC21" s="87"/>
      <c r="AD21" s="70"/>
      <c r="AE21" s="71"/>
      <c r="AF21" s="70"/>
      <c r="AG21" s="71"/>
      <c r="AH21" s="70"/>
      <c r="AI21" s="71"/>
      <c r="AJ21" s="70"/>
      <c r="AK21" s="71"/>
      <c r="AL21" s="70"/>
      <c r="AM21" s="71"/>
      <c r="AN21" s="70"/>
      <c r="AO21" s="71"/>
      <c r="AP21" s="70"/>
      <c r="AQ21" s="71"/>
      <c r="AR21" s="70"/>
      <c r="AS21" s="71"/>
      <c r="AT21" s="70"/>
      <c r="AU21" s="71"/>
      <c r="AV21" s="70"/>
      <c r="AW21" s="71"/>
      <c r="AX21" s="70"/>
      <c r="AY21" s="70"/>
      <c r="AZ21" s="70"/>
      <c r="BA21" s="70"/>
    </row>
    <row r="22" spans="1:53" ht="15.75" x14ac:dyDescent="0.25">
      <c r="A22" s="44">
        <v>17</v>
      </c>
      <c r="B22" s="82" t="s">
        <v>298</v>
      </c>
      <c r="D22" s="70"/>
      <c r="E22" s="87"/>
      <c r="F22" s="70"/>
      <c r="G22" s="87"/>
      <c r="H22" s="70"/>
      <c r="I22" s="87"/>
      <c r="J22" s="70"/>
      <c r="K22" s="87"/>
      <c r="L22" s="70"/>
      <c r="M22" s="87"/>
      <c r="N22" s="70"/>
      <c r="O22" s="87"/>
      <c r="P22" s="70"/>
      <c r="Q22" s="87"/>
      <c r="R22" s="70"/>
      <c r="S22" s="87"/>
      <c r="T22" s="70"/>
      <c r="U22" s="87"/>
      <c r="V22" s="70"/>
      <c r="W22" s="87"/>
      <c r="X22" s="70"/>
      <c r="Y22" s="87"/>
      <c r="Z22" s="70"/>
      <c r="AA22" s="87"/>
      <c r="AB22" s="70"/>
      <c r="AC22" s="87"/>
      <c r="AD22" s="70"/>
      <c r="AE22" s="71"/>
      <c r="AF22" s="70"/>
      <c r="AG22" s="71"/>
      <c r="AH22" s="70"/>
      <c r="AI22" s="71"/>
      <c r="AJ22" s="70"/>
      <c r="AK22" s="71"/>
      <c r="AL22" s="70"/>
      <c r="AM22" s="71"/>
      <c r="AN22" s="70"/>
      <c r="AO22" s="71"/>
      <c r="AP22" s="70"/>
      <c r="AQ22" s="71"/>
      <c r="AR22" s="70"/>
      <c r="AS22" s="71"/>
      <c r="AT22" s="70"/>
      <c r="AU22" s="71"/>
      <c r="AV22" s="70"/>
      <c r="AW22" s="71"/>
      <c r="AX22" s="70"/>
      <c r="AY22" s="70"/>
      <c r="AZ22" s="70"/>
      <c r="BA22" s="70"/>
    </row>
    <row r="23" spans="1:53" ht="15.75" x14ac:dyDescent="0.25">
      <c r="A23" s="44">
        <v>18</v>
      </c>
      <c r="B23" s="81" t="s">
        <v>306</v>
      </c>
    </row>
    <row r="24" spans="1:53" ht="15.75" x14ac:dyDescent="0.25">
      <c r="A24" s="44">
        <v>19</v>
      </c>
      <c r="B24" s="82" t="s">
        <v>299</v>
      </c>
    </row>
    <row r="25" spans="1:53" ht="15.75" x14ac:dyDescent="0.25">
      <c r="A25" s="44">
        <v>20</v>
      </c>
      <c r="B25" s="82" t="s">
        <v>180</v>
      </c>
    </row>
    <row r="26" spans="1:53" ht="15.75" x14ac:dyDescent="0.25">
      <c r="A26" s="44">
        <v>21</v>
      </c>
      <c r="B26" s="82" t="s">
        <v>300</v>
      </c>
    </row>
    <row r="27" spans="1:53" ht="15.75" x14ac:dyDescent="0.25">
      <c r="A27" s="44">
        <v>22</v>
      </c>
      <c r="B27" s="82" t="s">
        <v>301</v>
      </c>
    </row>
    <row r="28" spans="1:53" ht="15.75" x14ac:dyDescent="0.25">
      <c r="A28" s="44">
        <v>23</v>
      </c>
      <c r="B28" s="81" t="s">
        <v>249</v>
      </c>
    </row>
    <row r="29" spans="1:53" ht="15.75" x14ac:dyDescent="0.25">
      <c r="A29" s="44">
        <v>24</v>
      </c>
      <c r="B29" s="82" t="s">
        <v>302</v>
      </c>
    </row>
  </sheetData>
  <mergeCells count="1">
    <mergeCell ref="A4:B4"/>
  </mergeCells>
  <hyperlinks>
    <hyperlink ref="A1" location="فهرست!A1" display="فهرست"/>
    <hyperlink ref="B1" location="تراکنش‌ها!A1" display="تراکنش‌ها"/>
    <hyperlink ref="A2" location="فهرست!A1" display="فهرست"/>
    <hyperlink ref="B2" location="تراکنش‌ها!A1" display="تراکنش‌ها"/>
  </hyperlinks>
  <pageMargins left="0.7" right="0.7" top="0.75" bottom="0.75" header="0.3" footer="0.3"/>
  <pageSetup orientation="portrait" r:id="rId1"/>
  <tableParts count="25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5"/>
  </sheetPr>
  <dimension ref="A1:B7"/>
  <sheetViews>
    <sheetView rightToLeft="1" workbookViewId="0">
      <selection activeCell="E11" sqref="E11"/>
    </sheetView>
  </sheetViews>
  <sheetFormatPr defaultRowHeight="15" x14ac:dyDescent="0.25"/>
  <sheetData>
    <row r="1" spans="1:2" x14ac:dyDescent="0.25">
      <c r="A1" t="s">
        <v>12</v>
      </c>
    </row>
    <row r="7" spans="1:2" x14ac:dyDescent="0.25">
      <c r="B7" t="s">
        <v>145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2"/>
  </sheetPr>
  <dimension ref="D4:D6"/>
  <sheetViews>
    <sheetView rightToLeft="1" workbookViewId="0">
      <selection activeCell="D7" sqref="D7"/>
    </sheetView>
  </sheetViews>
  <sheetFormatPr defaultRowHeight="15" x14ac:dyDescent="0.25"/>
  <sheetData>
    <row r="4" spans="4:4" x14ac:dyDescent="0.25">
      <c r="D4" t="s">
        <v>184</v>
      </c>
    </row>
    <row r="5" spans="4:4" x14ac:dyDescent="0.25">
      <c r="D5" t="s">
        <v>185</v>
      </c>
    </row>
    <row r="6" spans="4:4" x14ac:dyDescent="0.25">
      <c r="D6" t="s">
        <v>186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2"/>
  </sheetPr>
  <dimension ref="A1"/>
  <sheetViews>
    <sheetView rightToLeft="1" workbookViewId="0">
      <selection activeCell="S19" sqref="S19"/>
    </sheetView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3" tint="0.39997558519241921"/>
  </sheetPr>
  <dimension ref="A1:C24"/>
  <sheetViews>
    <sheetView rightToLeft="1" workbookViewId="0"/>
  </sheetViews>
  <sheetFormatPr defaultRowHeight="15" x14ac:dyDescent="0.25"/>
  <cols>
    <col min="2" max="2" width="25" customWidth="1"/>
    <col min="3" max="3" width="29.7109375" customWidth="1"/>
  </cols>
  <sheetData>
    <row r="1" spans="1:3" x14ac:dyDescent="0.25">
      <c r="A1" t="s">
        <v>44</v>
      </c>
    </row>
    <row r="6" spans="1:3" x14ac:dyDescent="0.25">
      <c r="B6" t="s">
        <v>45</v>
      </c>
      <c r="C6" t="s">
        <v>46</v>
      </c>
    </row>
    <row r="9" spans="1:3" x14ac:dyDescent="0.25">
      <c r="B9" t="s">
        <v>53</v>
      </c>
      <c r="C9" t="s">
        <v>47</v>
      </c>
    </row>
    <row r="10" spans="1:3" x14ac:dyDescent="0.25">
      <c r="B10" t="s">
        <v>54</v>
      </c>
    </row>
    <row r="13" spans="1:3" x14ac:dyDescent="0.25">
      <c r="B13" t="s">
        <v>52</v>
      </c>
    </row>
    <row r="14" spans="1:3" x14ac:dyDescent="0.25">
      <c r="B14" t="s">
        <v>48</v>
      </c>
      <c r="C14" t="s">
        <v>49</v>
      </c>
    </row>
    <row r="15" spans="1:3" x14ac:dyDescent="0.25">
      <c r="B15" t="s">
        <v>50</v>
      </c>
      <c r="C15" t="s">
        <v>51</v>
      </c>
    </row>
    <row r="18" spans="2:2" x14ac:dyDescent="0.25">
      <c r="B18" t="s">
        <v>55</v>
      </c>
    </row>
    <row r="20" spans="2:2" x14ac:dyDescent="0.25">
      <c r="B20" t="s">
        <v>56</v>
      </c>
    </row>
    <row r="22" spans="2:2" x14ac:dyDescent="0.25">
      <c r="B22" t="s">
        <v>57</v>
      </c>
    </row>
    <row r="24" spans="2:2" x14ac:dyDescent="0.25">
      <c r="B24" t="s">
        <v>58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7" tint="-0.249977111117893"/>
  </sheetPr>
  <dimension ref="A1:J19"/>
  <sheetViews>
    <sheetView rightToLeft="1" workbookViewId="0">
      <pane ySplit="1" topLeftCell="A2" activePane="bottomLeft" state="frozen"/>
      <selection pane="bottomLeft" activeCell="B1" sqref="B1"/>
    </sheetView>
  </sheetViews>
  <sheetFormatPr defaultRowHeight="15" x14ac:dyDescent="0.25"/>
  <cols>
    <col min="1" max="1" width="36.5703125" customWidth="1"/>
    <col min="2" max="2" width="18.28515625" customWidth="1"/>
    <col min="3" max="3" width="17.7109375" customWidth="1"/>
    <col min="4" max="4" width="23.85546875" customWidth="1"/>
    <col min="5" max="5" width="36.42578125" customWidth="1"/>
    <col min="6" max="6" width="11" customWidth="1"/>
    <col min="7" max="7" width="9.28515625" customWidth="1"/>
    <col min="8" max="8" width="13.140625" customWidth="1"/>
    <col min="9" max="9" width="10.7109375" customWidth="1"/>
    <col min="10" max="10" width="11.85546875" customWidth="1"/>
    <col min="11" max="12" width="18.28515625" customWidth="1"/>
  </cols>
  <sheetData>
    <row r="1" spans="1:10" ht="24" customHeight="1" x14ac:dyDescent="0.25">
      <c r="A1" s="11" t="s">
        <v>8</v>
      </c>
      <c r="B1" s="37" t="s">
        <v>116</v>
      </c>
      <c r="C1" s="12" t="s">
        <v>103</v>
      </c>
      <c r="D1" s="13" t="s">
        <v>104</v>
      </c>
      <c r="E1" s="35" t="s">
        <v>105</v>
      </c>
      <c r="F1" s="14" t="s">
        <v>111</v>
      </c>
      <c r="G1" s="15" t="s">
        <v>90</v>
      </c>
      <c r="H1" s="25" t="s">
        <v>112</v>
      </c>
      <c r="I1" s="16" t="s">
        <v>106</v>
      </c>
      <c r="J1" s="17" t="s">
        <v>99</v>
      </c>
    </row>
    <row r="2" spans="1:10" s="43" customFormat="1" ht="3.75" customHeight="1" x14ac:dyDescent="0.25"/>
    <row r="3" spans="1:10" ht="15.75" x14ac:dyDescent="0.25">
      <c r="A3" s="62" t="s">
        <v>146</v>
      </c>
      <c r="C3" s="60" t="s">
        <v>147</v>
      </c>
      <c r="D3" s="60" t="s">
        <v>148</v>
      </c>
      <c r="E3" s="60" t="s">
        <v>149</v>
      </c>
    </row>
    <row r="4" spans="1:10" ht="15.75" x14ac:dyDescent="0.25">
      <c r="A4" s="44" t="s">
        <v>330</v>
      </c>
      <c r="C4" s="60" t="s">
        <v>138</v>
      </c>
      <c r="D4" s="60"/>
      <c r="E4" s="63" t="str">
        <f t="shared" ref="E4:E19" si="0" xml:space="preserve">  CONCATENATE(C4, D4)</f>
        <v>حساب نقدی (نقدینگی)</v>
      </c>
      <c r="F4" s="56"/>
    </row>
    <row r="5" spans="1:10" ht="15.75" x14ac:dyDescent="0.25">
      <c r="A5" s="44" t="s">
        <v>331</v>
      </c>
      <c r="C5" s="60" t="s">
        <v>327</v>
      </c>
      <c r="D5" s="60"/>
      <c r="E5" s="63" t="str">
        <f t="shared" si="0"/>
        <v xml:space="preserve">حساب روزمره </v>
      </c>
      <c r="F5" s="56"/>
    </row>
    <row r="6" spans="1:10" ht="15.75" x14ac:dyDescent="0.25">
      <c r="A6" s="44" t="s">
        <v>332</v>
      </c>
      <c r="C6" s="60" t="s">
        <v>328</v>
      </c>
      <c r="D6" s="60"/>
      <c r="E6" s="63" t="str">
        <f t="shared" si="0"/>
        <v>حساب پس‌انداز</v>
      </c>
      <c r="F6" s="56"/>
    </row>
    <row r="7" spans="1:10" ht="15.75" x14ac:dyDescent="0.25">
      <c r="A7" s="44" t="s">
        <v>333</v>
      </c>
      <c r="C7" s="60" t="s">
        <v>329</v>
      </c>
      <c r="D7" s="60"/>
      <c r="E7" s="63" t="str">
        <f t="shared" si="0"/>
        <v xml:space="preserve">بانک </v>
      </c>
      <c r="F7" s="56"/>
    </row>
    <row r="8" spans="1:10" ht="15.75" x14ac:dyDescent="0.25">
      <c r="A8" s="44" t="s">
        <v>334</v>
      </c>
      <c r="C8" s="60" t="s">
        <v>329</v>
      </c>
      <c r="D8" s="60"/>
      <c r="E8" s="63" t="str">
        <f t="shared" si="0"/>
        <v xml:space="preserve">بانک </v>
      </c>
      <c r="F8" s="56"/>
    </row>
    <row r="9" spans="1:10" ht="15.75" x14ac:dyDescent="0.25">
      <c r="A9" s="44" t="s">
        <v>335</v>
      </c>
      <c r="C9" s="60"/>
      <c r="D9" s="60" t="s">
        <v>330</v>
      </c>
      <c r="E9" s="63" t="str">
        <f t="shared" si="0"/>
        <v xml:space="preserve">پدر </v>
      </c>
      <c r="F9" s="56"/>
    </row>
    <row r="10" spans="1:10" ht="15.75" x14ac:dyDescent="0.25">
      <c r="A10" s="44" t="s">
        <v>336</v>
      </c>
      <c r="C10" s="60"/>
      <c r="D10" s="60" t="s">
        <v>331</v>
      </c>
      <c r="E10" s="63" t="str">
        <f t="shared" si="0"/>
        <v>مادر</v>
      </c>
      <c r="F10" s="56"/>
    </row>
    <row r="11" spans="1:10" ht="15.75" x14ac:dyDescent="0.25">
      <c r="A11" s="44" t="s">
        <v>335</v>
      </c>
      <c r="C11" s="60"/>
      <c r="D11" s="60" t="s">
        <v>332</v>
      </c>
      <c r="E11" s="63" t="str">
        <f t="shared" si="0"/>
        <v>هسته تحقیقاتی</v>
      </c>
    </row>
    <row r="12" spans="1:10" ht="15.75" x14ac:dyDescent="0.25">
      <c r="A12" s="44" t="s">
        <v>337</v>
      </c>
      <c r="C12" s="60"/>
      <c r="D12" s="60" t="s">
        <v>333</v>
      </c>
      <c r="E12" s="63" t="str">
        <f t="shared" si="0"/>
        <v>مرکز رشد و فناوری</v>
      </c>
    </row>
    <row r="13" spans="1:10" ht="15.75" x14ac:dyDescent="0.25">
      <c r="A13" s="44" t="s">
        <v>338</v>
      </c>
      <c r="C13" s="60"/>
      <c r="D13" s="60" t="s">
        <v>334</v>
      </c>
      <c r="E13" s="63" t="str">
        <f t="shared" si="0"/>
        <v xml:space="preserve">مغازه </v>
      </c>
    </row>
    <row r="14" spans="1:10" ht="15.75" x14ac:dyDescent="0.25">
      <c r="A14" s="44" t="s">
        <v>339</v>
      </c>
      <c r="C14" s="60"/>
      <c r="D14" s="60" t="s">
        <v>335</v>
      </c>
      <c r="E14" s="63" t="str">
        <f t="shared" si="0"/>
        <v xml:space="preserve">محمد </v>
      </c>
    </row>
    <row r="15" spans="1:10" ht="15.75" x14ac:dyDescent="0.25">
      <c r="A15" s="61"/>
      <c r="C15" s="60"/>
      <c r="D15" s="60" t="s">
        <v>336</v>
      </c>
      <c r="E15" s="63" t="str">
        <f t="shared" si="0"/>
        <v xml:space="preserve">سید </v>
      </c>
    </row>
    <row r="16" spans="1:10" x14ac:dyDescent="0.25">
      <c r="C16" s="60"/>
      <c r="D16" s="60" t="s">
        <v>335</v>
      </c>
      <c r="E16" s="63" t="str">
        <f t="shared" si="0"/>
        <v xml:space="preserve">محمد </v>
      </c>
    </row>
    <row r="17" spans="3:5" x14ac:dyDescent="0.25">
      <c r="C17" s="60"/>
      <c r="D17" s="60" t="s">
        <v>337</v>
      </c>
      <c r="E17" s="63" t="str">
        <f t="shared" si="0"/>
        <v xml:space="preserve"> پور</v>
      </c>
    </row>
    <row r="18" spans="3:5" x14ac:dyDescent="0.25">
      <c r="C18" s="60"/>
      <c r="D18" s="60" t="s">
        <v>338</v>
      </c>
      <c r="E18" s="63" t="str">
        <f t="shared" si="0"/>
        <v>یاشار</v>
      </c>
    </row>
    <row r="19" spans="3:5" x14ac:dyDescent="0.25">
      <c r="C19" s="60"/>
      <c r="D19" s="60" t="s">
        <v>339</v>
      </c>
      <c r="E19" s="63" t="str">
        <f t="shared" si="0"/>
        <v xml:space="preserve">حسین </v>
      </c>
    </row>
  </sheetData>
  <hyperlinks>
    <hyperlink ref="A1" location="فهرست!A1" display="فهرست"/>
    <hyperlink ref="C1" location="'مدیریت وام و اقساط'!A1" display="وام و اقساط"/>
    <hyperlink ref="D1" location="'مدیریت چک‌ها'!A1" display="چک‌ها"/>
    <hyperlink ref="E1" location="'مدیریت بدهی‌ها-طلب‌ها'!A1" display="بدهی‌ها و طلب‌ها"/>
    <hyperlink ref="F1" location="'برنامه ریزی پرداخت‌ها'!A1" display="برنامه ریزی"/>
    <hyperlink ref="G1" location="تقویم!A1" display="تقویم"/>
    <hyperlink ref="H1" location="'بودجه بندی'!A1" display="بودجه بندی"/>
    <hyperlink ref="I1" location="'گزارش فعالیت‌های ماه جاری'!A1" display="ماه جاری"/>
    <hyperlink ref="J1" location="'جست و جو'!A1" display="جست و جو"/>
    <hyperlink ref="B1" location="تراکنش‌ها!A1" display="تراکنش‌ها"/>
  </hyperlinks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3"/>
  </sheetPr>
  <dimension ref="A1:L20"/>
  <sheetViews>
    <sheetView rightToLeft="1" workbookViewId="0"/>
  </sheetViews>
  <sheetFormatPr defaultRowHeight="15" x14ac:dyDescent="0.25"/>
  <cols>
    <col min="1" max="1" width="18.28515625" customWidth="1"/>
    <col min="2" max="2" width="32" customWidth="1"/>
    <col min="3" max="4" width="18.28515625" customWidth="1"/>
    <col min="5" max="5" width="36.5703125" customWidth="1"/>
    <col min="6" max="6" width="32" customWidth="1"/>
    <col min="7" max="14" width="18.28515625" customWidth="1"/>
  </cols>
  <sheetData>
    <row r="1" spans="1:12" ht="24" customHeight="1" x14ac:dyDescent="0.25">
      <c r="A1" s="11" t="s">
        <v>8</v>
      </c>
      <c r="B1" s="37" t="s">
        <v>116</v>
      </c>
      <c r="C1" s="12" t="s">
        <v>103</v>
      </c>
      <c r="D1" s="13" t="s">
        <v>104</v>
      </c>
      <c r="E1" s="35" t="s">
        <v>105</v>
      </c>
      <c r="F1" s="14" t="s">
        <v>111</v>
      </c>
      <c r="G1" s="15" t="s">
        <v>90</v>
      </c>
      <c r="H1" s="25" t="s">
        <v>112</v>
      </c>
      <c r="I1" s="16" t="s">
        <v>106</v>
      </c>
      <c r="J1" s="17" t="s">
        <v>99</v>
      </c>
    </row>
    <row r="2" spans="1:12" s="43" customFormat="1" ht="3.75" customHeight="1" x14ac:dyDescent="0.25">
      <c r="C2" s="43" t="s">
        <v>3</v>
      </c>
    </row>
    <row r="5" spans="1:12" ht="24" customHeight="1" x14ac:dyDescent="0.25">
      <c r="A5" s="45" t="s">
        <v>125</v>
      </c>
      <c r="B5" s="45" t="s">
        <v>118</v>
      </c>
      <c r="C5" s="45" t="s">
        <v>129</v>
      </c>
      <c r="D5" s="45" t="s">
        <v>130</v>
      </c>
      <c r="E5" s="45" t="s">
        <v>131</v>
      </c>
      <c r="F5" s="45" t="s">
        <v>132</v>
      </c>
      <c r="G5" s="45" t="s">
        <v>133</v>
      </c>
      <c r="H5" s="45" t="s">
        <v>134</v>
      </c>
      <c r="I5" s="45" t="s">
        <v>135</v>
      </c>
    </row>
    <row r="6" spans="1:12" ht="34.5" customHeight="1" x14ac:dyDescent="0.25">
      <c r="A6" s="44">
        <v>0</v>
      </c>
      <c r="B6" s="44" t="s">
        <v>120</v>
      </c>
      <c r="C6" s="92">
        <v>1111111111</v>
      </c>
      <c r="D6" s="46" t="s">
        <v>326</v>
      </c>
      <c r="E6" s="47" t="s">
        <v>124</v>
      </c>
      <c r="F6" s="46" t="s">
        <v>136</v>
      </c>
      <c r="G6" s="44"/>
      <c r="H6" s="44"/>
      <c r="I6" s="44"/>
    </row>
    <row r="7" spans="1:12" ht="15.75" x14ac:dyDescent="0.25">
      <c r="A7" s="44"/>
      <c r="B7" s="44"/>
      <c r="C7" s="44"/>
      <c r="D7" s="46"/>
      <c r="E7" s="47"/>
      <c r="F7" s="46"/>
      <c r="G7" s="44"/>
      <c r="H7" s="44"/>
      <c r="I7" s="44"/>
    </row>
    <row r="12" spans="1:12" ht="24" customHeight="1" x14ac:dyDescent="0.25">
      <c r="A12" s="48" t="s">
        <v>125</v>
      </c>
      <c r="B12" s="48" t="s">
        <v>126</v>
      </c>
      <c r="C12" s="48" t="s">
        <v>127</v>
      </c>
      <c r="D12" s="50" t="s">
        <v>128</v>
      </c>
      <c r="E12" s="48" t="s">
        <v>121</v>
      </c>
      <c r="F12" s="54" t="s">
        <v>122</v>
      </c>
      <c r="G12" s="54" t="s">
        <v>137</v>
      </c>
      <c r="H12" s="48" t="s">
        <v>123</v>
      </c>
      <c r="I12" s="48" t="s">
        <v>341</v>
      </c>
      <c r="J12" s="48" t="s">
        <v>340</v>
      </c>
      <c r="K12" s="48" t="s">
        <v>342</v>
      </c>
      <c r="L12" s="48" t="s">
        <v>343</v>
      </c>
    </row>
    <row r="13" spans="1:12" ht="24" customHeight="1" x14ac:dyDescent="0.25">
      <c r="A13" s="44">
        <v>0</v>
      </c>
      <c r="B13" s="44" t="s">
        <v>138</v>
      </c>
      <c r="C13" s="44" t="s">
        <v>139</v>
      </c>
      <c r="D13" s="51">
        <v>2000000</v>
      </c>
      <c r="E13" s="49" t="s">
        <v>124</v>
      </c>
      <c r="F13" s="55" t="s">
        <v>124</v>
      </c>
      <c r="G13" s="53" t="s">
        <v>124</v>
      </c>
      <c r="H13" s="52" t="s">
        <v>124</v>
      </c>
      <c r="I13" s="112">
        <f>SUMIF(Tarakonesh[پرداخت کننده],FinancialAccountsTable[[#This Row],[نام حساب]],Tarakonesh[مبلغ (ریال)])</f>
        <v>20000</v>
      </c>
      <c r="J13" s="112">
        <f>SUMIF(Tarakonesh[دریافت کننده],FinancialAccountsTable[[#This Row],[نام حساب]],Tarakonesh[مبلغ (ریال)])</f>
        <v>4500000</v>
      </c>
      <c r="K13" s="112">
        <f>(FinancialAccountsTable[[#This Row],[جمع دریافتی]]+FinancialAccountsTable[[#This Row],[موجودی اولیه]])-FinancialAccountsTable[[#This Row],[جمع پرداختی]]</f>
        <v>6480000</v>
      </c>
      <c r="L13" s="52" t="str">
        <f>IF(FinancialAccountsTable[[#This Row],[مانده]]=0,"",IF(FinancialAccountsTable[[#This Row],[مانده]]&gt;0,"بدهکار","بستانکار"))</f>
        <v>بدهکار</v>
      </c>
    </row>
    <row r="14" spans="1:12" ht="34.5" customHeight="1" x14ac:dyDescent="0.25">
      <c r="A14" s="44">
        <v>1</v>
      </c>
      <c r="B14" s="44" t="s">
        <v>327</v>
      </c>
      <c r="C14" s="44" t="s">
        <v>140</v>
      </c>
      <c r="D14" s="51"/>
      <c r="E14" s="49" t="s">
        <v>124</v>
      </c>
      <c r="F14" s="55" t="s">
        <v>124</v>
      </c>
      <c r="G14" s="53" t="s">
        <v>124</v>
      </c>
      <c r="H14" s="52" t="s">
        <v>124</v>
      </c>
      <c r="I14" s="112">
        <f>SUMIF(Tarakonesh[پرداخت کننده],FinancialAccountsTable[[#This Row],[نام حساب]],Tarakonesh[مبلغ (ریال)])</f>
        <v>90000</v>
      </c>
      <c r="J14" s="112">
        <f>SUMIF(Tarakonesh[دریافت کننده],FinancialAccountsTable[[#This Row],[نام حساب]],Tarakonesh[مبلغ (ریال)])</f>
        <v>1020000</v>
      </c>
      <c r="K14" s="112">
        <f>(FinancialAccountsTable[[#This Row],[جمع دریافتی]]+FinancialAccountsTable[[#This Row],[موجودی اولیه]])-FinancialAccountsTable[[#This Row],[جمع پرداختی]]</f>
        <v>930000</v>
      </c>
      <c r="L14" s="52" t="str">
        <f>IF(FinancialAccountsTable[[#This Row],[مانده]]=0,"",IF(FinancialAccountsTable[[#This Row],[مانده]]&gt;0,"بدهکار","بستانکار"))</f>
        <v>بدهکار</v>
      </c>
    </row>
    <row r="15" spans="1:12" ht="24" customHeight="1" x14ac:dyDescent="0.25">
      <c r="A15" s="44">
        <v>2</v>
      </c>
      <c r="B15" s="44" t="s">
        <v>328</v>
      </c>
      <c r="C15" s="44"/>
      <c r="D15" s="51"/>
      <c r="E15" s="49" t="s">
        <v>124</v>
      </c>
      <c r="F15" s="55" t="s">
        <v>124</v>
      </c>
      <c r="G15" s="53" t="s">
        <v>124</v>
      </c>
      <c r="H15" s="52" t="s">
        <v>124</v>
      </c>
      <c r="I15" s="112">
        <f>SUMIF(Tarakonesh[پرداخت کننده],FinancialAccountsTable[[#This Row],[نام حساب]],Tarakonesh[مبلغ (ریال)])</f>
        <v>3003000</v>
      </c>
      <c r="J15" s="112">
        <f>SUMIF(Tarakonesh[دریافت کننده],FinancialAccountsTable[[#This Row],[نام حساب]],Tarakonesh[مبلغ (ریال)])</f>
        <v>520000</v>
      </c>
      <c r="K15" s="112">
        <f>(FinancialAccountsTable[[#This Row],[جمع دریافتی]]+FinancialAccountsTable[[#This Row],[موجودی اولیه]])-FinancialAccountsTable[[#This Row],[جمع پرداختی]]</f>
        <v>-2483000</v>
      </c>
      <c r="L15" s="52" t="str">
        <f>IF(FinancialAccountsTable[[#This Row],[مانده]]=0,"",IF(FinancialAccountsTable[[#This Row],[مانده]]&gt;0,"بدهکار","بستانکار"))</f>
        <v>بستانکار</v>
      </c>
    </row>
    <row r="16" spans="1:12" ht="24" customHeight="1" x14ac:dyDescent="0.25">
      <c r="A16" s="44">
        <v>3</v>
      </c>
      <c r="B16" s="44" t="s">
        <v>329</v>
      </c>
      <c r="C16" s="44"/>
      <c r="D16" s="51"/>
      <c r="E16" s="49" t="s">
        <v>124</v>
      </c>
      <c r="F16" s="55" t="s">
        <v>124</v>
      </c>
      <c r="G16" s="53" t="s">
        <v>124</v>
      </c>
      <c r="H16" s="52" t="s">
        <v>124</v>
      </c>
      <c r="I16" s="112">
        <f>SUMIF(Tarakonesh[پرداخت کننده],FinancialAccountsTable[[#This Row],[نام حساب]],Tarakonesh[مبلغ (ریال)])</f>
        <v>500000</v>
      </c>
      <c r="J16" s="112">
        <f>SUMIF(Tarakonesh[دریافت کننده],FinancialAccountsTable[[#This Row],[نام حساب]],Tarakonesh[مبلغ (ریال)])</f>
        <v>0</v>
      </c>
      <c r="K16" s="112">
        <f>(FinancialAccountsTable[[#This Row],[جمع دریافتی]]+FinancialAccountsTable[[#This Row],[موجودی اولیه]])-FinancialAccountsTable[[#This Row],[جمع پرداختی]]</f>
        <v>-500000</v>
      </c>
      <c r="L16" s="52" t="str">
        <f>IF(FinancialAccountsTable[[#This Row],[مانده]]=0,"",IF(FinancialAccountsTable[[#This Row],[مانده]]&gt;0,"بدهکار","بستانکار"))</f>
        <v>بستانکار</v>
      </c>
    </row>
    <row r="17" spans="1:12" ht="24" customHeight="1" x14ac:dyDescent="0.25">
      <c r="A17" s="44">
        <v>4</v>
      </c>
      <c r="B17" s="44"/>
      <c r="C17" s="44"/>
      <c r="D17" s="51"/>
      <c r="E17" s="49" t="s">
        <v>124</v>
      </c>
      <c r="F17" s="55" t="s">
        <v>124</v>
      </c>
      <c r="G17" s="53" t="s">
        <v>124</v>
      </c>
      <c r="H17" s="52" t="s">
        <v>124</v>
      </c>
      <c r="I17" s="112">
        <f>SUMIF(Tarakonesh[پرداخت کننده],FinancialAccountsTable[[#This Row],[نام حساب]],Tarakonesh[مبلغ (ریال)])</f>
        <v>0</v>
      </c>
      <c r="J17" s="112">
        <f>SUMIF(Tarakonesh[دریافت کننده],FinancialAccountsTable[[#This Row],[نام حساب]],Tarakonesh[مبلغ (ریال)])</f>
        <v>0</v>
      </c>
      <c r="K17" s="112">
        <f>(FinancialAccountsTable[[#This Row],[جمع دریافتی]]+FinancialAccountsTable[[#This Row],[موجودی اولیه]])-FinancialAccountsTable[[#This Row],[جمع پرداختی]]</f>
        <v>0</v>
      </c>
      <c r="L17" s="52" t="str">
        <f>IF(FinancialAccountsTable[[#This Row],[مانده]]=0,"",IF(FinancialAccountsTable[[#This Row],[مانده]]&gt;0,"بدهکار","بستانکار"))</f>
        <v/>
      </c>
    </row>
    <row r="18" spans="1:12" ht="24" customHeight="1" x14ac:dyDescent="0.25">
      <c r="A18" s="44" t="s">
        <v>151</v>
      </c>
      <c r="B18" s="68"/>
      <c r="C18" s="68"/>
      <c r="D18" s="51">
        <f>SUBTOTAL(109,FinancialAccountsTable[موجودی اولیه])</f>
        <v>2000000</v>
      </c>
      <c r="E18" s="65"/>
      <c r="F18" s="66"/>
      <c r="G18" s="67"/>
      <c r="H18" s="67"/>
      <c r="I18" s="113">
        <f>SUBTOTAL(109,FinancialAccountsTable[جمع پرداختی])</f>
        <v>3613000</v>
      </c>
      <c r="J18" s="113">
        <f>SUBTOTAL(109,FinancialAccountsTable[جمع دریافتی])</f>
        <v>6040000</v>
      </c>
      <c r="K18" s="113">
        <f>SUBTOTAL(109,FinancialAccountsTable[مانده])</f>
        <v>4427000</v>
      </c>
      <c r="L18" s="67"/>
    </row>
    <row r="19" spans="1:12" ht="15.75" x14ac:dyDescent="0.25">
      <c r="A19" s="44"/>
      <c r="B19" s="44"/>
      <c r="C19" s="44"/>
      <c r="D19" s="51"/>
      <c r="E19" s="57"/>
      <c r="F19" s="58"/>
      <c r="G19" s="59"/>
      <c r="H19" s="52"/>
    </row>
    <row r="20" spans="1:12" ht="15.75" x14ac:dyDescent="0.25">
      <c r="A20" s="44"/>
      <c r="B20" s="44"/>
      <c r="C20" s="44"/>
      <c r="D20" s="51"/>
      <c r="E20" s="49"/>
      <c r="F20" s="55"/>
      <c r="G20" s="53"/>
      <c r="H20" s="52"/>
    </row>
  </sheetData>
  <dataValidations disablePrompts="1" count="2">
    <dataValidation type="textLength" operator="equal" allowBlank="1" showInputMessage="1" showErrorMessage="1" errorTitle="Error" error="کدملی یک عدد 10 رقمی است_x000a_" sqref="C6">
      <formula1>10</formula1>
    </dataValidation>
    <dataValidation operator="equal" allowBlank="1" showInputMessage="1" showErrorMessage="1" sqref="D6"/>
  </dataValidations>
  <hyperlinks>
    <hyperlink ref="A1" location="فهرست!A1" display="فهرست"/>
    <hyperlink ref="C1" location="'مدیریت وام و اقساط'!A1" display="وام و اقساط"/>
    <hyperlink ref="D1" location="'مدیریت چک‌ها'!A1" display="چک‌ها"/>
    <hyperlink ref="E1" location="'مدیریت بدهی‌ها-طلب‌ها'!A1" display="بدهی‌ها و طلب‌ها"/>
    <hyperlink ref="F1" location="'برنامه ریزی پرداخت‌ها'!A1" display="برنامه ریزی"/>
    <hyperlink ref="G1" location="تقویم!A1" display="تقویم"/>
    <hyperlink ref="H1" location="'بودجه بندی'!A1" display="بودجه بندی"/>
    <hyperlink ref="I1" location="'گزارش فعالیت‌های ماه جاری'!A1" display="ماه جاری"/>
    <hyperlink ref="J1" location="'جست و جو'!A1" display="جست و جو"/>
    <hyperlink ref="B1" location="تراکنش‌ها!A1" display="تراکنش‌ها"/>
    <hyperlink ref="E6" r:id="rId1" display="Alireza13.m2@gmail.com"/>
  </hyperlinks>
  <pageMargins left="0.7" right="0.7" top="0.75" bottom="0.75" header="0.3" footer="0.3"/>
  <tableParts count="2">
    <tablePart r:id="rId2"/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3"/>
  </sheetPr>
  <dimension ref="A1:AB365"/>
  <sheetViews>
    <sheetView showGridLines="0" rightToLeft="1" tabSelected="1" workbookViewId="0">
      <selection activeCell="A14" sqref="A14"/>
    </sheetView>
  </sheetViews>
  <sheetFormatPr defaultRowHeight="15" x14ac:dyDescent="0.25"/>
  <cols>
    <col min="1" max="1" width="29.7109375" style="6" customWidth="1"/>
    <col min="2" max="2" width="0.7109375" style="194" customWidth="1"/>
    <col min="3" max="3" width="4.5703125" style="6" customWidth="1"/>
    <col min="4" max="4" width="18.28515625" style="6" customWidth="1"/>
    <col min="5" max="5" width="0.7109375" style="6" customWidth="1"/>
    <col min="6" max="6" width="24.85546875" style="6" bestFit="1" customWidth="1"/>
    <col min="7" max="7" width="0.7109375" style="6" customWidth="1"/>
    <col min="8" max="8" width="28.5703125" style="6" customWidth="1"/>
    <col min="9" max="9" width="0.7109375" style="6" customWidth="1"/>
    <col min="10" max="10" width="26.28515625" style="6" bestFit="1" customWidth="1"/>
    <col min="11" max="11" width="20.7109375" style="174" bestFit="1" customWidth="1"/>
    <col min="12" max="12" width="4.5703125" style="6" customWidth="1"/>
    <col min="13" max="13" width="28.5703125" style="5" customWidth="1"/>
    <col min="14" max="14" width="14.28515625" style="5" customWidth="1"/>
    <col min="15" max="15" width="18.85546875" style="5" customWidth="1"/>
    <col min="16" max="16" width="0.7109375" style="6" customWidth="1"/>
    <col min="17" max="17" width="28.5703125" style="5" customWidth="1"/>
    <col min="18" max="18" width="14.28515625" style="5" customWidth="1"/>
    <col min="19" max="19" width="18.85546875" style="5" customWidth="1"/>
    <col min="20" max="20" width="0.7109375" style="6" customWidth="1"/>
    <col min="21" max="21" width="28.5703125" style="5" customWidth="1"/>
    <col min="22" max="22" width="18.85546875" style="5" customWidth="1"/>
    <col min="23" max="23" width="0.7109375" style="6" customWidth="1"/>
    <col min="24" max="24" width="28.5703125" style="5" customWidth="1"/>
    <col min="25" max="25" width="18.85546875" style="5" customWidth="1"/>
    <col min="26" max="26" width="0.7109375" style="6" customWidth="1"/>
    <col min="27" max="27" width="28.5703125" style="5" customWidth="1"/>
    <col min="28" max="28" width="18.85546875" style="5" customWidth="1"/>
  </cols>
  <sheetData>
    <row r="1" spans="1:28" s="6" customFormat="1" ht="24" customHeight="1" x14ac:dyDescent="0.25">
      <c r="A1" s="188" t="s">
        <v>418</v>
      </c>
      <c r="B1" s="193"/>
      <c r="C1" s="186"/>
      <c r="D1" s="187" t="s">
        <v>416</v>
      </c>
      <c r="E1" s="187"/>
      <c r="F1" s="187"/>
      <c r="G1" s="187"/>
      <c r="H1" s="187"/>
      <c r="I1" s="187"/>
      <c r="J1" s="187"/>
      <c r="K1" s="187"/>
      <c r="M1" s="190" t="s">
        <v>417</v>
      </c>
      <c r="N1" s="190"/>
      <c r="O1" s="190"/>
      <c r="P1" s="190"/>
      <c r="Q1" s="190"/>
      <c r="R1" s="190"/>
      <c r="S1" s="190"/>
      <c r="T1" s="190"/>
      <c r="U1" s="190"/>
      <c r="V1" s="190"/>
      <c r="W1" s="190"/>
      <c r="X1" s="190"/>
      <c r="Y1" s="190"/>
      <c r="Z1" s="190"/>
      <c r="AA1" s="190"/>
      <c r="AB1" s="190"/>
    </row>
    <row r="2" spans="1:28" s="6" customFormat="1" ht="3.75" customHeight="1" x14ac:dyDescent="0.25">
      <c r="A2" s="195"/>
      <c r="B2" s="194"/>
      <c r="K2" s="174"/>
    </row>
    <row r="3" spans="1:28" ht="18.75" x14ac:dyDescent="0.25">
      <c r="A3" s="11" t="s">
        <v>8</v>
      </c>
      <c r="D3" s="163" t="s">
        <v>113</v>
      </c>
      <c r="F3" s="165" t="s">
        <v>141</v>
      </c>
      <c r="H3" s="64" t="s">
        <v>153</v>
      </c>
      <c r="J3" s="178" t="s">
        <v>414</v>
      </c>
      <c r="K3" s="178"/>
      <c r="M3" s="180" t="s">
        <v>380</v>
      </c>
      <c r="N3" s="180"/>
      <c r="O3" s="180"/>
      <c r="P3" s="191"/>
      <c r="Q3" s="182" t="s">
        <v>381</v>
      </c>
      <c r="R3" s="182"/>
      <c r="S3" s="182"/>
      <c r="T3" s="172"/>
      <c r="U3" s="183" t="s">
        <v>406</v>
      </c>
      <c r="V3" s="183"/>
      <c r="W3" s="172"/>
      <c r="X3" s="176" t="s">
        <v>382</v>
      </c>
      <c r="Y3" s="176"/>
      <c r="AA3" s="184" t="s">
        <v>383</v>
      </c>
      <c r="AB3" s="184"/>
    </row>
    <row r="4" spans="1:28" s="132" customFormat="1" ht="18.75" x14ac:dyDescent="0.25">
      <c r="A4" s="162" t="s">
        <v>116</v>
      </c>
      <c r="B4" s="194"/>
      <c r="C4" s="6"/>
      <c r="D4" s="168" t="s">
        <v>114</v>
      </c>
      <c r="E4" s="164"/>
      <c r="F4" s="168" t="s">
        <v>286</v>
      </c>
      <c r="G4" s="166"/>
      <c r="H4" s="167" t="s">
        <v>157</v>
      </c>
      <c r="I4" s="6"/>
      <c r="J4" s="167" t="s">
        <v>125</v>
      </c>
      <c r="K4" s="161" t="s">
        <v>401</v>
      </c>
      <c r="L4" s="6"/>
      <c r="M4" s="160" t="s">
        <v>384</v>
      </c>
      <c r="N4" s="173" t="s">
        <v>398</v>
      </c>
      <c r="O4" s="173" t="s">
        <v>397</v>
      </c>
      <c r="P4" s="192"/>
      <c r="Q4" s="160" t="s">
        <v>385</v>
      </c>
      <c r="R4" s="160" t="s">
        <v>398</v>
      </c>
      <c r="S4" s="160" t="s">
        <v>397</v>
      </c>
      <c r="T4" s="172"/>
      <c r="U4" s="160" t="s">
        <v>386</v>
      </c>
      <c r="V4" s="160" t="s">
        <v>415</v>
      </c>
      <c r="W4" s="172"/>
      <c r="X4" s="160" t="s">
        <v>387</v>
      </c>
      <c r="Y4" s="160" t="s">
        <v>415</v>
      </c>
      <c r="Z4" s="6"/>
      <c r="AA4" s="185" t="s">
        <v>388</v>
      </c>
      <c r="AB4" s="185" t="s">
        <v>415</v>
      </c>
    </row>
    <row r="5" spans="1:28" ht="18.75" x14ac:dyDescent="0.25">
      <c r="A5" s="12" t="s">
        <v>103</v>
      </c>
      <c r="D5" s="168" t="s">
        <v>115</v>
      </c>
      <c r="E5" s="169"/>
      <c r="F5" s="168" t="s">
        <v>310</v>
      </c>
      <c r="G5" s="169"/>
      <c r="H5" s="167" t="s">
        <v>154</v>
      </c>
      <c r="J5" s="167">
        <v>0</v>
      </c>
      <c r="K5" s="175" t="s">
        <v>405</v>
      </c>
      <c r="M5" s="181" t="s">
        <v>399</v>
      </c>
      <c r="N5" s="173" t="s">
        <v>389</v>
      </c>
      <c r="O5" s="167" t="str">
        <f>CONCATENATE(تقویم!$A$2,HolidayTable[[#This Row],[روز و ماه]])</f>
        <v>14000101</v>
      </c>
      <c r="P5" s="172"/>
      <c r="Q5" s="160"/>
      <c r="R5" s="160"/>
      <c r="S5" s="167" t="str">
        <f>CONCATENATE(تقویم!$A$2,EventsTable[[#This Row],[روز و ماه]])</f>
        <v>1400</v>
      </c>
      <c r="T5" s="172"/>
      <c r="U5" s="160"/>
      <c r="V5" s="160"/>
      <c r="W5" s="172"/>
      <c r="X5" s="160"/>
      <c r="Y5" s="160"/>
      <c r="Z5" s="172"/>
      <c r="AA5" s="160"/>
      <c r="AB5" s="160"/>
    </row>
    <row r="6" spans="1:28" ht="18.75" x14ac:dyDescent="0.25">
      <c r="A6" s="13" t="s">
        <v>104</v>
      </c>
      <c r="D6" s="168" t="s">
        <v>143</v>
      </c>
      <c r="E6" s="169"/>
      <c r="F6" s="168" t="s">
        <v>142</v>
      </c>
      <c r="G6" s="169"/>
      <c r="H6" s="167" t="s">
        <v>155</v>
      </c>
      <c r="J6" s="167">
        <v>1</v>
      </c>
      <c r="K6" s="175"/>
      <c r="M6" s="181" t="s">
        <v>400</v>
      </c>
      <c r="N6" s="173" t="s">
        <v>390</v>
      </c>
      <c r="O6" s="167" t="str">
        <f>CONCATENATE(تقویم!$A$2,HolidayTable[[#This Row],[روز و ماه]])</f>
        <v>14000102</v>
      </c>
      <c r="P6" s="172"/>
      <c r="Q6" s="160"/>
      <c r="R6" s="160"/>
      <c r="S6" s="167" t="str">
        <f>CONCATENATE(تقویم!$A$2,EventsTable[[#This Row],[روز و ماه]])</f>
        <v>1400</v>
      </c>
      <c r="T6" s="172"/>
      <c r="U6" s="160"/>
      <c r="V6" s="160"/>
      <c r="W6" s="172"/>
      <c r="X6" s="160"/>
      <c r="Y6" s="160"/>
      <c r="Z6" s="172"/>
      <c r="AA6" s="160"/>
      <c r="AB6" s="160"/>
    </row>
    <row r="7" spans="1:28" ht="18.75" x14ac:dyDescent="0.25">
      <c r="A7" s="35" t="s">
        <v>105</v>
      </c>
      <c r="E7" s="169"/>
      <c r="F7" s="170"/>
      <c r="G7" s="169"/>
      <c r="H7" s="167" t="s">
        <v>311</v>
      </c>
      <c r="J7" s="167">
        <v>2</v>
      </c>
      <c r="K7" s="175"/>
      <c r="M7" s="181" t="s">
        <v>400</v>
      </c>
      <c r="N7" s="173" t="s">
        <v>391</v>
      </c>
      <c r="O7" s="167" t="str">
        <f>CONCATENATE(تقویم!$A$2,HolidayTable[[#This Row],[روز و ماه]])</f>
        <v>14000103</v>
      </c>
      <c r="P7" s="172"/>
      <c r="Q7" s="160"/>
      <c r="R7" s="160"/>
      <c r="S7" s="167" t="str">
        <f>CONCATENATE(تقویم!$A$2,EventsTable[[#This Row],[روز و ماه]])</f>
        <v>1400</v>
      </c>
      <c r="T7" s="172"/>
      <c r="U7" s="160"/>
      <c r="V7" s="160"/>
      <c r="W7" s="172"/>
      <c r="X7" s="160"/>
      <c r="Y7" s="160"/>
      <c r="Z7" s="172"/>
      <c r="AA7" s="160"/>
      <c r="AB7" s="160"/>
    </row>
    <row r="8" spans="1:28" ht="18.75" x14ac:dyDescent="0.25">
      <c r="A8" s="144" t="s">
        <v>111</v>
      </c>
      <c r="G8" s="171"/>
      <c r="H8" s="167" t="s">
        <v>158</v>
      </c>
      <c r="J8" s="167">
        <v>3</v>
      </c>
      <c r="K8" s="175"/>
      <c r="M8" s="181" t="s">
        <v>400</v>
      </c>
      <c r="N8" s="173" t="s">
        <v>392</v>
      </c>
      <c r="O8" s="167" t="str">
        <f>CONCATENATE(تقویم!$A$2,HolidayTable[[#This Row],[روز و ماه]])</f>
        <v>14000104</v>
      </c>
      <c r="P8" s="172"/>
      <c r="Q8" s="160"/>
      <c r="R8" s="160"/>
      <c r="S8" s="167" t="str">
        <f>CONCATENATE(تقویم!$A$2,EventsTable[[#This Row],[روز و ماه]])</f>
        <v>1400</v>
      </c>
      <c r="T8" s="172"/>
      <c r="U8" s="160"/>
      <c r="V8" s="160"/>
      <c r="W8" s="172"/>
      <c r="X8" s="160"/>
      <c r="Y8" s="160"/>
      <c r="Z8" s="172"/>
      <c r="AA8" s="160"/>
      <c r="AB8" s="160"/>
    </row>
    <row r="9" spans="1:28" ht="18.75" x14ac:dyDescent="0.25">
      <c r="A9" s="15" t="s">
        <v>90</v>
      </c>
      <c r="H9" s="167" t="s">
        <v>78</v>
      </c>
      <c r="J9" s="167"/>
      <c r="K9" s="175"/>
      <c r="M9" s="181" t="s">
        <v>395</v>
      </c>
      <c r="N9" s="173" t="s">
        <v>393</v>
      </c>
      <c r="O9" s="167" t="str">
        <f>CONCATENATE(تقویم!$A$2,HolidayTable[[#This Row],[روز و ماه]])</f>
        <v>14000112</v>
      </c>
      <c r="P9" s="172"/>
      <c r="Q9" s="160"/>
      <c r="R9" s="160"/>
      <c r="S9" s="167" t="str">
        <f>CONCATENATE(تقویم!$A$2,EventsTable[[#This Row],[روز و ماه]])</f>
        <v>1400</v>
      </c>
      <c r="T9" s="172"/>
      <c r="U9" s="160"/>
      <c r="V9" s="160"/>
      <c r="W9" s="172"/>
      <c r="X9" s="160"/>
      <c r="Y9" s="160"/>
      <c r="Z9" s="172"/>
      <c r="AA9" s="160"/>
      <c r="AB9" s="160"/>
    </row>
    <row r="10" spans="1:28" ht="18.75" x14ac:dyDescent="0.25">
      <c r="A10" s="122" t="s">
        <v>112</v>
      </c>
      <c r="H10" s="167" t="s">
        <v>156</v>
      </c>
      <c r="J10" s="167"/>
      <c r="K10" s="175"/>
      <c r="M10" s="181" t="s">
        <v>396</v>
      </c>
      <c r="N10" s="173" t="s">
        <v>394</v>
      </c>
      <c r="O10" s="167" t="str">
        <f>CONCATENATE(تقویم!$A$2,HolidayTable[[#This Row],[روز و ماه]])</f>
        <v>14000113</v>
      </c>
      <c r="P10" s="172"/>
      <c r="Q10" s="160"/>
      <c r="R10" s="160"/>
      <c r="S10" s="167" t="str">
        <f>CONCATENATE(تقویم!$A$2,EventsTable[[#This Row],[روز و ماه]])</f>
        <v>1400</v>
      </c>
      <c r="T10" s="172"/>
      <c r="U10" s="160"/>
      <c r="V10" s="160"/>
      <c r="W10" s="172"/>
      <c r="X10" s="160"/>
      <c r="Y10" s="160"/>
      <c r="Z10" s="172"/>
      <c r="AA10" s="160"/>
      <c r="AB10" s="160"/>
    </row>
    <row r="11" spans="1:28" ht="18.75" x14ac:dyDescent="0.25">
      <c r="A11" s="16" t="s">
        <v>106</v>
      </c>
      <c r="M11" s="181"/>
      <c r="N11" s="173"/>
      <c r="O11" s="189" t="str">
        <f>CONCATENATE(تقویم!$A$2,HolidayTable[[#This Row],[روز و ماه]])</f>
        <v>1400</v>
      </c>
      <c r="Q11" s="160"/>
      <c r="R11" s="160"/>
      <c r="S11" s="189" t="str">
        <f>CONCATENATE(تقویم!$A$2,EventsTable[[#This Row],[روز و ماه]])</f>
        <v>1400</v>
      </c>
      <c r="U11" s="160"/>
      <c r="V11" s="160"/>
      <c r="X11" s="160"/>
      <c r="Y11" s="160"/>
      <c r="Z11" s="172"/>
      <c r="AA11" s="160"/>
      <c r="AB11" s="160"/>
    </row>
    <row r="12" spans="1:28" ht="18.75" x14ac:dyDescent="0.25">
      <c r="A12" s="17" t="s">
        <v>99</v>
      </c>
      <c r="J12" s="179" t="s">
        <v>409</v>
      </c>
      <c r="K12" s="179"/>
      <c r="M12" s="181"/>
      <c r="N12" s="173"/>
      <c r="O12" s="189" t="str">
        <f>CONCATENATE(تقویم!$A$2,HolidayTable[[#This Row],[روز و ماه]])</f>
        <v>1400</v>
      </c>
      <c r="Q12" s="160"/>
      <c r="R12" s="160"/>
      <c r="S12" s="189" t="str">
        <f>CONCATENATE(تقویم!$A$2,EventsTable[[#This Row],[روز و ماه]])</f>
        <v>1400</v>
      </c>
      <c r="U12" s="160"/>
      <c r="V12" s="160"/>
      <c r="X12" s="160"/>
      <c r="Y12" s="160"/>
      <c r="Z12" s="172"/>
      <c r="AA12" s="160"/>
      <c r="AB12" s="160"/>
    </row>
    <row r="13" spans="1:28" x14ac:dyDescent="0.25">
      <c r="J13" s="160" t="s">
        <v>407</v>
      </c>
      <c r="K13" s="160" t="s">
        <v>408</v>
      </c>
      <c r="M13" s="181"/>
      <c r="N13" s="173"/>
      <c r="O13" s="189" t="str">
        <f>CONCATENATE(تقویم!$A$2,HolidayTable[[#This Row],[روز و ماه]])</f>
        <v>1400</v>
      </c>
      <c r="Q13" s="160"/>
      <c r="R13" s="160"/>
      <c r="S13" s="189" t="str">
        <f>CONCATENATE(تقویم!$A$2,EventsTable[[#This Row],[روز و ماه]])</f>
        <v>1400</v>
      </c>
      <c r="U13" s="160"/>
      <c r="V13" s="160"/>
      <c r="X13" s="160"/>
      <c r="Y13" s="160"/>
      <c r="AA13" s="160"/>
      <c r="AB13" s="160"/>
    </row>
    <row r="14" spans="1:28" x14ac:dyDescent="0.25">
      <c r="J14" s="160" t="s">
        <v>155</v>
      </c>
      <c r="K14" s="160"/>
      <c r="M14" s="181"/>
      <c r="N14" s="173"/>
      <c r="O14" s="189" t="str">
        <f>CONCATENATE(تقویم!$A$2,HolidayTable[[#This Row],[روز و ماه]])</f>
        <v>1400</v>
      </c>
      <c r="Q14" s="160"/>
      <c r="R14" s="160"/>
      <c r="S14" s="189" t="str">
        <f>CONCATENATE(تقویم!$A$2,EventsTable[[#This Row],[روز و ماه]])</f>
        <v>1400</v>
      </c>
      <c r="U14" s="160"/>
      <c r="V14" s="160"/>
      <c r="X14" s="160"/>
      <c r="Y14" s="160"/>
      <c r="AA14" s="160"/>
      <c r="AB14" s="160"/>
    </row>
    <row r="15" spans="1:28" x14ac:dyDescent="0.25">
      <c r="J15" s="160" t="s">
        <v>410</v>
      </c>
      <c r="K15" s="160"/>
      <c r="M15" s="181"/>
      <c r="N15" s="173"/>
      <c r="O15" s="189" t="str">
        <f>CONCATENATE(تقویم!$A$2,HolidayTable[[#This Row],[روز و ماه]])</f>
        <v>1400</v>
      </c>
      <c r="Q15" s="160"/>
      <c r="R15" s="160"/>
      <c r="S15" s="189" t="str">
        <f>CONCATENATE(تقویم!$A$2,EventsTable[[#This Row],[روز و ماه]])</f>
        <v>1400</v>
      </c>
      <c r="U15" s="160"/>
      <c r="V15" s="160"/>
      <c r="X15" s="160"/>
      <c r="Y15" s="160"/>
      <c r="AA15" s="160"/>
      <c r="AB15" s="160"/>
    </row>
    <row r="16" spans="1:28" x14ac:dyDescent="0.25">
      <c r="I16" s="172"/>
      <c r="J16" s="160" t="s">
        <v>411</v>
      </c>
      <c r="K16" s="160"/>
      <c r="M16" s="181"/>
      <c r="N16" s="173"/>
      <c r="O16" s="189" t="str">
        <f>CONCATENATE(تقویم!$A$2,HolidayTable[[#This Row],[روز و ماه]])</f>
        <v>1400</v>
      </c>
      <c r="Q16" s="160"/>
      <c r="R16" s="160"/>
      <c r="S16" s="189" t="str">
        <f>CONCATENATE(تقویم!$A$2,EventsTable[[#This Row],[روز و ماه]])</f>
        <v>1400</v>
      </c>
      <c r="U16" s="160"/>
      <c r="V16" s="160"/>
      <c r="X16" s="160"/>
      <c r="Y16" s="160"/>
      <c r="AA16" s="160"/>
      <c r="AB16" s="160"/>
    </row>
    <row r="17" spans="9:28" x14ac:dyDescent="0.25">
      <c r="I17" s="172"/>
      <c r="J17" s="160" t="s">
        <v>412</v>
      </c>
      <c r="K17" s="160"/>
      <c r="M17" s="181"/>
      <c r="N17" s="173"/>
      <c r="O17" s="189" t="str">
        <f>CONCATENATE(تقویم!$A$2,HolidayTable[[#This Row],[روز و ماه]])</f>
        <v>1400</v>
      </c>
      <c r="Q17" s="160"/>
      <c r="R17" s="160"/>
      <c r="S17" s="189" t="str">
        <f>CONCATENATE(تقویم!$A$2,EventsTable[[#This Row],[روز و ماه]])</f>
        <v>1400</v>
      </c>
      <c r="U17" s="160"/>
      <c r="V17" s="160"/>
      <c r="X17" s="160"/>
      <c r="Y17" s="160"/>
      <c r="AA17" s="160"/>
      <c r="AB17" s="160"/>
    </row>
    <row r="18" spans="9:28" x14ac:dyDescent="0.25">
      <c r="I18" s="172"/>
      <c r="J18" s="160" t="s">
        <v>413</v>
      </c>
      <c r="K18" s="160"/>
      <c r="M18" s="181"/>
      <c r="N18" s="173"/>
      <c r="O18" s="189" t="str">
        <f>CONCATENATE(تقویم!$A$2,HolidayTable[[#This Row],[روز و ماه]])</f>
        <v>1400</v>
      </c>
      <c r="Q18" s="160"/>
      <c r="R18" s="160"/>
      <c r="S18" s="189" t="str">
        <f>CONCATENATE(تقویم!$A$2,EventsTable[[#This Row],[روز و ماه]])</f>
        <v>1400</v>
      </c>
      <c r="U18" s="160"/>
      <c r="V18" s="160"/>
      <c r="X18" s="160"/>
      <c r="Y18" s="160"/>
      <c r="AA18" s="160"/>
      <c r="AB18" s="160"/>
    </row>
    <row r="19" spans="9:28" x14ac:dyDescent="0.25">
      <c r="I19" s="172"/>
      <c r="J19" s="160"/>
      <c r="K19" s="177"/>
      <c r="M19" s="181"/>
      <c r="N19" s="173"/>
      <c r="O19" s="189" t="str">
        <f>CONCATENATE(تقویم!$A$2,HolidayTable[[#This Row],[روز و ماه]])</f>
        <v>1400</v>
      </c>
      <c r="Q19" s="160"/>
      <c r="R19" s="160"/>
      <c r="S19" s="189" t="str">
        <f>CONCATENATE(تقویم!$A$2,EventsTable[[#This Row],[روز و ماه]])</f>
        <v>1400</v>
      </c>
      <c r="U19" s="160"/>
      <c r="V19" s="160"/>
      <c r="X19" s="160"/>
      <c r="Y19" s="160"/>
      <c r="AA19" s="160"/>
      <c r="AB19" s="160"/>
    </row>
    <row r="20" spans="9:28" x14ac:dyDescent="0.25">
      <c r="I20" s="172"/>
      <c r="J20" s="160"/>
      <c r="K20" s="177"/>
      <c r="M20" s="181"/>
      <c r="N20" s="173"/>
      <c r="O20" s="189" t="str">
        <f>CONCATENATE(تقویم!$A$2,HolidayTable[[#This Row],[روز و ماه]])</f>
        <v>1400</v>
      </c>
      <c r="Q20" s="160"/>
      <c r="R20" s="160"/>
      <c r="S20" s="189" t="str">
        <f>CONCATENATE(تقویم!$A$2,EventsTable[[#This Row],[روز و ماه]])</f>
        <v>1400</v>
      </c>
      <c r="U20" s="160"/>
      <c r="V20" s="160"/>
      <c r="X20" s="160"/>
      <c r="Y20" s="160"/>
      <c r="AA20" s="160"/>
      <c r="AB20" s="160"/>
    </row>
    <row r="21" spans="9:28" x14ac:dyDescent="0.25">
      <c r="I21" s="172"/>
      <c r="J21" s="160"/>
      <c r="K21" s="177"/>
      <c r="M21" s="181"/>
      <c r="N21" s="173"/>
      <c r="O21" s="189" t="str">
        <f>CONCATENATE(تقویم!$A$2,HolidayTable[[#This Row],[روز و ماه]])</f>
        <v>1400</v>
      </c>
      <c r="Q21" s="160"/>
      <c r="R21" s="160"/>
      <c r="S21" s="189" t="str">
        <f>CONCATENATE(تقویم!$A$2,EventsTable[[#This Row],[روز و ماه]])</f>
        <v>1400</v>
      </c>
      <c r="U21" s="160"/>
      <c r="V21" s="160"/>
      <c r="X21" s="160"/>
      <c r="Y21" s="160"/>
      <c r="AA21" s="160"/>
      <c r="AB21" s="160"/>
    </row>
    <row r="22" spans="9:28" x14ac:dyDescent="0.25">
      <c r="I22" s="172"/>
      <c r="J22" s="160"/>
      <c r="K22" s="177"/>
      <c r="M22" s="181"/>
      <c r="N22" s="173"/>
      <c r="O22" s="189" t="str">
        <f>CONCATENATE(تقویم!$A$2,HolidayTable[[#This Row],[روز و ماه]])</f>
        <v>1400</v>
      </c>
      <c r="Q22" s="160"/>
      <c r="R22" s="160"/>
      <c r="S22" s="189" t="str">
        <f>CONCATENATE(تقویم!$A$2,EventsTable[[#This Row],[روز و ماه]])</f>
        <v>1400</v>
      </c>
      <c r="U22" s="160"/>
      <c r="V22" s="160"/>
      <c r="X22" s="160"/>
      <c r="Y22" s="160"/>
      <c r="AA22" s="160"/>
      <c r="AB22" s="160"/>
    </row>
    <row r="23" spans="9:28" x14ac:dyDescent="0.25">
      <c r="J23" s="160"/>
      <c r="K23" s="177"/>
      <c r="M23" s="181"/>
      <c r="N23" s="173"/>
      <c r="O23" s="189" t="str">
        <f>CONCATENATE(تقویم!$A$2,HolidayTable[[#This Row],[روز و ماه]])</f>
        <v>1400</v>
      </c>
      <c r="Q23" s="160"/>
      <c r="R23" s="160"/>
      <c r="S23" s="189" t="str">
        <f>CONCATENATE(تقویم!$A$2,EventsTable[[#This Row],[روز و ماه]])</f>
        <v>1400</v>
      </c>
      <c r="U23" s="160"/>
      <c r="V23" s="160"/>
      <c r="X23" s="160"/>
      <c r="Y23" s="160"/>
      <c r="AA23" s="160"/>
      <c r="AB23" s="160"/>
    </row>
    <row r="24" spans="9:28" x14ac:dyDescent="0.25">
      <c r="J24" s="160"/>
      <c r="K24" s="177"/>
      <c r="M24" s="181"/>
      <c r="N24" s="173"/>
      <c r="O24" s="189" t="str">
        <f>CONCATENATE(تقویم!$A$2,HolidayTable[[#This Row],[روز و ماه]])</f>
        <v>1400</v>
      </c>
      <c r="Q24" s="160"/>
      <c r="R24" s="160"/>
      <c r="S24" s="189" t="str">
        <f>CONCATENATE(تقویم!$A$2,EventsTable[[#This Row],[روز و ماه]])</f>
        <v>1400</v>
      </c>
      <c r="U24" s="160"/>
      <c r="V24" s="160"/>
      <c r="X24" s="160"/>
      <c r="Y24" s="160"/>
      <c r="AA24" s="160"/>
      <c r="AB24" s="160"/>
    </row>
    <row r="25" spans="9:28" x14ac:dyDescent="0.25">
      <c r="J25" s="160"/>
      <c r="K25" s="177"/>
      <c r="M25" s="181"/>
      <c r="N25" s="173"/>
      <c r="O25" s="189" t="str">
        <f>CONCATENATE(تقویم!$A$2,HolidayTable[[#This Row],[روز و ماه]])</f>
        <v>1400</v>
      </c>
      <c r="Q25" s="160"/>
      <c r="R25" s="160"/>
      <c r="S25" s="189" t="str">
        <f>CONCATENATE(تقویم!$A$2,EventsTable[[#This Row],[روز و ماه]])</f>
        <v>1400</v>
      </c>
      <c r="U25" s="160"/>
      <c r="V25" s="160"/>
      <c r="X25" s="160"/>
      <c r="Y25" s="160"/>
      <c r="AA25" s="160"/>
      <c r="AB25" s="160"/>
    </row>
    <row r="26" spans="9:28" x14ac:dyDescent="0.25">
      <c r="J26" s="160"/>
      <c r="K26" s="177"/>
      <c r="M26" s="181"/>
      <c r="N26" s="173"/>
      <c r="O26" s="189" t="str">
        <f>CONCATENATE(تقویم!$A$2,HolidayTable[[#This Row],[روز و ماه]])</f>
        <v>1400</v>
      </c>
      <c r="Q26" s="160"/>
      <c r="R26" s="160"/>
      <c r="S26" s="189" t="str">
        <f>CONCATENATE(تقویم!$A$2,EventsTable[[#This Row],[روز و ماه]])</f>
        <v>1400</v>
      </c>
      <c r="U26" s="160"/>
      <c r="V26" s="160"/>
      <c r="X26" s="160"/>
      <c r="Y26" s="160"/>
      <c r="AA26" s="160"/>
      <c r="AB26" s="160"/>
    </row>
    <row r="27" spans="9:28" x14ac:dyDescent="0.25">
      <c r="J27" s="160"/>
      <c r="K27" s="177"/>
      <c r="M27" s="181"/>
      <c r="N27" s="173"/>
      <c r="O27" s="189" t="str">
        <f>CONCATENATE(تقویم!$A$2,HolidayTable[[#This Row],[روز و ماه]])</f>
        <v>1400</v>
      </c>
      <c r="Q27" s="160"/>
      <c r="R27" s="160"/>
      <c r="S27" s="189" t="str">
        <f>CONCATENATE(تقویم!$A$2,EventsTable[[#This Row],[روز و ماه]])</f>
        <v>1400</v>
      </c>
      <c r="U27" s="160"/>
      <c r="V27" s="160"/>
      <c r="X27" s="160"/>
      <c r="Y27" s="160"/>
      <c r="AA27" s="160"/>
      <c r="AB27" s="160"/>
    </row>
    <row r="28" spans="9:28" x14ac:dyDescent="0.25">
      <c r="J28" s="160"/>
      <c r="K28" s="177"/>
      <c r="M28" s="181"/>
      <c r="N28" s="173"/>
      <c r="O28" s="189" t="str">
        <f>CONCATENATE(تقویم!$A$2,HolidayTable[[#This Row],[روز و ماه]])</f>
        <v>1400</v>
      </c>
      <c r="Q28" s="160"/>
      <c r="R28" s="160"/>
      <c r="S28" s="189" t="str">
        <f>CONCATENATE(تقویم!$A$2,EventsTable[[#This Row],[روز و ماه]])</f>
        <v>1400</v>
      </c>
      <c r="U28" s="160"/>
      <c r="V28" s="160"/>
      <c r="X28" s="160"/>
      <c r="Y28" s="160"/>
      <c r="AA28" s="160"/>
      <c r="AB28" s="160"/>
    </row>
    <row r="29" spans="9:28" x14ac:dyDescent="0.25">
      <c r="J29" s="160"/>
      <c r="K29" s="177"/>
      <c r="M29" s="181"/>
      <c r="N29" s="173"/>
      <c r="O29" s="189" t="str">
        <f>CONCATENATE(تقویم!$A$2,HolidayTable[[#This Row],[روز و ماه]])</f>
        <v>1400</v>
      </c>
      <c r="Q29" s="160"/>
      <c r="R29" s="160"/>
      <c r="S29" s="189" t="str">
        <f>CONCATENATE(تقویم!$A$2,EventsTable[[#This Row],[روز و ماه]])</f>
        <v>1400</v>
      </c>
      <c r="U29" s="160"/>
      <c r="V29" s="160"/>
      <c r="X29" s="160"/>
      <c r="Y29" s="160"/>
      <c r="AA29" s="160"/>
      <c r="AB29" s="160"/>
    </row>
    <row r="30" spans="9:28" x14ac:dyDescent="0.25">
      <c r="J30" s="160"/>
      <c r="K30" s="177"/>
      <c r="M30" s="181"/>
      <c r="N30" s="173"/>
      <c r="O30" s="189" t="str">
        <f>CONCATENATE(تقویم!$A$2,HolidayTable[[#This Row],[روز و ماه]])</f>
        <v>1400</v>
      </c>
      <c r="Q30" s="160"/>
      <c r="R30" s="160"/>
      <c r="S30" s="189" t="str">
        <f>CONCATENATE(تقویم!$A$2,EventsTable[[#This Row],[روز و ماه]])</f>
        <v>1400</v>
      </c>
      <c r="U30" s="160"/>
      <c r="V30" s="160"/>
      <c r="X30" s="160"/>
      <c r="Y30" s="160"/>
      <c r="AA30" s="160"/>
      <c r="AB30" s="160"/>
    </row>
    <row r="31" spans="9:28" x14ac:dyDescent="0.25">
      <c r="J31" s="160"/>
      <c r="K31" s="177"/>
      <c r="M31" s="181"/>
      <c r="N31" s="173"/>
      <c r="O31" s="189" t="str">
        <f>CONCATENATE(تقویم!$A$2,HolidayTable[[#This Row],[روز و ماه]])</f>
        <v>1400</v>
      </c>
      <c r="Q31" s="160"/>
      <c r="R31" s="160"/>
      <c r="S31" s="189" t="str">
        <f>CONCATENATE(تقویم!$A$2,EventsTable[[#This Row],[روز و ماه]])</f>
        <v>1400</v>
      </c>
      <c r="U31" s="160"/>
      <c r="V31" s="160"/>
      <c r="X31" s="160"/>
      <c r="Y31" s="160"/>
      <c r="AA31" s="160"/>
      <c r="AB31" s="160"/>
    </row>
    <row r="32" spans="9:28" x14ac:dyDescent="0.25">
      <c r="J32" s="160"/>
      <c r="K32" s="177"/>
      <c r="M32" s="181"/>
      <c r="N32" s="173"/>
      <c r="O32" s="189" t="str">
        <f>CONCATENATE(تقویم!$A$2,HolidayTable[[#This Row],[روز و ماه]])</f>
        <v>1400</v>
      </c>
      <c r="Q32" s="160"/>
      <c r="R32" s="160"/>
      <c r="S32" s="189" t="str">
        <f>CONCATENATE(تقویم!$A$2,EventsTable[[#This Row],[روز و ماه]])</f>
        <v>1400</v>
      </c>
      <c r="U32" s="160"/>
      <c r="V32" s="160"/>
      <c r="X32" s="160"/>
      <c r="Y32" s="160"/>
      <c r="AA32" s="160"/>
      <c r="AB32" s="160"/>
    </row>
    <row r="33" spans="10:28" x14ac:dyDescent="0.25">
      <c r="J33" s="160"/>
      <c r="K33" s="177"/>
      <c r="M33" s="181"/>
      <c r="N33" s="173"/>
      <c r="O33" s="189" t="str">
        <f>CONCATENATE(تقویم!$A$2,HolidayTable[[#This Row],[روز و ماه]])</f>
        <v>1400</v>
      </c>
      <c r="Q33" s="160"/>
      <c r="R33" s="160"/>
      <c r="S33" s="189" t="str">
        <f>CONCATENATE(تقویم!$A$2,EventsTable[[#This Row],[روز و ماه]])</f>
        <v>1400</v>
      </c>
      <c r="U33" s="160"/>
      <c r="V33" s="160"/>
      <c r="X33" s="160"/>
      <c r="Y33" s="160"/>
      <c r="AA33" s="160"/>
      <c r="AB33" s="160"/>
    </row>
    <row r="34" spans="10:28" x14ac:dyDescent="0.25">
      <c r="J34" s="160"/>
      <c r="K34" s="177"/>
      <c r="M34" s="181"/>
      <c r="N34" s="173"/>
      <c r="O34" s="189" t="str">
        <f>CONCATENATE(تقویم!$A$2,HolidayTable[[#This Row],[روز و ماه]])</f>
        <v>1400</v>
      </c>
      <c r="Q34" s="160"/>
      <c r="R34" s="160"/>
      <c r="S34" s="189" t="str">
        <f>CONCATENATE(تقویم!$A$2,EventsTable[[#This Row],[روز و ماه]])</f>
        <v>1400</v>
      </c>
      <c r="U34" s="160"/>
      <c r="V34" s="160"/>
      <c r="X34" s="160"/>
      <c r="Y34" s="160"/>
      <c r="AA34" s="160"/>
      <c r="AB34" s="160"/>
    </row>
    <row r="35" spans="10:28" x14ac:dyDescent="0.25">
      <c r="J35" s="160"/>
      <c r="K35" s="177"/>
      <c r="M35" s="181"/>
      <c r="N35" s="173"/>
      <c r="O35" s="189" t="str">
        <f>CONCATENATE(تقویم!$A$2,HolidayTable[[#This Row],[روز و ماه]])</f>
        <v>1400</v>
      </c>
      <c r="Q35" s="160"/>
      <c r="R35" s="160"/>
      <c r="S35" s="189" t="str">
        <f>CONCATENATE(تقویم!$A$2,EventsTable[[#This Row],[روز و ماه]])</f>
        <v>1400</v>
      </c>
      <c r="U35" s="160"/>
      <c r="V35" s="160"/>
      <c r="X35" s="160"/>
      <c r="Y35" s="160"/>
      <c r="AA35" s="160"/>
      <c r="AB35" s="160"/>
    </row>
    <row r="36" spans="10:28" x14ac:dyDescent="0.25">
      <c r="J36" s="160"/>
      <c r="K36" s="177"/>
      <c r="M36" s="181"/>
      <c r="N36" s="173"/>
      <c r="O36" s="189" t="str">
        <f>CONCATENATE(تقویم!$A$2,HolidayTable[[#This Row],[روز و ماه]])</f>
        <v>1400</v>
      </c>
      <c r="Q36" s="160"/>
      <c r="R36" s="160"/>
      <c r="S36" s="189" t="str">
        <f>CONCATENATE(تقویم!$A$2,EventsTable[[#This Row],[روز و ماه]])</f>
        <v>1400</v>
      </c>
      <c r="U36" s="160"/>
      <c r="V36" s="160"/>
      <c r="X36" s="160"/>
      <c r="Y36" s="160"/>
      <c r="AA36" s="160"/>
      <c r="AB36" s="160"/>
    </row>
    <row r="37" spans="10:28" x14ac:dyDescent="0.25">
      <c r="J37" s="160"/>
      <c r="K37" s="177"/>
      <c r="M37" s="181"/>
      <c r="N37" s="173"/>
      <c r="O37" s="189" t="str">
        <f>CONCATENATE(تقویم!$A$2,HolidayTable[[#This Row],[روز و ماه]])</f>
        <v>1400</v>
      </c>
      <c r="Q37" s="160"/>
      <c r="R37" s="160"/>
      <c r="S37" s="189" t="str">
        <f>CONCATENATE(تقویم!$A$2,EventsTable[[#This Row],[روز و ماه]])</f>
        <v>1400</v>
      </c>
      <c r="U37" s="160"/>
      <c r="V37" s="160"/>
      <c r="X37" s="160"/>
      <c r="Y37" s="160"/>
      <c r="AA37" s="160"/>
      <c r="AB37" s="160"/>
    </row>
    <row r="38" spans="10:28" x14ac:dyDescent="0.25">
      <c r="J38" s="160"/>
      <c r="K38" s="177"/>
      <c r="M38" s="181"/>
      <c r="N38" s="173"/>
      <c r="O38" s="189" t="str">
        <f>CONCATENATE(تقویم!$A$2,HolidayTable[[#This Row],[روز و ماه]])</f>
        <v>1400</v>
      </c>
      <c r="Q38" s="160"/>
      <c r="R38" s="160"/>
      <c r="S38" s="189" t="str">
        <f>CONCATENATE(تقویم!$A$2,EventsTable[[#This Row],[روز و ماه]])</f>
        <v>1400</v>
      </c>
      <c r="U38" s="160"/>
      <c r="V38" s="160"/>
      <c r="X38" s="160"/>
      <c r="Y38" s="160"/>
      <c r="AA38" s="160"/>
      <c r="AB38" s="160"/>
    </row>
    <row r="39" spans="10:28" x14ac:dyDescent="0.25">
      <c r="J39" s="160"/>
      <c r="K39" s="177"/>
      <c r="M39" s="181"/>
      <c r="N39" s="173"/>
      <c r="O39" s="189" t="str">
        <f>CONCATENATE(تقویم!$A$2,HolidayTable[[#This Row],[روز و ماه]])</f>
        <v>1400</v>
      </c>
      <c r="Q39" s="160"/>
      <c r="R39" s="160"/>
      <c r="S39" s="189" t="str">
        <f>CONCATENATE(تقویم!$A$2,EventsTable[[#This Row],[روز و ماه]])</f>
        <v>1400</v>
      </c>
      <c r="U39" s="160"/>
      <c r="V39" s="160"/>
      <c r="X39" s="160"/>
      <c r="Y39" s="160"/>
      <c r="AA39" s="160"/>
      <c r="AB39" s="160"/>
    </row>
    <row r="40" spans="10:28" x14ac:dyDescent="0.25">
      <c r="J40" s="160"/>
      <c r="K40" s="177"/>
      <c r="M40" s="181"/>
      <c r="N40" s="173"/>
      <c r="O40" s="189" t="str">
        <f>CONCATENATE(تقویم!$A$2,HolidayTable[[#This Row],[روز و ماه]])</f>
        <v>1400</v>
      </c>
      <c r="Q40" s="160"/>
      <c r="R40" s="160"/>
      <c r="S40" s="189" t="str">
        <f>CONCATENATE(تقویم!$A$2,EventsTable[[#This Row],[روز و ماه]])</f>
        <v>1400</v>
      </c>
      <c r="U40" s="160"/>
      <c r="V40" s="160"/>
      <c r="X40" s="160"/>
      <c r="Y40" s="160"/>
      <c r="AA40" s="160"/>
      <c r="AB40" s="160"/>
    </row>
    <row r="41" spans="10:28" x14ac:dyDescent="0.25">
      <c r="J41" s="160"/>
      <c r="K41" s="177"/>
      <c r="M41" s="181"/>
      <c r="N41" s="173"/>
      <c r="O41" s="189" t="str">
        <f>CONCATENATE(تقویم!$A$2,HolidayTable[[#This Row],[روز و ماه]])</f>
        <v>1400</v>
      </c>
      <c r="Q41" s="160"/>
      <c r="R41" s="160"/>
      <c r="S41" s="189" t="str">
        <f>CONCATENATE(تقویم!$A$2,EventsTable[[#This Row],[روز و ماه]])</f>
        <v>1400</v>
      </c>
      <c r="U41" s="160"/>
      <c r="V41" s="160"/>
      <c r="X41" s="160"/>
      <c r="Y41" s="160"/>
      <c r="AA41" s="160"/>
      <c r="AB41" s="160"/>
    </row>
    <row r="42" spans="10:28" x14ac:dyDescent="0.25">
      <c r="M42" s="181"/>
      <c r="N42" s="173"/>
      <c r="O42" s="189" t="str">
        <f>CONCATENATE(تقویم!$A$2,HolidayTable[[#This Row],[روز و ماه]])</f>
        <v>1400</v>
      </c>
      <c r="Q42" s="160"/>
      <c r="R42" s="160"/>
      <c r="S42" s="189" t="str">
        <f>CONCATENATE(تقویم!$A$2,EventsTable[[#This Row],[روز و ماه]])</f>
        <v>1400</v>
      </c>
      <c r="U42" s="160"/>
      <c r="V42" s="160"/>
      <c r="X42" s="160"/>
      <c r="Y42" s="160"/>
      <c r="AA42" s="160"/>
      <c r="AB42" s="160"/>
    </row>
    <row r="43" spans="10:28" x14ac:dyDescent="0.25">
      <c r="M43" s="181"/>
      <c r="N43" s="173"/>
      <c r="O43" s="189" t="str">
        <f>CONCATENATE(تقویم!$A$2,HolidayTable[[#This Row],[روز و ماه]])</f>
        <v>1400</v>
      </c>
      <c r="Q43" s="160"/>
      <c r="R43" s="160"/>
      <c r="S43" s="189" t="str">
        <f>CONCATENATE(تقویم!$A$2,EventsTable[[#This Row],[روز و ماه]])</f>
        <v>1400</v>
      </c>
      <c r="U43" s="160"/>
      <c r="V43" s="160"/>
      <c r="X43" s="160"/>
      <c r="Y43" s="160"/>
      <c r="AA43" s="160"/>
      <c r="AB43" s="160"/>
    </row>
    <row r="44" spans="10:28" x14ac:dyDescent="0.25">
      <c r="M44" s="181"/>
      <c r="N44" s="173"/>
      <c r="O44" s="189" t="str">
        <f>CONCATENATE(تقویم!$A$2,HolidayTable[[#This Row],[روز و ماه]])</f>
        <v>1400</v>
      </c>
      <c r="Q44" s="160"/>
      <c r="R44" s="160"/>
      <c r="S44" s="189" t="str">
        <f>CONCATENATE(تقویم!$A$2,EventsTable[[#This Row],[روز و ماه]])</f>
        <v>1400</v>
      </c>
      <c r="U44" s="160"/>
      <c r="V44" s="160"/>
      <c r="X44" s="160"/>
      <c r="Y44" s="160"/>
      <c r="AA44" s="160"/>
      <c r="AB44" s="160"/>
    </row>
    <row r="45" spans="10:28" x14ac:dyDescent="0.25">
      <c r="M45" s="181"/>
      <c r="N45" s="173"/>
      <c r="O45" s="189" t="str">
        <f>CONCATENATE(تقویم!$A$2,HolidayTable[[#This Row],[روز و ماه]])</f>
        <v>1400</v>
      </c>
      <c r="Q45" s="160"/>
      <c r="R45" s="160"/>
      <c r="S45" s="189" t="str">
        <f>CONCATENATE(تقویم!$A$2,EventsTable[[#This Row],[روز و ماه]])</f>
        <v>1400</v>
      </c>
      <c r="U45" s="160"/>
      <c r="V45" s="160"/>
      <c r="X45" s="160"/>
      <c r="Y45" s="160"/>
      <c r="AA45" s="160"/>
      <c r="AB45" s="160"/>
    </row>
    <row r="46" spans="10:28" x14ac:dyDescent="0.25">
      <c r="M46" s="181"/>
      <c r="N46" s="173"/>
      <c r="O46" s="189" t="str">
        <f>CONCATENATE(تقویم!$A$2,HolidayTable[[#This Row],[روز و ماه]])</f>
        <v>1400</v>
      </c>
      <c r="Q46" s="160"/>
      <c r="R46" s="160"/>
      <c r="S46" s="189" t="str">
        <f>CONCATENATE(تقویم!$A$2,EventsTable[[#This Row],[روز و ماه]])</f>
        <v>1400</v>
      </c>
      <c r="U46" s="160"/>
      <c r="V46" s="160"/>
      <c r="X46" s="160"/>
      <c r="Y46" s="160"/>
      <c r="AA46" s="160"/>
      <c r="AB46" s="160"/>
    </row>
    <row r="47" spans="10:28" x14ac:dyDescent="0.25">
      <c r="M47" s="181"/>
      <c r="N47" s="173"/>
      <c r="O47" s="189" t="str">
        <f>CONCATENATE(تقویم!$A$2,HolidayTable[[#This Row],[روز و ماه]])</f>
        <v>1400</v>
      </c>
      <c r="Q47" s="160"/>
      <c r="R47" s="160"/>
      <c r="S47" s="189" t="str">
        <f>CONCATENATE(تقویم!$A$2,EventsTable[[#This Row],[روز و ماه]])</f>
        <v>1400</v>
      </c>
      <c r="U47" s="160"/>
      <c r="V47" s="160"/>
      <c r="X47" s="160"/>
      <c r="Y47" s="160"/>
      <c r="AA47" s="160"/>
      <c r="AB47" s="160"/>
    </row>
    <row r="48" spans="10:28" x14ac:dyDescent="0.25">
      <c r="M48" s="181"/>
      <c r="N48" s="173"/>
      <c r="O48" s="189" t="str">
        <f>CONCATENATE(تقویم!$A$2,HolidayTable[[#This Row],[روز و ماه]])</f>
        <v>1400</v>
      </c>
      <c r="Q48" s="160"/>
      <c r="R48" s="160"/>
      <c r="S48" s="189" t="str">
        <f>CONCATENATE(تقویم!$A$2,EventsTable[[#This Row],[روز و ماه]])</f>
        <v>1400</v>
      </c>
      <c r="U48" s="160"/>
      <c r="V48" s="160"/>
      <c r="X48" s="160"/>
      <c r="Y48" s="160"/>
      <c r="AA48" s="160"/>
      <c r="AB48" s="160"/>
    </row>
    <row r="49" spans="13:28" x14ac:dyDescent="0.25">
      <c r="M49" s="181"/>
      <c r="N49" s="173"/>
      <c r="O49" s="189" t="str">
        <f>CONCATENATE(تقویم!$A$2,HolidayTable[[#This Row],[روز و ماه]])</f>
        <v>1400</v>
      </c>
      <c r="Q49" s="160"/>
      <c r="R49" s="160"/>
      <c r="S49" s="189" t="str">
        <f>CONCATENATE(تقویم!$A$2,EventsTable[[#This Row],[روز و ماه]])</f>
        <v>1400</v>
      </c>
      <c r="U49" s="160"/>
      <c r="V49" s="160"/>
      <c r="X49" s="160"/>
      <c r="Y49" s="160"/>
      <c r="AA49" s="160"/>
      <c r="AB49" s="160"/>
    </row>
    <row r="50" spans="13:28" x14ac:dyDescent="0.25">
      <c r="M50" s="181"/>
      <c r="N50" s="173"/>
      <c r="O50" s="189" t="str">
        <f>CONCATENATE(تقویم!$A$2,HolidayTable[[#This Row],[روز و ماه]])</f>
        <v>1400</v>
      </c>
      <c r="Q50" s="160"/>
      <c r="R50" s="160"/>
      <c r="S50" s="189" t="str">
        <f>CONCATENATE(تقویم!$A$2,EventsTable[[#This Row],[روز و ماه]])</f>
        <v>1400</v>
      </c>
      <c r="U50" s="160"/>
      <c r="V50" s="160"/>
      <c r="X50" s="160"/>
      <c r="Y50" s="160"/>
      <c r="AA50" s="160"/>
      <c r="AB50" s="160"/>
    </row>
    <row r="51" spans="13:28" x14ac:dyDescent="0.25">
      <c r="M51" s="181"/>
      <c r="N51" s="173"/>
      <c r="O51" s="189" t="str">
        <f>CONCATENATE(تقویم!$A$2,HolidayTable[[#This Row],[روز و ماه]])</f>
        <v>1400</v>
      </c>
      <c r="Q51" s="160"/>
      <c r="R51" s="160"/>
      <c r="S51" s="189" t="str">
        <f>CONCATENATE(تقویم!$A$2,EventsTable[[#This Row],[روز و ماه]])</f>
        <v>1400</v>
      </c>
      <c r="U51" s="160"/>
      <c r="V51" s="160"/>
      <c r="X51" s="160"/>
      <c r="Y51" s="160"/>
      <c r="AA51" s="160"/>
      <c r="AB51" s="160"/>
    </row>
    <row r="52" spans="13:28" x14ac:dyDescent="0.25">
      <c r="M52" s="181"/>
      <c r="N52" s="173"/>
      <c r="O52" s="189" t="str">
        <f>CONCATENATE(تقویم!$A$2,HolidayTable[[#This Row],[روز و ماه]])</f>
        <v>1400</v>
      </c>
      <c r="Q52" s="160"/>
      <c r="R52" s="160"/>
      <c r="S52" s="189" t="str">
        <f>CONCATENATE(تقویم!$A$2,EventsTable[[#This Row],[روز و ماه]])</f>
        <v>1400</v>
      </c>
      <c r="U52" s="160"/>
      <c r="V52" s="160"/>
      <c r="X52" s="160"/>
      <c r="Y52" s="160"/>
      <c r="AA52" s="160"/>
      <c r="AB52" s="160"/>
    </row>
    <row r="53" spans="13:28" x14ac:dyDescent="0.25">
      <c r="M53" s="181"/>
      <c r="N53" s="173"/>
      <c r="O53" s="189" t="str">
        <f>CONCATENATE(تقویم!$A$2,HolidayTable[[#This Row],[روز و ماه]])</f>
        <v>1400</v>
      </c>
      <c r="Q53" s="160"/>
      <c r="R53" s="160"/>
      <c r="S53" s="189" t="str">
        <f>CONCATENATE(تقویم!$A$2,EventsTable[[#This Row],[روز و ماه]])</f>
        <v>1400</v>
      </c>
      <c r="U53" s="160"/>
      <c r="V53" s="160"/>
      <c r="X53" s="160"/>
      <c r="Y53" s="160"/>
      <c r="AA53" s="160"/>
      <c r="AB53" s="160"/>
    </row>
    <row r="54" spans="13:28" x14ac:dyDescent="0.25">
      <c r="M54" s="181"/>
      <c r="N54" s="173"/>
      <c r="O54" s="189" t="str">
        <f>CONCATENATE(تقویم!$A$2,HolidayTable[[#This Row],[روز و ماه]])</f>
        <v>1400</v>
      </c>
      <c r="Q54" s="160"/>
      <c r="R54" s="160"/>
      <c r="S54" s="189" t="str">
        <f>CONCATENATE(تقویم!$A$2,EventsTable[[#This Row],[روز و ماه]])</f>
        <v>1400</v>
      </c>
      <c r="U54" s="160"/>
      <c r="V54" s="160"/>
      <c r="X54" s="160"/>
      <c r="Y54" s="160"/>
      <c r="AA54" s="160"/>
      <c r="AB54" s="160"/>
    </row>
    <row r="55" spans="13:28" x14ac:dyDescent="0.25">
      <c r="M55" s="181"/>
      <c r="N55" s="173"/>
      <c r="O55" s="189" t="str">
        <f>CONCATENATE(تقویم!$A$2,HolidayTable[[#This Row],[روز و ماه]])</f>
        <v>1400</v>
      </c>
      <c r="Q55" s="160"/>
      <c r="R55" s="160"/>
      <c r="S55" s="189" t="str">
        <f>CONCATENATE(تقویم!$A$2,EventsTable[[#This Row],[روز و ماه]])</f>
        <v>1400</v>
      </c>
      <c r="U55" s="160"/>
      <c r="V55" s="160"/>
      <c r="X55" s="160"/>
      <c r="Y55" s="160"/>
      <c r="AA55" s="160"/>
      <c r="AB55" s="160"/>
    </row>
    <row r="56" spans="13:28" x14ac:dyDescent="0.25">
      <c r="M56" s="181"/>
      <c r="N56" s="173"/>
      <c r="O56" s="189" t="str">
        <f>CONCATENATE(تقویم!$A$2,HolidayTable[[#This Row],[روز و ماه]])</f>
        <v>1400</v>
      </c>
      <c r="Q56" s="160"/>
      <c r="R56" s="160"/>
      <c r="S56" s="189" t="str">
        <f>CONCATENATE(تقویم!$A$2,EventsTable[[#This Row],[روز و ماه]])</f>
        <v>1400</v>
      </c>
      <c r="U56" s="160"/>
      <c r="V56" s="160"/>
      <c r="X56" s="160"/>
      <c r="Y56" s="160"/>
      <c r="AA56" s="160"/>
      <c r="AB56" s="160"/>
    </row>
    <row r="57" spans="13:28" x14ac:dyDescent="0.25">
      <c r="M57" s="181"/>
      <c r="N57" s="173"/>
      <c r="O57" s="189" t="str">
        <f>CONCATENATE(تقویم!$A$2,HolidayTable[[#This Row],[روز و ماه]])</f>
        <v>1400</v>
      </c>
      <c r="Q57" s="160"/>
      <c r="R57" s="160"/>
      <c r="S57" s="189" t="str">
        <f>CONCATENATE(تقویم!$A$2,EventsTable[[#This Row],[روز و ماه]])</f>
        <v>1400</v>
      </c>
      <c r="U57" s="160"/>
      <c r="V57" s="160"/>
      <c r="X57" s="160"/>
      <c r="Y57" s="160"/>
      <c r="AA57" s="160"/>
      <c r="AB57" s="160"/>
    </row>
    <row r="58" spans="13:28" x14ac:dyDescent="0.25">
      <c r="M58" s="181"/>
      <c r="N58" s="173"/>
      <c r="O58" s="189" t="str">
        <f>CONCATENATE(تقویم!$A$2,HolidayTable[[#This Row],[روز و ماه]])</f>
        <v>1400</v>
      </c>
      <c r="Q58" s="160"/>
      <c r="R58" s="160"/>
      <c r="S58" s="189" t="str">
        <f>CONCATENATE(تقویم!$A$2,EventsTable[[#This Row],[روز و ماه]])</f>
        <v>1400</v>
      </c>
      <c r="U58" s="160"/>
      <c r="V58" s="160"/>
      <c r="X58" s="160"/>
      <c r="Y58" s="160"/>
      <c r="AA58" s="160"/>
      <c r="AB58" s="160"/>
    </row>
    <row r="59" spans="13:28" x14ac:dyDescent="0.25">
      <c r="M59" s="181"/>
      <c r="N59" s="173"/>
      <c r="O59" s="189" t="str">
        <f>CONCATENATE(تقویم!$A$2,HolidayTable[[#This Row],[روز و ماه]])</f>
        <v>1400</v>
      </c>
      <c r="Q59" s="160"/>
      <c r="R59" s="160"/>
      <c r="S59" s="189" t="str">
        <f>CONCATENATE(تقویم!$A$2,EventsTable[[#This Row],[روز و ماه]])</f>
        <v>1400</v>
      </c>
      <c r="U59" s="160"/>
      <c r="V59" s="160"/>
      <c r="X59" s="160"/>
      <c r="Y59" s="160"/>
      <c r="AA59" s="160"/>
      <c r="AB59" s="160"/>
    </row>
    <row r="60" spans="13:28" x14ac:dyDescent="0.25">
      <c r="M60" s="181"/>
      <c r="N60" s="173"/>
      <c r="O60" s="189" t="str">
        <f>CONCATENATE(تقویم!$A$2,HolidayTable[[#This Row],[روز و ماه]])</f>
        <v>1400</v>
      </c>
      <c r="Q60" s="160"/>
      <c r="R60" s="160"/>
      <c r="S60" s="189" t="str">
        <f>CONCATENATE(تقویم!$A$2,EventsTable[[#This Row],[روز و ماه]])</f>
        <v>1400</v>
      </c>
      <c r="U60" s="160"/>
      <c r="V60" s="160"/>
      <c r="X60" s="160"/>
      <c r="Y60" s="160"/>
      <c r="AA60" s="160"/>
      <c r="AB60" s="160"/>
    </row>
    <row r="61" spans="13:28" x14ac:dyDescent="0.25">
      <c r="M61" s="181"/>
      <c r="N61" s="173"/>
      <c r="O61" s="189" t="str">
        <f>CONCATENATE(تقویم!$A$2,HolidayTable[[#This Row],[روز و ماه]])</f>
        <v>1400</v>
      </c>
      <c r="Q61" s="160"/>
      <c r="R61" s="160"/>
      <c r="S61" s="189" t="str">
        <f>CONCATENATE(تقویم!$A$2,EventsTable[[#This Row],[روز و ماه]])</f>
        <v>1400</v>
      </c>
      <c r="U61" s="160"/>
      <c r="V61" s="160"/>
      <c r="X61" s="160"/>
      <c r="Y61" s="160"/>
      <c r="AA61" s="160"/>
      <c r="AB61" s="160"/>
    </row>
    <row r="62" spans="13:28" x14ac:dyDescent="0.25">
      <c r="M62" s="181"/>
      <c r="N62" s="173"/>
      <c r="O62" s="189" t="str">
        <f>CONCATENATE(تقویم!$A$2,HolidayTable[[#This Row],[روز و ماه]])</f>
        <v>1400</v>
      </c>
      <c r="Q62" s="160"/>
      <c r="R62" s="160"/>
      <c r="S62" s="189" t="str">
        <f>CONCATENATE(تقویم!$A$2,EventsTable[[#This Row],[روز و ماه]])</f>
        <v>1400</v>
      </c>
      <c r="U62" s="160"/>
      <c r="V62" s="160"/>
      <c r="X62" s="160"/>
      <c r="Y62" s="160"/>
      <c r="AA62" s="160"/>
      <c r="AB62" s="160"/>
    </row>
    <row r="63" spans="13:28" x14ac:dyDescent="0.25">
      <c r="M63" s="181"/>
      <c r="N63" s="173"/>
      <c r="O63" s="189" t="str">
        <f>CONCATENATE(تقویم!$A$2,HolidayTable[[#This Row],[روز و ماه]])</f>
        <v>1400</v>
      </c>
      <c r="Q63" s="160"/>
      <c r="R63" s="160"/>
      <c r="S63" s="189" t="str">
        <f>CONCATENATE(تقویم!$A$2,EventsTable[[#This Row],[روز و ماه]])</f>
        <v>1400</v>
      </c>
      <c r="U63" s="160"/>
      <c r="V63" s="160"/>
      <c r="X63" s="160"/>
      <c r="Y63" s="160"/>
      <c r="AA63" s="160"/>
      <c r="AB63" s="160"/>
    </row>
    <row r="64" spans="13:28" x14ac:dyDescent="0.25">
      <c r="M64" s="181"/>
      <c r="N64" s="173"/>
      <c r="O64" s="189" t="str">
        <f>CONCATENATE(تقویم!$A$2,HolidayTable[[#This Row],[روز و ماه]])</f>
        <v>1400</v>
      </c>
      <c r="Q64" s="160"/>
      <c r="R64" s="160"/>
      <c r="S64" s="189" t="str">
        <f>CONCATENATE(تقویم!$A$2,EventsTable[[#This Row],[روز و ماه]])</f>
        <v>1400</v>
      </c>
      <c r="U64" s="160"/>
      <c r="V64" s="160"/>
      <c r="X64" s="160"/>
      <c r="Y64" s="160"/>
      <c r="AA64" s="160"/>
      <c r="AB64" s="160"/>
    </row>
    <row r="65" spans="13:28" x14ac:dyDescent="0.25">
      <c r="M65" s="181"/>
      <c r="N65" s="173"/>
      <c r="O65" s="189" t="str">
        <f>CONCATENATE(تقویم!$A$2,HolidayTable[[#This Row],[روز و ماه]])</f>
        <v>1400</v>
      </c>
      <c r="Q65" s="160"/>
      <c r="R65" s="160"/>
      <c r="S65" s="189" t="str">
        <f>CONCATENATE(تقویم!$A$2,EventsTable[[#This Row],[روز و ماه]])</f>
        <v>1400</v>
      </c>
      <c r="U65" s="160"/>
      <c r="V65" s="160"/>
      <c r="X65" s="160"/>
      <c r="Y65" s="160"/>
      <c r="AA65" s="160"/>
      <c r="AB65" s="160"/>
    </row>
    <row r="66" spans="13:28" x14ac:dyDescent="0.25">
      <c r="M66" s="181"/>
      <c r="N66" s="173"/>
      <c r="O66" s="189" t="str">
        <f>CONCATENATE(تقویم!$A$2,HolidayTable[[#This Row],[روز و ماه]])</f>
        <v>1400</v>
      </c>
      <c r="Q66" s="160"/>
      <c r="R66" s="160"/>
      <c r="S66" s="189" t="str">
        <f>CONCATENATE(تقویم!$A$2,EventsTable[[#This Row],[روز و ماه]])</f>
        <v>1400</v>
      </c>
      <c r="U66" s="160"/>
      <c r="V66" s="160"/>
      <c r="X66" s="160"/>
      <c r="Y66" s="160"/>
      <c r="AA66" s="160"/>
      <c r="AB66" s="160"/>
    </row>
    <row r="67" spans="13:28" x14ac:dyDescent="0.25">
      <c r="M67" s="181"/>
      <c r="N67" s="173"/>
      <c r="O67" s="189" t="str">
        <f>CONCATENATE(تقویم!$A$2,HolidayTable[[#This Row],[روز و ماه]])</f>
        <v>1400</v>
      </c>
      <c r="Q67" s="160"/>
      <c r="R67" s="160"/>
      <c r="S67" s="189" t="str">
        <f>CONCATENATE(تقویم!$A$2,EventsTable[[#This Row],[روز و ماه]])</f>
        <v>1400</v>
      </c>
      <c r="U67" s="160"/>
      <c r="V67" s="160"/>
      <c r="X67" s="160"/>
      <c r="Y67" s="160"/>
      <c r="AA67" s="160"/>
      <c r="AB67" s="160"/>
    </row>
    <row r="68" spans="13:28" x14ac:dyDescent="0.25">
      <c r="M68" s="181"/>
      <c r="N68" s="173"/>
      <c r="O68" s="189" t="str">
        <f>CONCATENATE(تقویم!$A$2,HolidayTable[[#This Row],[روز و ماه]])</f>
        <v>1400</v>
      </c>
      <c r="Q68" s="160"/>
      <c r="R68" s="160"/>
      <c r="S68" s="189" t="str">
        <f>CONCATENATE(تقویم!$A$2,EventsTable[[#This Row],[روز و ماه]])</f>
        <v>1400</v>
      </c>
      <c r="U68" s="160"/>
      <c r="V68" s="160"/>
      <c r="X68" s="160"/>
      <c r="Y68" s="160"/>
      <c r="AA68" s="160"/>
      <c r="AB68" s="160"/>
    </row>
    <row r="69" spans="13:28" x14ac:dyDescent="0.25">
      <c r="M69" s="181"/>
      <c r="N69" s="173"/>
      <c r="O69" s="189" t="str">
        <f>CONCATENATE(تقویم!$A$2,HolidayTable[[#This Row],[روز و ماه]])</f>
        <v>1400</v>
      </c>
      <c r="Q69" s="160"/>
      <c r="R69" s="160"/>
      <c r="S69" s="189" t="str">
        <f>CONCATENATE(تقویم!$A$2,EventsTable[[#This Row],[روز و ماه]])</f>
        <v>1400</v>
      </c>
      <c r="U69" s="160"/>
      <c r="V69" s="160"/>
      <c r="X69" s="160"/>
      <c r="Y69" s="160"/>
      <c r="AA69" s="160"/>
      <c r="AB69" s="160"/>
    </row>
    <row r="70" spans="13:28" x14ac:dyDescent="0.25">
      <c r="M70" s="181"/>
      <c r="N70" s="173"/>
      <c r="O70" s="189" t="str">
        <f>CONCATENATE(تقویم!$A$2,HolidayTable[[#This Row],[روز و ماه]])</f>
        <v>1400</v>
      </c>
      <c r="Q70" s="160"/>
      <c r="R70" s="160"/>
      <c r="S70" s="189" t="str">
        <f>CONCATENATE(تقویم!$A$2,EventsTable[[#This Row],[روز و ماه]])</f>
        <v>1400</v>
      </c>
      <c r="U70" s="160"/>
      <c r="V70" s="160"/>
      <c r="X70" s="160"/>
      <c r="Y70" s="160"/>
      <c r="AA70" s="160"/>
      <c r="AB70" s="160"/>
    </row>
    <row r="71" spans="13:28" x14ac:dyDescent="0.25">
      <c r="M71" s="181"/>
      <c r="N71" s="173"/>
      <c r="O71" s="189" t="str">
        <f>CONCATENATE(تقویم!$A$2,HolidayTable[[#This Row],[روز و ماه]])</f>
        <v>1400</v>
      </c>
      <c r="Q71" s="160"/>
      <c r="R71" s="160"/>
      <c r="S71" s="189" t="str">
        <f>CONCATENATE(تقویم!$A$2,EventsTable[[#This Row],[روز و ماه]])</f>
        <v>1400</v>
      </c>
      <c r="U71" s="160"/>
      <c r="V71" s="160"/>
      <c r="X71" s="160"/>
      <c r="Y71" s="160"/>
      <c r="AA71" s="160"/>
      <c r="AB71" s="160"/>
    </row>
    <row r="72" spans="13:28" x14ac:dyDescent="0.25">
      <c r="M72" s="181"/>
      <c r="N72" s="173"/>
      <c r="O72" s="189" t="str">
        <f>CONCATENATE(تقویم!$A$2,HolidayTable[[#This Row],[روز و ماه]])</f>
        <v>1400</v>
      </c>
      <c r="Q72" s="160"/>
      <c r="R72" s="160"/>
      <c r="S72" s="189" t="str">
        <f>CONCATENATE(تقویم!$A$2,EventsTable[[#This Row],[روز و ماه]])</f>
        <v>1400</v>
      </c>
      <c r="U72" s="160"/>
      <c r="V72" s="160"/>
      <c r="X72" s="160"/>
      <c r="Y72" s="160"/>
      <c r="AA72" s="160"/>
      <c r="AB72" s="160"/>
    </row>
    <row r="73" spans="13:28" x14ac:dyDescent="0.25">
      <c r="M73" s="181"/>
      <c r="N73" s="173"/>
      <c r="O73" s="189" t="str">
        <f>CONCATENATE(تقویم!$A$2,HolidayTable[[#This Row],[روز و ماه]])</f>
        <v>1400</v>
      </c>
      <c r="Q73" s="160"/>
      <c r="R73" s="160"/>
      <c r="S73" s="189" t="str">
        <f>CONCATENATE(تقویم!$A$2,EventsTable[[#This Row],[روز و ماه]])</f>
        <v>1400</v>
      </c>
      <c r="U73" s="160"/>
      <c r="V73" s="160"/>
      <c r="X73" s="160"/>
      <c r="Y73" s="160"/>
      <c r="AA73" s="160"/>
      <c r="AB73" s="160"/>
    </row>
    <row r="74" spans="13:28" x14ac:dyDescent="0.25">
      <c r="M74" s="181"/>
      <c r="N74" s="173"/>
      <c r="O74" s="189" t="str">
        <f>CONCATENATE(تقویم!$A$2,HolidayTable[[#This Row],[روز و ماه]])</f>
        <v>1400</v>
      </c>
      <c r="Q74" s="160"/>
      <c r="R74" s="160"/>
      <c r="S74" s="189" t="str">
        <f>CONCATENATE(تقویم!$A$2,EventsTable[[#This Row],[روز و ماه]])</f>
        <v>1400</v>
      </c>
      <c r="U74" s="160"/>
      <c r="V74" s="160"/>
      <c r="X74" s="160"/>
      <c r="Y74" s="160"/>
      <c r="AA74" s="160"/>
      <c r="AB74" s="160"/>
    </row>
    <row r="75" spans="13:28" x14ac:dyDescent="0.25">
      <c r="M75" s="181"/>
      <c r="N75" s="173"/>
      <c r="O75" s="189" t="str">
        <f>CONCATENATE(تقویم!$A$2,HolidayTable[[#This Row],[روز و ماه]])</f>
        <v>1400</v>
      </c>
      <c r="Q75" s="160"/>
      <c r="R75" s="160"/>
      <c r="S75" s="189" t="str">
        <f>CONCATENATE(تقویم!$A$2,EventsTable[[#This Row],[روز و ماه]])</f>
        <v>1400</v>
      </c>
      <c r="U75" s="160"/>
      <c r="V75" s="160"/>
      <c r="X75" s="160"/>
      <c r="Y75" s="160"/>
      <c r="AA75" s="160"/>
      <c r="AB75" s="160"/>
    </row>
    <row r="76" spans="13:28" x14ac:dyDescent="0.25">
      <c r="M76" s="181"/>
      <c r="N76" s="173"/>
      <c r="O76" s="189" t="str">
        <f>CONCATENATE(تقویم!$A$2,HolidayTable[[#This Row],[روز و ماه]])</f>
        <v>1400</v>
      </c>
      <c r="Q76" s="160"/>
      <c r="R76" s="160"/>
      <c r="S76" s="189" t="str">
        <f>CONCATENATE(تقویم!$A$2,EventsTable[[#This Row],[روز و ماه]])</f>
        <v>1400</v>
      </c>
      <c r="U76" s="160"/>
      <c r="V76" s="160"/>
      <c r="X76" s="160"/>
      <c r="Y76" s="160"/>
      <c r="AA76" s="160"/>
      <c r="AB76" s="160"/>
    </row>
    <row r="77" spans="13:28" x14ac:dyDescent="0.25">
      <c r="M77" s="181"/>
      <c r="N77" s="173"/>
      <c r="O77" s="189" t="str">
        <f>CONCATENATE(تقویم!$A$2,HolidayTable[[#This Row],[روز و ماه]])</f>
        <v>1400</v>
      </c>
      <c r="Q77" s="160"/>
      <c r="R77" s="160"/>
      <c r="S77" s="189" t="str">
        <f>CONCATENATE(تقویم!$A$2,EventsTable[[#This Row],[روز و ماه]])</f>
        <v>1400</v>
      </c>
      <c r="U77" s="160"/>
      <c r="V77" s="160"/>
      <c r="X77" s="160"/>
      <c r="Y77" s="160"/>
      <c r="AA77" s="160"/>
      <c r="AB77" s="160"/>
    </row>
    <row r="78" spans="13:28" x14ac:dyDescent="0.25">
      <c r="M78" s="181"/>
      <c r="N78" s="173"/>
      <c r="O78" s="189" t="str">
        <f>CONCATENATE(تقویم!$A$2,HolidayTable[[#This Row],[روز و ماه]])</f>
        <v>1400</v>
      </c>
      <c r="Q78" s="160"/>
      <c r="R78" s="160"/>
      <c r="S78" s="189" t="str">
        <f>CONCATENATE(تقویم!$A$2,EventsTable[[#This Row],[روز و ماه]])</f>
        <v>1400</v>
      </c>
      <c r="U78" s="160"/>
      <c r="V78" s="160"/>
      <c r="X78" s="160"/>
      <c r="Y78" s="160"/>
      <c r="AA78" s="160"/>
      <c r="AB78" s="160"/>
    </row>
    <row r="79" spans="13:28" x14ac:dyDescent="0.25">
      <c r="M79" s="181"/>
      <c r="N79" s="173"/>
      <c r="O79" s="189" t="str">
        <f>CONCATENATE(تقویم!$A$2,HolidayTable[[#This Row],[روز و ماه]])</f>
        <v>1400</v>
      </c>
      <c r="Q79" s="160"/>
      <c r="R79" s="160"/>
      <c r="S79" s="189" t="str">
        <f>CONCATENATE(تقویم!$A$2,EventsTable[[#This Row],[روز و ماه]])</f>
        <v>1400</v>
      </c>
      <c r="U79" s="160"/>
      <c r="V79" s="160"/>
      <c r="X79" s="160"/>
      <c r="Y79" s="160"/>
      <c r="AA79" s="160"/>
      <c r="AB79" s="160"/>
    </row>
    <row r="80" spans="13:28" x14ac:dyDescent="0.25">
      <c r="M80" s="181"/>
      <c r="N80" s="173"/>
      <c r="O80" s="189" t="str">
        <f>CONCATENATE(تقویم!$A$2,HolidayTable[[#This Row],[روز و ماه]])</f>
        <v>1400</v>
      </c>
      <c r="Q80" s="160"/>
      <c r="R80" s="160"/>
      <c r="S80" s="189" t="str">
        <f>CONCATENATE(تقویم!$A$2,EventsTable[[#This Row],[روز و ماه]])</f>
        <v>1400</v>
      </c>
      <c r="U80" s="160"/>
      <c r="V80" s="160"/>
      <c r="X80" s="160"/>
      <c r="Y80" s="160"/>
      <c r="AA80" s="160"/>
      <c r="AB80" s="160"/>
    </row>
    <row r="81" spans="13:28" x14ac:dyDescent="0.25">
      <c r="M81" s="181"/>
      <c r="N81" s="173"/>
      <c r="O81" s="189" t="str">
        <f>CONCATENATE(تقویم!$A$2,HolidayTable[[#This Row],[روز و ماه]])</f>
        <v>1400</v>
      </c>
      <c r="Q81" s="160"/>
      <c r="R81" s="160"/>
      <c r="S81" s="189" t="str">
        <f>CONCATENATE(تقویم!$A$2,EventsTable[[#This Row],[روز و ماه]])</f>
        <v>1400</v>
      </c>
      <c r="U81" s="160"/>
      <c r="V81" s="160"/>
      <c r="X81" s="160"/>
      <c r="Y81" s="160"/>
      <c r="AA81" s="160"/>
      <c r="AB81" s="160"/>
    </row>
    <row r="82" spans="13:28" x14ac:dyDescent="0.25">
      <c r="M82" s="181"/>
      <c r="N82" s="173"/>
      <c r="O82" s="189" t="str">
        <f>CONCATENATE(تقویم!$A$2,HolidayTable[[#This Row],[روز و ماه]])</f>
        <v>1400</v>
      </c>
      <c r="Q82" s="160"/>
      <c r="R82" s="160"/>
      <c r="S82" s="189" t="str">
        <f>CONCATENATE(تقویم!$A$2,EventsTable[[#This Row],[روز و ماه]])</f>
        <v>1400</v>
      </c>
      <c r="U82" s="160"/>
      <c r="V82" s="160"/>
      <c r="X82" s="160"/>
      <c r="Y82" s="160"/>
      <c r="AA82" s="160"/>
      <c r="AB82" s="160"/>
    </row>
    <row r="83" spans="13:28" x14ac:dyDescent="0.25">
      <c r="M83" s="181"/>
      <c r="N83" s="173"/>
      <c r="O83" s="189" t="str">
        <f>CONCATENATE(تقویم!$A$2,HolidayTable[[#This Row],[روز و ماه]])</f>
        <v>1400</v>
      </c>
      <c r="Q83" s="160"/>
      <c r="R83" s="160"/>
      <c r="S83" s="189" t="str">
        <f>CONCATENATE(تقویم!$A$2,EventsTable[[#This Row],[روز و ماه]])</f>
        <v>1400</v>
      </c>
      <c r="U83" s="160"/>
      <c r="V83" s="160"/>
      <c r="X83" s="160"/>
      <c r="Y83" s="160"/>
      <c r="AA83" s="160"/>
      <c r="AB83" s="160"/>
    </row>
    <row r="84" spans="13:28" x14ac:dyDescent="0.25">
      <c r="M84" s="181"/>
      <c r="N84" s="173"/>
      <c r="O84" s="189" t="str">
        <f>CONCATENATE(تقویم!$A$2,HolidayTable[[#This Row],[روز و ماه]])</f>
        <v>1400</v>
      </c>
      <c r="Q84" s="160"/>
      <c r="R84" s="160"/>
      <c r="S84" s="189" t="str">
        <f>CONCATENATE(تقویم!$A$2,EventsTable[[#This Row],[روز و ماه]])</f>
        <v>1400</v>
      </c>
      <c r="U84" s="160"/>
      <c r="V84" s="160"/>
      <c r="X84" s="160"/>
      <c r="Y84" s="160"/>
      <c r="AA84" s="160"/>
      <c r="AB84" s="160"/>
    </row>
    <row r="85" spans="13:28" x14ac:dyDescent="0.25">
      <c r="M85" s="181"/>
      <c r="N85" s="173"/>
      <c r="O85" s="189" t="str">
        <f>CONCATENATE(تقویم!$A$2,HolidayTable[[#This Row],[روز و ماه]])</f>
        <v>1400</v>
      </c>
      <c r="Q85" s="160"/>
      <c r="R85" s="160"/>
      <c r="S85" s="189" t="str">
        <f>CONCATENATE(تقویم!$A$2,EventsTable[[#This Row],[روز و ماه]])</f>
        <v>1400</v>
      </c>
      <c r="U85" s="160"/>
      <c r="V85" s="160"/>
      <c r="X85" s="160"/>
      <c r="Y85" s="160"/>
      <c r="AA85" s="160"/>
      <c r="AB85" s="160"/>
    </row>
    <row r="86" spans="13:28" x14ac:dyDescent="0.25">
      <c r="M86" s="181"/>
      <c r="N86" s="173"/>
      <c r="O86" s="189" t="str">
        <f>CONCATENATE(تقویم!$A$2,HolidayTable[[#This Row],[روز و ماه]])</f>
        <v>1400</v>
      </c>
      <c r="Q86" s="160"/>
      <c r="R86" s="160"/>
      <c r="S86" s="189" t="str">
        <f>CONCATENATE(تقویم!$A$2,EventsTable[[#This Row],[روز و ماه]])</f>
        <v>1400</v>
      </c>
      <c r="U86" s="160"/>
      <c r="V86" s="160"/>
      <c r="X86" s="160"/>
      <c r="Y86" s="160"/>
      <c r="AA86" s="160"/>
      <c r="AB86" s="160"/>
    </row>
    <row r="87" spans="13:28" x14ac:dyDescent="0.25">
      <c r="M87" s="181"/>
      <c r="N87" s="173"/>
      <c r="O87" s="189" t="str">
        <f>CONCATENATE(تقویم!$A$2,HolidayTable[[#This Row],[روز و ماه]])</f>
        <v>1400</v>
      </c>
      <c r="Q87" s="160"/>
      <c r="R87" s="160"/>
      <c r="S87" s="189" t="str">
        <f>CONCATENATE(تقویم!$A$2,EventsTable[[#This Row],[روز و ماه]])</f>
        <v>1400</v>
      </c>
      <c r="U87" s="160"/>
      <c r="V87" s="160"/>
      <c r="X87" s="160"/>
      <c r="Y87" s="160"/>
      <c r="AA87" s="160"/>
      <c r="AB87" s="160"/>
    </row>
    <row r="88" spans="13:28" x14ac:dyDescent="0.25">
      <c r="M88" s="181"/>
      <c r="N88" s="173"/>
      <c r="O88" s="189" t="str">
        <f>CONCATENATE(تقویم!$A$2,HolidayTable[[#This Row],[روز و ماه]])</f>
        <v>1400</v>
      </c>
      <c r="Q88" s="160"/>
      <c r="R88" s="160"/>
      <c r="S88" s="189" t="str">
        <f>CONCATENATE(تقویم!$A$2,EventsTable[[#This Row],[روز و ماه]])</f>
        <v>1400</v>
      </c>
      <c r="U88" s="160"/>
      <c r="V88" s="160"/>
      <c r="X88" s="160"/>
      <c r="Y88" s="160"/>
      <c r="AA88" s="160"/>
      <c r="AB88" s="160"/>
    </row>
    <row r="89" spans="13:28" x14ac:dyDescent="0.25">
      <c r="M89" s="181"/>
      <c r="N89" s="173"/>
      <c r="O89" s="189" t="str">
        <f>CONCATENATE(تقویم!$A$2,HolidayTable[[#This Row],[روز و ماه]])</f>
        <v>1400</v>
      </c>
      <c r="Q89" s="160"/>
      <c r="R89" s="160"/>
      <c r="S89" s="189" t="str">
        <f>CONCATENATE(تقویم!$A$2,EventsTable[[#This Row],[روز و ماه]])</f>
        <v>1400</v>
      </c>
      <c r="U89" s="160"/>
      <c r="V89" s="160"/>
      <c r="X89" s="160"/>
      <c r="Y89" s="160"/>
      <c r="AA89" s="160"/>
      <c r="AB89" s="160"/>
    </row>
    <row r="90" spans="13:28" x14ac:dyDescent="0.25">
      <c r="M90" s="181"/>
      <c r="N90" s="173"/>
      <c r="O90" s="189" t="str">
        <f>CONCATENATE(تقویم!$A$2,HolidayTable[[#This Row],[روز و ماه]])</f>
        <v>1400</v>
      </c>
      <c r="Q90" s="160"/>
      <c r="R90" s="160"/>
      <c r="S90" s="189" t="str">
        <f>CONCATENATE(تقویم!$A$2,EventsTable[[#This Row],[روز و ماه]])</f>
        <v>1400</v>
      </c>
      <c r="U90" s="160"/>
      <c r="V90" s="160"/>
      <c r="X90" s="160"/>
      <c r="Y90" s="160"/>
      <c r="AA90" s="160"/>
      <c r="AB90" s="160"/>
    </row>
    <row r="91" spans="13:28" x14ac:dyDescent="0.25">
      <c r="M91" s="181"/>
      <c r="N91" s="173"/>
      <c r="O91" s="189" t="str">
        <f>CONCATENATE(تقویم!$A$2,HolidayTable[[#This Row],[روز و ماه]])</f>
        <v>1400</v>
      </c>
      <c r="Q91" s="160"/>
      <c r="R91" s="160"/>
      <c r="S91" s="189" t="str">
        <f>CONCATENATE(تقویم!$A$2,EventsTable[[#This Row],[روز و ماه]])</f>
        <v>1400</v>
      </c>
      <c r="U91" s="160"/>
      <c r="V91" s="160"/>
      <c r="X91" s="160"/>
      <c r="Y91" s="160"/>
      <c r="AA91" s="160"/>
      <c r="AB91" s="160"/>
    </row>
    <row r="92" spans="13:28" x14ac:dyDescent="0.25">
      <c r="M92" s="181"/>
      <c r="N92" s="173"/>
      <c r="O92" s="189" t="str">
        <f>CONCATENATE(تقویم!$A$2,HolidayTable[[#This Row],[روز و ماه]])</f>
        <v>1400</v>
      </c>
      <c r="Q92" s="160"/>
      <c r="R92" s="160"/>
      <c r="S92" s="189" t="str">
        <f>CONCATENATE(تقویم!$A$2,EventsTable[[#This Row],[روز و ماه]])</f>
        <v>1400</v>
      </c>
      <c r="U92" s="160"/>
      <c r="V92" s="160"/>
      <c r="X92" s="160"/>
      <c r="Y92" s="160"/>
      <c r="AA92" s="160"/>
      <c r="AB92" s="160"/>
    </row>
    <row r="93" spans="13:28" x14ac:dyDescent="0.25">
      <c r="M93" s="181"/>
      <c r="N93" s="173"/>
      <c r="O93" s="189" t="str">
        <f>CONCATENATE(تقویم!$A$2,HolidayTable[[#This Row],[روز و ماه]])</f>
        <v>1400</v>
      </c>
      <c r="Q93" s="160"/>
      <c r="R93" s="160"/>
      <c r="S93" s="189" t="str">
        <f>CONCATENATE(تقویم!$A$2,EventsTable[[#This Row],[روز و ماه]])</f>
        <v>1400</v>
      </c>
      <c r="U93" s="160"/>
      <c r="V93" s="160"/>
      <c r="X93" s="160"/>
      <c r="Y93" s="160"/>
      <c r="AA93" s="160"/>
      <c r="AB93" s="160"/>
    </row>
    <row r="94" spans="13:28" x14ac:dyDescent="0.25">
      <c r="M94" s="181"/>
      <c r="N94" s="173"/>
      <c r="O94" s="189" t="str">
        <f>CONCATENATE(تقویم!$A$2,HolidayTable[[#This Row],[روز و ماه]])</f>
        <v>1400</v>
      </c>
      <c r="Q94" s="160"/>
      <c r="R94" s="160"/>
      <c r="S94" s="189" t="str">
        <f>CONCATENATE(تقویم!$A$2,EventsTable[[#This Row],[روز و ماه]])</f>
        <v>1400</v>
      </c>
      <c r="U94" s="160"/>
      <c r="V94" s="160"/>
      <c r="X94" s="160"/>
      <c r="Y94" s="160"/>
      <c r="AA94" s="160"/>
      <c r="AB94" s="160"/>
    </row>
    <row r="95" spans="13:28" x14ac:dyDescent="0.25">
      <c r="M95" s="181"/>
      <c r="N95" s="173"/>
      <c r="O95" s="189" t="str">
        <f>CONCATENATE(تقویم!$A$2,HolidayTable[[#This Row],[روز و ماه]])</f>
        <v>1400</v>
      </c>
      <c r="Q95" s="160"/>
      <c r="R95" s="160"/>
      <c r="S95" s="189" t="str">
        <f>CONCATENATE(تقویم!$A$2,EventsTable[[#This Row],[روز و ماه]])</f>
        <v>1400</v>
      </c>
      <c r="U95" s="160"/>
      <c r="V95" s="160"/>
      <c r="X95" s="160"/>
      <c r="Y95" s="160"/>
      <c r="AA95" s="160"/>
      <c r="AB95" s="160"/>
    </row>
    <row r="96" spans="13:28" x14ac:dyDescent="0.25">
      <c r="M96" s="181"/>
      <c r="N96" s="173"/>
      <c r="O96" s="189" t="str">
        <f>CONCATENATE(تقویم!$A$2,HolidayTable[[#This Row],[روز و ماه]])</f>
        <v>1400</v>
      </c>
      <c r="Q96" s="160"/>
      <c r="R96" s="160"/>
      <c r="S96" s="189" t="str">
        <f>CONCATENATE(تقویم!$A$2,EventsTable[[#This Row],[روز و ماه]])</f>
        <v>1400</v>
      </c>
      <c r="U96" s="160"/>
      <c r="V96" s="160"/>
      <c r="X96" s="160"/>
      <c r="Y96" s="160"/>
      <c r="AA96" s="160"/>
      <c r="AB96" s="160"/>
    </row>
    <row r="97" spans="13:28" x14ac:dyDescent="0.25">
      <c r="M97" s="181"/>
      <c r="N97" s="173"/>
      <c r="O97" s="189" t="str">
        <f>CONCATENATE(تقویم!$A$2,HolidayTable[[#This Row],[روز و ماه]])</f>
        <v>1400</v>
      </c>
      <c r="Q97" s="160"/>
      <c r="R97" s="160"/>
      <c r="S97" s="189" t="str">
        <f>CONCATENATE(تقویم!$A$2,EventsTable[[#This Row],[روز و ماه]])</f>
        <v>1400</v>
      </c>
      <c r="U97" s="160"/>
      <c r="V97" s="160"/>
      <c r="X97" s="160"/>
      <c r="Y97" s="160"/>
      <c r="AA97" s="160"/>
      <c r="AB97" s="160"/>
    </row>
    <row r="98" spans="13:28" x14ac:dyDescent="0.25">
      <c r="M98" s="181"/>
      <c r="N98" s="173"/>
      <c r="O98" s="189" t="str">
        <f>CONCATENATE(تقویم!$A$2,HolidayTable[[#This Row],[روز و ماه]])</f>
        <v>1400</v>
      </c>
      <c r="Q98" s="160"/>
      <c r="R98" s="160"/>
      <c r="S98" s="189" t="str">
        <f>CONCATENATE(تقویم!$A$2,EventsTable[[#This Row],[روز و ماه]])</f>
        <v>1400</v>
      </c>
      <c r="U98" s="160"/>
      <c r="V98" s="160"/>
      <c r="X98" s="160"/>
      <c r="Y98" s="160"/>
      <c r="AA98" s="160"/>
      <c r="AB98" s="160"/>
    </row>
    <row r="99" spans="13:28" x14ac:dyDescent="0.25">
      <c r="M99" s="181"/>
      <c r="N99" s="173"/>
      <c r="O99" s="189" t="str">
        <f>CONCATENATE(تقویم!$A$2,HolidayTable[[#This Row],[روز و ماه]])</f>
        <v>1400</v>
      </c>
      <c r="Q99" s="160"/>
      <c r="R99" s="160"/>
      <c r="S99" s="189" t="str">
        <f>CONCATENATE(تقویم!$A$2,EventsTable[[#This Row],[روز و ماه]])</f>
        <v>1400</v>
      </c>
      <c r="U99" s="160"/>
      <c r="V99" s="160"/>
      <c r="X99" s="160"/>
      <c r="Y99" s="160"/>
      <c r="AA99" s="160"/>
      <c r="AB99" s="160"/>
    </row>
    <row r="100" spans="13:28" x14ac:dyDescent="0.25">
      <c r="M100" s="181"/>
      <c r="N100" s="173"/>
      <c r="O100" s="189" t="str">
        <f>CONCATENATE(تقویم!$A$2,HolidayTable[[#This Row],[روز و ماه]])</f>
        <v>1400</v>
      </c>
      <c r="Q100" s="160"/>
      <c r="R100" s="160"/>
      <c r="S100" s="189" t="str">
        <f>CONCATENATE(تقویم!$A$2,EventsTable[[#This Row],[روز و ماه]])</f>
        <v>1400</v>
      </c>
      <c r="U100" s="160"/>
      <c r="V100" s="160"/>
      <c r="X100" s="160"/>
      <c r="Y100" s="160"/>
      <c r="AA100" s="160"/>
      <c r="AB100" s="160"/>
    </row>
    <row r="101" spans="13:28" x14ac:dyDescent="0.25">
      <c r="M101" s="181"/>
      <c r="N101" s="173"/>
      <c r="O101" s="189" t="str">
        <f>CONCATENATE(تقویم!$A$2,HolidayTable[[#This Row],[روز و ماه]])</f>
        <v>1400</v>
      </c>
      <c r="Q101" s="160"/>
      <c r="R101" s="160"/>
      <c r="S101" s="189" t="str">
        <f>CONCATENATE(تقویم!$A$2,EventsTable[[#This Row],[روز و ماه]])</f>
        <v>1400</v>
      </c>
      <c r="U101" s="160"/>
      <c r="V101" s="160"/>
      <c r="X101" s="160"/>
      <c r="Y101" s="160"/>
      <c r="AA101" s="160"/>
      <c r="AB101" s="160"/>
    </row>
    <row r="102" spans="13:28" x14ac:dyDescent="0.25">
      <c r="M102" s="181"/>
      <c r="N102" s="173"/>
      <c r="O102" s="189" t="str">
        <f>CONCATENATE(تقویم!$A$2,HolidayTable[[#This Row],[روز و ماه]])</f>
        <v>1400</v>
      </c>
      <c r="Q102" s="160"/>
      <c r="R102" s="160"/>
      <c r="S102" s="189" t="str">
        <f>CONCATENATE(تقویم!$A$2,EventsTable[[#This Row],[روز و ماه]])</f>
        <v>1400</v>
      </c>
      <c r="U102" s="160"/>
      <c r="V102" s="160"/>
      <c r="X102" s="160"/>
      <c r="Y102" s="160"/>
      <c r="AA102" s="160"/>
      <c r="AB102" s="160"/>
    </row>
    <row r="103" spans="13:28" x14ac:dyDescent="0.25">
      <c r="M103" s="181"/>
      <c r="N103" s="173"/>
      <c r="O103" s="189" t="str">
        <f>CONCATENATE(تقویم!$A$2,HolidayTable[[#This Row],[روز و ماه]])</f>
        <v>1400</v>
      </c>
      <c r="Q103" s="160"/>
      <c r="R103" s="160"/>
      <c r="S103" s="189" t="str">
        <f>CONCATENATE(تقویم!$A$2,EventsTable[[#This Row],[روز و ماه]])</f>
        <v>1400</v>
      </c>
      <c r="U103" s="160"/>
      <c r="V103" s="160"/>
      <c r="X103" s="160"/>
      <c r="Y103" s="160"/>
      <c r="AA103" s="160"/>
      <c r="AB103" s="160"/>
    </row>
    <row r="104" spans="13:28" x14ac:dyDescent="0.25">
      <c r="M104" s="181"/>
      <c r="N104" s="173"/>
      <c r="O104" s="189" t="str">
        <f>CONCATENATE(تقویم!$A$2,HolidayTable[[#This Row],[روز و ماه]])</f>
        <v>1400</v>
      </c>
      <c r="Q104" s="160"/>
      <c r="R104" s="160"/>
      <c r="S104" s="189" t="str">
        <f>CONCATENATE(تقویم!$A$2,EventsTable[[#This Row],[روز و ماه]])</f>
        <v>1400</v>
      </c>
      <c r="U104" s="160"/>
      <c r="V104" s="160"/>
      <c r="X104" s="160"/>
      <c r="Y104" s="160"/>
      <c r="AA104" s="160"/>
      <c r="AB104" s="160"/>
    </row>
    <row r="105" spans="13:28" x14ac:dyDescent="0.25">
      <c r="M105" s="181"/>
      <c r="N105" s="173"/>
      <c r="O105" s="189" t="str">
        <f>CONCATENATE(تقویم!$A$2,HolidayTable[[#This Row],[روز و ماه]])</f>
        <v>1400</v>
      </c>
      <c r="Q105" s="160"/>
      <c r="R105" s="160"/>
      <c r="S105" s="189" t="str">
        <f>CONCATENATE(تقویم!$A$2,EventsTable[[#This Row],[روز و ماه]])</f>
        <v>1400</v>
      </c>
      <c r="U105" s="160"/>
      <c r="V105" s="160"/>
      <c r="X105" s="160"/>
      <c r="Y105" s="160"/>
      <c r="AA105" s="160"/>
      <c r="AB105" s="160"/>
    </row>
    <row r="106" spans="13:28" x14ac:dyDescent="0.25">
      <c r="M106" s="181"/>
      <c r="N106" s="173"/>
      <c r="O106" s="189" t="str">
        <f>CONCATENATE(تقویم!$A$2,HolidayTable[[#This Row],[روز و ماه]])</f>
        <v>1400</v>
      </c>
      <c r="Q106" s="160"/>
      <c r="R106" s="160"/>
      <c r="S106" s="189" t="str">
        <f>CONCATENATE(تقویم!$A$2,EventsTable[[#This Row],[روز و ماه]])</f>
        <v>1400</v>
      </c>
      <c r="U106" s="160"/>
      <c r="V106" s="160"/>
      <c r="X106" s="160"/>
      <c r="Y106" s="160"/>
      <c r="AA106" s="160"/>
      <c r="AB106" s="160"/>
    </row>
    <row r="107" spans="13:28" x14ac:dyDescent="0.25">
      <c r="M107" s="181"/>
      <c r="N107" s="173"/>
      <c r="O107" s="189" t="str">
        <f>CONCATENATE(تقویم!$A$2,HolidayTable[[#This Row],[روز و ماه]])</f>
        <v>1400</v>
      </c>
      <c r="Q107" s="160"/>
      <c r="R107" s="160"/>
      <c r="S107" s="189" t="str">
        <f>CONCATENATE(تقویم!$A$2,EventsTable[[#This Row],[روز و ماه]])</f>
        <v>1400</v>
      </c>
      <c r="U107" s="160"/>
      <c r="V107" s="160"/>
      <c r="X107" s="160"/>
      <c r="Y107" s="160"/>
      <c r="AA107" s="160"/>
      <c r="AB107" s="160"/>
    </row>
    <row r="108" spans="13:28" x14ac:dyDescent="0.25">
      <c r="M108" s="181"/>
      <c r="N108" s="173"/>
      <c r="O108" s="189" t="str">
        <f>CONCATENATE(تقویم!$A$2,HolidayTable[[#This Row],[روز و ماه]])</f>
        <v>1400</v>
      </c>
      <c r="Q108" s="160"/>
      <c r="R108" s="160"/>
      <c r="S108" s="189" t="str">
        <f>CONCATENATE(تقویم!$A$2,EventsTable[[#This Row],[روز و ماه]])</f>
        <v>1400</v>
      </c>
      <c r="U108" s="160"/>
      <c r="V108" s="160"/>
      <c r="X108" s="160"/>
      <c r="Y108" s="160"/>
      <c r="AA108" s="160"/>
      <c r="AB108" s="160"/>
    </row>
    <row r="109" spans="13:28" x14ac:dyDescent="0.25">
      <c r="M109" s="181"/>
      <c r="N109" s="173"/>
      <c r="O109" s="189" t="str">
        <f>CONCATENATE(تقویم!$A$2,HolidayTable[[#This Row],[روز و ماه]])</f>
        <v>1400</v>
      </c>
      <c r="Q109" s="160"/>
      <c r="R109" s="160"/>
      <c r="S109" s="189" t="str">
        <f>CONCATENATE(تقویم!$A$2,EventsTable[[#This Row],[روز و ماه]])</f>
        <v>1400</v>
      </c>
      <c r="U109" s="160"/>
      <c r="V109" s="160"/>
      <c r="X109" s="160"/>
      <c r="Y109" s="160"/>
      <c r="AA109" s="160"/>
      <c r="AB109" s="160"/>
    </row>
    <row r="110" spans="13:28" x14ac:dyDescent="0.25">
      <c r="M110" s="181"/>
      <c r="N110" s="173"/>
      <c r="O110" s="189" t="str">
        <f>CONCATENATE(تقویم!$A$2,HolidayTable[[#This Row],[روز و ماه]])</f>
        <v>1400</v>
      </c>
      <c r="Q110" s="160"/>
      <c r="R110" s="160"/>
      <c r="S110" s="189" t="str">
        <f>CONCATENATE(تقویم!$A$2,EventsTable[[#This Row],[روز و ماه]])</f>
        <v>1400</v>
      </c>
      <c r="U110" s="160"/>
      <c r="V110" s="160"/>
      <c r="X110" s="160"/>
      <c r="Y110" s="160"/>
      <c r="AA110" s="160"/>
      <c r="AB110" s="160"/>
    </row>
    <row r="111" spans="13:28" x14ac:dyDescent="0.25">
      <c r="M111" s="181"/>
      <c r="N111" s="173"/>
      <c r="O111" s="189" t="str">
        <f>CONCATENATE(تقویم!$A$2,HolidayTable[[#This Row],[روز و ماه]])</f>
        <v>1400</v>
      </c>
      <c r="Q111" s="160"/>
      <c r="R111" s="160"/>
      <c r="S111" s="189" t="str">
        <f>CONCATENATE(تقویم!$A$2,EventsTable[[#This Row],[روز و ماه]])</f>
        <v>1400</v>
      </c>
      <c r="U111" s="160"/>
      <c r="V111" s="160"/>
      <c r="X111" s="160"/>
      <c r="Y111" s="160"/>
      <c r="AA111" s="160"/>
      <c r="AB111" s="160"/>
    </row>
    <row r="112" spans="13:28" x14ac:dyDescent="0.25">
      <c r="M112" s="181"/>
      <c r="N112" s="173"/>
      <c r="O112" s="189" t="str">
        <f>CONCATENATE(تقویم!$A$2,HolidayTable[[#This Row],[روز و ماه]])</f>
        <v>1400</v>
      </c>
      <c r="Q112" s="160"/>
      <c r="R112" s="160"/>
      <c r="S112" s="189" t="str">
        <f>CONCATENATE(تقویم!$A$2,EventsTable[[#This Row],[روز و ماه]])</f>
        <v>1400</v>
      </c>
      <c r="U112" s="160"/>
      <c r="V112" s="160"/>
      <c r="X112" s="160"/>
      <c r="Y112" s="160"/>
      <c r="AA112" s="160"/>
      <c r="AB112" s="160"/>
    </row>
    <row r="113" spans="13:28" x14ac:dyDescent="0.25">
      <c r="M113" s="181"/>
      <c r="N113" s="173"/>
      <c r="O113" s="189" t="str">
        <f>CONCATENATE(تقویم!$A$2,HolidayTable[[#This Row],[روز و ماه]])</f>
        <v>1400</v>
      </c>
      <c r="Q113" s="160"/>
      <c r="R113" s="160"/>
      <c r="S113" s="189" t="str">
        <f>CONCATENATE(تقویم!$A$2,EventsTable[[#This Row],[روز و ماه]])</f>
        <v>1400</v>
      </c>
      <c r="U113" s="160"/>
      <c r="V113" s="160"/>
      <c r="X113" s="160"/>
      <c r="Y113" s="160"/>
      <c r="AA113" s="160"/>
      <c r="AB113" s="160"/>
    </row>
    <row r="114" spans="13:28" x14ac:dyDescent="0.25">
      <c r="M114" s="181"/>
      <c r="N114" s="173"/>
      <c r="O114" s="189" t="str">
        <f>CONCATENATE(تقویم!$A$2,HolidayTable[[#This Row],[روز و ماه]])</f>
        <v>1400</v>
      </c>
      <c r="Q114" s="160"/>
      <c r="R114" s="160"/>
      <c r="S114" s="189" t="str">
        <f>CONCATENATE(تقویم!$A$2,EventsTable[[#This Row],[روز و ماه]])</f>
        <v>1400</v>
      </c>
      <c r="U114" s="160"/>
      <c r="V114" s="160"/>
      <c r="X114" s="160"/>
      <c r="Y114" s="160"/>
      <c r="AA114" s="160"/>
      <c r="AB114" s="160"/>
    </row>
    <row r="115" spans="13:28" x14ac:dyDescent="0.25">
      <c r="M115" s="181"/>
      <c r="N115" s="173"/>
      <c r="O115" s="189" t="str">
        <f>CONCATENATE(تقویم!$A$2,HolidayTable[[#This Row],[روز و ماه]])</f>
        <v>1400</v>
      </c>
      <c r="Q115" s="160"/>
      <c r="R115" s="160"/>
      <c r="S115" s="189" t="str">
        <f>CONCATENATE(تقویم!$A$2,EventsTable[[#This Row],[روز و ماه]])</f>
        <v>1400</v>
      </c>
      <c r="U115" s="160"/>
      <c r="V115" s="160"/>
      <c r="X115" s="160"/>
      <c r="Y115" s="160"/>
      <c r="AA115" s="160"/>
      <c r="AB115" s="160"/>
    </row>
    <row r="116" spans="13:28" x14ac:dyDescent="0.25">
      <c r="M116" s="181"/>
      <c r="N116" s="173"/>
      <c r="O116" s="189" t="str">
        <f>CONCATENATE(تقویم!$A$2,HolidayTable[[#This Row],[روز و ماه]])</f>
        <v>1400</v>
      </c>
      <c r="Q116" s="160"/>
      <c r="R116" s="160"/>
      <c r="S116" s="189" t="str">
        <f>CONCATENATE(تقویم!$A$2,EventsTable[[#This Row],[روز و ماه]])</f>
        <v>1400</v>
      </c>
      <c r="U116" s="160"/>
      <c r="V116" s="160"/>
      <c r="X116" s="160"/>
      <c r="Y116" s="160"/>
      <c r="AA116" s="160"/>
      <c r="AB116" s="160"/>
    </row>
    <row r="117" spans="13:28" x14ac:dyDescent="0.25">
      <c r="M117" s="181"/>
      <c r="N117" s="173"/>
      <c r="O117" s="189" t="str">
        <f>CONCATENATE(تقویم!$A$2,HolidayTable[[#This Row],[روز و ماه]])</f>
        <v>1400</v>
      </c>
      <c r="Q117" s="160"/>
      <c r="R117" s="160"/>
      <c r="S117" s="189" t="str">
        <f>CONCATENATE(تقویم!$A$2,EventsTable[[#This Row],[روز و ماه]])</f>
        <v>1400</v>
      </c>
      <c r="U117" s="160"/>
      <c r="V117" s="160"/>
      <c r="X117" s="160"/>
      <c r="Y117" s="160"/>
      <c r="AA117" s="160"/>
      <c r="AB117" s="160"/>
    </row>
    <row r="118" spans="13:28" x14ac:dyDescent="0.25">
      <c r="M118" s="181"/>
      <c r="N118" s="173"/>
      <c r="O118" s="189" t="str">
        <f>CONCATENATE(تقویم!$A$2,HolidayTable[[#This Row],[روز و ماه]])</f>
        <v>1400</v>
      </c>
      <c r="Q118" s="160"/>
      <c r="R118" s="160"/>
      <c r="S118" s="189" t="str">
        <f>CONCATENATE(تقویم!$A$2,EventsTable[[#This Row],[روز و ماه]])</f>
        <v>1400</v>
      </c>
      <c r="U118" s="160"/>
      <c r="V118" s="160"/>
      <c r="X118" s="160"/>
      <c r="Y118" s="160"/>
      <c r="AA118" s="160"/>
      <c r="AB118" s="160"/>
    </row>
    <row r="119" spans="13:28" x14ac:dyDescent="0.25">
      <c r="M119" s="181"/>
      <c r="N119" s="173"/>
      <c r="O119" s="189" t="str">
        <f>CONCATENATE(تقویم!$A$2,HolidayTable[[#This Row],[روز و ماه]])</f>
        <v>1400</v>
      </c>
      <c r="Q119" s="160"/>
      <c r="R119" s="160"/>
      <c r="S119" s="189" t="str">
        <f>CONCATENATE(تقویم!$A$2,EventsTable[[#This Row],[روز و ماه]])</f>
        <v>1400</v>
      </c>
      <c r="U119" s="160"/>
      <c r="V119" s="160"/>
      <c r="X119" s="160"/>
      <c r="Y119" s="160"/>
      <c r="AA119" s="160"/>
      <c r="AB119" s="160"/>
    </row>
    <row r="120" spans="13:28" x14ac:dyDescent="0.25">
      <c r="M120" s="181"/>
      <c r="N120" s="173"/>
      <c r="O120" s="189" t="str">
        <f>CONCATENATE(تقویم!$A$2,HolidayTable[[#This Row],[روز و ماه]])</f>
        <v>1400</v>
      </c>
      <c r="Q120" s="160"/>
      <c r="R120" s="160"/>
      <c r="S120" s="189" t="str">
        <f>CONCATENATE(تقویم!$A$2,EventsTable[[#This Row],[روز و ماه]])</f>
        <v>1400</v>
      </c>
      <c r="U120" s="160"/>
      <c r="V120" s="160"/>
      <c r="X120" s="160"/>
      <c r="Y120" s="160"/>
      <c r="AA120" s="160"/>
      <c r="AB120" s="160"/>
    </row>
    <row r="121" spans="13:28" x14ac:dyDescent="0.25">
      <c r="M121" s="181"/>
      <c r="N121" s="173"/>
      <c r="O121" s="189" t="str">
        <f>CONCATENATE(تقویم!$A$2,HolidayTable[[#This Row],[روز و ماه]])</f>
        <v>1400</v>
      </c>
      <c r="Q121" s="160"/>
      <c r="R121" s="160"/>
      <c r="S121" s="189" t="str">
        <f>CONCATENATE(تقویم!$A$2,EventsTable[[#This Row],[روز و ماه]])</f>
        <v>1400</v>
      </c>
      <c r="U121" s="160"/>
      <c r="V121" s="160"/>
      <c r="X121" s="160"/>
      <c r="Y121" s="160"/>
      <c r="AA121" s="160"/>
      <c r="AB121" s="160"/>
    </row>
    <row r="122" spans="13:28" x14ac:dyDescent="0.25">
      <c r="M122" s="181"/>
      <c r="N122" s="173"/>
      <c r="O122" s="189" t="str">
        <f>CONCATENATE(تقویم!$A$2,HolidayTable[[#This Row],[روز و ماه]])</f>
        <v>1400</v>
      </c>
      <c r="Q122" s="160"/>
      <c r="R122" s="160"/>
      <c r="S122" s="189" t="str">
        <f>CONCATENATE(تقویم!$A$2,EventsTable[[#This Row],[روز و ماه]])</f>
        <v>1400</v>
      </c>
      <c r="U122" s="160"/>
      <c r="V122" s="160"/>
      <c r="X122" s="160"/>
      <c r="Y122" s="160"/>
      <c r="AA122" s="160"/>
      <c r="AB122" s="160"/>
    </row>
    <row r="123" spans="13:28" x14ac:dyDescent="0.25">
      <c r="M123" s="181"/>
      <c r="N123" s="173"/>
      <c r="O123" s="189" t="str">
        <f>CONCATENATE(تقویم!$A$2,HolidayTable[[#This Row],[روز و ماه]])</f>
        <v>1400</v>
      </c>
      <c r="Q123" s="160"/>
      <c r="R123" s="160"/>
      <c r="S123" s="189" t="str">
        <f>CONCATENATE(تقویم!$A$2,EventsTable[[#This Row],[روز و ماه]])</f>
        <v>1400</v>
      </c>
      <c r="U123" s="160"/>
      <c r="V123" s="160"/>
      <c r="X123" s="160"/>
      <c r="Y123" s="160"/>
      <c r="AA123" s="160"/>
      <c r="AB123" s="160"/>
    </row>
    <row r="124" spans="13:28" x14ac:dyDescent="0.25">
      <c r="M124" s="181"/>
      <c r="N124" s="173"/>
      <c r="O124" s="189" t="str">
        <f>CONCATENATE(تقویم!$A$2,HolidayTable[[#This Row],[روز و ماه]])</f>
        <v>1400</v>
      </c>
      <c r="Q124" s="160"/>
      <c r="R124" s="160"/>
      <c r="S124" s="189" t="str">
        <f>CONCATENATE(تقویم!$A$2,EventsTable[[#This Row],[روز و ماه]])</f>
        <v>1400</v>
      </c>
      <c r="U124" s="160"/>
      <c r="V124" s="160"/>
      <c r="X124" s="160"/>
      <c r="Y124" s="160"/>
      <c r="AA124" s="160"/>
      <c r="AB124" s="160"/>
    </row>
    <row r="125" spans="13:28" x14ac:dyDescent="0.25">
      <c r="M125" s="181"/>
      <c r="N125" s="173"/>
      <c r="O125" s="189" t="str">
        <f>CONCATENATE(تقویم!$A$2,HolidayTable[[#This Row],[روز و ماه]])</f>
        <v>1400</v>
      </c>
      <c r="Q125" s="160"/>
      <c r="R125" s="160"/>
      <c r="S125" s="189" t="str">
        <f>CONCATENATE(تقویم!$A$2,EventsTable[[#This Row],[روز و ماه]])</f>
        <v>1400</v>
      </c>
      <c r="U125" s="160"/>
      <c r="V125" s="160"/>
      <c r="X125" s="160"/>
      <c r="Y125" s="160"/>
      <c r="AA125" s="160"/>
      <c r="AB125" s="160"/>
    </row>
    <row r="126" spans="13:28" x14ac:dyDescent="0.25">
      <c r="M126" s="181"/>
      <c r="N126" s="173"/>
      <c r="O126" s="189" t="str">
        <f>CONCATENATE(تقویم!$A$2,HolidayTable[[#This Row],[روز و ماه]])</f>
        <v>1400</v>
      </c>
      <c r="Q126" s="160"/>
      <c r="R126" s="160"/>
      <c r="S126" s="189" t="str">
        <f>CONCATENATE(تقویم!$A$2,EventsTable[[#This Row],[روز و ماه]])</f>
        <v>1400</v>
      </c>
      <c r="U126" s="160"/>
      <c r="V126" s="160"/>
      <c r="X126" s="160"/>
      <c r="Y126" s="160"/>
      <c r="AA126" s="160"/>
      <c r="AB126" s="160"/>
    </row>
    <row r="127" spans="13:28" x14ac:dyDescent="0.25">
      <c r="M127" s="181"/>
      <c r="N127" s="173"/>
      <c r="O127" s="189" t="str">
        <f>CONCATENATE(تقویم!$A$2,HolidayTable[[#This Row],[روز و ماه]])</f>
        <v>1400</v>
      </c>
      <c r="Q127" s="160"/>
      <c r="R127" s="160"/>
      <c r="S127" s="189" t="str">
        <f>CONCATENATE(تقویم!$A$2,EventsTable[[#This Row],[روز و ماه]])</f>
        <v>1400</v>
      </c>
      <c r="U127" s="160"/>
      <c r="V127" s="160"/>
      <c r="X127" s="160"/>
      <c r="Y127" s="160"/>
      <c r="AA127" s="160"/>
      <c r="AB127" s="160"/>
    </row>
    <row r="128" spans="13:28" x14ac:dyDescent="0.25">
      <c r="M128" s="181"/>
      <c r="N128" s="173"/>
      <c r="O128" s="189" t="str">
        <f>CONCATENATE(تقویم!$A$2,HolidayTable[[#This Row],[روز و ماه]])</f>
        <v>1400</v>
      </c>
      <c r="Q128" s="160"/>
      <c r="R128" s="160"/>
      <c r="S128" s="189" t="str">
        <f>CONCATENATE(تقویم!$A$2,EventsTable[[#This Row],[روز و ماه]])</f>
        <v>1400</v>
      </c>
      <c r="U128" s="160"/>
      <c r="V128" s="160"/>
      <c r="X128" s="160"/>
      <c r="Y128" s="160"/>
      <c r="AA128" s="160"/>
      <c r="AB128" s="160"/>
    </row>
    <row r="129" spans="13:28" x14ac:dyDescent="0.25">
      <c r="M129" s="181"/>
      <c r="N129" s="173"/>
      <c r="O129" s="189" t="str">
        <f>CONCATENATE(تقویم!$A$2,HolidayTable[[#This Row],[روز و ماه]])</f>
        <v>1400</v>
      </c>
      <c r="Q129" s="160"/>
      <c r="R129" s="160"/>
      <c r="S129" s="189" t="str">
        <f>CONCATENATE(تقویم!$A$2,EventsTable[[#This Row],[روز و ماه]])</f>
        <v>1400</v>
      </c>
      <c r="U129" s="160"/>
      <c r="V129" s="160"/>
      <c r="X129" s="160"/>
      <c r="Y129" s="160"/>
      <c r="AA129" s="160"/>
      <c r="AB129" s="160"/>
    </row>
    <row r="130" spans="13:28" x14ac:dyDescent="0.25">
      <c r="M130" s="181"/>
      <c r="N130" s="173"/>
      <c r="O130" s="189" t="str">
        <f>CONCATENATE(تقویم!$A$2,HolidayTable[[#This Row],[روز و ماه]])</f>
        <v>1400</v>
      </c>
      <c r="Q130" s="160"/>
      <c r="R130" s="160"/>
      <c r="S130" s="189" t="str">
        <f>CONCATENATE(تقویم!$A$2,EventsTable[[#This Row],[روز و ماه]])</f>
        <v>1400</v>
      </c>
      <c r="U130" s="160"/>
      <c r="V130" s="160"/>
      <c r="X130" s="160"/>
      <c r="Y130" s="160"/>
      <c r="AA130" s="160"/>
      <c r="AB130" s="160"/>
    </row>
    <row r="131" spans="13:28" x14ac:dyDescent="0.25">
      <c r="M131" s="181"/>
      <c r="N131" s="173"/>
      <c r="O131" s="189" t="str">
        <f>CONCATENATE(تقویم!$A$2,HolidayTable[[#This Row],[روز و ماه]])</f>
        <v>1400</v>
      </c>
      <c r="Q131" s="160"/>
      <c r="R131" s="160"/>
      <c r="S131" s="189" t="str">
        <f>CONCATENATE(تقویم!$A$2,EventsTable[[#This Row],[روز و ماه]])</f>
        <v>1400</v>
      </c>
      <c r="U131" s="160"/>
      <c r="V131" s="160"/>
      <c r="X131" s="160"/>
      <c r="Y131" s="160"/>
      <c r="AA131" s="160"/>
      <c r="AB131" s="160"/>
    </row>
    <row r="132" spans="13:28" x14ac:dyDescent="0.25">
      <c r="M132" s="181"/>
      <c r="N132" s="173"/>
      <c r="O132" s="189" t="str">
        <f>CONCATENATE(تقویم!$A$2,HolidayTable[[#This Row],[روز و ماه]])</f>
        <v>1400</v>
      </c>
      <c r="Q132" s="160"/>
      <c r="R132" s="160"/>
      <c r="S132" s="189" t="str">
        <f>CONCATENATE(تقویم!$A$2,EventsTable[[#This Row],[روز و ماه]])</f>
        <v>1400</v>
      </c>
      <c r="U132" s="160"/>
      <c r="V132" s="160"/>
      <c r="X132" s="160"/>
      <c r="Y132" s="160"/>
      <c r="AA132" s="160"/>
      <c r="AB132" s="160"/>
    </row>
    <row r="133" spans="13:28" x14ac:dyDescent="0.25">
      <c r="M133" s="181"/>
      <c r="N133" s="173"/>
      <c r="O133" s="189" t="str">
        <f>CONCATENATE(تقویم!$A$2,HolidayTable[[#This Row],[روز و ماه]])</f>
        <v>1400</v>
      </c>
      <c r="Q133" s="160"/>
      <c r="R133" s="160"/>
      <c r="S133" s="189" t="str">
        <f>CONCATENATE(تقویم!$A$2,EventsTable[[#This Row],[روز و ماه]])</f>
        <v>1400</v>
      </c>
      <c r="U133" s="160"/>
      <c r="V133" s="160"/>
      <c r="X133" s="160"/>
      <c r="Y133" s="160"/>
      <c r="AA133" s="160"/>
      <c r="AB133" s="160"/>
    </row>
    <row r="134" spans="13:28" x14ac:dyDescent="0.25">
      <c r="M134" s="181"/>
      <c r="N134" s="173"/>
      <c r="O134" s="189" t="str">
        <f>CONCATENATE(تقویم!$A$2,HolidayTable[[#This Row],[روز و ماه]])</f>
        <v>1400</v>
      </c>
      <c r="Q134" s="160"/>
      <c r="R134" s="160"/>
      <c r="S134" s="189" t="str">
        <f>CONCATENATE(تقویم!$A$2,EventsTable[[#This Row],[روز و ماه]])</f>
        <v>1400</v>
      </c>
      <c r="U134" s="160"/>
      <c r="V134" s="160"/>
      <c r="X134" s="160"/>
      <c r="Y134" s="160"/>
      <c r="AA134" s="160"/>
      <c r="AB134" s="160"/>
    </row>
    <row r="135" spans="13:28" x14ac:dyDescent="0.25">
      <c r="M135" s="181"/>
      <c r="N135" s="173"/>
      <c r="O135" s="189" t="str">
        <f>CONCATENATE(تقویم!$A$2,HolidayTable[[#This Row],[روز و ماه]])</f>
        <v>1400</v>
      </c>
      <c r="Q135" s="160"/>
      <c r="R135" s="160"/>
      <c r="S135" s="189" t="str">
        <f>CONCATENATE(تقویم!$A$2,EventsTable[[#This Row],[روز و ماه]])</f>
        <v>1400</v>
      </c>
      <c r="U135" s="160"/>
      <c r="V135" s="160"/>
      <c r="X135" s="160"/>
      <c r="Y135" s="160"/>
      <c r="AA135" s="160"/>
      <c r="AB135" s="160"/>
    </row>
    <row r="136" spans="13:28" x14ac:dyDescent="0.25">
      <c r="M136" s="181"/>
      <c r="N136" s="173"/>
      <c r="O136" s="189" t="str">
        <f>CONCATENATE(تقویم!$A$2,HolidayTable[[#This Row],[روز و ماه]])</f>
        <v>1400</v>
      </c>
      <c r="Q136" s="160"/>
      <c r="R136" s="160"/>
      <c r="S136" s="189" t="str">
        <f>CONCATENATE(تقویم!$A$2,EventsTable[[#This Row],[روز و ماه]])</f>
        <v>1400</v>
      </c>
      <c r="U136" s="160"/>
      <c r="V136" s="160"/>
      <c r="X136" s="160"/>
      <c r="Y136" s="160"/>
      <c r="AA136" s="160"/>
      <c r="AB136" s="160"/>
    </row>
    <row r="137" spans="13:28" x14ac:dyDescent="0.25">
      <c r="M137" s="181"/>
      <c r="N137" s="173"/>
      <c r="O137" s="189" t="str">
        <f>CONCATENATE(تقویم!$A$2,HolidayTable[[#This Row],[روز و ماه]])</f>
        <v>1400</v>
      </c>
      <c r="Q137" s="160"/>
      <c r="R137" s="160"/>
      <c r="S137" s="189" t="str">
        <f>CONCATENATE(تقویم!$A$2,EventsTable[[#This Row],[روز و ماه]])</f>
        <v>1400</v>
      </c>
      <c r="U137" s="160"/>
      <c r="V137" s="160"/>
      <c r="X137" s="160"/>
      <c r="Y137" s="160"/>
      <c r="AA137" s="160"/>
      <c r="AB137" s="160"/>
    </row>
    <row r="138" spans="13:28" x14ac:dyDescent="0.25">
      <c r="M138" s="181"/>
      <c r="N138" s="173"/>
      <c r="O138" s="189" t="str">
        <f>CONCATENATE(تقویم!$A$2,HolidayTable[[#This Row],[روز و ماه]])</f>
        <v>1400</v>
      </c>
      <c r="Q138" s="160"/>
      <c r="R138" s="160"/>
      <c r="S138" s="189" t="str">
        <f>CONCATENATE(تقویم!$A$2,EventsTable[[#This Row],[روز و ماه]])</f>
        <v>1400</v>
      </c>
      <c r="U138" s="160"/>
      <c r="V138" s="160"/>
      <c r="X138" s="160"/>
      <c r="Y138" s="160"/>
      <c r="AA138" s="160"/>
      <c r="AB138" s="160"/>
    </row>
    <row r="139" spans="13:28" x14ac:dyDescent="0.25">
      <c r="M139" s="181"/>
      <c r="N139" s="173"/>
      <c r="O139" s="189" t="str">
        <f>CONCATENATE(تقویم!$A$2,HolidayTable[[#This Row],[روز و ماه]])</f>
        <v>1400</v>
      </c>
      <c r="Q139" s="160"/>
      <c r="R139" s="160"/>
      <c r="S139" s="189" t="str">
        <f>CONCATENATE(تقویم!$A$2,EventsTable[[#This Row],[روز و ماه]])</f>
        <v>1400</v>
      </c>
      <c r="U139" s="160"/>
      <c r="V139" s="160"/>
      <c r="X139" s="160"/>
      <c r="Y139" s="160"/>
      <c r="AA139" s="160"/>
      <c r="AB139" s="160"/>
    </row>
    <row r="140" spans="13:28" x14ac:dyDescent="0.25">
      <c r="M140" s="181"/>
      <c r="N140" s="173"/>
      <c r="O140" s="189" t="str">
        <f>CONCATENATE(تقویم!$A$2,HolidayTable[[#This Row],[روز و ماه]])</f>
        <v>1400</v>
      </c>
      <c r="Q140" s="160"/>
      <c r="R140" s="160"/>
      <c r="S140" s="189" t="str">
        <f>CONCATENATE(تقویم!$A$2,EventsTable[[#This Row],[روز و ماه]])</f>
        <v>1400</v>
      </c>
      <c r="U140" s="160"/>
      <c r="V140" s="160"/>
      <c r="X140" s="160"/>
      <c r="Y140" s="160"/>
      <c r="AA140" s="160"/>
      <c r="AB140" s="160"/>
    </row>
    <row r="141" spans="13:28" x14ac:dyDescent="0.25">
      <c r="M141" s="181"/>
      <c r="N141" s="173"/>
      <c r="O141" s="189" t="str">
        <f>CONCATENATE(تقویم!$A$2,HolidayTable[[#This Row],[روز و ماه]])</f>
        <v>1400</v>
      </c>
      <c r="Q141" s="160"/>
      <c r="R141" s="160"/>
      <c r="S141" s="189" t="str">
        <f>CONCATENATE(تقویم!$A$2,EventsTable[[#This Row],[روز و ماه]])</f>
        <v>1400</v>
      </c>
      <c r="U141" s="160"/>
      <c r="V141" s="160"/>
      <c r="X141" s="160"/>
      <c r="Y141" s="160"/>
      <c r="AA141" s="160"/>
      <c r="AB141" s="160"/>
    </row>
    <row r="142" spans="13:28" x14ac:dyDescent="0.25">
      <c r="M142" s="181"/>
      <c r="N142" s="173"/>
      <c r="O142" s="189" t="str">
        <f>CONCATENATE(تقویم!$A$2,HolidayTable[[#This Row],[روز و ماه]])</f>
        <v>1400</v>
      </c>
      <c r="Q142" s="160"/>
      <c r="R142" s="160"/>
      <c r="S142" s="189" t="str">
        <f>CONCATENATE(تقویم!$A$2,EventsTable[[#This Row],[روز و ماه]])</f>
        <v>1400</v>
      </c>
      <c r="U142" s="160"/>
      <c r="V142" s="160"/>
      <c r="X142" s="160"/>
      <c r="Y142" s="160"/>
      <c r="AA142" s="160"/>
      <c r="AB142" s="160"/>
    </row>
    <row r="143" spans="13:28" x14ac:dyDescent="0.25">
      <c r="M143" s="181"/>
      <c r="N143" s="173"/>
      <c r="O143" s="189" t="str">
        <f>CONCATENATE(تقویم!$A$2,HolidayTable[[#This Row],[روز و ماه]])</f>
        <v>1400</v>
      </c>
      <c r="Q143" s="160"/>
      <c r="R143" s="160"/>
      <c r="S143" s="189" t="str">
        <f>CONCATENATE(تقویم!$A$2,EventsTable[[#This Row],[روز و ماه]])</f>
        <v>1400</v>
      </c>
      <c r="U143" s="160"/>
      <c r="V143" s="160"/>
      <c r="X143" s="160"/>
      <c r="Y143" s="160"/>
      <c r="AA143" s="160"/>
      <c r="AB143" s="160"/>
    </row>
    <row r="144" spans="13:28" x14ac:dyDescent="0.25">
      <c r="M144" s="181"/>
      <c r="N144" s="173"/>
      <c r="O144" s="189" t="str">
        <f>CONCATENATE(تقویم!$A$2,HolidayTable[[#This Row],[روز و ماه]])</f>
        <v>1400</v>
      </c>
      <c r="Q144" s="160"/>
      <c r="R144" s="160"/>
      <c r="S144" s="189" t="str">
        <f>CONCATENATE(تقویم!$A$2,EventsTable[[#This Row],[روز و ماه]])</f>
        <v>1400</v>
      </c>
      <c r="U144" s="160"/>
      <c r="V144" s="160"/>
      <c r="X144" s="160"/>
      <c r="Y144" s="160"/>
      <c r="AA144" s="160"/>
      <c r="AB144" s="160"/>
    </row>
    <row r="145" spans="13:28" x14ac:dyDescent="0.25">
      <c r="M145" s="181"/>
      <c r="N145" s="173"/>
      <c r="O145" s="189" t="str">
        <f>CONCATENATE(تقویم!$A$2,HolidayTable[[#This Row],[روز و ماه]])</f>
        <v>1400</v>
      </c>
      <c r="Q145" s="160"/>
      <c r="R145" s="160"/>
      <c r="S145" s="189" t="str">
        <f>CONCATENATE(تقویم!$A$2,EventsTable[[#This Row],[روز و ماه]])</f>
        <v>1400</v>
      </c>
      <c r="U145" s="160"/>
      <c r="V145" s="160"/>
      <c r="X145" s="160"/>
      <c r="Y145" s="160"/>
      <c r="AA145" s="160"/>
      <c r="AB145" s="160"/>
    </row>
    <row r="146" spans="13:28" x14ac:dyDescent="0.25">
      <c r="M146" s="181"/>
      <c r="N146" s="173"/>
      <c r="O146" s="189" t="str">
        <f>CONCATENATE(تقویم!$A$2,HolidayTable[[#This Row],[روز و ماه]])</f>
        <v>1400</v>
      </c>
      <c r="Q146" s="160"/>
      <c r="R146" s="160"/>
      <c r="S146" s="189" t="str">
        <f>CONCATENATE(تقویم!$A$2,EventsTable[[#This Row],[روز و ماه]])</f>
        <v>1400</v>
      </c>
      <c r="U146" s="160"/>
      <c r="V146" s="160"/>
      <c r="X146" s="160"/>
      <c r="Y146" s="160"/>
      <c r="AA146" s="160"/>
      <c r="AB146" s="160"/>
    </row>
    <row r="147" spans="13:28" x14ac:dyDescent="0.25">
      <c r="M147" s="181"/>
      <c r="N147" s="173"/>
      <c r="O147" s="189" t="str">
        <f>CONCATENATE(تقویم!$A$2,HolidayTable[[#This Row],[روز و ماه]])</f>
        <v>1400</v>
      </c>
      <c r="Q147" s="160"/>
      <c r="R147" s="160"/>
      <c r="S147" s="189" t="str">
        <f>CONCATENATE(تقویم!$A$2,EventsTable[[#This Row],[روز و ماه]])</f>
        <v>1400</v>
      </c>
      <c r="U147" s="160"/>
      <c r="V147" s="160"/>
      <c r="X147" s="160"/>
      <c r="Y147" s="160"/>
      <c r="AA147" s="160"/>
      <c r="AB147" s="160"/>
    </row>
    <row r="148" spans="13:28" x14ac:dyDescent="0.25">
      <c r="M148" s="181"/>
      <c r="N148" s="173"/>
      <c r="O148" s="189" t="str">
        <f>CONCATENATE(تقویم!$A$2,HolidayTable[[#This Row],[روز و ماه]])</f>
        <v>1400</v>
      </c>
      <c r="Q148" s="160"/>
      <c r="R148" s="160"/>
      <c r="S148" s="189" t="str">
        <f>CONCATENATE(تقویم!$A$2,EventsTable[[#This Row],[روز و ماه]])</f>
        <v>1400</v>
      </c>
      <c r="U148" s="160"/>
      <c r="V148" s="160"/>
      <c r="X148" s="160"/>
      <c r="Y148" s="160"/>
      <c r="AA148" s="160"/>
      <c r="AB148" s="160"/>
    </row>
    <row r="149" spans="13:28" x14ac:dyDescent="0.25">
      <c r="M149" s="181"/>
      <c r="N149" s="173"/>
      <c r="O149" s="189" t="str">
        <f>CONCATENATE(تقویم!$A$2,HolidayTable[[#This Row],[روز و ماه]])</f>
        <v>1400</v>
      </c>
      <c r="Q149" s="160"/>
      <c r="R149" s="160"/>
      <c r="S149" s="189" t="str">
        <f>CONCATENATE(تقویم!$A$2,EventsTable[[#This Row],[روز و ماه]])</f>
        <v>1400</v>
      </c>
      <c r="U149" s="160"/>
      <c r="V149" s="160"/>
      <c r="X149" s="160"/>
      <c r="Y149" s="160"/>
      <c r="AA149" s="160"/>
      <c r="AB149" s="160"/>
    </row>
    <row r="150" spans="13:28" x14ac:dyDescent="0.25">
      <c r="M150" s="181"/>
      <c r="N150" s="173"/>
      <c r="O150" s="189" t="str">
        <f>CONCATENATE(تقویم!$A$2,HolidayTable[[#This Row],[روز و ماه]])</f>
        <v>1400</v>
      </c>
      <c r="Q150" s="160"/>
      <c r="R150" s="160"/>
      <c r="S150" s="189" t="str">
        <f>CONCATENATE(تقویم!$A$2,EventsTable[[#This Row],[روز و ماه]])</f>
        <v>1400</v>
      </c>
      <c r="U150" s="160"/>
      <c r="V150" s="160"/>
      <c r="X150" s="160"/>
      <c r="Y150" s="160"/>
      <c r="AA150" s="160"/>
      <c r="AB150" s="160"/>
    </row>
    <row r="151" spans="13:28" x14ac:dyDescent="0.25">
      <c r="M151" s="181"/>
      <c r="N151" s="173"/>
      <c r="O151" s="189" t="str">
        <f>CONCATENATE(تقویم!$A$2,HolidayTable[[#This Row],[روز و ماه]])</f>
        <v>1400</v>
      </c>
      <c r="Q151" s="160"/>
      <c r="R151" s="160"/>
      <c r="S151" s="189" t="str">
        <f>CONCATENATE(تقویم!$A$2,EventsTable[[#This Row],[روز و ماه]])</f>
        <v>1400</v>
      </c>
      <c r="U151" s="160"/>
      <c r="V151" s="160"/>
      <c r="X151" s="160"/>
      <c r="Y151" s="160"/>
      <c r="AA151" s="160"/>
      <c r="AB151" s="160"/>
    </row>
    <row r="152" spans="13:28" x14ac:dyDescent="0.25">
      <c r="M152" s="181"/>
      <c r="N152" s="173"/>
      <c r="O152" s="189" t="str">
        <f>CONCATENATE(تقویم!$A$2,HolidayTable[[#This Row],[روز و ماه]])</f>
        <v>1400</v>
      </c>
      <c r="Q152" s="160"/>
      <c r="R152" s="160"/>
      <c r="S152" s="189" t="str">
        <f>CONCATENATE(تقویم!$A$2,EventsTable[[#This Row],[روز و ماه]])</f>
        <v>1400</v>
      </c>
      <c r="U152" s="160"/>
      <c r="V152" s="160"/>
      <c r="X152" s="160"/>
      <c r="Y152" s="160"/>
      <c r="AA152" s="160"/>
      <c r="AB152" s="160"/>
    </row>
    <row r="153" spans="13:28" x14ac:dyDescent="0.25">
      <c r="M153" s="181"/>
      <c r="N153" s="173"/>
      <c r="O153" s="189" t="str">
        <f>CONCATENATE(تقویم!$A$2,HolidayTable[[#This Row],[روز و ماه]])</f>
        <v>1400</v>
      </c>
      <c r="Q153" s="160"/>
      <c r="R153" s="160"/>
      <c r="S153" s="189" t="str">
        <f>CONCATENATE(تقویم!$A$2,EventsTable[[#This Row],[روز و ماه]])</f>
        <v>1400</v>
      </c>
      <c r="U153" s="160"/>
      <c r="V153" s="160"/>
      <c r="X153" s="160"/>
      <c r="Y153" s="160"/>
      <c r="AA153" s="160"/>
      <c r="AB153" s="160"/>
    </row>
    <row r="154" spans="13:28" x14ac:dyDescent="0.25">
      <c r="M154" s="181"/>
      <c r="N154" s="173"/>
      <c r="O154" s="189" t="str">
        <f>CONCATENATE(تقویم!$A$2,HolidayTable[[#This Row],[روز و ماه]])</f>
        <v>1400</v>
      </c>
      <c r="Q154" s="160"/>
      <c r="R154" s="160"/>
      <c r="S154" s="189" t="str">
        <f>CONCATENATE(تقویم!$A$2,EventsTable[[#This Row],[روز و ماه]])</f>
        <v>1400</v>
      </c>
      <c r="U154" s="160"/>
      <c r="V154" s="160"/>
      <c r="X154" s="160"/>
      <c r="Y154" s="160"/>
      <c r="AA154" s="160"/>
      <c r="AB154" s="160"/>
    </row>
    <row r="155" spans="13:28" x14ac:dyDescent="0.25">
      <c r="M155" s="181"/>
      <c r="N155" s="173"/>
      <c r="O155" s="189" t="str">
        <f>CONCATENATE(تقویم!$A$2,HolidayTable[[#This Row],[روز و ماه]])</f>
        <v>1400</v>
      </c>
      <c r="Q155" s="160"/>
      <c r="R155" s="160"/>
      <c r="S155" s="189" t="str">
        <f>CONCATENATE(تقویم!$A$2,EventsTable[[#This Row],[روز و ماه]])</f>
        <v>1400</v>
      </c>
      <c r="U155" s="160"/>
      <c r="V155" s="160"/>
      <c r="X155" s="160"/>
      <c r="Y155" s="160"/>
      <c r="AA155" s="160"/>
      <c r="AB155" s="160"/>
    </row>
    <row r="156" spans="13:28" x14ac:dyDescent="0.25">
      <c r="M156" s="181"/>
      <c r="N156" s="173"/>
      <c r="O156" s="189" t="str">
        <f>CONCATENATE(تقویم!$A$2,HolidayTable[[#This Row],[روز و ماه]])</f>
        <v>1400</v>
      </c>
      <c r="Q156" s="160"/>
      <c r="R156" s="160"/>
      <c r="S156" s="189" t="str">
        <f>CONCATENATE(تقویم!$A$2,EventsTable[[#This Row],[روز و ماه]])</f>
        <v>1400</v>
      </c>
      <c r="U156" s="160"/>
      <c r="V156" s="160"/>
      <c r="X156" s="160"/>
      <c r="Y156" s="160"/>
      <c r="AA156" s="160"/>
      <c r="AB156" s="160"/>
    </row>
    <row r="157" spans="13:28" x14ac:dyDescent="0.25">
      <c r="M157" s="181"/>
      <c r="N157" s="173"/>
      <c r="O157" s="189" t="str">
        <f>CONCATENATE(تقویم!$A$2,HolidayTable[[#This Row],[روز و ماه]])</f>
        <v>1400</v>
      </c>
      <c r="Q157" s="160"/>
      <c r="R157" s="160"/>
      <c r="S157" s="189" t="str">
        <f>CONCATENATE(تقویم!$A$2,EventsTable[[#This Row],[روز و ماه]])</f>
        <v>1400</v>
      </c>
      <c r="U157" s="160"/>
      <c r="V157" s="160"/>
      <c r="X157" s="160"/>
      <c r="Y157" s="160"/>
      <c r="AA157" s="160"/>
      <c r="AB157" s="160"/>
    </row>
    <row r="158" spans="13:28" x14ac:dyDescent="0.25">
      <c r="M158" s="181"/>
      <c r="N158" s="173"/>
      <c r="O158" s="189" t="str">
        <f>CONCATENATE(تقویم!$A$2,HolidayTable[[#This Row],[روز و ماه]])</f>
        <v>1400</v>
      </c>
      <c r="Q158" s="160"/>
      <c r="R158" s="160"/>
      <c r="S158" s="189" t="str">
        <f>CONCATENATE(تقویم!$A$2,EventsTable[[#This Row],[روز و ماه]])</f>
        <v>1400</v>
      </c>
      <c r="U158" s="160"/>
      <c r="V158" s="160"/>
      <c r="X158" s="160"/>
      <c r="Y158" s="160"/>
      <c r="AA158" s="160"/>
      <c r="AB158" s="160"/>
    </row>
    <row r="159" spans="13:28" x14ac:dyDescent="0.25">
      <c r="M159" s="181"/>
      <c r="N159" s="173"/>
      <c r="O159" s="189" t="str">
        <f>CONCATENATE(تقویم!$A$2,HolidayTable[[#This Row],[روز و ماه]])</f>
        <v>1400</v>
      </c>
      <c r="Q159" s="160"/>
      <c r="R159" s="160"/>
      <c r="S159" s="189" t="str">
        <f>CONCATENATE(تقویم!$A$2,EventsTable[[#This Row],[روز و ماه]])</f>
        <v>1400</v>
      </c>
      <c r="U159" s="160"/>
      <c r="V159" s="160"/>
      <c r="X159" s="160"/>
      <c r="Y159" s="160"/>
      <c r="AA159" s="160"/>
      <c r="AB159" s="160"/>
    </row>
    <row r="160" spans="13:28" x14ac:dyDescent="0.25">
      <c r="M160" s="181"/>
      <c r="N160" s="173"/>
      <c r="O160" s="189" t="str">
        <f>CONCATENATE(تقویم!$A$2,HolidayTable[[#This Row],[روز و ماه]])</f>
        <v>1400</v>
      </c>
      <c r="Q160" s="160"/>
      <c r="R160" s="160"/>
      <c r="S160" s="189" t="str">
        <f>CONCATENATE(تقویم!$A$2,EventsTable[[#This Row],[روز و ماه]])</f>
        <v>1400</v>
      </c>
      <c r="U160" s="160"/>
      <c r="V160" s="160"/>
      <c r="X160" s="160"/>
      <c r="Y160" s="160"/>
      <c r="AA160" s="160"/>
      <c r="AB160" s="160"/>
    </row>
    <row r="161" spans="13:28" x14ac:dyDescent="0.25">
      <c r="M161" s="181"/>
      <c r="N161" s="173"/>
      <c r="O161" s="189" t="str">
        <f>CONCATENATE(تقویم!$A$2,HolidayTable[[#This Row],[روز و ماه]])</f>
        <v>1400</v>
      </c>
      <c r="Q161" s="160"/>
      <c r="R161" s="160"/>
      <c r="S161" s="189" t="str">
        <f>CONCATENATE(تقویم!$A$2,EventsTable[[#This Row],[روز و ماه]])</f>
        <v>1400</v>
      </c>
      <c r="U161" s="160"/>
      <c r="V161" s="160"/>
      <c r="X161" s="160"/>
      <c r="Y161" s="160"/>
      <c r="AA161" s="160"/>
      <c r="AB161" s="160"/>
    </row>
    <row r="162" spans="13:28" x14ac:dyDescent="0.25">
      <c r="M162" s="181"/>
      <c r="N162" s="173"/>
      <c r="O162" s="189" t="str">
        <f>CONCATENATE(تقویم!$A$2,HolidayTable[[#This Row],[روز و ماه]])</f>
        <v>1400</v>
      </c>
      <c r="Q162" s="160"/>
      <c r="R162" s="160"/>
      <c r="S162" s="189" t="str">
        <f>CONCATENATE(تقویم!$A$2,EventsTable[[#This Row],[روز و ماه]])</f>
        <v>1400</v>
      </c>
      <c r="U162" s="160"/>
      <c r="V162" s="160"/>
      <c r="X162" s="160"/>
      <c r="Y162" s="160"/>
      <c r="AA162" s="160"/>
      <c r="AB162" s="160"/>
    </row>
    <row r="163" spans="13:28" x14ac:dyDescent="0.25">
      <c r="M163" s="181"/>
      <c r="N163" s="173"/>
      <c r="O163" s="189" t="str">
        <f>CONCATENATE(تقویم!$A$2,HolidayTable[[#This Row],[روز و ماه]])</f>
        <v>1400</v>
      </c>
      <c r="Q163" s="160"/>
      <c r="R163" s="160"/>
      <c r="S163" s="189" t="str">
        <f>CONCATENATE(تقویم!$A$2,EventsTable[[#This Row],[روز و ماه]])</f>
        <v>1400</v>
      </c>
      <c r="U163" s="160"/>
      <c r="V163" s="160"/>
      <c r="X163" s="160"/>
      <c r="Y163" s="160"/>
      <c r="AA163" s="160"/>
      <c r="AB163" s="160"/>
    </row>
    <row r="164" spans="13:28" x14ac:dyDescent="0.25">
      <c r="M164" s="181"/>
      <c r="N164" s="173"/>
      <c r="O164" s="189" t="str">
        <f>CONCATENATE(تقویم!$A$2,HolidayTable[[#This Row],[روز و ماه]])</f>
        <v>1400</v>
      </c>
      <c r="Q164" s="160"/>
      <c r="R164" s="160"/>
      <c r="S164" s="189" t="str">
        <f>CONCATENATE(تقویم!$A$2,EventsTable[[#This Row],[روز و ماه]])</f>
        <v>1400</v>
      </c>
      <c r="U164" s="160"/>
      <c r="V164" s="160"/>
      <c r="X164" s="160"/>
      <c r="Y164" s="160"/>
      <c r="AA164" s="160"/>
      <c r="AB164" s="160"/>
    </row>
    <row r="165" spans="13:28" x14ac:dyDescent="0.25">
      <c r="M165" s="181"/>
      <c r="N165" s="173"/>
      <c r="O165" s="189" t="str">
        <f>CONCATENATE(تقویم!$A$2,HolidayTable[[#This Row],[روز و ماه]])</f>
        <v>1400</v>
      </c>
      <c r="Q165" s="160"/>
      <c r="R165" s="160"/>
      <c r="S165" s="189" t="str">
        <f>CONCATENATE(تقویم!$A$2,EventsTable[[#This Row],[روز و ماه]])</f>
        <v>1400</v>
      </c>
      <c r="U165" s="160"/>
      <c r="V165" s="160"/>
      <c r="X165" s="160"/>
      <c r="Y165" s="160"/>
      <c r="AA165" s="160"/>
      <c r="AB165" s="160"/>
    </row>
    <row r="166" spans="13:28" x14ac:dyDescent="0.25">
      <c r="M166" s="181"/>
      <c r="N166" s="173"/>
      <c r="O166" s="189" t="str">
        <f>CONCATENATE(تقویم!$A$2,HolidayTable[[#This Row],[روز و ماه]])</f>
        <v>1400</v>
      </c>
      <c r="Q166" s="160"/>
      <c r="R166" s="160"/>
      <c r="S166" s="189" t="str">
        <f>CONCATENATE(تقویم!$A$2,EventsTable[[#This Row],[روز و ماه]])</f>
        <v>1400</v>
      </c>
      <c r="U166" s="160"/>
      <c r="V166" s="160"/>
      <c r="X166" s="160"/>
      <c r="Y166" s="160"/>
      <c r="AA166" s="160"/>
      <c r="AB166" s="160"/>
    </row>
    <row r="167" spans="13:28" x14ac:dyDescent="0.25">
      <c r="M167" s="181"/>
      <c r="N167" s="173"/>
      <c r="O167" s="189" t="str">
        <f>CONCATENATE(تقویم!$A$2,HolidayTable[[#This Row],[روز و ماه]])</f>
        <v>1400</v>
      </c>
      <c r="Q167" s="160"/>
      <c r="R167" s="160"/>
      <c r="S167" s="189" t="str">
        <f>CONCATENATE(تقویم!$A$2,EventsTable[[#This Row],[روز و ماه]])</f>
        <v>1400</v>
      </c>
      <c r="U167" s="160"/>
      <c r="V167" s="160"/>
      <c r="X167" s="160"/>
      <c r="Y167" s="160"/>
      <c r="AA167" s="160"/>
      <c r="AB167" s="160"/>
    </row>
    <row r="168" spans="13:28" x14ac:dyDescent="0.25">
      <c r="M168" s="181"/>
      <c r="N168" s="173"/>
      <c r="O168" s="189" t="str">
        <f>CONCATENATE(تقویم!$A$2,HolidayTable[[#This Row],[روز و ماه]])</f>
        <v>1400</v>
      </c>
      <c r="Q168" s="160"/>
      <c r="R168" s="160"/>
      <c r="S168" s="189" t="str">
        <f>CONCATENATE(تقویم!$A$2,EventsTable[[#This Row],[روز و ماه]])</f>
        <v>1400</v>
      </c>
      <c r="U168" s="160"/>
      <c r="V168" s="160"/>
      <c r="X168" s="160"/>
      <c r="Y168" s="160"/>
      <c r="AA168" s="160"/>
      <c r="AB168" s="160"/>
    </row>
    <row r="169" spans="13:28" x14ac:dyDescent="0.25">
      <c r="M169" s="181"/>
      <c r="N169" s="173"/>
      <c r="O169" s="189" t="str">
        <f>CONCATENATE(تقویم!$A$2,HolidayTable[[#This Row],[روز و ماه]])</f>
        <v>1400</v>
      </c>
      <c r="Q169" s="160"/>
      <c r="R169" s="160"/>
      <c r="S169" s="189" t="str">
        <f>CONCATENATE(تقویم!$A$2,EventsTable[[#This Row],[روز و ماه]])</f>
        <v>1400</v>
      </c>
      <c r="U169" s="160"/>
      <c r="V169" s="160"/>
      <c r="X169" s="160"/>
      <c r="Y169" s="160"/>
      <c r="AA169" s="160"/>
      <c r="AB169" s="160"/>
    </row>
    <row r="170" spans="13:28" x14ac:dyDescent="0.25">
      <c r="M170" s="181"/>
      <c r="N170" s="173"/>
      <c r="O170" s="189" t="str">
        <f>CONCATENATE(تقویم!$A$2,HolidayTable[[#This Row],[روز و ماه]])</f>
        <v>1400</v>
      </c>
      <c r="Q170" s="160"/>
      <c r="R170" s="160"/>
      <c r="S170" s="189" t="str">
        <f>CONCATENATE(تقویم!$A$2,EventsTable[[#This Row],[روز و ماه]])</f>
        <v>1400</v>
      </c>
      <c r="U170" s="160"/>
      <c r="V170" s="160"/>
      <c r="X170" s="160"/>
      <c r="Y170" s="160"/>
      <c r="AA170" s="160"/>
      <c r="AB170" s="160"/>
    </row>
    <row r="171" spans="13:28" x14ac:dyDescent="0.25">
      <c r="M171" s="181"/>
      <c r="N171" s="173"/>
      <c r="O171" s="189" t="str">
        <f>CONCATENATE(تقویم!$A$2,HolidayTable[[#This Row],[روز و ماه]])</f>
        <v>1400</v>
      </c>
      <c r="Q171" s="160"/>
      <c r="R171" s="160"/>
      <c r="S171" s="189" t="str">
        <f>CONCATENATE(تقویم!$A$2,EventsTable[[#This Row],[روز و ماه]])</f>
        <v>1400</v>
      </c>
      <c r="U171" s="160"/>
      <c r="V171" s="160"/>
      <c r="X171" s="160"/>
      <c r="Y171" s="160"/>
      <c r="AA171" s="160"/>
      <c r="AB171" s="160"/>
    </row>
    <row r="172" spans="13:28" x14ac:dyDescent="0.25">
      <c r="M172" s="181"/>
      <c r="N172" s="173"/>
      <c r="O172" s="189" t="str">
        <f>CONCATENATE(تقویم!$A$2,HolidayTable[[#This Row],[روز و ماه]])</f>
        <v>1400</v>
      </c>
      <c r="Q172" s="160"/>
      <c r="R172" s="160"/>
      <c r="S172" s="189" t="str">
        <f>CONCATENATE(تقویم!$A$2,EventsTable[[#This Row],[روز و ماه]])</f>
        <v>1400</v>
      </c>
      <c r="U172" s="160"/>
      <c r="V172" s="160"/>
      <c r="X172" s="160"/>
      <c r="Y172" s="160"/>
      <c r="AA172" s="160"/>
      <c r="AB172" s="160"/>
    </row>
    <row r="173" spans="13:28" x14ac:dyDescent="0.25">
      <c r="M173" s="181"/>
      <c r="N173" s="173"/>
      <c r="O173" s="189" t="str">
        <f>CONCATENATE(تقویم!$A$2,HolidayTable[[#This Row],[روز و ماه]])</f>
        <v>1400</v>
      </c>
      <c r="Q173" s="160"/>
      <c r="R173" s="160"/>
      <c r="S173" s="189" t="str">
        <f>CONCATENATE(تقویم!$A$2,EventsTable[[#This Row],[روز و ماه]])</f>
        <v>1400</v>
      </c>
      <c r="U173" s="160"/>
      <c r="V173" s="160"/>
      <c r="X173" s="160"/>
      <c r="Y173" s="160"/>
      <c r="AA173" s="160"/>
      <c r="AB173" s="160"/>
    </row>
    <row r="174" spans="13:28" x14ac:dyDescent="0.25">
      <c r="M174" s="181"/>
      <c r="N174" s="173"/>
      <c r="O174" s="189" t="str">
        <f>CONCATENATE(تقویم!$A$2,HolidayTable[[#This Row],[روز و ماه]])</f>
        <v>1400</v>
      </c>
      <c r="Q174" s="160"/>
      <c r="R174" s="160"/>
      <c r="S174" s="189" t="str">
        <f>CONCATENATE(تقویم!$A$2,EventsTable[[#This Row],[روز و ماه]])</f>
        <v>1400</v>
      </c>
      <c r="U174" s="160"/>
      <c r="V174" s="160"/>
      <c r="X174" s="160"/>
      <c r="Y174" s="160"/>
      <c r="AA174" s="160"/>
      <c r="AB174" s="160"/>
    </row>
    <row r="175" spans="13:28" x14ac:dyDescent="0.25">
      <c r="M175" s="181"/>
      <c r="N175" s="173"/>
      <c r="O175" s="189" t="str">
        <f>CONCATENATE(تقویم!$A$2,HolidayTable[[#This Row],[روز و ماه]])</f>
        <v>1400</v>
      </c>
      <c r="Q175" s="160"/>
      <c r="R175" s="160"/>
      <c r="S175" s="189" t="str">
        <f>CONCATENATE(تقویم!$A$2,EventsTable[[#This Row],[روز و ماه]])</f>
        <v>1400</v>
      </c>
      <c r="U175" s="160"/>
      <c r="V175" s="160"/>
      <c r="X175" s="160"/>
      <c r="Y175" s="160"/>
      <c r="AA175" s="160"/>
      <c r="AB175" s="160"/>
    </row>
    <row r="176" spans="13:28" x14ac:dyDescent="0.25">
      <c r="M176" s="181"/>
      <c r="N176" s="173"/>
      <c r="O176" s="189" t="str">
        <f>CONCATENATE(تقویم!$A$2,HolidayTable[[#This Row],[روز و ماه]])</f>
        <v>1400</v>
      </c>
      <c r="Q176" s="160"/>
      <c r="R176" s="160"/>
      <c r="S176" s="189" t="str">
        <f>CONCATENATE(تقویم!$A$2,EventsTable[[#This Row],[روز و ماه]])</f>
        <v>1400</v>
      </c>
      <c r="U176" s="160"/>
      <c r="V176" s="160"/>
      <c r="X176" s="160"/>
      <c r="Y176" s="160"/>
      <c r="AA176" s="160"/>
      <c r="AB176" s="160"/>
    </row>
    <row r="177" spans="13:28" x14ac:dyDescent="0.25">
      <c r="M177" s="181"/>
      <c r="N177" s="173"/>
      <c r="O177" s="189" t="str">
        <f>CONCATENATE(تقویم!$A$2,HolidayTable[[#This Row],[روز و ماه]])</f>
        <v>1400</v>
      </c>
      <c r="Q177" s="160"/>
      <c r="R177" s="160"/>
      <c r="S177" s="189" t="str">
        <f>CONCATENATE(تقویم!$A$2,EventsTable[[#This Row],[روز و ماه]])</f>
        <v>1400</v>
      </c>
      <c r="U177" s="160"/>
      <c r="V177" s="160"/>
      <c r="X177" s="160"/>
      <c r="Y177" s="160"/>
      <c r="AA177" s="160"/>
      <c r="AB177" s="160"/>
    </row>
    <row r="178" spans="13:28" x14ac:dyDescent="0.25">
      <c r="M178" s="181"/>
      <c r="N178" s="173"/>
      <c r="O178" s="189" t="str">
        <f>CONCATENATE(تقویم!$A$2,HolidayTable[[#This Row],[روز و ماه]])</f>
        <v>1400</v>
      </c>
      <c r="Q178" s="160"/>
      <c r="R178" s="160"/>
      <c r="S178" s="189" t="str">
        <f>CONCATENATE(تقویم!$A$2,EventsTable[[#This Row],[روز و ماه]])</f>
        <v>1400</v>
      </c>
      <c r="U178" s="160"/>
      <c r="V178" s="160"/>
      <c r="X178" s="160"/>
      <c r="Y178" s="160"/>
      <c r="AA178" s="160"/>
      <c r="AB178" s="160"/>
    </row>
    <row r="179" spans="13:28" x14ac:dyDescent="0.25">
      <c r="M179" s="181"/>
      <c r="N179" s="173"/>
      <c r="O179" s="189" t="str">
        <f>CONCATENATE(تقویم!$A$2,HolidayTable[[#This Row],[روز و ماه]])</f>
        <v>1400</v>
      </c>
      <c r="Q179" s="160"/>
      <c r="R179" s="160"/>
      <c r="S179" s="189" t="str">
        <f>CONCATENATE(تقویم!$A$2,EventsTable[[#This Row],[روز و ماه]])</f>
        <v>1400</v>
      </c>
      <c r="U179" s="160"/>
      <c r="V179" s="160"/>
      <c r="X179" s="160"/>
      <c r="Y179" s="160"/>
      <c r="AA179" s="160"/>
      <c r="AB179" s="160"/>
    </row>
    <row r="180" spans="13:28" x14ac:dyDescent="0.25">
      <c r="M180" s="181"/>
      <c r="N180" s="173"/>
      <c r="O180" s="189" t="str">
        <f>CONCATENATE(تقویم!$A$2,HolidayTable[[#This Row],[روز و ماه]])</f>
        <v>1400</v>
      </c>
      <c r="Q180" s="160"/>
      <c r="R180" s="160"/>
      <c r="S180" s="189" t="str">
        <f>CONCATENATE(تقویم!$A$2,EventsTable[[#This Row],[روز و ماه]])</f>
        <v>1400</v>
      </c>
      <c r="U180" s="160"/>
      <c r="V180" s="160"/>
      <c r="X180" s="160"/>
      <c r="Y180" s="160"/>
      <c r="AA180" s="160"/>
      <c r="AB180" s="160"/>
    </row>
    <row r="181" spans="13:28" x14ac:dyDescent="0.25">
      <c r="M181" s="181"/>
      <c r="N181" s="173"/>
      <c r="O181" s="189" t="str">
        <f>CONCATENATE(تقویم!$A$2,HolidayTable[[#This Row],[روز و ماه]])</f>
        <v>1400</v>
      </c>
      <c r="Q181" s="160"/>
      <c r="R181" s="160"/>
      <c r="S181" s="189" t="str">
        <f>CONCATENATE(تقویم!$A$2,EventsTable[[#This Row],[روز و ماه]])</f>
        <v>1400</v>
      </c>
      <c r="U181" s="160"/>
      <c r="V181" s="160"/>
      <c r="X181" s="160"/>
      <c r="Y181" s="160"/>
      <c r="AA181" s="160"/>
      <c r="AB181" s="160"/>
    </row>
    <row r="182" spans="13:28" x14ac:dyDescent="0.25">
      <c r="M182" s="181"/>
      <c r="N182" s="173"/>
      <c r="O182" s="189" t="str">
        <f>CONCATENATE(تقویم!$A$2,HolidayTable[[#This Row],[روز و ماه]])</f>
        <v>1400</v>
      </c>
      <c r="Q182" s="160"/>
      <c r="R182" s="160"/>
      <c r="S182" s="189" t="str">
        <f>CONCATENATE(تقویم!$A$2,EventsTable[[#This Row],[روز و ماه]])</f>
        <v>1400</v>
      </c>
      <c r="U182" s="160"/>
      <c r="V182" s="160"/>
      <c r="X182" s="160"/>
      <c r="Y182" s="160"/>
      <c r="AA182" s="160"/>
      <c r="AB182" s="160"/>
    </row>
    <row r="183" spans="13:28" x14ac:dyDescent="0.25">
      <c r="M183" s="181"/>
      <c r="N183" s="173"/>
      <c r="O183" s="189" t="str">
        <f>CONCATENATE(تقویم!$A$2,HolidayTable[[#This Row],[روز و ماه]])</f>
        <v>1400</v>
      </c>
      <c r="Q183" s="160"/>
      <c r="R183" s="160"/>
      <c r="S183" s="189" t="str">
        <f>CONCATENATE(تقویم!$A$2,EventsTable[[#This Row],[روز و ماه]])</f>
        <v>1400</v>
      </c>
      <c r="U183" s="160"/>
      <c r="V183" s="160"/>
      <c r="X183" s="160"/>
      <c r="Y183" s="160"/>
      <c r="AA183" s="160"/>
      <c r="AB183" s="160"/>
    </row>
    <row r="184" spans="13:28" x14ac:dyDescent="0.25">
      <c r="M184" s="181"/>
      <c r="N184" s="173"/>
      <c r="O184" s="189" t="str">
        <f>CONCATENATE(تقویم!$A$2,HolidayTable[[#This Row],[روز و ماه]])</f>
        <v>1400</v>
      </c>
      <c r="Q184" s="160"/>
      <c r="R184" s="160"/>
      <c r="S184" s="189" t="str">
        <f>CONCATENATE(تقویم!$A$2,EventsTable[[#This Row],[روز و ماه]])</f>
        <v>1400</v>
      </c>
      <c r="U184" s="160"/>
      <c r="V184" s="160"/>
      <c r="X184" s="160"/>
      <c r="Y184" s="160"/>
      <c r="AA184" s="160"/>
      <c r="AB184" s="160"/>
    </row>
    <row r="185" spans="13:28" x14ac:dyDescent="0.25">
      <c r="M185" s="181"/>
      <c r="N185" s="173"/>
      <c r="O185" s="189" t="str">
        <f>CONCATENATE(تقویم!$A$2,HolidayTable[[#This Row],[روز و ماه]])</f>
        <v>1400</v>
      </c>
      <c r="Q185" s="160"/>
      <c r="R185" s="160"/>
      <c r="S185" s="189" t="str">
        <f>CONCATENATE(تقویم!$A$2,EventsTable[[#This Row],[روز و ماه]])</f>
        <v>1400</v>
      </c>
      <c r="U185" s="160"/>
      <c r="V185" s="160"/>
      <c r="X185" s="160"/>
      <c r="Y185" s="160"/>
      <c r="AA185" s="160"/>
      <c r="AB185" s="160"/>
    </row>
    <row r="186" spans="13:28" x14ac:dyDescent="0.25">
      <c r="M186" s="181"/>
      <c r="N186" s="173"/>
      <c r="O186" s="189" t="str">
        <f>CONCATENATE(تقویم!$A$2,HolidayTable[[#This Row],[روز و ماه]])</f>
        <v>1400</v>
      </c>
      <c r="Q186" s="160"/>
      <c r="R186" s="160"/>
      <c r="S186" s="189" t="str">
        <f>CONCATENATE(تقویم!$A$2,EventsTable[[#This Row],[روز و ماه]])</f>
        <v>1400</v>
      </c>
      <c r="U186" s="160"/>
      <c r="V186" s="160"/>
      <c r="X186" s="160"/>
      <c r="Y186" s="160"/>
      <c r="AA186" s="160"/>
      <c r="AB186" s="160"/>
    </row>
    <row r="187" spans="13:28" x14ac:dyDescent="0.25">
      <c r="M187" s="181"/>
      <c r="N187" s="173"/>
      <c r="O187" s="189" t="str">
        <f>CONCATENATE(تقویم!$A$2,HolidayTable[[#This Row],[روز و ماه]])</f>
        <v>1400</v>
      </c>
      <c r="Q187" s="160"/>
      <c r="R187" s="160"/>
      <c r="S187" s="189" t="str">
        <f>CONCATENATE(تقویم!$A$2,EventsTable[[#This Row],[روز و ماه]])</f>
        <v>1400</v>
      </c>
      <c r="U187" s="160"/>
      <c r="V187" s="160"/>
      <c r="X187" s="160"/>
      <c r="Y187" s="160"/>
      <c r="AA187" s="160"/>
      <c r="AB187" s="160"/>
    </row>
    <row r="188" spans="13:28" x14ac:dyDescent="0.25">
      <c r="M188" s="181"/>
      <c r="N188" s="173"/>
      <c r="O188" s="189" t="str">
        <f>CONCATENATE(تقویم!$A$2,HolidayTable[[#This Row],[روز و ماه]])</f>
        <v>1400</v>
      </c>
      <c r="Q188" s="160"/>
      <c r="R188" s="160"/>
      <c r="S188" s="189" t="str">
        <f>CONCATENATE(تقویم!$A$2,EventsTable[[#This Row],[روز و ماه]])</f>
        <v>1400</v>
      </c>
      <c r="U188" s="160"/>
      <c r="V188" s="160"/>
      <c r="X188" s="160"/>
      <c r="Y188" s="160"/>
      <c r="AA188" s="160"/>
      <c r="AB188" s="160"/>
    </row>
    <row r="189" spans="13:28" x14ac:dyDescent="0.25">
      <c r="M189" s="181"/>
      <c r="N189" s="173"/>
      <c r="O189" s="189" t="str">
        <f>CONCATENATE(تقویم!$A$2,HolidayTable[[#This Row],[روز و ماه]])</f>
        <v>1400</v>
      </c>
      <c r="Q189" s="160"/>
      <c r="R189" s="160"/>
      <c r="S189" s="189" t="str">
        <f>CONCATENATE(تقویم!$A$2,EventsTable[[#This Row],[روز و ماه]])</f>
        <v>1400</v>
      </c>
      <c r="U189" s="160"/>
      <c r="V189" s="160"/>
      <c r="X189" s="160"/>
      <c r="Y189" s="160"/>
      <c r="AA189" s="160"/>
      <c r="AB189" s="160"/>
    </row>
    <row r="190" spans="13:28" x14ac:dyDescent="0.25">
      <c r="M190" s="181"/>
      <c r="N190" s="173"/>
      <c r="O190" s="189" t="str">
        <f>CONCATENATE(تقویم!$A$2,HolidayTable[[#This Row],[روز و ماه]])</f>
        <v>1400</v>
      </c>
      <c r="Q190" s="160"/>
      <c r="R190" s="160"/>
      <c r="S190" s="189" t="str">
        <f>CONCATENATE(تقویم!$A$2,EventsTable[[#This Row],[روز و ماه]])</f>
        <v>1400</v>
      </c>
      <c r="U190" s="160"/>
      <c r="V190" s="160"/>
      <c r="X190" s="160"/>
      <c r="Y190" s="160"/>
      <c r="AA190" s="160"/>
      <c r="AB190" s="160"/>
    </row>
    <row r="191" spans="13:28" x14ac:dyDescent="0.25">
      <c r="M191" s="181"/>
      <c r="N191" s="173"/>
      <c r="O191" s="189" t="str">
        <f>CONCATENATE(تقویم!$A$2,HolidayTable[[#This Row],[روز و ماه]])</f>
        <v>1400</v>
      </c>
      <c r="Q191" s="160"/>
      <c r="R191" s="160"/>
      <c r="S191" s="189" t="str">
        <f>CONCATENATE(تقویم!$A$2,EventsTable[[#This Row],[روز و ماه]])</f>
        <v>1400</v>
      </c>
      <c r="U191" s="160"/>
      <c r="V191" s="160"/>
      <c r="X191" s="160"/>
      <c r="Y191" s="160"/>
      <c r="AA191" s="160"/>
      <c r="AB191" s="160"/>
    </row>
    <row r="192" spans="13:28" x14ac:dyDescent="0.25">
      <c r="M192" s="181"/>
      <c r="N192" s="173"/>
      <c r="O192" s="189" t="str">
        <f>CONCATENATE(تقویم!$A$2,HolidayTable[[#This Row],[روز و ماه]])</f>
        <v>1400</v>
      </c>
      <c r="Q192" s="160"/>
      <c r="R192" s="160"/>
      <c r="S192" s="189" t="str">
        <f>CONCATENATE(تقویم!$A$2,EventsTable[[#This Row],[روز و ماه]])</f>
        <v>1400</v>
      </c>
      <c r="U192" s="160"/>
      <c r="V192" s="160"/>
      <c r="X192" s="160"/>
      <c r="Y192" s="160"/>
      <c r="AA192" s="160"/>
      <c r="AB192" s="160"/>
    </row>
    <row r="193" spans="13:28" x14ac:dyDescent="0.25">
      <c r="M193" s="181"/>
      <c r="N193" s="173"/>
      <c r="O193" s="189" t="str">
        <f>CONCATENATE(تقویم!$A$2,HolidayTable[[#This Row],[روز و ماه]])</f>
        <v>1400</v>
      </c>
      <c r="Q193" s="160"/>
      <c r="R193" s="160"/>
      <c r="S193" s="189" t="str">
        <f>CONCATENATE(تقویم!$A$2,EventsTable[[#This Row],[روز و ماه]])</f>
        <v>1400</v>
      </c>
      <c r="U193" s="160"/>
      <c r="V193" s="160"/>
      <c r="X193" s="160"/>
      <c r="Y193" s="160"/>
      <c r="AA193" s="160"/>
      <c r="AB193" s="160"/>
    </row>
    <row r="194" spans="13:28" x14ac:dyDescent="0.25">
      <c r="M194" s="181"/>
      <c r="N194" s="173"/>
      <c r="O194" s="189" t="str">
        <f>CONCATENATE(تقویم!$A$2,HolidayTable[[#This Row],[روز و ماه]])</f>
        <v>1400</v>
      </c>
      <c r="Q194" s="160"/>
      <c r="R194" s="160"/>
      <c r="S194" s="189" t="str">
        <f>CONCATENATE(تقویم!$A$2,EventsTable[[#This Row],[روز و ماه]])</f>
        <v>1400</v>
      </c>
      <c r="U194" s="160"/>
      <c r="V194" s="160"/>
      <c r="X194" s="160"/>
      <c r="Y194" s="160"/>
      <c r="AA194" s="160"/>
      <c r="AB194" s="160"/>
    </row>
    <row r="195" spans="13:28" x14ac:dyDescent="0.25">
      <c r="M195" s="181"/>
      <c r="N195" s="173"/>
      <c r="O195" s="189" t="str">
        <f>CONCATENATE(تقویم!$A$2,HolidayTable[[#This Row],[روز و ماه]])</f>
        <v>1400</v>
      </c>
      <c r="Q195" s="160"/>
      <c r="R195" s="160"/>
      <c r="S195" s="189" t="str">
        <f>CONCATENATE(تقویم!$A$2,EventsTable[[#This Row],[روز و ماه]])</f>
        <v>1400</v>
      </c>
      <c r="U195" s="160"/>
      <c r="V195" s="160"/>
      <c r="X195" s="160"/>
      <c r="Y195" s="160"/>
      <c r="AA195" s="160"/>
      <c r="AB195" s="160"/>
    </row>
    <row r="196" spans="13:28" x14ac:dyDescent="0.25">
      <c r="M196" s="181"/>
      <c r="N196" s="173"/>
      <c r="O196" s="189" t="str">
        <f>CONCATENATE(تقویم!$A$2,HolidayTable[[#This Row],[روز و ماه]])</f>
        <v>1400</v>
      </c>
      <c r="Q196" s="160"/>
      <c r="R196" s="160"/>
      <c r="S196" s="189" t="str">
        <f>CONCATENATE(تقویم!$A$2,EventsTable[[#This Row],[روز و ماه]])</f>
        <v>1400</v>
      </c>
      <c r="U196" s="160"/>
      <c r="V196" s="160"/>
      <c r="X196" s="160"/>
      <c r="Y196" s="160"/>
      <c r="AA196" s="160"/>
      <c r="AB196" s="160"/>
    </row>
    <row r="197" spans="13:28" x14ac:dyDescent="0.25">
      <c r="M197" s="181"/>
      <c r="N197" s="173"/>
      <c r="O197" s="189" t="str">
        <f>CONCATENATE(تقویم!$A$2,HolidayTable[[#This Row],[روز و ماه]])</f>
        <v>1400</v>
      </c>
      <c r="Q197" s="160"/>
      <c r="R197" s="160"/>
      <c r="S197" s="189" t="str">
        <f>CONCATENATE(تقویم!$A$2,EventsTable[[#This Row],[روز و ماه]])</f>
        <v>1400</v>
      </c>
      <c r="U197" s="160"/>
      <c r="V197" s="160"/>
      <c r="X197" s="160"/>
      <c r="Y197" s="160"/>
      <c r="AA197" s="160"/>
      <c r="AB197" s="160"/>
    </row>
    <row r="198" spans="13:28" x14ac:dyDescent="0.25">
      <c r="M198" s="181"/>
      <c r="N198" s="173"/>
      <c r="O198" s="189" t="str">
        <f>CONCATENATE(تقویم!$A$2,HolidayTable[[#This Row],[روز و ماه]])</f>
        <v>1400</v>
      </c>
      <c r="Q198" s="160"/>
      <c r="R198" s="160"/>
      <c r="S198" s="189" t="str">
        <f>CONCATENATE(تقویم!$A$2,EventsTable[[#This Row],[روز و ماه]])</f>
        <v>1400</v>
      </c>
      <c r="U198" s="160"/>
      <c r="V198" s="160"/>
      <c r="X198" s="160"/>
      <c r="Y198" s="160"/>
      <c r="AA198" s="160"/>
      <c r="AB198" s="160"/>
    </row>
    <row r="199" spans="13:28" x14ac:dyDescent="0.25">
      <c r="M199" s="181"/>
      <c r="N199" s="173"/>
      <c r="O199" s="189" t="str">
        <f>CONCATENATE(تقویم!$A$2,HolidayTable[[#This Row],[روز و ماه]])</f>
        <v>1400</v>
      </c>
      <c r="Q199" s="160"/>
      <c r="R199" s="160"/>
      <c r="S199" s="189" t="str">
        <f>CONCATENATE(تقویم!$A$2,EventsTable[[#This Row],[روز و ماه]])</f>
        <v>1400</v>
      </c>
      <c r="U199" s="160"/>
      <c r="V199" s="160"/>
      <c r="X199" s="160"/>
      <c r="Y199" s="160"/>
      <c r="AA199" s="160"/>
      <c r="AB199" s="160"/>
    </row>
    <row r="200" spans="13:28" x14ac:dyDescent="0.25">
      <c r="M200" s="181"/>
      <c r="N200" s="173"/>
      <c r="O200" s="189" t="str">
        <f>CONCATENATE(تقویم!$A$2,HolidayTable[[#This Row],[روز و ماه]])</f>
        <v>1400</v>
      </c>
      <c r="Q200" s="160"/>
      <c r="R200" s="160"/>
      <c r="S200" s="189" t="str">
        <f>CONCATENATE(تقویم!$A$2,EventsTable[[#This Row],[روز و ماه]])</f>
        <v>1400</v>
      </c>
      <c r="U200" s="160"/>
      <c r="V200" s="160"/>
      <c r="X200" s="160"/>
      <c r="Y200" s="160"/>
      <c r="AA200" s="160"/>
      <c r="AB200" s="160"/>
    </row>
    <row r="201" spans="13:28" x14ac:dyDescent="0.25">
      <c r="M201" s="181"/>
      <c r="N201" s="173"/>
      <c r="O201" s="189" t="str">
        <f>CONCATENATE(تقویم!$A$2,HolidayTable[[#This Row],[روز و ماه]])</f>
        <v>1400</v>
      </c>
      <c r="Q201" s="160"/>
      <c r="R201" s="160"/>
      <c r="S201" s="189" t="str">
        <f>CONCATENATE(تقویم!$A$2,EventsTable[[#This Row],[روز و ماه]])</f>
        <v>1400</v>
      </c>
      <c r="U201" s="160"/>
      <c r="V201" s="160"/>
      <c r="X201" s="160"/>
      <c r="Y201" s="160"/>
      <c r="AA201" s="160"/>
      <c r="AB201" s="160"/>
    </row>
    <row r="202" spans="13:28" x14ac:dyDescent="0.25">
      <c r="M202" s="181"/>
      <c r="N202" s="173"/>
      <c r="O202" s="189" t="str">
        <f>CONCATENATE(تقویم!$A$2,HolidayTable[[#This Row],[روز و ماه]])</f>
        <v>1400</v>
      </c>
      <c r="Q202" s="160"/>
      <c r="R202" s="160"/>
      <c r="S202" s="189" t="str">
        <f>CONCATENATE(تقویم!$A$2,EventsTable[[#This Row],[روز و ماه]])</f>
        <v>1400</v>
      </c>
      <c r="U202" s="160"/>
      <c r="V202" s="160"/>
      <c r="X202" s="160"/>
      <c r="Y202" s="160"/>
      <c r="AA202" s="160"/>
      <c r="AB202" s="160"/>
    </row>
    <row r="203" spans="13:28" x14ac:dyDescent="0.25">
      <c r="M203" s="181"/>
      <c r="N203" s="173"/>
      <c r="O203" s="189" t="str">
        <f>CONCATENATE(تقویم!$A$2,HolidayTable[[#This Row],[روز و ماه]])</f>
        <v>1400</v>
      </c>
      <c r="Q203" s="160"/>
      <c r="R203" s="160"/>
      <c r="S203" s="189" t="str">
        <f>CONCATENATE(تقویم!$A$2,EventsTable[[#This Row],[روز و ماه]])</f>
        <v>1400</v>
      </c>
      <c r="U203" s="160"/>
      <c r="V203" s="160"/>
      <c r="X203" s="160"/>
      <c r="Y203" s="160"/>
      <c r="AA203" s="160"/>
      <c r="AB203" s="160"/>
    </row>
    <row r="204" spans="13:28" x14ac:dyDescent="0.25">
      <c r="M204" s="181"/>
      <c r="N204" s="173"/>
      <c r="O204" s="189" t="str">
        <f>CONCATENATE(تقویم!$A$2,HolidayTable[[#This Row],[روز و ماه]])</f>
        <v>1400</v>
      </c>
      <c r="Q204" s="160"/>
      <c r="R204" s="160"/>
      <c r="S204" s="189" t="str">
        <f>CONCATENATE(تقویم!$A$2,EventsTable[[#This Row],[روز و ماه]])</f>
        <v>1400</v>
      </c>
      <c r="U204" s="160"/>
      <c r="V204" s="160"/>
      <c r="X204" s="160"/>
      <c r="Y204" s="160"/>
      <c r="AA204" s="160"/>
      <c r="AB204" s="160"/>
    </row>
    <row r="205" spans="13:28" x14ac:dyDescent="0.25">
      <c r="M205" s="181"/>
      <c r="N205" s="173"/>
      <c r="O205" s="189" t="str">
        <f>CONCATENATE(تقویم!$A$2,HolidayTable[[#This Row],[روز و ماه]])</f>
        <v>1400</v>
      </c>
      <c r="Q205" s="160"/>
      <c r="R205" s="160"/>
      <c r="S205" s="189" t="str">
        <f>CONCATENATE(تقویم!$A$2,EventsTable[[#This Row],[روز و ماه]])</f>
        <v>1400</v>
      </c>
      <c r="U205" s="160"/>
      <c r="V205" s="160"/>
      <c r="X205" s="160"/>
      <c r="Y205" s="160"/>
      <c r="AA205" s="160"/>
      <c r="AB205" s="160"/>
    </row>
    <row r="206" spans="13:28" x14ac:dyDescent="0.25">
      <c r="M206" s="181"/>
      <c r="N206" s="173"/>
      <c r="O206" s="189" t="str">
        <f>CONCATENATE(تقویم!$A$2,HolidayTable[[#This Row],[روز و ماه]])</f>
        <v>1400</v>
      </c>
      <c r="Q206" s="160"/>
      <c r="R206" s="160"/>
      <c r="S206" s="189" t="str">
        <f>CONCATENATE(تقویم!$A$2,EventsTable[[#This Row],[روز و ماه]])</f>
        <v>1400</v>
      </c>
      <c r="U206" s="160"/>
      <c r="V206" s="160"/>
      <c r="X206" s="160"/>
      <c r="Y206" s="160"/>
      <c r="AA206" s="160"/>
      <c r="AB206" s="160"/>
    </row>
    <row r="207" spans="13:28" x14ac:dyDescent="0.25">
      <c r="M207" s="181"/>
      <c r="N207" s="173"/>
      <c r="O207" s="189" t="str">
        <f>CONCATENATE(تقویم!$A$2,HolidayTable[[#This Row],[روز و ماه]])</f>
        <v>1400</v>
      </c>
      <c r="Q207" s="160"/>
      <c r="R207" s="160"/>
      <c r="S207" s="189" t="str">
        <f>CONCATENATE(تقویم!$A$2,EventsTable[[#This Row],[روز و ماه]])</f>
        <v>1400</v>
      </c>
      <c r="U207" s="160"/>
      <c r="V207" s="160"/>
      <c r="X207" s="160"/>
      <c r="Y207" s="160"/>
      <c r="AA207" s="160"/>
      <c r="AB207" s="160"/>
    </row>
    <row r="208" spans="13:28" x14ac:dyDescent="0.25">
      <c r="M208" s="181"/>
      <c r="N208" s="173"/>
      <c r="O208" s="189" t="str">
        <f>CONCATENATE(تقویم!$A$2,HolidayTable[[#This Row],[روز و ماه]])</f>
        <v>1400</v>
      </c>
      <c r="Q208" s="160"/>
      <c r="R208" s="160"/>
      <c r="S208" s="189" t="str">
        <f>CONCATENATE(تقویم!$A$2,EventsTable[[#This Row],[روز و ماه]])</f>
        <v>1400</v>
      </c>
      <c r="U208" s="160"/>
      <c r="V208" s="160"/>
      <c r="X208" s="160"/>
      <c r="Y208" s="160"/>
      <c r="AA208" s="160"/>
      <c r="AB208" s="160"/>
    </row>
    <row r="209" spans="13:28" x14ac:dyDescent="0.25">
      <c r="M209" s="181"/>
      <c r="N209" s="173"/>
      <c r="O209" s="189" t="str">
        <f>CONCATENATE(تقویم!$A$2,HolidayTable[[#This Row],[روز و ماه]])</f>
        <v>1400</v>
      </c>
      <c r="Q209" s="160"/>
      <c r="R209" s="160"/>
      <c r="S209" s="189" t="str">
        <f>CONCATENATE(تقویم!$A$2,EventsTable[[#This Row],[روز و ماه]])</f>
        <v>1400</v>
      </c>
      <c r="U209" s="160"/>
      <c r="V209" s="160"/>
      <c r="X209" s="160"/>
      <c r="Y209" s="160"/>
      <c r="AA209" s="160"/>
      <c r="AB209" s="160"/>
    </row>
    <row r="210" spans="13:28" x14ac:dyDescent="0.25">
      <c r="M210" s="181"/>
      <c r="N210" s="173"/>
      <c r="O210" s="189" t="str">
        <f>CONCATENATE(تقویم!$A$2,HolidayTable[[#This Row],[روز و ماه]])</f>
        <v>1400</v>
      </c>
      <c r="Q210" s="160"/>
      <c r="R210" s="160"/>
      <c r="S210" s="189" t="str">
        <f>CONCATENATE(تقویم!$A$2,EventsTable[[#This Row],[روز و ماه]])</f>
        <v>1400</v>
      </c>
      <c r="U210" s="160"/>
      <c r="V210" s="160"/>
      <c r="X210" s="160"/>
      <c r="Y210" s="160"/>
      <c r="AA210" s="160"/>
      <c r="AB210" s="160"/>
    </row>
    <row r="211" spans="13:28" x14ac:dyDescent="0.25">
      <c r="M211" s="181"/>
      <c r="N211" s="173"/>
      <c r="O211" s="189" t="str">
        <f>CONCATENATE(تقویم!$A$2,HolidayTable[[#This Row],[روز و ماه]])</f>
        <v>1400</v>
      </c>
      <c r="Q211" s="160"/>
      <c r="R211" s="160"/>
      <c r="S211" s="189" t="str">
        <f>CONCATENATE(تقویم!$A$2,EventsTable[[#This Row],[روز و ماه]])</f>
        <v>1400</v>
      </c>
      <c r="U211" s="160"/>
      <c r="V211" s="160"/>
      <c r="X211" s="160"/>
      <c r="Y211" s="160"/>
      <c r="AA211" s="160"/>
      <c r="AB211" s="160"/>
    </row>
    <row r="212" spans="13:28" x14ac:dyDescent="0.25">
      <c r="M212" s="181"/>
      <c r="N212" s="173"/>
      <c r="O212" s="189" t="str">
        <f>CONCATENATE(تقویم!$A$2,HolidayTable[[#This Row],[روز و ماه]])</f>
        <v>1400</v>
      </c>
      <c r="Q212" s="160"/>
      <c r="R212" s="160"/>
      <c r="S212" s="189" t="str">
        <f>CONCATENATE(تقویم!$A$2,EventsTable[[#This Row],[روز و ماه]])</f>
        <v>1400</v>
      </c>
      <c r="U212" s="160"/>
      <c r="V212" s="160"/>
      <c r="X212" s="160"/>
      <c r="Y212" s="160"/>
      <c r="AA212" s="160"/>
      <c r="AB212" s="160"/>
    </row>
    <row r="213" spans="13:28" x14ac:dyDescent="0.25">
      <c r="M213" s="181"/>
      <c r="N213" s="173"/>
      <c r="O213" s="189" t="str">
        <f>CONCATENATE(تقویم!$A$2,HolidayTable[[#This Row],[روز و ماه]])</f>
        <v>1400</v>
      </c>
      <c r="Q213" s="160"/>
      <c r="R213" s="160"/>
      <c r="S213" s="189" t="str">
        <f>CONCATENATE(تقویم!$A$2,EventsTable[[#This Row],[روز و ماه]])</f>
        <v>1400</v>
      </c>
      <c r="U213" s="160"/>
      <c r="V213" s="160"/>
      <c r="X213" s="160"/>
      <c r="Y213" s="160"/>
      <c r="AA213" s="160"/>
      <c r="AB213" s="160"/>
    </row>
    <row r="214" spans="13:28" x14ac:dyDescent="0.25">
      <c r="M214" s="181"/>
      <c r="N214" s="173"/>
      <c r="O214" s="189" t="str">
        <f>CONCATENATE(تقویم!$A$2,HolidayTable[[#This Row],[روز و ماه]])</f>
        <v>1400</v>
      </c>
      <c r="Q214" s="160"/>
      <c r="R214" s="160"/>
      <c r="S214" s="189" t="str">
        <f>CONCATENATE(تقویم!$A$2,EventsTable[[#This Row],[روز و ماه]])</f>
        <v>1400</v>
      </c>
      <c r="U214" s="160"/>
      <c r="V214" s="160"/>
      <c r="X214" s="160"/>
      <c r="Y214" s="160"/>
      <c r="AA214" s="160"/>
      <c r="AB214" s="160"/>
    </row>
    <row r="215" spans="13:28" x14ac:dyDescent="0.25">
      <c r="M215" s="181"/>
      <c r="N215" s="173"/>
      <c r="O215" s="189" t="str">
        <f>CONCATENATE(تقویم!$A$2,HolidayTable[[#This Row],[روز و ماه]])</f>
        <v>1400</v>
      </c>
      <c r="Q215" s="160"/>
      <c r="R215" s="160"/>
      <c r="S215" s="189" t="str">
        <f>CONCATENATE(تقویم!$A$2,EventsTable[[#This Row],[روز و ماه]])</f>
        <v>1400</v>
      </c>
      <c r="U215" s="160"/>
      <c r="V215" s="160"/>
      <c r="X215" s="160"/>
      <c r="Y215" s="160"/>
      <c r="AA215" s="160"/>
      <c r="AB215" s="160"/>
    </row>
    <row r="216" spans="13:28" x14ac:dyDescent="0.25">
      <c r="M216" s="181"/>
      <c r="N216" s="173"/>
      <c r="O216" s="189" t="str">
        <f>CONCATENATE(تقویم!$A$2,HolidayTable[[#This Row],[روز و ماه]])</f>
        <v>1400</v>
      </c>
      <c r="Q216" s="160"/>
      <c r="R216" s="160"/>
      <c r="S216" s="189" t="str">
        <f>CONCATENATE(تقویم!$A$2,EventsTable[[#This Row],[روز و ماه]])</f>
        <v>1400</v>
      </c>
      <c r="U216" s="160"/>
      <c r="V216" s="160"/>
      <c r="X216" s="160"/>
      <c r="Y216" s="160"/>
      <c r="AA216" s="160"/>
      <c r="AB216" s="160"/>
    </row>
    <row r="217" spans="13:28" x14ac:dyDescent="0.25">
      <c r="M217" s="181"/>
      <c r="N217" s="173"/>
      <c r="O217" s="189" t="str">
        <f>CONCATENATE(تقویم!$A$2,HolidayTable[[#This Row],[روز و ماه]])</f>
        <v>1400</v>
      </c>
      <c r="Q217" s="160"/>
      <c r="R217" s="160"/>
      <c r="S217" s="189" t="str">
        <f>CONCATENATE(تقویم!$A$2,EventsTable[[#This Row],[روز و ماه]])</f>
        <v>1400</v>
      </c>
      <c r="U217" s="160"/>
      <c r="V217" s="160"/>
      <c r="X217" s="160"/>
      <c r="Y217" s="160"/>
      <c r="AA217" s="160"/>
      <c r="AB217" s="160"/>
    </row>
    <row r="218" spans="13:28" x14ac:dyDescent="0.25">
      <c r="M218" s="181"/>
      <c r="N218" s="173"/>
      <c r="O218" s="189" t="str">
        <f>CONCATENATE(تقویم!$A$2,HolidayTable[[#This Row],[روز و ماه]])</f>
        <v>1400</v>
      </c>
      <c r="Q218" s="160"/>
      <c r="R218" s="160"/>
      <c r="S218" s="189" t="str">
        <f>CONCATENATE(تقویم!$A$2,EventsTable[[#This Row],[روز و ماه]])</f>
        <v>1400</v>
      </c>
      <c r="U218" s="160"/>
      <c r="V218" s="160"/>
      <c r="X218" s="160"/>
      <c r="Y218" s="160"/>
      <c r="AA218" s="160"/>
      <c r="AB218" s="160"/>
    </row>
    <row r="219" spans="13:28" x14ac:dyDescent="0.25">
      <c r="M219" s="181"/>
      <c r="N219" s="173"/>
      <c r="O219" s="189" t="str">
        <f>CONCATENATE(تقویم!$A$2,HolidayTable[[#This Row],[روز و ماه]])</f>
        <v>1400</v>
      </c>
      <c r="Q219" s="160"/>
      <c r="R219" s="160"/>
      <c r="S219" s="189" t="str">
        <f>CONCATENATE(تقویم!$A$2,EventsTable[[#This Row],[روز و ماه]])</f>
        <v>1400</v>
      </c>
      <c r="U219" s="160"/>
      <c r="V219" s="160"/>
      <c r="X219" s="160"/>
      <c r="Y219" s="160"/>
      <c r="AA219" s="160"/>
      <c r="AB219" s="160"/>
    </row>
    <row r="220" spans="13:28" x14ac:dyDescent="0.25">
      <c r="M220" s="181"/>
      <c r="N220" s="173"/>
      <c r="O220" s="189" t="str">
        <f>CONCATENATE(تقویم!$A$2,HolidayTable[[#This Row],[روز و ماه]])</f>
        <v>1400</v>
      </c>
      <c r="Q220" s="160"/>
      <c r="R220" s="160"/>
      <c r="S220" s="189" t="str">
        <f>CONCATENATE(تقویم!$A$2,EventsTable[[#This Row],[روز و ماه]])</f>
        <v>1400</v>
      </c>
      <c r="U220" s="160"/>
      <c r="V220" s="160"/>
      <c r="X220" s="160"/>
      <c r="Y220" s="160"/>
      <c r="AA220" s="160"/>
      <c r="AB220" s="160"/>
    </row>
    <row r="221" spans="13:28" x14ac:dyDescent="0.25">
      <c r="M221" s="181"/>
      <c r="N221" s="173"/>
      <c r="O221" s="189" t="str">
        <f>CONCATENATE(تقویم!$A$2,HolidayTable[[#This Row],[روز و ماه]])</f>
        <v>1400</v>
      </c>
      <c r="Q221" s="160"/>
      <c r="R221" s="160"/>
      <c r="S221" s="189" t="str">
        <f>CONCATENATE(تقویم!$A$2,EventsTable[[#This Row],[روز و ماه]])</f>
        <v>1400</v>
      </c>
      <c r="U221" s="160"/>
      <c r="V221" s="160"/>
      <c r="X221" s="160"/>
      <c r="Y221" s="160"/>
      <c r="AA221" s="160"/>
      <c r="AB221" s="160"/>
    </row>
    <row r="222" spans="13:28" x14ac:dyDescent="0.25">
      <c r="M222" s="181"/>
      <c r="N222" s="173"/>
      <c r="O222" s="189" t="str">
        <f>CONCATENATE(تقویم!$A$2,HolidayTable[[#This Row],[روز و ماه]])</f>
        <v>1400</v>
      </c>
      <c r="Q222" s="160"/>
      <c r="R222" s="160"/>
      <c r="S222" s="189" t="str">
        <f>CONCATENATE(تقویم!$A$2,EventsTable[[#This Row],[روز و ماه]])</f>
        <v>1400</v>
      </c>
      <c r="U222" s="160"/>
      <c r="V222" s="160"/>
      <c r="X222" s="160"/>
      <c r="Y222" s="160"/>
      <c r="AA222" s="160"/>
      <c r="AB222" s="160"/>
    </row>
    <row r="223" spans="13:28" x14ac:dyDescent="0.25">
      <c r="M223" s="181"/>
      <c r="N223" s="173"/>
      <c r="O223" s="189" t="str">
        <f>CONCATENATE(تقویم!$A$2,HolidayTable[[#This Row],[روز و ماه]])</f>
        <v>1400</v>
      </c>
      <c r="Q223" s="160"/>
      <c r="R223" s="160"/>
      <c r="S223" s="189" t="str">
        <f>CONCATENATE(تقویم!$A$2,EventsTable[[#This Row],[روز و ماه]])</f>
        <v>1400</v>
      </c>
      <c r="U223" s="160"/>
      <c r="V223" s="160"/>
      <c r="X223" s="160"/>
      <c r="Y223" s="160"/>
      <c r="AA223" s="160"/>
      <c r="AB223" s="160"/>
    </row>
    <row r="224" spans="13:28" x14ac:dyDescent="0.25">
      <c r="M224" s="181"/>
      <c r="N224" s="173"/>
      <c r="O224" s="189" t="str">
        <f>CONCATENATE(تقویم!$A$2,HolidayTable[[#This Row],[روز و ماه]])</f>
        <v>1400</v>
      </c>
      <c r="Q224" s="160"/>
      <c r="R224" s="160"/>
      <c r="S224" s="189" t="str">
        <f>CONCATENATE(تقویم!$A$2,EventsTable[[#This Row],[روز و ماه]])</f>
        <v>1400</v>
      </c>
      <c r="U224" s="160"/>
      <c r="V224" s="160"/>
      <c r="X224" s="160"/>
      <c r="Y224" s="160"/>
      <c r="AA224" s="160"/>
      <c r="AB224" s="160"/>
    </row>
    <row r="225" spans="13:28" x14ac:dyDescent="0.25">
      <c r="M225" s="181"/>
      <c r="N225" s="173"/>
      <c r="O225" s="189" t="str">
        <f>CONCATENATE(تقویم!$A$2,HolidayTable[[#This Row],[روز و ماه]])</f>
        <v>1400</v>
      </c>
      <c r="Q225" s="160"/>
      <c r="R225" s="160"/>
      <c r="S225" s="189" t="str">
        <f>CONCATENATE(تقویم!$A$2,EventsTable[[#This Row],[روز و ماه]])</f>
        <v>1400</v>
      </c>
      <c r="U225" s="160"/>
      <c r="V225" s="160"/>
      <c r="X225" s="160"/>
      <c r="Y225" s="160"/>
      <c r="AA225" s="160"/>
      <c r="AB225" s="160"/>
    </row>
    <row r="226" spans="13:28" x14ac:dyDescent="0.25">
      <c r="M226" s="181"/>
      <c r="N226" s="173"/>
      <c r="O226" s="189" t="str">
        <f>CONCATENATE(تقویم!$A$2,HolidayTable[[#This Row],[روز و ماه]])</f>
        <v>1400</v>
      </c>
      <c r="Q226" s="160"/>
      <c r="R226" s="160"/>
      <c r="S226" s="189" t="str">
        <f>CONCATENATE(تقویم!$A$2,EventsTable[[#This Row],[روز و ماه]])</f>
        <v>1400</v>
      </c>
      <c r="U226" s="160"/>
      <c r="V226" s="160"/>
      <c r="X226" s="160"/>
      <c r="Y226" s="160"/>
      <c r="AA226" s="160"/>
      <c r="AB226" s="160"/>
    </row>
    <row r="227" spans="13:28" x14ac:dyDescent="0.25">
      <c r="M227" s="181"/>
      <c r="N227" s="173"/>
      <c r="O227" s="189" t="str">
        <f>CONCATENATE(تقویم!$A$2,HolidayTable[[#This Row],[روز و ماه]])</f>
        <v>1400</v>
      </c>
      <c r="Q227" s="160"/>
      <c r="R227" s="160"/>
      <c r="S227" s="189" t="str">
        <f>CONCATENATE(تقویم!$A$2,EventsTable[[#This Row],[روز و ماه]])</f>
        <v>1400</v>
      </c>
      <c r="U227" s="160"/>
      <c r="V227" s="160"/>
      <c r="X227" s="160"/>
      <c r="Y227" s="160"/>
      <c r="AA227" s="160"/>
      <c r="AB227" s="160"/>
    </row>
    <row r="228" spans="13:28" x14ac:dyDescent="0.25">
      <c r="M228" s="181"/>
      <c r="N228" s="173"/>
      <c r="O228" s="189" t="str">
        <f>CONCATENATE(تقویم!$A$2,HolidayTable[[#This Row],[روز و ماه]])</f>
        <v>1400</v>
      </c>
      <c r="Q228" s="160"/>
      <c r="R228" s="160"/>
      <c r="S228" s="189" t="str">
        <f>CONCATENATE(تقویم!$A$2,EventsTable[[#This Row],[روز و ماه]])</f>
        <v>1400</v>
      </c>
      <c r="U228" s="160"/>
      <c r="V228" s="160"/>
      <c r="X228" s="160"/>
      <c r="Y228" s="160"/>
      <c r="AA228" s="160"/>
      <c r="AB228" s="160"/>
    </row>
    <row r="229" spans="13:28" x14ac:dyDescent="0.25">
      <c r="M229" s="181"/>
      <c r="N229" s="173"/>
      <c r="O229" s="189" t="str">
        <f>CONCATENATE(تقویم!$A$2,HolidayTable[[#This Row],[روز و ماه]])</f>
        <v>1400</v>
      </c>
      <c r="Q229" s="160"/>
      <c r="R229" s="160"/>
      <c r="S229" s="189" t="str">
        <f>CONCATENATE(تقویم!$A$2,EventsTable[[#This Row],[روز و ماه]])</f>
        <v>1400</v>
      </c>
      <c r="U229" s="160"/>
      <c r="V229" s="160"/>
      <c r="X229" s="160"/>
      <c r="Y229" s="160"/>
      <c r="AA229" s="160"/>
      <c r="AB229" s="160"/>
    </row>
    <row r="230" spans="13:28" x14ac:dyDescent="0.25">
      <c r="M230" s="181"/>
      <c r="N230" s="173"/>
      <c r="O230" s="189" t="str">
        <f>CONCATENATE(تقویم!$A$2,HolidayTable[[#This Row],[روز و ماه]])</f>
        <v>1400</v>
      </c>
      <c r="Q230" s="160"/>
      <c r="R230" s="160"/>
      <c r="S230" s="189" t="str">
        <f>CONCATENATE(تقویم!$A$2,EventsTable[[#This Row],[روز و ماه]])</f>
        <v>1400</v>
      </c>
      <c r="U230" s="160"/>
      <c r="V230" s="160"/>
      <c r="X230" s="160"/>
      <c r="Y230" s="160"/>
      <c r="AA230" s="160"/>
      <c r="AB230" s="160"/>
    </row>
    <row r="231" spans="13:28" x14ac:dyDescent="0.25">
      <c r="M231" s="181"/>
      <c r="N231" s="173"/>
      <c r="O231" s="189" t="str">
        <f>CONCATENATE(تقویم!$A$2,HolidayTable[[#This Row],[روز و ماه]])</f>
        <v>1400</v>
      </c>
      <c r="Q231" s="160"/>
      <c r="R231" s="160"/>
      <c r="S231" s="189" t="str">
        <f>CONCATENATE(تقویم!$A$2,EventsTable[[#This Row],[روز و ماه]])</f>
        <v>1400</v>
      </c>
      <c r="U231" s="160"/>
      <c r="V231" s="160"/>
      <c r="X231" s="160"/>
      <c r="Y231" s="160"/>
      <c r="AA231" s="160"/>
      <c r="AB231" s="160"/>
    </row>
    <row r="232" spans="13:28" x14ac:dyDescent="0.25">
      <c r="M232" s="181"/>
      <c r="N232" s="173"/>
      <c r="O232" s="189" t="str">
        <f>CONCATENATE(تقویم!$A$2,HolidayTable[[#This Row],[روز و ماه]])</f>
        <v>1400</v>
      </c>
      <c r="Q232" s="160"/>
      <c r="R232" s="160"/>
      <c r="S232" s="189" t="str">
        <f>CONCATENATE(تقویم!$A$2,EventsTable[[#This Row],[روز و ماه]])</f>
        <v>1400</v>
      </c>
      <c r="U232" s="160"/>
      <c r="V232" s="160"/>
      <c r="X232" s="160"/>
      <c r="Y232" s="160"/>
      <c r="AA232" s="160"/>
      <c r="AB232" s="160"/>
    </row>
    <row r="233" spans="13:28" x14ac:dyDescent="0.25">
      <c r="M233" s="181"/>
      <c r="N233" s="173"/>
      <c r="O233" s="189" t="str">
        <f>CONCATENATE(تقویم!$A$2,HolidayTable[[#This Row],[روز و ماه]])</f>
        <v>1400</v>
      </c>
      <c r="Q233" s="160"/>
      <c r="R233" s="160"/>
      <c r="S233" s="189" t="str">
        <f>CONCATENATE(تقویم!$A$2,EventsTable[[#This Row],[روز و ماه]])</f>
        <v>1400</v>
      </c>
      <c r="U233" s="160"/>
      <c r="V233" s="160"/>
      <c r="X233" s="160"/>
      <c r="Y233" s="160"/>
      <c r="AA233" s="160"/>
      <c r="AB233" s="160"/>
    </row>
    <row r="234" spans="13:28" x14ac:dyDescent="0.25">
      <c r="M234" s="181"/>
      <c r="N234" s="173"/>
      <c r="O234" s="189" t="str">
        <f>CONCATENATE(تقویم!$A$2,HolidayTable[[#This Row],[روز و ماه]])</f>
        <v>1400</v>
      </c>
      <c r="Q234" s="160"/>
      <c r="R234" s="160"/>
      <c r="S234" s="189" t="str">
        <f>CONCATENATE(تقویم!$A$2,EventsTable[[#This Row],[روز و ماه]])</f>
        <v>1400</v>
      </c>
      <c r="U234" s="160"/>
      <c r="V234" s="160"/>
      <c r="X234" s="160"/>
      <c r="Y234" s="160"/>
      <c r="AA234" s="160"/>
      <c r="AB234" s="160"/>
    </row>
    <row r="235" spans="13:28" x14ac:dyDescent="0.25">
      <c r="M235" s="181"/>
      <c r="N235" s="173"/>
      <c r="O235" s="189" t="str">
        <f>CONCATENATE(تقویم!$A$2,HolidayTable[[#This Row],[روز و ماه]])</f>
        <v>1400</v>
      </c>
      <c r="Q235" s="160"/>
      <c r="R235" s="160"/>
      <c r="S235" s="189" t="str">
        <f>CONCATENATE(تقویم!$A$2,EventsTable[[#This Row],[روز و ماه]])</f>
        <v>1400</v>
      </c>
      <c r="U235" s="160"/>
      <c r="V235" s="160"/>
      <c r="X235" s="160"/>
      <c r="Y235" s="160"/>
      <c r="AA235" s="160"/>
      <c r="AB235" s="160"/>
    </row>
    <row r="236" spans="13:28" x14ac:dyDescent="0.25">
      <c r="M236" s="181"/>
      <c r="N236" s="173"/>
      <c r="O236" s="189" t="str">
        <f>CONCATENATE(تقویم!$A$2,HolidayTable[[#This Row],[روز و ماه]])</f>
        <v>1400</v>
      </c>
      <c r="Q236" s="160"/>
      <c r="R236" s="160"/>
      <c r="S236" s="189" t="str">
        <f>CONCATENATE(تقویم!$A$2,EventsTable[[#This Row],[روز و ماه]])</f>
        <v>1400</v>
      </c>
      <c r="U236" s="160"/>
      <c r="V236" s="160"/>
      <c r="X236" s="160"/>
      <c r="Y236" s="160"/>
      <c r="AA236" s="160"/>
      <c r="AB236" s="160"/>
    </row>
    <row r="237" spans="13:28" x14ac:dyDescent="0.25">
      <c r="M237" s="181"/>
      <c r="N237" s="173"/>
      <c r="O237" s="189" t="str">
        <f>CONCATENATE(تقویم!$A$2,HolidayTable[[#This Row],[روز و ماه]])</f>
        <v>1400</v>
      </c>
      <c r="Q237" s="160"/>
      <c r="R237" s="160"/>
      <c r="S237" s="189" t="str">
        <f>CONCATENATE(تقویم!$A$2,EventsTable[[#This Row],[روز و ماه]])</f>
        <v>1400</v>
      </c>
      <c r="U237" s="160"/>
      <c r="V237" s="160"/>
      <c r="X237" s="160"/>
      <c r="Y237" s="160"/>
      <c r="AA237" s="160"/>
      <c r="AB237" s="160"/>
    </row>
    <row r="238" spans="13:28" x14ac:dyDescent="0.25">
      <c r="M238" s="181"/>
      <c r="N238" s="173"/>
      <c r="O238" s="189" t="str">
        <f>CONCATENATE(تقویم!$A$2,HolidayTable[[#This Row],[روز و ماه]])</f>
        <v>1400</v>
      </c>
      <c r="Q238" s="160"/>
      <c r="R238" s="160"/>
      <c r="S238" s="189" t="str">
        <f>CONCATENATE(تقویم!$A$2,EventsTable[[#This Row],[روز و ماه]])</f>
        <v>1400</v>
      </c>
      <c r="U238" s="160"/>
      <c r="V238" s="160"/>
      <c r="X238" s="160"/>
      <c r="Y238" s="160"/>
      <c r="AA238" s="160"/>
      <c r="AB238" s="160"/>
    </row>
    <row r="239" spans="13:28" x14ac:dyDescent="0.25">
      <c r="M239" s="181"/>
      <c r="N239" s="173"/>
      <c r="O239" s="189" t="str">
        <f>CONCATENATE(تقویم!$A$2,HolidayTable[[#This Row],[روز و ماه]])</f>
        <v>1400</v>
      </c>
      <c r="Q239" s="160"/>
      <c r="R239" s="160"/>
      <c r="S239" s="189" t="str">
        <f>CONCATENATE(تقویم!$A$2,EventsTable[[#This Row],[روز و ماه]])</f>
        <v>1400</v>
      </c>
      <c r="U239" s="160"/>
      <c r="V239" s="160"/>
      <c r="X239" s="160"/>
      <c r="Y239" s="160"/>
      <c r="AA239" s="160"/>
      <c r="AB239" s="160"/>
    </row>
    <row r="240" spans="13:28" x14ac:dyDescent="0.25">
      <c r="M240" s="181"/>
      <c r="N240" s="173"/>
      <c r="O240" s="189" t="str">
        <f>CONCATENATE(تقویم!$A$2,HolidayTable[[#This Row],[روز و ماه]])</f>
        <v>1400</v>
      </c>
      <c r="Q240" s="160"/>
      <c r="R240" s="160"/>
      <c r="S240" s="189" t="str">
        <f>CONCATENATE(تقویم!$A$2,EventsTable[[#This Row],[روز و ماه]])</f>
        <v>1400</v>
      </c>
      <c r="U240" s="160"/>
      <c r="V240" s="160"/>
      <c r="X240" s="160"/>
      <c r="Y240" s="160"/>
      <c r="AA240" s="160"/>
      <c r="AB240" s="160"/>
    </row>
    <row r="241" spans="13:28" x14ac:dyDescent="0.25">
      <c r="M241" s="181"/>
      <c r="N241" s="173"/>
      <c r="O241" s="189" t="str">
        <f>CONCATENATE(تقویم!$A$2,HolidayTable[[#This Row],[روز و ماه]])</f>
        <v>1400</v>
      </c>
      <c r="Q241" s="160"/>
      <c r="R241" s="160"/>
      <c r="S241" s="189" t="str">
        <f>CONCATENATE(تقویم!$A$2,EventsTable[[#This Row],[روز و ماه]])</f>
        <v>1400</v>
      </c>
      <c r="U241" s="160"/>
      <c r="V241" s="160"/>
      <c r="X241" s="160"/>
      <c r="Y241" s="160"/>
      <c r="AA241" s="160"/>
      <c r="AB241" s="160"/>
    </row>
    <row r="242" spans="13:28" x14ac:dyDescent="0.25">
      <c r="M242" s="181"/>
      <c r="N242" s="173"/>
      <c r="O242" s="189" t="str">
        <f>CONCATENATE(تقویم!$A$2,HolidayTable[[#This Row],[روز و ماه]])</f>
        <v>1400</v>
      </c>
      <c r="Q242" s="160"/>
      <c r="R242" s="160"/>
      <c r="S242" s="189" t="str">
        <f>CONCATENATE(تقویم!$A$2,EventsTable[[#This Row],[روز و ماه]])</f>
        <v>1400</v>
      </c>
      <c r="U242" s="160"/>
      <c r="V242" s="160"/>
      <c r="X242" s="160"/>
      <c r="Y242" s="160"/>
      <c r="AA242" s="160"/>
      <c r="AB242" s="160"/>
    </row>
    <row r="243" spans="13:28" x14ac:dyDescent="0.25">
      <c r="M243" s="181"/>
      <c r="N243" s="173"/>
      <c r="O243" s="189" t="str">
        <f>CONCATENATE(تقویم!$A$2,HolidayTable[[#This Row],[روز و ماه]])</f>
        <v>1400</v>
      </c>
      <c r="Q243" s="160"/>
      <c r="R243" s="160"/>
      <c r="S243" s="189" t="str">
        <f>CONCATENATE(تقویم!$A$2,EventsTable[[#This Row],[روز و ماه]])</f>
        <v>1400</v>
      </c>
      <c r="U243" s="160"/>
      <c r="V243" s="160"/>
      <c r="X243" s="160"/>
      <c r="Y243" s="160"/>
      <c r="AA243" s="160"/>
      <c r="AB243" s="160"/>
    </row>
    <row r="244" spans="13:28" x14ac:dyDescent="0.25">
      <c r="M244" s="181"/>
      <c r="N244" s="173"/>
      <c r="O244" s="189" t="str">
        <f>CONCATENATE(تقویم!$A$2,HolidayTable[[#This Row],[روز و ماه]])</f>
        <v>1400</v>
      </c>
      <c r="Q244" s="160"/>
      <c r="R244" s="160"/>
      <c r="S244" s="189" t="str">
        <f>CONCATENATE(تقویم!$A$2,EventsTable[[#This Row],[روز و ماه]])</f>
        <v>1400</v>
      </c>
      <c r="U244" s="160"/>
      <c r="V244" s="160"/>
      <c r="X244" s="160"/>
      <c r="Y244" s="160"/>
      <c r="AA244" s="160"/>
      <c r="AB244" s="160"/>
    </row>
    <row r="245" spans="13:28" x14ac:dyDescent="0.25">
      <c r="M245" s="181"/>
      <c r="N245" s="173"/>
      <c r="O245" s="189" t="str">
        <f>CONCATENATE(تقویم!$A$2,HolidayTable[[#This Row],[روز و ماه]])</f>
        <v>1400</v>
      </c>
      <c r="Q245" s="160"/>
      <c r="R245" s="160"/>
      <c r="S245" s="189" t="str">
        <f>CONCATENATE(تقویم!$A$2,EventsTable[[#This Row],[روز و ماه]])</f>
        <v>1400</v>
      </c>
      <c r="U245" s="160"/>
      <c r="V245" s="160"/>
      <c r="X245" s="160"/>
      <c r="Y245" s="160"/>
      <c r="AA245" s="160"/>
      <c r="AB245" s="160"/>
    </row>
    <row r="246" spans="13:28" x14ac:dyDescent="0.25">
      <c r="M246" s="181"/>
      <c r="N246" s="173"/>
      <c r="O246" s="189" t="str">
        <f>CONCATENATE(تقویم!$A$2,HolidayTable[[#This Row],[روز و ماه]])</f>
        <v>1400</v>
      </c>
      <c r="Q246" s="160"/>
      <c r="R246" s="160"/>
      <c r="S246" s="189" t="str">
        <f>CONCATENATE(تقویم!$A$2,EventsTable[[#This Row],[روز و ماه]])</f>
        <v>1400</v>
      </c>
      <c r="U246" s="160"/>
      <c r="V246" s="160"/>
      <c r="X246" s="160"/>
      <c r="Y246" s="160"/>
      <c r="AA246" s="160"/>
      <c r="AB246" s="160"/>
    </row>
    <row r="247" spans="13:28" x14ac:dyDescent="0.25">
      <c r="M247" s="181"/>
      <c r="N247" s="173"/>
      <c r="O247" s="189" t="str">
        <f>CONCATENATE(تقویم!$A$2,HolidayTable[[#This Row],[روز و ماه]])</f>
        <v>1400</v>
      </c>
      <c r="Q247" s="160"/>
      <c r="R247" s="160"/>
      <c r="S247" s="189" t="str">
        <f>CONCATENATE(تقویم!$A$2,EventsTable[[#This Row],[روز و ماه]])</f>
        <v>1400</v>
      </c>
      <c r="U247" s="160"/>
      <c r="V247" s="160"/>
      <c r="X247" s="160"/>
      <c r="Y247" s="160"/>
      <c r="AA247" s="160"/>
      <c r="AB247" s="160"/>
    </row>
    <row r="248" spans="13:28" x14ac:dyDescent="0.25">
      <c r="M248" s="181"/>
      <c r="N248" s="173"/>
      <c r="O248" s="189" t="str">
        <f>CONCATENATE(تقویم!$A$2,HolidayTable[[#This Row],[روز و ماه]])</f>
        <v>1400</v>
      </c>
      <c r="Q248" s="160"/>
      <c r="R248" s="160"/>
      <c r="S248" s="189" t="str">
        <f>CONCATENATE(تقویم!$A$2,EventsTable[[#This Row],[روز و ماه]])</f>
        <v>1400</v>
      </c>
      <c r="U248" s="160"/>
      <c r="V248" s="160"/>
      <c r="X248" s="160"/>
      <c r="Y248" s="160"/>
      <c r="AA248" s="160"/>
      <c r="AB248" s="160"/>
    </row>
    <row r="249" spans="13:28" x14ac:dyDescent="0.25">
      <c r="M249" s="181"/>
      <c r="N249" s="173"/>
      <c r="O249" s="189" t="str">
        <f>CONCATENATE(تقویم!$A$2,HolidayTable[[#This Row],[روز و ماه]])</f>
        <v>1400</v>
      </c>
      <c r="Q249" s="160"/>
      <c r="R249" s="160"/>
      <c r="S249" s="189" t="str">
        <f>CONCATENATE(تقویم!$A$2,EventsTable[[#This Row],[روز و ماه]])</f>
        <v>1400</v>
      </c>
      <c r="U249" s="160"/>
      <c r="V249" s="160"/>
      <c r="X249" s="160"/>
      <c r="Y249" s="160"/>
      <c r="AA249" s="160"/>
      <c r="AB249" s="160"/>
    </row>
    <row r="250" spans="13:28" x14ac:dyDescent="0.25">
      <c r="M250" s="181"/>
      <c r="N250" s="173"/>
      <c r="O250" s="189" t="str">
        <f>CONCATENATE(تقویم!$A$2,HolidayTable[[#This Row],[روز و ماه]])</f>
        <v>1400</v>
      </c>
      <c r="Q250" s="160"/>
      <c r="R250" s="160"/>
      <c r="S250" s="189" t="str">
        <f>CONCATENATE(تقویم!$A$2,EventsTable[[#This Row],[روز و ماه]])</f>
        <v>1400</v>
      </c>
      <c r="U250" s="160"/>
      <c r="V250" s="160"/>
      <c r="X250" s="160"/>
      <c r="Y250" s="160"/>
      <c r="AA250" s="160"/>
      <c r="AB250" s="160"/>
    </row>
    <row r="251" spans="13:28" x14ac:dyDescent="0.25">
      <c r="M251" s="181"/>
      <c r="N251" s="173"/>
      <c r="O251" s="189" t="str">
        <f>CONCATENATE(تقویم!$A$2,HolidayTable[[#This Row],[روز و ماه]])</f>
        <v>1400</v>
      </c>
      <c r="Q251" s="160"/>
      <c r="R251" s="160"/>
      <c r="S251" s="189" t="str">
        <f>CONCATENATE(تقویم!$A$2,EventsTable[[#This Row],[روز و ماه]])</f>
        <v>1400</v>
      </c>
      <c r="U251" s="160"/>
      <c r="V251" s="160"/>
      <c r="X251" s="160"/>
      <c r="Y251" s="160"/>
      <c r="AA251" s="160"/>
      <c r="AB251" s="160"/>
    </row>
    <row r="252" spans="13:28" x14ac:dyDescent="0.25">
      <c r="M252" s="181"/>
      <c r="N252" s="173"/>
      <c r="O252" s="189" t="str">
        <f>CONCATENATE(تقویم!$A$2,HolidayTable[[#This Row],[روز و ماه]])</f>
        <v>1400</v>
      </c>
      <c r="Q252" s="160"/>
      <c r="R252" s="160"/>
      <c r="S252" s="189" t="str">
        <f>CONCATENATE(تقویم!$A$2,EventsTable[[#This Row],[روز و ماه]])</f>
        <v>1400</v>
      </c>
      <c r="U252" s="160"/>
      <c r="V252" s="160"/>
      <c r="X252" s="160"/>
      <c r="Y252" s="160"/>
      <c r="AA252" s="160"/>
      <c r="AB252" s="160"/>
    </row>
    <row r="253" spans="13:28" x14ac:dyDescent="0.25">
      <c r="M253" s="181"/>
      <c r="N253" s="173"/>
      <c r="O253" s="189" t="str">
        <f>CONCATENATE(تقویم!$A$2,HolidayTable[[#This Row],[روز و ماه]])</f>
        <v>1400</v>
      </c>
      <c r="Q253" s="160"/>
      <c r="R253" s="160"/>
      <c r="S253" s="189" t="str">
        <f>CONCATENATE(تقویم!$A$2,EventsTable[[#This Row],[روز و ماه]])</f>
        <v>1400</v>
      </c>
      <c r="U253" s="160"/>
      <c r="V253" s="160"/>
      <c r="X253" s="160"/>
      <c r="Y253" s="160"/>
      <c r="AA253" s="160"/>
      <c r="AB253" s="160"/>
    </row>
    <row r="254" spans="13:28" x14ac:dyDescent="0.25">
      <c r="M254" s="181"/>
      <c r="N254" s="173"/>
      <c r="O254" s="189" t="str">
        <f>CONCATENATE(تقویم!$A$2,HolidayTable[[#This Row],[روز و ماه]])</f>
        <v>1400</v>
      </c>
      <c r="Q254" s="160"/>
      <c r="R254" s="160"/>
      <c r="S254" s="189" t="str">
        <f>CONCATENATE(تقویم!$A$2,EventsTable[[#This Row],[روز و ماه]])</f>
        <v>1400</v>
      </c>
      <c r="U254" s="160"/>
      <c r="V254" s="160"/>
      <c r="X254" s="160"/>
      <c r="Y254" s="160"/>
      <c r="AA254" s="160"/>
      <c r="AB254" s="160"/>
    </row>
    <row r="255" spans="13:28" x14ac:dyDescent="0.25">
      <c r="M255" s="181"/>
      <c r="N255" s="173"/>
      <c r="O255" s="189" t="str">
        <f>CONCATENATE(تقویم!$A$2,HolidayTable[[#This Row],[روز و ماه]])</f>
        <v>1400</v>
      </c>
      <c r="Q255" s="160"/>
      <c r="R255" s="160"/>
      <c r="S255" s="189" t="str">
        <f>CONCATENATE(تقویم!$A$2,EventsTable[[#This Row],[روز و ماه]])</f>
        <v>1400</v>
      </c>
      <c r="U255" s="160"/>
      <c r="V255" s="160"/>
      <c r="X255" s="160"/>
      <c r="Y255" s="160"/>
      <c r="AA255" s="160"/>
      <c r="AB255" s="160"/>
    </row>
    <row r="256" spans="13:28" x14ac:dyDescent="0.25">
      <c r="M256" s="181"/>
      <c r="N256" s="173"/>
      <c r="O256" s="189" t="str">
        <f>CONCATENATE(تقویم!$A$2,HolidayTable[[#This Row],[روز و ماه]])</f>
        <v>1400</v>
      </c>
      <c r="Q256" s="160"/>
      <c r="R256" s="160"/>
      <c r="S256" s="189" t="str">
        <f>CONCATENATE(تقویم!$A$2,EventsTable[[#This Row],[روز و ماه]])</f>
        <v>1400</v>
      </c>
      <c r="U256" s="160"/>
      <c r="V256" s="160"/>
      <c r="X256" s="160"/>
      <c r="Y256" s="160"/>
      <c r="AA256" s="160"/>
      <c r="AB256" s="160"/>
    </row>
    <row r="257" spans="13:28" x14ac:dyDescent="0.25">
      <c r="M257" s="181"/>
      <c r="N257" s="173"/>
      <c r="O257" s="189" t="str">
        <f>CONCATENATE(تقویم!$A$2,HolidayTable[[#This Row],[روز و ماه]])</f>
        <v>1400</v>
      </c>
      <c r="Q257" s="160"/>
      <c r="R257" s="160"/>
      <c r="S257" s="189" t="str">
        <f>CONCATENATE(تقویم!$A$2,EventsTable[[#This Row],[روز و ماه]])</f>
        <v>1400</v>
      </c>
      <c r="U257" s="160"/>
      <c r="V257" s="160"/>
      <c r="X257" s="160"/>
      <c r="Y257" s="160"/>
      <c r="AA257" s="160"/>
      <c r="AB257" s="160"/>
    </row>
    <row r="258" spans="13:28" x14ac:dyDescent="0.25">
      <c r="M258" s="181"/>
      <c r="N258" s="173"/>
      <c r="O258" s="189" t="str">
        <f>CONCATENATE(تقویم!$A$2,HolidayTable[[#This Row],[روز و ماه]])</f>
        <v>1400</v>
      </c>
      <c r="Q258" s="160"/>
      <c r="R258" s="160"/>
      <c r="S258" s="189" t="str">
        <f>CONCATENATE(تقویم!$A$2,EventsTable[[#This Row],[روز و ماه]])</f>
        <v>1400</v>
      </c>
      <c r="U258" s="160"/>
      <c r="V258" s="160"/>
      <c r="X258" s="160"/>
      <c r="Y258" s="160"/>
      <c r="AA258" s="160"/>
      <c r="AB258" s="160"/>
    </row>
    <row r="259" spans="13:28" x14ac:dyDescent="0.25">
      <c r="M259" s="181"/>
      <c r="N259" s="173"/>
      <c r="O259" s="189" t="str">
        <f>CONCATENATE(تقویم!$A$2,HolidayTable[[#This Row],[روز و ماه]])</f>
        <v>1400</v>
      </c>
      <c r="Q259" s="160"/>
      <c r="R259" s="160"/>
      <c r="S259" s="189" t="str">
        <f>CONCATENATE(تقویم!$A$2,EventsTable[[#This Row],[روز و ماه]])</f>
        <v>1400</v>
      </c>
      <c r="U259" s="160"/>
      <c r="V259" s="160"/>
      <c r="X259" s="160"/>
      <c r="Y259" s="160"/>
      <c r="AA259" s="160"/>
      <c r="AB259" s="160"/>
    </row>
    <row r="260" spans="13:28" x14ac:dyDescent="0.25">
      <c r="M260" s="181"/>
      <c r="N260" s="173"/>
      <c r="O260" s="189" t="str">
        <f>CONCATENATE(تقویم!$A$2,HolidayTable[[#This Row],[روز و ماه]])</f>
        <v>1400</v>
      </c>
      <c r="Q260" s="160"/>
      <c r="R260" s="160"/>
      <c r="S260" s="189" t="str">
        <f>CONCATENATE(تقویم!$A$2,EventsTable[[#This Row],[روز و ماه]])</f>
        <v>1400</v>
      </c>
      <c r="U260" s="160"/>
      <c r="V260" s="160"/>
      <c r="X260" s="160"/>
      <c r="Y260" s="160"/>
      <c r="AA260" s="160"/>
      <c r="AB260" s="160"/>
    </row>
    <row r="261" spans="13:28" x14ac:dyDescent="0.25">
      <c r="M261" s="181"/>
      <c r="N261" s="173"/>
      <c r="O261" s="189" t="str">
        <f>CONCATENATE(تقویم!$A$2,HolidayTable[[#This Row],[روز و ماه]])</f>
        <v>1400</v>
      </c>
      <c r="Q261" s="160"/>
      <c r="R261" s="160"/>
      <c r="S261" s="189" t="str">
        <f>CONCATENATE(تقویم!$A$2,EventsTable[[#This Row],[روز و ماه]])</f>
        <v>1400</v>
      </c>
      <c r="U261" s="160"/>
      <c r="V261" s="160"/>
      <c r="X261" s="160"/>
      <c r="Y261" s="160"/>
      <c r="AA261" s="160"/>
      <c r="AB261" s="160"/>
    </row>
    <row r="262" spans="13:28" x14ac:dyDescent="0.25">
      <c r="M262" s="181"/>
      <c r="N262" s="173"/>
      <c r="O262" s="189" t="str">
        <f>CONCATENATE(تقویم!$A$2,HolidayTable[[#This Row],[روز و ماه]])</f>
        <v>1400</v>
      </c>
      <c r="Q262" s="160"/>
      <c r="R262" s="160"/>
      <c r="S262" s="189" t="str">
        <f>CONCATENATE(تقویم!$A$2,EventsTable[[#This Row],[روز و ماه]])</f>
        <v>1400</v>
      </c>
      <c r="U262" s="160"/>
      <c r="V262" s="160"/>
      <c r="X262" s="160"/>
      <c r="Y262" s="160"/>
      <c r="AA262" s="160"/>
      <c r="AB262" s="160"/>
    </row>
    <row r="263" spans="13:28" x14ac:dyDescent="0.25">
      <c r="M263" s="181"/>
      <c r="N263" s="173"/>
      <c r="O263" s="189" t="str">
        <f>CONCATENATE(تقویم!$A$2,HolidayTable[[#This Row],[روز و ماه]])</f>
        <v>1400</v>
      </c>
      <c r="Q263" s="160"/>
      <c r="R263" s="160"/>
      <c r="S263" s="189" t="str">
        <f>CONCATENATE(تقویم!$A$2,EventsTable[[#This Row],[روز و ماه]])</f>
        <v>1400</v>
      </c>
      <c r="U263" s="160"/>
      <c r="V263" s="160"/>
      <c r="X263" s="160"/>
      <c r="Y263" s="160"/>
      <c r="AA263" s="160"/>
      <c r="AB263" s="160"/>
    </row>
    <row r="264" spans="13:28" x14ac:dyDescent="0.25">
      <c r="M264" s="181"/>
      <c r="N264" s="173"/>
      <c r="O264" s="189" t="str">
        <f>CONCATENATE(تقویم!$A$2,HolidayTable[[#This Row],[روز و ماه]])</f>
        <v>1400</v>
      </c>
      <c r="Q264" s="160"/>
      <c r="R264" s="160"/>
      <c r="S264" s="189" t="str">
        <f>CONCATENATE(تقویم!$A$2,EventsTable[[#This Row],[روز و ماه]])</f>
        <v>1400</v>
      </c>
      <c r="U264" s="160"/>
      <c r="V264" s="160"/>
      <c r="X264" s="160"/>
      <c r="Y264" s="160"/>
      <c r="AA264" s="160"/>
      <c r="AB264" s="160"/>
    </row>
    <row r="265" spans="13:28" x14ac:dyDescent="0.25">
      <c r="M265" s="181"/>
      <c r="N265" s="173"/>
      <c r="O265" s="189" t="str">
        <f>CONCATENATE(تقویم!$A$2,HolidayTable[[#This Row],[روز و ماه]])</f>
        <v>1400</v>
      </c>
      <c r="Q265" s="160"/>
      <c r="R265" s="160"/>
      <c r="S265" s="189" t="str">
        <f>CONCATENATE(تقویم!$A$2,EventsTable[[#This Row],[روز و ماه]])</f>
        <v>1400</v>
      </c>
      <c r="U265" s="160"/>
      <c r="V265" s="160"/>
      <c r="X265" s="160"/>
      <c r="Y265" s="160"/>
      <c r="AA265" s="160"/>
      <c r="AB265" s="160"/>
    </row>
    <row r="266" spans="13:28" x14ac:dyDescent="0.25">
      <c r="M266" s="181"/>
      <c r="N266" s="173"/>
      <c r="O266" s="189" t="str">
        <f>CONCATENATE(تقویم!$A$2,HolidayTable[[#This Row],[روز و ماه]])</f>
        <v>1400</v>
      </c>
      <c r="Q266" s="160"/>
      <c r="R266" s="160"/>
      <c r="S266" s="189" t="str">
        <f>CONCATENATE(تقویم!$A$2,EventsTable[[#This Row],[روز و ماه]])</f>
        <v>1400</v>
      </c>
      <c r="U266" s="160"/>
      <c r="V266" s="160"/>
      <c r="X266" s="160"/>
      <c r="Y266" s="160"/>
      <c r="AA266" s="160"/>
      <c r="AB266" s="160"/>
    </row>
    <row r="267" spans="13:28" x14ac:dyDescent="0.25">
      <c r="M267" s="181"/>
      <c r="N267" s="173"/>
      <c r="O267" s="189" t="str">
        <f>CONCATENATE(تقویم!$A$2,HolidayTable[[#This Row],[روز و ماه]])</f>
        <v>1400</v>
      </c>
      <c r="Q267" s="160"/>
      <c r="R267" s="160"/>
      <c r="S267" s="189" t="str">
        <f>CONCATENATE(تقویم!$A$2,EventsTable[[#This Row],[روز و ماه]])</f>
        <v>1400</v>
      </c>
      <c r="U267" s="160"/>
      <c r="V267" s="160"/>
      <c r="X267" s="160"/>
      <c r="Y267" s="160"/>
      <c r="AA267" s="160"/>
      <c r="AB267" s="160"/>
    </row>
    <row r="268" spans="13:28" x14ac:dyDescent="0.25">
      <c r="M268" s="181"/>
      <c r="N268" s="173"/>
      <c r="O268" s="189" t="str">
        <f>CONCATENATE(تقویم!$A$2,HolidayTable[[#This Row],[روز و ماه]])</f>
        <v>1400</v>
      </c>
      <c r="Q268" s="160"/>
      <c r="R268" s="160"/>
      <c r="S268" s="189" t="str">
        <f>CONCATENATE(تقویم!$A$2,EventsTable[[#This Row],[روز و ماه]])</f>
        <v>1400</v>
      </c>
      <c r="U268" s="160"/>
      <c r="V268" s="160"/>
      <c r="X268" s="160"/>
      <c r="Y268" s="160"/>
      <c r="AA268" s="160"/>
      <c r="AB268" s="160"/>
    </row>
    <row r="269" spans="13:28" x14ac:dyDescent="0.25">
      <c r="M269" s="181"/>
      <c r="N269" s="173"/>
      <c r="O269" s="189" t="str">
        <f>CONCATENATE(تقویم!$A$2,HolidayTable[[#This Row],[روز و ماه]])</f>
        <v>1400</v>
      </c>
      <c r="Q269" s="160"/>
      <c r="R269" s="160"/>
      <c r="S269" s="189" t="str">
        <f>CONCATENATE(تقویم!$A$2,EventsTable[[#This Row],[روز و ماه]])</f>
        <v>1400</v>
      </c>
      <c r="U269" s="160"/>
      <c r="V269" s="160"/>
      <c r="X269" s="160"/>
      <c r="Y269" s="160"/>
      <c r="AA269" s="160"/>
      <c r="AB269" s="160"/>
    </row>
    <row r="270" spans="13:28" x14ac:dyDescent="0.25">
      <c r="M270" s="181"/>
      <c r="N270" s="173"/>
      <c r="O270" s="189" t="str">
        <f>CONCATENATE(تقویم!$A$2,HolidayTable[[#This Row],[روز و ماه]])</f>
        <v>1400</v>
      </c>
      <c r="Q270" s="160"/>
      <c r="R270" s="160"/>
      <c r="S270" s="189" t="str">
        <f>CONCATENATE(تقویم!$A$2,EventsTable[[#This Row],[روز و ماه]])</f>
        <v>1400</v>
      </c>
      <c r="U270" s="160"/>
      <c r="V270" s="160"/>
      <c r="X270" s="160"/>
      <c r="Y270" s="160"/>
      <c r="AA270" s="160"/>
      <c r="AB270" s="160"/>
    </row>
    <row r="271" spans="13:28" x14ac:dyDescent="0.25">
      <c r="M271" s="181"/>
      <c r="N271" s="173"/>
      <c r="O271" s="189" t="str">
        <f>CONCATENATE(تقویم!$A$2,HolidayTable[[#This Row],[روز و ماه]])</f>
        <v>1400</v>
      </c>
      <c r="Q271" s="160"/>
      <c r="R271" s="160"/>
      <c r="S271" s="189" t="str">
        <f>CONCATENATE(تقویم!$A$2,EventsTable[[#This Row],[روز و ماه]])</f>
        <v>1400</v>
      </c>
      <c r="U271" s="160"/>
      <c r="V271" s="160"/>
      <c r="X271" s="160"/>
      <c r="Y271" s="160"/>
      <c r="AA271" s="160"/>
      <c r="AB271" s="160"/>
    </row>
    <row r="272" spans="13:28" x14ac:dyDescent="0.25">
      <c r="M272" s="181"/>
      <c r="N272" s="173"/>
      <c r="O272" s="189" t="str">
        <f>CONCATENATE(تقویم!$A$2,HolidayTable[[#This Row],[روز و ماه]])</f>
        <v>1400</v>
      </c>
      <c r="Q272" s="160"/>
      <c r="R272" s="160"/>
      <c r="S272" s="189" t="str">
        <f>CONCATENATE(تقویم!$A$2,EventsTable[[#This Row],[روز و ماه]])</f>
        <v>1400</v>
      </c>
      <c r="U272" s="160"/>
      <c r="V272" s="160"/>
      <c r="X272" s="160"/>
      <c r="Y272" s="160"/>
      <c r="AA272" s="160"/>
      <c r="AB272" s="160"/>
    </row>
    <row r="273" spans="13:28" x14ac:dyDescent="0.25">
      <c r="M273" s="181"/>
      <c r="N273" s="173"/>
      <c r="O273" s="189" t="str">
        <f>CONCATENATE(تقویم!$A$2,HolidayTable[[#This Row],[روز و ماه]])</f>
        <v>1400</v>
      </c>
      <c r="Q273" s="160"/>
      <c r="R273" s="160"/>
      <c r="S273" s="189" t="str">
        <f>CONCATENATE(تقویم!$A$2,EventsTable[[#This Row],[روز و ماه]])</f>
        <v>1400</v>
      </c>
      <c r="U273" s="160"/>
      <c r="V273" s="160"/>
      <c r="X273" s="160"/>
      <c r="Y273" s="160"/>
      <c r="AA273" s="160"/>
      <c r="AB273" s="160"/>
    </row>
    <row r="274" spans="13:28" x14ac:dyDescent="0.25">
      <c r="M274" s="181"/>
      <c r="N274" s="173"/>
      <c r="O274" s="189" t="str">
        <f>CONCATENATE(تقویم!$A$2,HolidayTable[[#This Row],[روز و ماه]])</f>
        <v>1400</v>
      </c>
      <c r="Q274" s="160"/>
      <c r="R274" s="160"/>
      <c r="S274" s="189" t="str">
        <f>CONCATENATE(تقویم!$A$2,EventsTable[[#This Row],[روز و ماه]])</f>
        <v>1400</v>
      </c>
      <c r="U274" s="160"/>
      <c r="V274" s="160"/>
      <c r="X274" s="160"/>
      <c r="Y274" s="160"/>
      <c r="AA274" s="160"/>
      <c r="AB274" s="160"/>
    </row>
    <row r="275" spans="13:28" x14ac:dyDescent="0.25">
      <c r="M275" s="181"/>
      <c r="N275" s="173"/>
      <c r="O275" s="189" t="str">
        <f>CONCATENATE(تقویم!$A$2,HolidayTable[[#This Row],[روز و ماه]])</f>
        <v>1400</v>
      </c>
      <c r="Q275" s="160"/>
      <c r="R275" s="160"/>
      <c r="S275" s="189" t="str">
        <f>CONCATENATE(تقویم!$A$2,EventsTable[[#This Row],[روز و ماه]])</f>
        <v>1400</v>
      </c>
      <c r="U275" s="160"/>
      <c r="V275" s="160"/>
      <c r="X275" s="160"/>
      <c r="Y275" s="160"/>
      <c r="AA275" s="160"/>
      <c r="AB275" s="160"/>
    </row>
    <row r="276" spans="13:28" x14ac:dyDescent="0.25">
      <c r="M276" s="181"/>
      <c r="N276" s="173"/>
      <c r="O276" s="189" t="str">
        <f>CONCATENATE(تقویم!$A$2,HolidayTable[[#This Row],[روز و ماه]])</f>
        <v>1400</v>
      </c>
      <c r="Q276" s="160"/>
      <c r="R276" s="160"/>
      <c r="S276" s="189" t="str">
        <f>CONCATENATE(تقویم!$A$2,EventsTable[[#This Row],[روز و ماه]])</f>
        <v>1400</v>
      </c>
      <c r="U276" s="160"/>
      <c r="V276" s="160"/>
      <c r="X276" s="160"/>
      <c r="Y276" s="160"/>
      <c r="AA276" s="160"/>
      <c r="AB276" s="160"/>
    </row>
    <row r="277" spans="13:28" x14ac:dyDescent="0.25">
      <c r="M277" s="181"/>
      <c r="N277" s="173"/>
      <c r="O277" s="189" t="str">
        <f>CONCATENATE(تقویم!$A$2,HolidayTable[[#This Row],[روز و ماه]])</f>
        <v>1400</v>
      </c>
      <c r="Q277" s="160"/>
      <c r="R277" s="160"/>
      <c r="S277" s="189" t="str">
        <f>CONCATENATE(تقویم!$A$2,EventsTable[[#This Row],[روز و ماه]])</f>
        <v>1400</v>
      </c>
      <c r="U277" s="160"/>
      <c r="V277" s="160"/>
      <c r="X277" s="160"/>
      <c r="Y277" s="160"/>
      <c r="AA277" s="160"/>
      <c r="AB277" s="160"/>
    </row>
    <row r="278" spans="13:28" x14ac:dyDescent="0.25">
      <c r="M278" s="181"/>
      <c r="N278" s="173"/>
      <c r="O278" s="189" t="str">
        <f>CONCATENATE(تقویم!$A$2,HolidayTable[[#This Row],[روز و ماه]])</f>
        <v>1400</v>
      </c>
      <c r="Q278" s="160"/>
      <c r="R278" s="160"/>
      <c r="S278" s="189" t="str">
        <f>CONCATENATE(تقویم!$A$2,EventsTable[[#This Row],[روز و ماه]])</f>
        <v>1400</v>
      </c>
      <c r="U278" s="160"/>
      <c r="V278" s="160"/>
      <c r="X278" s="160"/>
      <c r="Y278" s="160"/>
      <c r="AA278" s="160"/>
      <c r="AB278" s="160"/>
    </row>
    <row r="279" spans="13:28" x14ac:dyDescent="0.25">
      <c r="M279" s="181"/>
      <c r="N279" s="173"/>
      <c r="O279" s="189" t="str">
        <f>CONCATENATE(تقویم!$A$2,HolidayTable[[#This Row],[روز و ماه]])</f>
        <v>1400</v>
      </c>
      <c r="Q279" s="160"/>
      <c r="R279" s="160"/>
      <c r="S279" s="189" t="str">
        <f>CONCATENATE(تقویم!$A$2,EventsTable[[#This Row],[روز و ماه]])</f>
        <v>1400</v>
      </c>
      <c r="U279" s="160"/>
      <c r="V279" s="160"/>
      <c r="X279" s="160"/>
      <c r="Y279" s="160"/>
      <c r="AA279" s="160"/>
      <c r="AB279" s="160"/>
    </row>
    <row r="280" spans="13:28" x14ac:dyDescent="0.25">
      <c r="M280" s="181"/>
      <c r="N280" s="173"/>
      <c r="O280" s="189" t="str">
        <f>CONCATENATE(تقویم!$A$2,HolidayTable[[#This Row],[روز و ماه]])</f>
        <v>1400</v>
      </c>
      <c r="Q280" s="160"/>
      <c r="R280" s="160"/>
      <c r="S280" s="189" t="str">
        <f>CONCATENATE(تقویم!$A$2,EventsTable[[#This Row],[روز و ماه]])</f>
        <v>1400</v>
      </c>
      <c r="U280" s="160"/>
      <c r="V280" s="160"/>
      <c r="X280" s="160"/>
      <c r="Y280" s="160"/>
      <c r="AA280" s="160"/>
      <c r="AB280" s="160"/>
    </row>
    <row r="281" spans="13:28" x14ac:dyDescent="0.25">
      <c r="M281" s="181"/>
      <c r="N281" s="173"/>
      <c r="O281" s="189" t="str">
        <f>CONCATENATE(تقویم!$A$2,HolidayTable[[#This Row],[روز و ماه]])</f>
        <v>1400</v>
      </c>
      <c r="Q281" s="160"/>
      <c r="R281" s="160"/>
      <c r="S281" s="189" t="str">
        <f>CONCATENATE(تقویم!$A$2,EventsTable[[#This Row],[روز و ماه]])</f>
        <v>1400</v>
      </c>
      <c r="U281" s="160"/>
      <c r="V281" s="160"/>
      <c r="X281" s="160"/>
      <c r="Y281" s="160"/>
      <c r="AA281" s="160"/>
      <c r="AB281" s="160"/>
    </row>
    <row r="282" spans="13:28" x14ac:dyDescent="0.25">
      <c r="M282" s="181"/>
      <c r="N282" s="173"/>
      <c r="O282" s="189" t="str">
        <f>CONCATENATE(تقویم!$A$2,HolidayTable[[#This Row],[روز و ماه]])</f>
        <v>1400</v>
      </c>
      <c r="Q282" s="160"/>
      <c r="R282" s="160"/>
      <c r="S282" s="189" t="str">
        <f>CONCATENATE(تقویم!$A$2,EventsTable[[#This Row],[روز و ماه]])</f>
        <v>1400</v>
      </c>
      <c r="U282" s="160"/>
      <c r="V282" s="160"/>
      <c r="X282" s="160"/>
      <c r="Y282" s="160"/>
      <c r="AA282" s="160"/>
      <c r="AB282" s="160"/>
    </row>
    <row r="283" spans="13:28" x14ac:dyDescent="0.25">
      <c r="M283" s="181"/>
      <c r="N283" s="173"/>
      <c r="O283" s="189" t="str">
        <f>CONCATENATE(تقویم!$A$2,HolidayTable[[#This Row],[روز و ماه]])</f>
        <v>1400</v>
      </c>
      <c r="Q283" s="160"/>
      <c r="R283" s="160"/>
      <c r="S283" s="189" t="str">
        <f>CONCATENATE(تقویم!$A$2,EventsTable[[#This Row],[روز و ماه]])</f>
        <v>1400</v>
      </c>
      <c r="U283" s="160"/>
      <c r="V283" s="160"/>
      <c r="X283" s="160"/>
      <c r="Y283" s="160"/>
      <c r="AA283" s="160"/>
      <c r="AB283" s="160"/>
    </row>
    <row r="284" spans="13:28" x14ac:dyDescent="0.25">
      <c r="M284" s="181"/>
      <c r="N284" s="173"/>
      <c r="O284" s="189" t="str">
        <f>CONCATENATE(تقویم!$A$2,HolidayTable[[#This Row],[روز و ماه]])</f>
        <v>1400</v>
      </c>
      <c r="Q284" s="160"/>
      <c r="R284" s="160"/>
      <c r="S284" s="189" t="str">
        <f>CONCATENATE(تقویم!$A$2,EventsTable[[#This Row],[روز و ماه]])</f>
        <v>1400</v>
      </c>
      <c r="U284" s="160"/>
      <c r="V284" s="160"/>
      <c r="X284" s="160"/>
      <c r="Y284" s="160"/>
      <c r="AA284" s="160"/>
      <c r="AB284" s="160"/>
    </row>
    <row r="285" spans="13:28" x14ac:dyDescent="0.25">
      <c r="M285" s="181"/>
      <c r="N285" s="173"/>
      <c r="O285" s="189" t="str">
        <f>CONCATENATE(تقویم!$A$2,HolidayTable[[#This Row],[روز و ماه]])</f>
        <v>1400</v>
      </c>
      <c r="Q285" s="160"/>
      <c r="R285" s="160"/>
      <c r="S285" s="189" t="str">
        <f>CONCATENATE(تقویم!$A$2,EventsTable[[#This Row],[روز و ماه]])</f>
        <v>1400</v>
      </c>
      <c r="U285" s="160"/>
      <c r="V285" s="160"/>
      <c r="X285" s="160"/>
      <c r="Y285" s="160"/>
      <c r="AA285" s="160"/>
      <c r="AB285" s="160"/>
    </row>
    <row r="286" spans="13:28" x14ac:dyDescent="0.25">
      <c r="M286" s="181"/>
      <c r="N286" s="173"/>
      <c r="O286" s="189" t="str">
        <f>CONCATENATE(تقویم!$A$2,HolidayTable[[#This Row],[روز و ماه]])</f>
        <v>1400</v>
      </c>
      <c r="Q286" s="160"/>
      <c r="R286" s="160"/>
      <c r="S286" s="189" t="str">
        <f>CONCATENATE(تقویم!$A$2,EventsTable[[#This Row],[روز و ماه]])</f>
        <v>1400</v>
      </c>
      <c r="U286" s="160"/>
      <c r="V286" s="160"/>
      <c r="X286" s="160"/>
      <c r="Y286" s="160"/>
      <c r="AA286" s="160"/>
      <c r="AB286" s="160"/>
    </row>
    <row r="287" spans="13:28" x14ac:dyDescent="0.25">
      <c r="M287" s="181"/>
      <c r="N287" s="173"/>
      <c r="O287" s="189" t="str">
        <f>CONCATENATE(تقویم!$A$2,HolidayTable[[#This Row],[روز و ماه]])</f>
        <v>1400</v>
      </c>
      <c r="Q287" s="160"/>
      <c r="R287" s="160"/>
      <c r="S287" s="189" t="str">
        <f>CONCATENATE(تقویم!$A$2,EventsTable[[#This Row],[روز و ماه]])</f>
        <v>1400</v>
      </c>
      <c r="U287" s="160"/>
      <c r="V287" s="160"/>
      <c r="X287" s="160"/>
      <c r="Y287" s="160"/>
      <c r="AA287" s="160"/>
      <c r="AB287" s="160"/>
    </row>
    <row r="288" spans="13:28" x14ac:dyDescent="0.25">
      <c r="M288" s="181"/>
      <c r="N288" s="173"/>
      <c r="O288" s="189" t="str">
        <f>CONCATENATE(تقویم!$A$2,HolidayTable[[#This Row],[روز و ماه]])</f>
        <v>1400</v>
      </c>
      <c r="Q288" s="160"/>
      <c r="R288" s="160"/>
      <c r="S288" s="189" t="str">
        <f>CONCATENATE(تقویم!$A$2,EventsTable[[#This Row],[روز و ماه]])</f>
        <v>1400</v>
      </c>
      <c r="U288" s="160"/>
      <c r="V288" s="160"/>
      <c r="X288" s="160"/>
      <c r="Y288" s="160"/>
      <c r="AA288" s="160"/>
      <c r="AB288" s="160"/>
    </row>
    <row r="289" spans="13:28" x14ac:dyDescent="0.25">
      <c r="M289" s="181"/>
      <c r="N289" s="173"/>
      <c r="O289" s="189" t="str">
        <f>CONCATENATE(تقویم!$A$2,HolidayTable[[#This Row],[روز و ماه]])</f>
        <v>1400</v>
      </c>
      <c r="Q289" s="160"/>
      <c r="R289" s="160"/>
      <c r="S289" s="189" t="str">
        <f>CONCATENATE(تقویم!$A$2,EventsTable[[#This Row],[روز و ماه]])</f>
        <v>1400</v>
      </c>
      <c r="U289" s="160"/>
      <c r="V289" s="160"/>
      <c r="X289" s="160"/>
      <c r="Y289" s="160"/>
      <c r="AA289" s="160"/>
      <c r="AB289" s="160"/>
    </row>
    <row r="290" spans="13:28" x14ac:dyDescent="0.25">
      <c r="M290" s="181"/>
      <c r="N290" s="173"/>
      <c r="O290" s="189" t="str">
        <f>CONCATENATE(تقویم!$A$2,HolidayTable[[#This Row],[روز و ماه]])</f>
        <v>1400</v>
      </c>
      <c r="Q290" s="160"/>
      <c r="R290" s="160"/>
      <c r="S290" s="189" t="str">
        <f>CONCATENATE(تقویم!$A$2,EventsTable[[#This Row],[روز و ماه]])</f>
        <v>1400</v>
      </c>
      <c r="U290" s="160"/>
      <c r="V290" s="160"/>
      <c r="X290" s="160"/>
      <c r="Y290" s="160"/>
      <c r="AA290" s="160"/>
      <c r="AB290" s="160"/>
    </row>
    <row r="291" spans="13:28" x14ac:dyDescent="0.25">
      <c r="M291" s="181"/>
      <c r="N291" s="173"/>
      <c r="O291" s="189" t="str">
        <f>CONCATENATE(تقویم!$A$2,HolidayTable[[#This Row],[روز و ماه]])</f>
        <v>1400</v>
      </c>
      <c r="Q291" s="160"/>
      <c r="R291" s="160"/>
      <c r="S291" s="189" t="str">
        <f>CONCATENATE(تقویم!$A$2,EventsTable[[#This Row],[روز و ماه]])</f>
        <v>1400</v>
      </c>
      <c r="U291" s="160"/>
      <c r="V291" s="160"/>
      <c r="X291" s="160"/>
      <c r="Y291" s="160"/>
      <c r="AA291" s="160"/>
      <c r="AB291" s="160"/>
    </row>
    <row r="292" spans="13:28" x14ac:dyDescent="0.25">
      <c r="M292" s="181"/>
      <c r="N292" s="173"/>
      <c r="O292" s="189" t="str">
        <f>CONCATENATE(تقویم!$A$2,HolidayTable[[#This Row],[روز و ماه]])</f>
        <v>1400</v>
      </c>
      <c r="Q292" s="160"/>
      <c r="R292" s="160"/>
      <c r="S292" s="189" t="str">
        <f>CONCATENATE(تقویم!$A$2,EventsTable[[#This Row],[روز و ماه]])</f>
        <v>1400</v>
      </c>
      <c r="U292" s="160"/>
      <c r="V292" s="160"/>
      <c r="X292" s="160"/>
      <c r="Y292" s="160"/>
      <c r="AA292" s="160"/>
      <c r="AB292" s="160"/>
    </row>
    <row r="293" spans="13:28" x14ac:dyDescent="0.25">
      <c r="M293" s="181"/>
      <c r="N293" s="173"/>
      <c r="O293" s="189" t="str">
        <f>CONCATENATE(تقویم!$A$2,HolidayTable[[#This Row],[روز و ماه]])</f>
        <v>1400</v>
      </c>
      <c r="Q293" s="160"/>
      <c r="R293" s="160"/>
      <c r="S293" s="189" t="str">
        <f>CONCATENATE(تقویم!$A$2,EventsTable[[#This Row],[روز و ماه]])</f>
        <v>1400</v>
      </c>
      <c r="U293" s="160"/>
      <c r="V293" s="160"/>
      <c r="X293" s="160"/>
      <c r="Y293" s="160"/>
      <c r="AA293" s="160"/>
      <c r="AB293" s="160"/>
    </row>
    <row r="294" spans="13:28" x14ac:dyDescent="0.25">
      <c r="M294" s="181"/>
      <c r="N294" s="173"/>
      <c r="O294" s="189" t="str">
        <f>CONCATENATE(تقویم!$A$2,HolidayTable[[#This Row],[روز و ماه]])</f>
        <v>1400</v>
      </c>
      <c r="Q294" s="160"/>
      <c r="R294" s="160"/>
      <c r="S294" s="189" t="str">
        <f>CONCATENATE(تقویم!$A$2,EventsTable[[#This Row],[روز و ماه]])</f>
        <v>1400</v>
      </c>
      <c r="U294" s="160"/>
      <c r="V294" s="160"/>
      <c r="X294" s="160"/>
      <c r="Y294" s="160"/>
      <c r="AA294" s="160"/>
      <c r="AB294" s="160"/>
    </row>
    <row r="295" spans="13:28" x14ac:dyDescent="0.25">
      <c r="M295" s="181"/>
      <c r="N295" s="173"/>
      <c r="O295" s="189" t="str">
        <f>CONCATENATE(تقویم!$A$2,HolidayTable[[#This Row],[روز و ماه]])</f>
        <v>1400</v>
      </c>
      <c r="Q295" s="160"/>
      <c r="R295" s="160"/>
      <c r="S295" s="189" t="str">
        <f>CONCATENATE(تقویم!$A$2,EventsTable[[#This Row],[روز و ماه]])</f>
        <v>1400</v>
      </c>
      <c r="U295" s="160"/>
      <c r="V295" s="160"/>
      <c r="X295" s="160"/>
      <c r="Y295" s="160"/>
      <c r="AA295" s="160"/>
      <c r="AB295" s="160"/>
    </row>
    <row r="296" spans="13:28" x14ac:dyDescent="0.25">
      <c r="M296" s="181"/>
      <c r="N296" s="173"/>
      <c r="O296" s="189" t="str">
        <f>CONCATENATE(تقویم!$A$2,HolidayTable[[#This Row],[روز و ماه]])</f>
        <v>1400</v>
      </c>
      <c r="Q296" s="160"/>
      <c r="R296" s="160"/>
      <c r="S296" s="189" t="str">
        <f>CONCATENATE(تقویم!$A$2,EventsTable[[#This Row],[روز و ماه]])</f>
        <v>1400</v>
      </c>
      <c r="U296" s="160"/>
      <c r="V296" s="160"/>
      <c r="X296" s="160"/>
      <c r="Y296" s="160"/>
      <c r="AA296" s="160"/>
      <c r="AB296" s="160"/>
    </row>
    <row r="297" spans="13:28" x14ac:dyDescent="0.25">
      <c r="M297" s="181"/>
      <c r="N297" s="173"/>
      <c r="O297" s="189" t="str">
        <f>CONCATENATE(تقویم!$A$2,HolidayTable[[#This Row],[روز و ماه]])</f>
        <v>1400</v>
      </c>
      <c r="Q297" s="160"/>
      <c r="R297" s="160"/>
      <c r="S297" s="189" t="str">
        <f>CONCATENATE(تقویم!$A$2,EventsTable[[#This Row],[روز و ماه]])</f>
        <v>1400</v>
      </c>
      <c r="U297" s="160"/>
      <c r="V297" s="160"/>
      <c r="X297" s="160"/>
      <c r="Y297" s="160"/>
      <c r="AA297" s="160"/>
      <c r="AB297" s="160"/>
    </row>
    <row r="298" spans="13:28" x14ac:dyDescent="0.25">
      <c r="M298" s="181"/>
      <c r="N298" s="173"/>
      <c r="O298" s="189" t="str">
        <f>CONCATENATE(تقویم!$A$2,HolidayTable[[#This Row],[روز و ماه]])</f>
        <v>1400</v>
      </c>
      <c r="Q298" s="160"/>
      <c r="R298" s="160"/>
      <c r="S298" s="189" t="str">
        <f>CONCATENATE(تقویم!$A$2,EventsTable[[#This Row],[روز و ماه]])</f>
        <v>1400</v>
      </c>
      <c r="U298" s="160"/>
      <c r="V298" s="160"/>
      <c r="X298" s="160"/>
      <c r="Y298" s="160"/>
      <c r="AA298" s="160"/>
      <c r="AB298" s="160"/>
    </row>
    <row r="299" spans="13:28" x14ac:dyDescent="0.25">
      <c r="M299" s="181"/>
      <c r="N299" s="173"/>
      <c r="O299" s="189" t="str">
        <f>CONCATENATE(تقویم!$A$2,HolidayTable[[#This Row],[روز و ماه]])</f>
        <v>1400</v>
      </c>
      <c r="Q299" s="160"/>
      <c r="R299" s="160"/>
      <c r="S299" s="189" t="str">
        <f>CONCATENATE(تقویم!$A$2,EventsTable[[#This Row],[روز و ماه]])</f>
        <v>1400</v>
      </c>
      <c r="U299" s="160"/>
      <c r="V299" s="160"/>
      <c r="X299" s="160"/>
      <c r="Y299" s="160"/>
      <c r="AA299" s="160"/>
      <c r="AB299" s="160"/>
    </row>
    <row r="300" spans="13:28" x14ac:dyDescent="0.25">
      <c r="M300" s="181"/>
      <c r="N300" s="173"/>
      <c r="O300" s="189" t="str">
        <f>CONCATENATE(تقویم!$A$2,HolidayTable[[#This Row],[روز و ماه]])</f>
        <v>1400</v>
      </c>
      <c r="Q300" s="160"/>
      <c r="R300" s="160"/>
      <c r="S300" s="189" t="str">
        <f>CONCATENATE(تقویم!$A$2,EventsTable[[#This Row],[روز و ماه]])</f>
        <v>1400</v>
      </c>
      <c r="U300" s="160"/>
      <c r="V300" s="160"/>
      <c r="X300" s="160"/>
      <c r="Y300" s="160"/>
      <c r="AA300" s="160"/>
      <c r="AB300" s="160"/>
    </row>
    <row r="301" spans="13:28" x14ac:dyDescent="0.25">
      <c r="M301" s="181"/>
      <c r="N301" s="173"/>
      <c r="O301" s="189" t="str">
        <f>CONCATENATE(تقویم!$A$2,HolidayTable[[#This Row],[روز و ماه]])</f>
        <v>1400</v>
      </c>
      <c r="Q301" s="160"/>
      <c r="R301" s="160"/>
      <c r="S301" s="189" t="str">
        <f>CONCATENATE(تقویم!$A$2,EventsTable[[#This Row],[روز و ماه]])</f>
        <v>1400</v>
      </c>
      <c r="U301" s="160"/>
      <c r="V301" s="160"/>
      <c r="X301" s="160"/>
      <c r="Y301" s="160"/>
      <c r="AA301" s="160"/>
      <c r="AB301" s="160"/>
    </row>
    <row r="302" spans="13:28" x14ac:dyDescent="0.25">
      <c r="M302" s="181"/>
      <c r="N302" s="173"/>
      <c r="O302" s="189" t="str">
        <f>CONCATENATE(تقویم!$A$2,HolidayTable[[#This Row],[روز و ماه]])</f>
        <v>1400</v>
      </c>
      <c r="Q302" s="160"/>
      <c r="R302" s="160"/>
      <c r="S302" s="189" t="str">
        <f>CONCATENATE(تقویم!$A$2,EventsTable[[#This Row],[روز و ماه]])</f>
        <v>1400</v>
      </c>
      <c r="U302" s="160"/>
      <c r="V302" s="160"/>
      <c r="X302" s="160"/>
      <c r="Y302" s="160"/>
      <c r="AA302" s="160"/>
      <c r="AB302" s="160"/>
    </row>
    <row r="303" spans="13:28" x14ac:dyDescent="0.25">
      <c r="M303" s="181"/>
      <c r="N303" s="173"/>
      <c r="O303" s="189" t="str">
        <f>CONCATENATE(تقویم!$A$2,HolidayTable[[#This Row],[روز و ماه]])</f>
        <v>1400</v>
      </c>
      <c r="Q303" s="160"/>
      <c r="R303" s="160"/>
      <c r="S303" s="189" t="str">
        <f>CONCATENATE(تقویم!$A$2,EventsTable[[#This Row],[روز و ماه]])</f>
        <v>1400</v>
      </c>
      <c r="U303" s="160"/>
      <c r="V303" s="160"/>
      <c r="X303" s="160"/>
      <c r="Y303" s="160"/>
      <c r="AA303" s="160"/>
      <c r="AB303" s="160"/>
    </row>
    <row r="304" spans="13:28" x14ac:dyDescent="0.25">
      <c r="M304" s="181"/>
      <c r="N304" s="173"/>
      <c r="O304" s="189" t="str">
        <f>CONCATENATE(تقویم!$A$2,HolidayTable[[#This Row],[روز و ماه]])</f>
        <v>1400</v>
      </c>
      <c r="Q304" s="160"/>
      <c r="R304" s="160"/>
      <c r="S304" s="189" t="str">
        <f>CONCATENATE(تقویم!$A$2,EventsTable[[#This Row],[روز و ماه]])</f>
        <v>1400</v>
      </c>
      <c r="U304" s="160"/>
      <c r="V304" s="160"/>
      <c r="X304" s="160"/>
      <c r="Y304" s="160"/>
      <c r="AA304" s="160"/>
      <c r="AB304" s="160"/>
    </row>
    <row r="305" spans="13:28" x14ac:dyDescent="0.25">
      <c r="M305" s="181"/>
      <c r="N305" s="173"/>
      <c r="O305" s="189" t="str">
        <f>CONCATENATE(تقویم!$A$2,HolidayTable[[#This Row],[روز و ماه]])</f>
        <v>1400</v>
      </c>
      <c r="Q305" s="160"/>
      <c r="R305" s="160"/>
      <c r="S305" s="189" t="str">
        <f>CONCATENATE(تقویم!$A$2,EventsTable[[#This Row],[روز و ماه]])</f>
        <v>1400</v>
      </c>
      <c r="U305" s="160"/>
      <c r="V305" s="160"/>
      <c r="X305" s="160"/>
      <c r="Y305" s="160"/>
      <c r="AA305" s="160"/>
      <c r="AB305" s="160"/>
    </row>
    <row r="306" spans="13:28" x14ac:dyDescent="0.25">
      <c r="M306" s="181"/>
      <c r="N306" s="173"/>
      <c r="O306" s="189" t="str">
        <f>CONCATENATE(تقویم!$A$2,HolidayTable[[#This Row],[روز و ماه]])</f>
        <v>1400</v>
      </c>
      <c r="Q306" s="160"/>
      <c r="R306" s="160"/>
      <c r="S306" s="189" t="str">
        <f>CONCATENATE(تقویم!$A$2,EventsTable[[#This Row],[روز و ماه]])</f>
        <v>1400</v>
      </c>
      <c r="U306" s="160"/>
      <c r="V306" s="160"/>
      <c r="X306" s="160"/>
      <c r="Y306" s="160"/>
      <c r="AA306" s="160"/>
      <c r="AB306" s="160"/>
    </row>
    <row r="307" spans="13:28" x14ac:dyDescent="0.25">
      <c r="M307" s="181"/>
      <c r="N307" s="173"/>
      <c r="O307" s="189" t="str">
        <f>CONCATENATE(تقویم!$A$2,HolidayTable[[#This Row],[روز و ماه]])</f>
        <v>1400</v>
      </c>
      <c r="Q307" s="160"/>
      <c r="R307" s="160"/>
      <c r="S307" s="189" t="str">
        <f>CONCATENATE(تقویم!$A$2,EventsTable[[#This Row],[روز و ماه]])</f>
        <v>1400</v>
      </c>
      <c r="U307" s="160"/>
      <c r="V307" s="160"/>
      <c r="X307" s="160"/>
      <c r="Y307" s="160"/>
      <c r="AA307" s="160"/>
      <c r="AB307" s="160"/>
    </row>
    <row r="308" spans="13:28" x14ac:dyDescent="0.25">
      <c r="M308" s="181"/>
      <c r="N308" s="173"/>
      <c r="O308" s="189" t="str">
        <f>CONCATENATE(تقویم!$A$2,HolidayTable[[#This Row],[روز و ماه]])</f>
        <v>1400</v>
      </c>
      <c r="Q308" s="160"/>
      <c r="R308" s="160"/>
      <c r="S308" s="189" t="str">
        <f>CONCATENATE(تقویم!$A$2,EventsTable[[#This Row],[روز و ماه]])</f>
        <v>1400</v>
      </c>
      <c r="U308" s="160"/>
      <c r="V308" s="160"/>
      <c r="X308" s="160"/>
      <c r="Y308" s="160"/>
      <c r="AA308" s="160"/>
      <c r="AB308" s="160"/>
    </row>
    <row r="309" spans="13:28" x14ac:dyDescent="0.25">
      <c r="M309" s="181"/>
      <c r="N309" s="173"/>
      <c r="O309" s="189" t="str">
        <f>CONCATENATE(تقویم!$A$2,HolidayTable[[#This Row],[روز و ماه]])</f>
        <v>1400</v>
      </c>
      <c r="Q309" s="160"/>
      <c r="R309" s="160"/>
      <c r="S309" s="189" t="str">
        <f>CONCATENATE(تقویم!$A$2,EventsTable[[#This Row],[روز و ماه]])</f>
        <v>1400</v>
      </c>
      <c r="U309" s="160"/>
      <c r="V309" s="160"/>
      <c r="X309" s="160"/>
      <c r="Y309" s="160"/>
      <c r="AA309" s="160"/>
      <c r="AB309" s="160"/>
    </row>
    <row r="310" spans="13:28" x14ac:dyDescent="0.25">
      <c r="M310" s="181"/>
      <c r="N310" s="173"/>
      <c r="O310" s="189" t="str">
        <f>CONCATENATE(تقویم!$A$2,HolidayTable[[#This Row],[روز و ماه]])</f>
        <v>1400</v>
      </c>
      <c r="Q310" s="160"/>
      <c r="R310" s="160"/>
      <c r="S310" s="189" t="str">
        <f>CONCATENATE(تقویم!$A$2,EventsTable[[#This Row],[روز و ماه]])</f>
        <v>1400</v>
      </c>
      <c r="U310" s="160"/>
      <c r="V310" s="160"/>
      <c r="X310" s="160"/>
      <c r="Y310" s="160"/>
      <c r="AA310" s="160"/>
      <c r="AB310" s="160"/>
    </row>
    <row r="311" spans="13:28" x14ac:dyDescent="0.25">
      <c r="M311" s="181"/>
      <c r="N311" s="173"/>
      <c r="O311" s="189" t="str">
        <f>CONCATENATE(تقویم!$A$2,HolidayTable[[#This Row],[روز و ماه]])</f>
        <v>1400</v>
      </c>
      <c r="Q311" s="160"/>
      <c r="R311" s="160"/>
      <c r="S311" s="189" t="str">
        <f>CONCATENATE(تقویم!$A$2,EventsTable[[#This Row],[روز و ماه]])</f>
        <v>1400</v>
      </c>
      <c r="U311" s="160"/>
      <c r="V311" s="160"/>
      <c r="X311" s="160"/>
      <c r="Y311" s="160"/>
      <c r="AA311" s="160"/>
      <c r="AB311" s="160"/>
    </row>
    <row r="312" spans="13:28" x14ac:dyDescent="0.25">
      <c r="M312" s="181"/>
      <c r="N312" s="173"/>
      <c r="O312" s="189" t="str">
        <f>CONCATENATE(تقویم!$A$2,HolidayTable[[#This Row],[روز و ماه]])</f>
        <v>1400</v>
      </c>
      <c r="Q312" s="160"/>
      <c r="R312" s="160"/>
      <c r="S312" s="189" t="str">
        <f>CONCATENATE(تقویم!$A$2,EventsTable[[#This Row],[روز و ماه]])</f>
        <v>1400</v>
      </c>
      <c r="U312" s="160"/>
      <c r="V312" s="160"/>
      <c r="X312" s="160"/>
      <c r="Y312" s="160"/>
      <c r="AA312" s="160"/>
      <c r="AB312" s="160"/>
    </row>
    <row r="313" spans="13:28" x14ac:dyDescent="0.25">
      <c r="M313" s="181"/>
      <c r="N313" s="173"/>
      <c r="O313" s="189" t="str">
        <f>CONCATENATE(تقویم!$A$2,HolidayTable[[#This Row],[روز و ماه]])</f>
        <v>1400</v>
      </c>
      <c r="Q313" s="160"/>
      <c r="R313" s="160"/>
      <c r="S313" s="189" t="str">
        <f>CONCATENATE(تقویم!$A$2,EventsTable[[#This Row],[روز و ماه]])</f>
        <v>1400</v>
      </c>
      <c r="U313" s="160"/>
      <c r="V313" s="160"/>
      <c r="X313" s="160"/>
      <c r="Y313" s="160"/>
      <c r="AA313" s="160"/>
      <c r="AB313" s="160"/>
    </row>
    <row r="314" spans="13:28" x14ac:dyDescent="0.25">
      <c r="M314" s="181"/>
      <c r="N314" s="173"/>
      <c r="O314" s="189" t="str">
        <f>CONCATENATE(تقویم!$A$2,HolidayTable[[#This Row],[روز و ماه]])</f>
        <v>1400</v>
      </c>
      <c r="Q314" s="160"/>
      <c r="R314" s="160"/>
      <c r="S314" s="189" t="str">
        <f>CONCATENATE(تقویم!$A$2,EventsTable[[#This Row],[روز و ماه]])</f>
        <v>1400</v>
      </c>
      <c r="U314" s="160"/>
      <c r="V314" s="160"/>
      <c r="X314" s="160"/>
      <c r="Y314" s="160"/>
      <c r="AA314" s="160"/>
      <c r="AB314" s="160"/>
    </row>
    <row r="315" spans="13:28" x14ac:dyDescent="0.25">
      <c r="M315" s="181"/>
      <c r="N315" s="173"/>
      <c r="O315" s="189" t="str">
        <f>CONCATENATE(تقویم!$A$2,HolidayTable[[#This Row],[روز و ماه]])</f>
        <v>1400</v>
      </c>
      <c r="Q315" s="160"/>
      <c r="R315" s="160"/>
      <c r="S315" s="189" t="str">
        <f>CONCATENATE(تقویم!$A$2,EventsTable[[#This Row],[روز و ماه]])</f>
        <v>1400</v>
      </c>
      <c r="U315" s="160"/>
      <c r="V315" s="160"/>
      <c r="X315" s="160"/>
      <c r="Y315" s="160"/>
      <c r="AA315" s="160"/>
      <c r="AB315" s="160"/>
    </row>
    <row r="316" spans="13:28" x14ac:dyDescent="0.25">
      <c r="M316" s="181"/>
      <c r="N316" s="173"/>
      <c r="O316" s="189" t="str">
        <f>CONCATENATE(تقویم!$A$2,HolidayTable[[#This Row],[روز و ماه]])</f>
        <v>1400</v>
      </c>
      <c r="Q316" s="160"/>
      <c r="R316" s="160"/>
      <c r="S316" s="189" t="str">
        <f>CONCATENATE(تقویم!$A$2,EventsTable[[#This Row],[روز و ماه]])</f>
        <v>1400</v>
      </c>
      <c r="U316" s="160"/>
      <c r="V316" s="160"/>
      <c r="X316" s="160"/>
      <c r="Y316" s="160"/>
      <c r="AA316" s="160"/>
      <c r="AB316" s="160"/>
    </row>
    <row r="317" spans="13:28" x14ac:dyDescent="0.25">
      <c r="M317" s="181"/>
      <c r="N317" s="173"/>
      <c r="O317" s="189" t="str">
        <f>CONCATENATE(تقویم!$A$2,HolidayTable[[#This Row],[روز و ماه]])</f>
        <v>1400</v>
      </c>
      <c r="Q317" s="160"/>
      <c r="R317" s="160"/>
      <c r="S317" s="189" t="str">
        <f>CONCATENATE(تقویم!$A$2,EventsTable[[#This Row],[روز و ماه]])</f>
        <v>1400</v>
      </c>
      <c r="U317" s="160"/>
      <c r="V317" s="160"/>
      <c r="X317" s="160"/>
      <c r="Y317" s="160"/>
      <c r="AA317" s="160"/>
      <c r="AB317" s="160"/>
    </row>
    <row r="318" spans="13:28" x14ac:dyDescent="0.25">
      <c r="M318" s="181"/>
      <c r="N318" s="173"/>
      <c r="O318" s="189" t="str">
        <f>CONCATENATE(تقویم!$A$2,HolidayTable[[#This Row],[روز و ماه]])</f>
        <v>1400</v>
      </c>
      <c r="Q318" s="160"/>
      <c r="R318" s="160"/>
      <c r="S318" s="189" t="str">
        <f>CONCATENATE(تقویم!$A$2,EventsTable[[#This Row],[روز و ماه]])</f>
        <v>1400</v>
      </c>
      <c r="U318" s="160"/>
      <c r="V318" s="160"/>
      <c r="X318" s="160"/>
      <c r="Y318" s="160"/>
      <c r="AA318" s="160"/>
      <c r="AB318" s="160"/>
    </row>
    <row r="319" spans="13:28" x14ac:dyDescent="0.25">
      <c r="M319" s="181"/>
      <c r="N319" s="173"/>
      <c r="O319" s="189" t="str">
        <f>CONCATENATE(تقویم!$A$2,HolidayTable[[#This Row],[روز و ماه]])</f>
        <v>1400</v>
      </c>
      <c r="Q319" s="160"/>
      <c r="R319" s="160"/>
      <c r="S319" s="189" t="str">
        <f>CONCATENATE(تقویم!$A$2,EventsTable[[#This Row],[روز و ماه]])</f>
        <v>1400</v>
      </c>
      <c r="U319" s="160"/>
      <c r="V319" s="160"/>
      <c r="X319" s="160"/>
      <c r="Y319" s="160"/>
      <c r="AA319" s="160"/>
      <c r="AB319" s="160"/>
    </row>
    <row r="320" spans="13:28" x14ac:dyDescent="0.25">
      <c r="M320" s="181"/>
      <c r="N320" s="173"/>
      <c r="O320" s="189" t="str">
        <f>CONCATENATE(تقویم!$A$2,HolidayTable[[#This Row],[روز و ماه]])</f>
        <v>1400</v>
      </c>
      <c r="Q320" s="160"/>
      <c r="R320" s="160"/>
      <c r="S320" s="189" t="str">
        <f>CONCATENATE(تقویم!$A$2,EventsTable[[#This Row],[روز و ماه]])</f>
        <v>1400</v>
      </c>
      <c r="U320" s="160"/>
      <c r="V320" s="160"/>
      <c r="X320" s="160"/>
      <c r="Y320" s="160"/>
      <c r="AA320" s="160"/>
      <c r="AB320" s="160"/>
    </row>
    <row r="321" spans="13:28" x14ac:dyDescent="0.25">
      <c r="M321" s="181"/>
      <c r="N321" s="173"/>
      <c r="O321" s="189" t="str">
        <f>CONCATENATE(تقویم!$A$2,HolidayTable[[#This Row],[روز و ماه]])</f>
        <v>1400</v>
      </c>
      <c r="Q321" s="160"/>
      <c r="R321" s="160"/>
      <c r="S321" s="189" t="str">
        <f>CONCATENATE(تقویم!$A$2,EventsTable[[#This Row],[روز و ماه]])</f>
        <v>1400</v>
      </c>
      <c r="U321" s="160"/>
      <c r="V321" s="160"/>
      <c r="X321" s="160"/>
      <c r="Y321" s="160"/>
      <c r="AA321" s="160"/>
      <c r="AB321" s="160"/>
    </row>
    <row r="322" spans="13:28" x14ac:dyDescent="0.25">
      <c r="M322" s="181"/>
      <c r="N322" s="173"/>
      <c r="O322" s="189" t="str">
        <f>CONCATENATE(تقویم!$A$2,HolidayTable[[#This Row],[روز و ماه]])</f>
        <v>1400</v>
      </c>
      <c r="Q322" s="160"/>
      <c r="R322" s="160"/>
      <c r="S322" s="189" t="str">
        <f>CONCATENATE(تقویم!$A$2,EventsTable[[#This Row],[روز و ماه]])</f>
        <v>1400</v>
      </c>
      <c r="U322" s="160"/>
      <c r="V322" s="160"/>
      <c r="X322" s="160"/>
      <c r="Y322" s="160"/>
      <c r="AA322" s="160"/>
      <c r="AB322" s="160"/>
    </row>
    <row r="323" spans="13:28" x14ac:dyDescent="0.25">
      <c r="M323" s="181"/>
      <c r="N323" s="173"/>
      <c r="O323" s="189" t="str">
        <f>CONCATENATE(تقویم!$A$2,HolidayTable[[#This Row],[روز و ماه]])</f>
        <v>1400</v>
      </c>
      <c r="Q323" s="160"/>
      <c r="R323" s="160"/>
      <c r="S323" s="189" t="str">
        <f>CONCATENATE(تقویم!$A$2,EventsTable[[#This Row],[روز و ماه]])</f>
        <v>1400</v>
      </c>
      <c r="U323" s="160"/>
      <c r="V323" s="160"/>
      <c r="X323" s="160"/>
      <c r="Y323" s="160"/>
      <c r="AA323" s="160"/>
      <c r="AB323" s="160"/>
    </row>
    <row r="324" spans="13:28" x14ac:dyDescent="0.25">
      <c r="M324" s="181"/>
      <c r="N324" s="173"/>
      <c r="O324" s="189" t="str">
        <f>CONCATENATE(تقویم!$A$2,HolidayTable[[#This Row],[روز و ماه]])</f>
        <v>1400</v>
      </c>
      <c r="Q324" s="160"/>
      <c r="R324" s="160"/>
      <c r="S324" s="189" t="str">
        <f>CONCATENATE(تقویم!$A$2,EventsTable[[#This Row],[روز و ماه]])</f>
        <v>1400</v>
      </c>
      <c r="U324" s="160"/>
      <c r="V324" s="160"/>
      <c r="X324" s="160"/>
      <c r="Y324" s="160"/>
      <c r="AA324" s="160"/>
      <c r="AB324" s="160"/>
    </row>
    <row r="325" spans="13:28" x14ac:dyDescent="0.25">
      <c r="M325" s="181"/>
      <c r="N325" s="173"/>
      <c r="O325" s="189" t="str">
        <f>CONCATENATE(تقویم!$A$2,HolidayTable[[#This Row],[روز و ماه]])</f>
        <v>1400</v>
      </c>
      <c r="Q325" s="160"/>
      <c r="R325" s="160"/>
      <c r="S325" s="189" t="str">
        <f>CONCATENATE(تقویم!$A$2,EventsTable[[#This Row],[روز و ماه]])</f>
        <v>1400</v>
      </c>
      <c r="U325" s="160"/>
      <c r="V325" s="160"/>
      <c r="X325" s="160"/>
      <c r="Y325" s="160"/>
      <c r="AA325" s="160"/>
      <c r="AB325" s="160"/>
    </row>
    <row r="326" spans="13:28" x14ac:dyDescent="0.25">
      <c r="M326" s="181"/>
      <c r="N326" s="173"/>
      <c r="O326" s="189" t="str">
        <f>CONCATENATE(تقویم!$A$2,HolidayTable[[#This Row],[روز و ماه]])</f>
        <v>1400</v>
      </c>
      <c r="Q326" s="160"/>
      <c r="R326" s="160"/>
      <c r="S326" s="189" t="str">
        <f>CONCATENATE(تقویم!$A$2,EventsTable[[#This Row],[روز و ماه]])</f>
        <v>1400</v>
      </c>
      <c r="U326" s="160"/>
      <c r="V326" s="160"/>
      <c r="X326" s="160"/>
      <c r="Y326" s="160"/>
      <c r="AA326" s="160"/>
      <c r="AB326" s="160"/>
    </row>
    <row r="327" spans="13:28" x14ac:dyDescent="0.25">
      <c r="M327" s="181"/>
      <c r="N327" s="173"/>
      <c r="O327" s="189" t="str">
        <f>CONCATENATE(تقویم!$A$2,HolidayTable[[#This Row],[روز و ماه]])</f>
        <v>1400</v>
      </c>
      <c r="Q327" s="160"/>
      <c r="R327" s="160"/>
      <c r="S327" s="189" t="str">
        <f>CONCATENATE(تقویم!$A$2,EventsTable[[#This Row],[روز و ماه]])</f>
        <v>1400</v>
      </c>
      <c r="U327" s="160"/>
      <c r="V327" s="160"/>
      <c r="X327" s="160"/>
      <c r="Y327" s="160"/>
      <c r="AA327" s="160"/>
      <c r="AB327" s="160"/>
    </row>
    <row r="328" spans="13:28" x14ac:dyDescent="0.25">
      <c r="M328" s="181"/>
      <c r="N328" s="173"/>
      <c r="O328" s="189" t="str">
        <f>CONCATENATE(تقویم!$A$2,HolidayTable[[#This Row],[روز و ماه]])</f>
        <v>1400</v>
      </c>
      <c r="Q328" s="160"/>
      <c r="R328" s="160"/>
      <c r="S328" s="189" t="str">
        <f>CONCATENATE(تقویم!$A$2,EventsTable[[#This Row],[روز و ماه]])</f>
        <v>1400</v>
      </c>
      <c r="U328" s="160"/>
      <c r="V328" s="160"/>
      <c r="X328" s="160"/>
      <c r="Y328" s="160"/>
      <c r="AA328" s="160"/>
      <c r="AB328" s="160"/>
    </row>
    <row r="329" spans="13:28" x14ac:dyDescent="0.25">
      <c r="M329" s="181"/>
      <c r="N329" s="173"/>
      <c r="O329" s="189" t="str">
        <f>CONCATENATE(تقویم!$A$2,HolidayTable[[#This Row],[روز و ماه]])</f>
        <v>1400</v>
      </c>
      <c r="Q329" s="160"/>
      <c r="R329" s="160"/>
      <c r="S329" s="189" t="str">
        <f>CONCATENATE(تقویم!$A$2,EventsTable[[#This Row],[روز و ماه]])</f>
        <v>1400</v>
      </c>
      <c r="U329" s="160"/>
      <c r="V329" s="160"/>
      <c r="X329" s="160"/>
      <c r="Y329" s="160"/>
      <c r="AA329" s="160"/>
      <c r="AB329" s="160"/>
    </row>
    <row r="330" spans="13:28" x14ac:dyDescent="0.25">
      <c r="M330" s="181"/>
      <c r="N330" s="173"/>
      <c r="O330" s="189" t="str">
        <f>CONCATENATE(تقویم!$A$2,HolidayTable[[#This Row],[روز و ماه]])</f>
        <v>1400</v>
      </c>
      <c r="Q330" s="160"/>
      <c r="R330" s="160"/>
      <c r="S330" s="189" t="str">
        <f>CONCATENATE(تقویم!$A$2,EventsTable[[#This Row],[روز و ماه]])</f>
        <v>1400</v>
      </c>
      <c r="U330" s="160"/>
      <c r="V330" s="160"/>
      <c r="X330" s="160"/>
      <c r="Y330" s="160"/>
      <c r="AA330" s="160"/>
      <c r="AB330" s="160"/>
    </row>
    <row r="331" spans="13:28" x14ac:dyDescent="0.25">
      <c r="M331" s="181"/>
      <c r="N331" s="173"/>
      <c r="O331" s="189" t="str">
        <f>CONCATENATE(تقویم!$A$2,HolidayTable[[#This Row],[روز و ماه]])</f>
        <v>1400</v>
      </c>
      <c r="Q331" s="160"/>
      <c r="R331" s="160"/>
      <c r="S331" s="189" t="str">
        <f>CONCATENATE(تقویم!$A$2,EventsTable[[#This Row],[روز و ماه]])</f>
        <v>1400</v>
      </c>
      <c r="U331" s="160"/>
      <c r="V331" s="160"/>
      <c r="X331" s="160"/>
      <c r="Y331" s="160"/>
      <c r="AA331" s="160"/>
      <c r="AB331" s="160"/>
    </row>
    <row r="332" spans="13:28" x14ac:dyDescent="0.25">
      <c r="M332" s="181"/>
      <c r="N332" s="173"/>
      <c r="O332" s="189" t="str">
        <f>CONCATENATE(تقویم!$A$2,HolidayTable[[#This Row],[روز و ماه]])</f>
        <v>1400</v>
      </c>
      <c r="Q332" s="160"/>
      <c r="R332" s="160"/>
      <c r="S332" s="189" t="str">
        <f>CONCATENATE(تقویم!$A$2,EventsTable[[#This Row],[روز و ماه]])</f>
        <v>1400</v>
      </c>
      <c r="U332" s="160"/>
      <c r="V332" s="160"/>
      <c r="X332" s="160"/>
      <c r="Y332" s="160"/>
      <c r="AA332" s="160"/>
      <c r="AB332" s="160"/>
    </row>
    <row r="333" spans="13:28" x14ac:dyDescent="0.25">
      <c r="M333" s="181"/>
      <c r="N333" s="173"/>
      <c r="O333" s="189" t="str">
        <f>CONCATENATE(تقویم!$A$2,HolidayTable[[#This Row],[روز و ماه]])</f>
        <v>1400</v>
      </c>
      <c r="Q333" s="160"/>
      <c r="R333" s="160"/>
      <c r="S333" s="189" t="str">
        <f>CONCATENATE(تقویم!$A$2,EventsTable[[#This Row],[روز و ماه]])</f>
        <v>1400</v>
      </c>
      <c r="U333" s="160"/>
      <c r="V333" s="160"/>
      <c r="X333" s="160"/>
      <c r="Y333" s="160"/>
      <c r="AA333" s="160"/>
      <c r="AB333" s="160"/>
    </row>
    <row r="334" spans="13:28" x14ac:dyDescent="0.25">
      <c r="M334" s="181"/>
      <c r="N334" s="173"/>
      <c r="O334" s="189" t="str">
        <f>CONCATENATE(تقویم!$A$2,HolidayTable[[#This Row],[روز و ماه]])</f>
        <v>1400</v>
      </c>
      <c r="Q334" s="160"/>
      <c r="R334" s="160"/>
      <c r="S334" s="189" t="str">
        <f>CONCATENATE(تقویم!$A$2,EventsTable[[#This Row],[روز و ماه]])</f>
        <v>1400</v>
      </c>
      <c r="U334" s="160"/>
      <c r="V334" s="160"/>
      <c r="X334" s="160"/>
      <c r="Y334" s="160"/>
      <c r="AA334" s="160"/>
      <c r="AB334" s="160"/>
    </row>
    <row r="335" spans="13:28" x14ac:dyDescent="0.25">
      <c r="M335" s="181"/>
      <c r="N335" s="173"/>
      <c r="O335" s="189" t="str">
        <f>CONCATENATE(تقویم!$A$2,HolidayTable[[#This Row],[روز و ماه]])</f>
        <v>1400</v>
      </c>
      <c r="Q335" s="160"/>
      <c r="R335" s="160"/>
      <c r="S335" s="189" t="str">
        <f>CONCATENATE(تقویم!$A$2,EventsTable[[#This Row],[روز و ماه]])</f>
        <v>1400</v>
      </c>
      <c r="U335" s="160"/>
      <c r="V335" s="160"/>
      <c r="X335" s="160"/>
      <c r="Y335" s="160"/>
      <c r="AA335" s="160"/>
      <c r="AB335" s="160"/>
    </row>
    <row r="336" spans="13:28" x14ac:dyDescent="0.25">
      <c r="M336" s="181"/>
      <c r="N336" s="173"/>
      <c r="O336" s="189" t="str">
        <f>CONCATENATE(تقویم!$A$2,HolidayTable[[#This Row],[روز و ماه]])</f>
        <v>1400</v>
      </c>
      <c r="Q336" s="160"/>
      <c r="R336" s="160"/>
      <c r="S336" s="189" t="str">
        <f>CONCATENATE(تقویم!$A$2,EventsTable[[#This Row],[روز و ماه]])</f>
        <v>1400</v>
      </c>
      <c r="U336" s="160"/>
      <c r="V336" s="160"/>
      <c r="X336" s="160"/>
      <c r="Y336" s="160"/>
      <c r="AA336" s="160"/>
      <c r="AB336" s="160"/>
    </row>
    <row r="337" spans="13:28" x14ac:dyDescent="0.25">
      <c r="M337" s="181"/>
      <c r="N337" s="173"/>
      <c r="O337" s="189" t="str">
        <f>CONCATENATE(تقویم!$A$2,HolidayTable[[#This Row],[روز و ماه]])</f>
        <v>1400</v>
      </c>
      <c r="Q337" s="160"/>
      <c r="R337" s="160"/>
      <c r="S337" s="189" t="str">
        <f>CONCATENATE(تقویم!$A$2,EventsTable[[#This Row],[روز و ماه]])</f>
        <v>1400</v>
      </c>
      <c r="U337" s="160"/>
      <c r="V337" s="160"/>
      <c r="X337" s="160"/>
      <c r="Y337" s="160"/>
      <c r="AA337" s="160"/>
      <c r="AB337" s="160"/>
    </row>
    <row r="338" spans="13:28" x14ac:dyDescent="0.25">
      <c r="M338" s="181"/>
      <c r="N338" s="173"/>
      <c r="O338" s="189" t="str">
        <f>CONCATENATE(تقویم!$A$2,HolidayTable[[#This Row],[روز و ماه]])</f>
        <v>1400</v>
      </c>
      <c r="Q338" s="160"/>
      <c r="R338" s="160"/>
      <c r="S338" s="189" t="str">
        <f>CONCATENATE(تقویم!$A$2,EventsTable[[#This Row],[روز و ماه]])</f>
        <v>1400</v>
      </c>
      <c r="U338" s="160"/>
      <c r="V338" s="160"/>
      <c r="X338" s="160"/>
      <c r="Y338" s="160"/>
      <c r="AA338" s="160"/>
      <c r="AB338" s="160"/>
    </row>
    <row r="339" spans="13:28" x14ac:dyDescent="0.25">
      <c r="M339" s="181"/>
      <c r="N339" s="173"/>
      <c r="O339" s="189" t="str">
        <f>CONCATENATE(تقویم!$A$2,HolidayTable[[#This Row],[روز و ماه]])</f>
        <v>1400</v>
      </c>
      <c r="Q339" s="160"/>
      <c r="R339" s="160"/>
      <c r="S339" s="189" t="str">
        <f>CONCATENATE(تقویم!$A$2,EventsTable[[#This Row],[روز و ماه]])</f>
        <v>1400</v>
      </c>
      <c r="U339" s="160"/>
      <c r="V339" s="160"/>
      <c r="X339" s="160"/>
      <c r="Y339" s="160"/>
      <c r="AA339" s="160"/>
      <c r="AB339" s="160"/>
    </row>
    <row r="340" spans="13:28" x14ac:dyDescent="0.25">
      <c r="M340" s="181"/>
      <c r="N340" s="173"/>
      <c r="O340" s="189" t="str">
        <f>CONCATENATE(تقویم!$A$2,HolidayTable[[#This Row],[روز و ماه]])</f>
        <v>1400</v>
      </c>
      <c r="Q340" s="160"/>
      <c r="R340" s="160"/>
      <c r="S340" s="189" t="str">
        <f>CONCATENATE(تقویم!$A$2,EventsTable[[#This Row],[روز و ماه]])</f>
        <v>1400</v>
      </c>
      <c r="U340" s="160"/>
      <c r="V340" s="160"/>
      <c r="X340" s="160"/>
      <c r="Y340" s="160"/>
      <c r="AA340" s="160"/>
      <c r="AB340" s="160"/>
    </row>
    <row r="341" spans="13:28" x14ac:dyDescent="0.25">
      <c r="M341" s="181"/>
      <c r="N341" s="173"/>
      <c r="O341" s="189" t="str">
        <f>CONCATENATE(تقویم!$A$2,HolidayTable[[#This Row],[روز و ماه]])</f>
        <v>1400</v>
      </c>
      <c r="Q341" s="160"/>
      <c r="R341" s="160"/>
      <c r="S341" s="189" t="str">
        <f>CONCATENATE(تقویم!$A$2,EventsTable[[#This Row],[روز و ماه]])</f>
        <v>1400</v>
      </c>
      <c r="U341" s="160"/>
      <c r="V341" s="160"/>
      <c r="X341" s="160"/>
      <c r="Y341" s="160"/>
      <c r="AA341" s="160"/>
      <c r="AB341" s="160"/>
    </row>
    <row r="342" spans="13:28" x14ac:dyDescent="0.25">
      <c r="M342" s="181"/>
      <c r="N342" s="173"/>
      <c r="O342" s="189" t="str">
        <f>CONCATENATE(تقویم!$A$2,HolidayTable[[#This Row],[روز و ماه]])</f>
        <v>1400</v>
      </c>
      <c r="Q342" s="160"/>
      <c r="R342" s="160"/>
      <c r="S342" s="189" t="str">
        <f>CONCATENATE(تقویم!$A$2,EventsTable[[#This Row],[روز و ماه]])</f>
        <v>1400</v>
      </c>
      <c r="U342" s="160"/>
      <c r="V342" s="160"/>
      <c r="X342" s="160"/>
      <c r="Y342" s="160"/>
      <c r="AA342" s="160"/>
      <c r="AB342" s="160"/>
    </row>
    <row r="343" spans="13:28" x14ac:dyDescent="0.25">
      <c r="M343" s="181"/>
      <c r="N343" s="173"/>
      <c r="O343" s="189" t="str">
        <f>CONCATENATE(تقویم!$A$2,HolidayTable[[#This Row],[روز و ماه]])</f>
        <v>1400</v>
      </c>
      <c r="Q343" s="160"/>
      <c r="R343" s="160"/>
      <c r="S343" s="189" t="str">
        <f>CONCATENATE(تقویم!$A$2,EventsTable[[#This Row],[روز و ماه]])</f>
        <v>1400</v>
      </c>
      <c r="U343" s="160"/>
      <c r="V343" s="160"/>
      <c r="X343" s="160"/>
      <c r="Y343" s="160"/>
      <c r="AA343" s="160"/>
      <c r="AB343" s="160"/>
    </row>
    <row r="344" spans="13:28" x14ac:dyDescent="0.25">
      <c r="M344" s="181"/>
      <c r="N344" s="173"/>
      <c r="O344" s="189" t="str">
        <f>CONCATENATE(تقویم!$A$2,HolidayTable[[#This Row],[روز و ماه]])</f>
        <v>1400</v>
      </c>
      <c r="Q344" s="160"/>
      <c r="R344" s="160"/>
      <c r="S344" s="189" t="str">
        <f>CONCATENATE(تقویم!$A$2,EventsTable[[#This Row],[روز و ماه]])</f>
        <v>1400</v>
      </c>
      <c r="U344" s="160"/>
      <c r="V344" s="160"/>
      <c r="X344" s="160"/>
      <c r="Y344" s="160"/>
      <c r="AA344" s="160"/>
      <c r="AB344" s="160"/>
    </row>
    <row r="345" spans="13:28" x14ac:dyDescent="0.25">
      <c r="M345" s="181"/>
      <c r="N345" s="173"/>
      <c r="O345" s="189" t="str">
        <f>CONCATENATE(تقویم!$A$2,HolidayTable[[#This Row],[روز و ماه]])</f>
        <v>1400</v>
      </c>
      <c r="Q345" s="160"/>
      <c r="R345" s="160"/>
      <c r="S345" s="189" t="str">
        <f>CONCATENATE(تقویم!$A$2,EventsTable[[#This Row],[روز و ماه]])</f>
        <v>1400</v>
      </c>
      <c r="U345" s="160"/>
      <c r="V345" s="160"/>
      <c r="X345" s="160"/>
      <c r="Y345" s="160"/>
      <c r="AA345" s="160"/>
      <c r="AB345" s="160"/>
    </row>
    <row r="346" spans="13:28" x14ac:dyDescent="0.25">
      <c r="M346" s="181"/>
      <c r="N346" s="173"/>
      <c r="O346" s="189" t="str">
        <f>CONCATENATE(تقویم!$A$2,HolidayTable[[#This Row],[روز و ماه]])</f>
        <v>1400</v>
      </c>
      <c r="Q346" s="160"/>
      <c r="R346" s="160"/>
      <c r="S346" s="189" t="str">
        <f>CONCATENATE(تقویم!$A$2,EventsTable[[#This Row],[روز و ماه]])</f>
        <v>1400</v>
      </c>
      <c r="U346" s="160"/>
      <c r="V346" s="160"/>
      <c r="X346" s="160"/>
      <c r="Y346" s="160"/>
      <c r="AA346" s="160"/>
      <c r="AB346" s="160"/>
    </row>
    <row r="347" spans="13:28" x14ac:dyDescent="0.25">
      <c r="M347" s="181"/>
      <c r="N347" s="173"/>
      <c r="O347" s="189" t="str">
        <f>CONCATENATE(تقویم!$A$2,HolidayTable[[#This Row],[روز و ماه]])</f>
        <v>1400</v>
      </c>
      <c r="Q347" s="160"/>
      <c r="R347" s="160"/>
      <c r="S347" s="189" t="str">
        <f>CONCATENATE(تقویم!$A$2,EventsTable[[#This Row],[روز و ماه]])</f>
        <v>1400</v>
      </c>
      <c r="U347" s="160"/>
      <c r="V347" s="160"/>
      <c r="X347" s="160"/>
      <c r="Y347" s="160"/>
      <c r="AA347" s="160"/>
      <c r="AB347" s="160"/>
    </row>
    <row r="348" spans="13:28" x14ac:dyDescent="0.25">
      <c r="M348" s="181"/>
      <c r="N348" s="173"/>
      <c r="O348" s="189" t="str">
        <f>CONCATENATE(تقویم!$A$2,HolidayTable[[#This Row],[روز و ماه]])</f>
        <v>1400</v>
      </c>
      <c r="Q348" s="160"/>
      <c r="R348" s="160"/>
      <c r="S348" s="189" t="str">
        <f>CONCATENATE(تقویم!$A$2,EventsTable[[#This Row],[روز و ماه]])</f>
        <v>1400</v>
      </c>
      <c r="U348" s="160"/>
      <c r="V348" s="160"/>
      <c r="X348" s="160"/>
      <c r="Y348" s="160"/>
      <c r="AA348" s="160"/>
      <c r="AB348" s="160"/>
    </row>
    <row r="349" spans="13:28" x14ac:dyDescent="0.25">
      <c r="M349" s="181"/>
      <c r="N349" s="173"/>
      <c r="O349" s="189" t="str">
        <f>CONCATENATE(تقویم!$A$2,HolidayTable[[#This Row],[روز و ماه]])</f>
        <v>1400</v>
      </c>
      <c r="Q349" s="160"/>
      <c r="R349" s="160"/>
      <c r="S349" s="189" t="str">
        <f>CONCATENATE(تقویم!$A$2,EventsTable[[#This Row],[روز و ماه]])</f>
        <v>1400</v>
      </c>
      <c r="U349" s="160"/>
      <c r="V349" s="160"/>
      <c r="X349" s="160"/>
      <c r="Y349" s="160"/>
      <c r="AA349" s="160"/>
      <c r="AB349" s="160"/>
    </row>
    <row r="350" spans="13:28" x14ac:dyDescent="0.25">
      <c r="M350" s="181"/>
      <c r="N350" s="173"/>
      <c r="O350" s="189" t="str">
        <f>CONCATENATE(تقویم!$A$2,HolidayTable[[#This Row],[روز و ماه]])</f>
        <v>1400</v>
      </c>
      <c r="Q350" s="160"/>
      <c r="R350" s="160"/>
      <c r="S350" s="189" t="str">
        <f>CONCATENATE(تقویم!$A$2,EventsTable[[#This Row],[روز و ماه]])</f>
        <v>1400</v>
      </c>
      <c r="U350" s="160"/>
      <c r="V350" s="160"/>
      <c r="X350" s="160"/>
      <c r="Y350" s="160"/>
      <c r="AA350" s="160"/>
      <c r="AB350" s="160"/>
    </row>
    <row r="351" spans="13:28" x14ac:dyDescent="0.25">
      <c r="M351" s="181"/>
      <c r="N351" s="173"/>
      <c r="O351" s="189" t="str">
        <f>CONCATENATE(تقویم!$A$2,HolidayTable[[#This Row],[روز و ماه]])</f>
        <v>1400</v>
      </c>
      <c r="Q351" s="160"/>
      <c r="R351" s="160"/>
      <c r="S351" s="189" t="str">
        <f>CONCATENATE(تقویم!$A$2,EventsTable[[#This Row],[روز و ماه]])</f>
        <v>1400</v>
      </c>
      <c r="U351" s="160"/>
      <c r="V351" s="160"/>
      <c r="X351" s="160"/>
      <c r="Y351" s="160"/>
      <c r="AA351" s="160"/>
      <c r="AB351" s="160"/>
    </row>
    <row r="352" spans="13:28" x14ac:dyDescent="0.25">
      <c r="M352" s="181"/>
      <c r="N352" s="173"/>
      <c r="O352" s="189" t="str">
        <f>CONCATENATE(تقویم!$A$2,HolidayTable[[#This Row],[روز و ماه]])</f>
        <v>1400</v>
      </c>
      <c r="Q352" s="160"/>
      <c r="R352" s="160"/>
      <c r="S352" s="189" t="str">
        <f>CONCATENATE(تقویم!$A$2,EventsTable[[#This Row],[روز و ماه]])</f>
        <v>1400</v>
      </c>
      <c r="U352" s="160"/>
      <c r="V352" s="160"/>
      <c r="X352" s="160"/>
      <c r="Y352" s="160"/>
      <c r="AA352" s="160"/>
      <c r="AB352" s="160"/>
    </row>
    <row r="353" spans="13:28" x14ac:dyDescent="0.25">
      <c r="M353" s="181"/>
      <c r="N353" s="173"/>
      <c r="O353" s="189" t="str">
        <f>CONCATENATE(تقویم!$A$2,HolidayTable[[#This Row],[روز و ماه]])</f>
        <v>1400</v>
      </c>
      <c r="Q353" s="160"/>
      <c r="R353" s="160"/>
      <c r="S353" s="189" t="str">
        <f>CONCATENATE(تقویم!$A$2,EventsTable[[#This Row],[روز و ماه]])</f>
        <v>1400</v>
      </c>
      <c r="U353" s="160"/>
      <c r="V353" s="160"/>
      <c r="X353" s="160"/>
      <c r="Y353" s="160"/>
      <c r="AA353" s="160"/>
      <c r="AB353" s="160"/>
    </row>
    <row r="354" spans="13:28" x14ac:dyDescent="0.25">
      <c r="M354" s="181"/>
      <c r="N354" s="173"/>
      <c r="O354" s="189" t="str">
        <f>CONCATENATE(تقویم!$A$2,HolidayTable[[#This Row],[روز و ماه]])</f>
        <v>1400</v>
      </c>
      <c r="Q354" s="160"/>
      <c r="R354" s="160"/>
      <c r="S354" s="189" t="str">
        <f>CONCATENATE(تقویم!$A$2,EventsTable[[#This Row],[روز و ماه]])</f>
        <v>1400</v>
      </c>
      <c r="U354" s="160"/>
      <c r="V354" s="160"/>
      <c r="X354" s="160"/>
      <c r="Y354" s="160"/>
      <c r="AA354" s="160"/>
      <c r="AB354" s="160"/>
    </row>
    <row r="355" spans="13:28" x14ac:dyDescent="0.25">
      <c r="M355" s="181"/>
      <c r="N355" s="173"/>
      <c r="O355" s="189" t="str">
        <f>CONCATENATE(تقویم!$A$2,HolidayTable[[#This Row],[روز و ماه]])</f>
        <v>1400</v>
      </c>
      <c r="Q355" s="160"/>
      <c r="R355" s="160"/>
      <c r="S355" s="189" t="str">
        <f>CONCATENATE(تقویم!$A$2,EventsTable[[#This Row],[روز و ماه]])</f>
        <v>1400</v>
      </c>
      <c r="U355" s="160"/>
      <c r="V355" s="160"/>
      <c r="X355" s="160"/>
      <c r="Y355" s="160"/>
      <c r="AA355" s="160"/>
      <c r="AB355" s="160"/>
    </row>
    <row r="356" spans="13:28" x14ac:dyDescent="0.25">
      <c r="M356" s="181"/>
      <c r="N356" s="173"/>
      <c r="O356" s="189" t="str">
        <f>CONCATENATE(تقویم!$A$2,HolidayTable[[#This Row],[روز و ماه]])</f>
        <v>1400</v>
      </c>
      <c r="Q356" s="160"/>
      <c r="R356" s="160"/>
      <c r="S356" s="189" t="str">
        <f>CONCATENATE(تقویم!$A$2,EventsTable[[#This Row],[روز و ماه]])</f>
        <v>1400</v>
      </c>
      <c r="U356" s="160"/>
      <c r="V356" s="160"/>
      <c r="X356" s="160"/>
      <c r="Y356" s="160"/>
      <c r="AA356" s="160"/>
      <c r="AB356" s="160"/>
    </row>
    <row r="357" spans="13:28" x14ac:dyDescent="0.25">
      <c r="M357" s="181"/>
      <c r="N357" s="173"/>
      <c r="O357" s="189" t="str">
        <f>CONCATENATE(تقویم!$A$2,HolidayTable[[#This Row],[روز و ماه]])</f>
        <v>1400</v>
      </c>
      <c r="Q357" s="160"/>
      <c r="R357" s="160"/>
      <c r="S357" s="189" t="str">
        <f>CONCATENATE(تقویم!$A$2,EventsTable[[#This Row],[روز و ماه]])</f>
        <v>1400</v>
      </c>
      <c r="U357" s="160"/>
      <c r="V357" s="160"/>
      <c r="X357" s="160"/>
      <c r="Y357" s="160"/>
      <c r="AA357" s="160"/>
      <c r="AB357" s="160"/>
    </row>
    <row r="358" spans="13:28" x14ac:dyDescent="0.25">
      <c r="M358" s="181"/>
      <c r="N358" s="173"/>
      <c r="O358" s="189" t="str">
        <f>CONCATENATE(تقویم!$A$2,HolidayTable[[#This Row],[روز و ماه]])</f>
        <v>1400</v>
      </c>
      <c r="Q358" s="160"/>
      <c r="R358" s="160"/>
      <c r="S358" s="189" t="str">
        <f>CONCATENATE(تقویم!$A$2,EventsTable[[#This Row],[روز و ماه]])</f>
        <v>1400</v>
      </c>
      <c r="U358" s="160"/>
      <c r="V358" s="160"/>
      <c r="X358" s="160"/>
      <c r="Y358" s="160"/>
      <c r="AA358" s="160"/>
      <c r="AB358" s="160"/>
    </row>
    <row r="359" spans="13:28" x14ac:dyDescent="0.25">
      <c r="M359" s="181"/>
      <c r="N359" s="173"/>
      <c r="O359" s="189" t="str">
        <f>CONCATENATE(تقویم!$A$2,HolidayTable[[#This Row],[روز و ماه]])</f>
        <v>1400</v>
      </c>
      <c r="Q359" s="160"/>
      <c r="R359" s="160"/>
      <c r="S359" s="189" t="str">
        <f>CONCATENATE(تقویم!$A$2,EventsTable[[#This Row],[روز و ماه]])</f>
        <v>1400</v>
      </c>
      <c r="U359" s="160"/>
      <c r="V359" s="160"/>
      <c r="X359" s="160"/>
      <c r="Y359" s="160"/>
      <c r="AA359" s="160"/>
      <c r="AB359" s="160"/>
    </row>
    <row r="360" spans="13:28" x14ac:dyDescent="0.25">
      <c r="M360" s="181"/>
      <c r="N360" s="173"/>
      <c r="O360" s="189" t="str">
        <f>CONCATENATE(تقویم!$A$2,HolidayTable[[#This Row],[روز و ماه]])</f>
        <v>1400</v>
      </c>
      <c r="Q360" s="160"/>
      <c r="R360" s="160"/>
      <c r="S360" s="189" t="str">
        <f>CONCATENATE(تقویم!$A$2,EventsTable[[#This Row],[روز و ماه]])</f>
        <v>1400</v>
      </c>
      <c r="U360" s="160"/>
      <c r="V360" s="160"/>
      <c r="X360" s="160"/>
      <c r="Y360" s="160"/>
      <c r="AA360" s="160"/>
      <c r="AB360" s="160"/>
    </row>
    <row r="361" spans="13:28" x14ac:dyDescent="0.25">
      <c r="M361" s="181"/>
      <c r="N361" s="173"/>
      <c r="O361" s="189" t="str">
        <f>CONCATENATE(تقویم!$A$2,HolidayTable[[#This Row],[روز و ماه]])</f>
        <v>1400</v>
      </c>
      <c r="Q361" s="160"/>
      <c r="R361" s="160"/>
      <c r="S361" s="189" t="str">
        <f>CONCATENATE(تقویم!$A$2,EventsTable[[#This Row],[روز و ماه]])</f>
        <v>1400</v>
      </c>
      <c r="U361" s="160"/>
      <c r="V361" s="160"/>
      <c r="X361" s="160"/>
      <c r="Y361" s="160"/>
      <c r="AA361" s="160"/>
      <c r="AB361" s="160"/>
    </row>
    <row r="362" spans="13:28" x14ac:dyDescent="0.25">
      <c r="M362" s="181"/>
      <c r="N362" s="173"/>
      <c r="O362" s="189" t="str">
        <f>CONCATENATE(تقویم!$A$2,HolidayTable[[#This Row],[روز و ماه]])</f>
        <v>1400</v>
      </c>
      <c r="Q362" s="160"/>
      <c r="R362" s="160"/>
      <c r="S362" s="189" t="str">
        <f>CONCATENATE(تقویم!$A$2,EventsTable[[#This Row],[روز و ماه]])</f>
        <v>1400</v>
      </c>
      <c r="U362" s="160"/>
      <c r="V362" s="160"/>
      <c r="X362" s="160"/>
      <c r="Y362" s="160"/>
      <c r="AA362" s="160"/>
      <c r="AB362" s="160"/>
    </row>
    <row r="363" spans="13:28" x14ac:dyDescent="0.25">
      <c r="M363" s="181"/>
      <c r="N363" s="173"/>
      <c r="O363" s="189" t="str">
        <f>CONCATENATE(تقویم!$A$2,HolidayTable[[#This Row],[روز و ماه]])</f>
        <v>1400</v>
      </c>
      <c r="Q363" s="160"/>
      <c r="R363" s="160"/>
      <c r="S363" s="189" t="str">
        <f>CONCATENATE(تقویم!$A$2,EventsTable[[#This Row],[روز و ماه]])</f>
        <v>1400</v>
      </c>
      <c r="U363" s="160"/>
      <c r="V363" s="160"/>
      <c r="X363" s="160"/>
      <c r="Y363" s="160"/>
      <c r="AA363" s="160"/>
      <c r="AB363" s="160"/>
    </row>
    <row r="364" spans="13:28" x14ac:dyDescent="0.25">
      <c r="M364" s="181"/>
      <c r="N364" s="173"/>
      <c r="O364" s="189" t="str">
        <f>CONCATENATE(تقویم!$A$2,HolidayTable[[#This Row],[روز و ماه]])</f>
        <v>1400</v>
      </c>
      <c r="Q364" s="160"/>
      <c r="R364" s="160"/>
      <c r="S364" s="189" t="str">
        <f>CONCATENATE(تقویم!$A$2,EventsTable[[#This Row],[روز و ماه]])</f>
        <v>1400</v>
      </c>
      <c r="U364" s="160"/>
      <c r="V364" s="160"/>
      <c r="X364" s="160"/>
      <c r="Y364" s="160"/>
      <c r="AA364" s="160"/>
      <c r="AB364" s="160"/>
    </row>
    <row r="365" spans="13:28" x14ac:dyDescent="0.25">
      <c r="M365" s="181"/>
      <c r="N365" s="173"/>
      <c r="O365" s="189" t="str">
        <f>CONCATENATE(تقویم!$A$2,HolidayTable[[#This Row],[روز و ماه]])</f>
        <v>1400</v>
      </c>
      <c r="Q365" s="160"/>
      <c r="R365" s="160"/>
      <c r="S365" s="189" t="str">
        <f>CONCATENATE(تقویم!$A$2,EventsTable[[#This Row],[روز و ماه]])</f>
        <v>1400</v>
      </c>
      <c r="U365" s="160"/>
      <c r="V365" s="160"/>
      <c r="X365" s="160"/>
      <c r="Y365" s="160"/>
      <c r="AA365" s="160"/>
      <c r="AB365" s="160"/>
    </row>
  </sheetData>
  <mergeCells count="9">
    <mergeCell ref="X3:Y3"/>
    <mergeCell ref="AA3:AB3"/>
    <mergeCell ref="D1:K1"/>
    <mergeCell ref="M1:AB1"/>
    <mergeCell ref="J12:K12"/>
    <mergeCell ref="J3:K3"/>
    <mergeCell ref="M3:O3"/>
    <mergeCell ref="Q3:S3"/>
    <mergeCell ref="U3:V3"/>
  </mergeCells>
  <hyperlinks>
    <hyperlink ref="A3" location="فهرست!A1" display="فهرست"/>
    <hyperlink ref="A5" location="'مدیریت وام و اقساط'!A1" display="وام و اقساط"/>
    <hyperlink ref="A6" location="'مدیریت چک‌ها'!A1" display="چک‌ها"/>
    <hyperlink ref="A7" location="'مدیریت بدهی‌ها-طلب‌ها'!A1" display="بدهی‌ها و طلب‌ها"/>
    <hyperlink ref="A8" location="'برنامه ریزی پرداخت‌ها'!A1" display="برنامه ریزی"/>
    <hyperlink ref="A9" location="تقویم!A1" display="تقویم"/>
    <hyperlink ref="A10" location="'بودجه بندی'!A1" display="بودجه بندی"/>
    <hyperlink ref="A11" location="'گزارش فعالیت‌های ماه جاری'!A1" display="ماه جاری"/>
    <hyperlink ref="A12" location="'جست و جو'!A1" display="جست و جو"/>
    <hyperlink ref="A4" location="تراکنش‌ها!A1" display="تراکنش‌ها"/>
  </hyperlinks>
  <pageMargins left="0.7" right="0.7" top="0.75" bottom="0.75" header="0.3" footer="0.3"/>
  <pageSetup orientation="portrait" r:id="rId1"/>
  <ignoredErrors>
    <ignoredError sqref="N5:N9" numberStoredAsText="1"/>
  </ignoredErrors>
  <tableParts count="10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7" tint="-0.499984740745262"/>
  </sheetPr>
  <dimension ref="A1:K13"/>
  <sheetViews>
    <sheetView rightToLeft="1" workbookViewId="0">
      <pane ySplit="2" topLeftCell="A3" activePane="bottomLeft" state="frozen"/>
      <selection pane="bottomLeft" activeCell="D3" sqref="D3"/>
    </sheetView>
  </sheetViews>
  <sheetFormatPr defaultRowHeight="15" x14ac:dyDescent="0.25"/>
  <cols>
    <col min="1" max="1" width="22.42578125" customWidth="1"/>
    <col min="2" max="2" width="19.5703125" customWidth="1"/>
    <col min="3" max="3" width="29.85546875" customWidth="1"/>
    <col min="4" max="10" width="18.28515625" customWidth="1"/>
    <col min="11" max="11" width="61.5703125" customWidth="1"/>
    <col min="12" max="12" width="20.85546875" customWidth="1"/>
    <col min="13" max="13" width="28.7109375" customWidth="1"/>
  </cols>
  <sheetData>
    <row r="1" spans="1:11" ht="18.75" x14ac:dyDescent="0.25">
      <c r="A1" s="11" t="s">
        <v>8</v>
      </c>
      <c r="B1" s="37" t="s">
        <v>116</v>
      </c>
      <c r="C1" s="12" t="s">
        <v>103</v>
      </c>
      <c r="D1" s="13" t="s">
        <v>104</v>
      </c>
      <c r="E1" s="35" t="s">
        <v>105</v>
      </c>
      <c r="F1" s="14" t="s">
        <v>111</v>
      </c>
      <c r="G1" s="15" t="s">
        <v>90</v>
      </c>
      <c r="H1" s="25" t="s">
        <v>112</v>
      </c>
      <c r="I1" s="16" t="s">
        <v>106</v>
      </c>
      <c r="J1" s="17" t="s">
        <v>99</v>
      </c>
    </row>
    <row r="2" spans="1:11" s="43" customFormat="1" ht="3" customHeight="1" x14ac:dyDescent="0.25"/>
    <row r="3" spans="1:11" ht="18.75" x14ac:dyDescent="0.25">
      <c r="A3" s="159" t="s">
        <v>348</v>
      </c>
      <c r="B3" s="159"/>
      <c r="C3" s="159"/>
      <c r="D3" s="15" t="s">
        <v>90</v>
      </c>
    </row>
    <row r="4" spans="1:11" x14ac:dyDescent="0.25">
      <c r="A4" s="90" t="s">
        <v>353</v>
      </c>
      <c r="B4" s="90" t="s">
        <v>160</v>
      </c>
      <c r="C4" s="90" t="s">
        <v>354</v>
      </c>
    </row>
    <row r="5" spans="1:11" x14ac:dyDescent="0.25">
      <c r="A5" s="125" t="s">
        <v>349</v>
      </c>
      <c r="B5" s="90">
        <f>Shamsi()</f>
        <v>14000529</v>
      </c>
      <c r="C5" s="90" t="s">
        <v>350</v>
      </c>
      <c r="E5">
        <f>DayWeekNo(14000523)</f>
        <v>0</v>
      </c>
      <c r="F5" t="s">
        <v>357</v>
      </c>
      <c r="K5" s="1" t="s">
        <v>14</v>
      </c>
    </row>
    <row r="6" spans="1:11" x14ac:dyDescent="0.25">
      <c r="A6" s="125" t="s">
        <v>351</v>
      </c>
      <c r="B6" s="90" t="str">
        <f>Slash(Shamsi())</f>
        <v>1400/05/29</v>
      </c>
      <c r="C6" s="90" t="s">
        <v>352</v>
      </c>
      <c r="E6">
        <f>DayWeekNo(14000524)</f>
        <v>1</v>
      </c>
      <c r="F6" t="s">
        <v>360</v>
      </c>
      <c r="K6" s="2" t="s">
        <v>15</v>
      </c>
    </row>
    <row r="7" spans="1:11" ht="45" x14ac:dyDescent="0.25">
      <c r="A7" s="125" t="s">
        <v>359</v>
      </c>
      <c r="B7" s="90">
        <f>DayWeekNo(Shamsi())</f>
        <v>6</v>
      </c>
      <c r="C7" s="90" t="s">
        <v>365</v>
      </c>
      <c r="E7">
        <f>DayWeekNo(14000525)</f>
        <v>2</v>
      </c>
      <c r="F7" t="s">
        <v>361</v>
      </c>
    </row>
    <row r="8" spans="1:11" x14ac:dyDescent="0.25">
      <c r="A8" s="125"/>
      <c r="B8" s="90"/>
      <c r="C8" s="90"/>
      <c r="E8">
        <f>DayWeekNo(14000526)</f>
        <v>3</v>
      </c>
      <c r="F8" t="s">
        <v>362</v>
      </c>
    </row>
    <row r="9" spans="1:11" x14ac:dyDescent="0.25">
      <c r="A9" s="125"/>
      <c r="B9" s="90"/>
      <c r="C9" s="90"/>
      <c r="E9">
        <f>DayWeekNo(14000527)</f>
        <v>4</v>
      </c>
      <c r="F9" t="s">
        <v>363</v>
      </c>
    </row>
    <row r="10" spans="1:11" x14ac:dyDescent="0.25">
      <c r="A10" s="125"/>
      <c r="B10" s="90"/>
      <c r="C10" s="90"/>
      <c r="E10">
        <f>DayWeekNo(14000528)</f>
        <v>5</v>
      </c>
      <c r="F10" t="s">
        <v>364</v>
      </c>
    </row>
    <row r="11" spans="1:11" x14ac:dyDescent="0.25">
      <c r="A11" s="125"/>
      <c r="B11" s="90"/>
      <c r="C11" s="90"/>
      <c r="E11">
        <f>DayWeekNo(14000529)</f>
        <v>6</v>
      </c>
      <c r="F11" t="s">
        <v>358</v>
      </c>
    </row>
    <row r="12" spans="1:11" x14ac:dyDescent="0.25">
      <c r="A12" s="125"/>
      <c r="B12" s="90"/>
      <c r="C12" s="90"/>
    </row>
    <row r="13" spans="1:11" x14ac:dyDescent="0.25">
      <c r="A13" s="125"/>
      <c r="B13" s="90"/>
      <c r="C13" s="90"/>
    </row>
  </sheetData>
  <mergeCells count="1">
    <mergeCell ref="A3:C3"/>
  </mergeCells>
  <hyperlinks>
    <hyperlink ref="A1" location="فهرست!A1" display="فهرست"/>
    <hyperlink ref="C1" location="'مدیریت وام و اقساط'!A1" display="وام و اقساط"/>
    <hyperlink ref="D1" location="'مدیریت چک‌ها'!A1" display="چک‌ها"/>
    <hyperlink ref="E1" location="'مدیریت بدهی‌ها-طلب‌ها'!A1" display="بدهی‌ها و طلب‌ها"/>
    <hyperlink ref="F1" location="'برنامه ریزی پرداخت‌ها'!A1" display="برنامه ریزی"/>
    <hyperlink ref="G1" location="تقویم!A1" display="تقویم"/>
    <hyperlink ref="H1" location="'بودجه بندی'!A1" display="بودجه بندی"/>
    <hyperlink ref="I1" location="'گزارش فعالیت‌های ماه جاری'!A1" display="ماه جاری"/>
    <hyperlink ref="J1" location="'جست و جو'!A1" display="جست و جو"/>
    <hyperlink ref="B1" location="تراکنش‌ها!A1" display="تراکنش‌ها"/>
    <hyperlink ref="D3" location="تقویم!A1" display="تقویم"/>
  </hyperlinks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D603C4B-B27A-4457-A9A4-A09A108F213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38</vt:i4>
      </vt:variant>
    </vt:vector>
  </HeadingPairs>
  <TitlesOfParts>
    <vt:vector size="62" baseType="lpstr">
      <vt:lpstr>چک نویس</vt:lpstr>
      <vt:lpstr>فهرست</vt:lpstr>
      <vt:lpstr>تراکنش‌ها</vt:lpstr>
      <vt:lpstr>بودجه بندی</vt:lpstr>
      <vt:lpstr>مدیریت وام و اقساط</vt:lpstr>
      <vt:lpstr>مدیریت چک‌ها</vt:lpstr>
      <vt:lpstr>مدیریت بدهی‌ها-طلب‌ها</vt:lpstr>
      <vt:lpstr>برنامه ریزی پرداخت‌ها</vt:lpstr>
      <vt:lpstr>تقویم</vt:lpstr>
      <vt:lpstr>گزارش فعالیت‌های ماه جاری</vt:lpstr>
      <vt:lpstr>گزارش دریافت‌ها</vt:lpstr>
      <vt:lpstr>گزارش پرداخت‌ها</vt:lpstr>
      <vt:lpstr>گزارش انتقال‌ها</vt:lpstr>
      <vt:lpstr>گروه‌‌های درآمدی</vt:lpstr>
      <vt:lpstr>گزارش گروه‌های دریافتی</vt:lpstr>
      <vt:lpstr>گروه‌‌های (بابت‌ها) هزینه</vt:lpstr>
      <vt:lpstr>گزارش گروه‌های پرداختی</vt:lpstr>
      <vt:lpstr>گروه‌های انتقال</vt:lpstr>
      <vt:lpstr>گزارش گروه‌های انتقال</vt:lpstr>
      <vt:lpstr>جست و جو</vt:lpstr>
      <vt:lpstr>دریافت کنندگان - پرداخت کنندگان</vt:lpstr>
      <vt:lpstr>تنظیمات حساب</vt:lpstr>
      <vt:lpstr>تنظیمات دفترچه</vt:lpstr>
      <vt:lpstr>راهنما</vt:lpstr>
      <vt:lpstr>AccountNamesList</vt:lpstr>
      <vt:lpstr>Accounts_and_ReceiversAndPayers_List</vt:lpstr>
      <vt:lpstr>RecipientsList</vt:lpstr>
      <vt:lpstr>TransactionMethodsList</vt:lpstr>
      <vt:lpstr>ارتباطات</vt:lpstr>
      <vt:lpstr>ایاب_و_ذهاب</vt:lpstr>
      <vt:lpstr>بهداشت_و_درمان</vt:lpstr>
      <vt:lpstr>بهداشت_و_نظافت_فردی</vt:lpstr>
      <vt:lpstr>بهداشت_و_نظافت_محیط</vt:lpstr>
      <vt:lpstr>بیمه</vt:lpstr>
      <vt:lpstr>پرداخت_اقساط</vt:lpstr>
      <vt:lpstr>پرداخت_هزینه</vt:lpstr>
      <vt:lpstr>پوشاک_و_کفش</vt:lpstr>
      <vt:lpstr>تشویقی‌ها_جوایز_و_عیدی‌ها</vt:lpstr>
      <vt:lpstr>حقوق</vt:lpstr>
      <vt:lpstr>خودرو</vt:lpstr>
      <vt:lpstr>خوراکی‌ها_و_آشامیدنی‌ها</vt:lpstr>
      <vt:lpstr>خیریه_و_امور_فرهنگی</vt:lpstr>
      <vt:lpstr>دخانیات</vt:lpstr>
      <vt:lpstr>درآمد_متفرقه</vt:lpstr>
      <vt:lpstr>دریافت_درآمد</vt:lpstr>
      <vt:lpstr>دریافت_رهن_و_اجاره</vt:lpstr>
      <vt:lpstr>دریافت_وام</vt:lpstr>
      <vt:lpstr>دستمزد</vt:lpstr>
      <vt:lpstr>دوچرخه</vt:lpstr>
      <vt:lpstr>زیورآلات_سرمایه</vt:lpstr>
      <vt:lpstr>زیورآلات_غیر‌سرمایه</vt:lpstr>
      <vt:lpstr>سرمایه‌گذاری</vt:lpstr>
      <vt:lpstr>سفر_و_گردش</vt:lpstr>
      <vt:lpstr>سود_سرمایه‌گذاری</vt:lpstr>
      <vt:lpstr>صورتحساب‌های_مسکن</vt:lpstr>
      <vt:lpstr>فراغت_و_سرگرمی</vt:lpstr>
      <vt:lpstr>مالیات</vt:lpstr>
      <vt:lpstr>مدرک_و_تحصیل</vt:lpstr>
      <vt:lpstr>منفعت_کسب</vt:lpstr>
      <vt:lpstr>هدیه</vt:lpstr>
      <vt:lpstr>ورزش</vt:lpstr>
      <vt:lpstr>یادگیری_و_توسعه_فردی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Saya Monem</dc:creator>
  <cp:lastModifiedBy>Saya Monem</cp:lastModifiedBy>
  <dcterms:created xsi:type="dcterms:W3CDTF">2021-06-20T04:07:24Z</dcterms:created>
  <dcterms:modified xsi:type="dcterms:W3CDTF">2021-08-21T08:41:40Z</dcterms:modified>
</cp:coreProperties>
</file>