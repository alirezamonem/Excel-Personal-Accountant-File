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tables/table18.xml" ContentType="application/vnd.openxmlformats-officedocument.spreadsheetml.table+xml"/>
  <Override PartName="/xl/tables/table19.xml" ContentType="application/vnd.openxmlformats-officedocument.spreadsheetml.table+xml"/>
  <Override PartName="/xl/tables/table20.xml" ContentType="application/vnd.openxmlformats-officedocument.spreadsheetml.table+xml"/>
  <Override PartName="/xl/tables/table21.xml" ContentType="application/vnd.openxmlformats-officedocument.spreadsheetml.table+xml"/>
  <Override PartName="/xl/tables/table22.xml" ContentType="application/vnd.openxmlformats-officedocument.spreadsheetml.table+xml"/>
  <Override PartName="/xl/tables/table23.xml" ContentType="application/vnd.openxmlformats-officedocument.spreadsheetml.table+xml"/>
  <Override PartName="/xl/tables/table24.xml" ContentType="application/vnd.openxmlformats-officedocument.spreadsheetml.table+xml"/>
  <Override PartName="/xl/tables/table25.xml" ContentType="application/vnd.openxmlformats-officedocument.spreadsheetml.table+xml"/>
  <Override PartName="/xl/tables/table26.xml" ContentType="application/vnd.openxmlformats-officedocument.spreadsheetml.table+xml"/>
  <Override PartName="/xl/tables/table27.xml" ContentType="application/vnd.openxmlformats-officedocument.spreadsheetml.table+xml"/>
  <Override PartName="/xl/tables/table28.xml" ContentType="application/vnd.openxmlformats-officedocument.spreadsheetml.table+xml"/>
  <Override PartName="/xl/tables/table29.xml" ContentType="application/vnd.openxmlformats-officedocument.spreadsheetml.table+xml"/>
  <Override PartName="/xl/tables/table30.xml" ContentType="application/vnd.openxmlformats-officedocument.spreadsheetml.table+xml"/>
  <Override PartName="/xl/tables/table31.xml" ContentType="application/vnd.openxmlformats-officedocument.spreadsheetml.table+xml"/>
  <Override PartName="/xl/tables/table32.xml" ContentType="application/vnd.openxmlformats-officedocument.spreadsheetml.table+xml"/>
  <Override PartName="/xl/tables/table33.xml" ContentType="application/vnd.openxmlformats-officedocument.spreadsheetml.table+xml"/>
  <Override PartName="/xl/tables/table34.xml" ContentType="application/vnd.openxmlformats-officedocument.spreadsheetml.table+xml"/>
  <Override PartName="/xl/tables/table35.xml" ContentType="application/vnd.openxmlformats-officedocument.spreadsheetml.table+xml"/>
  <Override PartName="/xl/tables/table36.xml" ContentType="application/vnd.openxmlformats-officedocument.spreadsheetml.table+xml"/>
  <Override PartName="/xl/tables/table37.xml" ContentType="application/vnd.openxmlformats-officedocument.spreadsheetml.table+xml"/>
  <Override PartName="/xl/tables/table38.xml" ContentType="application/vnd.openxmlformats-officedocument.spreadsheetml.table+xml"/>
  <Override PartName="/xl/tables/table39.xml" ContentType="application/vnd.openxmlformats-officedocument.spreadsheetml.table+xml"/>
  <Override PartName="/xl/tables/table40.xml" ContentType="application/vnd.openxmlformats-officedocument.spreadsheetml.table+xml"/>
  <Override PartName="/xl/tables/table41.xml" ContentType="application/vnd.openxmlformats-officedocument.spreadsheetml.table+xml"/>
  <Override PartName="/xl/tables/table42.xml" ContentType="application/vnd.openxmlformats-officedocument.spreadsheetml.table+xml"/>
  <Override PartName="/xl/tables/table43.xml" ContentType="application/vnd.openxmlformats-officedocument.spreadsheetml.table+xml"/>
  <Override PartName="/xl/tables/table44.xml" ContentType="application/vnd.openxmlformats-officedocument.spreadsheetml.table+xml"/>
  <Override PartName="/xl/tables/table45.xml" ContentType="application/vnd.openxmlformats-officedocument.spreadsheetml.table+xml"/>
  <Override PartName="/xl/tables/table46.xml" ContentType="application/vnd.openxmlformats-officedocument.spreadsheetml.table+xml"/>
  <Override PartName="/xl/tables/table47.xml" ContentType="application/vnd.openxmlformats-officedocument.spreadsheetml.table+xml"/>
  <Override PartName="/xl/tables/table48.xml" ContentType="application/vnd.openxmlformats-officedocument.spreadsheetml.table+xml"/>
  <Override PartName="/xl/tables/table49.xml" ContentType="application/vnd.openxmlformats-officedocument.spreadsheetml.table+xml"/>
  <Override PartName="/xl/tables/table50.xml" ContentType="application/vnd.openxmlformats-officedocument.spreadsheetml.table+xml"/>
  <Override PartName="/xl/tables/table51.xml" ContentType="application/vnd.openxmlformats-officedocument.spreadsheetml.table+xml"/>
  <Override PartName="/xl/tables/table52.xml" ContentType="application/vnd.openxmlformats-officedocument.spreadsheetml.table+xml"/>
  <Override PartName="/xl/tables/table53.xml" ContentType="application/vnd.openxmlformats-officedocument.spreadsheetml.table+xml"/>
  <Override PartName="/xl/tables/table54.xml" ContentType="application/vnd.openxmlformats-officedocument.spreadsheetml.table+xml"/>
  <Override PartName="/xl/tables/table55.xml" ContentType="application/vnd.openxmlformats-officedocument.spreadsheetml.table+xml"/>
  <Override PartName="/xl/tables/table56.xml" ContentType="application/vnd.openxmlformats-officedocument.spreadsheetml.table+xml"/>
  <Override PartName="/xl/tables/table57.xml" ContentType="application/vnd.openxmlformats-officedocument.spreadsheetml.table+xml"/>
  <Override PartName="/xl/tables/table58.xml" ContentType="application/vnd.openxmlformats-officedocument.spreadsheetml.table+xml"/>
  <Override PartName="/xl/tables/table59.xml" ContentType="application/vnd.openxmlformats-officedocument.spreadsheetml.table+xml"/>
  <Override PartName="/xl/tables/table60.xml" ContentType="application/vnd.openxmlformats-officedocument.spreadsheetml.table+xml"/>
  <Override PartName="/xl/tables/table61.xml" ContentType="application/vnd.openxmlformats-officedocument.spreadsheetml.table+xml"/>
  <Override PartName="/xl/tables/table62.xml" ContentType="application/vnd.openxmlformats-officedocument.spreadsheetml.table+xml"/>
  <Override PartName="/xl/tables/table63.xml" ContentType="application/vnd.openxmlformats-officedocument.spreadsheetml.table+xml"/>
  <Override PartName="/xl/tables/table64.xml" ContentType="application/vnd.openxmlformats-officedocument.spreadsheetml.table+xml"/>
  <Override PartName="/xl/tables/table65.xml" ContentType="application/vnd.openxmlformats-officedocument.spreadsheetml.table+xml"/>
  <Override PartName="/xl/tables/table66.xml" ContentType="application/vnd.openxmlformats-officedocument.spreadsheetml.table+xml"/>
  <Override PartName="/xl/tables/table67.xml" ContentType="application/vnd.openxmlformats-officedocument.spreadsheetml.table+xml"/>
  <Override PartName="/xl/tables/table68.xml" ContentType="application/vnd.openxmlformats-officedocument.spreadsheetml.table+xml"/>
  <Override PartName="/xl/tables/table69.xml" ContentType="application/vnd.openxmlformats-officedocument.spreadsheetml.table+xml"/>
  <Override PartName="/xl/tables/table70.xml" ContentType="application/vnd.openxmlformats-officedocument.spreadsheetml.table+xml"/>
  <Override PartName="/xl/tables/table71.xml" ContentType="application/vnd.openxmlformats-officedocument.spreadsheetml.table+xml"/>
  <Override PartName="/xl/tables/table72.xml" ContentType="application/vnd.openxmlformats-officedocument.spreadsheetml.table+xml"/>
  <Override PartName="/xl/tables/table73.xml" ContentType="application/vnd.openxmlformats-officedocument.spreadsheetml.table+xml"/>
  <Override PartName="/xl/tables/table74.xml" ContentType="application/vnd.openxmlformats-officedocument.spreadsheetml.table+xml"/>
  <Override PartName="/xl/tables/table75.xml" ContentType="application/vnd.openxmlformats-officedocument.spreadsheetml.table+xml"/>
  <Override PartName="/xl/tables/table76.xml" ContentType="application/vnd.openxmlformats-officedocument.spreadsheetml.table+xml"/>
  <Override PartName="/xl/tables/table77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701" codeName="{B6124F1A-AFFB-F854-7757-9A1D4C6FC43C}"/>
  <workbookPr codeName="ThisWorkbook"/>
  <mc:AlternateContent xmlns:mc="http://schemas.openxmlformats.org/markup-compatibility/2006">
    <mc:Choice Requires="x15">
      <x15ac:absPath xmlns:x15ac="http://schemas.microsoft.com/office/spreadsheetml/2010/11/ac" url="E:\Personal accounting office\Github_Repository\"/>
    </mc:Choice>
  </mc:AlternateContent>
  <xr:revisionPtr revIDLastSave="0" documentId="13_ncr:1_{F5ECBD61-835C-47B6-9ADA-4F195FB698D9}" xr6:coauthVersionLast="47" xr6:coauthVersionMax="47" xr10:uidLastSave="{00000000-0000-0000-0000-000000000000}"/>
  <bookViews>
    <workbookView xWindow="0" yWindow="450" windowWidth="25200" windowHeight="15300" tabRatio="907" activeTab="14" xr2:uid="{00000000-000D-0000-FFFF-FFFF00000000}"/>
  </bookViews>
  <sheets>
    <sheet name="چک نویس" sheetId="22" r:id="rId1"/>
    <sheet name="فهرست" sheetId="19" r:id="rId2"/>
    <sheet name="تراکنش‌ها" sheetId="1" r:id="rId3"/>
    <sheet name="مدیریت وام و اقساط" sheetId="14" state="hidden" r:id="rId4"/>
    <sheet name="مدیریت چک‌ها" sheetId="2" state="hidden" r:id="rId5"/>
    <sheet name="مدیریت بدهی‌ها-طلب‌ها" sheetId="16" state="hidden" r:id="rId6"/>
    <sheet name="برنامه ریزی پرداخت‌ها" sheetId="15" state="hidden" r:id="rId7"/>
    <sheet name="تقویم" sheetId="18" state="hidden" r:id="rId8"/>
    <sheet name="گزارش فعالیت‌های ماه جاری" sheetId="5" state="hidden" r:id="rId9"/>
    <sheet name="گزارش دریافت‌ها" sheetId="8" state="hidden" r:id="rId10"/>
    <sheet name="گزارش پرداخت‌ها" sheetId="9" state="hidden" r:id="rId11"/>
    <sheet name="گزارش انتقال‌ها" sheetId="10" state="hidden" r:id="rId12"/>
    <sheet name="برنامه و بودجه بندی" sheetId="31" r:id="rId13"/>
    <sheet name="مدیریت زندگی در محیط اشتراکی" sheetId="33" r:id="rId14"/>
    <sheet name="مدیریت وسایل (مینیمالیست)" sheetId="34" r:id="rId15"/>
    <sheet name="گروه‌‌های درآمدی" sheetId="20" r:id="rId16"/>
    <sheet name="گزارش گروه‌های دریافتی" sheetId="13" state="hidden" r:id="rId17"/>
    <sheet name="گروه‌‌های (بابت‌ها) هزینه" sheetId="6" r:id="rId18"/>
    <sheet name="گزارش گروه‌های پرداختی" sheetId="12" state="hidden" r:id="rId19"/>
    <sheet name="گروه‌های انتقال" sheetId="26" state="hidden" r:id="rId20"/>
    <sheet name="گزارش گروه‌های انتقال" sheetId="27" state="hidden" r:id="rId21"/>
    <sheet name="جست و جو" sheetId="17" state="hidden" r:id="rId22"/>
    <sheet name="دریافت کنندگان - پرداخت کنندگان" sheetId="24" r:id="rId23"/>
    <sheet name="تنظیمات حساب" sheetId="3" r:id="rId24"/>
    <sheet name="تنظیمات دفترچه" sheetId="4" r:id="rId25"/>
    <sheet name="راهنما" sheetId="21" r:id="rId26"/>
  </sheets>
  <functionGroups builtInGroupCount="19"/>
  <externalReferences>
    <externalReference r:id="rId27"/>
  </externalReferences>
  <definedNames>
    <definedName name="AccountNamesList" localSheetId="12">[1]!FinancialAccountsTable[نام حساب]</definedName>
    <definedName name="AccountNamesList" localSheetId="13">[1]!FinancialAccountsTable[نام حساب]</definedName>
    <definedName name="AccountNamesList" localSheetId="14">[1]!FinancialAccountsTable[نام حساب]</definedName>
    <definedName name="AccountNamesList">#REF!</definedName>
    <definedName name="Accounts_and_ReceiversAndPayers_List" localSheetId="12">[1]!Accounts_and_ReceiversAndPayers_AppendTabel[Accounts and ReceiversAndPayers]</definedName>
    <definedName name="Accounts_and_ReceiversAndPayers_List" localSheetId="13">[1]!Accounts_and_ReceiversAndPayers_AppendTabel[Accounts and ReceiversAndPayers]</definedName>
    <definedName name="Accounts_and_ReceiversAndPayers_List" localSheetId="14">[1]!Accounts_and_ReceiversAndPayers_AppendTabel[Accounts and ReceiversAndPayers]</definedName>
    <definedName name="Accounts_and_ReceiversAndPayers_List">Accounts_Receivers_Payers_Table[Accounts_Receivers_Payers]</definedName>
    <definedName name="RecipientsList" localSheetId="12">[1]!ReceiversAndPayersTable[دریافت کننده - پرداخت کنندگان]</definedName>
    <definedName name="RecipientsList" localSheetId="13">[1]!ReceiversAndPayersTable[دریافت کننده - پرداخت کنندگان]</definedName>
    <definedName name="RecipientsList" localSheetId="14">[1]!ReceiversAndPayersTable[دریافت کننده - پرداخت کنندگان]</definedName>
    <definedName name="RecipientsList">#REF!</definedName>
    <definedName name="TransactionMethodsList" comment="روش های انتقال پول" localSheetId="12">[1]!TransactionMethodsTable[روش تراکنش]</definedName>
    <definedName name="TransactionMethodsList" comment="روش های انتقال پول" localSheetId="13">[1]!TransactionMethodsTable[روش تراکنش]</definedName>
    <definedName name="TransactionMethodsList" comment="روش های انتقال پول" localSheetId="14">[1]!TransactionMethodsTable[روش تراکنش]</definedName>
    <definedName name="TransactionMethodsList" comment="روش های انتقال پول">TransactionMethodsTable[روش تراکنش]</definedName>
    <definedName name="ارتباطات" comment="گروه هزینه‌های ارتباطات" localSheetId="12">[1]!NetworkCostsTable[ارتباطات]</definedName>
    <definedName name="ارتباطات" comment="گروه هزینه‌های ارتباطات" localSheetId="13">[1]!NetworkCostsTable[ارتباطات]</definedName>
    <definedName name="ارتباطات" comment="گروه هزینه‌های ارتباطات" localSheetId="14">[1]!NetworkCostsTable[ارتباطات]</definedName>
    <definedName name="ارتباطات" comment="گروه هزینه‌های ارتباطات">NetworkCostsTable[ارتباطات]</definedName>
    <definedName name="ایاب_و_ذهاب" comment="گروه هزینه‌های ایاب و ذهاب" localSheetId="12">[1]!TravelCostsTable[ایاب و ذهاب]</definedName>
    <definedName name="ایاب_و_ذهاب" comment="گروه هزینه‌های ایاب و ذهاب" localSheetId="13">[1]!TravelCostsTable[ایاب و ذهاب]</definedName>
    <definedName name="ایاب_و_ذهاب" comment="گروه هزینه‌های ایاب و ذهاب" localSheetId="14">[1]!TravelCostsTable[ایاب و ذهاب]</definedName>
    <definedName name="ایاب_و_ذهاب" comment="گروه هزینه‌های ایاب و ذهاب">TravelCostsTable[ایاب و ذهاب]</definedName>
    <definedName name="بهداشت_و_درمان" comment="گروه هزینه‌های بهداشت و درمان" localSheetId="12">[1]!HealthCareCostsTable[بهداشت و درمان]</definedName>
    <definedName name="بهداشت_و_درمان" comment="گروه هزینه‌های بهداشت و درمان" localSheetId="13">[1]!HealthCareCostsTable[بهداشت و درمان]</definedName>
    <definedName name="بهداشت_و_درمان" comment="گروه هزینه‌های بهداشت و درمان" localSheetId="14">[1]!HealthCareCostsTable[بهداشت و درمان]</definedName>
    <definedName name="بهداشت_و_درمان" comment="گروه هزینه‌های بهداشت و درمان">HealthCareCostsTable[بهداشت و درمان]</definedName>
    <definedName name="بهداشت_و_نظافت_فردی" comment="گروه هزینه‌های بهداشت و نظافت فردی" localSheetId="12">[1]!PersonalCleaningCostsTable[بهداشت و نظافت فردی]</definedName>
    <definedName name="بهداشت_و_نظافت_فردی" comment="گروه هزینه‌های بهداشت و نظافت فردی" localSheetId="13">[1]!PersonalCleaningCostsTable[بهداشت و نظافت فردی]</definedName>
    <definedName name="بهداشت_و_نظافت_فردی" comment="گروه هزینه‌های بهداشت و نظافت فردی" localSheetId="14">[1]!PersonalCleaningCostsTable[بهداشت و نظافت فردی]</definedName>
    <definedName name="بهداشت_و_نظافت_فردی" comment="گروه هزینه‌های بهداشت و نظافت فردی">PersonalCleaningCostsTable[بهداشت و نظافت فردی]</definedName>
    <definedName name="بهداشت_و_نظافت_محیط" comment="گروه هزینه های بهداشت و نظافت محیط" localSheetId="12">[1]!EnvironmentalHealthCostsTable[بهداشت و نظافت محیط]</definedName>
    <definedName name="بهداشت_و_نظافت_محیط" comment="گروه هزینه های بهداشت و نظافت محیط" localSheetId="13">[1]!EnvironmentalHealthCostsTable[بهداشت و نظافت محیط]</definedName>
    <definedName name="بهداشت_و_نظافت_محیط" comment="گروه هزینه های بهداشت و نظافت محیط" localSheetId="14">[1]!EnvironmentalHealthCostsTable[بهداشت و نظافت محیط]</definedName>
    <definedName name="بهداشت_و_نظافت_محیط" comment="گروه هزینه های بهداشت و نظافت محیط">EnvironmentalHealthCostsTable[بهداشت و نظافت محیط]</definedName>
    <definedName name="بیمه" comment="گروه هزینه‌های بیمه" localSheetId="12">[1]!InsuranceCostsTable[بیمه]</definedName>
    <definedName name="بیمه" comment="گروه هزینه‌های بیمه" localSheetId="13">[1]!InsuranceCostsTable[بیمه]</definedName>
    <definedName name="بیمه" comment="گروه هزینه‌های بیمه" localSheetId="14">[1]!InsuranceCostsTable[بیمه]</definedName>
    <definedName name="بیمه" comment="گروه هزینه‌های بیمه">InsuranceCostsTable[بیمه]</definedName>
    <definedName name="پرداخت_اقساط" comment="گروه هزینه‌های پرداخت اقساط" localSheetId="12">[1]!InstallmentPaymentCostsTable[پرداخت اقساط]</definedName>
    <definedName name="پرداخت_اقساط" comment="گروه هزینه‌های پرداخت اقساط" localSheetId="13">[1]!InstallmentPaymentCostsTable[پرداخت اقساط]</definedName>
    <definedName name="پرداخت_اقساط" comment="گروه هزینه‌های پرداخت اقساط" localSheetId="14">[1]!InstallmentPaymentCostsTable[پرداخت اقساط]</definedName>
    <definedName name="پرداخت_اقساط" comment="گروه هزینه‌های پرداخت اقساط">InstallmentPaymentCostsTable[پرداخت اقساط]</definedName>
    <definedName name="پرداخت_هزینه" comment="گروه‌های هزینه در کاربرگ گروه‌های (بابت‌ها) هزینه" localSheetId="12">[1]!CostGroupsTable[نام گروه هزینه]</definedName>
    <definedName name="پرداخت_هزینه" comment="گروه‌های هزینه در کاربرگ گروه‌های (بابت‌ها) هزینه" localSheetId="13">[1]!CostGroupsTable[نام گروه هزینه]</definedName>
    <definedName name="پرداخت_هزینه" comment="گروه‌های هزینه در کاربرگ گروه‌های (بابت‌ها) هزینه" localSheetId="14">[1]!CostGroupsTable[نام گروه هزینه]</definedName>
    <definedName name="پرداخت_هزینه" comment="گروه‌های هزینه در کاربرگ گروه‌های (بابت‌ها) هزینه">CostGroupsTable[نام گروه هزینه]</definedName>
    <definedName name="پوشاک_و_کفش" comment="گروه هزینه‌های پوشاک و کفش" localSheetId="12">[1]!CostsOfClothingAndFootwearTable[پوشاک و کفش]</definedName>
    <definedName name="پوشاک_و_کفش" comment="گروه هزینه‌های پوشاک و کفش" localSheetId="13">[1]!CostsOfClothingAndFootwearTable[پوشاک و کفش]</definedName>
    <definedName name="پوشاک_و_کفش" comment="گروه هزینه‌های پوشاک و کفش" localSheetId="14">[1]!CostsOfClothingAndFootwearTable[پوشاک و کفش]</definedName>
    <definedName name="پوشاک_و_کفش" comment="گروه هزینه‌های پوشاک و کفش">CostsOfClothingAndFootwearTable[پوشاک و کفش]</definedName>
    <definedName name="تشویقی‌ها_جوایز_و_عیدی‌ها" comment="لیست گروه درآمد‌ها تشویفی‌ها، جوایز و عیدی‌ها" localSheetId="12">[1]!IncentivesPrizesAndFeastsTable[تشویقی‌ها، جوایز و عیدی‌ها]</definedName>
    <definedName name="تشویقی‌ها_جوایز_و_عیدی‌ها" comment="لیست گروه درآمد‌ها تشویفی‌ها، جوایز و عیدی‌ها" localSheetId="13">[1]!IncentivesPrizesAndFeastsTable[تشویقی‌ها، جوایز و عیدی‌ها]</definedName>
    <definedName name="تشویقی‌ها_جوایز_و_عیدی‌ها" comment="لیست گروه درآمد‌ها تشویفی‌ها، جوایز و عیدی‌ها" localSheetId="14">[1]!IncentivesPrizesAndFeastsTable[تشویقی‌ها، جوایز و عیدی‌ها]</definedName>
    <definedName name="تشویقی‌ها_جوایز_و_عیدی‌ها" comment="لیست گروه درآمد‌ها تشویفی‌ها، جوایز و عیدی‌ها">IncentivesPrizesAndFeastsTable[تشویقی‌ها، جوایز و عیدی‌ها]</definedName>
    <definedName name="حقوق" comment="لیست گروه درآمد‌ها حقوق" localSheetId="12">[1]!RightsTable[حقوق]</definedName>
    <definedName name="حقوق" comment="لیست گروه درآمد‌ها حقوق" localSheetId="13">[1]!RightsTable[حقوق]</definedName>
    <definedName name="حقوق" comment="لیست گروه درآمد‌ها حقوق" localSheetId="14">[1]!RightsTable[حقوق]</definedName>
    <definedName name="حقوق" comment="لیست گروه درآمد‌ها حقوق">RightsTable[حقوق]</definedName>
    <definedName name="خودرو" comment="گروه هزینه‌های خودرو" localSheetId="12">[1]!CarCostsTable[خودرو]</definedName>
    <definedName name="خودرو" comment="گروه هزینه‌های خودرو" localSheetId="13">[1]!CarCostsTable[خودرو]</definedName>
    <definedName name="خودرو" comment="گروه هزینه‌های خودرو" localSheetId="14">[1]!CarCostsTable[خودرو]</definedName>
    <definedName name="خودرو" comment="گروه هزینه‌های خودرو">CarCostsTable[خودرو]</definedName>
    <definedName name="خوراکی‌ها_و_آشامیدنی‌ها" comment="گروه هزینه‌های خوراکی‌ها و آشامیدنی‌ها" localSheetId="12">[1]!CostsOfFoodAndBeveragesTable[خوراکی‌ها و آشامیدنی‌ها]</definedName>
    <definedName name="خوراکی‌ها_و_آشامیدنی‌ها" comment="گروه هزینه‌های خوراکی‌ها و آشامیدنی‌ها" localSheetId="13">[1]!CostsOfFoodAndBeveragesTable[خوراکی‌ها و آشامیدنی‌ها]</definedName>
    <definedName name="خوراکی‌ها_و_آشامیدنی‌ها" comment="گروه هزینه‌های خوراکی‌ها و آشامیدنی‌ها" localSheetId="14">[1]!CostsOfFoodAndBeveragesTable[خوراکی‌ها و آشامیدنی‌ها]</definedName>
    <definedName name="خوراکی‌ها_و_آشامیدنی‌ها" comment="گروه هزینه‌های خوراکی‌ها و آشامیدنی‌ها">CostsOfFoodAndBeveragesTable[خوراکی‌ها و آشامیدنی‌ها]</definedName>
    <definedName name="خیریه_و_امور_فرهنگی" comment="گروه هزینه‌های خیریه و امور فرهنگی" localSheetId="12">[1]!CharityAndCulturalExpensesTable[خیریه و امور فرهنگی]</definedName>
    <definedName name="خیریه_و_امور_فرهنگی" comment="گروه هزینه‌های خیریه و امور فرهنگی" localSheetId="13">[1]!CharityAndCulturalExpensesTable[خیریه و امور فرهنگی]</definedName>
    <definedName name="خیریه_و_امور_فرهنگی" comment="گروه هزینه‌های خیریه و امور فرهنگی" localSheetId="14">[1]!CharityAndCulturalExpensesTable[خیریه و امور فرهنگی]</definedName>
    <definedName name="خیریه_و_امور_فرهنگی" comment="گروه هزینه‌های خیریه و امور فرهنگی">CharityAndCulturalExpensesTable[خیریه و امور فرهنگی]</definedName>
    <definedName name="دخانیات" comment="گروه هزینه‌های دخانیات" localSheetId="12">[1]!TobaccoCostsTable[دخانیات]</definedName>
    <definedName name="دخانیات" comment="گروه هزینه‌های دخانیات" localSheetId="13">[1]!TobaccoCostsTable[دخانیات]</definedName>
    <definedName name="دخانیات" comment="گروه هزینه‌های دخانیات" localSheetId="14">[1]!TobaccoCostsTable[دخانیات]</definedName>
    <definedName name="دخانیات" comment="گروه هزینه‌های دخانیات">TobaccoCostsTable[دخانیات]</definedName>
    <definedName name="درآمد_متفرقه" comment="لیست گروه های درآمدی، درآمد متفرقه" localSheetId="12">[1]!MiscellaneousIncomeTable[درآمد متفرقه]</definedName>
    <definedName name="درآمد_متفرقه" comment="لیست گروه های درآمدی، درآمد متفرقه" localSheetId="13">[1]!MiscellaneousIncomeTable[درآمد متفرقه]</definedName>
    <definedName name="درآمد_متفرقه" comment="لیست گروه های درآمدی، درآمد متفرقه" localSheetId="14">[1]!MiscellaneousIncomeTable[درآمد متفرقه]</definedName>
    <definedName name="درآمد_متفرقه" comment="لیست گروه های درآمدی، درآمد متفرقه">MiscellaneousIncomeTable[درآمد متفرقه]</definedName>
    <definedName name="دریافت_درآمد" comment="لیست گروه درآمد‌ها - شاخه اصلی" localSheetId="12">[1]!RevenueGroupTable[نام گروه درآمد]</definedName>
    <definedName name="دریافت_درآمد" comment="لیست گروه درآمد‌ها - شاخه اصلی" localSheetId="13">[1]!RevenueGroupTable[نام گروه درآمد]</definedName>
    <definedName name="دریافت_درآمد" comment="لیست گروه درآمد‌ها - شاخه اصلی" localSheetId="14">[1]!RevenueGroupTable[نام گروه درآمد]</definedName>
    <definedName name="دریافت_درآمد" comment="لیست گروه درآمد‌ها - شاخه اصلی">RevenueGroupTable[نام گروه درآمد]</definedName>
    <definedName name="دریافت_رهن_و_اجاره" comment="لیست گروه‌های درآمدی دریافت رهن و اجاره" localSheetId="12">[1]!GetAMortgageAndRentTable[دریافت رهن و اجاره]</definedName>
    <definedName name="دریافت_رهن_و_اجاره" comment="لیست گروه‌های درآمدی دریافت رهن و اجاره" localSheetId="13">[1]!GetAMortgageAndRentTable[دریافت رهن و اجاره]</definedName>
    <definedName name="دریافت_رهن_و_اجاره" comment="لیست گروه‌های درآمدی دریافت رهن و اجاره" localSheetId="14">[1]!GetAMortgageAndRentTable[دریافت رهن و اجاره]</definedName>
    <definedName name="دریافت_رهن_و_اجاره" comment="لیست گروه‌های درآمدی دریافت رهن و اجاره">GetAMortgageAndRentTable[دریافت رهن و اجاره]</definedName>
    <definedName name="دریافت_وام" comment="لیست گروه‌های درآمدی دریافت وام" localSheetId="12">[1]!GetALoanTable[دریافت وام]</definedName>
    <definedName name="دریافت_وام" comment="لیست گروه‌های درآمدی دریافت وام" localSheetId="13">[1]!GetALoanTable[دریافت وام]</definedName>
    <definedName name="دریافت_وام" comment="لیست گروه‌های درآمدی دریافت وام" localSheetId="14">[1]!GetALoanTable[دریافت وام]</definedName>
    <definedName name="دریافت_وام" comment="لیست گروه‌های درآمدی دریافت وام">GetALoanTable[دریافت وام]</definedName>
    <definedName name="دستمزد" comment="لیست گروه درآمد‌ها دستمزد" localSheetId="12">[1]!SalaryTable[دستمزد]</definedName>
    <definedName name="دستمزد" comment="لیست گروه درآمد‌ها دستمزد" localSheetId="13">[1]!SalaryTable[دستمزد]</definedName>
    <definedName name="دستمزد" comment="لیست گروه درآمد‌ها دستمزد" localSheetId="14">[1]!SalaryTable[دستمزد]</definedName>
    <definedName name="دستمزد" comment="لیست گروه درآمد‌ها دستمزد">SalaryTable[دستمزد]</definedName>
    <definedName name="دوچرخه" comment="گروه هزینه‌های دوچرخه" localSheetId="12">[1]!BicycleCostsTable[دوچرخه]</definedName>
    <definedName name="دوچرخه" comment="گروه هزینه‌های دوچرخه" localSheetId="13">[1]!BicycleCostsTable[دوچرخه]</definedName>
    <definedName name="دوچرخه" comment="گروه هزینه‌های دوچرخه" localSheetId="14">[1]!BicycleCostsTable[دوچرخه]</definedName>
    <definedName name="دوچرخه" comment="گروه هزینه‌های دوچرخه">BicycleCostsTable[دوچرخه]</definedName>
    <definedName name="زیورآلات_سرمایه" comment="گروه هزینه‌های زیورآلات سرمایه مانند طلا، تقره، عتیقه، جواهرات و غیره" localSheetId="12">[1]!CostsOfCapitalJewelryTable[زیورآلات سرمایه]</definedName>
    <definedName name="زیورآلات_سرمایه" comment="گروه هزینه‌های زیورآلات سرمایه مانند طلا، تقره، عتیقه، جواهرات و غیره" localSheetId="13">[1]!CostsOfCapitalJewelryTable[زیورآلات سرمایه]</definedName>
    <definedName name="زیورآلات_سرمایه" comment="گروه هزینه‌های زیورآلات سرمایه مانند طلا، تقره، عتیقه، جواهرات و غیره" localSheetId="14">[1]!CostsOfCapitalJewelryTable[زیورآلات سرمایه]</definedName>
    <definedName name="زیورآلات_سرمایه" comment="گروه هزینه‌های زیورآلات سرمایه مانند طلا، تقره، عتیقه، جواهرات و غیره">CostsOfCapitalJewelryTable[زیورآلات سرمایه]</definedName>
    <definedName name="زیورآلات_غیر‌سرمایه" comment="گروه هزینه‌های زیورآلات غیر سرمایه" localSheetId="12">[1]!Non_CapitalJewelryCostsTable[[ زیورآلات غیر سرمایه]]</definedName>
    <definedName name="زیورآلات_غیر‌سرمایه" comment="گروه هزینه‌های زیورآلات غیر سرمایه" localSheetId="13">[1]!Non_CapitalJewelryCostsTable[[ زیورآلات غیر سرمایه]]</definedName>
    <definedName name="زیورآلات_غیر‌سرمایه" comment="گروه هزینه‌های زیورآلات غیر سرمایه" localSheetId="14">[1]!Non_CapitalJewelryCostsTable[[ زیورآلات غیر سرمایه]]</definedName>
    <definedName name="زیورآلات_غیر‌سرمایه" comment="گروه هزینه‌های زیورآلات غیر سرمایه">Non_CapitalJewelryCostsTable[[ زیورآلات غیر سرمایه]]</definedName>
    <definedName name="سرمایه‌گذاری" comment="گروه هزینه‌های سرمایه گذاری" localSheetId="12">[1]!InvestmentCostsTable[[ سرمایه گذاری]]</definedName>
    <definedName name="سرمایه‌گذاری" comment="گروه هزینه‌های سرمایه گذاری" localSheetId="13">[1]!InvestmentCostsTable[[ سرمایه گذاری]]</definedName>
    <definedName name="سرمایه‌گذاری" comment="گروه هزینه‌های سرمایه گذاری" localSheetId="14">[1]!InvestmentCostsTable[[ سرمایه گذاری]]</definedName>
    <definedName name="سرمایه‌گذاری" comment="گروه هزینه‌های سرمایه گذاری">InvestmentCostsTable[[ سرمایه گذاری]]</definedName>
    <definedName name="سرویس‌های_دیجیتال">[1]!DigitalServicesCostTable[سرویس‌های دیجیتال]</definedName>
    <definedName name="سفر_و_گردش" comment="گروه هزینه‌های سفر و گردش" localSheetId="12">[1]!TravelAndTourExpensesTable[سفر و گردش]</definedName>
    <definedName name="سفر_و_گردش" comment="گروه هزینه‌های سفر و گردش" localSheetId="13">[1]!TravelAndTourExpensesTable[سفر و گردش]</definedName>
    <definedName name="سفر_و_گردش" comment="گروه هزینه‌های سفر و گردش" localSheetId="14">[1]!TravelAndTourExpensesTable[سفر و گردش]</definedName>
    <definedName name="سفر_و_گردش" comment="گروه هزینه‌های سفر و گردش">TravelAndTourExpensesTable[سفر و گردش]</definedName>
    <definedName name="سود_سرمایه‌گذاری" comment="لیست گروه درآمد‌ها سود سرمایه‌گذاری" localSheetId="12">[1]!ProfitableInvestmentTable[سود سرمایه‌گذاری]</definedName>
    <definedName name="سود_سرمایه‌گذاری" comment="لیست گروه درآمد‌ها سود سرمایه‌گذاری" localSheetId="13">[1]!ProfitableInvestmentTable[سود سرمایه‌گذاری]</definedName>
    <definedName name="سود_سرمایه‌گذاری" comment="لیست گروه درآمد‌ها سود سرمایه‌گذاری" localSheetId="14">[1]!ProfitableInvestmentTable[سود سرمایه‌گذاری]</definedName>
    <definedName name="سود_سرمایه‌گذاری" comment="لیست گروه درآمد‌ها سود سرمایه‌گذاری">ProfitableInvestmentTable[سود سرمایه‌گذاری]</definedName>
    <definedName name="صورتحساب‌های_مسکن" comment="گروه هزینه‌های صورتحساب‌های مسکن" localSheetId="12">[1]!HousingBillCostsTable[صورتحاب‌های مسکن]</definedName>
    <definedName name="صورتحساب‌های_مسکن" comment="گروه هزینه‌های صورتحساب‌های مسکن" localSheetId="13">[1]!HousingBillCostsTable[صورتحاب‌های مسکن]</definedName>
    <definedName name="صورتحساب‌های_مسکن" comment="گروه هزینه‌های صورتحساب‌های مسکن" localSheetId="14">[1]!HousingBillCostsTable[صورتحاب‌های مسکن]</definedName>
    <definedName name="صورتحساب‌های_مسکن" comment="گروه هزینه‌های صورتحساب‌های مسکن">HousingBillCostsTable[صورتحاب‌های مسکن]</definedName>
    <definedName name="فراغت_و_سرگرمی" comment="گروه هزینه‌های فراغت و سرگرمی" localSheetId="12">[1]!LeisureAndEntertainmentExpensesTable[فراغت و سرگرمی]</definedName>
    <definedName name="فراغت_و_سرگرمی" comment="گروه هزینه‌های فراغت و سرگرمی" localSheetId="13">[1]!LeisureAndEntertainmentExpensesTable[فراغت و سرگرمی]</definedName>
    <definedName name="فراغت_و_سرگرمی" comment="گروه هزینه‌های فراغت و سرگرمی" localSheetId="14">[1]!LeisureAndEntertainmentExpensesTable[فراغت و سرگرمی]</definedName>
    <definedName name="فراغت_و_سرگرمی" comment="گروه هزینه‌های فراغت و سرگرمی">LeisureAndEntertainmentExpensesTable[فراغت و سرگرمی]</definedName>
    <definedName name="قرض_دادن_پول">[1]!Table8[قرض_دادن_پول]</definedName>
    <definedName name="کالای_خروجی">OutputProductCategoryTable[دسته خروجی]</definedName>
    <definedName name="کالای_ورودی">IncomingProductCategoryTable[دسته ورودی]</definedName>
    <definedName name="مالیات" comment="گروه هزینه‌های مالیات" localSheetId="12">[1]!TaxCostsTable[مالیات]</definedName>
    <definedName name="مالیات" comment="گروه هزینه‌های مالیات" localSheetId="13">[1]!TaxCostsTable[مالیات]</definedName>
    <definedName name="مالیات" comment="گروه هزینه‌های مالیات" localSheetId="14">[1]!TaxCostsTable[مالیات]</definedName>
    <definedName name="مالیات" comment="گروه هزینه‌های مالیات">TaxCostsTable[مالیات]</definedName>
    <definedName name="مدرک_و_تحصیل" comment="گروه هزینه‌های مدرک و تحصیل" localSheetId="12">[1]!DegreeAndTuitionFeesTable[[ مدرک و تحصیل]]</definedName>
    <definedName name="مدرک_و_تحصیل" comment="گروه هزینه‌های مدرک و تحصیل" localSheetId="13">[1]!DegreeAndTuitionFeesTable[[ مدرک و تحصیل]]</definedName>
    <definedName name="مدرک_و_تحصیل" comment="گروه هزینه‌های مدرک و تحصیل" localSheetId="14">[1]!DegreeAndTuitionFeesTable[[ مدرک و تحصیل]]</definedName>
    <definedName name="مدرک_و_تحصیل" comment="گروه هزینه‌های مدرک و تحصیل">DegreeAndTuitionFeesTable[[ مدرک و تحصیل]]</definedName>
    <definedName name="ملزومات_و_اثاثیه_منزل">[1]!Table53[ملزومات و اثاثیه منزل]</definedName>
    <definedName name="منفعت_کسب" comment="لیست گروه‌ درآمد‌ها منفعت کسب" localSheetId="12">[1]!ProfitOfAcquisitionTable[منفعت کسب]</definedName>
    <definedName name="منفعت_کسب" comment="لیست گروه‌ درآمد‌ها منفعت کسب" localSheetId="13">[1]!ProfitOfAcquisitionTable[منفعت کسب]</definedName>
    <definedName name="منفعت_کسب" comment="لیست گروه‌ درآمد‌ها منفعت کسب" localSheetId="14">[1]!ProfitOfAcquisitionTable[منفعت کسب]</definedName>
    <definedName name="منفعت_کسب" comment="لیست گروه‌ درآمد‌ها منفعت کسب">ProfitOfAcquisitionTable[منفعت کسب]</definedName>
    <definedName name="موارد_قانونی">[1]!Table52[موارد قانونی]</definedName>
    <definedName name="هدیه" comment="لیست هزینه‌های هدیه" localSheetId="12">[1]!GiftCostsTable[هدیه و کادو]</definedName>
    <definedName name="هدیه" comment="لیست هزینه‌های هدیه" localSheetId="13">[1]!GiftCostsTable[هدیه و کادو]</definedName>
    <definedName name="هدیه" comment="لیست هزینه‌های هدیه" localSheetId="14">[1]!GiftCostsTable[هدیه و کادو]</definedName>
    <definedName name="هدیه" comment="لیست هزینه‌های هدیه">GiftCostsTable[هدیه و کادو]</definedName>
    <definedName name="ورزش" comment="گروه هزینه‌های ورزش" localSheetId="12">[1]!ExerciseCostsTable[ورزش]</definedName>
    <definedName name="ورزش" comment="گروه هزینه‌های ورزش" localSheetId="13">[1]!ExerciseCostsTable[ورزش]</definedName>
    <definedName name="ورزش" comment="گروه هزینه‌های ورزش" localSheetId="14">[1]!ExerciseCostsTable[ورزش]</definedName>
    <definedName name="ورزش" comment="گروه هزینه‌های ورزش">ExerciseCostsTable[ورزش]</definedName>
    <definedName name="یادگیری_و_توسعه_فردی" comment="گروه هزینه‌های یادگیری و توسعه فردی" localSheetId="12">[1]!LearningAndIndividualDevelopmentCostsTable[یادگیری و توسعه فردی]</definedName>
    <definedName name="یادگیری_و_توسعه_فردی" comment="گروه هزینه‌های یادگیری و توسعه فردی" localSheetId="13">[1]!LearningAndIndividualDevelopmentCostsTable[یادگیری و توسعه فردی]</definedName>
    <definedName name="یادگیری_و_توسعه_فردی" comment="گروه هزینه‌های یادگیری و توسعه فردی" localSheetId="14">[1]!LearningAndIndividualDevelopmentCostsTable[یادگیری و توسعه فردی]</definedName>
    <definedName name="یادگیری_و_توسعه_فردی" comment="گروه هزینه‌های یادگیری و توسعه فردی">LearningAndIndividualDevelopmentCostsTable[یادگیری و توسعه فردی]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X3" i="34" l="1"/>
  <c r="Z3" i="34" s="1"/>
  <c r="X4" i="34"/>
  <c r="X5" i="34"/>
  <c r="X6" i="34"/>
  <c r="Z6" i="34" s="1"/>
  <c r="X7" i="34"/>
  <c r="X8" i="34"/>
  <c r="X9" i="34"/>
  <c r="Z9" i="34"/>
  <c r="Z7" i="34"/>
  <c r="Z5" i="34"/>
  <c r="Z4" i="34"/>
  <c r="Z8" i="34" l="1"/>
  <c r="P18" i="33"/>
  <c r="G7" i="33" l="1"/>
  <c r="A7" i="33" s="1"/>
  <c r="G31" i="31"/>
  <c r="G19" i="3" l="1"/>
  <c r="S122" i="4"/>
  <c r="S71" i="4"/>
  <c r="J15" i="3" l="1"/>
  <c r="K15" i="3" s="1"/>
  <c r="J16" i="3"/>
  <c r="K16" i="3" s="1"/>
  <c r="J18" i="3"/>
  <c r="K18" i="3" s="1"/>
  <c r="J17" i="3"/>
  <c r="K17" i="3" s="1"/>
  <c r="J11" i="3"/>
  <c r="K11" i="3" s="1"/>
  <c r="J13" i="3"/>
  <c r="K13" i="3" s="1"/>
  <c r="J12" i="3"/>
  <c r="K12" i="3" s="1"/>
  <c r="J10" i="3"/>
  <c r="K10" i="3" s="1"/>
  <c r="J9" i="3"/>
  <c r="K9" i="3" s="1"/>
  <c r="H19" i="3"/>
  <c r="I19" i="3"/>
  <c r="J14" i="3"/>
  <c r="J19" i="3" l="1"/>
  <c r="K14" i="3"/>
  <c r="F5" i="1"/>
  <c r="S11" i="4" l="1"/>
  <c r="S12" i="4"/>
  <c r="S13" i="4"/>
  <c r="S14" i="4"/>
  <c r="S15" i="4"/>
  <c r="S16" i="4"/>
  <c r="S17" i="4"/>
  <c r="S18" i="4"/>
  <c r="S19" i="4"/>
  <c r="S20" i="4"/>
  <c r="S21" i="4"/>
  <c r="S22" i="4"/>
  <c r="S23" i="4"/>
  <c r="S24" i="4"/>
  <c r="S25" i="4"/>
  <c r="S26" i="4"/>
  <c r="S27" i="4"/>
  <c r="S28" i="4"/>
  <c r="S29" i="4"/>
  <c r="S30" i="4"/>
  <c r="S31" i="4"/>
  <c r="S32" i="4"/>
  <c r="S33" i="4"/>
  <c r="S34" i="4"/>
  <c r="S35" i="4"/>
  <c r="S36" i="4"/>
  <c r="S37" i="4"/>
  <c r="S38" i="4"/>
  <c r="S39" i="4"/>
  <c r="S40" i="4"/>
  <c r="S41" i="4"/>
  <c r="S42" i="4"/>
  <c r="S43" i="4"/>
  <c r="S44" i="4"/>
  <c r="S45" i="4"/>
  <c r="S46" i="4"/>
  <c r="S47" i="4"/>
  <c r="S48" i="4"/>
  <c r="S49" i="4"/>
  <c r="S50" i="4"/>
  <c r="S51" i="4"/>
  <c r="S52" i="4"/>
  <c r="S53" i="4"/>
  <c r="S54" i="4"/>
  <c r="S55" i="4"/>
  <c r="S56" i="4"/>
  <c r="S57" i="4"/>
  <c r="S58" i="4"/>
  <c r="S59" i="4"/>
  <c r="S60" i="4"/>
  <c r="S61" i="4"/>
  <c r="S62" i="4"/>
  <c r="S63" i="4"/>
  <c r="S64" i="4"/>
  <c r="S65" i="4"/>
  <c r="S66" i="4"/>
  <c r="S67" i="4"/>
  <c r="S68" i="4"/>
  <c r="S69" i="4"/>
  <c r="S70" i="4"/>
  <c r="S72" i="4"/>
  <c r="S73" i="4"/>
  <c r="S74" i="4"/>
  <c r="S75" i="4"/>
  <c r="S76" i="4"/>
  <c r="S77" i="4"/>
  <c r="S78" i="4"/>
  <c r="S79" i="4"/>
  <c r="S80" i="4"/>
  <c r="S81" i="4"/>
  <c r="S82" i="4"/>
  <c r="S83" i="4"/>
  <c r="S84" i="4"/>
  <c r="S85" i="4"/>
  <c r="S86" i="4"/>
  <c r="S87" i="4"/>
  <c r="S88" i="4"/>
  <c r="S89" i="4"/>
  <c r="S90" i="4"/>
  <c r="S91" i="4"/>
  <c r="S92" i="4"/>
  <c r="S93" i="4"/>
  <c r="S94" i="4"/>
  <c r="S95" i="4"/>
  <c r="S96" i="4"/>
  <c r="S97" i="4"/>
  <c r="S98" i="4"/>
  <c r="S99" i="4"/>
  <c r="S100" i="4"/>
  <c r="S101" i="4"/>
  <c r="S102" i="4"/>
  <c r="S103" i="4"/>
  <c r="S104" i="4"/>
  <c r="S105" i="4"/>
  <c r="S106" i="4"/>
  <c r="S107" i="4"/>
  <c r="S108" i="4"/>
  <c r="S109" i="4"/>
  <c r="S110" i="4"/>
  <c r="S111" i="4"/>
  <c r="S112" i="4"/>
  <c r="S113" i="4"/>
  <c r="S114" i="4"/>
  <c r="S115" i="4"/>
  <c r="S116" i="4"/>
  <c r="S117" i="4"/>
  <c r="S118" i="4"/>
  <c r="S119" i="4"/>
  <c r="S120" i="4"/>
  <c r="S121" i="4"/>
  <c r="S123" i="4"/>
  <c r="S124" i="4"/>
  <c r="S125" i="4"/>
  <c r="S126" i="4"/>
  <c r="S127" i="4"/>
  <c r="S128" i="4"/>
  <c r="S129" i="4"/>
  <c r="S130" i="4"/>
  <c r="S131" i="4"/>
  <c r="S132" i="4"/>
  <c r="S133" i="4"/>
  <c r="S134" i="4"/>
  <c r="S135" i="4"/>
  <c r="S136" i="4"/>
  <c r="S137" i="4"/>
  <c r="S138" i="4"/>
  <c r="S139" i="4"/>
  <c r="S140" i="4"/>
  <c r="S141" i="4"/>
  <c r="S142" i="4"/>
  <c r="S143" i="4"/>
  <c r="S144" i="4"/>
  <c r="S145" i="4"/>
  <c r="S146" i="4"/>
  <c r="S147" i="4"/>
  <c r="S148" i="4"/>
  <c r="S149" i="4"/>
  <c r="S150" i="4"/>
  <c r="S151" i="4"/>
  <c r="S152" i="4"/>
  <c r="S153" i="4"/>
  <c r="S154" i="4"/>
  <c r="S155" i="4"/>
  <c r="S156" i="4"/>
  <c r="S157" i="4"/>
  <c r="S158" i="4"/>
  <c r="S159" i="4"/>
  <c r="S160" i="4"/>
  <c r="S161" i="4"/>
  <c r="S162" i="4"/>
  <c r="S163" i="4"/>
  <c r="S164" i="4"/>
  <c r="S165" i="4"/>
  <c r="S166" i="4"/>
  <c r="S167" i="4"/>
  <c r="S168" i="4"/>
  <c r="S169" i="4"/>
  <c r="S170" i="4"/>
  <c r="S171" i="4"/>
  <c r="S172" i="4"/>
  <c r="S173" i="4"/>
  <c r="S174" i="4"/>
  <c r="S175" i="4"/>
  <c r="S176" i="4"/>
  <c r="S177" i="4"/>
  <c r="S178" i="4"/>
  <c r="S179" i="4"/>
  <c r="S180" i="4"/>
  <c r="S181" i="4"/>
  <c r="S182" i="4"/>
  <c r="S183" i="4"/>
  <c r="S184" i="4"/>
  <c r="S185" i="4"/>
  <c r="S186" i="4"/>
  <c r="S187" i="4"/>
  <c r="S188" i="4"/>
  <c r="S189" i="4"/>
  <c r="S190" i="4"/>
  <c r="S191" i="4"/>
  <c r="S192" i="4"/>
  <c r="S193" i="4"/>
  <c r="S194" i="4"/>
  <c r="S195" i="4"/>
  <c r="S196" i="4"/>
  <c r="S197" i="4"/>
  <c r="S198" i="4"/>
  <c r="S199" i="4"/>
  <c r="S200" i="4"/>
  <c r="S201" i="4"/>
  <c r="S202" i="4"/>
  <c r="S203" i="4"/>
  <c r="S204" i="4"/>
  <c r="S205" i="4"/>
  <c r="S206" i="4"/>
  <c r="S207" i="4"/>
  <c r="S208" i="4"/>
  <c r="S209" i="4"/>
  <c r="S210" i="4"/>
  <c r="S211" i="4"/>
  <c r="S212" i="4"/>
  <c r="S213" i="4"/>
  <c r="S214" i="4"/>
  <c r="S215" i="4"/>
  <c r="S216" i="4"/>
  <c r="S217" i="4"/>
  <c r="S218" i="4"/>
  <c r="S219" i="4"/>
  <c r="S220" i="4"/>
  <c r="S221" i="4"/>
  <c r="S222" i="4"/>
  <c r="S223" i="4"/>
  <c r="S224" i="4"/>
  <c r="O11" i="4"/>
  <c r="O12" i="4"/>
  <c r="O13" i="4"/>
  <c r="O14" i="4"/>
  <c r="S5" i="4"/>
  <c r="S6" i="4"/>
  <c r="S7" i="4"/>
  <c r="S8" i="4"/>
  <c r="S9" i="4"/>
  <c r="S10" i="4"/>
  <c r="O5" i="4" l="1"/>
  <c r="O6" i="4"/>
  <c r="O7" i="4"/>
  <c r="O8" i="4"/>
  <c r="O9" i="4"/>
  <c r="O10" i="4"/>
  <c r="C22" i="22"/>
  <c r="M28" i="22" l="1"/>
  <c r="M25" i="22"/>
  <c r="I25" i="22" s="1"/>
  <c r="M23" i="22"/>
  <c r="M24" i="22" s="1"/>
  <c r="P32" i="18"/>
  <c r="I32" i="18"/>
  <c r="AA14" i="18"/>
  <c r="U32" i="18"/>
  <c r="J23" i="18"/>
  <c r="F32" i="18"/>
  <c r="Z23" i="18"/>
  <c r="P23" i="18"/>
  <c r="T14" i="18"/>
  <c r="U14" i="18"/>
  <c r="S32" i="18"/>
  <c r="Q14" i="18"/>
  <c r="R32" i="18"/>
  <c r="H32" i="18"/>
  <c r="T32" i="18"/>
  <c r="P14" i="18"/>
  <c r="G23" i="18"/>
  <c r="T5" i="18"/>
  <c r="AA32" i="18"/>
  <c r="G32" i="18"/>
  <c r="Z14" i="18"/>
  <c r="Q32" i="18"/>
  <c r="AA23" i="18"/>
  <c r="F23" i="18"/>
  <c r="Z5" i="18"/>
  <c r="Q5" i="18"/>
  <c r="R14" i="18"/>
  <c r="Z32" i="18"/>
  <c r="F5" i="18"/>
  <c r="S5" i="18"/>
  <c r="AB14" i="18"/>
  <c r="H23" i="18"/>
  <c r="P5" i="18"/>
  <c r="S14" i="18"/>
  <c r="F14" i="18"/>
  <c r="J32" i="18"/>
  <c r="I23" i="18"/>
  <c r="G5" i="18"/>
  <c r="G14" i="18"/>
  <c r="R5" i="18"/>
  <c r="L19" i="1" l="1"/>
  <c r="L20" i="1"/>
  <c r="L21" i="1"/>
  <c r="L22" i="1"/>
  <c r="L23" i="1"/>
  <c r="L24" i="1"/>
  <c r="L25" i="1"/>
  <c r="L26" i="1"/>
  <c r="L27" i="1"/>
  <c r="L28" i="1"/>
  <c r="L29" i="1"/>
  <c r="L30" i="1"/>
  <c r="L31" i="1"/>
  <c r="L32" i="1"/>
  <c r="L33" i="1"/>
  <c r="L34" i="1"/>
  <c r="L35" i="1"/>
  <c r="L36" i="1"/>
  <c r="L37" i="1"/>
  <c r="L38" i="1"/>
  <c r="L39" i="1"/>
  <c r="L40" i="1"/>
  <c r="L41" i="1"/>
  <c r="L42" i="1"/>
  <c r="L43" i="1"/>
  <c r="L44" i="1"/>
  <c r="L45" i="1"/>
  <c r="L46" i="1"/>
  <c r="L47" i="1"/>
  <c r="L48" i="1"/>
  <c r="L49" i="1"/>
  <c r="L50" i="1"/>
  <c r="L51" i="1"/>
  <c r="L52" i="1"/>
  <c r="L53" i="1"/>
  <c r="L54" i="1"/>
  <c r="L55" i="1"/>
  <c r="L56" i="1"/>
  <c r="L57" i="1"/>
  <c r="L58" i="1"/>
  <c r="L59" i="1"/>
  <c r="L60" i="1"/>
  <c r="L61" i="1"/>
  <c r="L62" i="1"/>
  <c r="L63" i="1"/>
  <c r="L64" i="1"/>
  <c r="L65" i="1"/>
  <c r="L66" i="1"/>
  <c r="L67" i="1"/>
  <c r="L68" i="1"/>
  <c r="L69" i="1"/>
  <c r="L70" i="1"/>
  <c r="L71" i="1"/>
  <c r="L72" i="1"/>
  <c r="L73" i="1"/>
  <c r="L74" i="1"/>
  <c r="L75" i="1"/>
  <c r="L76" i="1"/>
  <c r="L77" i="1"/>
  <c r="L78" i="1"/>
  <c r="L79" i="1"/>
  <c r="L80" i="1"/>
  <c r="L81" i="1"/>
  <c r="L82" i="1"/>
  <c r="L83" i="1"/>
  <c r="L84" i="1"/>
  <c r="L85" i="1"/>
  <c r="L86" i="1"/>
  <c r="L87" i="1"/>
  <c r="L88" i="1"/>
  <c r="L89" i="1"/>
  <c r="L90" i="1"/>
  <c r="L91" i="1"/>
  <c r="L92" i="1"/>
  <c r="L93" i="1"/>
  <c r="L94" i="1"/>
  <c r="L95" i="1"/>
  <c r="L96" i="1"/>
  <c r="L97" i="1"/>
  <c r="L98" i="1"/>
  <c r="L99" i="1"/>
  <c r="L100" i="1"/>
  <c r="L101" i="1"/>
  <c r="L102" i="1"/>
  <c r="L103" i="1"/>
  <c r="L104" i="1"/>
  <c r="L105" i="1"/>
  <c r="L106" i="1"/>
  <c r="L107" i="1"/>
  <c r="L108" i="1"/>
  <c r="L109" i="1"/>
  <c r="L110" i="1"/>
  <c r="L111" i="1"/>
  <c r="L112" i="1"/>
  <c r="L113" i="1"/>
  <c r="L114" i="1"/>
  <c r="L115" i="1"/>
  <c r="L116" i="1"/>
  <c r="L117" i="1"/>
  <c r="L118" i="1"/>
  <c r="L119" i="1"/>
  <c r="L120" i="1"/>
  <c r="L121" i="1"/>
  <c r="L122" i="1"/>
  <c r="L123" i="1"/>
  <c r="L124" i="1"/>
  <c r="L125" i="1"/>
  <c r="L126" i="1"/>
  <c r="L127" i="1"/>
  <c r="L128" i="1"/>
  <c r="L129" i="1"/>
  <c r="L130" i="1"/>
  <c r="L131" i="1"/>
  <c r="L132" i="1"/>
  <c r="L133" i="1"/>
  <c r="L134" i="1"/>
  <c r="L135" i="1"/>
  <c r="L136" i="1"/>
  <c r="L137" i="1"/>
  <c r="L138" i="1"/>
  <c r="L139" i="1"/>
  <c r="L140" i="1"/>
  <c r="L141" i="1"/>
  <c r="L142" i="1"/>
  <c r="L143" i="1"/>
  <c r="L144" i="1"/>
  <c r="L145" i="1"/>
  <c r="L146" i="1"/>
  <c r="L147" i="1"/>
  <c r="L148" i="1"/>
  <c r="L149" i="1"/>
  <c r="L150" i="1"/>
  <c r="L151" i="1"/>
  <c r="L152" i="1"/>
  <c r="L153" i="1"/>
  <c r="L154" i="1"/>
  <c r="L155" i="1"/>
  <c r="L156" i="1"/>
  <c r="L157" i="1"/>
  <c r="L158" i="1"/>
  <c r="L159" i="1"/>
  <c r="L160" i="1"/>
  <c r="L161" i="1"/>
  <c r="L162" i="1"/>
  <c r="L163" i="1"/>
  <c r="L164" i="1"/>
  <c r="L165" i="1"/>
  <c r="L166" i="1"/>
  <c r="L167" i="1"/>
  <c r="L168" i="1"/>
  <c r="L169" i="1"/>
  <c r="L170" i="1"/>
  <c r="L171" i="1"/>
  <c r="L172" i="1"/>
  <c r="L173" i="1"/>
  <c r="L174" i="1"/>
  <c r="L175" i="1"/>
  <c r="L176" i="1"/>
  <c r="L177" i="1"/>
  <c r="L178" i="1"/>
  <c r="L179" i="1"/>
  <c r="L180" i="1"/>
  <c r="L181" i="1"/>
  <c r="L182" i="1"/>
  <c r="L183" i="1"/>
  <c r="L184" i="1"/>
  <c r="L185" i="1"/>
  <c r="L186" i="1"/>
  <c r="L187" i="1"/>
  <c r="L188" i="1"/>
  <c r="L189" i="1"/>
  <c r="L190" i="1"/>
  <c r="L191" i="1"/>
  <c r="L192" i="1"/>
  <c r="L193" i="1"/>
  <c r="L194" i="1"/>
  <c r="L195" i="1"/>
  <c r="L196" i="1"/>
  <c r="L197" i="1"/>
  <c r="L198" i="1"/>
  <c r="L199" i="1"/>
  <c r="L200" i="1"/>
  <c r="L201" i="1"/>
  <c r="L202" i="1"/>
  <c r="L203" i="1"/>
  <c r="L204" i="1"/>
  <c r="L205" i="1"/>
  <c r="L206" i="1"/>
  <c r="L207" i="1"/>
  <c r="L208" i="1"/>
  <c r="L209" i="1"/>
  <c r="L210" i="1"/>
  <c r="L211" i="1"/>
  <c r="L212" i="1"/>
  <c r="L213" i="1"/>
  <c r="L214" i="1"/>
  <c r="L215" i="1"/>
  <c r="L216" i="1"/>
  <c r="L217" i="1"/>
  <c r="L218" i="1"/>
  <c r="L219" i="1"/>
  <c r="L220" i="1"/>
  <c r="L221" i="1"/>
  <c r="L222" i="1"/>
  <c r="L223" i="1"/>
  <c r="L224" i="1"/>
  <c r="L225" i="1"/>
  <c r="L226" i="1"/>
  <c r="L227" i="1"/>
  <c r="L228" i="1"/>
  <c r="L229" i="1"/>
  <c r="L230" i="1"/>
  <c r="L231" i="1"/>
  <c r="L232" i="1"/>
  <c r="L233" i="1"/>
  <c r="L234" i="1"/>
  <c r="L235" i="1"/>
  <c r="L236" i="1"/>
  <c r="L237" i="1"/>
  <c r="L238" i="1"/>
  <c r="L239" i="1"/>
  <c r="L240" i="1"/>
  <c r="L241" i="1"/>
  <c r="L242" i="1"/>
  <c r="L243" i="1"/>
  <c r="L244" i="1"/>
  <c r="L245" i="1"/>
  <c r="L246" i="1"/>
  <c r="L247" i="1"/>
  <c r="L248" i="1"/>
  <c r="L249" i="1"/>
  <c r="L250" i="1"/>
  <c r="L251" i="1"/>
  <c r="L252" i="1"/>
  <c r="L253" i="1"/>
  <c r="L254" i="1"/>
  <c r="L255" i="1"/>
  <c r="L256" i="1"/>
  <c r="L257" i="1"/>
  <c r="L258" i="1"/>
  <c r="L259" i="1"/>
  <c r="L260" i="1"/>
  <c r="L261" i="1"/>
  <c r="L262" i="1"/>
  <c r="L263" i="1"/>
  <c r="L264" i="1"/>
  <c r="L265" i="1"/>
  <c r="L266" i="1"/>
  <c r="L267" i="1"/>
  <c r="L268" i="1"/>
  <c r="L269" i="1"/>
  <c r="L270" i="1"/>
  <c r="L271" i="1"/>
  <c r="L272" i="1"/>
  <c r="L273" i="1"/>
  <c r="L274" i="1"/>
  <c r="L275" i="1"/>
  <c r="L276" i="1"/>
  <c r="L277" i="1"/>
  <c r="L278" i="1"/>
  <c r="L279" i="1"/>
  <c r="L280" i="1"/>
  <c r="L281" i="1"/>
  <c r="L282" i="1"/>
  <c r="L283" i="1"/>
  <c r="L284" i="1"/>
  <c r="L285" i="1"/>
  <c r="L286" i="1"/>
  <c r="L287" i="1"/>
  <c r="L288" i="1"/>
  <c r="L289" i="1"/>
  <c r="L290" i="1"/>
  <c r="L291" i="1"/>
  <c r="L292" i="1"/>
  <c r="L293" i="1"/>
  <c r="L294" i="1"/>
  <c r="L295" i="1"/>
  <c r="L296" i="1"/>
  <c r="L297" i="1"/>
  <c r="L298" i="1"/>
  <c r="L299" i="1"/>
  <c r="L300" i="1"/>
  <c r="L301" i="1"/>
  <c r="L302" i="1"/>
  <c r="L303" i="1"/>
  <c r="L304" i="1"/>
  <c r="L305" i="1"/>
  <c r="L306" i="1"/>
  <c r="L307" i="1"/>
  <c r="L308" i="1"/>
  <c r="L309" i="1"/>
  <c r="L310" i="1"/>
  <c r="L311" i="1"/>
  <c r="L312" i="1"/>
  <c r="L313" i="1"/>
  <c r="L314" i="1"/>
  <c r="L315" i="1"/>
  <c r="L316" i="1"/>
  <c r="L317" i="1"/>
  <c r="L318" i="1"/>
  <c r="L319" i="1"/>
  <c r="L320" i="1"/>
  <c r="L321" i="1"/>
  <c r="L322" i="1"/>
  <c r="L323" i="1"/>
  <c r="L324" i="1"/>
  <c r="L325" i="1"/>
  <c r="L326" i="1"/>
  <c r="L327" i="1"/>
  <c r="L328" i="1"/>
  <c r="L329" i="1"/>
  <c r="L330" i="1"/>
  <c r="L331" i="1"/>
  <c r="L332" i="1"/>
  <c r="L333" i="1"/>
  <c r="L334" i="1"/>
  <c r="L335" i="1"/>
  <c r="L336" i="1"/>
  <c r="L337" i="1"/>
  <c r="L338" i="1"/>
  <c r="L339" i="1"/>
  <c r="L340" i="1"/>
  <c r="L341" i="1"/>
  <c r="L342" i="1"/>
  <c r="L343" i="1"/>
  <c r="L344" i="1"/>
  <c r="L345" i="1"/>
  <c r="L346" i="1"/>
  <c r="L347" i="1"/>
  <c r="L348" i="1"/>
  <c r="L349" i="1"/>
  <c r="L350" i="1"/>
  <c r="L351" i="1"/>
  <c r="L352" i="1"/>
  <c r="L353" i="1"/>
  <c r="L354" i="1"/>
  <c r="L355" i="1"/>
  <c r="L356" i="1"/>
  <c r="L357" i="1"/>
  <c r="L358" i="1"/>
  <c r="L359" i="1"/>
  <c r="L360" i="1"/>
  <c r="L361" i="1"/>
  <c r="L362" i="1"/>
  <c r="L363" i="1"/>
  <c r="L364" i="1"/>
  <c r="L365" i="1"/>
  <c r="L366" i="1"/>
  <c r="L367" i="1"/>
  <c r="L368" i="1"/>
  <c r="L369" i="1"/>
  <c r="L370" i="1"/>
  <c r="L371" i="1"/>
  <c r="L372" i="1"/>
  <c r="L373" i="1"/>
  <c r="L374" i="1"/>
  <c r="L375" i="1"/>
  <c r="L376" i="1"/>
  <c r="L377" i="1"/>
  <c r="L378" i="1"/>
  <c r="L379" i="1"/>
  <c r="L380" i="1"/>
  <c r="L381" i="1"/>
  <c r="L382" i="1"/>
  <c r="L383" i="1"/>
  <c r="L384" i="1"/>
  <c r="L385" i="1"/>
  <c r="L386" i="1"/>
  <c r="L387" i="1"/>
  <c r="L388" i="1"/>
  <c r="L389" i="1"/>
  <c r="L390" i="1"/>
  <c r="L391" i="1"/>
  <c r="L392" i="1"/>
  <c r="L393" i="1"/>
  <c r="L394" i="1"/>
  <c r="L395" i="1"/>
  <c r="L396" i="1"/>
  <c r="L397" i="1"/>
  <c r="L398" i="1"/>
  <c r="L399" i="1"/>
  <c r="L400" i="1"/>
  <c r="L401" i="1"/>
  <c r="L402" i="1"/>
  <c r="L403" i="1"/>
  <c r="L404" i="1"/>
  <c r="L405" i="1"/>
  <c r="L406" i="1"/>
  <c r="L407" i="1"/>
  <c r="L408" i="1"/>
  <c r="L409" i="1"/>
  <c r="L410" i="1"/>
  <c r="L411" i="1"/>
  <c r="L412" i="1"/>
  <c r="L413" i="1"/>
  <c r="L414" i="1"/>
  <c r="L415" i="1"/>
  <c r="L416" i="1"/>
  <c r="L417" i="1"/>
  <c r="L418" i="1"/>
  <c r="L419" i="1"/>
  <c r="L420" i="1"/>
  <c r="L421" i="1"/>
  <c r="L422" i="1"/>
  <c r="L423" i="1"/>
  <c r="L424" i="1"/>
  <c r="L425" i="1"/>
  <c r="L426" i="1"/>
  <c r="L427" i="1"/>
  <c r="L428" i="1"/>
  <c r="L429" i="1"/>
  <c r="L430" i="1"/>
  <c r="L431" i="1"/>
  <c r="L432" i="1"/>
  <c r="L433" i="1"/>
  <c r="L434" i="1"/>
  <c r="L435" i="1"/>
  <c r="L436" i="1"/>
  <c r="L437" i="1"/>
  <c r="L438" i="1"/>
  <c r="L439" i="1"/>
  <c r="L440" i="1"/>
  <c r="L441" i="1"/>
  <c r="L442" i="1"/>
  <c r="L443" i="1"/>
  <c r="L444" i="1"/>
  <c r="L445" i="1"/>
  <c r="L446" i="1"/>
  <c r="L447" i="1"/>
  <c r="L448" i="1"/>
  <c r="L449" i="1"/>
  <c r="L450" i="1"/>
  <c r="L451" i="1"/>
  <c r="L452" i="1"/>
  <c r="L453" i="1"/>
  <c r="L454" i="1"/>
  <c r="L455" i="1"/>
  <c r="L456" i="1"/>
  <c r="L457" i="1"/>
  <c r="L458" i="1"/>
  <c r="L459" i="1"/>
  <c r="L460" i="1"/>
  <c r="L461" i="1"/>
  <c r="L462" i="1"/>
  <c r="L463" i="1"/>
  <c r="L464" i="1"/>
  <c r="L465" i="1"/>
  <c r="L466" i="1"/>
  <c r="L467" i="1"/>
  <c r="L468" i="1"/>
  <c r="L469" i="1"/>
  <c r="L470" i="1"/>
  <c r="L471" i="1"/>
  <c r="L472" i="1"/>
  <c r="L473" i="1"/>
  <c r="L474" i="1"/>
  <c r="L475" i="1"/>
  <c r="L476" i="1"/>
  <c r="L477" i="1"/>
  <c r="L478" i="1"/>
  <c r="L479" i="1"/>
  <c r="L480" i="1"/>
  <c r="L481" i="1"/>
  <c r="L482" i="1"/>
  <c r="L483" i="1"/>
  <c r="L484" i="1"/>
  <c r="L485" i="1"/>
  <c r="L486" i="1"/>
  <c r="L487" i="1"/>
  <c r="L488" i="1"/>
  <c r="L489" i="1"/>
  <c r="L490" i="1"/>
  <c r="L491" i="1"/>
  <c r="L492" i="1"/>
  <c r="L493" i="1"/>
  <c r="L494" i="1"/>
  <c r="L495" i="1"/>
  <c r="L496" i="1"/>
  <c r="L497" i="1"/>
  <c r="L498" i="1"/>
  <c r="L499" i="1"/>
  <c r="L500" i="1"/>
  <c r="L501" i="1"/>
  <c r="L502" i="1"/>
  <c r="L503" i="1"/>
  <c r="L504" i="1"/>
  <c r="L505" i="1"/>
  <c r="L506" i="1"/>
  <c r="L507" i="1"/>
  <c r="H5" i="18"/>
  <c r="AB32" i="18"/>
  <c r="V14" i="18"/>
  <c r="U5" i="18"/>
  <c r="H14" i="18"/>
  <c r="K32" i="18"/>
  <c r="AC14" i="18"/>
  <c r="AB23" i="18"/>
  <c r="AA5" i="18"/>
  <c r="Q23" i="18"/>
  <c r="K23" i="18"/>
  <c r="V32" i="18"/>
  <c r="P15" i="18" l="1"/>
  <c r="Q15" i="18" s="1"/>
  <c r="R15" i="18" s="1"/>
  <c r="S15" i="18" s="1"/>
  <c r="T15" i="18" s="1"/>
  <c r="U15" i="18" s="1"/>
  <c r="V15" i="18" s="1"/>
  <c r="P16" i="18" s="1"/>
  <c r="Q16" i="18" s="1"/>
  <c r="R16" i="18" s="1"/>
  <c r="S16" i="18" s="1"/>
  <c r="T16" i="18" s="1"/>
  <c r="U16" i="18" s="1"/>
  <c r="V16" i="18" s="1"/>
  <c r="P17" i="18" s="1"/>
  <c r="Q17" i="18" s="1"/>
  <c r="R17" i="18" s="1"/>
  <c r="S17" i="18" s="1"/>
  <c r="T17" i="18" s="1"/>
  <c r="U17" i="18" s="1"/>
  <c r="V17" i="18" s="1"/>
  <c r="P18" i="18" s="1"/>
  <c r="Q18" i="18" s="1"/>
  <c r="R18" i="18" s="1"/>
  <c r="S18" i="18" s="1"/>
  <c r="T18" i="18" s="1"/>
  <c r="U18" i="18" s="1"/>
  <c r="V18" i="18" s="1"/>
  <c r="P19" i="18" s="1"/>
  <c r="Q19" i="18" s="1"/>
  <c r="R19" i="18" s="1"/>
  <c r="S19" i="18" s="1"/>
  <c r="T19" i="18" s="1"/>
  <c r="U19" i="18" s="1"/>
  <c r="V19" i="18" s="1"/>
  <c r="P33" i="18"/>
  <c r="Q33" i="18" s="1"/>
  <c r="R33" i="18" s="1"/>
  <c r="S33" i="18" s="1"/>
  <c r="T33" i="18" s="1"/>
  <c r="U33" i="18" s="1"/>
  <c r="V33" i="18" s="1"/>
  <c r="P34" i="18" s="1"/>
  <c r="Q34" i="18" s="1"/>
  <c r="R34" i="18" s="1"/>
  <c r="S34" i="18" s="1"/>
  <c r="T34" i="18" s="1"/>
  <c r="U34" i="18" s="1"/>
  <c r="V34" i="18" s="1"/>
  <c r="P35" i="18" s="1"/>
  <c r="Q35" i="18" s="1"/>
  <c r="R35" i="18" s="1"/>
  <c r="S35" i="18" s="1"/>
  <c r="T35" i="18" s="1"/>
  <c r="U35" i="18" s="1"/>
  <c r="V35" i="18" s="1"/>
  <c r="P36" i="18" s="1"/>
  <c r="Q36" i="18" s="1"/>
  <c r="R36" i="18" s="1"/>
  <c r="S36" i="18" s="1"/>
  <c r="T36" i="18" s="1"/>
  <c r="U36" i="18" s="1"/>
  <c r="V36" i="18" s="1"/>
  <c r="P37" i="18" s="1"/>
  <c r="Q37" i="18" s="1"/>
  <c r="R37" i="18" s="1"/>
  <c r="S37" i="18" s="1"/>
  <c r="T37" i="18" s="1"/>
  <c r="U37" i="18" s="1"/>
  <c r="V37" i="18" s="1"/>
  <c r="O20" i="22"/>
  <c r="A16" i="22"/>
  <c r="I5" i="18"/>
  <c r="AB5" i="18"/>
  <c r="AD14" i="18"/>
  <c r="V5" i="18"/>
  <c r="L32" i="18"/>
  <c r="L23" i="18"/>
  <c r="AC23" i="18"/>
  <c r="R23" i="18"/>
  <c r="I14" i="18"/>
  <c r="AC32" i="18"/>
  <c r="P6" i="18" l="1"/>
  <c r="Q6" i="18" s="1"/>
  <c r="R6" i="18" s="1"/>
  <c r="S6" i="18" s="1"/>
  <c r="T6" i="18" s="1"/>
  <c r="U6" i="18" s="1"/>
  <c r="V6" i="18" s="1"/>
  <c r="P7" i="18" s="1"/>
  <c r="Q7" i="18" s="1"/>
  <c r="R7" i="18" s="1"/>
  <c r="S7" i="18" s="1"/>
  <c r="T7" i="18" s="1"/>
  <c r="U7" i="18" s="1"/>
  <c r="V7" i="18" s="1"/>
  <c r="P8" i="18" s="1"/>
  <c r="Q8" i="18" s="1"/>
  <c r="R8" i="18" s="1"/>
  <c r="S8" i="18" s="1"/>
  <c r="T8" i="18" s="1"/>
  <c r="U8" i="18" s="1"/>
  <c r="V8" i="18" s="1"/>
  <c r="P9" i="18" s="1"/>
  <c r="Q9" i="18" s="1"/>
  <c r="R9" i="18" s="1"/>
  <c r="S9" i="18" s="1"/>
  <c r="T9" i="18" s="1"/>
  <c r="U9" i="18" s="1"/>
  <c r="V9" i="18" s="1"/>
  <c r="P10" i="18" s="1"/>
  <c r="Q10" i="18" s="1"/>
  <c r="R10" i="18" s="1"/>
  <c r="S10" i="18" s="1"/>
  <c r="T10" i="18" s="1"/>
  <c r="U10" i="18" s="1"/>
  <c r="V10" i="18" s="1"/>
  <c r="F33" i="18"/>
  <c r="G33" i="18" s="1"/>
  <c r="H33" i="18" s="1"/>
  <c r="I33" i="18" s="1"/>
  <c r="J33" i="18" s="1"/>
  <c r="K33" i="18" s="1"/>
  <c r="L33" i="18" s="1"/>
  <c r="F34" i="18" s="1"/>
  <c r="G34" i="18" s="1"/>
  <c r="H34" i="18" s="1"/>
  <c r="I34" i="18" s="1"/>
  <c r="J34" i="18" s="1"/>
  <c r="K34" i="18" s="1"/>
  <c r="L34" i="18" s="1"/>
  <c r="F35" i="18" s="1"/>
  <c r="G35" i="18" s="1"/>
  <c r="H35" i="18" s="1"/>
  <c r="I35" i="18" s="1"/>
  <c r="J35" i="18" s="1"/>
  <c r="K35" i="18" s="1"/>
  <c r="L35" i="18" s="1"/>
  <c r="F36" i="18" s="1"/>
  <c r="G36" i="18" s="1"/>
  <c r="H36" i="18" s="1"/>
  <c r="I36" i="18" s="1"/>
  <c r="J36" i="18" s="1"/>
  <c r="K36" i="18" s="1"/>
  <c r="L36" i="18" s="1"/>
  <c r="F37" i="18" s="1"/>
  <c r="G37" i="18" s="1"/>
  <c r="H37" i="18" s="1"/>
  <c r="I37" i="18" s="1"/>
  <c r="J37" i="18" s="1"/>
  <c r="K37" i="18" s="1"/>
  <c r="L37" i="18" s="1"/>
  <c r="F24" i="18"/>
  <c r="G24" i="18" s="1"/>
  <c r="H24" i="18" s="1"/>
  <c r="I24" i="18" s="1"/>
  <c r="J24" i="18" s="1"/>
  <c r="K24" i="18" s="1"/>
  <c r="L24" i="18" s="1"/>
  <c r="F25" i="18" s="1"/>
  <c r="G25" i="18" s="1"/>
  <c r="H25" i="18" s="1"/>
  <c r="I25" i="18" s="1"/>
  <c r="J25" i="18" s="1"/>
  <c r="K25" i="18" s="1"/>
  <c r="L25" i="18" s="1"/>
  <c r="F26" i="18" s="1"/>
  <c r="G26" i="18" s="1"/>
  <c r="H26" i="18" s="1"/>
  <c r="I26" i="18" s="1"/>
  <c r="J26" i="18" s="1"/>
  <c r="K26" i="18" s="1"/>
  <c r="L26" i="18" s="1"/>
  <c r="F27" i="18" s="1"/>
  <c r="G27" i="18" s="1"/>
  <c r="H27" i="18" s="1"/>
  <c r="I27" i="18" s="1"/>
  <c r="J27" i="18" s="1"/>
  <c r="K27" i="18" s="1"/>
  <c r="L27" i="18" s="1"/>
  <c r="F28" i="18" s="1"/>
  <c r="G28" i="18" s="1"/>
  <c r="H28" i="18" s="1"/>
  <c r="I28" i="18" s="1"/>
  <c r="J28" i="18" s="1"/>
  <c r="K28" i="18" s="1"/>
  <c r="L28" i="18" s="1"/>
  <c r="G3" i="1"/>
  <c r="E3" i="1"/>
  <c r="C3" i="1"/>
  <c r="AD23" i="18"/>
  <c r="AE14" i="18"/>
  <c r="J5" i="18"/>
  <c r="AF14" i="18"/>
  <c r="S23" i="18"/>
  <c r="J14" i="18"/>
  <c r="AD32" i="18"/>
  <c r="AE32" i="18"/>
  <c r="AF32" i="18" s="1"/>
  <c r="AC5" i="18"/>
  <c r="Z33" i="18" l="1"/>
  <c r="AA33" i="18" s="1"/>
  <c r="AB33" i="18" s="1"/>
  <c r="AC33" i="18" s="1"/>
  <c r="AD33" i="18" s="1"/>
  <c r="AE33" i="18" s="1"/>
  <c r="AF33" i="18" s="1"/>
  <c r="Z34" i="18" s="1"/>
  <c r="AA34" i="18" s="1"/>
  <c r="AB34" i="18" s="1"/>
  <c r="AC34" i="18" s="1"/>
  <c r="AD34" i="18" s="1"/>
  <c r="AE34" i="18" s="1"/>
  <c r="AF34" i="18" s="1"/>
  <c r="Z35" i="18" s="1"/>
  <c r="AA35" i="18" s="1"/>
  <c r="AB35" i="18" s="1"/>
  <c r="AC35" i="18" s="1"/>
  <c r="AD35" i="18" s="1"/>
  <c r="AE35" i="18" s="1"/>
  <c r="AF35" i="18" s="1"/>
  <c r="Z36" i="18" s="1"/>
  <c r="AA36" i="18" s="1"/>
  <c r="AB36" i="18" s="1"/>
  <c r="AC36" i="18" s="1"/>
  <c r="AD36" i="18" s="1"/>
  <c r="AE36" i="18" s="1"/>
  <c r="AF36" i="18" s="1"/>
  <c r="Z37" i="18" s="1"/>
  <c r="AA37" i="18" s="1"/>
  <c r="AB37" i="18" s="1"/>
  <c r="AC37" i="18" s="1"/>
  <c r="AD37" i="18" s="1"/>
  <c r="AE37" i="18" s="1"/>
  <c r="AF37" i="18" s="1"/>
  <c r="Z15" i="18"/>
  <c r="AA15" i="18" s="1"/>
  <c r="AB15" i="18" s="1"/>
  <c r="AC15" i="18" s="1"/>
  <c r="AD15" i="18" s="1"/>
  <c r="AE15" i="18" s="1"/>
  <c r="AF15" i="18" s="1"/>
  <c r="Z16" i="18" s="1"/>
  <c r="AA16" i="18" s="1"/>
  <c r="AB16" i="18" s="1"/>
  <c r="AC16" i="18" s="1"/>
  <c r="AD16" i="18" s="1"/>
  <c r="AE16" i="18" s="1"/>
  <c r="AF16" i="18" s="1"/>
  <c r="Z17" i="18" s="1"/>
  <c r="AA17" i="18" s="1"/>
  <c r="AB17" i="18" s="1"/>
  <c r="AC17" i="18" s="1"/>
  <c r="AD17" i="18" s="1"/>
  <c r="AE17" i="18" s="1"/>
  <c r="AF17" i="18" s="1"/>
  <c r="Z18" i="18" s="1"/>
  <c r="AA18" i="18" s="1"/>
  <c r="AB18" i="18" s="1"/>
  <c r="AC18" i="18" s="1"/>
  <c r="AD18" i="18" s="1"/>
  <c r="AE18" i="18" s="1"/>
  <c r="AF18" i="18" s="1"/>
  <c r="Z19" i="18" s="1"/>
  <c r="AA19" i="18" s="1"/>
  <c r="AB19" i="18" s="1"/>
  <c r="AC19" i="18" s="1"/>
  <c r="AD19" i="18" s="1"/>
  <c r="AE19" i="18" s="1"/>
  <c r="AF19" i="18" s="1"/>
  <c r="R8" i="22"/>
  <c r="R7" i="22"/>
  <c r="R6" i="22"/>
  <c r="AE23" i="18"/>
  <c r="T23" i="18"/>
  <c r="K14" i="18"/>
  <c r="AD5" i="18"/>
  <c r="AE5" i="18" s="1"/>
  <c r="K5" i="18"/>
  <c r="I3" i="1" l="1"/>
  <c r="L5" i="18"/>
  <c r="U23" i="18"/>
  <c r="V23" i="18" s="1"/>
  <c r="AF5" i="18"/>
  <c r="AF23" i="18"/>
  <c r="L14" i="18"/>
  <c r="F15" i="18" l="1"/>
  <c r="G15" i="18" s="1"/>
  <c r="H15" i="18" s="1"/>
  <c r="I15" i="18" s="1"/>
  <c r="J15" i="18" s="1"/>
  <c r="K15" i="18" s="1"/>
  <c r="L15" i="18" s="1"/>
  <c r="F16" i="18" s="1"/>
  <c r="G16" i="18" s="1"/>
  <c r="H16" i="18" s="1"/>
  <c r="I16" i="18" s="1"/>
  <c r="J16" i="18" s="1"/>
  <c r="K16" i="18" s="1"/>
  <c r="L16" i="18" s="1"/>
  <c r="F17" i="18" s="1"/>
  <c r="G17" i="18" s="1"/>
  <c r="H17" i="18" s="1"/>
  <c r="I17" i="18" s="1"/>
  <c r="J17" i="18" s="1"/>
  <c r="K17" i="18" s="1"/>
  <c r="L17" i="18" s="1"/>
  <c r="F18" i="18" s="1"/>
  <c r="G18" i="18" s="1"/>
  <c r="H18" i="18" s="1"/>
  <c r="I18" i="18" s="1"/>
  <c r="J18" i="18" s="1"/>
  <c r="K18" i="18" s="1"/>
  <c r="L18" i="18" s="1"/>
  <c r="F19" i="18" s="1"/>
  <c r="G19" i="18" s="1"/>
  <c r="H19" i="18" s="1"/>
  <c r="I19" i="18" s="1"/>
  <c r="J19" i="18" s="1"/>
  <c r="K19" i="18" s="1"/>
  <c r="L19" i="18" s="1"/>
  <c r="Z6" i="18"/>
  <c r="AA6" i="18" s="1"/>
  <c r="AB6" i="18" s="1"/>
  <c r="AC6" i="18" s="1"/>
  <c r="AD6" i="18" s="1"/>
  <c r="AE6" i="18" s="1"/>
  <c r="AF6" i="18" s="1"/>
  <c r="Z7" i="18" s="1"/>
  <c r="AA7" i="18" s="1"/>
  <c r="AB7" i="18" s="1"/>
  <c r="AC7" i="18" s="1"/>
  <c r="AD7" i="18" s="1"/>
  <c r="AE7" i="18" s="1"/>
  <c r="AF7" i="18" s="1"/>
  <c r="Z8" i="18" s="1"/>
  <c r="AA8" i="18" s="1"/>
  <c r="AB8" i="18" s="1"/>
  <c r="AC8" i="18" s="1"/>
  <c r="AD8" i="18" s="1"/>
  <c r="AE8" i="18" s="1"/>
  <c r="AF8" i="18" s="1"/>
  <c r="Z9" i="18" s="1"/>
  <c r="AA9" i="18" s="1"/>
  <c r="AB9" i="18" s="1"/>
  <c r="AC9" i="18" s="1"/>
  <c r="AD9" i="18" s="1"/>
  <c r="AE9" i="18" s="1"/>
  <c r="AF9" i="18" s="1"/>
  <c r="Z10" i="18" s="1"/>
  <c r="AA10" i="18" s="1"/>
  <c r="AB10" i="18" s="1"/>
  <c r="AC10" i="18" s="1"/>
  <c r="AD10" i="18" s="1"/>
  <c r="AE10" i="18" s="1"/>
  <c r="AF10" i="18" s="1"/>
  <c r="P24" i="18"/>
  <c r="Q24" i="18" s="1"/>
  <c r="R24" i="18" s="1"/>
  <c r="S24" i="18" s="1"/>
  <c r="T24" i="18" s="1"/>
  <c r="U24" i="18" s="1"/>
  <c r="V24" i="18" s="1"/>
  <c r="P25" i="18" s="1"/>
  <c r="Q25" i="18" s="1"/>
  <c r="R25" i="18" s="1"/>
  <c r="S25" i="18" s="1"/>
  <c r="T25" i="18" s="1"/>
  <c r="U25" i="18" s="1"/>
  <c r="V25" i="18" s="1"/>
  <c r="P26" i="18" s="1"/>
  <c r="Q26" i="18" s="1"/>
  <c r="R26" i="18" s="1"/>
  <c r="S26" i="18" s="1"/>
  <c r="T26" i="18" s="1"/>
  <c r="U26" i="18" s="1"/>
  <c r="V26" i="18" s="1"/>
  <c r="P27" i="18" s="1"/>
  <c r="Q27" i="18" s="1"/>
  <c r="R27" i="18" s="1"/>
  <c r="S27" i="18" s="1"/>
  <c r="T27" i="18" s="1"/>
  <c r="U27" i="18" s="1"/>
  <c r="V27" i="18" s="1"/>
  <c r="P28" i="18" s="1"/>
  <c r="Q28" i="18" s="1"/>
  <c r="R28" i="18" s="1"/>
  <c r="S28" i="18" s="1"/>
  <c r="T28" i="18" s="1"/>
  <c r="U28" i="18" s="1"/>
  <c r="V28" i="18" s="1"/>
  <c r="Z24" i="18"/>
  <c r="AA24" i="18" s="1"/>
  <c r="AB24" i="18" s="1"/>
  <c r="AC24" i="18" s="1"/>
  <c r="AD24" i="18" s="1"/>
  <c r="AE24" i="18" s="1"/>
  <c r="AF24" i="18" s="1"/>
  <c r="Z25" i="18" s="1"/>
  <c r="AA25" i="18" s="1"/>
  <c r="AB25" i="18" s="1"/>
  <c r="AC25" i="18" s="1"/>
  <c r="AD25" i="18" s="1"/>
  <c r="AE25" i="18" s="1"/>
  <c r="AF25" i="18" s="1"/>
  <c r="Z26" i="18" s="1"/>
  <c r="AA26" i="18" s="1"/>
  <c r="AB26" i="18" s="1"/>
  <c r="AC26" i="18" s="1"/>
  <c r="AD26" i="18" s="1"/>
  <c r="AE26" i="18" s="1"/>
  <c r="AF26" i="18" s="1"/>
  <c r="Z27" i="18" s="1"/>
  <c r="AA27" i="18" s="1"/>
  <c r="AB27" i="18" s="1"/>
  <c r="AC27" i="18" s="1"/>
  <c r="AD27" i="18" s="1"/>
  <c r="AE27" i="18" s="1"/>
  <c r="AF27" i="18" s="1"/>
  <c r="Z28" i="18" s="1"/>
  <c r="AA28" i="18" s="1"/>
  <c r="AB28" i="18" s="1"/>
  <c r="AC28" i="18" s="1"/>
  <c r="AD28" i="18" s="1"/>
  <c r="AE28" i="18" s="1"/>
  <c r="AF28" i="18" s="1"/>
  <c r="F6" i="18"/>
  <c r="G6" i="18" l="1"/>
  <c r="H6" i="18" l="1"/>
  <c r="L8" i="1"/>
  <c r="L9" i="1" s="1"/>
  <c r="L10" i="1" s="1"/>
  <c r="L11" i="1" s="1"/>
  <c r="L12" i="1" s="1"/>
  <c r="L13" i="1" s="1"/>
  <c r="L14" i="1" s="1"/>
  <c r="L15" i="1" s="1"/>
  <c r="L16" i="1" s="1"/>
  <c r="L17" i="1" s="1"/>
  <c r="L18" i="1" s="1"/>
  <c r="I6" i="18" l="1"/>
  <c r="J6" i="18" l="1"/>
  <c r="K6" i="18" l="1"/>
  <c r="L6" i="18" l="1"/>
  <c r="F7" i="18" l="1"/>
  <c r="G7" i="18" l="1"/>
  <c r="H7" i="18" l="1"/>
  <c r="I7" i="18" l="1"/>
  <c r="J7" i="18" l="1"/>
  <c r="K7" i="18" l="1"/>
  <c r="L7" i="18" l="1"/>
  <c r="F8" i="18" l="1"/>
  <c r="G8" i="18" l="1"/>
  <c r="H8" i="18" l="1"/>
  <c r="I8" i="18" l="1"/>
  <c r="J8" i="18" l="1"/>
  <c r="K8" i="18" l="1"/>
  <c r="L8" i="18" l="1"/>
  <c r="F9" i="18" l="1"/>
  <c r="G9" i="18" l="1"/>
  <c r="H9" i="18" l="1"/>
  <c r="I9" i="18" l="1"/>
  <c r="J9" i="18" l="1"/>
  <c r="K9" i="18" l="1"/>
  <c r="L9" i="18" l="1"/>
  <c r="F10" i="18" l="1"/>
  <c r="G10" i="18" l="1"/>
  <c r="H10" i="18" l="1"/>
  <c r="I10" i="18" l="1"/>
  <c r="J10" i="18" l="1"/>
  <c r="K10" i="18" l="1"/>
  <c r="L10" i="18" l="1"/>
</calcChain>
</file>

<file path=xl/sharedStrings.xml><?xml version="1.0" encoding="utf-8"?>
<sst xmlns="http://schemas.openxmlformats.org/spreadsheetml/2006/main" count="2332" uniqueCount="1722">
  <si>
    <t>تاریخ</t>
  </si>
  <si>
    <t>ردیف</t>
  </si>
  <si>
    <t>مبلغ (ریال)</t>
  </si>
  <si>
    <t xml:space="preserve"> </t>
  </si>
  <si>
    <t>گروه / بابت (خوراک، پوشاک، مسکن و...)</t>
  </si>
  <si>
    <t>دریافت کننده</t>
  </si>
  <si>
    <t>پرداخت کننده</t>
  </si>
  <si>
    <t>تنظیمات حساب</t>
  </si>
  <si>
    <t>فهرست</t>
  </si>
  <si>
    <t>تاریخ چک</t>
  </si>
  <si>
    <t>به وجه</t>
  </si>
  <si>
    <t>گزار</t>
  </si>
  <si>
    <t>معادل دریافت ها و پرداخت ها به تفکیک</t>
  </si>
  <si>
    <t>مانده حساب اصلی</t>
  </si>
  <si>
    <t>عضو</t>
  </si>
  <si>
    <t>برچسب</t>
  </si>
  <si>
    <t>پرداخت کننده2</t>
  </si>
  <si>
    <t>عنوان</t>
  </si>
  <si>
    <t>تراکنش (دریافت، پرداخت، انتقال</t>
  </si>
  <si>
    <t>حساب بانکی</t>
  </si>
  <si>
    <t>شماره چک</t>
  </si>
  <si>
    <t>به مبلغ</t>
  </si>
  <si>
    <t>برای (بابت)</t>
  </si>
  <si>
    <t>گروه هزینه</t>
  </si>
  <si>
    <t>یادآوری در تاریخ</t>
  </si>
  <si>
    <t>وضعیت (پاس شده، در جریان، برگشت شده،‌ باطل شده)</t>
  </si>
  <si>
    <t>عنوان وام</t>
  </si>
  <si>
    <t>تاریخ دریافت</t>
  </si>
  <si>
    <t>مبلغ وام</t>
  </si>
  <si>
    <t>تعداد اقساط</t>
  </si>
  <si>
    <t>اقساط پرداخت شده</t>
  </si>
  <si>
    <t>اقساط مانده</t>
  </si>
  <si>
    <t>مبلغ پرداخت شده</t>
  </si>
  <si>
    <t>مبلغ مانده</t>
  </si>
  <si>
    <t>دوره پرداخت (ماهانه، سالانه و...)</t>
  </si>
  <si>
    <t>درصد سود</t>
  </si>
  <si>
    <t>برنامه ریزی پردخت (ماهانه، روزانه، هتفگی و...)</t>
  </si>
  <si>
    <t>تاریخ اولین پرداخت</t>
  </si>
  <si>
    <t>تاریخ پرداخت پیش رو</t>
  </si>
  <si>
    <t xml:space="preserve">یاد آوری </t>
  </si>
  <si>
    <t>شرح</t>
  </si>
  <si>
    <t>نوع خرج (نامشخص، خرج صحیح، خرج اضافی)</t>
  </si>
  <si>
    <t>یاد آوری ها</t>
  </si>
  <si>
    <t>صف</t>
  </si>
  <si>
    <t>دریافت کننده یا پرداخت کننده</t>
  </si>
  <si>
    <t>لیست دریافت کننده یا پرداخت کننده ها</t>
  </si>
  <si>
    <t>لیست گروه‌های پرداخت یا دریافت</t>
  </si>
  <si>
    <t>از تاریخ</t>
  </si>
  <si>
    <t>00.000.00</t>
  </si>
  <si>
    <t>الی تاریخ</t>
  </si>
  <si>
    <t>00.0.00.0.0.0</t>
  </si>
  <si>
    <t>تاریخ تراکنش</t>
  </si>
  <si>
    <t xml:space="preserve">پرداخت یا دریافت یا انتقال </t>
  </si>
  <si>
    <t>با زدن گزینه انتقال «لیست گروه پرداخت یا دریافت خاموش می شود</t>
  </si>
  <si>
    <t>خرج اضافی یا صحیح</t>
  </si>
  <si>
    <t>برچسب گذاری</t>
  </si>
  <si>
    <t>لیست اعضا</t>
  </si>
  <si>
    <t>شرح تراکنش</t>
  </si>
  <si>
    <t>نمایش جزعی وضعیت حساب ها</t>
  </si>
  <si>
    <t>مانده حساب</t>
  </si>
  <si>
    <t>مجموع در آمد های ماه جاری</t>
  </si>
  <si>
    <t>هزینه ها و در آمد ها</t>
  </si>
  <si>
    <t>مجموع هزینه های ماه جاری</t>
  </si>
  <si>
    <t>در مقالسه با ماه قبل</t>
  </si>
  <si>
    <t>در مقالیسه با ماه قبل، درآمد شما ۱۳٪ افزایش داشته است، معادل ۱۱۱۱۱۱</t>
  </si>
  <si>
    <t>در مقایسه با ماه قبل، هزینه های شماه ۱٪ کاهش داشت است، معادل ۳۲۴۲۳۴۲۳</t>
  </si>
  <si>
    <t xml:space="preserve">خرج صحیح / خرج اضافی </t>
  </si>
  <si>
    <t>یک نمودار کوجک شامل ۳ بهش نامشخص صحیح و اضافه</t>
  </si>
  <si>
    <t>درصد اعضا</t>
  </si>
  <si>
    <t>آنالیز این ماه</t>
  </si>
  <si>
    <t>دریافتی‌ها</t>
  </si>
  <si>
    <t>طلب ها</t>
  </si>
  <si>
    <t>...</t>
  </si>
  <si>
    <t>مجموع</t>
  </si>
  <si>
    <t>پرداختی ها</t>
  </si>
  <si>
    <t>بدهی ها</t>
  </si>
  <si>
    <t>اقساط</t>
  </si>
  <si>
    <t>چک</t>
  </si>
  <si>
    <t>برنامه ریزی پرداهخت</t>
  </si>
  <si>
    <t>میانگین هزینه و در آمد</t>
  </si>
  <si>
    <t>میانگین درآمد شما در این ماه،‌روزانه</t>
  </si>
  <si>
    <t>میانگین هزینه شما در این ماه، روزانه</t>
  </si>
  <si>
    <t>۵ گروه پر در آمد این ماه</t>
  </si>
  <si>
    <t>پنج گروه پس هزینه این ماه</t>
  </si>
  <si>
    <t>ثبت تراکنش‌های روزانه</t>
  </si>
  <si>
    <t>مدیریت وام و اقساط</t>
  </si>
  <si>
    <t>مدیریت چک‌ها</t>
  </si>
  <si>
    <t>مدیریت بدهی‌ها و طلب‌ها</t>
  </si>
  <si>
    <t>برنامه ریزی پرداخت‌ها</t>
  </si>
  <si>
    <t>تقویم</t>
  </si>
  <si>
    <t>گزارش فعالیت‌های ماه جاری</t>
  </si>
  <si>
    <t>گزارش دریافت‌ها (درآمد‌ها)</t>
  </si>
  <si>
    <t>گزارش پرداخت‌ها (هزینه‌ها)</t>
  </si>
  <si>
    <t>گزارش نقل و انتقالات بین حساب‌ها</t>
  </si>
  <si>
    <t>گروه‌‌های درآمدی</t>
  </si>
  <si>
    <t>گزارش وضعیت گروه‌های دریافتی به جزء</t>
  </si>
  <si>
    <t>گروه‌‌های (بابت‌ها) هزینه</t>
  </si>
  <si>
    <t>گزارش  وضعیت گروه‌های پرداختی به جزء</t>
  </si>
  <si>
    <t>جست و جو</t>
  </si>
  <si>
    <t>تنظیمات دفترچه</t>
  </si>
  <si>
    <t>راهنما</t>
  </si>
  <si>
    <t>اجزای شیت تراکنش</t>
  </si>
  <si>
    <t>وام و اقساط</t>
  </si>
  <si>
    <t>چک‌ها</t>
  </si>
  <si>
    <t>بدهی‌ها و طلب‌ها</t>
  </si>
  <si>
    <t>ماه جاری</t>
  </si>
  <si>
    <t>نوار جابحایی بین شیت ها در صفحه تراکنش</t>
  </si>
  <si>
    <t>تراکنش</t>
  </si>
  <si>
    <t>جمع کل دریافتی‌ها:</t>
  </si>
  <si>
    <t>جمع کل پرداختی‌ها:</t>
  </si>
  <si>
    <t>برنامه ریزی</t>
  </si>
  <si>
    <t>بودجه بندی</t>
  </si>
  <si>
    <t>نوع خرج</t>
  </si>
  <si>
    <t>نامشخص</t>
  </si>
  <si>
    <t>صحیح</t>
  </si>
  <si>
    <t>تراکنش‌ها</t>
  </si>
  <si>
    <t>زیر گروه</t>
  </si>
  <si>
    <t>افراد</t>
  </si>
  <si>
    <t>افراد (اعضا)</t>
  </si>
  <si>
    <t>علیرضا منعم (مالک)</t>
  </si>
  <si>
    <t>شماره حساب</t>
  </si>
  <si>
    <t>شماره کارت</t>
  </si>
  <si>
    <t>CVV2</t>
  </si>
  <si>
    <t>-</t>
  </si>
  <si>
    <t>ID</t>
  </si>
  <si>
    <t>نام حساب</t>
  </si>
  <si>
    <t>نوع حساب</t>
  </si>
  <si>
    <t>موجودی اولیه</t>
  </si>
  <si>
    <t>کد ملی</t>
  </si>
  <si>
    <t>شماره تماس</t>
  </si>
  <si>
    <t>آدرس ایمیل</t>
  </si>
  <si>
    <t>سایت اینترنتی</t>
  </si>
  <si>
    <t>آدرس محل کار</t>
  </si>
  <si>
    <t>آدرس منزل</t>
  </si>
  <si>
    <t>توضیحات</t>
  </si>
  <si>
    <t>Alirezamonem.ir</t>
  </si>
  <si>
    <t>تاریخ انقضاء کارت</t>
  </si>
  <si>
    <t>حساب نقدی (نقدینگی)</t>
  </si>
  <si>
    <t>حساب نقدی</t>
  </si>
  <si>
    <t>نوع تراکنش</t>
  </si>
  <si>
    <t>انتقال</t>
  </si>
  <si>
    <t>اضافه</t>
  </si>
  <si>
    <t>مبلع دریافت شده از هر گروه درآمدی</t>
  </si>
  <si>
    <t>گزارش هزینه برای هر گروه پرداختی</t>
  </si>
  <si>
    <t>دریافت کنندگان - پرداخت کنندگان</t>
  </si>
  <si>
    <t>Total</t>
  </si>
  <si>
    <t>گروه (درآمد/هزینه)</t>
  </si>
  <si>
    <t>روش تراکنش</t>
  </si>
  <si>
    <t>نقدی</t>
  </si>
  <si>
    <t>کارت به کارت</t>
  </si>
  <si>
    <t>انتقال وجه از شعبه بانک مربوطه</t>
  </si>
  <si>
    <t>کارت خوان</t>
  </si>
  <si>
    <t>خودپرداز</t>
  </si>
  <si>
    <t>تست</t>
  </si>
  <si>
    <t>نمونه</t>
  </si>
  <si>
    <t>مانده حساب‌ها</t>
  </si>
  <si>
    <t>کد گروه درآمدی</t>
  </si>
  <si>
    <t>گروه‌های اصلی درآمدی</t>
  </si>
  <si>
    <t>دستمزد</t>
  </si>
  <si>
    <t>فرادرس - آموزش برنامه نویسی مقدماتی Kotlin</t>
  </si>
  <si>
    <t>منفعت کسب</t>
  </si>
  <si>
    <t>سود فروش</t>
  </si>
  <si>
    <t>سود سرمایه‌گذاری</t>
  </si>
  <si>
    <t>دریافت وام</t>
  </si>
  <si>
    <t>تشویقی‌ها، جوایز و عیدی‌ها</t>
  </si>
  <si>
    <t>دریافت رهن و اجاره</t>
  </si>
  <si>
    <t>گروه‌های اصلی هزینه‌</t>
  </si>
  <si>
    <t>کد گروه هزینه</t>
  </si>
  <si>
    <t>نام گروه درآمد</t>
  </si>
  <si>
    <t>نام گروه هزینه</t>
  </si>
  <si>
    <t>یادگیری و توسعه فردی</t>
  </si>
  <si>
    <t>بهداشت و نظافت محیط</t>
  </si>
  <si>
    <t>بهداشت و نظافت فردی</t>
  </si>
  <si>
    <t>بیمه</t>
  </si>
  <si>
    <t>مالیات</t>
  </si>
  <si>
    <t>سفر و گردش</t>
  </si>
  <si>
    <t>هدیه و کادو</t>
  </si>
  <si>
    <t>پرداخت اقساط</t>
  </si>
  <si>
    <t>حساب پس انداز خرید خونه</t>
  </si>
  <si>
    <t>پس انداز خرید خودرو</t>
  </si>
  <si>
    <t>پس انداز سرمایه گذاری</t>
  </si>
  <si>
    <t>خوراکی‌ها و آشامیدنی‌ها</t>
  </si>
  <si>
    <t>بهداشت و درمان</t>
  </si>
  <si>
    <t>پوشاک و کفش</t>
  </si>
  <si>
    <t>ارتباطات</t>
  </si>
  <si>
    <t>دخانیات</t>
  </si>
  <si>
    <t>گروه‌های هزینه</t>
  </si>
  <si>
    <t>گروه‌های درآمد</t>
  </si>
  <si>
    <t>ایاب و ذهاب</t>
  </si>
  <si>
    <t>تاکسی اینترنتی (Maxim)</t>
  </si>
  <si>
    <t>تاکسی سرویس (آژانس)</t>
  </si>
  <si>
    <t>تاکسی (خطی)</t>
  </si>
  <si>
    <t>اتوبوس داخل شهری</t>
  </si>
  <si>
    <t>اتوبوس خارج از شهر</t>
  </si>
  <si>
    <t>قطار</t>
  </si>
  <si>
    <t>هواپیما</t>
  </si>
  <si>
    <t>وانت</t>
  </si>
  <si>
    <t>موتور سیکلت</t>
  </si>
  <si>
    <t>خودرو</t>
  </si>
  <si>
    <t>تعمین اجتماعی</t>
  </si>
  <si>
    <t>عمر</t>
  </si>
  <si>
    <t>منزل</t>
  </si>
  <si>
    <t>دوچرخه</t>
  </si>
  <si>
    <t>پارکینگ</t>
  </si>
  <si>
    <t>سوخت</t>
  </si>
  <si>
    <t>مالیات و بیمه</t>
  </si>
  <si>
    <t>نگهداریو تعمیر</t>
  </si>
  <si>
    <t>تیونینگ</t>
  </si>
  <si>
    <t>تنقلات</t>
  </si>
  <si>
    <t>خرید غذا - فروشگاه - خواربار فروشی</t>
  </si>
  <si>
    <t>صرف غذا - رستوران</t>
  </si>
  <si>
    <t>صرف غذا - فست فود</t>
  </si>
  <si>
    <t>تهیه نسخه</t>
  </si>
  <si>
    <t>چشم پزشکی</t>
  </si>
  <si>
    <t>حق پزشک</t>
  </si>
  <si>
    <t>دارو</t>
  </si>
  <si>
    <t>دندانسازی</t>
  </si>
  <si>
    <t>بهداشت دهان و دندان</t>
  </si>
  <si>
    <t>عطر و ادکلن</t>
  </si>
  <si>
    <t>مواد ضدعفونی بدن</t>
  </si>
  <si>
    <t>سلامت مو</t>
  </si>
  <si>
    <t>مواد شست و شو</t>
  </si>
  <si>
    <t>مواد ضد عفونی</t>
  </si>
  <si>
    <t>ماسک</t>
  </si>
  <si>
    <t>صورتحاب‌های مسکن</t>
  </si>
  <si>
    <t>اجاره</t>
  </si>
  <si>
    <t>آب</t>
  </si>
  <si>
    <t>برق</t>
  </si>
  <si>
    <t>تلفن</t>
  </si>
  <si>
    <t>گاز</t>
  </si>
  <si>
    <t>نگهداری و تعمیر</t>
  </si>
  <si>
    <t>کمیسون معامله</t>
  </si>
  <si>
    <t>خرید مسکن</t>
  </si>
  <si>
    <t>پول پیش اجاره یا رهن</t>
  </si>
  <si>
    <t>کت و شلوار</t>
  </si>
  <si>
    <t>کفش رسمی</t>
  </si>
  <si>
    <t>کفش نیمه رسمی</t>
  </si>
  <si>
    <t>کفش ورزشی</t>
  </si>
  <si>
    <t>فراغت و سرگرمی</t>
  </si>
  <si>
    <t>کتاب رمان و داستان</t>
  </si>
  <si>
    <t>انیمه، فیلم و سریال</t>
  </si>
  <si>
    <t>مانگا، مانهوا،مانها و ناول</t>
  </si>
  <si>
    <t>مجله و روزنامه</t>
  </si>
  <si>
    <t>ورزش</t>
  </si>
  <si>
    <t>خرید لوازم ورزشی</t>
  </si>
  <si>
    <t>اجاره لوازم ورزشی</t>
  </si>
  <si>
    <t>شهریه باشگاه</t>
  </si>
  <si>
    <t>غیره</t>
  </si>
  <si>
    <t>مالیات درآمد</t>
  </si>
  <si>
    <t>مالیات منزل</t>
  </si>
  <si>
    <t>اثاثیه منزل</t>
  </si>
  <si>
    <t>اقامتگاه</t>
  </si>
  <si>
    <t>هتل</t>
  </si>
  <si>
    <t>خواهران و برادران</t>
  </si>
  <si>
    <t>دوستان</t>
  </si>
  <si>
    <t>پدر و مادر</t>
  </si>
  <si>
    <t>همسر</t>
  </si>
  <si>
    <t>فرزندان</t>
  </si>
  <si>
    <t>همکاران</t>
  </si>
  <si>
    <t>آشنایان</t>
  </si>
  <si>
    <t>خیریه و امور فرهنگی</t>
  </si>
  <si>
    <t>اینترنت همراه</t>
  </si>
  <si>
    <t>تلفن همراه</t>
  </si>
  <si>
    <t>اینترنت ثابت</t>
  </si>
  <si>
    <t>اینترنت شبانه</t>
  </si>
  <si>
    <t>قطعات افزوده</t>
  </si>
  <si>
    <t>اقساط وام مرکز رشد</t>
  </si>
  <si>
    <t>کمک به یتیم خانه</t>
  </si>
  <si>
    <t>سیگار</t>
  </si>
  <si>
    <t>قلیان</t>
  </si>
  <si>
    <t>زیورآلات سرمایه</t>
  </si>
  <si>
    <t>طلا</t>
  </si>
  <si>
    <t>نقره</t>
  </si>
  <si>
    <t xml:space="preserve"> زیورآلات غیر سرمایه</t>
  </si>
  <si>
    <t>انگشتر فیک</t>
  </si>
  <si>
    <t xml:space="preserve"> سرمایه گذاری</t>
  </si>
  <si>
    <t xml:space="preserve"> مدرک و تحصیل</t>
  </si>
  <si>
    <t>کتاب‌های کمک درسی</t>
  </si>
  <si>
    <t>انگشتر فیروزه</t>
  </si>
  <si>
    <t>انگشتر عقیق</t>
  </si>
  <si>
    <t>پرداخت_هزینه</t>
  </si>
  <si>
    <t>خیریه_و_امور_فرهنگی</t>
  </si>
  <si>
    <t>ایاب_و_ذهاب</t>
  </si>
  <si>
    <t>بهداشت_و_درمان</t>
  </si>
  <si>
    <t>بهداشت_و_نظافت_فردی</t>
  </si>
  <si>
    <t>بهداشت_و_نظافت_محیط</t>
  </si>
  <si>
    <t>پرداخت_اقساط</t>
  </si>
  <si>
    <t>پوشاک_و_کفش</t>
  </si>
  <si>
    <t>خوراکی‌ها_و_آشامیدنی‌ها</t>
  </si>
  <si>
    <t>زیورآلات_سرمایه</t>
  </si>
  <si>
    <t>زیورآلات_غیرسرمایه</t>
  </si>
  <si>
    <t>سرمایه‌گذاری</t>
  </si>
  <si>
    <t>سفر_و_گردش</t>
  </si>
  <si>
    <t>فراغت_و_سرگرمی</t>
  </si>
  <si>
    <t>مدرک_و_تحصیل</t>
  </si>
  <si>
    <t>هدیه</t>
  </si>
  <si>
    <t>یادگیری_و_توسعه_فردی</t>
  </si>
  <si>
    <t>دوره‌های توسعه فردی</t>
  </si>
  <si>
    <t>کتاب‌های توسعه فردی</t>
  </si>
  <si>
    <t>کارگاه‌های توسعه فردی</t>
  </si>
  <si>
    <t>صورتحساب‌های_مسکن</t>
  </si>
  <si>
    <t>دستبند فیک</t>
  </si>
  <si>
    <t>سایت شخصی</t>
  </si>
  <si>
    <t>شهریه دانشگاه</t>
  </si>
  <si>
    <t>دریافت_درآمد</t>
  </si>
  <si>
    <t>درگاه پرداخت اینترنتی</t>
  </si>
  <si>
    <t>حقوق</t>
  </si>
  <si>
    <t>سود_سرمایه‌گذاری</t>
  </si>
  <si>
    <t>دریافت_رهن_و_اجاره</t>
  </si>
  <si>
    <t>دریافت_وام</t>
  </si>
  <si>
    <t>منفعت_کسب</t>
  </si>
  <si>
    <t>عیدی سال نو</t>
  </si>
  <si>
    <t>عیدی عید فطر</t>
  </si>
  <si>
    <t>تشویقی‌ها_جوایز_و_عیدی‌ها</t>
  </si>
  <si>
    <t>پول تو جیبی از پدر و مادر</t>
  </si>
  <si>
    <t>درآمد_متفرقه</t>
  </si>
  <si>
    <t>درآمد متفرقه</t>
  </si>
  <si>
    <t>شرکت</t>
  </si>
  <si>
    <t>طرح بانکی</t>
  </si>
  <si>
    <t>وام بانک X</t>
  </si>
  <si>
    <t xml:space="preserve">حساب روزمره </t>
  </si>
  <si>
    <t>حساب پس‌انداز</t>
  </si>
  <si>
    <t xml:space="preserve">بانک </t>
  </si>
  <si>
    <t xml:space="preserve">پدر </t>
  </si>
  <si>
    <t>مادر</t>
  </si>
  <si>
    <t>هسته تحقیقاتی</t>
  </si>
  <si>
    <t>مرکز رشد و فناوری</t>
  </si>
  <si>
    <t xml:space="preserve">مغازه </t>
  </si>
  <si>
    <t xml:space="preserve"> پور</t>
  </si>
  <si>
    <t>جمع دریافتی</t>
  </si>
  <si>
    <t>جمع پرداختی</t>
  </si>
  <si>
    <t>مانده</t>
  </si>
  <si>
    <t>وضعیت فعلی</t>
  </si>
  <si>
    <t>مجموع کل انتقال‌ها:</t>
  </si>
  <si>
    <t>cell</t>
  </si>
  <si>
    <t>=</t>
  </si>
  <si>
    <t>مانده حساب‌ها:</t>
  </si>
  <si>
    <t>سال جاری</t>
  </si>
  <si>
    <t>فروردین</t>
  </si>
  <si>
    <t>شنبه</t>
  </si>
  <si>
    <t>جمعه</t>
  </si>
  <si>
    <t>یک شنبه</t>
  </si>
  <si>
    <t>دو شنبه</t>
  </si>
  <si>
    <t>سه شنبه</t>
  </si>
  <si>
    <t>چهار شنبه</t>
  </si>
  <si>
    <t>پنج شنبه</t>
  </si>
  <si>
    <t>بهار</t>
  </si>
  <si>
    <t>اردیبهشت</t>
  </si>
  <si>
    <t>تابستان</t>
  </si>
  <si>
    <t>تیر</t>
  </si>
  <si>
    <t>خرداد</t>
  </si>
  <si>
    <t>مرداد</t>
  </si>
  <si>
    <t>شهریور</t>
  </si>
  <si>
    <t>پاییز</t>
  </si>
  <si>
    <t>مهر</t>
  </si>
  <si>
    <t>آبان</t>
  </si>
  <si>
    <t>زمستان</t>
  </si>
  <si>
    <t>دی</t>
  </si>
  <si>
    <t>بهمن</t>
  </si>
  <si>
    <t>اسفند</t>
  </si>
  <si>
    <t>تعطیلات تقویم شمسی (ثابت)</t>
  </si>
  <si>
    <t>مناسبت‌های شمسی (ثابت)</t>
  </si>
  <si>
    <t>مناسبت‌های قمری (۱۴۰۰)</t>
  </si>
  <si>
    <t>مناسبت‌های میلادی (۱۴۰۰)</t>
  </si>
  <si>
    <t>عنوان تعطیلات</t>
  </si>
  <si>
    <t>عنوان مناسبت</t>
  </si>
  <si>
    <t>تعطیلات قمری</t>
  </si>
  <si>
    <t>مناسبت قمری</t>
  </si>
  <si>
    <t>مناسبت میلادی</t>
  </si>
  <si>
    <t>0101</t>
  </si>
  <si>
    <t>0102</t>
  </si>
  <si>
    <t>0103</t>
  </si>
  <si>
    <t>0104</t>
  </si>
  <si>
    <t>0112</t>
  </si>
  <si>
    <t>0113</t>
  </si>
  <si>
    <t>روز جمهوری اسلامی</t>
  </si>
  <si>
    <t>Date</t>
  </si>
  <si>
    <t>روز و ماه</t>
  </si>
  <si>
    <t>جشن نوروز/جشن سال نو</t>
  </si>
  <si>
    <t>عیدنوروز</t>
  </si>
  <si>
    <t>شیوه نمایش تاریخ</t>
  </si>
  <si>
    <t>1400/07/30</t>
  </si>
  <si>
    <t/>
  </si>
  <si>
    <t>1400/05/21</t>
  </si>
  <si>
    <t>1400/05/25</t>
  </si>
  <si>
    <t>تعطیلات تقویم قمری</t>
  </si>
  <si>
    <t>عملیات</t>
  </si>
  <si>
    <t>Wage</t>
  </si>
  <si>
    <t>کارمزد عملیات‌های بانکی</t>
  </si>
  <si>
    <t>برداشت وجه</t>
  </si>
  <si>
    <t>گرفتن موجودی از خودپرداز</t>
  </si>
  <si>
    <t>گرفتن موجودی از کارت خوان</t>
  </si>
  <si>
    <t>وارد کردن وجه نقد به حساب</t>
  </si>
  <si>
    <t>شیوه‌های نمایش تاریخ‌</t>
  </si>
  <si>
    <t>Day and Month</t>
  </si>
  <si>
    <t>اخطار: در صورت آشنا نبودن با توابع و فرمول‌های استفاده شده در این سند، از تغییر مقادیر و عنوان جداول زیر پرهیز کنید.</t>
  </si>
  <si>
    <t>توجه: لطفا با احتیاط و توجه کافی مقدار جداول زیر را بر اساس نیاز خود شخصی سازی کنید.</t>
  </si>
  <si>
    <t>رمز صفحه: DocSettingPass</t>
  </si>
  <si>
    <t>رمز صفحه: AccountSettingsPass</t>
  </si>
  <si>
    <t>نام بانک</t>
  </si>
  <si>
    <t>شماره شبا</t>
  </si>
  <si>
    <t>اخطار: در صورت عدم اطلاع از توابع و فرمول‌های به کار رفته در این صفحه از ایجاد تغییر در ستون‌های قفل شده خودداری کنید.</t>
  </si>
  <si>
    <t>رمز صفحه: HelpPass</t>
  </si>
  <si>
    <t>معرفی صفحات</t>
  </si>
  <si>
    <t>نام صفحه (Sheet)</t>
  </si>
  <si>
    <t>نکات</t>
  </si>
  <si>
    <t>امکان دسترسی سریع به تمامی صفحات درون کاربرگ و معرفی برخی سایت‌ها و لینک‌های کاربردی.</t>
  </si>
  <si>
    <t>مهم ترین صفحه موجود در این کاربرگ | ثبت تمامی تراکنش‌ها (پرداخت، دریافت و انتقال) در این صفحه صورت می‌گیرد. | تمامی گزارش‌ها و نمودار‌ها بر اساس داده‌های موجود در این صفحه مقدار‌دهی می‌شوند.</t>
  </si>
  <si>
    <t>در صورت نداشتن تجربه کافی در تابع نویسی و زبان VBA از ایجاد هر گونه تغییر در روابط این صفحه پرهیز کنید.</t>
  </si>
  <si>
    <t>توجه: برای ایجاد تغییر در این صفحه ابتدا قفل صفحه را باز کنید.</t>
  </si>
  <si>
    <t>تاریخ جاری:</t>
  </si>
  <si>
    <t>1400/06/12</t>
  </si>
  <si>
    <t>روز طبیعت</t>
  </si>
  <si>
    <t>رحلت حضرت امام خمینی (رحمة‌اللّه علیه) رهبر کبیر انقلاب و بنیان‌گذار جمهوری اسلامی ایران (۱۳۶۸ ه‍.ش)</t>
  </si>
  <si>
    <t>قیام خونین ۱۵ خرداد (۱۳۴۲ ه‍.ش)</t>
  </si>
  <si>
    <t>پیروزی انقلاب اسلامی</t>
  </si>
  <si>
    <t>ملی شدن صنعت نفت</t>
  </si>
  <si>
    <t>0314</t>
  </si>
  <si>
    <t>0115</t>
  </si>
  <si>
    <t>1122</t>
  </si>
  <si>
    <t>1229</t>
  </si>
  <si>
    <t>هجوم مأموران ستم‌شاهی پهلوی به مدرسه‌ی فیضیه‌ی قم (۱۳۴۲ ه‍.ش)</t>
  </si>
  <si>
    <t>آغاز عملیات فتح‌المبین (۱۳۶۱ ه‍.ش)</t>
  </si>
  <si>
    <t>ولادت زرتشت</t>
  </si>
  <si>
    <t>0106</t>
  </si>
  <si>
    <t>روز هنرهای نمایشی</t>
  </si>
  <si>
    <t>0107</t>
  </si>
  <si>
    <t>روز ذخایر ژنتیکی و زیستی</t>
  </si>
  <si>
    <t>روز سلامتی</t>
  </si>
  <si>
    <t>0118</t>
  </si>
  <si>
    <t>شهادت آیت‌اللّه سیدمحمدباقر صدر و خواهر ایشان بنت‌الهدی به دست حکومت بعث عراق (۱۳۵۹ ه‍.ش)</t>
  </si>
  <si>
    <t>0119</t>
  </si>
  <si>
    <t>روز ملّی فنّاوری هسته‌ای</t>
  </si>
  <si>
    <t>0120</t>
  </si>
  <si>
    <t>روز هنر انقلاب اسلامی (سالروز شهادت سیدمرتضی آوینی) (۱۳۷۲ ه‍.ش)</t>
  </si>
  <si>
    <t>شهادت امیر سپهبد علی صیاد شیرازی (۱۳۷۸ ه‍.ش)</t>
  </si>
  <si>
    <t>0121</t>
  </si>
  <si>
    <t>سالروز افتتاح حساب شماره‌ی ۱۰۰ به فرمان امام خمینی (رحمة‌اللّه علیه) و تأسیس بنیاد مسکن انقلاب اسلامی (۱۳۵۸ ه‍.ش)</t>
  </si>
  <si>
    <t>0125</t>
  </si>
  <si>
    <t>روز ارتش جمهوری اسلامی و نیروی زمینی</t>
  </si>
  <si>
    <t>0129</t>
  </si>
  <si>
    <t>روز بزرگداشت سعدی</t>
  </si>
  <si>
    <t>0201</t>
  </si>
  <si>
    <t>تأسیس سپاه پاسداران انقلاب اسلامی (۱۳۵۸ ه‍.ش)</t>
  </si>
  <si>
    <t>0202</t>
  </si>
  <si>
    <t>سالروز اعلام انقلاب فرهنگی (۱۳۵۹ ه‍.ش)</t>
  </si>
  <si>
    <t>روز زمین پاک</t>
  </si>
  <si>
    <t>روز بزرگداشت شیخ بهایی</t>
  </si>
  <si>
    <t>0203</t>
  </si>
  <si>
    <t>روز معماری</t>
  </si>
  <si>
    <t>سالروز شهادت امیر سپهبد قرنی (۱۳۵۸ ه‍.ش)</t>
  </si>
  <si>
    <t>شکست حمله نظامی آمریکا به ایران در طبس (۱۳۵۹ ه‍.ش)</t>
  </si>
  <si>
    <t>0205</t>
  </si>
  <si>
    <t>روز ایمنی حمل و نقل</t>
  </si>
  <si>
    <t>0207</t>
  </si>
  <si>
    <t>روز شوراها</t>
  </si>
  <si>
    <t>0209</t>
  </si>
  <si>
    <t>روز ملی خلیج فارس</t>
  </si>
  <si>
    <t>0210</t>
  </si>
  <si>
    <t>آغاز عملیات بیت المقدس (۱۳۶۱ ه‍.ش)</t>
  </si>
  <si>
    <t>شهادت استاد مرتضی مطهری و روز معلم (۱۳۵۸ ه‍.ش)</t>
  </si>
  <si>
    <t>0212</t>
  </si>
  <si>
    <t>روز بزرگداشت شیخ صدوق</t>
  </si>
  <si>
    <t>0215</t>
  </si>
  <si>
    <t>روز بیماری‌های خاص و صعب‌العلاج</t>
  </si>
  <si>
    <t>0218</t>
  </si>
  <si>
    <t>روز بزرگداشت شیخ کلینی</t>
  </si>
  <si>
    <t>0219</t>
  </si>
  <si>
    <t>روز اسناد ملی و میراث مکتوب</t>
  </si>
  <si>
    <t>لغو امتیاز تنباکو به فتوای آیت‌اللّه میرزا حسن شیرازی (۱۲۷۰ ه‍.ش)</t>
  </si>
  <si>
    <t>0224</t>
  </si>
  <si>
    <t>روز پاسداشت زبان فارسی و بزرگداشت حکیم ابوالقاسم فردوسی</t>
  </si>
  <si>
    <t>0225</t>
  </si>
  <si>
    <t>روز ارتباطات و روابط عمومی</t>
  </si>
  <si>
    <t>0227</t>
  </si>
  <si>
    <t>روز بزرگداشت حکیم عمر خیام</t>
  </si>
  <si>
    <t>0228</t>
  </si>
  <si>
    <t>روز ملی جمعیت</t>
  </si>
  <si>
    <t>0230</t>
  </si>
  <si>
    <t>روز اهدای عضو، اهدای زندگی</t>
  </si>
  <si>
    <t>0231</t>
  </si>
  <si>
    <t>روز بهره‌وری و بهینه‌سازی مصرف</t>
  </si>
  <si>
    <t>0301</t>
  </si>
  <si>
    <t>روز بزرگداشت ملّاصدرا (صدرالمتألهین)</t>
  </si>
  <si>
    <t>فتح خرمشهر در عملیات بیت‌المقدس و روز مقاومت، ایثار و پیروزی (۱۳۶۱ ه‍.ش)</t>
  </si>
  <si>
    <t>0303</t>
  </si>
  <si>
    <t>0304</t>
  </si>
  <si>
    <t>روز مقاومت و پایداری</t>
  </si>
  <si>
    <t>روز نسیم مهر (روز حمایت از خانواده زندانیان)</t>
  </si>
  <si>
    <t>0305</t>
  </si>
  <si>
    <t>افتتاح اولین دوره‌ی مجلس شورای اسلامی (۱۳۵۹ ه‍.ش)</t>
  </si>
  <si>
    <t>0307</t>
  </si>
  <si>
    <t>انتخاب حضرت آیت‌اللّه امام خامنه‌ای به رهبری (۱۳۶۸ ه‍.ش)</t>
  </si>
  <si>
    <t>زندانی شدن حضرت امام خمینی (رحمة‌اللّه علیه) به دست مأموران ستم‌شاهی پهلوی (۱۳۴۲ ه‍.ش)</t>
  </si>
  <si>
    <t>0315</t>
  </si>
  <si>
    <t>روز صنایع دستی</t>
  </si>
  <si>
    <t>0320</t>
  </si>
  <si>
    <t>شهادت آیت‌اللّه سعیدی به دست مأموران ستم‌شاهی پهلوی (۱۳۴۹ ه‍.ش)</t>
  </si>
  <si>
    <t>شهادت سربازان دلیر اسلام :بخارایی، امانی، صفار هرندی و نیک‌نژاد (۱۳۴۴ ه‍.ش)</t>
  </si>
  <si>
    <t>0326</t>
  </si>
  <si>
    <t>روز جهاد کشاورزی (تشکیل جهاد سازندگی به فرمان حضرت امام خمینی رحمة‌اللّه علیه) (۱۳۵۸ ه‍.ش)</t>
  </si>
  <si>
    <t>0327</t>
  </si>
  <si>
    <t>درگذشت دکتر علی شریعتی (۱۳۵۶ ه‍.ش)</t>
  </si>
  <si>
    <t>0329</t>
  </si>
  <si>
    <t>شهادت زائران حرم رضوی علیه‌السلام به دست ایادی آمریکا در روز عاشورا (۱۳۷۳ ه‍.ش)</t>
  </si>
  <si>
    <t>0330</t>
  </si>
  <si>
    <t>شهادت دکتر مصطفی چمران (۱۳۶۰ ه‍.ش)</t>
  </si>
  <si>
    <t>0331</t>
  </si>
  <si>
    <t>روز بسیج استادان</t>
  </si>
  <si>
    <t>روز تبلیغ و اطلاع‌رسانی دینی (سالروز صدور فرمان امام خمینی رحمة‌اللّه علیه مبنی بر تأسیس سازمان تبلیغات اسلامی) (۱۳۶۰ ه‍.ش)</t>
  </si>
  <si>
    <t>0401</t>
  </si>
  <si>
    <t>روز اصناف</t>
  </si>
  <si>
    <t>شهادت مظلومانه‌ی آیت‌اللّه دکتر بهشتی و ۷۲ تن از یاران امام با انفجار بمب به دست منافقان در دفتر مرکزی حزب جمهوری اسلامی (۱۳۶۰ ه‍.ش)</t>
  </si>
  <si>
    <t>0407</t>
  </si>
  <si>
    <t>روز قوه‌ی قضائیه</t>
  </si>
  <si>
    <t>سالروز بمباران شیمیایی شهر سردشت (۱۳۶۶ ه‍.ش)</t>
  </si>
  <si>
    <t>روز مبارزه با سلاح‌های شیمیایی و میکروبی</t>
  </si>
  <si>
    <t>0408</t>
  </si>
  <si>
    <t>روز صنعت و معدن</t>
  </si>
  <si>
    <t>0410</t>
  </si>
  <si>
    <t>روز آزادسازی شهر مهران</t>
  </si>
  <si>
    <t>روز بزرگداشت صائب تبریزی</t>
  </si>
  <si>
    <t>شهادت آیت‌اللّه صدوقی چهارمین شهید محراب به دست منافقان (۱۳۶۱ ه‍.ش)</t>
  </si>
  <si>
    <t>0411</t>
  </si>
  <si>
    <t>حمله‌ی ددمنشانه‌ی ناوگان آمریکای جنایتکار به هواپیمای مسافربری جمهوری اسلامی ایران (۱۳۶۷ ه‍.ش)</t>
  </si>
  <si>
    <t>0412</t>
  </si>
  <si>
    <t>روز افشای حقوق بشر آمریکایی</t>
  </si>
  <si>
    <t>روز بزرگداشت علامه امینی (۱۳۴۹ ه‍.ش)</t>
  </si>
  <si>
    <t>روز شهرداری و دهیاری</t>
  </si>
  <si>
    <t>0414</t>
  </si>
  <si>
    <t>روز مالیات</t>
  </si>
  <si>
    <t>0416</t>
  </si>
  <si>
    <t>روز ادبیات کودکان و نوجوانان</t>
  </si>
  <si>
    <t>0418</t>
  </si>
  <si>
    <t>کشف توطئه‌ی آمریکایی در پایگاه هوایی شهید نوژه (کودتای نافرجام نقاب) (۱۳۵۹ ه‍.ش)</t>
  </si>
  <si>
    <t>روز عفاف و حجاب</t>
  </si>
  <si>
    <t>0421</t>
  </si>
  <si>
    <t>حمله به مسجد گوهرشاد و کشتار مردم به دست رضاخان (۱۳۱۴ ه‍.ش)</t>
  </si>
  <si>
    <t>سالروز اشتباه برجام، مایه‌ی عبرت آیندگان (۱۳۹۴ ه‍.ش)</t>
  </si>
  <si>
    <t>0423</t>
  </si>
  <si>
    <t>گشایش نخستین مجلس خبرگان رهبری (۱۳۶۲ ه‍.ش)</t>
  </si>
  <si>
    <t>روز بهزیستی و تأمین اجتماعی</t>
  </si>
  <si>
    <t>0425</t>
  </si>
  <si>
    <t>سالروز تأسیس نهاد شورای نگهبان (۱۳۵۹ ه‍.ش)</t>
  </si>
  <si>
    <t>0426</t>
  </si>
  <si>
    <t>اعلام پذیرش قطعنامه‌ی ۵۹۸ شورای امنیت از سوی ایران (۱۳۶۷ ه‍.ش)</t>
  </si>
  <si>
    <t>0427</t>
  </si>
  <si>
    <t>روز بزرگداشت آیت‌اللّه سید ابوالقاسم کاشانی</t>
  </si>
  <si>
    <t>0730</t>
  </si>
  <si>
    <t>روز بزرگداشت شیخ صفی‌الدین اردبیلی</t>
  </si>
  <si>
    <t>0504</t>
  </si>
  <si>
    <t>سالروز عملیات افتخار‌آفرین مرصاد (۱۳۶۷ ه‍.ش)</t>
  </si>
  <si>
    <t>0505</t>
  </si>
  <si>
    <t>روز کارآفرینی و آموزش‌های فنّی‌و‌حرفه‌ای</t>
  </si>
  <si>
    <t>0506</t>
  </si>
  <si>
    <t>روز بزرگداشت شیخ شهاب‌الدین سهروردی (شیخ اشراق)</t>
  </si>
  <si>
    <t>0508</t>
  </si>
  <si>
    <t>روز اهدای خون</t>
  </si>
  <si>
    <t>0509</t>
  </si>
  <si>
    <t>شهادت آیت‌اللّه شیخ فضل‌اللّه نوری (۱۲۸۸ ه‍.ش)</t>
  </si>
  <si>
    <t>0511</t>
  </si>
  <si>
    <t>0514</t>
  </si>
  <si>
    <t>روز حقوق بشر اسلامی و کرامت انسانی</t>
  </si>
  <si>
    <t>انفجار بمب اتمی آمریکا در هیروشیما با بیش از ۱۶۰هزار کشته و مجروح در سال ۱۹۴۵ میلادی</t>
  </si>
  <si>
    <t>0515</t>
  </si>
  <si>
    <t>سالروز شهادت امیر سرلشکر خلبان عباس بابایی (۱۳۶۶ ه‍.ش)</t>
  </si>
  <si>
    <t>تشکیل جهاد دانشگاهی (۱۳۵۹ ه‍.ش)</t>
  </si>
  <si>
    <t>0516</t>
  </si>
  <si>
    <t>روز خبرنگار</t>
  </si>
  <si>
    <t>0517</t>
  </si>
  <si>
    <t>روز بزرگداشت شهدای مدافع حرم</t>
  </si>
  <si>
    <t>0518</t>
  </si>
  <si>
    <t>روز حمایت از صنایع کوچک</t>
  </si>
  <si>
    <t>0521</t>
  </si>
  <si>
    <t>روز تشکّل‌ها و مشارکت‌های اجتماعی</t>
  </si>
  <si>
    <t>0522</t>
  </si>
  <si>
    <t>روز مقاومت اسلامی</t>
  </si>
  <si>
    <t>0523</t>
  </si>
  <si>
    <t>آغاز بازگشت آزادگان به میهن اسلامی (۱۳۶۹ ه‍.ش)</t>
  </si>
  <si>
    <t>0526</t>
  </si>
  <si>
    <t>کودتای آمریکا برای بازگرداندن شاه (۱۳۳۲ ه‍.ش)</t>
  </si>
  <si>
    <t>0528</t>
  </si>
  <si>
    <t>گشایش مجلس خبرگان برای بررسی نهایی قانون اساسی جمهوری اسلامی ایران (۱۳۵۸ ه‍.ش)</t>
  </si>
  <si>
    <t>روز بزرگداشت علامه مجلسی</t>
  </si>
  <si>
    <t>0530</t>
  </si>
  <si>
    <t>روز صنعت دفاعی</t>
  </si>
  <si>
    <t>0531</t>
  </si>
  <si>
    <t>روز بزرگداشت ابوعلی سینا</t>
  </si>
  <si>
    <t>0601</t>
  </si>
  <si>
    <t>روز پزشک</t>
  </si>
  <si>
    <t>آغاز هفته‌ی دولت</t>
  </si>
  <si>
    <t>0602</t>
  </si>
  <si>
    <t>شهادت سید‌علی اندرزگو (در روز ۱۹ ماه مبارک رمضان) (۱۳۵۷ ه‍.ش)</t>
  </si>
  <si>
    <t>اِشغال ایران توسّط متّفقین و فرار رضاخان (۱۳۲۰ ه‍.ش)</t>
  </si>
  <si>
    <t>0603</t>
  </si>
  <si>
    <t>روز کارمند</t>
  </si>
  <si>
    <t>0604</t>
  </si>
  <si>
    <t>روز بزرگداشت محمّدبن زکریای رازی</t>
  </si>
  <si>
    <t>0605</t>
  </si>
  <si>
    <t>روز داروسازی</t>
  </si>
  <si>
    <t>روز کشتی</t>
  </si>
  <si>
    <t>روز مبارزه با تروریسم (انفجار دفتر نخست‌وزیری به دست منافقان و شهادت مظلومانه‌ی شهیدان رجایی و باهنر) (۱۳۶۰ ه‍.ش)</t>
  </si>
  <si>
    <t>0608</t>
  </si>
  <si>
    <t>روز بانکداری اسلامی (سالروز تصویب قانون عملیات بانکی بدون ربا) (۱۳۶۲ ه‍.ش)</t>
  </si>
  <si>
    <t>0610</t>
  </si>
  <si>
    <t>روز تشکیل قرارگاه پدافند هوایی حضرت خاتم‌الانبیا صلی اللّه علیه و آله (۱۳۷۱ ه‍.ش)</t>
  </si>
  <si>
    <t>روز صنعت چاپ</t>
  </si>
  <si>
    <t>0611</t>
  </si>
  <si>
    <t>روز مبارزه بااستعمار انگلیس (سالروز شهادت رئیسعلی دلواری - ۱۲۹۴ هـ.ش)</t>
  </si>
  <si>
    <t>0612</t>
  </si>
  <si>
    <t>روز بهوَرز</t>
  </si>
  <si>
    <t>روز تعاون</t>
  </si>
  <si>
    <t>0613</t>
  </si>
  <si>
    <t>روز بزرگداشت ابوریحان بیرونی</t>
  </si>
  <si>
    <t>شهادت آیت‌اللّه قدّوسی و سرتیپ وحید دستجر (۱۳۶۰ ه‍.ش)</t>
  </si>
  <si>
    <t>0614</t>
  </si>
  <si>
    <t>قیام ۱۷ شهریور و کشتار جمعی از مردم به‌دست مأموران ستم‌شاهی پهلوی (۱۳۵۷ ه‍.ش)</t>
  </si>
  <si>
    <t>0617</t>
  </si>
  <si>
    <t>وفات آیت‌اللّه سیدمحمود طالقانی اوّلین امام جمعه‌ی تهران (۱۳۵۸ ه‍.ش)</t>
  </si>
  <si>
    <t>0619</t>
  </si>
  <si>
    <t>شهادت دومین شهید محراب آیت‌اللّه مدنی به دست منافقان (۱۳۶۰ ه‍.ش)</t>
  </si>
  <si>
    <t>0620</t>
  </si>
  <si>
    <t>روز سینما</t>
  </si>
  <si>
    <t>0621</t>
  </si>
  <si>
    <t>روز شعر و ادب فارسی</t>
  </si>
  <si>
    <t>0627</t>
  </si>
  <si>
    <t>روز بزرگداشت استاد سید‌محمّد‌حسین شهریار</t>
  </si>
  <si>
    <t xml:space="preserve">آغاز جنگ تحمیلی (۱۳۵۹ ه‍.ش) </t>
  </si>
  <si>
    <t>0631</t>
  </si>
  <si>
    <t>آغاز هفته‌ی دفاع مقدّس</t>
  </si>
  <si>
    <t>شکست حصر آبادان در عملیات ثامن‌الائمه علیه‌السلام (۱۳۶۰ ه‍.ش)</t>
  </si>
  <si>
    <t>0705</t>
  </si>
  <si>
    <t>روز بزرگداشت فرماندهان شهید دفاع مقدّس</t>
  </si>
  <si>
    <t>0707</t>
  </si>
  <si>
    <t>شهادت سرداران اسلام: فلاحی، فکوری، نامجو، کلاهدوز و جهان‌آرا (۱۳۶۰ ه‍.ش)</t>
  </si>
  <si>
    <t>روز آتش‌نشانی و ایمنی</t>
  </si>
  <si>
    <t>روز بزرگداشت شمس</t>
  </si>
  <si>
    <t>روز بزرگداشت مولوی</t>
  </si>
  <si>
    <t>0708</t>
  </si>
  <si>
    <t>روز همبستگی و همدر با کودکان و نوجوانان فلسطینی</t>
  </si>
  <si>
    <t>0709</t>
  </si>
  <si>
    <t>هجرت حضرت امام خمینی (رحمة‌اللّه علیه) از عراق به پاریس (۱۳۵۷ ه‍.ش)</t>
  </si>
  <si>
    <t>0713</t>
  </si>
  <si>
    <t>روز نیروی انتظامی</t>
  </si>
  <si>
    <t>روز دامپزشکی</t>
  </si>
  <si>
    <t>0714</t>
  </si>
  <si>
    <t>روز روستا و عشایر</t>
  </si>
  <si>
    <t>0715</t>
  </si>
  <si>
    <t>روز بزرگداشت حافظ</t>
  </si>
  <si>
    <t>0720</t>
  </si>
  <si>
    <t>شهادت پنجمین شهید محراب آیت‌اللّه اشرفی اصفهانی به دست منافقان (۱۳۶۱ ه‍.ش)</t>
  </si>
  <si>
    <t>روز ملی پارالمپیک</t>
  </si>
  <si>
    <t>0724</t>
  </si>
  <si>
    <t>روز پیوند اولیا و مربیان</t>
  </si>
  <si>
    <t>سالروز واقعه‌ی به‌آتش‌کشیدن مسجد جامع شهر کرمان به دست دژخیمان حکومت پهلوی (۱۳۵۷ ه‍.ش)</t>
  </si>
  <si>
    <t>روز تربیت‌بدنی و ورزش</t>
  </si>
  <si>
    <t>0726</t>
  </si>
  <si>
    <t>روز صادرات</t>
  </si>
  <si>
    <t>0729</t>
  </si>
  <si>
    <t>شهادت مظلومانه‌ی آیت‌اللّه حاج سید مصطفی خمینی (۱۳۵۶ ه‍.ش)</t>
  </si>
  <si>
    <t>0801</t>
  </si>
  <si>
    <t>روز آمار و برنامه‌ریزی</t>
  </si>
  <si>
    <t>اعتراض و افشاگری حضرت امام خمینی (ره) علیه پذیرش کاپیتولاسیون (۱۳۴۳ ه‍.ش)</t>
  </si>
  <si>
    <t>0804</t>
  </si>
  <si>
    <t xml:space="preserve">شهادت محمّدحسین فهمیده (بسیجی ۱۳ ساله) (۱۳۵۹ ه‍.ش) </t>
  </si>
  <si>
    <t>0808</t>
  </si>
  <si>
    <t>روز نوجوان و بسیج دانش‌آموزی</t>
  </si>
  <si>
    <t>روز پدافند غیرعامل</t>
  </si>
  <si>
    <t>شهادت آیت‌اللّه قاضی طباطبایی، اوّلین شهید محراب به دست منافقان (۱۳۵۸ ه‍.ش)</t>
  </si>
  <si>
    <t>0810</t>
  </si>
  <si>
    <t>تسخیر لانه‌ی جاسوسی آمریکا به دست دانشجویان پیرو خط امام (۱۳۵۸ ه‍.ش)</t>
  </si>
  <si>
    <t>0813</t>
  </si>
  <si>
    <t>روز ملی مبارزه با استکبار جهانی</t>
  </si>
  <si>
    <t>روز دانش‌آموز</t>
  </si>
  <si>
    <t>تبعید حضرت امام خمینی (رحمة‌اللّه علیه) از ایران به ترکیه (۱۳۴۳ ه‍.ش)</t>
  </si>
  <si>
    <t>روز فرهنگ عمومی</t>
  </si>
  <si>
    <t>0814</t>
  </si>
  <si>
    <t>روز کیفیت</t>
  </si>
  <si>
    <t>0818</t>
  </si>
  <si>
    <t>روز کتاب، کتاب‌خوانی و کتابدار</t>
  </si>
  <si>
    <t>0824</t>
  </si>
  <si>
    <t>روز بزرگداشت آیت‌اللّه علامه سیدمحمّدحسین طباطبایی (۱۳۶۰ ه‍.ش)</t>
  </si>
  <si>
    <t>سالروز آزادسازی سوسنگرد (۱۳۵۹ ه‍.ش)</t>
  </si>
  <si>
    <t>0826</t>
  </si>
  <si>
    <t>روزبسیج مستضعفان (تشکیل بسیج مستضعفان به فرمان حضرت امام خمینی رحمة‌اللّه علیه) (۱۳۵۸ ه‍.ش)</t>
  </si>
  <si>
    <t>0905</t>
  </si>
  <si>
    <t>سالروز قیام مردم گرگان (۱۳۵۷ ه‍.ش)</t>
  </si>
  <si>
    <t>روز نیروی دریایی</t>
  </si>
  <si>
    <t>0907</t>
  </si>
  <si>
    <t>روز بزرگداشت شیخ مفید</t>
  </si>
  <si>
    <t>0909</t>
  </si>
  <si>
    <t>شهادت آیت‌اللّه سید‌حسن مدرّس و روز مجلس (۱۳۱۶ ه‍.ش)</t>
  </si>
  <si>
    <t>0910</t>
  </si>
  <si>
    <t>شهادت میرزا‌کوچک‌خان جنگلی (۱۳۰۰ ه‍.ش)</t>
  </si>
  <si>
    <t>0911</t>
  </si>
  <si>
    <t>روز قانون اساسی جمهوری اسلامی ایران (تصویب قانون اساسی جمهوری اسلامی ایران) (۱۳۵۸ ه‍.ش)</t>
  </si>
  <si>
    <t>0912</t>
  </si>
  <si>
    <t>روز بیمه</t>
  </si>
  <si>
    <t>0913</t>
  </si>
  <si>
    <t>روز دانشجو</t>
  </si>
  <si>
    <t>0916</t>
  </si>
  <si>
    <t>معرّفی عراق به عنوان مسئول و آغازگر جنگ از سوی سازمان ملل (۱۳۷۰ ه‍.ش)</t>
  </si>
  <si>
    <t>0918</t>
  </si>
  <si>
    <t>تشکیل شورای عالی انقلاب فرهنگی به فرمان حضرت امام خمینی (رحمة‌اللّه علیه) (۱۳۶۳ ه‍.ش)</t>
  </si>
  <si>
    <t>0919</t>
  </si>
  <si>
    <t>شهادت آیت‌اللّه دستغیب، سومین شهید محراب به دست منافقان (۱۳۶۰ ه‍.ش)</t>
  </si>
  <si>
    <t>0920</t>
  </si>
  <si>
    <t xml:space="preserve">روز پژوهش </t>
  </si>
  <si>
    <t>0925</t>
  </si>
  <si>
    <t>روز حمل‌و‌نقل و رانندگان</t>
  </si>
  <si>
    <t>0926</t>
  </si>
  <si>
    <t>شهادت آیت‌اللّه دکتر محمّد مفتّح (۱۳۵۸ ه‍.ش)</t>
  </si>
  <si>
    <t>0927</t>
  </si>
  <si>
    <t>روز وحدت حوزه و دانشگاه</t>
  </si>
  <si>
    <t>روز تجلیل از شهید تندگویان</t>
  </si>
  <si>
    <t>0929</t>
  </si>
  <si>
    <t>شب یلدا</t>
  </si>
  <si>
    <t>0930</t>
  </si>
  <si>
    <t>روز ثبت‌احوال</t>
  </si>
  <si>
    <t>1003</t>
  </si>
  <si>
    <t>روز ایمنی در برابر زلزله و کاهش اثرات بلایای طبیعی</t>
  </si>
  <si>
    <t>1005</t>
  </si>
  <si>
    <t>سالروز تشکیل نهضت سوادآموزی به فرمان حضرت امام خمینی (رحمة‌اللّه علیه) (۱۳۵۸ ه‍.ش)</t>
  </si>
  <si>
    <t>1007</t>
  </si>
  <si>
    <t>شهادت آیت‌اللّه حسین غفّاری به دست مأموران ستم‌شاهی پهلوی (۱۳۵۳ ه‍.ش)</t>
  </si>
  <si>
    <t>روز صنعت پتروشیمی</t>
  </si>
  <si>
    <t>1008</t>
  </si>
  <si>
    <t>روز بصیرت و میثاق امّت با ولایت (سالروز حماسه‌ی ۹  ۸۸)</t>
  </si>
  <si>
    <t>1009</t>
  </si>
  <si>
    <t>روز جهانی مقاومت - شهادت الگوی اخلاص و عمل، سردار سپهبد حاج قاسم سلیمانی و هم‌رزمان ایشان به دست استکبار جهانی (۱۳۹۸ ه‍.ش)</t>
  </si>
  <si>
    <t>1013</t>
  </si>
  <si>
    <t>ابلاغ پیام تاریخی حضرت امام خمینی (ره) به گورباچف رهبر شوروی سابق (۱۳۶۷ ه‍.ش)</t>
  </si>
  <si>
    <t>اجرای طرح استعماری حذف حجاب (کشف حجاب) به دست رضاخان کتاتور (۱۳۱۴ ه‍.ش)</t>
  </si>
  <si>
    <t>1017</t>
  </si>
  <si>
    <t>روز بزرگداشت خواجوی کرمانی</t>
  </si>
  <si>
    <t>قیام خونین مردم قم (۱۳۵۶ ه‍.ش)</t>
  </si>
  <si>
    <t>1019</t>
  </si>
  <si>
    <t>شهادت میرزا تقی خان امیرکبیر (۱۲۳۰ ه‍.ش)</t>
  </si>
  <si>
    <t>1020</t>
  </si>
  <si>
    <t>تشکیل شورای انقلاب به فرمان حضرت امام خمینی (رحمة‌اللّه علیه) (۱۳۵۷ ه‍.ش)</t>
  </si>
  <si>
    <t>1022</t>
  </si>
  <si>
    <t>فرار شاه معدوم (۱۳۵۷ ه‍.ش)</t>
  </si>
  <si>
    <t>1026</t>
  </si>
  <si>
    <t>شهادت شهیدان: نواب صفوی، طهماسبی، برادران واح و ذوالقدر از فدائیان اسلام (۱۳۳۴ ه‍.ش)</t>
  </si>
  <si>
    <t>1027</t>
  </si>
  <si>
    <t>روز غزه</t>
  </si>
  <si>
    <t>1029</t>
  </si>
  <si>
    <t>سالروز حماسه‌ی مردم آمل</t>
  </si>
  <si>
    <t>1106</t>
  </si>
  <si>
    <t>سالروز بازگشت حضرت امام خمینی (رحمة‌اللّه علیه) به ایران و آغاز دهه‌ی مبارک فجر انقلاب اسلامی</t>
  </si>
  <si>
    <t>1112</t>
  </si>
  <si>
    <t>روز فنّاوری فضایی</t>
  </si>
  <si>
    <t>1114</t>
  </si>
  <si>
    <t>روز نیروی هوایی</t>
  </si>
  <si>
    <t>1119</t>
  </si>
  <si>
    <t>شکسته‌شدن حکومت‌نظامی به فرمان امام خمینی (رحمة‌اللّه علیه) (۱۳۵۷ ه‍.ش)</t>
  </si>
  <si>
    <t>1121</t>
  </si>
  <si>
    <t>صدور حکم تاریخی حضرت امام خمینی (رحمة‌اللّه علیه) مبنی بر ارتداد سلمان‌رش نویسنده‌ی خائن کتاب آیات شیطانی (۱۳۶۷ ه‍.ش)</t>
  </si>
  <si>
    <t>1125</t>
  </si>
  <si>
    <t>قیام مردم تبریز به مناسبت چهلمین روز شهادت شهدای قم (۱۳۵۶ ه‍.ش)</t>
  </si>
  <si>
    <t>1129</t>
  </si>
  <si>
    <t>روز اقتصاد مقاومتی و کارآفرینی</t>
  </si>
  <si>
    <t>کودتای انگلیسی رضاخان (۱۲۹۹ ه‍.ش)</t>
  </si>
  <si>
    <t>1203</t>
  </si>
  <si>
    <t>روز بزرگداشت خواجه‌نصیرالن طوسی</t>
  </si>
  <si>
    <t>1205</t>
  </si>
  <si>
    <t>روز مهندسی</t>
  </si>
  <si>
    <t xml:space="preserve">روز امور تربیتی و تربیت اسلامی </t>
  </si>
  <si>
    <t>1208</t>
  </si>
  <si>
    <t>روز بزرگداشت حکیم حاج ملاها سبزواری</t>
  </si>
  <si>
    <t>روز حمایت از حقوق مصرف‌کنندگان</t>
  </si>
  <si>
    <t>1209</t>
  </si>
  <si>
    <t>روز احسان و نیکوکاری</t>
  </si>
  <si>
    <t>1214</t>
  </si>
  <si>
    <t>روز ترویج فرهنگ قرض‌الحسنه</t>
  </si>
  <si>
    <t xml:space="preserve">روز درختکاری </t>
  </si>
  <si>
    <t>1215</t>
  </si>
  <si>
    <t>روز بزرگداشت سید‌جمال‌الن اسدآبا</t>
  </si>
  <si>
    <t>1218</t>
  </si>
  <si>
    <t>سالروز تأسیس کانون‌های فرهنگی‌و‌هنری مساجد کشور</t>
  </si>
  <si>
    <t>روز راهیان نور</t>
  </si>
  <si>
    <t>1220</t>
  </si>
  <si>
    <t>روز بزرگداشت نظامی گنجوی</t>
  </si>
  <si>
    <t>1221</t>
  </si>
  <si>
    <t>روز بزرگداشت شهدا (سالروز صدور فرمان حضرت امام خمینی رحمة‌اللّه علیه، مبنی بر تأسیس بنیاد شهید انقلاب اسلامی) (۱۳۵۸ ه‍.ش)</t>
  </si>
  <si>
    <t>1222</t>
  </si>
  <si>
    <t>بمباران شیمیایی حلبچه به دست ارتش بعث عراق (۱۳۶۶ ه‍.ش)</t>
  </si>
  <si>
    <t>1225</t>
  </si>
  <si>
    <t>این روز فقط در سال‌های کبیسه وجود دارد و معمولاً تعطیل اعلام می‌گردد</t>
  </si>
  <si>
    <t>1230</t>
  </si>
  <si>
    <t>تاسوعای حسینی</t>
  </si>
  <si>
    <t>0109</t>
  </si>
  <si>
    <t>عاشورای حسینی</t>
  </si>
  <si>
    <t>0110</t>
  </si>
  <si>
    <t>اربعین حسینی</t>
  </si>
  <si>
    <t>0220</t>
  </si>
  <si>
    <t>رحلت حضرت رسول اکرم صلی اللّه علیه و آله</t>
  </si>
  <si>
    <t>شهادت حضرت امام حسن مجتبی علیه‌السلام</t>
  </si>
  <si>
    <t>شهادت حضرت امام رضا علیه‌السلام</t>
  </si>
  <si>
    <t>0229</t>
  </si>
  <si>
    <t>شهادت حضرت امام حسن عسکری علیه‌السلام</t>
  </si>
  <si>
    <t>0308</t>
  </si>
  <si>
    <t>آغاز امامت حضرت ولی‌عصر (عج)</t>
  </si>
  <si>
    <t>ولادت حضرت رسول اکرم صلی اللّه علیه و آله - روز اخلاق و مهرورزی</t>
  </si>
  <si>
    <t>0317</t>
  </si>
  <si>
    <t>ولادت حضرت امام جعفر صادق علیه‌السلام، مؤسس مذهب جعفری</t>
  </si>
  <si>
    <t>شهادت حضرت فاطمه‌ی زهرا سلام‌اللّه علیها</t>
  </si>
  <si>
    <t>ولادت حضرت امام علی علیه‌السلام</t>
  </si>
  <si>
    <t>مبعث حضرت رسول اکرم صلی‌اللّه علیه و آله</t>
  </si>
  <si>
    <t>0727</t>
  </si>
  <si>
    <t>ولادت حضرت قائم عجل‌اللّه تعالی فرجه (جشن صاحب‌الزّمان) و روز جهانی مستضعفان</t>
  </si>
  <si>
    <t>0815</t>
  </si>
  <si>
    <t>شهادت امیر‌المؤمنین، حضرت امام علی علیه‌السلام</t>
  </si>
  <si>
    <t>0921</t>
  </si>
  <si>
    <t>عید سعید فطر</t>
  </si>
  <si>
    <t>1001</t>
  </si>
  <si>
    <t>تعطیل به مناسبت عید سعید فطر</t>
  </si>
  <si>
    <t>1002</t>
  </si>
  <si>
    <t>شهادت حضرت امام جعفر صادق علیه‌السلام</t>
  </si>
  <si>
    <t>1025</t>
  </si>
  <si>
    <t>عید سعید قربان</t>
  </si>
  <si>
    <t>1210</t>
  </si>
  <si>
    <t>عید سعید غدیر خم</t>
  </si>
  <si>
    <r>
      <t>روز بزرگداشت عطّار نیشابوری</t>
    </r>
    <r>
      <rPr>
        <sz val="11"/>
        <color rgb="FF004466"/>
        <rFont val="Calibri"/>
        <family val="2"/>
        <scheme val="minor"/>
      </rPr>
      <t> ‌</t>
    </r>
  </si>
  <si>
    <r>
      <t>روز دزفول</t>
    </r>
    <r>
      <rPr>
        <sz val="11"/>
        <color rgb="FF004466"/>
        <rFont val="Calibri"/>
        <family val="2"/>
        <scheme val="minor"/>
      </rPr>
      <t> ‌</t>
    </r>
  </si>
  <si>
    <r>
      <t>صدور فرمان مشروطیت (۱۲۸۵ ه‍.ش)</t>
    </r>
    <r>
      <rPr>
        <sz val="11"/>
        <color rgb="FF004466"/>
        <rFont val="Calibri"/>
        <family val="2"/>
        <scheme val="minor"/>
      </rPr>
      <t> ‌</t>
    </r>
  </si>
  <si>
    <t>آغاز سال هجری قمری (اوّل ماه محرّم)</t>
  </si>
  <si>
    <t>روز تجلیل از اسرا و مفقودان</t>
  </si>
  <si>
    <t>0111</t>
  </si>
  <si>
    <t xml:space="preserve">شهادت حضرت امام زین‌العابدین علیه‌السلام (۹۵ ه‍.ق) </t>
  </si>
  <si>
    <t>شهادت حضرت امام زین‌العابدین علیه‌السلام :به روایتی (۹۵ ه‍.ق)</t>
  </si>
  <si>
    <t>شهادت حضرت امام حسن مجتبی علیه‌السلام :به روایتی (۵۰ ه‍.ق)</t>
  </si>
  <si>
    <t>روز بزرگداشت سلمان فارسی</t>
  </si>
  <si>
    <t>0702</t>
  </si>
  <si>
    <t>روز وقف</t>
  </si>
  <si>
    <t>هجرت حضرت رسول اکرم صلی اللّه علیه و آله از مکّه به مدینه</t>
  </si>
  <si>
    <t>ولادت حضرت رسول اکرم صلی اللّه علیه و آله :به روایت اهل سنت (-۵۳ ه‍.ق)</t>
  </si>
  <si>
    <t>0312</t>
  </si>
  <si>
    <t>آغاز هفته‌ی وحدت</t>
  </si>
  <si>
    <t>ولادت حضرت عبدالعظیم حسنی علیه‌السلام</t>
  </si>
  <si>
    <t>0404</t>
  </si>
  <si>
    <t>ولادت حضرت امام حسن عسکری علیه‌السلام (۲۳۲ ه‍.ق)</t>
  </si>
  <si>
    <t>وفات حضرت معصومه سلام‌اللّه علیها (۲۰۱ ه‍.ق)</t>
  </si>
  <si>
    <t>ولادت حضرت زینب سلام‌اللّه علیها و روز پرستار</t>
  </si>
  <si>
    <t>شهادت حضرت فاطمه‌ی زهرا سلام‌اللّه علیها :به روایتی (۱۱ ه‍.ق)</t>
  </si>
  <si>
    <t>0513</t>
  </si>
  <si>
    <t>سالروز وفات حضرت اُم‌البنین سلام‌اللّه علیها</t>
  </si>
  <si>
    <t>روز تکریم مادران و همسران شهدا</t>
  </si>
  <si>
    <t>ولادت حضرت فاطمه‌ی زهرا سلام‌اللّه علیها و روز زن (-۸ ه‍.ق)</t>
  </si>
  <si>
    <t xml:space="preserve">تولّد حضرت امام خمینی (رحمة‌اللّه علیه)، رهبر کبیر انقلاب اسلامی (۱۳۲۰ ه‍.ق) </t>
  </si>
  <si>
    <t>روز مادر - روز زن</t>
  </si>
  <si>
    <t>ولادت حضرت امام محمّد باقر علیه‌السلام (۵۷ ه‍.ق)</t>
  </si>
  <si>
    <t>0701</t>
  </si>
  <si>
    <t>شهادت حضرت امام علی نقی «هادی» علیه‌السلام (۲۵۴ ه‍.ق)</t>
  </si>
  <si>
    <t>0703</t>
  </si>
  <si>
    <t>ولادت حضرت امام محمد تقی علیه‌السلام «جوادالائمه» (۱۹۵ ه‍.ق)</t>
  </si>
  <si>
    <t>0710</t>
  </si>
  <si>
    <t>آغاز ایام البیض (اعتکاف)</t>
  </si>
  <si>
    <t>روز پدر - روز مرد</t>
  </si>
  <si>
    <t>ارتحال حضرت زینب کبری سلام‌اللّه علیها (۶۲ ه‍.ق)</t>
  </si>
  <si>
    <t>تغییر قبله‌ی مسلمین از بیت‌المقدس به مکّه‌ی معظّمه (۲ ه‍.ق)</t>
  </si>
  <si>
    <t>شهادت حضرت امام موسی کاظم علیه‌السلام (۱۸۳ ه‍.ق)</t>
  </si>
  <si>
    <t>0725</t>
  </si>
  <si>
    <t>ولادت حضرت امام حسین علیه‌السلام و روز پاسدار (۴ ه‍.ق)</t>
  </si>
  <si>
    <t>0803</t>
  </si>
  <si>
    <t>ولادت حضرت ابوالفضل‌العباس علیه‌السلام و روز جانباز (۲۶ ه‍.ق)</t>
  </si>
  <si>
    <t>ولادت حضرت امام زین‌العابدین علیه‌السلام (۳۸ ه‍.ق)</t>
  </si>
  <si>
    <t>0805</t>
  </si>
  <si>
    <t>ولادت حضرت علی‌اکبر علیه‌السلام و روز جوان (۳۳ ه‍.ق)</t>
  </si>
  <si>
    <t>0811</t>
  </si>
  <si>
    <t>روز سربازان گمنام امام زمان (عج)</t>
  </si>
  <si>
    <t>وفات حضرت خدیجه سلام‌اللّه علیها (-۳ ه‍.ق)</t>
  </si>
  <si>
    <t>ولادت حضرت امام حسن مجتبی علیه‌السلام (۳ ه‍.ق)</t>
  </si>
  <si>
    <t>0915</t>
  </si>
  <si>
    <t>روز اکرام و تکریم خیّرین</t>
  </si>
  <si>
    <t>شب قدر</t>
  </si>
  <si>
    <t>ضربت‌خوردن حضرت امام علی علیه‌السلام (۴۰ ه‍.ق)</t>
  </si>
  <si>
    <t>0922</t>
  </si>
  <si>
    <t>پیش‌یادآوری: آخرین جمعه‌ی ماه مبارک رمضان، روز قدس خواهد‌بود</t>
  </si>
  <si>
    <t>0923</t>
  </si>
  <si>
    <t>روز فرهنگ پهلوانی و ورزش زورخانه‌ای</t>
  </si>
  <si>
    <t>فتح اندلس به دست مسلمانان (۹۲ ه‍.ق)</t>
  </si>
  <si>
    <t>1021</t>
  </si>
  <si>
    <t>ولادت حضرت معصومه سلام‌اللّه علیها و روز دختران (۱۷۳ ه‍.ق)</t>
  </si>
  <si>
    <t>1101</t>
  </si>
  <si>
    <t>روز تجلیل از امام‌زادگان و بقاع متبرکه</t>
  </si>
  <si>
    <t>1105</t>
  </si>
  <si>
    <t>روز بزرگداشت حضرت صالح بن موسی کاظم علیه‌السلام</t>
  </si>
  <si>
    <t>روز بزرگداشت حضرت احمد بن موسی شاهچراغ علیه‌السلام</t>
  </si>
  <si>
    <t>ولادت حضرت امام رضا علیه‌السلام (۱۴۸ ه‍.ق)</t>
  </si>
  <si>
    <t>1111</t>
  </si>
  <si>
    <t>آخرین روز (۲۹ یا ۳۰) ماه ذی‌القعده: شهادت حضرت امام محمد تقی علیه‌السلام «جوادالائمه» (۱۴۸ ه‍.ق)</t>
  </si>
  <si>
    <t>شهادت حضرت امام محمد تقی علیه‌السلام «جوادالائمه» (۲۲۰ ه‍.ق)</t>
  </si>
  <si>
    <t>1130</t>
  </si>
  <si>
    <t>سالروز ازدواج حضرت امام علی علیه‌السلام و حضرت فاطمه سلام‌اللّه علیها (۲ ه‍.ق)</t>
  </si>
  <si>
    <t>1201</t>
  </si>
  <si>
    <t>روز ازدواج</t>
  </si>
  <si>
    <t>شهادت مظلومانه‌ی زائران خانه‌ی خدا به دست مأموران آل‌سعود در سال ۱۳۶۶ هجری‌شمسی (۱۴۰۷ ه‍.ق)</t>
  </si>
  <si>
    <t>1206</t>
  </si>
  <si>
    <t>شهادت حضرت امام محمد باقر علیه‌السلام (۱۱۴ ه‍.ق)</t>
  </si>
  <si>
    <t>1207</t>
  </si>
  <si>
    <t xml:space="preserve">روز عرفه (روز نیایش) </t>
  </si>
  <si>
    <t>ولادت حضرت امام علی نقی «هادی» علیه‌السلام (۲۱۲ ه‍.ق)</t>
  </si>
  <si>
    <t>ولادت حضرت امام موسی کاظم علیه‌السلام (۱۲۸ ه‍.ق)</t>
  </si>
  <si>
    <t>روز مباهله‌ی پیامبر اسلام صلی‌اللّه علیه و آله (۱۰ ه‍.ق)</t>
  </si>
  <si>
    <t>1224</t>
  </si>
  <si>
    <t>روز خانواده و تکریم بازنشستگان</t>
  </si>
  <si>
    <t>آغاز سال میلادی</t>
  </si>
  <si>
    <t>روز جهانی گمرک</t>
  </si>
  <si>
    <t>0126</t>
  </si>
  <si>
    <t>روز جهانی آب</t>
  </si>
  <si>
    <t>0322</t>
  </si>
  <si>
    <t>روز جهانی هواشناسی</t>
  </si>
  <si>
    <t>0323</t>
  </si>
  <si>
    <t>روز جهانی کار و کارگر</t>
  </si>
  <si>
    <t>0501</t>
  </si>
  <si>
    <t>روز جهانی ماما</t>
  </si>
  <si>
    <t>روز جهانی صلیب‌سرخ و هلال‌احمر</t>
  </si>
  <si>
    <t>روز جهانی موزه و میراث‌فرهنگی</t>
  </si>
  <si>
    <t>روز جهانی بدون دخانیات</t>
  </si>
  <si>
    <t>روز جهانی محیط زیست</t>
  </si>
  <si>
    <t>روز جهانی بیابان‌زدایی</t>
  </si>
  <si>
    <t>روز جهانی مبارزه با مواد‌مخدر</t>
  </si>
  <si>
    <t>0626</t>
  </si>
  <si>
    <t>روز جهانی شیر مادر</t>
  </si>
  <si>
    <t>روز جهانی مسجد</t>
  </si>
  <si>
    <t>0821</t>
  </si>
  <si>
    <t>روز جهانی جهانگردی - روز گردشگری</t>
  </si>
  <si>
    <t>روز جهانی دریانوردی</t>
  </si>
  <si>
    <t>روز جهانی ناشنوایان</t>
  </si>
  <si>
    <t>روز جهانی سالمندان</t>
  </si>
  <si>
    <t>روز جهانی کودک</t>
  </si>
  <si>
    <t>روز جهانی پست</t>
  </si>
  <si>
    <t>روز جهانی استاندارد</t>
  </si>
  <si>
    <t>1014</t>
  </si>
  <si>
    <t>روز جهانی نابینایان (عصای سفید)</t>
  </si>
  <si>
    <t>1015</t>
  </si>
  <si>
    <t>روز جهانی غذا</t>
  </si>
  <si>
    <t>1016</t>
  </si>
  <si>
    <t>روز جهانی علم در خدمت صلح و توسعه</t>
  </si>
  <si>
    <t>1110</t>
  </si>
  <si>
    <t>روز جهانی مبارزه با ایدز</t>
  </si>
  <si>
    <t>روز جهانی معلولان</t>
  </si>
  <si>
    <t>روز جهانی هواپیمایی</t>
  </si>
  <si>
    <t>ولادت حضرت عیسی مسیح علیه‌السلام</t>
  </si>
  <si>
    <t>روز قلم</t>
  </si>
  <si>
    <t>روز مردم‌شناسی</t>
  </si>
  <si>
    <t>12345678900</t>
  </si>
  <si>
    <t>test@email.com</t>
  </si>
  <si>
    <t>حساب روزمره - شخصی</t>
  </si>
  <si>
    <t>حساب بودجه</t>
  </si>
  <si>
    <t>شرح حساب</t>
  </si>
  <si>
    <t>بودجه مدیریت منزل، بودجه خوراک مشترک و...</t>
  </si>
  <si>
    <t>حساب نگه‌داری بودجه‌های تعیین شده</t>
  </si>
  <si>
    <t>پس‌انداز خرید، درآمد برنامه ریزی نشده و...</t>
  </si>
  <si>
    <t>بودجه خوراک شخصی، ایاب ذهاب، هزینه برنامه ریزی نشده و...</t>
  </si>
  <si>
    <t>حساب سرمایه گذاری</t>
  </si>
  <si>
    <t>حساب متصل به سامانه‌های سرمایه‌گذاری (بورس، رمز ارز و...)</t>
  </si>
  <si>
    <t>پول نقد، کیف پول</t>
  </si>
  <si>
    <t>کیف پول مجازی ۱</t>
  </si>
  <si>
    <t>کیف پول مجازی ۲</t>
  </si>
  <si>
    <t>کیف پول مجازی ۳</t>
  </si>
  <si>
    <t>مثال: همراه بانک</t>
  </si>
  <si>
    <t>مثال: دیجیکالا</t>
  </si>
  <si>
    <t>مثال: کتابراه</t>
  </si>
  <si>
    <t>کیف پول مجازی ۴</t>
  </si>
  <si>
    <t>مثال: پارس‌اسپیس</t>
  </si>
  <si>
    <t>حساب روزمره - مشترک</t>
  </si>
  <si>
    <t>مثال: آینده</t>
  </si>
  <si>
    <t>مثال: تجارت</t>
  </si>
  <si>
    <t>مثال: سپه</t>
  </si>
  <si>
    <t>مثال: ملی</t>
  </si>
  <si>
    <t>مثال: پارسیان</t>
  </si>
  <si>
    <t>مثال: قرض الحسنه</t>
  </si>
  <si>
    <t>مدیریت سرمایه‌گذاری</t>
  </si>
  <si>
    <t>مدیریت کالا‌ها</t>
  </si>
  <si>
    <t>رمز صفحه: Receivers&amp;PayersPass</t>
  </si>
  <si>
    <t>شخص ۱</t>
  </si>
  <si>
    <t>شخص ۲</t>
  </si>
  <si>
    <t>شخص ۳</t>
  </si>
  <si>
    <t>شخص ۴</t>
  </si>
  <si>
    <t>Accounts_Receivers_Payers</t>
  </si>
  <si>
    <t>شخص ۵</t>
  </si>
  <si>
    <t>نوع</t>
  </si>
  <si>
    <t>پس‌انداز</t>
  </si>
  <si>
    <t>اسناد پرداختنی</t>
  </si>
  <si>
    <t>خرید کالا و دریافت خدمات</t>
  </si>
  <si>
    <t>حساب‌های پرداختنی (بستانکاران)</t>
  </si>
  <si>
    <t>سرمایه‌گذاری‌های کوتاه مدت</t>
  </si>
  <si>
    <t>حقوق، دستمزد</t>
  </si>
  <si>
    <t>سود سرمایه‌گذاری‌های کوتاه مدت</t>
  </si>
  <si>
    <t>سود سرمایه‌گذاری‌های بلند مدت</t>
  </si>
  <si>
    <t>حساب‌های دریافتنی (بدهکاران)</t>
  </si>
  <si>
    <t>اسناد دریافتنی</t>
  </si>
  <si>
    <t>فروش کالا و ارائه خدمات</t>
  </si>
  <si>
    <t>سرمایه‌گذاری‌های بلند مدت</t>
  </si>
  <si>
    <t>لینک رسید و تاریخ عملیات</t>
  </si>
  <si>
    <t>مانده:</t>
  </si>
  <si>
    <t>بودجه بندی ... ماه (قالب)</t>
  </si>
  <si>
    <t>حقوق دریافتی از شرکت X</t>
  </si>
  <si>
    <t>دریافت هدیه نقدی</t>
  </si>
  <si>
    <t>وضعیت عملیات</t>
  </si>
  <si>
    <t>جدول وضعیت عملیات</t>
  </si>
  <si>
    <t>پرداخت شد</t>
  </si>
  <si>
    <t>صادر شد</t>
  </si>
  <si>
    <t>به فروش رسید</t>
  </si>
  <si>
    <t>خریداری شد</t>
  </si>
  <si>
    <t>جدول نوع بودجه</t>
  </si>
  <si>
    <t xml:space="preserve">عملیات و تاریخ  مقرر </t>
  </si>
  <si>
    <t>پس‌انداز کردن</t>
  </si>
  <si>
    <t>- | 1400/00/00</t>
  </si>
  <si>
    <t>سود حاصل از صندوق سرمایه‌گذاری Z</t>
  </si>
  <si>
    <t>سود حاصل از صندوق سرمایه‌گذاری Z'</t>
  </si>
  <si>
    <t>ابطال ۵ سهم از صندوق سرمایه‌گذاری Z''</t>
  </si>
  <si>
    <t>ابطال | 1400/00/00</t>
  </si>
  <si>
    <t>فروش لوازم ورزشی استفاده نشده!</t>
  </si>
  <si>
    <t>فروش | 1400/00/00</t>
  </si>
  <si>
    <t>پس‌انداز مبادا</t>
  </si>
  <si>
    <t>پس‌انداز خریدرای ...</t>
  </si>
  <si>
    <t>پس‌انداز ماه‌های ...، ... و...</t>
  </si>
  <si>
    <t>دستمزد ماهانه تدریس در آموزشگاه Y</t>
  </si>
  <si>
    <t>طراحی نرم‌افزار برای شرکت ...</t>
  </si>
  <si>
    <t>قرض پول از «امیر» بابت «...»</t>
  </si>
  <si>
    <t>دریافت وام از حساب «پس‌انداز مبادا» بابت «تکمیل مبلغ خریداری ...»</t>
  </si>
  <si>
    <t>دریافت وام از «بانک ... توسط طرح ...، x درصد با بازپرداخت n ماهه» بابت «...»</t>
  </si>
  <si>
    <t>وام‌ کوتاه مدت</t>
  </si>
  <si>
    <t>باز پرداخت وام‌ کوتاه مدت</t>
  </si>
  <si>
    <t>وام‌ بلند مدت</t>
  </si>
  <si>
    <t>باز پرداخت وام‌ بلند مدت</t>
  </si>
  <si>
    <t>ماهانه باید ... ریال پس بدم</t>
  </si>
  <si>
    <t>تشویقی دریافت شده بابت «...»</t>
  </si>
  <si>
    <t>چک به شماره ...</t>
  </si>
  <si>
    <t>پاس کردن چک به شماره ...</t>
  </si>
  <si>
    <t>داشته این ماه</t>
  </si>
  <si>
    <t>دریافت پول قرض داده شده به ممد!</t>
  </si>
  <si>
    <t>پس‌دادن پول قرض گرفته شده از «امیر»</t>
  </si>
  <si>
    <t>پرداخت | 1400/00/00</t>
  </si>
  <si>
    <t>پرداخت | 1400/00/30</t>
  </si>
  <si>
    <t>بازپرداخت وام دریافت شده از حساب «پس‌انداز مبادا» بابت «...»</t>
  </si>
  <si>
    <t>پرداخت قسط اول وام دریافت شده از «بانک ... توسط طرح ...، x درصد با بازپرداخت n ماهه» بابت «...»</t>
  </si>
  <si>
    <t>n قسط دیگر باقی مانده</t>
  </si>
  <si>
    <t>سرمایه‌گذاری «پس‌انداز خرید ... برای ماه ...» در صندوق سود ثابت ...</t>
  </si>
  <si>
    <t>سرمایه‌گذاری در ...</t>
  </si>
  <si>
    <t>صدور | 1400/00/00</t>
  </si>
  <si>
    <t>پس‌انداز کردن در حساب «پس‌انداز مبادا»</t>
  </si>
  <si>
    <t>پرداخت |1400/00/00</t>
  </si>
  <si>
    <t>مبلغی که می‌تونم خرج کنم.</t>
  </si>
  <si>
    <t>روانشناس</t>
  </si>
  <si>
    <t>n جلسه | جلسه‌ای ... ریال</t>
  </si>
  <si>
    <t>پرداخت | در طی ماه</t>
  </si>
  <si>
    <t>R-14001230-01.jpg</t>
  </si>
  <si>
    <t>پیرایشگاه/آرایشگاه</t>
  </si>
  <si>
    <t>n بار در ماه</t>
  </si>
  <si>
    <t>خرید «...»</t>
  </si>
  <si>
    <t>خرید |1400/00/00</t>
  </si>
  <si>
    <t>دریافت | 1400/00/00</t>
  </si>
  <si>
    <t>دریافت شد</t>
  </si>
  <si>
    <t>باطل شد</t>
  </si>
  <si>
    <t>----------</t>
  </si>
  <si>
    <t xml:space="preserve"> CommonEnvironmentPass</t>
  </si>
  <si>
    <t>BudgetPass</t>
  </si>
  <si>
    <t>دوره مالی «... ماه» از  1400/00/00 الی 1400/00/00</t>
  </si>
  <si>
    <t>مانده حساب مشترک</t>
  </si>
  <si>
    <t>بابت</t>
  </si>
  <si>
    <t>رسید تراکنش</t>
  </si>
  <si>
    <t>لیست دریافت کنندگان مشترک</t>
  </si>
  <si>
    <t>لیست مالکان حساب مشترک</t>
  </si>
  <si>
    <t>فرد ۱</t>
  </si>
  <si>
    <t>فرد ۲</t>
  </si>
  <si>
    <t>صاحب خانه</t>
  </si>
  <si>
    <t>اداره برق</t>
  </si>
  <si>
    <t>اداره آب</t>
  </si>
  <si>
    <t>اداره گاز</t>
  </si>
  <si>
    <t>ارائه دهنده سرویس اینترنت</t>
  </si>
  <si>
    <t>1400/00/00</t>
  </si>
  <si>
    <t>اجاره ... ماه</t>
  </si>
  <si>
    <t>قبض آب</t>
  </si>
  <si>
    <t>قبض گاز</t>
  </si>
  <si>
    <t>واریز بودجه ماه توسط فرد ۱</t>
  </si>
  <si>
    <t>واریز بودجه ماه توسط فرد ۲</t>
  </si>
  <si>
    <t>حساب مشترک</t>
  </si>
  <si>
    <t>فروشگاه مواد غذایی</t>
  </si>
  <si>
    <t>فروشگاه مواد بهداشتی</t>
  </si>
  <si>
    <t>تعمیر کار و سرویس کار</t>
  </si>
  <si>
    <t>اهمیت</t>
  </si>
  <si>
    <t>جدول اهمیت بودجه</t>
  </si>
  <si>
    <t>S</t>
  </si>
  <si>
    <t>A</t>
  </si>
  <si>
    <t>B</t>
  </si>
  <si>
    <t>C</t>
  </si>
  <si>
    <t>D</t>
  </si>
  <si>
    <t>مبلغ بودجه (ریال)</t>
  </si>
  <si>
    <t>فرد ۳</t>
  </si>
  <si>
    <t>ورودی حساب مشترک</t>
  </si>
  <si>
    <t>جدول نوع بودجه - ویژه زندگی اشتراکی</t>
  </si>
  <si>
    <t>RE-14001230-01</t>
  </si>
  <si>
    <t>جدول بودجه‌ ... ماه - مدیریت زندگی در محیط اشتراکی</t>
  </si>
  <si>
    <t>سهم «...» برای ... ماه</t>
  </si>
  <si>
    <t>پرداخت اجاره ... ماه</t>
  </si>
  <si>
    <t>دریافت | 1400/00/01</t>
  </si>
  <si>
    <t>دریافت | 1400/00/02</t>
  </si>
  <si>
    <t>باقی‌مانده از ماه قبل</t>
  </si>
  <si>
    <t>قبض برق</t>
  </si>
  <si>
    <t>بسته اینترنت</t>
  </si>
  <si>
    <t>شارژ ساختمان</t>
  </si>
  <si>
    <t>پس‌انداز کردن باقی‌مانده ماه</t>
  </si>
  <si>
    <t>- | 1400/00/31</t>
  </si>
  <si>
    <t>بودجه خرید «...»</t>
  </si>
  <si>
    <t>بودجه تعمیر «...»</t>
  </si>
  <si>
    <t>حساب دفتری با «...» از ماه پیش</t>
  </si>
  <si>
    <t>رمز صفحه: BMSettingsPass</t>
  </si>
  <si>
    <t>دسته کالا</t>
  </si>
  <si>
    <t>گروه کالا</t>
  </si>
  <si>
    <t>شرح کالا</t>
  </si>
  <si>
    <t>تعداد کالا</t>
  </si>
  <si>
    <t>کالای ورود | خروج</t>
  </si>
  <si>
    <t>دسته کالای ورود | خروج</t>
  </si>
  <si>
    <t>تحویل دهنده کالا</t>
  </si>
  <si>
    <t>تحویل گیرنده کالا</t>
  </si>
  <si>
    <t>ملاحظات</t>
  </si>
  <si>
    <t>لینک تصویر کالا</t>
  </si>
  <si>
    <t>مالک کالا</t>
  </si>
  <si>
    <t>وضعیت کالا</t>
  </si>
  <si>
    <t>شرح عیب کالا</t>
  </si>
  <si>
    <t>ملاحظات رفع عیب</t>
  </si>
  <si>
    <t>وضعیت تعمیر کالا</t>
  </si>
  <si>
    <t>آرشیو</t>
  </si>
  <si>
    <t>ملاحظات مالی</t>
  </si>
  <si>
    <t>تعداد</t>
  </si>
  <si>
    <t>وضعیت تهیه کالا</t>
  </si>
  <si>
    <t>کالای_خروجی</t>
  </si>
  <si>
    <t>بخشیدن</t>
  </si>
  <si>
    <t>علیرضا منعم</t>
  </si>
  <si>
    <t>ایمان آقاجانی</t>
  </si>
  <si>
    <t>خانه_و_آشپزخانه</t>
  </si>
  <si>
    <t>دانشگاه دامغان</t>
  </si>
  <si>
    <t>کالای بی استفاده</t>
  </si>
  <si>
    <t>اقدامی نشده</t>
  </si>
  <si>
    <t>بودجه تعمیر: ... | هزینه جایگزینی: ... | صرفه‌جوی: ... | هزینه تمام شده تعمیر: ...</t>
  </si>
  <si>
    <t>۴. زیاد</t>
  </si>
  <si>
    <t>کالا تهیه شد</t>
  </si>
  <si>
    <t>کالای_ورودی</t>
  </si>
  <si>
    <t>خرید</t>
  </si>
  <si>
    <t>فروشگاه لوازم التحریر الفبا</t>
  </si>
  <si>
    <t>۳. متوسط</t>
  </si>
  <si>
    <t>فروشگاه دنیای صندل مدیسا</t>
  </si>
  <si>
    <t>یاشار ناصری</t>
  </si>
  <si>
    <t>۵. خیلی زیاد</t>
  </si>
  <si>
    <t>حذف</t>
  </si>
  <si>
    <t>شهرداری دامغان</t>
  </si>
  <si>
    <t>در حال استفاده از کالا</t>
  </si>
  <si>
    <t>۲. کم</t>
  </si>
  <si>
    <t>تعمیر شد</t>
  </si>
  <si>
    <t>محمد‌ابراهیم خادمیان</t>
  </si>
  <si>
    <t>سفارش کالا</t>
  </si>
  <si>
    <t>مد_و_پوشاک</t>
  </si>
  <si>
    <t>حامد سوفی</t>
  </si>
  <si>
    <t>لیست تحویل دهنده | گیرنده کالا</t>
  </si>
  <si>
    <t>ورزش_و_سفر</t>
  </si>
  <si>
    <t>لیست حالت‌ها</t>
  </si>
  <si>
    <t>مهدی صفا</t>
  </si>
  <si>
    <t>دسته ورودی</t>
  </si>
  <si>
    <t>امانت_گرفتن</t>
  </si>
  <si>
    <t>جاروبرقی</t>
  </si>
  <si>
    <t>هدیه_گرفتن</t>
  </si>
  <si>
    <t>شرکت شاردین آفرین</t>
  </si>
  <si>
    <t>نبوی</t>
  </si>
  <si>
    <t>خانواده</t>
  </si>
  <si>
    <t>دسته خروجی</t>
  </si>
  <si>
    <t>فروش</t>
  </si>
  <si>
    <t>هدیه_دادن</t>
  </si>
  <si>
    <t>امانت_دادن</t>
  </si>
  <si>
    <t>بازیافت</t>
  </si>
  <si>
    <t>بلا تکلیف</t>
  </si>
  <si>
    <t>در حال آماده سازی جهت تحویل به مالک</t>
  </si>
  <si>
    <t>به مالک کالا تحویل داده شد</t>
  </si>
  <si>
    <t>به من بخشیده شد</t>
  </si>
  <si>
    <t>فروش به در‌خواست مالک</t>
  </si>
  <si>
    <t>انداختم دور (فروش، بخشش و...)</t>
  </si>
  <si>
    <t>در دست تعمیر</t>
  </si>
  <si>
    <t>غیر قابل تعمیر</t>
  </si>
  <si>
    <t>تهیه بودجه</t>
  </si>
  <si>
    <t>بودجه تهیه شد</t>
  </si>
  <si>
    <t>جدول اولویت تهیه کالا</t>
  </si>
  <si>
    <t>۱. خیلی کم</t>
  </si>
  <si>
    <t>بخشیدن: بخشش کالا به نیازمند.</t>
  </si>
  <si>
    <t>هدیه دادن: هدیه کالا (نو، دست دوم و...) به فرد یا افرادی از نزدیکان یا آشنایان</t>
  </si>
  <si>
    <t>نوشتن ملاحظات: واحد | تعداد</t>
  </si>
  <si>
    <t xml:space="preserve"> نوشتن ملاحظات مالی: بودجه تعمیر: ... | هزینه جایگزینی: ... | صرفه‌جوی: ... | هزینه تمام شده تعمیر: ...</t>
  </si>
  <si>
    <t>لیست دسته کالا</t>
  </si>
  <si>
    <t>کالای_دیجیتال</t>
  </si>
  <si>
    <t>خودرو،_ابزار_و_تجهیزات_صنعتی</t>
  </si>
  <si>
    <t>اسباب_بازی،_کودک_و_نوزاد</t>
  </si>
  <si>
    <t>کالا‌های_سوپر‌مارکتی</t>
  </si>
  <si>
    <t>زیبایی_و_سلامت</t>
  </si>
  <si>
    <t>کتاب،_لوازم_التحریر_و_هنر</t>
  </si>
  <si>
    <t>محصولات_بومی_و_محلی</t>
  </si>
  <si>
    <t>لیست گروه کالا</t>
  </si>
  <si>
    <t>موبایل</t>
  </si>
  <si>
    <t>تبلت و کتابخوان</t>
  </si>
  <si>
    <t>تبلت</t>
  </si>
  <si>
    <t>کتاب‌خوان و کاغذ دیجیتالی</t>
  </si>
  <si>
    <t>رهیاب ماهواره‌ای</t>
  </si>
  <si>
    <t>دوربین، تلسکوپ و میکروسکوپ</t>
  </si>
  <si>
    <t>دوربین عکاسی</t>
  </si>
  <si>
    <t>دوربین فیلم برداری</t>
  </si>
  <si>
    <t>لوازم جانبی دوربین عکاسی و فیلم برداری</t>
  </si>
  <si>
    <t>محافظ صفحه نمایش دوربین</t>
  </si>
  <si>
    <t>سه پایه و تک پایه</t>
  </si>
  <si>
    <t>سر سه پایه</t>
  </si>
  <si>
    <t>لنز دوربین</t>
  </si>
  <si>
    <t>فیلتر لنز و آداپتور فیلتر</t>
  </si>
  <si>
    <t>فلاش</t>
  </si>
  <si>
    <t>فیلم عکاسی</t>
  </si>
  <si>
    <t>ریموت کنترل دوربین</t>
  </si>
  <si>
    <t>قاب عکس دیجیتال</t>
  </si>
  <si>
    <t>تجهیزات آتلیه و نورپردازی</t>
  </si>
  <si>
    <t>هود لنز</t>
  </si>
  <si>
    <t>لوازم جانبی دوربین های ورزشی</t>
  </si>
  <si>
    <t>آداپتور و کانورتر</t>
  </si>
  <si>
    <t>کابل رابط دوربین</t>
  </si>
  <si>
    <t>باتری، شارژر و متعلقات</t>
  </si>
  <si>
    <t>بند آویز و کمربند دوربین</t>
  </si>
  <si>
    <t>تلسکوپ</t>
  </si>
  <si>
    <t>لوازم جانبی تلسکوپ</t>
  </si>
  <si>
    <t>میکروسکوپ</t>
  </si>
  <si>
    <t>ذره بین</t>
  </si>
  <si>
    <t>کامپیوتر و تجهیزات جانبی</t>
  </si>
  <si>
    <t>تجهیزات ذخیره‌سازی اطلاعات</t>
  </si>
  <si>
    <t>هارد دیسک اکسترنال</t>
  </si>
  <si>
    <t>حافظه SSD</t>
  </si>
  <si>
    <t>لوح فشرده</t>
  </si>
  <si>
    <t>ذخیره سازی مبتنی بر نوار</t>
  </si>
  <si>
    <t>هارددیسک اینترنال</t>
  </si>
  <si>
    <t>فلش مموری</t>
  </si>
  <si>
    <t>کارت حافظه</t>
  </si>
  <si>
    <t>لوازم جانبی تجهیزات ذخیره سازی</t>
  </si>
  <si>
    <t>تجهیزات شبکه و ارتباطات</t>
  </si>
  <si>
    <t>مودم - روتر ADSL</t>
  </si>
  <si>
    <t>مودم - روتر 3G و 4G و 5G</t>
  </si>
  <si>
    <t>روتر و اکسس پوینت</t>
  </si>
  <si>
    <t>آنتن تقویتی</t>
  </si>
  <si>
    <t>کارت شبکه</t>
  </si>
  <si>
    <t>سوییچ</t>
  </si>
  <si>
    <t>هاب سوئیچ</t>
  </si>
  <si>
    <t>ذخیره ساز تحت شبکه (NAS)</t>
  </si>
  <si>
    <t>لوازم جانبی NAS و سرور</t>
  </si>
  <si>
    <t>دوربین های امنیتی و نظارتی</t>
  </si>
  <si>
    <t>ضبط‌کننده ویدئویی دوربین‌های امنیتی و نظارتی</t>
  </si>
  <si>
    <t>اتصالات شبکه</t>
  </si>
  <si>
    <t>آداپتور شبکه</t>
  </si>
  <si>
    <t>اینترنت اشیا</t>
  </si>
  <si>
    <t>منبع تغذیه اضطراری (UPS)</t>
  </si>
  <si>
    <t>تجهیزات ویدیویی</t>
  </si>
  <si>
    <t>باتری UPS</t>
  </si>
  <si>
    <t>پچ پنل</t>
  </si>
  <si>
    <t>لود بالانسر</t>
  </si>
  <si>
    <t>تجهیزات ارتباطات سازمانی</t>
  </si>
  <si>
    <t>UTM و فایروال</t>
  </si>
  <si>
    <t>رک شبکه و سرور</t>
  </si>
  <si>
    <t>توسعه دهنده محدوده بی‌سیم</t>
  </si>
  <si>
    <t>لوازم جانبی دوربین‌ های امنیتی و نظارتی</t>
  </si>
  <si>
    <t>کامپیوترهای All-in-One</t>
  </si>
  <si>
    <t>کیس های اسمبل شده</t>
  </si>
  <si>
    <t>کامپیوترهای کوچک</t>
  </si>
  <si>
    <t>قطعات کامپیوتر</t>
  </si>
  <si>
    <t>مادربرد</t>
  </si>
  <si>
    <t>پردازنده</t>
  </si>
  <si>
    <t>کارت گرافیک</t>
  </si>
  <si>
    <t>رم کامپیوتر و لپ‌تاپ (RAM)</t>
  </si>
  <si>
    <t>کارت صدا کامپیوتر</t>
  </si>
  <si>
    <t>منبع تغذیه کامپیوتر</t>
  </si>
  <si>
    <t>کیس کامپیوتر</t>
  </si>
  <si>
    <t>خنک کننده پردازنده</t>
  </si>
  <si>
    <t>فن کیس</t>
  </si>
  <si>
    <t>نمایشگر (مانیتور)</t>
  </si>
  <si>
    <t>اسپیکر (بلندگو)</t>
  </si>
  <si>
    <t>وب‌کم</t>
  </si>
  <si>
    <t>USB هاب</t>
  </si>
  <si>
    <t>قلم نوری</t>
  </si>
  <si>
    <t>تجهیزات مخصوص بازی</t>
  </si>
  <si>
    <t>دسته بازی</t>
  </si>
  <si>
    <t>فرمان ماشین بازی</t>
  </si>
  <si>
    <t>هدفون</t>
  </si>
  <si>
    <t>هدست</t>
  </si>
  <si>
    <t>میکروفون</t>
  </si>
  <si>
    <t>لپ تاپ</t>
  </si>
  <si>
    <t>لوازم جانبی لپ تاپ</t>
  </si>
  <si>
    <t>کیف و کاور لپ تاپ</t>
  </si>
  <si>
    <t>باتری لپ‌تاپ</t>
  </si>
  <si>
    <t>شارژر مخصوص لپ‌تاپ</t>
  </si>
  <si>
    <t>استند و پایه خنک‌کننده</t>
  </si>
  <si>
    <t>لوازم جانبی کیس و لپ تاپ</t>
  </si>
  <si>
    <t>ماوس (موشواره)</t>
  </si>
  <si>
    <t>کیبورد (صفحه کلید)</t>
  </si>
  <si>
    <t>ماوس پد</t>
  </si>
  <si>
    <t>درایو نوری</t>
  </si>
  <si>
    <t>کارت‌خوان</t>
  </si>
  <si>
    <t>کیت تمیز کننده</t>
  </si>
  <si>
    <t>گیرنده تلویزیون دیجیتال USB</t>
  </si>
  <si>
    <t>ماشین های اداری</t>
  </si>
  <si>
    <t>پرینتر</t>
  </si>
  <si>
    <t>پرینتر سه بعدی</t>
  </si>
  <si>
    <t>لوازم جانبی پرینتر</t>
  </si>
  <si>
    <t>کارتریج و جوهر مخزن</t>
  </si>
  <si>
    <t>تونر</t>
  </si>
  <si>
    <t>درام</t>
  </si>
  <si>
    <t>رول</t>
  </si>
  <si>
    <t>کاغذ چاپگر و نگاتیو</t>
  </si>
  <si>
    <t>کابل رابط پرینتر</t>
  </si>
  <si>
    <t>برچسب پرینتر لیبل زن</t>
  </si>
  <si>
    <t>هد پرینتر و پلاتر</t>
  </si>
  <si>
    <t>ریبون پرینتر سوزنی</t>
  </si>
  <si>
    <t>سینی کاغذ</t>
  </si>
  <si>
    <t>سایر لوازم جانبی پرینتر</t>
  </si>
  <si>
    <t>پرینتر لیبل زن و لوازم جانبی</t>
  </si>
  <si>
    <t>پرینتر لیبل زن و پرینتر حرارتی</t>
  </si>
  <si>
    <t>لوازم جانبی پرینتر لیبل زن و حرارتی</t>
  </si>
  <si>
    <t>اسکنر</t>
  </si>
  <si>
    <t>پلاتر</t>
  </si>
  <si>
    <t>دستگاه کپی</t>
  </si>
  <si>
    <t>فکس</t>
  </si>
  <si>
    <t>لوازم جانبی تلفن و فکس</t>
  </si>
  <si>
    <t>هدست تلفن</t>
  </si>
  <si>
    <t>تجهیزات تلفن سانترال</t>
  </si>
  <si>
    <t>باتری تلفن</t>
  </si>
  <si>
    <t>رول، درام و تونر فکس</t>
  </si>
  <si>
    <t>سایر لوازم جانبی تلفن</t>
  </si>
  <si>
    <t>کابل تلفن</t>
  </si>
  <si>
    <t>تجهیزات تلفن VoIP</t>
  </si>
  <si>
    <t>ویدیو پروژکتور</t>
  </si>
  <si>
    <t>کپی برد</t>
  </si>
  <si>
    <t>پرزنتر</t>
  </si>
  <si>
    <t>لیزر پوینتر</t>
  </si>
  <si>
    <t>ماشین حساب</t>
  </si>
  <si>
    <t>اسکناس شمار</t>
  </si>
  <si>
    <t>تشخیص اصالت اسکناس</t>
  </si>
  <si>
    <t>پرفراژ چک</t>
  </si>
  <si>
    <t>بارکد خوان</t>
  </si>
  <si>
    <t>کاغذ خردکن</t>
  </si>
  <si>
    <t>دستگاه کنترل تردد</t>
  </si>
  <si>
    <t>کالر آی دی</t>
  </si>
  <si>
    <t>PDA و دیتا کالکتور</t>
  </si>
  <si>
    <t>اسکنر سه بعدی</t>
  </si>
  <si>
    <t>کشوی پول</t>
  </si>
  <si>
    <t>پد امضا</t>
  </si>
  <si>
    <t>لوازم فروشگاهی</t>
  </si>
  <si>
    <t>ترازوی فروشگاهی</t>
  </si>
  <si>
    <t>سیستم نوبت دهی</t>
  </si>
  <si>
    <t>تابلوی LED</t>
  </si>
  <si>
    <t>صندوق فروشگاهی</t>
  </si>
  <si>
    <t>کیوسک و استند لمسی</t>
  </si>
  <si>
    <t>گیت ضد سرقت فروشگاهی</t>
  </si>
  <si>
    <t>سایر تجهیزات فروشگاهی</t>
  </si>
  <si>
    <t>قطعات یدکی و لوازم جانبی پایانه‌های فروشگاهی و دستگاه‌های کارتخوان بانکی</t>
  </si>
  <si>
    <t>لوازم جانبی اداری</t>
  </si>
  <si>
    <t>سایر لوازم جانبی کالاهای اداری</t>
  </si>
  <si>
    <t>لوازم جانبی پروژکتور</t>
  </si>
  <si>
    <t>صفحه کلید دستگاه های خودپرداز</t>
  </si>
  <si>
    <t>پرینتر کارت</t>
  </si>
  <si>
    <t>تجهیزات مدرن اداری</t>
  </si>
  <si>
    <t>برش دهنده‌ی کاغذ</t>
  </si>
  <si>
    <t>ویدئو وال</t>
  </si>
  <si>
    <t>پرینت سرور</t>
  </si>
  <si>
    <t>لوازم جانبی دستگاه کپی</t>
  </si>
  <si>
    <t>ریسوگراف</t>
  </si>
  <si>
    <t>لیزر</t>
  </si>
  <si>
    <t>پرس کارت و لمینت</t>
  </si>
  <si>
    <t>تجهیزات راهنمای تور</t>
  </si>
  <si>
    <t>ماشین‌های تایپ</t>
  </si>
  <si>
    <t>لوازم بارکد خوان</t>
  </si>
  <si>
    <t>ساعت و مچ بند هوشمند</t>
  </si>
  <si>
    <t>ساعت هوشمند</t>
  </si>
  <si>
    <t>مچ بند هوشمند</t>
  </si>
  <si>
    <t>گام شمار</t>
  </si>
  <si>
    <t>لوازم جانبی کالای دیجیتال</t>
  </si>
  <si>
    <t>لوازم جانبی گوشی موبایل</t>
  </si>
  <si>
    <t>کیف و کاور گوشی</t>
  </si>
  <si>
    <t>محافظ صفحه نمایش گوشی</t>
  </si>
  <si>
    <t>باتری گوشی</t>
  </si>
  <si>
    <t>محافظ لنز گوشی موبایل</t>
  </si>
  <si>
    <t>لوازم جانبی تبلت</t>
  </si>
  <si>
    <t>کیف و کاور تبلت</t>
  </si>
  <si>
    <t>محافظ صفحه نمایش تبلت</t>
  </si>
  <si>
    <t>کیبورد مخصوص تبلت</t>
  </si>
  <si>
    <t>باتری تبلت</t>
  </si>
  <si>
    <t>لوازم جانبی موبایل و تبلت</t>
  </si>
  <si>
    <t>شارژر تبلت و موبایل</t>
  </si>
  <si>
    <t>پاوربانک (شارژر همراه)</t>
  </si>
  <si>
    <t>پایه نگهدارنده (استند) گوشی و تبلت</t>
  </si>
  <si>
    <t>قلم لمسی (Stylus)</t>
  </si>
  <si>
    <t>کابل و مبدل موبایل و تبلت</t>
  </si>
  <si>
    <t>لوازم تعمیرات موبایل، تبلت و کالای دیجیتال</t>
  </si>
  <si>
    <t>قطعات یدکی موبایل و تبلت</t>
  </si>
  <si>
    <t>لوازم جانبی کامپیوتر</t>
  </si>
  <si>
    <t>دانگل بلوتوث</t>
  </si>
  <si>
    <t>کابل های رابط</t>
  </si>
  <si>
    <t>مبدل برق</t>
  </si>
  <si>
    <t>لوازم_جانبی_خودرو</t>
  </si>
  <si>
    <t>لوازم_مصرفی_خودرو</t>
  </si>
  <si>
    <t>لوازم_جانبی_موتور_سیکلت</t>
  </si>
  <si>
    <t>لوازم_مصرفی_موتور_سیکلت</t>
  </si>
  <si>
    <t>لوازم_جانبی_دوچرخه</t>
  </si>
  <si>
    <t>لوازم_مصرفی_دوچرخه</t>
  </si>
  <si>
    <t>انبارداری_و_صنعتی</t>
  </si>
  <si>
    <t>باغبانی</t>
  </si>
  <si>
    <t>ابزار_غیر_برقی</t>
  </si>
  <si>
    <t>ابزار_برقی</t>
  </si>
  <si>
    <t>دکوراسیون_اداری</t>
  </si>
  <si>
    <t>ماشین‌های_اداری</t>
  </si>
  <si>
    <t>لباس_مردانه</t>
  </si>
  <si>
    <t>کت،جلیقه_و_ست_رسمی_مردانه</t>
  </si>
  <si>
    <t>کت_تک_رسمی_مردانه</t>
  </si>
  <si>
    <t>ست_رسمی_مردانه</t>
  </si>
  <si>
    <t>جلیقه_رسمی_مردانه</t>
  </si>
  <si>
    <t>کراوات_و_پاپیون</t>
  </si>
  <si>
    <t>لباس_راحتی_مردانه</t>
  </si>
  <si>
    <t>ست_لباس_راحتی_مردانه</t>
  </si>
  <si>
    <t>تاپ_و_تی_شرت_راحتی_مردانه</t>
  </si>
  <si>
    <t>شلوار_و_شلوارک_راحتی_مردانه</t>
  </si>
  <si>
    <t>شلوار_جین_مردانه</t>
  </si>
  <si>
    <t>ژاکت_مردانه</t>
  </si>
  <si>
    <t>پلیور_مردانه</t>
  </si>
  <si>
    <t>پالتو،_بارانی_و_کاپشن_مردانه</t>
  </si>
  <si>
    <t>پالتو_مردانه</t>
  </si>
  <si>
    <t>کت_چرم_مردانه</t>
  </si>
  <si>
    <t>کت_پاییزه_و_زمستانه_مردانه</t>
  </si>
  <si>
    <t>جلیقه_پاییزه_مردانه</t>
  </si>
  <si>
    <t>کاپشن_مردانه</t>
  </si>
  <si>
    <t>پیراهن_مردانه</t>
  </si>
  <si>
    <t>شلوارک_مردانه</t>
  </si>
  <si>
    <t>جوراب_و_ساق_مردانه</t>
  </si>
  <si>
    <t>هودی_مردانه</t>
  </si>
  <si>
    <t>سوییشرت_مردانه</t>
  </si>
  <si>
    <t>لباس_ورزشی_مردانه</t>
  </si>
  <si>
    <t>لباس_زیر_ورزشی_مردانه</t>
  </si>
  <si>
    <t>شلوار_ورزشی_مردانه</t>
  </si>
  <si>
    <t>تی_شرت_و_پولوشرت_ورزشی_مردانه</t>
  </si>
  <si>
    <t>کاپشن_و_جلیقه_ورزشی_مردانه</t>
  </si>
  <si>
    <t>شلوارک_ورزشی_مردانه</t>
  </si>
  <si>
    <t>سویشرت_و_هودی_ورزشی_مردانه</t>
  </si>
  <si>
    <t>گرمکن_و_ست_ورزشی_مردانه</t>
  </si>
  <si>
    <t>جوراب_ورزشی_مردانه</t>
  </si>
  <si>
    <t>لباس_شنا_مردانه</t>
  </si>
  <si>
    <t>مایو_و_لباس_شنای_مردانه</t>
  </si>
  <si>
    <t>لباس_غواصی_مردانه</t>
  </si>
  <si>
    <t>تاپ_مردانه</t>
  </si>
  <si>
    <t>تی_شرت_و_پولوشرت_مردانه</t>
  </si>
  <si>
    <t>شلوار_و_سرهمی_مردانه</t>
  </si>
  <si>
    <t>لباس_زیر_مردانه</t>
  </si>
  <si>
    <t>زیرپوش_مردانه</t>
  </si>
  <si>
    <t>شورت_مردانه</t>
  </si>
  <si>
    <t>کفش_مردانه</t>
  </si>
  <si>
    <t>نیم_بوت_مردانه</t>
  </si>
  <si>
    <t>بوت_مردانه</t>
  </si>
  <si>
    <t>گیوه_مردانه</t>
  </si>
  <si>
    <t>دمپایی_لاانگشتی_مردانه</t>
  </si>
  <si>
    <t>کفش_رسمی_مردانه</t>
  </si>
  <si>
    <t>صندل_مردانه</t>
  </si>
  <si>
    <t>دمپایی_مردانه</t>
  </si>
  <si>
    <t>کفش_ورزشی_مردانه</t>
  </si>
  <si>
    <t>کفش_روزمره_مردانه</t>
  </si>
  <si>
    <t>کفش_کالج_مردانه</t>
  </si>
  <si>
    <t>اکسسوری مردانه</t>
  </si>
  <si>
    <t>کوله_پشتی_مردانه</t>
  </si>
  <si>
    <t>کمربند_مردانه</t>
  </si>
  <si>
    <t>ساسبند_مردانه</t>
  </si>
  <si>
    <t>عینک_مردانه</t>
  </si>
  <si>
    <t>کیف_مردانه</t>
  </si>
  <si>
    <t>ست_هدیه_مردانه</t>
  </si>
  <si>
    <t>شال_مردانه</t>
  </si>
  <si>
    <t>دستکش_مردانه</t>
  </si>
  <si>
    <t>سرپوش_مردانه</t>
  </si>
  <si>
    <t>زیورآلات مردانه</t>
  </si>
  <si>
    <t>دستبند_مردانه</t>
  </si>
  <si>
    <t>زنجیر_مردانه</t>
  </si>
  <si>
    <t>ست_زیورآلات_مردانه</t>
  </si>
  <si>
    <t>گردنبند_مردانه</t>
  </si>
  <si>
    <t>آویز_مردانه</t>
  </si>
  <si>
    <t>انگشتر_مردانه</t>
  </si>
  <si>
    <t>دکمه_سردست_مردانه</t>
  </si>
  <si>
    <t>جعبه_جواهرات_مردانه</t>
  </si>
  <si>
    <t>ست_دستبند_زنانه_و_مردانه</t>
  </si>
  <si>
    <t>ست_انگشتر_زنانه_و_مردانه</t>
  </si>
  <si>
    <t>ست_آویز_زنانه_و_مردانه</t>
  </si>
  <si>
    <t>پیرسینگ_مردانه</t>
  </si>
  <si>
    <t>ساعت مردانه</t>
  </si>
  <si>
    <t>ساعت_عقربه‌ای_مردانه</t>
  </si>
  <si>
    <t>ساعت_دیجیتال</t>
  </si>
  <si>
    <t>لوازم_جانبی_ساعت_عقربه_ای_و_دیجیتال</t>
  </si>
  <si>
    <t>سایر اکسسوری‌ها</t>
  </si>
  <si>
    <t>ماسک_پارچه‌ای_مردانه</t>
  </si>
  <si>
    <t>پیکسل</t>
  </si>
  <si>
    <t>شستشو و نظافت</t>
  </si>
  <si>
    <t>ابزار نظافت</t>
  </si>
  <si>
    <t>سطل</t>
  </si>
  <si>
    <t>زمین شوی</t>
  </si>
  <si>
    <t>جارو و خاک‌انداز</t>
  </si>
  <si>
    <t>ست جارو همراه با خاک‌انداز</t>
  </si>
  <si>
    <t>فرچه</t>
  </si>
  <si>
    <t>سرویس نظافت</t>
  </si>
  <si>
    <t>دستکش نظافت</t>
  </si>
  <si>
    <t>پایه رول دستمال</t>
  </si>
  <si>
    <t>اسکاچ و سیم ظرفشویی</t>
  </si>
  <si>
    <t>دستمال کاغذی</t>
  </si>
  <si>
    <t>نظافت لباس</t>
  </si>
  <si>
    <t>سبد رخت چرک</t>
  </si>
  <si>
    <t>بند رخت</t>
  </si>
  <si>
    <t>گیره لباس</t>
  </si>
  <si>
    <t>کاور پوشاک</t>
  </si>
  <si>
    <t>کیسه وکیوم</t>
  </si>
  <si>
    <t>پرزگیر لباس</t>
  </si>
  <si>
    <t>دستگاه حشره کش و سوسک کش</t>
  </si>
  <si>
    <t>صوتی و تصویری</t>
  </si>
  <si>
    <t>تلویزیون</t>
  </si>
  <si>
    <t>میز تلویزیون</t>
  </si>
  <si>
    <t>کنسول بازی</t>
  </si>
  <si>
    <t>کنسول خانگی</t>
  </si>
  <si>
    <t>کنسول پرتابل</t>
  </si>
  <si>
    <t>لوازم جانبی کنسول بازی</t>
  </si>
  <si>
    <t>بازی های کنسول خانگی</t>
  </si>
  <si>
    <t>سینمای خانگی</t>
  </si>
  <si>
    <t>سیستم صوتی خانگی</t>
  </si>
  <si>
    <t>ضبط کننده صدا</t>
  </si>
  <si>
    <t>رادیو</t>
  </si>
  <si>
    <t>لوازم جانبی صوتی و تصویری</t>
  </si>
  <si>
    <t>لوازم جانبی پخش کننده های پرتابل</t>
  </si>
  <si>
    <t>سایر لوازم جانبی صوتی و تصویری</t>
  </si>
  <si>
    <t>عینک سه بعدی</t>
  </si>
  <si>
    <t>آنتن</t>
  </si>
  <si>
    <t>گیرنده - فرستنده صدا</t>
  </si>
  <si>
    <t>ریموت کنترل</t>
  </si>
  <si>
    <t>پایه دیواری و سقفی</t>
  </si>
  <si>
    <t>چندراهی برق و محافظ ولتاژ</t>
  </si>
  <si>
    <t>آداپتور برق</t>
  </si>
  <si>
    <t>پخش کننده و گیرنده چند رسانه ای</t>
  </si>
  <si>
    <t>پخش کننده Blu-Ray</t>
  </si>
  <si>
    <t>پخش کننده DVD</t>
  </si>
  <si>
    <t>پخش کننده خانگی</t>
  </si>
  <si>
    <t>پخش کننده چندرسانه ای پرتابل</t>
  </si>
  <si>
    <t>گیرنده دیجیتال DVB-T</t>
  </si>
  <si>
    <t>آمپلی فایر</t>
  </si>
  <si>
    <t>ساندبار</t>
  </si>
  <si>
    <t>آشپزخانه</t>
  </si>
  <si>
    <t>لوازم پخت و پز</t>
  </si>
  <si>
    <t>ابزار آشپزی</t>
  </si>
  <si>
    <t>ظروف پخت و پز</t>
  </si>
  <si>
    <t>زودپز</t>
  </si>
  <si>
    <t>شیر جوش - قهوه جوش</t>
  </si>
  <si>
    <t>سرویس پخت و پز</t>
  </si>
  <si>
    <t>تخته گوشت</t>
  </si>
  <si>
    <t>سایر ظروف</t>
  </si>
  <si>
    <t>قیچی آشپزخانه</t>
  </si>
  <si>
    <t>سرویس کفگیر و ملاقه</t>
  </si>
  <si>
    <t>فندک آشپزخانه</t>
  </si>
  <si>
    <t>منقل و باربیکیو</t>
  </si>
  <si>
    <t>تهیه و سرو چای و قهوه</t>
  </si>
  <si>
    <t>قوری</t>
  </si>
  <si>
    <t>کتری و قوری</t>
  </si>
  <si>
    <t>سرویس چای خوری</t>
  </si>
  <si>
    <t>کتری و سماور</t>
  </si>
  <si>
    <t>قهوه ساز و دمنوش ساز</t>
  </si>
  <si>
    <t>روقوری</t>
  </si>
  <si>
    <t>فیلتر چای</t>
  </si>
  <si>
    <t>ابزار کیک و شیرینی پزی</t>
  </si>
  <si>
    <t>قالب شیرینی پزی</t>
  </si>
  <si>
    <t>ابزار شیرینی پزی</t>
  </si>
  <si>
    <t>بستنی ساز</t>
  </si>
  <si>
    <t>حوله و دستمال آشپزخانه</t>
  </si>
  <si>
    <t>دستگیره</t>
  </si>
  <si>
    <t>دستمال نظافت</t>
  </si>
  <si>
    <t>پیش بند</t>
  </si>
  <si>
    <t>دم کنی</t>
  </si>
  <si>
    <t>زیر قابلمه‌ای و زیربشقابی</t>
  </si>
  <si>
    <t>کیسه نان و سبزی</t>
  </si>
  <si>
    <t>سرویس آشپزخانه</t>
  </si>
  <si>
    <t>محافظ و آبگیر کنار سینک</t>
  </si>
  <si>
    <t>دستمال نظافت خانه و آشپزخانه</t>
  </si>
  <si>
    <t>بشقاب و سایر ظروف</t>
  </si>
  <si>
    <t>ظروف نگهدارنده و  ظرف غذا</t>
  </si>
  <si>
    <t>شکر پاش و نمک پاش</t>
  </si>
  <si>
    <t>ظروف بنشن</t>
  </si>
  <si>
    <t>جای ادویه</t>
  </si>
  <si>
    <t>ظرف برنج</t>
  </si>
  <si>
    <t>ظرف نان</t>
  </si>
  <si>
    <t>بطری</t>
  </si>
  <si>
    <t>در قابلمه</t>
  </si>
  <si>
    <t>سبد سیب زمینی و پیاز</t>
  </si>
  <si>
    <t>ظروف سرو و پذیرایی</t>
  </si>
  <si>
    <t>سبد آشپزخانه</t>
  </si>
  <si>
    <t>ظرف و قالب یخ</t>
  </si>
  <si>
    <t>ظرف مربا و عسل</t>
  </si>
  <si>
    <t>قندان</t>
  </si>
  <si>
    <t>آبکش، کاسه، سطل</t>
  </si>
  <si>
    <t>آبکش و آبگیر</t>
  </si>
  <si>
    <t>صافی</t>
  </si>
  <si>
    <t>ارگانایزر</t>
  </si>
  <si>
    <t>قیف</t>
  </si>
  <si>
    <t>سرو و پذیرایی</t>
  </si>
  <si>
    <t>کاسه و پیاله</t>
  </si>
  <si>
    <t>سینی</t>
  </si>
  <si>
    <t>بستنی خوری</t>
  </si>
  <si>
    <t>پارچ، بطری و لیوان</t>
  </si>
  <si>
    <t>ماگ، لیوان و فنجان</t>
  </si>
  <si>
    <t>پارچ و بطری</t>
  </si>
  <si>
    <t>سرویس پارچ و لیوان</t>
  </si>
  <si>
    <t>قاشق، چنگال و کارد</t>
  </si>
  <si>
    <t>آسیاب نمک و فلفل</t>
  </si>
  <si>
    <t>سس خوری و آبلیمو خوری</t>
  </si>
  <si>
    <t>سرویس قاشق، کارد و چنگال</t>
  </si>
  <si>
    <t>سرویس غذاخوری</t>
  </si>
  <si>
    <t>کلمن و فلاسک</t>
  </si>
  <si>
    <t>لوازم یکبار مصرف آشپزخانه</t>
  </si>
  <si>
    <t>ابزار مهمانی</t>
  </si>
  <si>
    <t>بشقاب</t>
  </si>
  <si>
    <t>نگهدارنده و جای دستمال کاغذی</t>
  </si>
  <si>
    <t>رومیزی، رانر و زیر بشقابی</t>
  </si>
  <si>
    <t>رومیزی</t>
  </si>
  <si>
    <t>زیر لیوانی</t>
  </si>
  <si>
    <t>سفره</t>
  </si>
  <si>
    <t>سفره یکبار مصرف</t>
  </si>
  <si>
    <t>حیوانات خانگی</t>
  </si>
  <si>
    <t>تجهیزات آبزیان</t>
  </si>
  <si>
    <t>غذای آبزیان</t>
  </si>
  <si>
    <t>آکواریوم آبزیان</t>
  </si>
  <si>
    <t>دکور آبزیان</t>
  </si>
  <si>
    <t>افزودنیهای آب</t>
  </si>
  <si>
    <t>تجهیزات آکواریوم</t>
  </si>
  <si>
    <t>لوازم حیوانات خانگی</t>
  </si>
  <si>
    <t>غذا و مکمل حیوانات</t>
  </si>
  <si>
    <t>بهداشت، مراقبت و نگهداری حیوانات</t>
  </si>
  <si>
    <t>آموزش، سرگرمی و اکسسوری حیوانات</t>
  </si>
  <si>
    <t>لوازم خانگی برقی</t>
  </si>
  <si>
    <t>لوازم پخت و پز برقی</t>
  </si>
  <si>
    <t>سرخ کن</t>
  </si>
  <si>
    <t>اجاق گاز</t>
  </si>
  <si>
    <t>مایکروویو، مایکروفر</t>
  </si>
  <si>
    <t>توستر</t>
  </si>
  <si>
    <t>آون توستر</t>
  </si>
  <si>
    <t>ساندویچ ساز و وافل ساز</t>
  </si>
  <si>
    <t>بخارپز، هواپز، تخم مرغ پز، نان پز</t>
  </si>
  <si>
    <t>گریل و باربیکیو</t>
  </si>
  <si>
    <t>پلوپز</t>
  </si>
  <si>
    <t>آرام‌پز و زودپز برقی</t>
  </si>
  <si>
    <t>نوشیدنی ساز</t>
  </si>
  <si>
    <t>آبمیوه گیری</t>
  </si>
  <si>
    <t>آب مرکبات گیر</t>
  </si>
  <si>
    <t>چای ساز</t>
  </si>
  <si>
    <t>کتری برقی</t>
  </si>
  <si>
    <t>سماور برقی</t>
  </si>
  <si>
    <t>قهوه ساز</t>
  </si>
  <si>
    <t>اسپرسو ساز</t>
  </si>
  <si>
    <t>لوازم جانبی و مصرفی نوشیدنی‌ساز</t>
  </si>
  <si>
    <t>تصفیه آب و آبسردکن</t>
  </si>
  <si>
    <t>رستر قهوه</t>
  </si>
  <si>
    <t>لوازم جانبی تصفیه‌آب و آبسردکن</t>
  </si>
  <si>
    <t>خردکن و غذاساز</t>
  </si>
  <si>
    <t>غذاساز</t>
  </si>
  <si>
    <t>کرپ ساز</t>
  </si>
  <si>
    <t>همزن</t>
  </si>
  <si>
    <t>مخلوط کن</t>
  </si>
  <si>
    <t>چرخ گوشت</t>
  </si>
  <si>
    <t>خردکن</t>
  </si>
  <si>
    <t>آسیاب</t>
  </si>
  <si>
    <t>ماشین آشپزخانه</t>
  </si>
  <si>
    <t>گوشت کوب برقی</t>
  </si>
  <si>
    <t>لوازم مکمل آشپزخانه</t>
  </si>
  <si>
    <t>ترازوی آشپزخانه</t>
  </si>
  <si>
    <t>قوطی باز کن</t>
  </si>
  <si>
    <t>یخچال و فریزر</t>
  </si>
  <si>
    <t>لوازم شست و شو و نظافت</t>
  </si>
  <si>
    <t>لوازم جانبی جاروبرقی و بخار شو</t>
  </si>
  <si>
    <t>مینی واش</t>
  </si>
  <si>
    <t>ماشین ظرفشویی</t>
  </si>
  <si>
    <t>اتو</t>
  </si>
  <si>
    <t>لوازم اتو</t>
  </si>
  <si>
    <t>میز اتو</t>
  </si>
  <si>
    <t>لوازم جانبی اتو</t>
  </si>
  <si>
    <t>بخار شو</t>
  </si>
  <si>
    <t>جارو شارژی</t>
  </si>
  <si>
    <t>سرامیک شوی و فرش شوی</t>
  </si>
  <si>
    <t>ماشین لباسشویی</t>
  </si>
  <si>
    <t>تهویه، سرمایش و گرمایش</t>
  </si>
  <si>
    <t>شوفاژ برقی</t>
  </si>
  <si>
    <t>بخاری برقی</t>
  </si>
  <si>
    <t>پنکه</t>
  </si>
  <si>
    <t>بخاری</t>
  </si>
  <si>
    <t>کولر آبی</t>
  </si>
  <si>
    <t>کولر گازی</t>
  </si>
  <si>
    <t>پکیج شوفاژ دیواری گازسوز</t>
  </si>
  <si>
    <t>آبگرمکن</t>
  </si>
  <si>
    <t>مبدل حرارتی</t>
  </si>
  <si>
    <t>فن کویل</t>
  </si>
  <si>
    <t>فیلتر تصفیه کننده هوا</t>
  </si>
  <si>
    <t>تصفیه کننده هوا</t>
  </si>
  <si>
    <t>پنکه‌های دستی، شارژی، همراه، گیره‌ای و USB</t>
  </si>
  <si>
    <t>چرخ خیاطی</t>
  </si>
  <si>
    <t>لوازم ویژه خانگی برقی</t>
  </si>
  <si>
    <t>میوه خشک کن</t>
  </si>
  <si>
    <t>کرسی</t>
  </si>
  <si>
    <t>پلپ کننده کیسه</t>
  </si>
  <si>
    <t>گرم کن برقی</t>
  </si>
  <si>
    <t>دستگاه وکیوم</t>
  </si>
  <si>
    <t>سبزی خرد کن</t>
  </si>
  <si>
    <t>سایر لوازم ویژه خانگی برقی</t>
  </si>
  <si>
    <t>لوازم یدکی خانگی</t>
  </si>
  <si>
    <t>پارچ و کلمن تصفیه آب</t>
  </si>
  <si>
    <t>تصفیه کننده آب</t>
  </si>
  <si>
    <t>تا قبل از دکور نوشتکم</t>
  </si>
  <si>
    <t>بازگشت به بالا</t>
  </si>
  <si>
    <t>راهنما این صفحه</t>
  </si>
  <si>
    <t>جدول گزارش خروج و ورود کالا | روش: یکی داخل یکی بیرون</t>
  </si>
  <si>
    <t>قیمت کل</t>
  </si>
  <si>
    <t>قیمت واحد</t>
  </si>
  <si>
    <t>مبلغ تهیه شده</t>
  </si>
  <si>
    <t>مانده تا هدف</t>
  </si>
  <si>
    <t>قیمت خرید</t>
  </si>
  <si>
    <t>جدول برنامه ریزی تهیه (خرید) کالا‌های مورد نیاز  | روش: خرید بر اساس نیاز‌های اساسی</t>
  </si>
  <si>
    <t>جدول برنامه‌ریزی خروج کالا و وسایل | روش: خداحافظ وسایل اضافه</t>
  </si>
  <si>
    <t>سلول تعداد وسایل خارج شده</t>
  </si>
  <si>
    <t>تعداد تعداد وسایل خریداری شده</t>
  </si>
  <si>
    <t>جدول تعمیر و ترمیم کالا‌های معیوب | روش: به زمین اهمیت بده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</si>
</sst>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44" formatCode="_(&quot;$&quot;* #,##0.00_);_(&quot;$&quot;* \(#,##0.00\);_(&quot;$&quot;* &quot;-&quot;??_);_(@_)"/>
    <numFmt numFmtId="164" formatCode="[$-3000401]0"/>
    <numFmt numFmtId="165" formatCode="#,##0_-[$ريال-429]"/>
    <numFmt numFmtId="166" formatCode="[$-960429]dddd\,\ d\ mmmm\ yyyy;@"/>
    <numFmt numFmtId="167" formatCode="_ * #,##0_-[$ريال-429]_ ;_ * #,##0\-[$ريال-429]_ ;_ * &quot;-&quot;_-[$ريال-429]_ ;_ @_ "/>
    <numFmt numFmtId="168" formatCode="0000\/00\/00"/>
    <numFmt numFmtId="169" formatCode="[$-160429]dddd\,\ d\ mmmm\ yyyy;@"/>
    <numFmt numFmtId="170" formatCode="#,##0;[Red]#,##0"/>
  </numFmts>
  <fonts count="34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theme="0"/>
      <name val="Calibri"/>
      <family val="2"/>
      <scheme val="minor"/>
    </font>
    <font>
      <b/>
      <sz val="14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rgb="FFFF0000"/>
      <name val="Calibri"/>
      <family val="2"/>
      <scheme val="minor"/>
    </font>
    <font>
      <sz val="12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4"/>
      <color theme="0"/>
      <name val="Calibri"/>
      <family val="2"/>
      <scheme val="minor"/>
    </font>
    <font>
      <b/>
      <sz val="14"/>
      <color theme="1"/>
      <name val="B Titr"/>
      <charset val="178"/>
    </font>
    <font>
      <b/>
      <sz val="12"/>
      <color theme="1"/>
      <name val="B Nazanin"/>
      <charset val="178"/>
    </font>
    <font>
      <b/>
      <sz val="11"/>
      <color theme="1"/>
      <name val="B Nazanin"/>
      <charset val="178"/>
    </font>
    <font>
      <b/>
      <sz val="18"/>
      <color theme="1"/>
      <name val="B Titr"/>
      <charset val="178"/>
    </font>
    <font>
      <sz val="11"/>
      <color theme="0"/>
      <name val="Calibri"/>
      <family val="2"/>
      <scheme val="minor"/>
    </font>
    <font>
      <b/>
      <sz val="12"/>
      <name val="B Nazanin"/>
      <charset val="178"/>
    </font>
    <font>
      <sz val="11"/>
      <name val="Calibri"/>
      <family val="2"/>
      <scheme val="minor"/>
    </font>
    <font>
      <b/>
      <sz val="12"/>
      <color theme="0"/>
      <name val="B Nazanin"/>
      <charset val="178"/>
    </font>
    <font>
      <sz val="12"/>
      <color theme="0"/>
      <name val="B Titr"/>
      <charset val="178"/>
    </font>
    <font>
      <b/>
      <sz val="11"/>
      <color theme="0"/>
      <name val="B Nazanin"/>
      <charset val="178"/>
    </font>
    <font>
      <sz val="11"/>
      <color rgb="FF202122"/>
      <name val="Calibri"/>
      <family val="2"/>
      <scheme val="minor"/>
    </font>
    <font>
      <sz val="11"/>
      <color rgb="FF000000"/>
      <name val="Calibri"/>
      <family val="2"/>
      <scheme val="minor"/>
    </font>
    <font>
      <sz val="11"/>
      <color rgb="FF004466"/>
      <name val="Calibri"/>
      <family val="2"/>
      <scheme val="minor"/>
    </font>
    <font>
      <sz val="12"/>
      <name val="Calibri"/>
      <family val="2"/>
      <scheme val="minor"/>
    </font>
    <font>
      <b/>
      <sz val="12"/>
      <name val="Calibri"/>
      <family val="2"/>
      <scheme val="minor"/>
    </font>
    <font>
      <sz val="8"/>
      <name val="Calibri"/>
      <family val="2"/>
      <scheme val="minor"/>
    </font>
    <font>
      <sz val="11"/>
      <name val="Calibri"/>
      <family val="2"/>
    </font>
    <font>
      <sz val="11"/>
      <name val="Calibri"/>
    </font>
    <font>
      <sz val="11"/>
      <color theme="2" tint="-0.499984740745262"/>
      <name val="Calibri"/>
      <family val="2"/>
      <scheme val="minor"/>
    </font>
    <font>
      <b/>
      <sz val="11"/>
      <name val="B Nazanin"/>
      <charset val="178"/>
    </font>
  </fonts>
  <fills count="44">
    <fill>
      <patternFill patternType="none"/>
    </fill>
    <fill>
      <patternFill patternType="gray125"/>
    </fill>
    <fill>
      <patternFill patternType="solid">
        <fgColor theme="9"/>
      </patternFill>
    </fill>
    <fill>
      <patternFill patternType="solid">
        <fgColor theme="4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5" tint="-0.49998474074526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1" tint="4.9989318521683403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1"/>
        <bgColor theme="1"/>
      </patternFill>
    </fill>
    <fill>
      <patternFill patternType="solid">
        <fgColor theme="0" tint="-0.14999847407452621"/>
        <bgColor theme="0" tint="-0.14999847407452621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7" tint="-0.499984740745262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theme="1" tint="0.14999847407452621"/>
        <bgColor indexed="64"/>
      </patternFill>
    </fill>
    <fill>
      <patternFill patternType="solid">
        <fgColor theme="2" tint="-0.89999084444715716"/>
        <bgColor indexed="64"/>
      </patternFill>
    </fill>
  </fills>
  <borders count="32">
    <border>
      <left/>
      <right/>
      <top/>
      <bottom/>
      <diagonal/>
    </border>
    <border>
      <left style="thin">
        <color theme="1"/>
      </left>
      <right style="thin">
        <color theme="1"/>
      </right>
      <top style="medium">
        <color theme="1"/>
      </top>
      <bottom style="medium">
        <color theme="1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double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medium">
        <color indexed="64"/>
      </bottom>
      <diagonal/>
    </border>
    <border>
      <left/>
      <right/>
      <top style="double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double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double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 style="thin">
        <color theme="1"/>
      </left>
      <right style="thin">
        <color theme="1"/>
      </right>
      <top/>
      <bottom style="double">
        <color indexed="64"/>
      </bottom>
      <diagonal/>
    </border>
  </borders>
  <cellStyleXfs count="5">
    <xf numFmtId="0" fontId="0" fillId="0" borderId="0"/>
    <xf numFmtId="0" fontId="2" fillId="0" borderId="0" applyNumberFormat="0" applyFill="0" applyBorder="0" applyAlignment="0" applyProtection="0"/>
    <xf numFmtId="44" fontId="12" fillId="0" borderId="0" applyFont="0" applyFill="0" applyBorder="0" applyAlignment="0" applyProtection="0"/>
    <xf numFmtId="0" fontId="30" fillId="0" borderId="0"/>
    <xf numFmtId="0" fontId="31" fillId="0" borderId="0"/>
  </cellStyleXfs>
  <cellXfs count="397">
    <xf numFmtId="0" fontId="0" fillId="0" borderId="0" xfId="0"/>
    <xf numFmtId="164" fontId="0" fillId="0" borderId="0" xfId="0" applyNumberFormat="1"/>
    <xf numFmtId="0" fontId="2" fillId="0" borderId="0" xfId="1"/>
    <xf numFmtId="0" fontId="0" fillId="0" borderId="0" xfId="0" applyProtection="1">
      <protection locked="0"/>
    </xf>
    <xf numFmtId="0" fontId="0" fillId="9" borderId="0" xfId="0" applyFill="1" applyProtection="1"/>
    <xf numFmtId="0" fontId="4" fillId="10" borderId="0" xfId="0" applyFont="1" applyFill="1" applyAlignment="1" applyProtection="1">
      <alignment horizontal="center" vertical="center"/>
    </xf>
    <xf numFmtId="0" fontId="4" fillId="13" borderId="0" xfId="0" applyFont="1" applyFill="1" applyAlignment="1" applyProtection="1">
      <alignment horizontal="center" vertical="center"/>
    </xf>
    <xf numFmtId="0" fontId="3" fillId="9" borderId="0" xfId="0" applyFont="1" applyFill="1" applyAlignment="1" applyProtection="1">
      <alignment horizontal="center" vertical="center"/>
    </xf>
    <xf numFmtId="0" fontId="4" fillId="0" borderId="0" xfId="0" applyFont="1" applyAlignment="1" applyProtection="1">
      <alignment horizontal="center" vertical="center"/>
    </xf>
    <xf numFmtId="0" fontId="5" fillId="5" borderId="0" xfId="1" applyFont="1" applyFill="1" applyBorder="1" applyAlignment="1" applyProtection="1">
      <alignment horizontal="center" vertical="center"/>
    </xf>
    <xf numFmtId="0" fontId="5" fillId="2" borderId="0" xfId="1" applyFont="1" applyFill="1" applyBorder="1" applyAlignment="1" applyProtection="1">
      <alignment horizontal="center" vertical="center"/>
    </xf>
    <xf numFmtId="0" fontId="5" fillId="3" borderId="0" xfId="1" applyFont="1" applyFill="1" applyBorder="1" applyAlignment="1" applyProtection="1">
      <alignment horizontal="center" vertical="center"/>
    </xf>
    <xf numFmtId="0" fontId="5" fillId="4" borderId="0" xfId="1" applyFont="1" applyFill="1" applyBorder="1" applyAlignment="1" applyProtection="1">
      <alignment horizontal="center" vertical="center"/>
    </xf>
    <xf numFmtId="0" fontId="5" fillId="7" borderId="0" xfId="1" applyFont="1" applyFill="1" applyBorder="1" applyAlignment="1" applyProtection="1">
      <alignment horizontal="center" vertical="center"/>
    </xf>
    <xf numFmtId="0" fontId="6" fillId="8" borderId="0" xfId="1" applyFont="1" applyFill="1" applyBorder="1" applyAlignment="1" applyProtection="1">
      <alignment horizontal="center" vertical="center"/>
    </xf>
    <xf numFmtId="0" fontId="5" fillId="12" borderId="0" xfId="1" applyFont="1" applyFill="1" applyBorder="1" applyAlignment="1" applyProtection="1">
      <alignment horizontal="center" vertical="center"/>
    </xf>
    <xf numFmtId="1" fontId="9" fillId="9" borderId="0" xfId="0" applyNumberFormat="1" applyFont="1" applyFill="1" applyAlignment="1" applyProtection="1">
      <alignment horizontal="center" vertical="center"/>
    </xf>
    <xf numFmtId="1" fontId="9" fillId="0" borderId="0" xfId="0" applyNumberFormat="1" applyFont="1" applyAlignment="1" applyProtection="1">
      <alignment horizontal="center" vertical="center"/>
      <protection locked="0"/>
    </xf>
    <xf numFmtId="49" fontId="7" fillId="0" borderId="0" xfId="0" applyNumberFormat="1" applyFont="1" applyAlignment="1" applyProtection="1">
      <alignment horizontal="center" vertical="center"/>
    </xf>
    <xf numFmtId="165" fontId="0" fillId="9" borderId="0" xfId="0" applyNumberFormat="1" applyFill="1" applyProtection="1"/>
    <xf numFmtId="165" fontId="3" fillId="9" borderId="0" xfId="0" applyNumberFormat="1" applyFont="1" applyFill="1" applyAlignment="1" applyProtection="1">
      <alignment horizontal="center" vertical="center"/>
    </xf>
    <xf numFmtId="165" fontId="4" fillId="0" borderId="0" xfId="0" applyNumberFormat="1" applyFont="1" applyAlignment="1" applyProtection="1">
      <alignment horizontal="center" vertical="center"/>
    </xf>
    <xf numFmtId="165" fontId="0" fillId="0" borderId="0" xfId="0" applyNumberFormat="1" applyProtection="1">
      <protection locked="0"/>
    </xf>
    <xf numFmtId="0" fontId="5" fillId="14" borderId="0" xfId="1" applyNumberFormat="1" applyFont="1" applyFill="1" applyAlignment="1" applyProtection="1">
      <alignment horizontal="center" vertical="center"/>
      <protection locked="0"/>
    </xf>
    <xf numFmtId="0" fontId="3" fillId="9" borderId="0" xfId="0" applyNumberFormat="1" applyFont="1" applyFill="1" applyAlignment="1" applyProtection="1">
      <alignment horizontal="center" vertical="center"/>
    </xf>
    <xf numFmtId="165" fontId="9" fillId="0" borderId="0" xfId="0" applyNumberFormat="1" applyFont="1" applyAlignment="1" applyProtection="1">
      <alignment horizontal="center" vertical="center" wrapText="1" readingOrder="2"/>
      <protection locked="0"/>
    </xf>
    <xf numFmtId="1" fontId="9" fillId="0" borderId="0" xfId="0" applyNumberFormat="1" applyFont="1" applyAlignment="1" applyProtection="1">
      <alignment horizontal="center" vertical="center" wrapText="1" readingOrder="2"/>
      <protection locked="0"/>
    </xf>
    <xf numFmtId="0" fontId="9" fillId="0" borderId="0" xfId="0" applyFont="1" applyAlignment="1" applyProtection="1">
      <alignment horizontal="center" vertical="center" wrapText="1" readingOrder="2"/>
      <protection locked="0"/>
    </xf>
    <xf numFmtId="49" fontId="0" fillId="9" borderId="0" xfId="0" applyNumberFormat="1" applyFill="1" applyProtection="1"/>
    <xf numFmtId="49" fontId="3" fillId="9" borderId="0" xfId="0" applyNumberFormat="1" applyFont="1" applyFill="1" applyAlignment="1" applyProtection="1">
      <alignment horizontal="center" vertical="center"/>
    </xf>
    <xf numFmtId="49" fontId="4" fillId="0" borderId="0" xfId="0" applyNumberFormat="1" applyFont="1" applyAlignment="1" applyProtection="1">
      <alignment horizontal="center" vertical="center"/>
    </xf>
    <xf numFmtId="49" fontId="9" fillId="0" borderId="0" xfId="0" applyNumberFormat="1" applyFont="1" applyAlignment="1" applyProtection="1">
      <alignment horizontal="center" vertical="center" wrapText="1" readingOrder="2"/>
      <protection locked="0"/>
    </xf>
    <xf numFmtId="49" fontId="0" fillId="0" borderId="0" xfId="0" applyNumberFormat="1" applyProtection="1">
      <protection locked="0"/>
    </xf>
    <xf numFmtId="0" fontId="5" fillId="6" borderId="0" xfId="1" applyNumberFormat="1" applyFont="1" applyFill="1" applyBorder="1" applyAlignment="1" applyProtection="1">
      <alignment horizontal="center" vertical="center"/>
    </xf>
    <xf numFmtId="0" fontId="0" fillId="9" borderId="0" xfId="0" applyNumberFormat="1" applyFill="1" applyProtection="1"/>
    <xf numFmtId="0" fontId="5" fillId="15" borderId="0" xfId="1" applyFont="1" applyFill="1" applyAlignment="1">
      <alignment horizontal="center" vertical="center"/>
    </xf>
    <xf numFmtId="0" fontId="5" fillId="4" borderId="0" xfId="1" applyNumberFormat="1" applyFont="1" applyFill="1" applyBorder="1" applyAlignment="1" applyProtection="1">
      <alignment horizontal="center" vertical="center"/>
    </xf>
    <xf numFmtId="0" fontId="4" fillId="11" borderId="0" xfId="0" applyNumberFormat="1" applyFont="1" applyFill="1" applyAlignment="1" applyProtection="1">
      <alignment horizontal="center" vertical="center"/>
    </xf>
    <xf numFmtId="0" fontId="4" fillId="0" borderId="0" xfId="0" applyNumberFormat="1" applyFont="1" applyAlignment="1" applyProtection="1">
      <alignment horizontal="center" vertical="center"/>
    </xf>
    <xf numFmtId="0" fontId="9" fillId="0" borderId="0" xfId="0" applyNumberFormat="1" applyFont="1" applyAlignment="1" applyProtection="1">
      <alignment horizontal="center" vertical="center" wrapText="1" readingOrder="2"/>
      <protection locked="0"/>
    </xf>
    <xf numFmtId="0" fontId="0" fillId="0" borderId="0" xfId="0" applyNumberFormat="1" applyProtection="1">
      <protection locked="0"/>
    </xf>
    <xf numFmtId="0" fontId="0" fillId="9" borderId="0" xfId="0" applyFill="1"/>
    <xf numFmtId="0" fontId="9" fillId="0" borderId="0" xfId="0" applyFont="1" applyAlignment="1">
      <alignment horizontal="center" vertical="center" wrapText="1" readingOrder="2"/>
    </xf>
    <xf numFmtId="0" fontId="4" fillId="0" borderId="0" xfId="0" applyFont="1" applyAlignment="1">
      <alignment horizontal="center" vertical="center" wrapText="1" readingOrder="2"/>
    </xf>
    <xf numFmtId="0" fontId="4" fillId="0" borderId="0" xfId="0" applyFont="1" applyAlignment="1" applyProtection="1">
      <alignment horizontal="center" vertical="center" wrapText="1" readingOrder="2"/>
      <protection locked="0"/>
    </xf>
    <xf numFmtId="0" fontId="0" fillId="0" borderId="0" xfId="0" applyProtection="1"/>
    <xf numFmtId="0" fontId="7" fillId="0" borderId="0" xfId="0" applyFont="1" applyAlignment="1" applyProtection="1">
      <alignment horizontal="center" vertical="center"/>
    </xf>
    <xf numFmtId="0" fontId="0" fillId="0" borderId="0" xfId="0" applyAlignment="1">
      <alignment wrapText="1"/>
    </xf>
    <xf numFmtId="0" fontId="0" fillId="9" borderId="0" xfId="0" applyFill="1" applyAlignment="1">
      <alignment wrapText="1"/>
    </xf>
    <xf numFmtId="0" fontId="0" fillId="9" borderId="0" xfId="0" applyFill="1" applyAlignment="1">
      <alignment horizontal="center" vertical="center"/>
    </xf>
    <xf numFmtId="0" fontId="5" fillId="9" borderId="0" xfId="1" applyFont="1" applyFill="1" applyAlignment="1">
      <alignment vertical="center"/>
    </xf>
    <xf numFmtId="0" fontId="5" fillId="4" borderId="0" xfId="1" applyNumberFormat="1" applyFont="1" applyFill="1" applyAlignment="1" applyProtection="1">
      <alignment horizontal="center" vertical="center"/>
    </xf>
    <xf numFmtId="0" fontId="4" fillId="9" borderId="0" xfId="0" applyFont="1" applyFill="1" applyAlignment="1" applyProtection="1">
      <alignment horizontal="center" vertical="center"/>
    </xf>
    <xf numFmtId="0" fontId="4" fillId="9" borderId="0" xfId="0" applyNumberFormat="1" applyFont="1" applyFill="1" applyAlignment="1" applyProtection="1">
      <alignment horizontal="center" vertical="center"/>
    </xf>
    <xf numFmtId="0" fontId="5" fillId="9" borderId="0" xfId="1" applyNumberFormat="1" applyFont="1" applyFill="1" applyAlignment="1" applyProtection="1">
      <alignment horizontal="center" vertical="center"/>
    </xf>
    <xf numFmtId="0" fontId="5" fillId="9" borderId="0" xfId="1" applyFont="1" applyFill="1" applyAlignment="1" applyProtection="1">
      <alignment horizontal="center" vertical="center" wrapText="1"/>
    </xf>
    <xf numFmtId="0" fontId="0" fillId="9" borderId="0" xfId="0" applyFill="1" applyProtection="1">
      <protection locked="0"/>
    </xf>
    <xf numFmtId="0" fontId="5" fillId="21" borderId="0" xfId="1" applyFont="1" applyFill="1" applyAlignment="1" applyProtection="1">
      <alignment horizontal="center" vertical="center" wrapText="1"/>
    </xf>
    <xf numFmtId="0" fontId="0" fillId="0" borderId="0" xfId="0" applyAlignment="1">
      <alignment horizontal="right" vertical="center" wrapText="1" readingOrder="2"/>
    </xf>
    <xf numFmtId="0" fontId="9" fillId="0" borderId="0" xfId="0" applyFont="1" applyAlignment="1">
      <alignment horizontal="right" vertical="center" wrapText="1" readingOrder="2"/>
    </xf>
    <xf numFmtId="0" fontId="0" fillId="22" borderId="0" xfId="0" applyFill="1"/>
    <xf numFmtId="0" fontId="9" fillId="22" borderId="0" xfId="0" applyFont="1" applyFill="1" applyAlignment="1">
      <alignment horizontal="center" vertical="center" wrapText="1" readingOrder="2"/>
    </xf>
    <xf numFmtId="0" fontId="9" fillId="9" borderId="0" xfId="0" applyFont="1" applyFill="1" applyAlignment="1">
      <alignment horizontal="center" vertical="center" wrapText="1" readingOrder="2"/>
    </xf>
    <xf numFmtId="0" fontId="10" fillId="22" borderId="0" xfId="0" applyFont="1" applyFill="1" applyAlignment="1">
      <alignment horizontal="center" vertical="center" wrapText="1" readingOrder="2"/>
    </xf>
    <xf numFmtId="0" fontId="0" fillId="22" borderId="0" xfId="0" applyFill="1" applyAlignment="1">
      <alignment wrapText="1"/>
    </xf>
    <xf numFmtId="0" fontId="11" fillId="0" borderId="0" xfId="0" applyFont="1" applyAlignment="1">
      <alignment horizontal="center" vertical="center" wrapText="1" readingOrder="2"/>
    </xf>
    <xf numFmtId="0" fontId="0" fillId="0" borderId="0" xfId="0" applyAlignment="1">
      <alignment horizontal="center" vertical="center" readingOrder="2"/>
    </xf>
    <xf numFmtId="0" fontId="0" fillId="0" borderId="0" xfId="0" applyAlignment="1">
      <alignment horizontal="center" vertical="center" wrapText="1" readingOrder="2"/>
    </xf>
    <xf numFmtId="0" fontId="0" fillId="0" borderId="0" xfId="0" applyFill="1" applyBorder="1" applyAlignment="1">
      <alignment horizontal="center" vertical="center" wrapText="1" readingOrder="2"/>
    </xf>
    <xf numFmtId="49" fontId="1" fillId="23" borderId="1" xfId="0" applyNumberFormat="1" applyFont="1" applyFill="1" applyBorder="1" applyAlignment="1">
      <alignment horizontal="center" vertical="center"/>
    </xf>
    <xf numFmtId="0" fontId="8" fillId="23" borderId="1" xfId="0" applyFont="1" applyFill="1" applyBorder="1" applyAlignment="1">
      <alignment horizontal="center" vertical="center"/>
    </xf>
    <xf numFmtId="49" fontId="8" fillId="23" borderId="1" xfId="0" applyNumberFormat="1" applyFont="1" applyFill="1" applyBorder="1" applyAlignment="1">
      <alignment horizontal="center" vertical="center"/>
    </xf>
    <xf numFmtId="0" fontId="8" fillId="23" borderId="1" xfId="0" applyNumberFormat="1" applyFont="1" applyFill="1" applyBorder="1" applyAlignment="1">
      <alignment horizontal="center" vertical="center"/>
    </xf>
    <xf numFmtId="0" fontId="1" fillId="23" borderId="1" xfId="0" applyFont="1" applyFill="1" applyBorder="1" applyAlignment="1">
      <alignment horizontal="center" vertical="center"/>
    </xf>
    <xf numFmtId="165" fontId="8" fillId="23" borderId="1" xfId="0" applyNumberFormat="1" applyFont="1" applyFill="1" applyBorder="1" applyAlignment="1">
      <alignment horizontal="center" vertical="center"/>
    </xf>
    <xf numFmtId="1" fontId="9" fillId="24" borderId="2" xfId="0" applyNumberFormat="1" applyFont="1" applyFill="1" applyBorder="1" applyAlignment="1">
      <alignment horizontal="center" vertical="center" wrapText="1" readingOrder="2"/>
    </xf>
    <xf numFmtId="0" fontId="9" fillId="24" borderId="2" xfId="0" applyFont="1" applyFill="1" applyBorder="1" applyAlignment="1">
      <alignment horizontal="center" vertical="center" wrapText="1" readingOrder="2"/>
    </xf>
    <xf numFmtId="166" fontId="9" fillId="24" borderId="2" xfId="0" applyNumberFormat="1" applyFont="1" applyFill="1" applyBorder="1" applyAlignment="1">
      <alignment horizontal="center" vertical="center" wrapText="1" readingOrder="2"/>
    </xf>
    <xf numFmtId="49" fontId="9" fillId="24" borderId="2" xfId="0" applyNumberFormat="1" applyFont="1" applyFill="1" applyBorder="1" applyAlignment="1">
      <alignment horizontal="center" vertical="center" wrapText="1" readingOrder="2"/>
    </xf>
    <xf numFmtId="0" fontId="9" fillId="24" borderId="2" xfId="0" applyNumberFormat="1" applyFont="1" applyFill="1" applyBorder="1" applyAlignment="1">
      <alignment horizontal="center" vertical="center" wrapText="1" readingOrder="2"/>
    </xf>
    <xf numFmtId="165" fontId="9" fillId="24" borderId="2" xfId="0" applyNumberFormat="1" applyFont="1" applyFill="1" applyBorder="1" applyAlignment="1">
      <alignment horizontal="center" vertical="center" wrapText="1" readingOrder="2"/>
    </xf>
    <xf numFmtId="1" fontId="9" fillId="0" borderId="2" xfId="0" applyNumberFormat="1" applyFont="1" applyBorder="1" applyAlignment="1">
      <alignment horizontal="center" vertical="center" wrapText="1" readingOrder="2"/>
    </xf>
    <xf numFmtId="0" fontId="9" fillId="0" borderId="2" xfId="0" applyFont="1" applyBorder="1" applyAlignment="1">
      <alignment horizontal="center" vertical="center" wrapText="1" readingOrder="2"/>
    </xf>
    <xf numFmtId="166" fontId="9" fillId="0" borderId="2" xfId="0" applyNumberFormat="1" applyFont="1" applyBorder="1" applyAlignment="1">
      <alignment horizontal="center" vertical="center" wrapText="1" readingOrder="2"/>
    </xf>
    <xf numFmtId="49" fontId="9" fillId="0" borderId="2" xfId="0" applyNumberFormat="1" applyFont="1" applyBorder="1" applyAlignment="1">
      <alignment horizontal="center" vertical="center" wrapText="1" readingOrder="2"/>
    </xf>
    <xf numFmtId="0" fontId="9" fillId="0" borderId="2" xfId="0" applyNumberFormat="1" applyFont="1" applyBorder="1" applyAlignment="1">
      <alignment horizontal="center" vertical="center" wrapText="1" readingOrder="2"/>
    </xf>
    <xf numFmtId="165" fontId="9" fillId="0" borderId="2" xfId="0" applyNumberFormat="1" applyFont="1" applyBorder="1" applyAlignment="1">
      <alignment horizontal="center" vertical="center" wrapText="1" readingOrder="2"/>
    </xf>
    <xf numFmtId="167" fontId="0" fillId="0" borderId="0" xfId="2" applyNumberFormat="1" applyFont="1" applyProtection="1">
      <protection locked="0"/>
    </xf>
    <xf numFmtId="165" fontId="4" fillId="11" borderId="0" xfId="0" applyNumberFormat="1" applyFont="1" applyFill="1" applyAlignment="1" applyProtection="1">
      <alignment horizontal="center" vertical="center" wrapText="1" readingOrder="2"/>
    </xf>
    <xf numFmtId="165" fontId="4" fillId="13" borderId="0" xfId="0" applyNumberFormat="1" applyFont="1" applyFill="1" applyAlignment="1" applyProtection="1">
      <alignment horizontal="center" vertical="center" wrapText="1" readingOrder="2"/>
    </xf>
    <xf numFmtId="165" fontId="4" fillId="10" borderId="0" xfId="0" applyNumberFormat="1" applyFont="1" applyFill="1" applyAlignment="1" applyProtection="1">
      <alignment horizontal="center" vertical="center" wrapText="1" readingOrder="2"/>
    </xf>
    <xf numFmtId="165" fontId="9" fillId="0" borderId="0" xfId="2" applyNumberFormat="1" applyFont="1" applyAlignment="1" applyProtection="1">
      <alignment horizontal="center" vertical="center" wrapText="1" readingOrder="2"/>
    </xf>
    <xf numFmtId="0" fontId="4" fillId="25" borderId="0" xfId="0" applyNumberFormat="1" applyFont="1" applyFill="1" applyAlignment="1" applyProtection="1">
      <alignment horizontal="center" vertical="center"/>
    </xf>
    <xf numFmtId="165" fontId="4" fillId="9" borderId="0" xfId="0" applyNumberFormat="1" applyFont="1" applyFill="1" applyAlignment="1" applyProtection="1">
      <alignment horizontal="center" vertical="center" wrapText="1" readingOrder="2"/>
    </xf>
    <xf numFmtId="165" fontId="4" fillId="25" borderId="0" xfId="0" applyNumberFormat="1" applyFont="1" applyFill="1" applyAlignment="1" applyProtection="1">
      <alignment horizontal="center" vertical="center" wrapText="1" readingOrder="2"/>
    </xf>
    <xf numFmtId="14" fontId="0" fillId="0" borderId="0" xfId="0" applyNumberFormat="1"/>
    <xf numFmtId="0" fontId="5" fillId="14" borderId="0" xfId="1" applyNumberFormat="1" applyFont="1" applyFill="1" applyAlignment="1" applyProtection="1">
      <alignment horizontal="center" vertical="center"/>
    </xf>
    <xf numFmtId="0" fontId="13" fillId="26" borderId="0" xfId="1" applyFont="1" applyFill="1" applyAlignment="1" applyProtection="1">
      <alignment horizontal="center" vertical="center"/>
    </xf>
    <xf numFmtId="0" fontId="3" fillId="27" borderId="0" xfId="1" applyFont="1" applyFill="1" applyAlignment="1">
      <alignment horizontal="center" vertical="center"/>
    </xf>
    <xf numFmtId="0" fontId="14" fillId="20" borderId="0" xfId="0" applyFont="1" applyFill="1" applyAlignment="1">
      <alignment horizontal="center" vertical="center"/>
    </xf>
    <xf numFmtId="0" fontId="14" fillId="28" borderId="0" xfId="0" applyFont="1" applyFill="1" applyAlignment="1">
      <alignment horizontal="center" vertical="center"/>
    </xf>
    <xf numFmtId="0" fontId="15" fillId="0" borderId="0" xfId="0" applyFont="1" applyAlignment="1">
      <alignment horizontal="center" vertical="center" wrapText="1" readingOrder="2"/>
    </xf>
    <xf numFmtId="0" fontId="15" fillId="29" borderId="0" xfId="0" applyFont="1" applyFill="1" applyAlignment="1">
      <alignment horizontal="center" vertical="center" wrapText="1" readingOrder="2"/>
    </xf>
    <xf numFmtId="0" fontId="16" fillId="0" borderId="3" xfId="0" applyFont="1" applyBorder="1" applyAlignment="1">
      <alignment horizontal="center" vertical="center" wrapText="1" readingOrder="2"/>
    </xf>
    <xf numFmtId="0" fontId="0" fillId="29" borderId="0" xfId="0" applyFill="1"/>
    <xf numFmtId="0" fontId="0" fillId="0" borderId="0" xfId="0" applyFill="1"/>
    <xf numFmtId="0" fontId="15" fillId="30" borderId="0" xfId="0" applyFont="1" applyFill="1" applyAlignment="1">
      <alignment horizontal="center" vertical="center" wrapText="1" readingOrder="2"/>
    </xf>
    <xf numFmtId="0" fontId="0" fillId="30" borderId="0" xfId="0" applyFill="1"/>
    <xf numFmtId="0" fontId="19" fillId="17" borderId="0" xfId="0" applyFont="1" applyFill="1" applyAlignment="1">
      <alignment horizontal="center" vertical="center" wrapText="1" readingOrder="2"/>
    </xf>
    <xf numFmtId="0" fontId="20" fillId="17" borderId="0" xfId="0" applyFont="1" applyFill="1"/>
    <xf numFmtId="0" fontId="0" fillId="17" borderId="0" xfId="0" applyFill="1"/>
    <xf numFmtId="0" fontId="21" fillId="0" borderId="0" xfId="0" applyFont="1" applyAlignment="1">
      <alignment horizontal="center" vertical="center" wrapText="1" readingOrder="2"/>
    </xf>
    <xf numFmtId="0" fontId="18" fillId="0" borderId="0" xfId="0" applyFont="1"/>
    <xf numFmtId="0" fontId="19" fillId="31" borderId="0" xfId="0" applyFont="1" applyFill="1" applyAlignment="1">
      <alignment horizontal="center" vertical="center" wrapText="1" readingOrder="2"/>
    </xf>
    <xf numFmtId="0" fontId="20" fillId="31" borderId="0" xfId="0" applyFont="1" applyFill="1"/>
    <xf numFmtId="0" fontId="0" fillId="31" borderId="0" xfId="0" applyFill="1"/>
    <xf numFmtId="0" fontId="13" fillId="32" borderId="0" xfId="1" applyFont="1" applyFill="1" applyAlignment="1">
      <alignment horizontal="center" vertical="center"/>
    </xf>
    <xf numFmtId="168" fontId="0" fillId="0" borderId="0" xfId="0" applyNumberFormat="1"/>
    <xf numFmtId="0" fontId="4" fillId="0" borderId="0" xfId="0" applyNumberFormat="1" applyFont="1" applyFill="1" applyAlignment="1" applyProtection="1">
      <alignment horizontal="center" vertical="center"/>
    </xf>
    <xf numFmtId="14" fontId="0" fillId="0" borderId="0" xfId="0" applyNumberFormat="1" applyProtection="1">
      <protection locked="0"/>
    </xf>
    <xf numFmtId="0" fontId="4" fillId="0" borderId="0" xfId="0" applyFont="1" applyAlignment="1" applyProtection="1">
      <alignment horizontal="center" vertical="center" wrapText="1" readingOrder="2"/>
    </xf>
    <xf numFmtId="0" fontId="8" fillId="0" borderId="0" xfId="0" applyFont="1" applyAlignment="1" applyProtection="1">
      <alignment horizontal="center" vertical="center" wrapText="1" readingOrder="2"/>
    </xf>
    <xf numFmtId="165" fontId="8" fillId="0" borderId="0" xfId="0" applyNumberFormat="1" applyFont="1" applyAlignment="1" applyProtection="1">
      <alignment horizontal="center" vertical="center" wrapText="1" readingOrder="2"/>
    </xf>
    <xf numFmtId="49" fontId="8" fillId="0" borderId="0" xfId="0" applyNumberFormat="1" applyFont="1" applyAlignment="1" applyProtection="1">
      <alignment horizontal="center" vertical="center" wrapText="1" readingOrder="2"/>
    </xf>
    <xf numFmtId="0" fontId="0" fillId="35" borderId="0" xfId="0" applyFill="1"/>
    <xf numFmtId="169" fontId="23" fillId="35" borderId="0" xfId="0" applyNumberFormat="1" applyFont="1" applyFill="1" applyAlignment="1" applyProtection="1">
      <alignment horizontal="center" vertical="center"/>
    </xf>
    <xf numFmtId="0" fontId="21" fillId="35" borderId="0" xfId="0" applyNumberFormat="1" applyFont="1" applyFill="1" applyAlignment="1" applyProtection="1">
      <alignment horizontal="center" vertical="center"/>
    </xf>
    <xf numFmtId="0" fontId="4" fillId="20" borderId="0" xfId="0" applyFont="1" applyFill="1" applyAlignment="1" applyProtection="1">
      <alignment horizontal="center" vertical="center" wrapText="1" readingOrder="2"/>
    </xf>
    <xf numFmtId="0" fontId="4" fillId="35" borderId="0" xfId="0" applyFont="1" applyFill="1" applyAlignment="1" applyProtection="1">
      <alignment horizontal="center" vertical="center" wrapText="1" readingOrder="2"/>
    </xf>
    <xf numFmtId="0" fontId="4" fillId="9" borderId="0" xfId="0" applyFont="1" applyFill="1" applyAlignment="1" applyProtection="1">
      <alignment horizontal="center" vertical="center" wrapText="1" readingOrder="2"/>
    </xf>
    <xf numFmtId="0" fontId="0" fillId="9" borderId="0" xfId="0" applyFont="1" applyFill="1" applyAlignment="1" applyProtection="1">
      <alignment horizontal="center" vertical="center" wrapText="1" readingOrder="2"/>
    </xf>
    <xf numFmtId="0" fontId="0" fillId="35" borderId="0" xfId="0" applyFont="1" applyFill="1" applyAlignment="1" applyProtection="1">
      <alignment horizontal="center" vertical="center" wrapText="1" readingOrder="2"/>
    </xf>
    <xf numFmtId="0" fontId="20" fillId="35" borderId="0" xfId="0" applyFont="1" applyFill="1" applyAlignment="1" applyProtection="1">
      <alignment horizontal="center" vertical="center" wrapText="1" readingOrder="2"/>
    </xf>
    <xf numFmtId="49" fontId="0" fillId="9" borderId="0" xfId="0" applyNumberFormat="1" applyFont="1" applyFill="1" applyAlignment="1" applyProtection="1">
      <alignment horizontal="center" vertical="center" wrapText="1" readingOrder="2"/>
    </xf>
    <xf numFmtId="0" fontId="5" fillId="5" borderId="0" xfId="1" applyFont="1" applyFill="1" applyBorder="1" applyAlignment="1" applyProtection="1">
      <alignment horizontal="center" vertical="center" wrapText="1" readingOrder="2"/>
    </xf>
    <xf numFmtId="0" fontId="8" fillId="16" borderId="0" xfId="0" applyFont="1" applyFill="1" applyAlignment="1" applyProtection="1">
      <alignment horizontal="center" vertical="center" wrapText="1" readingOrder="2"/>
    </xf>
    <xf numFmtId="0" fontId="0" fillId="0" borderId="0" xfId="0" applyFont="1" applyAlignment="1" applyProtection="1">
      <alignment horizontal="center" vertical="center" wrapText="1" readingOrder="2"/>
    </xf>
    <xf numFmtId="0" fontId="18" fillId="9" borderId="0" xfId="0" applyFont="1" applyFill="1" applyAlignment="1" applyProtection="1">
      <alignment horizontal="center" vertical="center" wrapText="1" readingOrder="2"/>
    </xf>
    <xf numFmtId="0" fontId="5" fillId="15" borderId="0" xfId="1" applyFont="1" applyFill="1" applyAlignment="1" applyProtection="1">
      <alignment horizontal="center" vertical="center" wrapText="1" readingOrder="2"/>
    </xf>
    <xf numFmtId="0" fontId="9" fillId="0" borderId="0" xfId="0" applyFont="1" applyAlignment="1" applyProtection="1">
      <alignment horizontal="center" vertical="center" wrapText="1" readingOrder="2"/>
    </xf>
    <xf numFmtId="0" fontId="8" fillId="9" borderId="0" xfId="0" applyFont="1" applyFill="1" applyAlignment="1" applyProtection="1">
      <alignment horizontal="center" vertical="center" wrapText="1" readingOrder="2"/>
    </xf>
    <xf numFmtId="49" fontId="0" fillId="0" borderId="0" xfId="0" applyNumberFormat="1" applyFont="1" applyAlignment="1" applyProtection="1">
      <alignment horizontal="center" vertical="center" wrapText="1" readingOrder="2"/>
    </xf>
    <xf numFmtId="0" fontId="5" fillId="2" borderId="0" xfId="1" applyFont="1" applyFill="1" applyBorder="1" applyAlignment="1" applyProtection="1">
      <alignment horizontal="center" vertical="center" wrapText="1" readingOrder="2"/>
    </xf>
    <xf numFmtId="0" fontId="9" fillId="9" borderId="0" xfId="0" applyFont="1" applyFill="1" applyAlignment="1" applyProtection="1">
      <alignment horizontal="center" vertical="center" wrapText="1" readingOrder="2"/>
    </xf>
    <xf numFmtId="0" fontId="5" fillId="3" borderId="0" xfId="1" applyFont="1" applyFill="1" applyBorder="1" applyAlignment="1" applyProtection="1">
      <alignment horizontal="center" vertical="center" wrapText="1" readingOrder="2"/>
    </xf>
    <xf numFmtId="0" fontId="5" fillId="6" borderId="0" xfId="1" applyNumberFormat="1" applyFont="1" applyFill="1" applyBorder="1" applyAlignment="1" applyProtection="1">
      <alignment horizontal="center" vertical="center" wrapText="1" readingOrder="2"/>
    </xf>
    <xf numFmtId="49" fontId="5" fillId="4" borderId="0" xfId="1" applyNumberFormat="1" applyFont="1" applyFill="1" applyBorder="1" applyAlignment="1" applyProtection="1">
      <alignment horizontal="center" vertical="center" wrapText="1" readingOrder="2"/>
    </xf>
    <xf numFmtId="0" fontId="5" fillId="7" borderId="0" xfId="1" applyFont="1" applyFill="1" applyBorder="1" applyAlignment="1" applyProtection="1">
      <alignment horizontal="center" vertical="center" wrapText="1" readingOrder="2"/>
    </xf>
    <xf numFmtId="0" fontId="5" fillId="14" borderId="0" xfId="1" applyNumberFormat="1" applyFont="1" applyFill="1" applyAlignment="1" applyProtection="1">
      <alignment horizontal="center" vertical="center" wrapText="1" readingOrder="2"/>
    </xf>
    <xf numFmtId="0" fontId="6" fillId="8" borderId="0" xfId="1" applyFont="1" applyFill="1" applyBorder="1" applyAlignment="1" applyProtection="1">
      <alignment horizontal="center" vertical="center" wrapText="1" readingOrder="2"/>
    </xf>
    <xf numFmtId="0" fontId="0" fillId="0" borderId="0" xfId="0" applyNumberFormat="1" applyFont="1" applyAlignment="1" applyProtection="1">
      <alignment horizontal="center" vertical="center" wrapText="1" readingOrder="2"/>
    </xf>
    <xf numFmtId="0" fontId="5" fillId="12" borderId="0" xfId="1" applyFont="1" applyFill="1" applyBorder="1" applyAlignment="1" applyProtection="1">
      <alignment horizontal="center" vertical="center" wrapText="1" readingOrder="2"/>
    </xf>
    <xf numFmtId="0" fontId="0" fillId="9" borderId="0" xfId="0" applyNumberFormat="1" applyFont="1" applyFill="1" applyAlignment="1" applyProtection="1">
      <alignment horizontal="center" vertical="center" wrapText="1" readingOrder="2"/>
    </xf>
    <xf numFmtId="0" fontId="0" fillId="35" borderId="0" xfId="0" applyFont="1" applyFill="1" applyAlignment="1" applyProtection="1">
      <alignment wrapText="1"/>
    </xf>
    <xf numFmtId="0" fontId="0" fillId="9" borderId="0" xfId="0" applyFont="1" applyFill="1" applyAlignment="1" applyProtection="1">
      <alignment wrapText="1"/>
    </xf>
    <xf numFmtId="0" fontId="5" fillId="9" borderId="0" xfId="1" applyNumberFormat="1" applyFont="1" applyFill="1" applyAlignment="1" applyProtection="1">
      <alignment horizontal="center" vertical="center" wrapText="1"/>
    </xf>
    <xf numFmtId="0" fontId="6" fillId="9" borderId="0" xfId="1" applyFont="1" applyFill="1" applyBorder="1" applyAlignment="1" applyProtection="1">
      <alignment horizontal="center" vertical="center" wrapText="1"/>
    </xf>
    <xf numFmtId="0" fontId="5" fillId="9" borderId="0" xfId="1" applyFont="1" applyFill="1" applyBorder="1" applyAlignment="1" applyProtection="1">
      <alignment horizontal="center" vertical="center" wrapText="1"/>
    </xf>
    <xf numFmtId="0" fontId="0" fillId="9" borderId="0" xfId="0" applyFill="1" applyAlignment="1" applyProtection="1">
      <alignment wrapText="1"/>
    </xf>
    <xf numFmtId="0" fontId="5" fillId="5" borderId="0" xfId="1" applyFont="1" applyFill="1" applyBorder="1" applyAlignment="1" applyProtection="1">
      <alignment horizontal="center" vertical="center" wrapText="1"/>
    </xf>
    <xf numFmtId="0" fontId="5" fillId="15" borderId="0" xfId="1" applyFont="1" applyFill="1" applyAlignment="1" applyProtection="1">
      <alignment horizontal="center" vertical="center" wrapText="1"/>
    </xf>
    <xf numFmtId="0" fontId="5" fillId="2" borderId="0" xfId="1" applyFont="1" applyFill="1" applyBorder="1" applyAlignment="1" applyProtection="1">
      <alignment horizontal="center" vertical="center" wrapText="1"/>
    </xf>
    <xf numFmtId="0" fontId="5" fillId="3" borderId="0" xfId="1" applyFont="1" applyFill="1" applyBorder="1" applyAlignment="1" applyProtection="1">
      <alignment horizontal="center" vertical="center" wrapText="1"/>
    </xf>
    <xf numFmtId="0" fontId="5" fillId="6" borderId="0" xfId="1" applyNumberFormat="1" applyFont="1" applyFill="1" applyBorder="1" applyAlignment="1" applyProtection="1">
      <alignment horizontal="center" vertical="center" wrapText="1"/>
    </xf>
    <xf numFmtId="0" fontId="5" fillId="7" borderId="0" xfId="1" applyFont="1" applyFill="1" applyBorder="1" applyAlignment="1" applyProtection="1">
      <alignment horizontal="center" vertical="center" wrapText="1"/>
    </xf>
    <xf numFmtId="0" fontId="5" fillId="14" borderId="0" xfId="1" applyNumberFormat="1" applyFont="1" applyFill="1" applyAlignment="1" applyProtection="1">
      <alignment horizontal="center" vertical="center" wrapText="1"/>
    </xf>
    <xf numFmtId="0" fontId="6" fillId="8" borderId="0" xfId="1" applyFont="1" applyFill="1" applyBorder="1" applyAlignment="1" applyProtection="1">
      <alignment horizontal="center" vertical="center" wrapText="1"/>
    </xf>
    <xf numFmtId="0" fontId="5" fillId="12" borderId="0" xfId="1" applyFont="1" applyFill="1" applyBorder="1" applyAlignment="1" applyProtection="1">
      <alignment horizontal="center" vertical="center" wrapText="1"/>
    </xf>
    <xf numFmtId="164" fontId="9" fillId="0" borderId="0" xfId="0" applyNumberFormat="1" applyFont="1" applyAlignment="1" applyProtection="1">
      <alignment horizontal="center" vertical="center" wrapText="1" readingOrder="2"/>
      <protection locked="0"/>
    </xf>
    <xf numFmtId="49" fontId="2" fillId="0" borderId="0" xfId="1" applyNumberFormat="1" applyFont="1" applyAlignment="1" applyProtection="1">
      <alignment horizontal="center" vertical="center" wrapText="1" readingOrder="2"/>
      <protection locked="0"/>
    </xf>
    <xf numFmtId="0" fontId="28" fillId="20" borderId="0" xfId="0" applyFont="1" applyFill="1" applyAlignment="1" applyProtection="1">
      <alignment horizontal="center" vertical="center" wrapText="1"/>
    </xf>
    <xf numFmtId="0" fontId="7" fillId="9" borderId="0" xfId="0" applyFont="1" applyFill="1" applyAlignment="1" applyProtection="1">
      <alignment vertical="center" wrapText="1"/>
    </xf>
    <xf numFmtId="165" fontId="9" fillId="0" borderId="0" xfId="0" applyNumberFormat="1" applyFont="1" applyAlignment="1" applyProtection="1">
      <alignment horizontal="center" vertical="center" wrapText="1" readingOrder="2"/>
    </xf>
    <xf numFmtId="0" fontId="9" fillId="0" borderId="0" xfId="0" applyNumberFormat="1" applyFont="1" applyAlignment="1" applyProtection="1">
      <alignment horizontal="center" vertical="center" wrapText="1" readingOrder="2"/>
    </xf>
    <xf numFmtId="0" fontId="9" fillId="18" borderId="0" xfId="0" applyFont="1" applyFill="1" applyAlignment="1" applyProtection="1">
      <alignment horizontal="center" vertical="center" wrapText="1" readingOrder="2"/>
    </xf>
    <xf numFmtId="0" fontId="27" fillId="18" borderId="0" xfId="0" applyFont="1" applyFill="1" applyAlignment="1" applyProtection="1">
      <alignment horizontal="center" vertical="center" wrapText="1" readingOrder="2"/>
    </xf>
    <xf numFmtId="165" fontId="0" fillId="9" borderId="0" xfId="0" applyNumberFormat="1" applyFont="1" applyFill="1" applyAlignment="1" applyProtection="1">
      <alignment wrapText="1"/>
    </xf>
    <xf numFmtId="165" fontId="9" fillId="9" borderId="0" xfId="0" applyNumberFormat="1" applyFont="1" applyFill="1" applyAlignment="1" applyProtection="1">
      <alignment horizontal="center" vertical="center" wrapText="1" readingOrder="2"/>
    </xf>
    <xf numFmtId="49" fontId="9" fillId="9" borderId="0" xfId="0" applyNumberFormat="1" applyFont="1" applyFill="1" applyAlignment="1" applyProtection="1">
      <alignment horizontal="center" vertical="center" wrapText="1"/>
    </xf>
    <xf numFmtId="49" fontId="9" fillId="9" borderId="0" xfId="0" applyNumberFormat="1" applyFont="1" applyFill="1" applyAlignment="1" applyProtection="1">
      <alignment horizontal="center" vertical="center" wrapText="1" readingOrder="2"/>
    </xf>
    <xf numFmtId="0" fontId="20" fillId="0" borderId="0" xfId="0" applyFont="1" applyAlignment="1" applyProtection="1">
      <alignment horizontal="center" vertical="center" wrapText="1" readingOrder="2"/>
    </xf>
    <xf numFmtId="49" fontId="25" fillId="0" borderId="0" xfId="0" applyNumberFormat="1" applyFont="1" applyAlignment="1" applyProtection="1">
      <alignment horizontal="center" vertical="center" wrapText="1" readingOrder="2"/>
    </xf>
    <xf numFmtId="0" fontId="25" fillId="0" borderId="0" xfId="0" applyFont="1" applyAlignment="1" applyProtection="1">
      <alignment horizontal="center" vertical="center" wrapText="1" readingOrder="2"/>
    </xf>
    <xf numFmtId="49" fontId="24" fillId="0" borderId="0" xfId="0" applyNumberFormat="1" applyFont="1" applyAlignment="1" applyProtection="1">
      <alignment horizontal="center" vertical="center" wrapText="1" readingOrder="2"/>
    </xf>
    <xf numFmtId="0" fontId="4" fillId="20" borderId="0" xfId="0" applyFont="1" applyFill="1" applyAlignment="1" applyProtection="1">
      <alignment horizontal="center" vertical="center"/>
    </xf>
    <xf numFmtId="0" fontId="0" fillId="35" borderId="0" xfId="0" applyFont="1" applyFill="1" applyAlignment="1" applyProtection="1">
      <alignment horizontal="center" vertical="center"/>
    </xf>
    <xf numFmtId="0" fontId="0" fillId="9" borderId="0" xfId="0" applyFont="1" applyFill="1" applyAlignment="1" applyProtection="1">
      <alignment horizontal="center" vertical="center" wrapText="1"/>
    </xf>
    <xf numFmtId="0" fontId="0" fillId="35" borderId="0" xfId="0" applyFont="1" applyFill="1" applyProtection="1"/>
    <xf numFmtId="0" fontId="0" fillId="35" borderId="0" xfId="0" applyFont="1" applyFill="1" applyAlignment="1" applyProtection="1"/>
    <xf numFmtId="0" fontId="0" fillId="0" borderId="0" xfId="0" applyFont="1" applyAlignment="1" applyProtection="1">
      <alignment horizontal="center" vertical="center" wrapText="1"/>
    </xf>
    <xf numFmtId="0" fontId="1" fillId="22" borderId="4" xfId="0" applyFont="1" applyFill="1" applyBorder="1" applyAlignment="1" applyProtection="1">
      <alignment horizontal="center" vertical="center" wrapText="1"/>
    </xf>
    <xf numFmtId="0" fontId="7" fillId="0" borderId="4" xfId="0" applyFont="1" applyFill="1" applyBorder="1" applyAlignment="1" applyProtection="1">
      <alignment horizontal="center" vertical="center" wrapText="1"/>
    </xf>
    <xf numFmtId="0" fontId="0" fillId="0" borderId="4" xfId="0" applyFont="1" applyBorder="1" applyAlignment="1" applyProtection="1">
      <alignment horizontal="center" vertical="center" wrapText="1"/>
    </xf>
    <xf numFmtId="0" fontId="0" fillId="0" borderId="0" xfId="0" applyFont="1" applyProtection="1">
      <protection locked="0"/>
    </xf>
    <xf numFmtId="0" fontId="0" fillId="9" borderId="0" xfId="0" applyFont="1" applyFill="1" applyProtection="1"/>
    <xf numFmtId="0" fontId="0" fillId="9" borderId="0" xfId="0" applyNumberFormat="1" applyFont="1" applyFill="1" applyProtection="1"/>
    <xf numFmtId="0" fontId="0" fillId="9" borderId="0" xfId="0" applyNumberFormat="1" applyFont="1" applyFill="1" applyAlignment="1" applyProtection="1">
      <alignment horizontal="center" vertical="center" wrapText="1"/>
    </xf>
    <xf numFmtId="0" fontId="5" fillId="15" borderId="0" xfId="1" applyFont="1" applyFill="1" applyAlignment="1" applyProtection="1">
      <alignment horizontal="center" vertical="center"/>
    </xf>
    <xf numFmtId="49" fontId="5" fillId="4" borderId="0" xfId="1" applyNumberFormat="1" applyFont="1" applyFill="1" applyBorder="1" applyAlignment="1" applyProtection="1">
      <alignment horizontal="center" vertical="center" readingOrder="2"/>
    </xf>
    <xf numFmtId="0" fontId="5" fillId="32" borderId="0" xfId="1" applyNumberFormat="1" applyFont="1" applyFill="1" applyAlignment="1" applyProtection="1">
      <alignment horizontal="center" vertical="center"/>
    </xf>
    <xf numFmtId="0" fontId="0" fillId="37" borderId="0" xfId="0" applyFont="1" applyFill="1" applyProtection="1">
      <protection locked="0"/>
    </xf>
    <xf numFmtId="49" fontId="8" fillId="18" borderId="0" xfId="0" applyNumberFormat="1" applyFont="1" applyFill="1" applyAlignment="1" applyProtection="1">
      <alignment horizontal="center" vertical="center" wrapText="1" readingOrder="2"/>
      <protection locked="0"/>
    </xf>
    <xf numFmtId="49" fontId="18" fillId="0" borderId="0" xfId="0" applyNumberFormat="1" applyFont="1" applyAlignment="1" applyProtection="1">
      <alignment horizontal="center" vertical="center" wrapText="1" readingOrder="2"/>
      <protection locked="0"/>
    </xf>
    <xf numFmtId="170" fontId="18" fillId="0" borderId="0" xfId="0" applyNumberFormat="1" applyFont="1" applyAlignment="1" applyProtection="1">
      <alignment horizontal="center" vertical="center" wrapText="1" readingOrder="2"/>
      <protection locked="0"/>
    </xf>
    <xf numFmtId="49" fontId="0" fillId="0" borderId="5" xfId="0" applyNumberFormat="1" applyFont="1" applyBorder="1" applyAlignment="1" applyProtection="1">
      <alignment horizontal="center" vertical="center" wrapText="1" readingOrder="2"/>
      <protection locked="0"/>
    </xf>
    <xf numFmtId="170" fontId="0" fillId="0" borderId="5" xfId="0" applyNumberFormat="1" applyFont="1" applyBorder="1" applyAlignment="1" applyProtection="1">
      <alignment horizontal="center" vertical="center" wrapText="1" readingOrder="2"/>
      <protection locked="0"/>
    </xf>
    <xf numFmtId="49" fontId="2" fillId="0" borderId="5" xfId="1" applyNumberFormat="1" applyFont="1" applyFill="1" applyBorder="1" applyAlignment="1" applyProtection="1">
      <alignment horizontal="center" vertical="center" wrapText="1" readingOrder="2"/>
      <protection locked="0"/>
    </xf>
    <xf numFmtId="49" fontId="0" fillId="0" borderId="9" xfId="0" applyNumberFormat="1" applyFont="1" applyBorder="1" applyAlignment="1" applyProtection="1">
      <alignment horizontal="center" vertical="center" wrapText="1" readingOrder="2"/>
      <protection locked="0"/>
    </xf>
    <xf numFmtId="170" fontId="0" fillId="0" borderId="9" xfId="0" applyNumberFormat="1" applyFont="1" applyBorder="1" applyAlignment="1" applyProtection="1">
      <alignment horizontal="center" vertical="center" wrapText="1" readingOrder="2"/>
      <protection locked="0"/>
    </xf>
    <xf numFmtId="49" fontId="2" fillId="0" borderId="9" xfId="1" applyNumberFormat="1" applyFont="1" applyFill="1" applyBorder="1" applyAlignment="1" applyProtection="1">
      <alignment horizontal="center" vertical="center" wrapText="1" readingOrder="2"/>
      <protection locked="0"/>
    </xf>
    <xf numFmtId="49" fontId="0" fillId="0" borderId="8" xfId="0" applyNumberFormat="1" applyFont="1" applyFill="1" applyBorder="1" applyAlignment="1" applyProtection="1">
      <alignment horizontal="center" vertical="center" wrapText="1" readingOrder="2"/>
      <protection locked="0"/>
    </xf>
    <xf numFmtId="170" fontId="0" fillId="0" borderId="8" xfId="0" applyNumberFormat="1" applyFont="1" applyBorder="1" applyAlignment="1" applyProtection="1">
      <alignment horizontal="center" vertical="center" wrapText="1" readingOrder="2"/>
      <protection locked="0"/>
    </xf>
    <xf numFmtId="49" fontId="20" fillId="0" borderId="8" xfId="0" applyNumberFormat="1" applyFont="1" applyBorder="1" applyAlignment="1" applyProtection="1">
      <alignment horizontal="center" vertical="center" wrapText="1" readingOrder="2"/>
      <protection locked="0"/>
    </xf>
    <xf numFmtId="49" fontId="0" fillId="0" borderId="8" xfId="0" applyNumberFormat="1" applyFont="1" applyBorder="1" applyAlignment="1" applyProtection="1">
      <alignment horizontal="center" vertical="center" wrapText="1" readingOrder="2"/>
      <protection locked="0"/>
    </xf>
    <xf numFmtId="49" fontId="2" fillId="0" borderId="8" xfId="1" applyNumberFormat="1" applyFont="1" applyFill="1" applyBorder="1" applyAlignment="1" applyProtection="1">
      <alignment horizontal="center" vertical="center" wrapText="1" readingOrder="2"/>
      <protection locked="0"/>
    </xf>
    <xf numFmtId="49" fontId="0" fillId="0" borderId="3" xfId="0" applyNumberFormat="1" applyFont="1" applyBorder="1" applyAlignment="1" applyProtection="1">
      <alignment horizontal="center" vertical="center" wrapText="1" readingOrder="2"/>
      <protection locked="0"/>
    </xf>
    <xf numFmtId="49" fontId="20" fillId="0" borderId="3" xfId="0" applyNumberFormat="1" applyFont="1" applyBorder="1" applyAlignment="1" applyProtection="1">
      <alignment horizontal="center" vertical="center" wrapText="1" readingOrder="2"/>
      <protection locked="0"/>
    </xf>
    <xf numFmtId="170" fontId="0" fillId="0" borderId="3" xfId="0" applyNumberFormat="1" applyFont="1" applyBorder="1" applyAlignment="1" applyProtection="1">
      <alignment horizontal="center" vertical="center" wrapText="1" readingOrder="2"/>
      <protection locked="0"/>
    </xf>
    <xf numFmtId="49" fontId="0" fillId="0" borderId="6" xfId="0" applyNumberFormat="1" applyFont="1" applyBorder="1" applyAlignment="1" applyProtection="1">
      <alignment horizontal="center" vertical="center" wrapText="1" readingOrder="2"/>
      <protection locked="0"/>
    </xf>
    <xf numFmtId="49" fontId="0" fillId="0" borderId="10" xfId="0" applyNumberFormat="1" applyFont="1" applyBorder="1" applyAlignment="1" applyProtection="1">
      <alignment horizontal="center" vertical="center" wrapText="1" readingOrder="2"/>
      <protection locked="0"/>
    </xf>
    <xf numFmtId="49" fontId="0" fillId="0" borderId="15" xfId="0" applyNumberFormat="1" applyFont="1" applyBorder="1" applyAlignment="1" applyProtection="1">
      <alignment horizontal="center" vertical="center" wrapText="1" readingOrder="2"/>
      <protection locked="0"/>
    </xf>
    <xf numFmtId="49" fontId="2" fillId="0" borderId="14" xfId="1" applyNumberFormat="1" applyFont="1" applyFill="1" applyBorder="1" applyAlignment="1" applyProtection="1">
      <alignment horizontal="center" vertical="center" wrapText="1" readingOrder="2"/>
      <protection locked="0"/>
    </xf>
    <xf numFmtId="170" fontId="0" fillId="0" borderId="11" xfId="0" applyNumberFormat="1" applyFont="1" applyBorder="1" applyAlignment="1" applyProtection="1">
      <alignment horizontal="center" vertical="center" wrapText="1" readingOrder="2"/>
      <protection locked="0"/>
    </xf>
    <xf numFmtId="49" fontId="0" fillId="0" borderId="11" xfId="0" applyNumberFormat="1" applyFont="1" applyBorder="1" applyAlignment="1" applyProtection="1">
      <alignment horizontal="center" vertical="center" wrapText="1" readingOrder="2"/>
      <protection locked="0"/>
    </xf>
    <xf numFmtId="49" fontId="0" fillId="0" borderId="17" xfId="0" applyNumberFormat="1" applyFont="1" applyBorder="1" applyAlignment="1" applyProtection="1">
      <alignment horizontal="center" vertical="center" wrapText="1" readingOrder="2"/>
      <protection locked="0"/>
    </xf>
    <xf numFmtId="49" fontId="0" fillId="0" borderId="16" xfId="0" applyNumberFormat="1" applyFont="1" applyFill="1" applyBorder="1" applyAlignment="1" applyProtection="1">
      <alignment horizontal="center" vertical="center" wrapText="1" readingOrder="2"/>
      <protection locked="0"/>
    </xf>
    <xf numFmtId="170" fontId="0" fillId="0" borderId="8" xfId="0" applyNumberFormat="1" applyFont="1" applyFill="1" applyBorder="1" applyAlignment="1" applyProtection="1">
      <alignment horizontal="center" vertical="center" wrapText="1" readingOrder="2"/>
      <protection locked="0"/>
    </xf>
    <xf numFmtId="49" fontId="0" fillId="0" borderId="18" xfId="0" applyNumberFormat="1" applyFont="1" applyFill="1" applyBorder="1" applyAlignment="1" applyProtection="1">
      <alignment horizontal="center" vertical="center" wrapText="1" readingOrder="2"/>
      <protection locked="0"/>
    </xf>
    <xf numFmtId="49" fontId="0" fillId="0" borderId="14" xfId="0" applyNumberFormat="1" applyFont="1" applyFill="1" applyBorder="1" applyAlignment="1" applyProtection="1">
      <alignment horizontal="center" vertical="center" wrapText="1" readingOrder="2"/>
      <protection locked="0"/>
    </xf>
    <xf numFmtId="49" fontId="0" fillId="0" borderId="19" xfId="0" applyNumberFormat="1" applyFont="1" applyFill="1" applyBorder="1" applyAlignment="1" applyProtection="1">
      <alignment horizontal="center" vertical="center" wrapText="1" readingOrder="2"/>
      <protection locked="0"/>
    </xf>
    <xf numFmtId="49" fontId="0" fillId="0" borderId="10" xfId="0" applyNumberFormat="1" applyFont="1" applyFill="1" applyBorder="1" applyAlignment="1" applyProtection="1">
      <alignment horizontal="center" vertical="center" wrapText="1" readingOrder="2"/>
      <protection locked="0"/>
    </xf>
    <xf numFmtId="49" fontId="0" fillId="0" borderId="17" xfId="0" applyNumberFormat="1" applyFont="1" applyFill="1" applyBorder="1" applyAlignment="1" applyProtection="1">
      <alignment horizontal="center" vertical="center" wrapText="1" readingOrder="2"/>
      <protection locked="0"/>
    </xf>
    <xf numFmtId="49" fontId="0" fillId="0" borderId="20" xfId="0" applyNumberFormat="1" applyFont="1" applyBorder="1" applyAlignment="1" applyProtection="1">
      <alignment horizontal="center" vertical="center" wrapText="1" readingOrder="2"/>
      <protection locked="0"/>
    </xf>
    <xf numFmtId="49" fontId="0" fillId="0" borderId="3" xfId="0" applyNumberFormat="1" applyFont="1" applyFill="1" applyBorder="1" applyAlignment="1" applyProtection="1">
      <alignment horizontal="center" vertical="center" wrapText="1" readingOrder="2"/>
      <protection locked="0"/>
    </xf>
    <xf numFmtId="49" fontId="0" fillId="0" borderId="22" xfId="0" applyNumberFormat="1" applyFont="1" applyBorder="1" applyAlignment="1" applyProtection="1">
      <alignment horizontal="center" vertical="center" wrapText="1" readingOrder="2"/>
      <protection locked="0"/>
    </xf>
    <xf numFmtId="170" fontId="0" fillId="0" borderId="11" xfId="0" applyNumberFormat="1" applyFont="1" applyFill="1" applyBorder="1" applyAlignment="1" applyProtection="1">
      <alignment horizontal="center" vertical="center" wrapText="1" readingOrder="2"/>
      <protection locked="0"/>
    </xf>
    <xf numFmtId="49" fontId="0" fillId="0" borderId="27" xfId="0" applyNumberFormat="1" applyFont="1" applyBorder="1" applyAlignment="1" applyProtection="1">
      <alignment horizontal="center" vertical="center" wrapText="1" readingOrder="2"/>
      <protection locked="0"/>
    </xf>
    <xf numFmtId="49" fontId="0" fillId="0" borderId="21" xfId="0" applyNumberFormat="1" applyFont="1" applyBorder="1" applyAlignment="1" applyProtection="1">
      <alignment horizontal="center" vertical="center" wrapText="1" readingOrder="2"/>
      <protection locked="0"/>
    </xf>
    <xf numFmtId="49" fontId="0" fillId="18" borderId="12" xfId="0" applyNumberFormat="1" applyFont="1" applyFill="1" applyBorder="1" applyAlignment="1" applyProtection="1">
      <alignment horizontal="center" vertical="center" wrapText="1" readingOrder="2"/>
      <protection locked="0"/>
    </xf>
    <xf numFmtId="170" fontId="0" fillId="18" borderId="12" xfId="0" applyNumberFormat="1" applyFont="1" applyFill="1" applyBorder="1" applyAlignment="1" applyProtection="1">
      <alignment horizontal="center" vertical="center" wrapText="1" readingOrder="2"/>
      <protection locked="0"/>
    </xf>
    <xf numFmtId="49" fontId="0" fillId="0" borderId="24" xfId="0" applyNumberFormat="1" applyFont="1" applyBorder="1" applyAlignment="1" applyProtection="1">
      <alignment horizontal="center" vertical="center" wrapText="1" readingOrder="2"/>
      <protection locked="0"/>
    </xf>
    <xf numFmtId="170" fontId="0" fillId="0" borderId="24" xfId="0" applyNumberFormat="1" applyFont="1" applyBorder="1" applyAlignment="1" applyProtection="1">
      <alignment horizontal="center" vertical="center" wrapText="1" readingOrder="2"/>
      <protection locked="0"/>
    </xf>
    <xf numFmtId="49" fontId="2" fillId="0" borderId="24" xfId="1" applyNumberFormat="1" applyFont="1" applyFill="1" applyBorder="1" applyAlignment="1" applyProtection="1">
      <alignment horizontal="center" vertical="center" wrapText="1" readingOrder="2"/>
      <protection locked="0"/>
    </xf>
    <xf numFmtId="49" fontId="0" fillId="0" borderId="14" xfId="0" applyNumberFormat="1" applyFont="1" applyBorder="1" applyAlignment="1" applyProtection="1">
      <alignment horizontal="center" vertical="center" wrapText="1" readingOrder="2"/>
      <protection locked="0"/>
    </xf>
    <xf numFmtId="170" fontId="0" fillId="0" borderId="14" xfId="0" applyNumberFormat="1" applyFont="1" applyBorder="1" applyAlignment="1" applyProtection="1">
      <alignment horizontal="center" vertical="center" wrapText="1" readingOrder="2"/>
      <protection locked="0"/>
    </xf>
    <xf numFmtId="49" fontId="0" fillId="0" borderId="23" xfId="0" applyNumberFormat="1" applyFont="1" applyBorder="1" applyAlignment="1" applyProtection="1">
      <alignment horizontal="center" vertical="center" wrapText="1" readingOrder="2"/>
      <protection locked="0"/>
    </xf>
    <xf numFmtId="170" fontId="20" fillId="0" borderId="11" xfId="0" applyNumberFormat="1" applyFont="1" applyBorder="1" applyAlignment="1" applyProtection="1">
      <alignment horizontal="center" vertical="center" wrapText="1" readingOrder="2"/>
      <protection locked="0"/>
    </xf>
    <xf numFmtId="49" fontId="2" fillId="0" borderId="10" xfId="1" applyNumberFormat="1" applyFont="1" applyFill="1" applyBorder="1" applyAlignment="1" applyProtection="1">
      <alignment horizontal="center" vertical="center" wrapText="1" readingOrder="2"/>
      <protection locked="0"/>
    </xf>
    <xf numFmtId="49" fontId="0" fillId="0" borderId="16" xfId="0" applyNumberFormat="1" applyFont="1" applyBorder="1" applyAlignment="1" applyProtection="1">
      <alignment horizontal="center" vertical="center" wrapText="1" readingOrder="2"/>
      <protection locked="0"/>
    </xf>
    <xf numFmtId="170" fontId="20" fillId="0" borderId="0" xfId="0" applyNumberFormat="1" applyFont="1" applyAlignment="1" applyProtection="1">
      <alignment horizontal="center" vertical="center" wrapText="1" readingOrder="2"/>
      <protection locked="0"/>
    </xf>
    <xf numFmtId="49" fontId="0" fillId="0" borderId="13" xfId="0" applyNumberFormat="1" applyFont="1" applyBorder="1" applyAlignment="1" applyProtection="1">
      <alignment horizontal="center" vertical="center" wrapText="1" readingOrder="2"/>
      <protection locked="0"/>
    </xf>
    <xf numFmtId="170" fontId="0" fillId="0" borderId="10" xfId="0" applyNumberFormat="1" applyFont="1" applyBorder="1" applyAlignment="1" applyProtection="1">
      <alignment horizontal="center" vertical="center" wrapText="1" readingOrder="2"/>
      <protection locked="0"/>
    </xf>
    <xf numFmtId="49" fontId="0" fillId="0" borderId="12" xfId="0" applyNumberFormat="1" applyFont="1" applyBorder="1" applyAlignment="1" applyProtection="1">
      <alignment horizontal="center" vertical="center" wrapText="1" readingOrder="2"/>
      <protection locked="0"/>
    </xf>
    <xf numFmtId="49" fontId="0" fillId="0" borderId="7" xfId="0" applyNumberFormat="1" applyFont="1" applyBorder="1" applyAlignment="1" applyProtection="1">
      <alignment horizontal="center" vertical="center" wrapText="1" readingOrder="2"/>
      <protection locked="0"/>
    </xf>
    <xf numFmtId="170" fontId="0" fillId="0" borderId="7" xfId="0" applyNumberFormat="1" applyFont="1" applyBorder="1" applyAlignment="1" applyProtection="1">
      <alignment horizontal="center" vertical="center" wrapText="1" readingOrder="2"/>
      <protection locked="0"/>
    </xf>
    <xf numFmtId="49" fontId="2" fillId="0" borderId="7" xfId="1" applyNumberFormat="1" applyFont="1" applyFill="1" applyBorder="1" applyAlignment="1" applyProtection="1">
      <alignment horizontal="center" vertical="center" wrapText="1" readingOrder="2"/>
      <protection locked="0"/>
    </xf>
    <xf numFmtId="49" fontId="0" fillId="0" borderId="25" xfId="0" applyNumberFormat="1" applyFont="1" applyBorder="1" applyAlignment="1" applyProtection="1">
      <alignment horizontal="center" vertical="center" wrapText="1" readingOrder="2"/>
      <protection locked="0"/>
    </xf>
    <xf numFmtId="170" fontId="0" fillId="0" borderId="25" xfId="0" applyNumberFormat="1" applyFont="1" applyBorder="1" applyAlignment="1" applyProtection="1">
      <alignment horizontal="center" vertical="center" wrapText="1" readingOrder="2"/>
      <protection locked="0"/>
    </xf>
    <xf numFmtId="49" fontId="2" fillId="0" borderId="25" xfId="1" applyNumberFormat="1" applyFont="1" applyFill="1" applyBorder="1" applyAlignment="1" applyProtection="1">
      <alignment horizontal="center" vertical="center" wrapText="1" readingOrder="2"/>
      <protection locked="0"/>
    </xf>
    <xf numFmtId="49" fontId="2" fillId="0" borderId="3" xfId="1" applyNumberFormat="1" applyFont="1" applyFill="1" applyBorder="1" applyAlignment="1" applyProtection="1">
      <alignment horizontal="center" vertical="center" wrapText="1" readingOrder="2"/>
      <protection locked="0"/>
    </xf>
    <xf numFmtId="49" fontId="0" fillId="0" borderId="26" xfId="0" applyNumberFormat="1" applyFont="1" applyBorder="1" applyAlignment="1" applyProtection="1">
      <alignment horizontal="center" vertical="center" wrapText="1" readingOrder="2"/>
      <protection locked="0"/>
    </xf>
    <xf numFmtId="170" fontId="0" fillId="0" borderId="26" xfId="0" applyNumberFormat="1" applyFont="1" applyBorder="1" applyAlignment="1" applyProtection="1">
      <alignment horizontal="center" vertical="center" wrapText="1" readingOrder="2"/>
      <protection locked="0"/>
    </xf>
    <xf numFmtId="49" fontId="0" fillId="0" borderId="0" xfId="0" applyNumberFormat="1" applyFont="1" applyAlignment="1" applyProtection="1">
      <alignment horizontal="center" vertical="center" wrapText="1" readingOrder="2"/>
      <protection locked="0"/>
    </xf>
    <xf numFmtId="49" fontId="0" fillId="0" borderId="0" xfId="0" applyNumberFormat="1" applyFont="1" applyAlignment="1" applyProtection="1">
      <alignment wrapText="1" readingOrder="2"/>
      <protection locked="0"/>
    </xf>
    <xf numFmtId="170" fontId="0" fillId="0" borderId="0" xfId="0" applyNumberFormat="1" applyFont="1" applyAlignment="1" applyProtection="1">
      <alignment horizontal="center" vertical="center" wrapText="1" readingOrder="2"/>
      <protection locked="0"/>
    </xf>
    <xf numFmtId="0" fontId="28" fillId="20" borderId="0" xfId="0" applyFont="1" applyFill="1" applyAlignment="1" applyProtection="1">
      <alignment horizontal="center" vertical="center"/>
    </xf>
    <xf numFmtId="0" fontId="0" fillId="37" borderId="0" xfId="0" applyFont="1" applyFill="1" applyProtection="1"/>
    <xf numFmtId="170" fontId="0" fillId="35" borderId="0" xfId="0" applyNumberFormat="1" applyFont="1" applyFill="1" applyProtection="1"/>
    <xf numFmtId="0" fontId="0" fillId="0" borderId="7" xfId="0" applyFont="1" applyBorder="1" applyAlignment="1" applyProtection="1">
      <alignment horizontal="center" vertical="center" wrapText="1" readingOrder="2"/>
    </xf>
    <xf numFmtId="0" fontId="0" fillId="0" borderId="0" xfId="0" quotePrefix="1" applyFont="1" applyAlignment="1" applyProtection="1">
      <alignment horizontal="center" vertical="center" wrapText="1" readingOrder="2"/>
    </xf>
    <xf numFmtId="0" fontId="0" fillId="18" borderId="0" xfId="0" applyFont="1" applyFill="1" applyAlignment="1" applyProtection="1">
      <protection locked="0"/>
    </xf>
    <xf numFmtId="49" fontId="1" fillId="18" borderId="0" xfId="0" applyNumberFormat="1" applyFont="1" applyFill="1" applyAlignment="1" applyProtection="1">
      <alignment horizontal="right" vertical="center" readingOrder="2"/>
      <protection locked="0"/>
    </xf>
    <xf numFmtId="49" fontId="0" fillId="37" borderId="0" xfId="0" applyNumberFormat="1" applyFont="1" applyFill="1" applyAlignment="1" applyProtection="1">
      <protection locked="0"/>
    </xf>
    <xf numFmtId="0" fontId="32" fillId="37" borderId="0" xfId="0" applyFont="1" applyFill="1" applyProtection="1"/>
    <xf numFmtId="0" fontId="0" fillId="37" borderId="0" xfId="0" applyFill="1" applyProtection="1"/>
    <xf numFmtId="3" fontId="7" fillId="0" borderId="0" xfId="0" applyNumberFormat="1" applyFont="1" applyAlignment="1" applyProtection="1">
      <alignment horizontal="center" vertical="center" wrapText="1" readingOrder="2"/>
      <protection locked="0"/>
    </xf>
    <xf numFmtId="49" fontId="7" fillId="0" borderId="0" xfId="0" applyNumberFormat="1" applyFont="1" applyAlignment="1" applyProtection="1">
      <alignment horizontal="center" vertical="center" wrapText="1" readingOrder="2"/>
      <protection locked="0"/>
    </xf>
    <xf numFmtId="170" fontId="7" fillId="0" borderId="0" xfId="0" applyNumberFormat="1" applyFont="1" applyAlignment="1" applyProtection="1">
      <alignment horizontal="center" vertical="center" readingOrder="2"/>
      <protection locked="0"/>
    </xf>
    <xf numFmtId="3" fontId="0" fillId="0" borderId="0" xfId="0" applyNumberFormat="1" applyAlignment="1" applyProtection="1">
      <alignment horizontal="center" vertical="center" wrapText="1" readingOrder="2"/>
      <protection locked="0"/>
    </xf>
    <xf numFmtId="49" fontId="0" fillId="0" borderId="0" xfId="0" applyNumberFormat="1" applyAlignment="1" applyProtection="1">
      <alignment horizontal="center" vertical="center" wrapText="1" readingOrder="2"/>
      <protection locked="0"/>
    </xf>
    <xf numFmtId="170" fontId="0" fillId="0" borderId="0" xfId="0" applyNumberFormat="1" applyAlignment="1" applyProtection="1">
      <alignment horizontal="center" vertical="center" readingOrder="2"/>
      <protection locked="0"/>
    </xf>
    <xf numFmtId="0" fontId="0" fillId="0" borderId="0" xfId="0" applyAlignment="1" applyProtection="1">
      <alignment horizontal="center" vertical="center" wrapText="1" readingOrder="2"/>
      <protection locked="0"/>
    </xf>
    <xf numFmtId="49" fontId="0" fillId="18" borderId="0" xfId="0" applyNumberFormat="1" applyFill="1" applyAlignment="1" applyProtection="1">
      <alignment horizontal="center" vertical="center" wrapText="1" readingOrder="2"/>
      <protection locked="0"/>
    </xf>
    <xf numFmtId="170" fontId="0" fillId="18" borderId="0" xfId="0" applyNumberFormat="1" applyFill="1" applyAlignment="1" applyProtection="1">
      <alignment horizontal="center" vertical="center" readingOrder="2"/>
      <protection locked="0"/>
    </xf>
    <xf numFmtId="3" fontId="0" fillId="37" borderId="0" xfId="0" applyNumberFormat="1" applyFill="1" applyProtection="1">
      <protection locked="0"/>
    </xf>
    <xf numFmtId="49" fontId="0" fillId="37" borderId="0" xfId="0" applyNumberFormat="1" applyFill="1" applyProtection="1">
      <protection locked="0"/>
    </xf>
    <xf numFmtId="170" fontId="0" fillId="37" borderId="0" xfId="0" applyNumberFormat="1" applyFill="1" applyAlignment="1" applyProtection="1">
      <protection locked="0"/>
    </xf>
    <xf numFmtId="0" fontId="0" fillId="0" borderId="0" xfId="0" applyAlignment="1" applyProtection="1">
      <alignment horizontal="center" vertical="center" wrapText="1" readingOrder="2"/>
    </xf>
    <xf numFmtId="0" fontId="0" fillId="35" borderId="0" xfId="0" applyFont="1" applyFill="1" applyProtection="1">
      <protection locked="0"/>
    </xf>
    <xf numFmtId="0" fontId="0" fillId="35" borderId="0" xfId="0" applyFill="1" applyProtection="1"/>
    <xf numFmtId="0" fontId="8" fillId="21" borderId="0" xfId="0" applyFont="1" applyFill="1" applyAlignment="1" applyProtection="1">
      <alignment horizontal="center" vertical="center" wrapText="1" readingOrder="2"/>
    </xf>
    <xf numFmtId="0" fontId="0" fillId="35" borderId="0" xfId="0" applyFill="1" applyAlignment="1" applyProtection="1">
      <alignment horizontal="center" vertical="center" wrapText="1" readingOrder="2"/>
    </xf>
    <xf numFmtId="0" fontId="0" fillId="0" borderId="7" xfId="0" applyBorder="1" applyAlignment="1" applyProtection="1">
      <alignment horizontal="center" vertical="center" wrapText="1" readingOrder="2"/>
      <protection locked="0"/>
    </xf>
    <xf numFmtId="0" fontId="8" fillId="18" borderId="0" xfId="0" applyFont="1" applyFill="1" applyAlignment="1">
      <alignment horizontal="center" vertical="center" wrapText="1" readingOrder="2"/>
    </xf>
    <xf numFmtId="49" fontId="0" fillId="0" borderId="0" xfId="0" applyNumberFormat="1" applyFont="1" applyFill="1" applyBorder="1" applyAlignment="1" applyProtection="1">
      <alignment horizontal="center" vertical="center" wrapText="1" readingOrder="2"/>
      <protection locked="0"/>
    </xf>
    <xf numFmtId="49" fontId="0" fillId="0" borderId="11" xfId="0" applyNumberFormat="1" applyFont="1" applyFill="1" applyBorder="1" applyAlignment="1" applyProtection="1">
      <alignment horizontal="center" vertical="center" wrapText="1" readingOrder="2"/>
      <protection locked="0"/>
    </xf>
    <xf numFmtId="49" fontId="0" fillId="0" borderId="0" xfId="0" applyNumberFormat="1" applyFont="1" applyBorder="1" applyAlignment="1" applyProtection="1">
      <alignment horizontal="center" vertical="center" wrapText="1" readingOrder="2"/>
      <protection locked="0"/>
    </xf>
    <xf numFmtId="0" fontId="1" fillId="18" borderId="0" xfId="0" applyFont="1" applyFill="1" applyAlignment="1" applyProtection="1">
      <alignment horizontal="right" vertical="center" readingOrder="2"/>
    </xf>
    <xf numFmtId="0" fontId="0" fillId="37" borderId="0" xfId="0" applyFill="1"/>
    <xf numFmtId="0" fontId="0" fillId="0" borderId="7" xfId="0" applyBorder="1" applyAlignment="1">
      <alignment horizontal="center" vertical="center" wrapText="1" readingOrder="2"/>
    </xf>
    <xf numFmtId="0" fontId="2" fillId="0" borderId="0" xfId="1" applyFill="1" applyAlignment="1">
      <alignment horizontal="center" vertical="center" wrapText="1" readingOrder="2"/>
    </xf>
    <xf numFmtId="49" fontId="2" fillId="0" borderId="0" xfId="1" applyNumberFormat="1" applyFont="1" applyFill="1" applyAlignment="1" applyProtection="1">
      <alignment horizontal="center" vertical="center" wrapText="1" readingOrder="2"/>
      <protection locked="0"/>
    </xf>
    <xf numFmtId="49" fontId="0" fillId="0" borderId="28" xfId="0" applyNumberFormat="1" applyFont="1" applyBorder="1" applyAlignment="1" applyProtection="1">
      <alignment horizontal="center" vertical="center" wrapText="1" readingOrder="2"/>
      <protection locked="0"/>
    </xf>
    <xf numFmtId="49" fontId="0" fillId="0" borderId="29" xfId="0" applyNumberFormat="1" applyFont="1" applyBorder="1" applyAlignment="1" applyProtection="1">
      <alignment horizontal="center" vertical="center" wrapText="1" readingOrder="2"/>
      <protection locked="0"/>
    </xf>
    <xf numFmtId="170" fontId="0" fillId="0" borderId="29" xfId="0" applyNumberFormat="1" applyFont="1" applyBorder="1" applyAlignment="1" applyProtection="1">
      <alignment horizontal="center" vertical="center" wrapText="1" readingOrder="2"/>
      <protection locked="0"/>
    </xf>
    <xf numFmtId="49" fontId="2" fillId="0" borderId="29" xfId="1" applyNumberFormat="1" applyFont="1" applyFill="1" applyBorder="1" applyAlignment="1" applyProtection="1">
      <alignment horizontal="center" vertical="center" wrapText="1" readingOrder="2"/>
      <protection locked="0"/>
    </xf>
    <xf numFmtId="49" fontId="2" fillId="0" borderId="28" xfId="1" applyNumberFormat="1" applyFont="1" applyFill="1" applyBorder="1" applyAlignment="1" applyProtection="1">
      <alignment horizontal="center" vertical="center" wrapText="1" readingOrder="2"/>
      <protection locked="0"/>
    </xf>
    <xf numFmtId="49" fontId="0" fillId="0" borderId="5" xfId="0" applyNumberFormat="1" applyFont="1" applyFill="1" applyBorder="1" applyAlignment="1" applyProtection="1">
      <alignment horizontal="center" vertical="center" wrapText="1" readingOrder="2"/>
      <protection locked="0"/>
    </xf>
    <xf numFmtId="170" fontId="0" fillId="0" borderId="5" xfId="0" applyNumberFormat="1" applyFont="1" applyFill="1" applyBorder="1" applyAlignment="1" applyProtection="1">
      <alignment horizontal="center" vertical="center" wrapText="1" readingOrder="2"/>
      <protection locked="0"/>
    </xf>
    <xf numFmtId="49" fontId="0" fillId="0" borderId="28" xfId="0" applyNumberFormat="1" applyFont="1" applyFill="1" applyBorder="1" applyAlignment="1" applyProtection="1">
      <alignment horizontal="center" vertical="center" wrapText="1" readingOrder="2"/>
      <protection locked="0"/>
    </xf>
    <xf numFmtId="170" fontId="0" fillId="0" borderId="28" xfId="0" applyNumberFormat="1" applyFont="1" applyFill="1" applyBorder="1" applyAlignment="1" applyProtection="1">
      <alignment horizontal="center" vertical="center" wrapText="1" readingOrder="2"/>
      <protection locked="0"/>
    </xf>
    <xf numFmtId="49" fontId="2" fillId="0" borderId="0" xfId="1" applyNumberFormat="1" applyFont="1" applyFill="1" applyBorder="1" applyAlignment="1" applyProtection="1">
      <alignment horizontal="center" vertical="center" wrapText="1" readingOrder="2"/>
      <protection locked="0"/>
    </xf>
    <xf numFmtId="170" fontId="0" fillId="0" borderId="9" xfId="0" applyNumberFormat="1" applyFont="1" applyFill="1" applyBorder="1" applyAlignment="1" applyProtection="1">
      <alignment horizontal="center" vertical="center" wrapText="1" readingOrder="2"/>
      <protection locked="0"/>
    </xf>
    <xf numFmtId="49" fontId="0" fillId="0" borderId="9" xfId="0" applyNumberFormat="1" applyFont="1" applyFill="1" applyBorder="1" applyAlignment="1" applyProtection="1">
      <alignment horizontal="center" vertical="center" wrapText="1" readingOrder="2"/>
      <protection locked="0"/>
    </xf>
    <xf numFmtId="49" fontId="2" fillId="0" borderId="11" xfId="1" applyNumberFormat="1" applyFont="1" applyFill="1" applyBorder="1" applyAlignment="1" applyProtection="1">
      <alignment horizontal="center" vertical="center" wrapText="1" readingOrder="2"/>
      <protection locked="0"/>
    </xf>
    <xf numFmtId="165" fontId="8" fillId="21" borderId="0" xfId="0" applyNumberFormat="1" applyFont="1" applyFill="1" applyBorder="1" applyAlignment="1" applyProtection="1">
      <alignment horizontal="center" vertical="center" wrapText="1" readingOrder="2"/>
    </xf>
    <xf numFmtId="0" fontId="13" fillId="17" borderId="0" xfId="1" applyFont="1" applyFill="1" applyAlignment="1" applyProtection="1">
      <alignment horizontal="center" vertical="center" wrapText="1"/>
    </xf>
    <xf numFmtId="0" fontId="22" fillId="30" borderId="0" xfId="0" applyFont="1" applyFill="1" applyAlignment="1">
      <alignment horizontal="center" vertical="center" wrapText="1" readingOrder="2"/>
    </xf>
    <xf numFmtId="0" fontId="22" fillId="29" borderId="0" xfId="0" applyFont="1" applyFill="1" applyAlignment="1">
      <alignment horizontal="center" vertical="center" wrapText="1" readingOrder="2"/>
    </xf>
    <xf numFmtId="0" fontId="17" fillId="4" borderId="0" xfId="0" applyFont="1" applyFill="1" applyAlignment="1">
      <alignment horizontal="center" vertical="center" textRotation="180" wrapText="1" readingOrder="2"/>
    </xf>
    <xf numFmtId="0" fontId="17" fillId="21" borderId="0" xfId="0" applyFont="1" applyFill="1" applyAlignment="1">
      <alignment horizontal="center" vertical="center" textRotation="180" wrapText="1" readingOrder="2"/>
    </xf>
    <xf numFmtId="0" fontId="22" fillId="17" borderId="0" xfId="0" applyFont="1" applyFill="1" applyAlignment="1">
      <alignment horizontal="center" vertical="center" wrapText="1" readingOrder="2"/>
    </xf>
    <xf numFmtId="0" fontId="17" fillId="3" borderId="0" xfId="0" applyFont="1" applyFill="1" applyAlignment="1">
      <alignment horizontal="center" vertical="center" textRotation="180" wrapText="1" readingOrder="2"/>
    </xf>
    <xf numFmtId="0" fontId="22" fillId="31" borderId="0" xfId="0" applyFont="1" applyFill="1" applyAlignment="1">
      <alignment horizontal="center" vertical="center" wrapText="1" readingOrder="2"/>
    </xf>
    <xf numFmtId="0" fontId="17" fillId="15" borderId="0" xfId="0" applyFont="1" applyFill="1" applyAlignment="1">
      <alignment horizontal="center" vertical="center" textRotation="180" wrapText="1" readingOrder="2"/>
    </xf>
    <xf numFmtId="49" fontId="8" fillId="19" borderId="0" xfId="0" applyNumberFormat="1" applyFont="1" applyFill="1" applyAlignment="1">
      <alignment horizontal="center" vertical="center" wrapText="1" readingOrder="2"/>
    </xf>
    <xf numFmtId="0" fontId="8" fillId="18" borderId="0" xfId="0" applyFont="1" applyFill="1" applyAlignment="1">
      <alignment horizontal="center" vertical="center" wrapText="1" readingOrder="2"/>
    </xf>
    <xf numFmtId="0" fontId="8" fillId="36" borderId="0" xfId="1" applyFont="1" applyFill="1" applyBorder="1" applyAlignment="1" applyProtection="1">
      <alignment horizontal="center" vertical="center" wrapText="1"/>
    </xf>
    <xf numFmtId="0" fontId="0" fillId="21" borderId="0" xfId="0" applyFont="1" applyFill="1" applyAlignment="1" applyProtection="1">
      <alignment horizontal="center" vertical="center" wrapText="1" readingOrder="2"/>
    </xf>
    <xf numFmtId="0" fontId="0" fillId="15" borderId="0" xfId="0" applyFont="1" applyFill="1" applyAlignment="1" applyProtection="1">
      <alignment horizontal="center" vertical="center" wrapText="1" readingOrder="2"/>
    </xf>
    <xf numFmtId="0" fontId="8" fillId="36" borderId="0" xfId="0" applyFont="1" applyFill="1" applyAlignment="1" applyProtection="1">
      <alignment horizontal="center" vertical="center" wrapText="1" readingOrder="2"/>
    </xf>
    <xf numFmtId="0" fontId="7" fillId="27" borderId="0" xfId="0" applyFont="1" applyFill="1" applyAlignment="1" applyProtection="1">
      <alignment horizontal="center" vertical="center" wrapText="1" readingOrder="2"/>
    </xf>
    <xf numFmtId="0" fontId="18" fillId="21" borderId="0" xfId="0" applyFont="1" applyFill="1" applyAlignment="1" applyProtection="1">
      <alignment horizontal="center" vertical="center" wrapText="1" readingOrder="2"/>
    </xf>
    <xf numFmtId="0" fontId="18" fillId="3" borderId="0" xfId="0" applyFont="1" applyFill="1" applyAlignment="1" applyProtection="1">
      <alignment horizontal="center" vertical="center" wrapText="1" readingOrder="2"/>
    </xf>
    <xf numFmtId="0" fontId="18" fillId="33" borderId="0" xfId="0" applyFont="1" applyFill="1" applyAlignment="1" applyProtection="1">
      <alignment horizontal="center" vertical="center" wrapText="1" readingOrder="2"/>
    </xf>
    <xf numFmtId="0" fontId="0" fillId="4" borderId="0" xfId="0" applyFont="1" applyFill="1" applyAlignment="1" applyProtection="1">
      <alignment horizontal="center" vertical="center" wrapText="1" readingOrder="2"/>
    </xf>
    <xf numFmtId="0" fontId="0" fillId="34" borderId="0" xfId="0" applyFont="1" applyFill="1" applyAlignment="1" applyProtection="1">
      <alignment horizontal="center" vertical="center" wrapText="1" readingOrder="2"/>
    </xf>
    <xf numFmtId="0" fontId="8" fillId="18" borderId="0" xfId="0" applyFont="1" applyFill="1" applyAlignment="1" applyProtection="1">
      <alignment horizontal="center" vertical="center" wrapText="1"/>
    </xf>
    <xf numFmtId="0" fontId="7" fillId="27" borderId="0" xfId="0" applyFont="1" applyFill="1" applyAlignment="1" applyProtection="1">
      <alignment horizontal="center" vertical="center" wrapText="1"/>
    </xf>
    <xf numFmtId="0" fontId="0" fillId="35" borderId="0" xfId="0" applyFill="1" applyAlignment="1">
      <alignment horizontal="center" vertical="center" wrapText="1" readingOrder="2"/>
    </xf>
    <xf numFmtId="0" fontId="33" fillId="20" borderId="0" xfId="0" applyFont="1" applyFill="1" applyAlignment="1">
      <alignment horizontal="center" vertical="center"/>
    </xf>
    <xf numFmtId="3" fontId="0" fillId="39" borderId="0" xfId="0" applyNumberFormat="1" applyFill="1" applyAlignment="1">
      <alignment horizontal="center" vertical="center" wrapText="1" readingOrder="2"/>
    </xf>
    <xf numFmtId="49" fontId="0" fillId="39" borderId="0" xfId="0" applyNumberFormat="1" applyFill="1" applyAlignment="1">
      <alignment horizontal="center" vertical="center" wrapText="1" readingOrder="2"/>
    </xf>
    <xf numFmtId="0" fontId="0" fillId="38" borderId="0" xfId="0" applyFill="1" applyAlignment="1">
      <alignment horizontal="center" vertical="center" wrapText="1" readingOrder="2"/>
    </xf>
    <xf numFmtId="49" fontId="0" fillId="40" borderId="0" xfId="0" applyNumberFormat="1" applyFill="1" applyAlignment="1">
      <alignment horizontal="center" vertical="center" wrapText="1" readingOrder="2"/>
    </xf>
    <xf numFmtId="3" fontId="0" fillId="40" borderId="0" xfId="0" applyNumberFormat="1" applyFill="1" applyAlignment="1">
      <alignment horizontal="center" vertical="center" wrapText="1" readingOrder="2"/>
    </xf>
    <xf numFmtId="165" fontId="18" fillId="40" borderId="0" xfId="0" applyNumberFormat="1" applyFont="1" applyFill="1" applyAlignment="1">
      <alignment horizontal="center" vertical="center" wrapText="1" readingOrder="2"/>
    </xf>
    <xf numFmtId="0" fontId="0" fillId="40" borderId="0" xfId="0" applyFill="1" applyAlignment="1">
      <alignment horizontal="center" vertical="center" wrapText="1" readingOrder="2"/>
    </xf>
    <xf numFmtId="3" fontId="0" fillId="0" borderId="0" xfId="0" applyNumberFormat="1" applyAlignment="1">
      <alignment horizontal="center" vertical="center" wrapText="1" readingOrder="2"/>
    </xf>
    <xf numFmtId="49" fontId="0" fillId="0" borderId="0" xfId="0" applyNumberFormat="1" applyAlignment="1">
      <alignment horizontal="center" vertical="center" wrapText="1" readingOrder="2"/>
    </xf>
    <xf numFmtId="0" fontId="8" fillId="41" borderId="0" xfId="1" applyFont="1" applyFill="1" applyAlignment="1">
      <alignment horizontal="center" vertical="center" wrapText="1" readingOrder="2"/>
    </xf>
    <xf numFmtId="0" fontId="0" fillId="35" borderId="0" xfId="0" applyFill="1" applyAlignment="1">
      <alignment horizontal="right" vertical="center" wrapText="1" readingOrder="2"/>
    </xf>
    <xf numFmtId="3" fontId="0" fillId="0" borderId="0" xfId="0" applyNumberFormat="1"/>
    <xf numFmtId="49" fontId="0" fillId="0" borderId="0" xfId="0" applyNumberFormat="1"/>
    <xf numFmtId="0" fontId="0" fillId="0" borderId="0" xfId="0" applyAlignment="1">
      <alignment horizontal="center" vertical="center"/>
    </xf>
    <xf numFmtId="0" fontId="1" fillId="42" borderId="3" xfId="0" applyFont="1" applyFill="1" applyBorder="1" applyAlignment="1">
      <alignment horizontal="center" vertical="center" wrapText="1" readingOrder="2"/>
    </xf>
    <xf numFmtId="0" fontId="1" fillId="42" borderId="0" xfId="0" applyFont="1" applyFill="1" applyAlignment="1">
      <alignment horizontal="center" vertical="center" wrapText="1" readingOrder="2"/>
    </xf>
    <xf numFmtId="0" fontId="7" fillId="0" borderId="0" xfId="0" applyFont="1" applyAlignment="1">
      <alignment horizontal="center" vertical="center" wrapText="1" readingOrder="2"/>
    </xf>
    <xf numFmtId="0" fontId="7" fillId="0" borderId="7" xfId="0" applyFont="1" applyBorder="1" applyAlignment="1">
      <alignment horizontal="center" vertical="center" wrapText="1" readingOrder="2"/>
    </xf>
    <xf numFmtId="0" fontId="7" fillId="0" borderId="3" xfId="0" applyFont="1" applyBorder="1" applyAlignment="1">
      <alignment horizontal="center" vertical="center" wrapText="1" readingOrder="2"/>
    </xf>
    <xf numFmtId="0" fontId="0" fillId="0" borderId="3" xfId="0" applyBorder="1" applyAlignment="1">
      <alignment horizontal="center" vertical="center" wrapText="1" readingOrder="2"/>
    </xf>
    <xf numFmtId="0" fontId="7" fillId="0" borderId="11" xfId="0" applyFont="1" applyBorder="1" applyAlignment="1">
      <alignment horizontal="center" vertical="center" wrapText="1" readingOrder="2"/>
    </xf>
    <xf numFmtId="0" fontId="1" fillId="42" borderId="25" xfId="0" applyFont="1" applyFill="1" applyBorder="1" applyAlignment="1">
      <alignment horizontal="center" vertical="center" wrapText="1" readingOrder="2"/>
    </xf>
    <xf numFmtId="0" fontId="0" fillId="0" borderId="5" xfId="0" applyBorder="1" applyAlignment="1">
      <alignment horizontal="center" vertical="center" wrapText="1" readingOrder="2"/>
    </xf>
    <xf numFmtId="0" fontId="0" fillId="0" borderId="9" xfId="0" applyBorder="1" applyAlignment="1">
      <alignment horizontal="center" vertical="center" wrapText="1" readingOrder="2"/>
    </xf>
    <xf numFmtId="0" fontId="0" fillId="0" borderId="11" xfId="0" applyBorder="1" applyAlignment="1">
      <alignment horizontal="center" vertical="center" wrapText="1" readingOrder="2"/>
    </xf>
    <xf numFmtId="0" fontId="7" fillId="0" borderId="8" xfId="0" applyFont="1" applyBorder="1" applyAlignment="1">
      <alignment horizontal="center" vertical="center" wrapText="1" readingOrder="2"/>
    </xf>
    <xf numFmtId="0" fontId="18" fillId="42" borderId="0" xfId="0" applyFont="1" applyFill="1" applyAlignment="1">
      <alignment horizontal="center" vertical="center" wrapText="1" readingOrder="2"/>
    </xf>
    <xf numFmtId="0" fontId="7" fillId="0" borderId="30" xfId="0" applyFont="1" applyBorder="1" applyAlignment="1">
      <alignment horizontal="center" vertical="center" wrapText="1" readingOrder="2"/>
    </xf>
    <xf numFmtId="0" fontId="0" fillId="24" borderId="31" xfId="0" applyFill="1" applyBorder="1" applyAlignment="1">
      <alignment horizontal="center" vertical="center"/>
    </xf>
    <xf numFmtId="0" fontId="1" fillId="43" borderId="25" xfId="0" applyFont="1" applyFill="1" applyBorder="1" applyAlignment="1">
      <alignment horizontal="center" vertical="center" wrapText="1" readingOrder="2"/>
    </xf>
    <xf numFmtId="0" fontId="7" fillId="0" borderId="26" xfId="0" applyFont="1" applyBorder="1" applyAlignment="1">
      <alignment horizontal="center" vertical="center" wrapText="1" readingOrder="2"/>
    </xf>
    <xf numFmtId="0" fontId="1" fillId="43" borderId="0" xfId="0" applyFont="1" applyFill="1" applyAlignment="1">
      <alignment horizontal="center" vertical="center" wrapText="1" readingOrder="2"/>
    </xf>
    <xf numFmtId="0" fontId="5" fillId="18" borderId="0" xfId="0" applyFont="1" applyFill="1" applyAlignment="1">
      <alignment vertical="center" wrapText="1" readingOrder="2"/>
    </xf>
    <xf numFmtId="0" fontId="8" fillId="18" borderId="0" xfId="0" applyFont="1" applyFill="1" applyAlignment="1">
      <alignment vertical="center" wrapText="1" readingOrder="2"/>
    </xf>
    <xf numFmtId="0" fontId="8" fillId="18" borderId="0" xfId="0" applyFont="1" applyFill="1" applyAlignment="1">
      <alignment vertical="center" readingOrder="2"/>
    </xf>
    <xf numFmtId="0" fontId="1" fillId="37" borderId="0" xfId="0" applyFont="1" applyFill="1" applyAlignment="1" applyProtection="1">
      <alignment horizontal="right" vertical="center" readingOrder="2"/>
    </xf>
    <xf numFmtId="0" fontId="5" fillId="39" borderId="0" xfId="0" applyFont="1" applyFill="1" applyAlignment="1"/>
    <xf numFmtId="0" fontId="5" fillId="40" borderId="0" xfId="0" applyFont="1" applyFill="1" applyAlignment="1">
      <alignment horizontal="center"/>
    </xf>
    <xf numFmtId="0" fontId="5" fillId="40" borderId="0" xfId="0" applyFont="1" applyFill="1" applyBorder="1" applyAlignment="1">
      <alignment horizontal="right"/>
    </xf>
    <xf numFmtId="0" fontId="5" fillId="40" borderId="0" xfId="0" applyFont="1" applyFill="1" applyBorder="1" applyAlignment="1">
      <alignment horizontal="center"/>
    </xf>
    <xf numFmtId="0" fontId="5" fillId="37" borderId="0" xfId="0" applyFont="1" applyFill="1" applyAlignment="1">
      <alignment horizontal="center"/>
    </xf>
    <xf numFmtId="0" fontId="5" fillId="37" borderId="0" xfId="0" applyFont="1" applyFill="1" applyAlignment="1">
      <alignment vertical="center" wrapText="1" readingOrder="2"/>
    </xf>
    <xf numFmtId="0" fontId="2" fillId="0" borderId="0" xfId="1" applyAlignment="1" applyProtection="1">
      <alignment horizontal="center" vertical="center" wrapText="1" readingOrder="2"/>
      <protection locked="0"/>
    </xf>
    <xf numFmtId="165" fontId="0" fillId="0" borderId="0" xfId="0" applyNumberFormat="1" applyAlignment="1" applyProtection="1">
      <alignment horizontal="center" vertical="center" wrapText="1" readingOrder="2"/>
      <protection locked="0"/>
    </xf>
    <xf numFmtId="165" fontId="0" fillId="0" borderId="0" xfId="0" applyNumberFormat="1" applyAlignment="1" applyProtection="1">
      <alignment horizontal="center" vertical="center" wrapText="1" readingOrder="2"/>
    </xf>
    <xf numFmtId="0" fontId="13" fillId="38" borderId="0" xfId="0" applyFont="1" applyFill="1" applyAlignment="1">
      <alignment horizontal="right" vertical="center" wrapText="1" readingOrder="2"/>
    </xf>
    <xf numFmtId="0" fontId="13" fillId="38" borderId="0" xfId="0" applyFont="1" applyFill="1" applyAlignment="1">
      <alignment horizontal="right" vertical="center" readingOrder="2"/>
    </xf>
    <xf numFmtId="0" fontId="13" fillId="37" borderId="0" xfId="0" applyFont="1" applyFill="1" applyAlignment="1">
      <alignment horizontal="right" vertical="center" wrapText="1" readingOrder="2"/>
    </xf>
    <xf numFmtId="0" fontId="5" fillId="37" borderId="0" xfId="0" applyFont="1" applyFill="1" applyAlignment="1"/>
    <xf numFmtId="49" fontId="0" fillId="37" borderId="0" xfId="0" applyNumberFormat="1" applyFill="1"/>
    <xf numFmtId="3" fontId="0" fillId="37" borderId="0" xfId="0" applyNumberFormat="1" applyFill="1"/>
    <xf numFmtId="165" fontId="0" fillId="37" borderId="0" xfId="0" applyNumberFormat="1" applyFill="1"/>
    <xf numFmtId="0" fontId="0" fillId="37" borderId="0" xfId="0" applyFill="1" applyAlignment="1">
      <alignment horizontal="center" vertical="center" wrapText="1" readingOrder="2"/>
    </xf>
    <xf numFmtId="0" fontId="2" fillId="37" borderId="0" xfId="1" applyFill="1" applyAlignment="1">
      <alignment horizontal="center" vertical="center" wrapText="1" readingOrder="2"/>
    </xf>
    <xf numFmtId="3" fontId="0" fillId="37" borderId="0" xfId="0" applyNumberFormat="1" applyFill="1" applyAlignment="1">
      <alignment horizontal="center" vertical="center" wrapText="1" readingOrder="2"/>
    </xf>
    <xf numFmtId="49" fontId="0" fillId="37" borderId="0" xfId="0" applyNumberFormat="1" applyFill="1" applyAlignment="1">
      <alignment horizontal="center" vertical="center" wrapText="1" readingOrder="2"/>
    </xf>
  </cellXfs>
  <cellStyles count="5">
    <cellStyle name="Currency" xfId="2" builtinId="4"/>
    <cellStyle name="Hyperlink" xfId="1" builtinId="8"/>
    <cellStyle name="Normal" xfId="0" builtinId="0"/>
    <cellStyle name="Normal 2" xfId="3" xr:uid="{81965CE0-2F5D-4D63-B67A-BFE4EEE41C96}"/>
    <cellStyle name="Normal 3" xfId="4" xr:uid="{C5FE3D94-7B9F-4052-8EDC-4744982E6815}"/>
  </cellStyles>
  <dxfs count="410">
    <dxf>
      <numFmt numFmtId="30" formatCode="@"/>
      <alignment horizontal="center" vertical="center" textRotation="0" wrapText="1" indent="0" justifyLastLine="0" shrinkToFit="0" readingOrder="2"/>
    </dxf>
    <dxf>
      <numFmt numFmtId="30" formatCode="@"/>
      <alignment horizontal="center" vertical="center" textRotation="0" wrapText="1" indent="0" justifyLastLine="0" shrinkToFit="0" readingOrder="2"/>
    </dxf>
    <dxf>
      <numFmt numFmtId="30" formatCode="@"/>
      <alignment horizontal="center" vertical="center" textRotation="0" wrapText="1" indent="0" justifyLastLine="0" shrinkToFit="0" readingOrder="2"/>
    </dxf>
    <dxf>
      <numFmt numFmtId="30" formatCode="@"/>
      <alignment horizontal="center" vertical="center" textRotation="0" wrapText="1" indent="0" justifyLastLine="0" shrinkToFit="0" readingOrder="2"/>
    </dxf>
    <dxf>
      <numFmt numFmtId="30" formatCode="@"/>
      <alignment horizontal="center" vertical="center" textRotation="0" wrapText="1" indent="0" justifyLastLine="0" shrinkToFit="0" readingOrder="2"/>
    </dxf>
    <dxf>
      <numFmt numFmtId="30" formatCode="@"/>
      <alignment horizontal="center" vertical="center" textRotation="0" wrapText="1" indent="0" justifyLastLine="0" shrinkToFit="0" readingOrder="2"/>
    </dxf>
    <dxf>
      <numFmt numFmtId="30" formatCode="@"/>
      <alignment horizontal="center" vertical="center" textRotation="0" wrapText="1" indent="0" justifyLastLine="0" shrinkToFit="0" readingOrder="2"/>
    </dxf>
    <dxf>
      <numFmt numFmtId="30" formatCode="@"/>
      <alignment horizontal="center" vertical="center" textRotation="0" wrapText="1" indent="0" justifyLastLine="0" shrinkToFit="0" readingOrder="2"/>
    </dxf>
    <dxf>
      <numFmt numFmtId="3" formatCode="#,##0"/>
      <alignment horizontal="center" vertical="center" textRotation="0" wrapText="1" indent="0" justifyLastLine="0" shrinkToFit="0" readingOrder="2"/>
    </dxf>
    <dxf>
      <numFmt numFmtId="3" formatCode="#,##0"/>
      <alignment horizontal="center" vertical="center" textRotation="0" wrapText="1" indent="0" justifyLastLine="0" shrinkToFit="0" readingOrder="2"/>
      <protection locked="0" hidden="0"/>
    </dxf>
    <dxf>
      <numFmt numFmtId="30" formatCode="@"/>
      <alignment horizontal="center" vertical="center" textRotation="0" wrapText="1" indent="0" justifyLastLine="0" shrinkToFit="0" readingOrder="2"/>
      <protection locked="0" hidden="0"/>
    </dxf>
    <dxf>
      <numFmt numFmtId="30" formatCode="@"/>
      <alignment horizontal="center" vertical="center" textRotation="0" wrapText="1" indent="0" justifyLastLine="0" shrinkToFit="0" readingOrder="2"/>
      <protection locked="0" hidden="0"/>
    </dxf>
    <dxf>
      <numFmt numFmtId="30" formatCode="@"/>
      <alignment horizontal="center" vertical="center" textRotation="0" wrapText="1" indent="0" justifyLastLine="0" shrinkToFit="0" readingOrder="2"/>
      <protection locked="0" hidden="0"/>
    </dxf>
    <dxf>
      <numFmt numFmtId="30" formatCode="@"/>
      <alignment horizontal="center" vertical="center" textRotation="0" wrapText="1" indent="0" justifyLastLine="0" shrinkToFit="0" readingOrder="2"/>
      <protection locked="0" hidden="0"/>
    </dxf>
    <dxf>
      <numFmt numFmtId="30" formatCode="@"/>
      <alignment horizontal="center" vertical="center" textRotation="0" wrapText="1" indent="0" justifyLastLine="0" shrinkToFit="0" readingOrder="2"/>
      <protection locked="0" hidden="0"/>
    </dxf>
    <dxf>
      <numFmt numFmtId="30" formatCode="@"/>
      <alignment horizontal="center" vertical="center" textRotation="0" wrapText="1" indent="0" justifyLastLine="0" shrinkToFit="0" readingOrder="2"/>
      <protection locked="0" hidden="0"/>
    </dxf>
    <dxf>
      <numFmt numFmtId="30" formatCode="@"/>
      <alignment horizontal="center" vertical="center" textRotation="0" wrapText="1" indent="0" justifyLastLine="0" shrinkToFit="0" readingOrder="2"/>
      <protection locked="0" hidden="0"/>
    </dxf>
    <dxf>
      <numFmt numFmtId="165" formatCode="#,##0_-[$ريال-429]"/>
      <alignment horizontal="center" vertical="center" textRotation="0" wrapText="1" indent="0" justifyLastLine="0" shrinkToFit="0" readingOrder="2"/>
      <protection locked="1" hidden="0"/>
    </dxf>
    <dxf>
      <numFmt numFmtId="165" formatCode="#,##0_-[$ريال-429]"/>
      <alignment horizontal="center" vertical="center" textRotation="0" wrapText="1" indent="0" justifyLastLine="0" shrinkToFit="0" readingOrder="2"/>
      <protection locked="0" hidden="0"/>
    </dxf>
    <dxf>
      <numFmt numFmtId="165" formatCode="#,##0_-[$ريال-429]"/>
      <alignment horizontal="center" vertical="center" textRotation="0" wrapText="1" indent="0" justifyLastLine="0" shrinkToFit="0" readingOrder="2"/>
      <protection locked="0" hidden="0"/>
    </dxf>
    <dxf>
      <numFmt numFmtId="165" formatCode="#,##0_-[$ريال-429]"/>
      <alignment horizontal="center" vertical="center" textRotation="0" wrapText="1" indent="0" justifyLastLine="0" shrinkToFit="0" readingOrder="2"/>
      <protection locked="1" hidden="0"/>
    </dxf>
    <dxf>
      <numFmt numFmtId="165" formatCode="#,##0_-[$ريال-429]"/>
      <alignment horizontal="center" vertical="center" textRotation="0" wrapText="1" indent="0" justifyLastLine="0" shrinkToFit="0" readingOrder="2"/>
      <protection locked="0" hidden="0"/>
    </dxf>
    <dxf>
      <alignment horizontal="center" vertical="center" textRotation="0" wrapText="1" indent="0" justifyLastLine="0" shrinkToFit="0" readingOrder="2"/>
      <protection locked="0" hidden="0"/>
    </dxf>
    <dxf>
      <numFmt numFmtId="30" formatCode="@"/>
      <alignment horizontal="center" vertical="center" textRotation="0" wrapText="1" indent="0" justifyLastLine="0" shrinkToFit="0" readingOrder="2"/>
      <protection locked="0" hidden="0"/>
    </dxf>
    <dxf>
      <numFmt numFmtId="30" formatCode="@"/>
      <alignment horizontal="center" vertical="center" textRotation="0" wrapText="1" indent="0" justifyLastLine="0" shrinkToFit="0" readingOrder="2"/>
      <protection locked="0" hidden="0"/>
    </dxf>
    <dxf>
      <numFmt numFmtId="3" formatCode="#,##0"/>
      <alignment horizontal="center" vertical="center" textRotation="0" wrapText="1" indent="0" justifyLastLine="0" shrinkToFit="0" readingOrder="2"/>
      <protection locked="0" hidden="0"/>
    </dxf>
    <dxf>
      <numFmt numFmtId="30" formatCode="@"/>
      <alignment horizontal="center" vertical="center" textRotation="0" wrapText="1" indent="0" justifyLastLine="0" shrinkToFit="0" readingOrder="2"/>
      <protection locked="0" hidden="0"/>
    </dxf>
    <dxf>
      <numFmt numFmtId="30" formatCode="@"/>
      <alignment horizontal="center" vertical="center" textRotation="0" wrapText="1" indent="0" justifyLastLine="0" shrinkToFit="0" readingOrder="2"/>
      <protection locked="0" hidden="0"/>
    </dxf>
    <dxf>
      <numFmt numFmtId="30" formatCode="@"/>
      <alignment horizontal="center" vertical="center" textRotation="0" wrapText="1" indent="0" justifyLastLine="0" shrinkToFit="0" readingOrder="2"/>
      <protection locked="0" hidden="0"/>
    </dxf>
    <dxf>
      <numFmt numFmtId="30" formatCode="@"/>
      <alignment horizontal="center" vertical="center" textRotation="0" wrapText="1" indent="0" justifyLastLine="0" shrinkToFit="0" readingOrder="2"/>
      <protection locked="0" hidden="0"/>
    </dxf>
    <dxf>
      <numFmt numFmtId="3" formatCode="#,##0"/>
      <alignment horizontal="center" vertical="center" textRotation="0" wrapText="1" indent="0" justifyLastLine="0" shrinkToFit="0" readingOrder="2"/>
      <protection locked="0" hidden="0"/>
    </dxf>
    <dxf>
      <alignment horizontal="center" vertical="center" textRotation="0" wrapText="1" indent="0" justifyLastLine="0" shrinkToFit="0" readingOrder="2"/>
      <protection locked="0" hidden="0"/>
    </dxf>
    <dxf>
      <alignment horizontal="center" vertical="center" textRotation="0" wrapText="1" indent="0" justifyLastLine="0" shrinkToFit="0" readingOrder="2"/>
      <protection locked="0" hidden="0"/>
    </dxf>
    <dxf>
      <alignment horizontal="center" vertical="center" textRotation="0" wrapText="1" indent="0" justifyLastLine="0" shrinkToFit="0" readingOrder="2"/>
      <protection locked="0" hidden="0"/>
    </dxf>
    <dxf>
      <alignment horizontal="center" vertical="center" textRotation="0" wrapText="1" indent="0" justifyLastLine="0" shrinkToFit="0" readingOrder="2"/>
      <protection locked="0" hidden="0"/>
    </dxf>
    <dxf>
      <alignment horizontal="center" vertical="center" textRotation="0" wrapText="1" indent="0" justifyLastLine="0" shrinkToFit="0" readingOrder="2"/>
      <protection locked="0" hidden="0"/>
    </dxf>
    <dxf>
      <alignment horizontal="center" vertical="center" textRotation="0" wrapText="1" indent="0" justifyLastLine="0" shrinkToFit="0" readingOrder="2"/>
      <protection locked="0" hidden="0"/>
    </dxf>
    <dxf>
      <alignment horizontal="center" vertical="center" textRotation="0" wrapText="1" indent="0" justifyLastLine="0" shrinkToFit="0" readingOrder="2"/>
      <protection locked="0" hidden="0"/>
    </dxf>
    <dxf>
      <alignment horizontal="center" vertical="center" textRotation="0" wrapText="1" indent="0" justifyLastLine="0" shrinkToFit="0" readingOrder="2"/>
      <protection locked="0" hidden="0"/>
    </dxf>
    <dxf>
      <alignment horizontal="center" vertical="center" textRotation="0" wrapText="1" indent="0" justifyLastLine="0" shrinkToFit="0" readingOrder="2"/>
      <protection locked="0" hidden="0"/>
    </dxf>
    <dxf>
      <alignment horizontal="center" vertical="center" textRotation="0" wrapText="1" indent="0" justifyLastLine="0" shrinkToFit="0" readingOrder="2"/>
      <protection locked="0" hidden="0"/>
    </dxf>
    <dxf>
      <alignment horizontal="center" vertical="center" textRotation="0" wrapText="1" indent="0" justifyLastLine="0" shrinkToFit="0" readingOrder="2"/>
      <protection locked="0" hidden="0"/>
    </dxf>
    <dxf>
      <alignment horizontal="center" vertical="center" textRotation="0" wrapText="1" indent="0" justifyLastLine="0" shrinkToFit="0" readingOrder="2"/>
      <protection locked="0" hidden="0"/>
    </dxf>
    <dxf>
      <alignment horizontal="center" vertical="center" textRotation="0" wrapText="1" indent="0" justifyLastLine="0" shrinkToFit="0" readingOrder="2"/>
      <protection locked="0" hidden="0"/>
    </dxf>
    <dxf>
      <font>
        <color rgb="FF9C0006"/>
      </font>
      <fill>
        <patternFill>
          <bgColor rgb="FFFFC7CE"/>
        </patternFill>
      </fill>
    </dxf>
    <dxf>
      <fill>
        <patternFill>
          <bgColor rgb="FF92D050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39994506668294322"/>
        </patternFill>
      </fill>
    </dxf>
    <dxf>
      <font>
        <b val="0"/>
        <i/>
      </font>
      <fill>
        <patternFill patternType="solid">
          <fgColor auto="1"/>
          <bgColor theme="7"/>
        </patternFill>
      </fill>
    </dxf>
    <dxf>
      <font>
        <b val="0"/>
        <i/>
      </font>
      <fill>
        <gradientFill type="path" left="0.5" right="0.5" top="0.5" bottom="0.5">
          <stop position="0">
            <color theme="0"/>
          </stop>
          <stop position="1">
            <color theme="7"/>
          </stop>
        </gradient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39994506668294322"/>
        </patternFill>
      </fill>
    </dxf>
    <dxf>
      <font>
        <b val="0"/>
        <i/>
      </font>
      <fill>
        <patternFill patternType="solid">
          <fgColor auto="1"/>
          <bgColor theme="7"/>
        </patternFill>
      </fill>
    </dxf>
    <dxf>
      <font>
        <b val="0"/>
        <i/>
      </font>
      <fill>
        <gradientFill type="path" left="0.5" right="0.5" top="0.5" bottom="0.5">
          <stop position="0">
            <color theme="0"/>
          </stop>
          <stop position="1">
            <color theme="7"/>
          </stop>
        </gradientFill>
      </fill>
    </dxf>
    <dxf>
      <fill>
        <patternFill>
          <bgColor rgb="FFFFFF00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39994506668294322"/>
        </patternFill>
      </fill>
    </dxf>
    <dxf>
      <fill>
        <patternFill>
          <bgColor rgb="FF92D050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39994506668294322"/>
        </patternFill>
      </fill>
    </dxf>
    <dxf>
      <font>
        <b/>
        <i val="0"/>
        <color theme="0" tint="-0.499984740745262"/>
      </font>
      <fill>
        <gradientFill type="path" left="0.5" right="0.5" top="0.5" bottom="0.5">
          <stop position="0">
            <color theme="0"/>
          </stop>
          <stop position="1">
            <color rgb="FFFFC000"/>
          </stop>
        </gradientFill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alignment horizontal="general" vertical="bottom" textRotation="0" wrapText="1" indent="0" justifyLastLine="0" shrinkToFit="0" readingOrder="2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alignment horizontal="center" vertical="center" textRotation="0" wrapText="1" indent="0" justifyLastLine="0" shrinkToFit="0" readingOrder="2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alignment horizontal="center" vertical="center" textRotation="0" wrapText="1" indent="0" justifyLastLine="0" shrinkToFit="0" readingOrder="2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alignment horizontal="center" vertical="center" textRotation="0" wrapText="1" indent="0" justifyLastLine="0" shrinkToFit="0" readingOrder="2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70" formatCode="#,##0;[Red]#,##0"/>
      <alignment horizontal="center" vertical="center" textRotation="0" wrapText="1" indent="0" justifyLastLine="0" shrinkToFit="0" readingOrder="2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alignment horizontal="center" vertical="center" textRotation="0" wrapText="1" indent="0" justifyLastLine="0" shrinkToFit="0" readingOrder="2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alignment horizontal="center" vertical="center" textRotation="0" wrapText="1" indent="0" justifyLastLine="0" shrinkToFit="0" readingOrder="2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alignment horizontal="general" vertical="bottom" textRotation="0" wrapText="1" indent="0" justifyLastLine="0" shrinkToFit="0" readingOrder="2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alignment horizontal="general" vertical="bottom" textRotation="0" wrapText="1" indent="0" justifyLastLine="0" shrinkToFit="0" readingOrder="2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alignment horizontal="center" vertical="center" textRotation="0" wrapText="1" indent="0" justifyLastLine="0" shrinkToFit="0" readingOrder="2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alignment horizontal="center" vertical="center" textRotation="0" wrapText="1" indent="0" justifyLastLine="0" shrinkToFit="0" readingOrder="2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alignment horizontal="center" vertical="center" textRotation="0" wrapText="1" indent="0" justifyLastLine="0" shrinkToFit="0" readingOrder="2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70" formatCode="#,##0;[Red]#,##0"/>
      <alignment horizontal="center" vertical="center" textRotation="0" wrapText="1" indent="0" justifyLastLine="0" shrinkToFit="0" readingOrder="2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alignment horizontal="center" vertical="center" textRotation="0" wrapText="1" indent="0" justifyLastLine="0" shrinkToFit="0" readingOrder="2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alignment horizontal="center" vertical="center" textRotation="0" wrapText="1" indent="0" justifyLastLine="0" shrinkToFit="0" readingOrder="2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alignment horizontal="general" vertical="bottom" textRotation="0" wrapText="1" indent="0" justifyLastLine="0" shrinkToFit="0" readingOrder="2"/>
      <protection locked="0" hidden="0"/>
    </dxf>
    <dxf>
      <numFmt numFmtId="30" formatCode="@"/>
      <fill>
        <patternFill patternType="solid">
          <fgColor indexed="64"/>
          <bgColor theme="1"/>
        </patternFill>
      </fill>
      <alignment horizontal="center" vertical="center" textRotation="0" wrapText="1" indent="0" justifyLastLine="0" shrinkToFit="0" readingOrder="2"/>
      <protection locked="0" hidden="0"/>
    </dxf>
    <dxf>
      <numFmt numFmtId="30" formatCode="@"/>
      <fill>
        <patternFill patternType="solid">
          <fgColor indexed="64"/>
          <bgColor theme="1"/>
        </patternFill>
      </fill>
      <alignment horizontal="center" vertical="center" textRotation="0" wrapText="1" indent="0" justifyLastLine="0" shrinkToFit="0" readingOrder="2"/>
      <protection locked="0" hidden="0"/>
    </dxf>
    <dxf>
      <numFmt numFmtId="30" formatCode="@"/>
      <fill>
        <patternFill patternType="solid">
          <fgColor indexed="64"/>
          <bgColor theme="1"/>
        </patternFill>
      </fill>
      <alignment horizontal="center" vertical="center" textRotation="0" wrapText="1" indent="0" justifyLastLine="0" shrinkToFit="0" readingOrder="2"/>
      <protection locked="0" hidden="0"/>
    </dxf>
    <dxf>
      <numFmt numFmtId="170" formatCode="#,##0;[Red]#,##0"/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2"/>
      <protection locked="0" hidden="0"/>
    </dxf>
    <dxf>
      <numFmt numFmtId="170" formatCode="#,##0;[Red]#,##0"/>
      <alignment horizontal="center" vertical="center" textRotation="0" wrapText="0" indent="0" justifyLastLine="0" shrinkToFit="0" readingOrder="2"/>
      <protection locked="0" hidden="0"/>
    </dxf>
    <dxf>
      <numFmt numFmtId="30" formatCode="@"/>
      <fill>
        <patternFill patternType="solid">
          <fgColor indexed="64"/>
          <bgColor theme="1"/>
        </patternFill>
      </fill>
      <alignment horizontal="center" vertical="center" textRotation="0" wrapText="1" indent="0" justifyLastLine="0" shrinkToFit="0" readingOrder="2"/>
      <protection locked="0" hidden="0"/>
    </dxf>
    <dxf>
      <numFmt numFmtId="30" formatCode="@"/>
      <fill>
        <patternFill patternType="solid">
          <fgColor indexed="64"/>
          <bgColor theme="1"/>
        </patternFill>
      </fill>
      <alignment horizontal="center" vertical="center" textRotation="0" wrapText="1" indent="0" justifyLastLine="0" shrinkToFit="0" readingOrder="2"/>
      <protection locked="0" hidden="0"/>
    </dxf>
    <dxf>
      <numFmt numFmtId="3" formatCode="#,##0"/>
      <alignment horizontal="center" vertical="center" textRotation="0" wrapText="1" indent="0" justifyLastLine="0" shrinkToFit="0" readingOrder="2"/>
      <protection locked="0" hidden="0"/>
    </dxf>
    <dxf>
      <numFmt numFmtId="30" formatCode="@"/>
      <alignment horizontal="center" vertical="center" textRotation="0" wrapText="1" indent="0" justifyLastLine="0" shrinkToFit="0" readingOrder="2"/>
      <protection locked="0" hidden="0"/>
    </dxf>
    <dxf>
      <numFmt numFmtId="30" formatCode="@"/>
      <alignment horizontal="center" vertical="center" textRotation="0" wrapText="1" indent="0" justifyLastLine="0" shrinkToFit="0" readingOrder="2"/>
      <protection locked="0" hidden="0"/>
    </dxf>
    <dxf>
      <numFmt numFmtId="30" formatCode="@"/>
      <alignment horizontal="center" vertical="center" textRotation="0" wrapText="1" indent="0" justifyLastLine="0" shrinkToFit="0" readingOrder="2"/>
      <protection locked="0" hidden="0"/>
    </dxf>
    <dxf>
      <numFmt numFmtId="170" formatCode="#,##0;[Red]#,##0"/>
      <alignment horizontal="center" vertical="center" textRotation="0" wrapText="0" indent="0" justifyLastLine="0" shrinkToFit="0" readingOrder="2"/>
      <protection locked="0" hidden="0"/>
    </dxf>
    <dxf>
      <numFmt numFmtId="170" formatCode="#,##0;[Red]#,##0"/>
      <alignment horizontal="center" vertical="center" textRotation="0" wrapText="0" indent="0" justifyLastLine="0" shrinkToFit="0" readingOrder="2"/>
      <protection locked="0" hidden="0"/>
    </dxf>
    <dxf>
      <numFmt numFmtId="30" formatCode="@"/>
      <alignment horizontal="center" vertical="center" textRotation="0" wrapText="1" indent="0" justifyLastLine="0" shrinkToFit="0" readingOrder="2"/>
      <protection locked="0" hidden="0"/>
    </dxf>
    <dxf>
      <numFmt numFmtId="30" formatCode="@"/>
      <alignment horizontal="center" vertical="center" textRotation="0" wrapText="1" indent="0" justifyLastLine="0" shrinkToFit="0" readingOrder="2"/>
      <protection locked="0" hidden="0"/>
    </dxf>
    <dxf>
      <numFmt numFmtId="3" formatCode="#,##0"/>
      <alignment horizontal="center" vertical="center" textRotation="0" wrapText="1" indent="0" justifyLastLine="0" shrinkToFit="0" readingOrder="2"/>
      <protection locked="0" hidden="0"/>
    </dxf>
    <dxf>
      <alignment horizontal="center" vertical="center" textRotation="0" wrapText="1" indent="0" justifyLastLine="0" shrinkToFit="0" readingOrder="2"/>
    </dxf>
    <dxf>
      <border>
        <bottom style="double">
          <color indexed="64"/>
        </bottom>
      </border>
    </dxf>
    <dxf>
      <border outline="0">
        <top style="thin">
          <color theme="1"/>
        </top>
      </border>
    </dxf>
    <dxf>
      <alignment horizontal="center" vertical="center" textRotation="0" wrapText="1" indent="0" justifyLastLine="0" shrinkToFit="0" readingOrder="2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0" tint="-0.14999847407452621"/>
          <bgColor theme="0" tint="-0.14999847407452621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/>
        <bottom/>
        <vertical/>
        <horizontal/>
      </border>
    </dxf>
    <dxf>
      <alignment horizontal="center" vertical="center" textRotation="0" wrapText="1" indent="0" justifyLastLine="0" shrinkToFit="0" readingOrder="2"/>
    </dxf>
    <dxf>
      <alignment horizontal="center" vertical="center" textRotation="0" wrapText="1" indent="0" justifyLastLine="0" shrinkToFit="0" readingOrder="2"/>
    </dxf>
    <dxf>
      <alignment horizontal="center" vertical="center" textRotation="0" wrapText="1" indent="0" justifyLastLine="0" shrinkToFit="0" readingOrder="2"/>
    </dxf>
    <dxf>
      <fill>
        <patternFill patternType="solid">
          <fgColor indexed="64"/>
          <bgColor rgb="FF002060"/>
        </patternFill>
      </fill>
      <alignment horizontal="center" vertical="center" textRotation="0" wrapText="1" indent="0" justifyLastLine="0" shrinkToFit="0" readingOrder="2"/>
    </dxf>
    <dxf>
      <alignment horizontal="center" vertical="center" textRotation="0" wrapText="1" indent="0" justifyLastLine="0" shrinkToFit="0" readingOrder="2"/>
    </dxf>
    <dxf>
      <alignment horizontal="center" vertical="center" textRotation="0" wrapText="1" indent="0" justifyLastLine="0" shrinkToFit="0" readingOrder="2"/>
    </dxf>
    <dxf>
      <alignment horizontal="center" vertical="center" textRotation="0" wrapText="1" indent="0" justifyLastLine="0" shrinkToFit="0" readingOrder="2"/>
    </dxf>
    <dxf>
      <font>
        <b val="0"/>
      </font>
      <alignment horizontal="center" vertical="center" textRotation="0" wrapText="1" indent="0" justifyLastLine="0" shrinkToFit="0" readingOrder="2"/>
    </dxf>
    <dxf>
      <font>
        <b val="0"/>
      </font>
      <alignment horizontal="center" vertical="center" textRotation="0" wrapText="1" indent="0" justifyLastLine="0" shrinkToFit="0" readingOrder="2"/>
    </dxf>
    <dxf>
      <font>
        <b val="0"/>
      </font>
      <alignment horizontal="center" vertical="center" textRotation="0" wrapText="1" indent="0" justifyLastLine="0" shrinkToFit="0" readingOrder="2"/>
    </dxf>
    <dxf>
      <alignment horizontal="center" vertical="center" textRotation="0" wrapText="1" indent="0" justifyLastLine="0" shrinkToFit="0" readingOrder="2"/>
    </dxf>
    <dxf>
      <fill>
        <patternFill patternType="solid">
          <fgColor indexed="64"/>
          <bgColor rgb="FF92D050"/>
        </patternFill>
      </fill>
      <alignment horizontal="center" vertical="center" textRotation="0" wrapText="1" indent="0" justifyLastLine="0" shrinkToFit="0" readingOrder="2"/>
    </dxf>
    <dxf>
      <alignment horizontal="center" vertical="center" textRotation="0" wrapText="1" indent="0" justifyLastLine="0" shrinkToFit="0" readingOrder="2"/>
    </dxf>
    <dxf>
      <alignment horizontal="center" vertical="center" textRotation="0" wrapText="1" indent="0" justifyLastLine="0" shrinkToFit="0" readingOrder="2"/>
    </dxf>
    <dxf>
      <alignment horizontal="center" vertical="center" textRotation="0" wrapText="1" indent="0" justifyLastLine="0" shrinkToFit="0" readingOrder="2"/>
    </dxf>
    <dxf>
      <fill>
        <patternFill patternType="solid">
          <fgColor indexed="64"/>
          <bgColor theme="7" tint="-0.499984740745262"/>
        </patternFill>
      </fill>
      <alignment horizontal="center" vertical="center" textRotation="0" wrapText="1" indent="0" justifyLastLine="0" shrinkToFit="0" readingOrder="2"/>
    </dxf>
    <dxf>
      <alignment horizontal="center" vertical="center" textRotation="0" wrapText="1" indent="0" justifyLastLine="0" shrinkToFit="0" readingOrder="2"/>
    </dxf>
    <dxf>
      <alignment horizontal="center" vertical="center" textRotation="0" wrapText="1" indent="0" justifyLastLine="0" shrinkToFit="0" readingOrder="2"/>
    </dxf>
    <dxf>
      <alignment horizontal="center" vertical="center" textRotation="0" wrapText="1" indent="0" justifyLastLine="0" shrinkToFit="0" readingOrder="2"/>
    </dxf>
    <dxf>
      <alignment horizontal="center" vertical="center" textRotation="0" wrapText="1" indent="0" justifyLastLine="0" shrinkToFit="0" readingOrder="2"/>
    </dxf>
    <dxf>
      <alignment horizontal="center" vertical="center" textRotation="0" wrapText="1" indent="0" justifyLastLine="0" shrinkToFit="0" readingOrder="2"/>
    </dxf>
    <dxf>
      <alignment horizontal="center" vertical="center" textRotation="0" wrapText="1" indent="0" justifyLastLine="0" shrinkToFit="0" readingOrder="2"/>
    </dxf>
    <dxf>
      <alignment horizontal="center" vertical="center"/>
    </dxf>
    <dxf>
      <alignment horizontal="center" vertical="center" textRotation="0" wrapText="1" indent="0" justifyLastLine="0" shrinkToFit="0" readingOrder="2"/>
    </dxf>
    <dxf>
      <alignment horizontal="center" vertical="center" textRotation="0" wrapText="1" indent="0" justifyLastLine="0" shrinkToFit="0" readingOrder="2"/>
    </dxf>
    <dxf>
      <alignment horizontal="center" vertical="center"/>
    </dxf>
    <dxf>
      <alignment horizontal="center" vertical="center"/>
    </dxf>
    <dxf>
      <alignment horizontal="center" vertical="center"/>
    </dxf>
    <dxf>
      <alignment horizontal="center" vertical="center"/>
    </dxf>
    <dxf>
      <alignment horizontal="center" vertical="center" textRotation="0" wrapText="1" indent="0" justifyLastLine="0" shrinkToFit="0" readingOrder="2"/>
    </dxf>
    <dxf>
      <alignment horizontal="center" vertical="center" textRotation="0" wrapText="1" indent="0" justifyLastLine="0" shrinkToFit="0" readingOrder="2"/>
    </dxf>
    <dxf>
      <alignment horizontal="center" vertical="center" textRotation="0" wrapText="1" indent="0" justifyLastLine="0" shrinkToFit="0" readingOrder="2"/>
    </dxf>
    <dxf>
      <alignment horizontal="center" vertical="center" textRotation="0" wrapText="1" indent="0" justifyLastLine="0" shrinkToFit="0" readingOrder="2"/>
    </dxf>
    <dxf>
      <alignment horizontal="center" vertical="center" textRotation="0" wrapText="1" indent="0" justifyLastLine="0" shrinkToFit="0" readingOrder="2"/>
    </dxf>
    <dxf>
      <alignment horizontal="center" vertical="center" textRotation="0" wrapText="1" indent="0" justifyLastLine="0" shrinkToFit="0" readingOrder="2"/>
    </dxf>
    <dxf>
      <alignment horizontal="right" vertical="center" textRotation="0" wrapText="1" indent="0" justifyLastLine="0" shrinkToFit="0" readingOrder="2"/>
    </dxf>
    <dxf>
      <alignment horizontal="right" vertical="center" textRotation="0" wrapText="1" indent="0" justifyLastLine="0" shrinkToFit="0" readingOrder="2"/>
    </dxf>
    <dxf>
      <alignment horizontal="center" vertical="center" textRotation="0" wrapText="1" indent="0" justifyLastLine="0" shrinkToFit="0" readingOrder="2"/>
    </dxf>
    <dxf>
      <alignment horizontal="center" vertical="center" textRotation="0" wrapText="1" indent="0" justifyLastLine="0" shrinkToFit="0" readingOrder="2"/>
    </dxf>
    <dxf>
      <alignment horizontal="center" vertical="center" textRotation="0" wrapText="1" indent="0" justifyLastLine="0" shrinkToFit="0" readingOrder="2"/>
    </dxf>
    <dxf>
      <alignment horizontal="center" vertical="center" textRotation="0" wrapText="1" indent="0" justifyLastLine="0" shrinkToFit="0" readingOrder="2"/>
    </dxf>
    <dxf>
      <alignment horizontal="center" vertical="center" textRotation="0" wrapText="1" indent="0" justifyLastLine="0" shrinkToFit="0" readingOrder="2"/>
    </dxf>
    <dxf>
      <alignment horizontal="center" vertical="center" textRotation="0" wrapText="1" indent="0" justifyLastLine="0" shrinkToFit="0" readingOrder="2"/>
    </dxf>
    <dxf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name val="Calibri"/>
        <family val="2"/>
        <scheme val="minor"/>
      </font>
      <alignment horizontal="center" vertical="center" textRotation="0" wrapText="1" indent="0" justifyLastLine="0" shrinkToFit="0" readingOrder="2"/>
      <protection locked="1" hidden="0"/>
    </dxf>
    <dxf>
      <font>
        <strike val="0"/>
        <outline val="0"/>
        <shadow val="0"/>
        <u val="none"/>
        <vertAlign val="baseline"/>
        <name val="Calibri"/>
        <family val="2"/>
        <scheme val="minor"/>
      </font>
      <alignment horizontal="center" vertical="center" textRotation="0" wrapText="1" indent="0" justifyLastLine="0" shrinkToFit="0" readingOrder="2"/>
      <protection locked="1" hidden="0"/>
    </dxf>
    <dxf>
      <font>
        <strike val="0"/>
        <outline val="0"/>
        <shadow val="0"/>
        <u val="none"/>
        <vertAlign val="baseline"/>
        <name val="Calibri"/>
        <family val="2"/>
        <scheme val="minor"/>
      </font>
      <alignment horizontal="center" vertical="center" textRotation="0" wrapText="1" indent="0" justifyLastLine="0" shrinkToFit="0" readingOrder="2"/>
      <protection locked="1" hidden="0"/>
    </dxf>
    <dxf>
      <font>
        <strike val="0"/>
        <outline val="0"/>
        <shadow val="0"/>
        <u val="none"/>
        <vertAlign val="baseline"/>
        <name val="Calibri"/>
        <family val="2"/>
        <scheme val="minor"/>
      </font>
      <alignment horizontal="center" vertical="center" textRotation="0" wrapText="1" indent="0" justifyLastLine="0" shrinkToFit="0" readingOrder="2"/>
      <protection locked="1" hidden="0"/>
    </dxf>
    <dxf>
      <font>
        <strike val="0"/>
        <outline val="0"/>
        <shadow val="0"/>
        <u val="none"/>
        <vertAlign val="baseline"/>
        <name val="Calibri"/>
        <family val="2"/>
        <scheme val="minor"/>
      </font>
      <alignment horizontal="center" vertical="center" textRotation="0" wrapText="1" indent="0" justifyLastLine="0" shrinkToFit="0" readingOrder="2"/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1" indent="0" justifyLastLine="0" shrinkToFit="0" readingOrder="2"/>
      <protection locked="1" hidden="0"/>
    </dxf>
    <dxf>
      <font>
        <strike val="0"/>
        <outline val="0"/>
        <shadow val="0"/>
        <u val="none"/>
        <vertAlign val="baseline"/>
        <name val="Calibri"/>
        <family val="2"/>
        <scheme val="minor"/>
      </font>
      <alignment horizontal="center" vertical="center" textRotation="0" wrapText="1" indent="0" justifyLastLine="0" shrinkToFit="0" readingOrder="2"/>
      <protection locked="1" hidden="0"/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center" vertical="center" textRotation="0" wrapText="1" indent="0" justifyLastLine="0" shrinkToFit="0" readingOrder="2"/>
      <protection locked="1" hidden="0"/>
    </dxf>
    <dxf>
      <font>
        <strike val="0"/>
        <outline val="0"/>
        <shadow val="0"/>
        <u val="none"/>
        <vertAlign val="baseline"/>
        <name val="Calibri"/>
        <family val="2"/>
        <scheme val="minor"/>
      </font>
      <alignment horizontal="center" vertical="center" textRotation="0" wrapText="1" indent="0" justifyLastLine="0" shrinkToFit="0" readingOrder="2"/>
      <protection locked="1" hidden="0"/>
    </dxf>
    <dxf>
      <font>
        <strike val="0"/>
        <outline val="0"/>
        <shadow val="0"/>
        <u val="none"/>
        <vertAlign val="baseline"/>
        <sz val="11"/>
        <name val="Calibri"/>
        <family val="2"/>
        <scheme val="minor"/>
      </font>
      <alignment horizontal="center" vertical="center" textRotation="0" wrapText="1" indent="0" justifyLastLine="0" shrinkToFit="0" readingOrder="2"/>
      <protection locked="1" hidden="0"/>
    </dxf>
    <dxf>
      <font>
        <strike val="0"/>
        <outline val="0"/>
        <shadow val="0"/>
        <u val="none"/>
        <vertAlign val="baseline"/>
        <name val="Calibri"/>
        <family val="2"/>
        <scheme val="minor"/>
      </font>
      <alignment horizontal="center" vertical="center" textRotation="0" wrapText="1" indent="0" justifyLastLine="0" shrinkToFit="0" readingOrder="2"/>
      <protection locked="1" hidden="0"/>
    </dxf>
    <dxf>
      <font>
        <strike val="0"/>
        <outline val="0"/>
        <shadow val="0"/>
        <u val="none"/>
        <vertAlign val="baseline"/>
        <name val="Calibri"/>
        <family val="2"/>
        <scheme val="minor"/>
      </font>
      <alignment horizontal="center" vertical="center" textRotation="0" wrapText="1" indent="0" justifyLastLine="0" shrinkToFit="0" readingOrder="2"/>
      <protection locked="1" hidden="0"/>
    </dxf>
    <dxf>
      <font>
        <strike val="0"/>
        <outline val="0"/>
        <shadow val="0"/>
        <u val="none"/>
        <vertAlign val="baseline"/>
        <name val="Calibri"/>
        <family val="2"/>
        <scheme val="minor"/>
      </font>
      <alignment horizontal="center" vertical="center" textRotation="0" wrapText="1" indent="0" justifyLastLine="0" shrinkToFit="0" readingOrder="2"/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1" indent="0" justifyLastLine="0" shrinkToFit="0" readingOrder="2"/>
      <protection locked="1" hidden="0"/>
    </dxf>
    <dxf>
      <font>
        <strike val="0"/>
        <outline val="0"/>
        <shadow val="0"/>
        <u val="none"/>
        <vertAlign val="baseline"/>
        <name val="Calibri"/>
        <family val="2"/>
        <scheme val="minor"/>
      </font>
      <alignment horizontal="center" vertical="center" textRotation="0" wrapText="1" indent="0" justifyLastLine="0" shrinkToFit="0" readingOrder="2"/>
      <protection locked="1" hidden="0"/>
    </dxf>
    <dxf>
      <font>
        <strike val="0"/>
        <outline val="0"/>
        <shadow val="0"/>
        <u val="none"/>
        <vertAlign val="baseline"/>
        <name val="Calibri"/>
        <family val="2"/>
        <scheme val="minor"/>
      </font>
      <alignment horizontal="center" vertical="center" textRotation="0" wrapText="1" indent="0" justifyLastLine="0" shrinkToFit="0" readingOrder="2"/>
      <protection locked="1" hidden="0"/>
    </dxf>
    <dxf>
      <font>
        <strike val="0"/>
        <outline val="0"/>
        <shadow val="0"/>
        <u val="none"/>
        <vertAlign val="baseline"/>
        <name val="Calibri"/>
        <family val="2"/>
        <scheme val="minor"/>
      </font>
      <numFmt numFmtId="0" formatCode="General"/>
      <alignment horizontal="center" vertical="center" textRotation="0" wrapText="1" indent="0" justifyLastLine="0" shrinkToFit="0" readingOrder="2"/>
      <protection locked="1" hidden="0"/>
    </dxf>
    <dxf>
      <font>
        <strike val="0"/>
        <outline val="0"/>
        <shadow val="0"/>
        <u val="none"/>
        <vertAlign val="baseline"/>
        <name val="Calibri"/>
        <family val="2"/>
        <scheme val="minor"/>
      </font>
      <alignment horizontal="center" vertical="center" textRotation="0" wrapText="1" indent="0" justifyLastLine="0" shrinkToFit="0" readingOrder="2"/>
      <protection locked="1" hidden="0"/>
    </dxf>
    <dxf>
      <font>
        <strike val="0"/>
        <outline val="0"/>
        <shadow val="0"/>
        <u val="none"/>
        <vertAlign val="baseline"/>
        <sz val="11"/>
        <name val="Calibri"/>
        <family val="2"/>
        <scheme val="minor"/>
      </font>
      <alignment horizontal="center" vertical="center" textRotation="0" wrapText="1" indent="0" justifyLastLine="0" shrinkToFit="0" readingOrder="2"/>
      <protection locked="1" hidden="0"/>
    </dxf>
    <dxf>
      <font>
        <strike val="0"/>
        <outline val="0"/>
        <shadow val="0"/>
        <u val="none"/>
        <vertAlign val="baseline"/>
        <name val="Calibri"/>
        <family val="2"/>
        <scheme val="minor"/>
      </font>
      <alignment horizontal="center" vertical="center" textRotation="0" wrapText="1" indent="0" justifyLastLine="0" shrinkToFit="0" readingOrder="2"/>
      <protection locked="1" hidden="0"/>
    </dxf>
    <dxf>
      <font>
        <strike val="0"/>
        <outline val="0"/>
        <shadow val="0"/>
        <u val="none"/>
        <vertAlign val="baseline"/>
        <name val="Calibri"/>
        <family val="2"/>
        <scheme val="minor"/>
      </font>
      <alignment horizontal="center" vertical="center" textRotation="0" wrapText="1" indent="0" justifyLastLine="0" shrinkToFit="0" readingOrder="2"/>
      <protection locked="1" hidden="0"/>
    </dxf>
    <dxf>
      <font>
        <strike val="0"/>
        <outline val="0"/>
        <shadow val="0"/>
        <u val="none"/>
        <vertAlign val="baseline"/>
        <name val="Calibri"/>
        <family val="2"/>
        <scheme val="minor"/>
      </font>
      <numFmt numFmtId="30" formatCode="@"/>
      <alignment horizontal="center" vertical="center" textRotation="0" wrapText="1" indent="0" justifyLastLine="0" shrinkToFit="0" readingOrder="2"/>
      <protection locked="1" hidden="0"/>
    </dxf>
    <dxf>
      <font>
        <strike val="0"/>
        <outline val="0"/>
        <shadow val="0"/>
        <u val="none"/>
        <vertAlign val="baseline"/>
        <name val="Calibri"/>
        <family val="2"/>
        <scheme val="minor"/>
      </font>
      <alignment horizontal="center" vertical="center" textRotation="0" wrapText="1" indent="0" justifyLastLine="0" shrinkToFit="0" readingOrder="2"/>
      <protection locked="1" hidden="0"/>
    </dxf>
    <dxf>
      <font>
        <strike val="0"/>
        <outline val="0"/>
        <shadow val="0"/>
        <u val="none"/>
        <vertAlign val="baseline"/>
        <name val="Calibri"/>
        <family val="2"/>
        <scheme val="minor"/>
      </font>
      <alignment horizontal="center" vertical="center" textRotation="0" wrapText="1" indent="0" justifyLastLine="0" shrinkToFit="0" readingOrder="2"/>
      <protection locked="1" hidden="0"/>
    </dxf>
    <dxf>
      <font>
        <strike val="0"/>
        <outline val="0"/>
        <shadow val="0"/>
        <u val="none"/>
        <vertAlign val="baseline"/>
        <name val="Calibri"/>
        <family val="2"/>
        <scheme val="minor"/>
      </font>
      <alignment horizontal="center" vertical="center" textRotation="0" wrapText="1" indent="0" justifyLastLine="0" shrinkToFit="0" readingOrder="2"/>
      <protection locked="1" hidden="0"/>
    </dxf>
    <dxf>
      <font>
        <strike val="0"/>
        <outline val="0"/>
        <shadow val="0"/>
        <u val="none"/>
        <vertAlign val="baseline"/>
        <name val="Calibri"/>
        <family val="2"/>
        <scheme val="minor"/>
      </font>
      <numFmt numFmtId="0" formatCode="General"/>
      <alignment horizontal="center" vertical="center" textRotation="0" wrapText="1" indent="0" justifyLastLine="0" shrinkToFit="0" readingOrder="2"/>
      <protection locked="1" hidden="0"/>
    </dxf>
    <dxf>
      <font>
        <strike val="0"/>
        <outline val="0"/>
        <shadow val="0"/>
        <u val="none"/>
        <vertAlign val="baseline"/>
        <name val="Calibri"/>
        <family val="2"/>
        <scheme val="minor"/>
      </font>
      <numFmt numFmtId="30" formatCode="@"/>
      <alignment horizontal="center" vertical="center" textRotation="0" wrapText="1" indent="0" justifyLastLine="0" shrinkToFit="0" readingOrder="2"/>
      <protection locked="1" hidden="0"/>
    </dxf>
    <dxf>
      <font>
        <strike val="0"/>
        <outline val="0"/>
        <shadow val="0"/>
        <u val="none"/>
        <vertAlign val="baseline"/>
        <name val="Calibri"/>
        <family val="2"/>
        <scheme val="minor"/>
      </font>
      <alignment horizontal="center" vertical="center" textRotation="0" wrapText="1" indent="0" justifyLastLine="0" shrinkToFit="0" readingOrder="2"/>
      <protection locked="1" hidden="0"/>
    </dxf>
    <dxf>
      <font>
        <strike val="0"/>
        <outline val="0"/>
        <shadow val="0"/>
        <u val="none"/>
        <vertAlign val="baseline"/>
        <name val="Calibri"/>
        <family val="2"/>
        <scheme val="minor"/>
      </font>
      <alignment horizontal="center" vertical="center" textRotation="0" wrapText="1" indent="0" justifyLastLine="0" shrinkToFit="0" readingOrder="2"/>
      <protection locked="1" hidden="0"/>
    </dxf>
    <dxf>
      <font>
        <strike val="0"/>
        <outline val="0"/>
        <shadow val="0"/>
        <u val="none"/>
        <vertAlign val="baseline"/>
        <name val="Calibri"/>
        <family val="2"/>
        <scheme val="minor"/>
      </font>
      <alignment horizontal="center" vertical="center" textRotation="0" wrapText="1" indent="0" justifyLastLine="0" shrinkToFit="0" readingOrder="2"/>
      <protection locked="1" hidden="0"/>
    </dxf>
    <dxf>
      <font>
        <strike val="0"/>
        <outline val="0"/>
        <shadow val="0"/>
        <u val="none"/>
        <vertAlign val="baseline"/>
        <name val="Calibri"/>
        <family val="2"/>
        <scheme val="minor"/>
      </font>
      <alignment horizontal="center" vertical="center" textRotation="0" wrapText="1" indent="0" justifyLastLine="0" shrinkToFit="0" readingOrder="2"/>
      <protection locked="1" hidden="0"/>
    </dxf>
    <dxf>
      <font>
        <strike val="0"/>
        <outline val="0"/>
        <shadow val="0"/>
        <u val="none"/>
        <vertAlign val="baseline"/>
        <name val="Calibri"/>
        <family val="2"/>
        <scheme val="minor"/>
      </font>
      <alignment horizontal="center" vertical="center" textRotation="0" wrapText="1" indent="0" justifyLastLine="0" shrinkToFit="0" readingOrder="2"/>
      <protection locked="1" hidden="0"/>
    </dxf>
    <dxf>
      <font>
        <strike val="0"/>
        <outline val="0"/>
        <shadow val="0"/>
        <u val="none"/>
        <vertAlign val="baseline"/>
        <name val="Calibri"/>
        <family val="2"/>
        <scheme val="minor"/>
      </font>
      <alignment horizontal="center" vertical="center" textRotation="0" wrapText="1" indent="0" justifyLastLine="0" shrinkToFit="0" readingOrder="2"/>
      <protection locked="1" hidden="0"/>
    </dxf>
    <dxf>
      <font>
        <strike val="0"/>
        <outline val="0"/>
        <shadow val="0"/>
        <u val="none"/>
        <vertAlign val="baseline"/>
        <sz val="12"/>
        <name val="Calibri"/>
        <family val="2"/>
        <scheme val="minor"/>
      </font>
      <alignment horizontal="center" vertical="center" textRotation="0" wrapText="1" indent="0" justifyLastLine="0" shrinkToFit="0" readingOrder="2"/>
      <protection locked="1" hidden="0"/>
    </dxf>
    <dxf>
      <font>
        <strike val="0"/>
        <outline val="0"/>
        <shadow val="0"/>
        <u val="none"/>
        <vertAlign val="baseline"/>
        <sz val="12"/>
        <name val="Calibri"/>
        <family val="2"/>
        <scheme val="minor"/>
      </font>
      <alignment horizontal="center" vertical="center" textRotation="0" wrapText="1" indent="0" justifyLastLine="0" shrinkToFit="0" readingOrder="2"/>
      <protection locked="1" hidden="0"/>
    </dxf>
    <dxf>
      <font>
        <b/>
        <strike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theme="4" tint="-0.499984740745262"/>
        </patternFill>
      </fill>
      <alignment horizontal="center" vertical="center" textRotation="0" wrapText="1" indent="0" justifyLastLine="0" shrinkToFit="0" readingOrder="2"/>
      <protection locked="1" hidden="0"/>
    </dxf>
    <dxf>
      <font>
        <strike val="0"/>
        <outline val="0"/>
        <shadow val="0"/>
        <u val="none"/>
        <vertAlign val="baseline"/>
        <sz val="12"/>
        <name val="Calibri"/>
        <family val="2"/>
        <scheme val="minor"/>
      </font>
      <alignment horizontal="center" vertical="center" textRotation="0" wrapText="1" indent="0" justifyLastLine="0" shrinkToFit="0" readingOrder="2"/>
      <protection locked="1" hidden="0"/>
    </dxf>
    <dxf>
      <font>
        <strike val="0"/>
        <outline val="0"/>
        <shadow val="0"/>
        <u val="none"/>
        <vertAlign val="baseline"/>
        <sz val="12"/>
        <name val="Calibri"/>
        <family val="2"/>
        <scheme val="minor"/>
      </font>
      <alignment horizontal="center" vertical="center" textRotation="0" wrapText="1" indent="0" justifyLastLine="0" shrinkToFit="0" readingOrder="2"/>
      <protection locked="1" hidden="0"/>
    </dxf>
    <dxf>
      <font>
        <b/>
        <strike val="0"/>
        <outline val="0"/>
        <shadow val="0"/>
        <u val="none"/>
        <vertAlign val="baseline"/>
        <sz val="12"/>
        <name val="Calibri"/>
        <family val="2"/>
        <scheme val="minor"/>
      </font>
      <alignment horizontal="center" vertical="center" textRotation="0" wrapText="1" indent="0" justifyLastLine="0" shrinkToFit="0" readingOrder="2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fill>
        <patternFill patternType="solid">
          <fgColor indexed="64"/>
          <bgColor theme="1"/>
        </patternFill>
      </fill>
      <alignment horizontal="center" vertical="center" textRotation="0" wrapText="1" indent="0" justifyLastLine="0" shrinkToFit="0" readingOrder="2"/>
      <protection locked="1" hidden="0"/>
    </dxf>
    <dxf>
      <font>
        <strike val="0"/>
        <outline val="0"/>
        <shadow val="0"/>
        <vertAlign val="baseline"/>
        <name val="Calibri"/>
        <family val="2"/>
        <scheme val="minor"/>
      </font>
      <alignment horizontal="center" vertical="center" textRotation="0" wrapText="1" indent="0" justifyLastLine="0" shrinkToFit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fill>
        <patternFill patternType="solid">
          <fgColor indexed="64"/>
          <bgColor theme="1"/>
        </patternFill>
      </fill>
      <alignment horizontal="center" vertical="center" textRotation="0" wrapText="1" indent="0" justifyLastLine="0" shrinkToFit="0" readingOrder="2"/>
      <protection locked="1" hidden="0"/>
    </dxf>
    <dxf>
      <font>
        <strike val="0"/>
        <outline val="0"/>
        <shadow val="0"/>
        <vertAlign val="baseline"/>
        <name val="Calibri"/>
        <family val="2"/>
        <scheme val="minor"/>
      </font>
      <alignment horizontal="center" vertical="center" textRotation="0" wrapText="1" indent="0" justifyLastLine="0" shrinkToFit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fill>
        <patternFill patternType="solid">
          <fgColor indexed="64"/>
          <bgColor theme="1"/>
        </patternFill>
      </fill>
      <alignment horizontal="center" vertical="center" textRotation="0" wrapText="1" indent="0" justifyLastLine="0" shrinkToFit="0" readingOrder="2"/>
      <protection locked="1" hidden="0"/>
    </dxf>
    <dxf>
      <font>
        <strike val="0"/>
        <outline val="0"/>
        <shadow val="0"/>
        <vertAlign val="baseline"/>
        <name val="Calibri"/>
        <family val="2"/>
        <scheme val="minor"/>
      </font>
      <alignment horizontal="center" vertical="center" textRotation="0" wrapText="1" indent="0" justifyLastLine="0" shrinkToFit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fill>
        <patternFill patternType="solid">
          <fgColor indexed="64"/>
          <bgColor theme="1"/>
        </patternFill>
      </fill>
      <alignment horizontal="center" vertical="center" textRotation="0" wrapText="1" indent="0" justifyLastLine="0" shrinkToFit="0" readingOrder="2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center" vertical="center" textRotation="0" wrapText="1" indent="0" justifyLastLine="0" shrinkToFit="0" readingOrder="2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fill>
        <patternFill patternType="solid">
          <fgColor indexed="64"/>
          <bgColor theme="1"/>
        </patternFill>
      </fill>
      <alignment horizontal="center" vertical="center" textRotation="0" wrapText="1" indent="0" justifyLastLine="0" shrinkToFit="0" readingOrder="2"/>
      <protection locked="1" hidden="0"/>
    </dxf>
    <dxf>
      <font>
        <strike val="0"/>
        <outline val="0"/>
        <shadow val="0"/>
        <vertAlign val="baseline"/>
        <name val="Calibri"/>
        <family val="2"/>
        <scheme val="minor"/>
      </font>
      <alignment horizontal="center" vertical="center" textRotation="0" wrapText="1" indent="0" justifyLastLine="0" shrinkToFit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fill>
        <patternFill patternType="solid">
          <fgColor indexed="64"/>
          <bgColor theme="1"/>
        </patternFill>
      </fill>
      <alignment horizontal="center" vertical="center" textRotation="0" wrapText="1" indent="0" justifyLastLine="0" shrinkToFit="0" readingOrder="2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center" vertical="center" textRotation="0" wrapText="1" indent="0" justifyLastLine="0" shrinkToFit="0" readingOrder="2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fill>
        <patternFill patternType="solid">
          <fgColor indexed="64"/>
          <bgColor theme="1"/>
        </patternFill>
      </fill>
      <alignment horizontal="center" vertical="center" textRotation="0" wrapText="1" indent="0" justifyLastLine="0" shrinkToFit="0" readingOrder="2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center" vertical="center" textRotation="0" wrapText="1" indent="0" justifyLastLine="0" shrinkToFit="0" readingOrder="2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fill>
        <patternFill patternType="solid">
          <fgColor indexed="64"/>
          <bgColor theme="1"/>
        </patternFill>
      </fill>
      <alignment horizontal="center" vertical="center" textRotation="0" wrapText="1" indent="0" justifyLastLine="0" shrinkToFit="0" readingOrder="2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numFmt numFmtId="0" formatCode="General"/>
      <alignment horizontal="center" vertical="center" textRotation="0" wrapText="1" indent="0" justifyLastLine="0" shrinkToFit="0" readingOrder="2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numFmt numFmtId="165" formatCode="#,##0_-[$ريال-429]"/>
      <alignment horizontal="center" vertical="center" textRotation="0" wrapText="1" indent="0" justifyLastLine="0" shrinkToFit="0" readingOrder="2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numFmt numFmtId="165" formatCode="#,##0_-[$ريال-429]"/>
      <alignment horizontal="center" vertical="center" textRotation="0" wrapText="1" indent="0" justifyLastLine="0" shrinkToFit="0" readingOrder="2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numFmt numFmtId="165" formatCode="#,##0_-[$ريال-429]"/>
      <alignment horizontal="center" vertical="center" textRotation="0" wrapText="1" indent="0" justifyLastLine="0" shrinkToFit="0" readingOrder="2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numFmt numFmtId="165" formatCode="#,##0_-[$ريال-429]"/>
      <alignment horizontal="center" vertical="center" textRotation="0" wrapText="1" indent="0" justifyLastLine="0" shrinkToFit="0" readingOrder="2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numFmt numFmtId="165" formatCode="#,##0_-[$ريال-429]"/>
      <alignment horizontal="center" vertical="center" textRotation="0" wrapText="1" indent="0" justifyLastLine="0" shrinkToFit="0" readingOrder="2"/>
      <protection locked="1" hidden="0"/>
    </dxf>
    <dxf>
      <font>
        <strike val="0"/>
        <outline val="0"/>
        <shadow val="0"/>
        <vertAlign val="baseline"/>
        <name val="Calibri"/>
        <family val="2"/>
        <scheme val="minor"/>
      </font>
      <alignment horizontal="center" vertical="center" textRotation="0" wrapText="1" indent="0" justifyLastLine="0" shrinkToFit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numFmt numFmtId="165" formatCode="#,##0_-[$ريال-429]"/>
      <alignment horizontal="center" vertical="center" textRotation="0" wrapText="1" indent="0" justifyLastLine="0" shrinkToFit="0" readingOrder="2"/>
      <protection locked="1" hidden="0"/>
    </dxf>
    <dxf>
      <font>
        <b val="0"/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numFmt numFmtId="165" formatCode="#,##0_-[$ريال-429]"/>
      <alignment horizontal="center" vertical="center" textRotation="0" wrapText="1" indent="0" justifyLastLine="0" shrinkToFit="0" readingOrder="2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fill>
        <patternFill patternType="solid">
          <fgColor indexed="64"/>
          <bgColor theme="1"/>
        </patternFill>
      </fill>
      <alignment horizontal="center" vertical="center" textRotation="0" wrapText="1" indent="0" justifyLastLine="0" shrinkToFit="0" readingOrder="2"/>
      <protection locked="1" hidden="0"/>
    </dxf>
    <dxf>
      <font>
        <b val="0"/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center" vertical="center" textRotation="0" wrapText="1" indent="0" justifyLastLine="0" shrinkToFit="0" readingOrder="2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fill>
        <patternFill patternType="solid">
          <fgColor indexed="64"/>
          <bgColor theme="1"/>
        </patternFill>
      </fill>
      <alignment horizontal="center" vertical="center" textRotation="0" wrapText="1" indent="0" justifyLastLine="0" shrinkToFit="0" readingOrder="2"/>
      <protection locked="1" hidden="0"/>
    </dxf>
    <dxf>
      <font>
        <b val="0"/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center" vertical="center" textRotation="0" wrapText="1" indent="0" justifyLastLine="0" shrinkToFit="0" readingOrder="2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center" vertical="center" textRotation="0" wrapText="1" indent="0" justifyLastLine="0" shrinkToFit="0" readingOrder="2"/>
      <protection locked="1" hidden="0"/>
    </dxf>
    <dxf>
      <font>
        <b val="0"/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center" vertical="center" textRotation="0" wrapText="1" indent="0" justifyLastLine="0" shrinkToFit="0" readingOrder="2"/>
      <protection locked="0" hidden="0"/>
    </dxf>
    <dxf>
      <font>
        <strike val="0"/>
        <outline val="0"/>
        <shadow val="0"/>
        <vertAlign val="baseline"/>
        <name val="Calibri"/>
        <family val="2"/>
        <scheme val="minor"/>
      </font>
      <alignment horizontal="center" vertical="center" textRotation="0" wrapText="1" indent="0" justifyLastLine="0" shrinkToFit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center" vertical="center" textRotation="0" wrapText="1" indent="0" justifyLastLine="0" shrinkToFit="0" readingOrder="2"/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alignment horizontal="center" vertical="center" textRotation="0" wrapText="1" indent="0" justifyLastLine="0" shrinkToFit="0" readingOrder="2"/>
      <protection locked="1" hidden="0"/>
    </dxf>
    <dxf>
      <font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center" vertical="center" textRotation="0" wrapText="1" indent="0" justifyLastLine="0" shrinkToFit="0" readingOrder="2"/>
      <protection locked="0" hidden="0"/>
    </dxf>
    <dxf>
      <font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center" vertical="center" textRotation="0" wrapText="1" indent="0" justifyLastLine="0" shrinkToFit="0" readingOrder="2"/>
      <protection locked="0" hidden="0"/>
    </dxf>
    <dxf>
      <font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center" vertical="center" textRotation="0" wrapText="1" indent="0" justifyLastLine="0" shrinkToFit="0" readingOrder="2"/>
      <protection locked="0" hidden="0"/>
    </dxf>
    <dxf>
      <font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numFmt numFmtId="30" formatCode="@"/>
      <alignment horizontal="center" vertical="center" textRotation="0" wrapText="1" indent="0" justifyLastLine="0" shrinkToFit="0" readingOrder="2"/>
      <protection locked="0" hidden="0"/>
    </dxf>
    <dxf>
      <font>
        <strike val="0"/>
        <outline val="0"/>
        <shadow val="0"/>
        <vertAlign val="baseline"/>
        <name val="Calibri"/>
        <family val="2"/>
        <scheme val="minor"/>
      </font>
      <numFmt numFmtId="30" formatCode="@"/>
      <alignment horizontal="center" vertical="center" textRotation="0" wrapText="1" indent="0" justifyLastLine="0" shrinkToFit="0" readingOrder="2"/>
      <protection locked="0" hidden="0"/>
    </dxf>
    <dxf>
      <font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numFmt numFmtId="30" formatCode="@"/>
      <alignment horizontal="center" vertical="center" textRotation="0" wrapText="1" indent="0" justifyLastLine="0" shrinkToFit="0" readingOrder="2"/>
      <protection locked="0" hidden="0"/>
    </dxf>
    <dxf>
      <font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center" vertical="center" textRotation="0" wrapText="1" indent="0" justifyLastLine="0" shrinkToFit="0" readingOrder="2"/>
      <protection locked="0" hidden="0"/>
    </dxf>
    <dxf>
      <font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center" vertical="center" textRotation="0" wrapText="1" indent="0" justifyLastLine="0" shrinkToFit="0" readingOrder="2"/>
      <protection locked="0" hidden="0"/>
    </dxf>
    <dxf>
      <font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center" vertical="center" textRotation="0" wrapText="1" indent="0" justifyLastLine="0" shrinkToFit="0" readingOrder="2"/>
      <protection locked="0" hidden="0"/>
    </dxf>
    <dxf>
      <font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center" vertical="center" textRotation="0" wrapText="1" indent="0" justifyLastLine="0" shrinkToFit="0" readingOrder="2"/>
      <protection locked="0" hidden="0"/>
    </dxf>
    <dxf>
      <font>
        <b/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center" vertical="center" textRotation="0" wrapText="1" indent="0" justifyLastLine="0" shrinkToFit="0" readingOrder="2"/>
      <protection locked="1" hidden="0"/>
    </dxf>
    <dxf>
      <font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center" vertical="center" textRotation="0" wrapText="1" indent="0" justifyLastLine="0" shrinkToFit="0" readingOrder="2"/>
      <protection locked="0" hidden="0"/>
    </dxf>
    <dxf>
      <font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center" vertical="center" textRotation="0" wrapText="1" indent="0" justifyLastLine="0" shrinkToFit="0" readingOrder="2"/>
      <protection locked="0" hidden="0"/>
    </dxf>
    <dxf>
      <font>
        <b/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center" vertical="center" textRotation="0" wrapText="1" indent="0" justifyLastLine="0" shrinkToFit="0" readingOrder="2"/>
      <protection locked="0" hidden="0"/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alignment horizontal="right" vertical="center" textRotation="0" wrapText="1" indent="0" justifyLastLine="0" shrinkToFit="0" readingOrder="2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alignment horizontal="center" vertical="center" textRotation="0" wrapText="1" indent="0" justifyLastLine="0" shrinkToFit="0" readingOrder="2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alignment horizontal="center" vertical="center" textRotation="0" wrapText="1" indent="0" justifyLastLine="0" shrinkToFit="0" readingOrder="2"/>
    </dxf>
    <dxf>
      <alignment horizontal="center" vertical="center" textRotation="0" wrapText="1" indent="0" justifyLastLine="0" shrinkToFit="0" readingOrder="2"/>
    </dxf>
    <dxf>
      <alignment horizontal="center" vertical="center" textRotation="0" wrapText="1" indent="0" justifyLastLine="0" shrinkToFit="0" readingOrder="2"/>
    </dxf>
    <dxf>
      <alignment horizontal="center" vertical="center" textRotation="0" wrapText="1" indent="0" justifyLastLine="0" shrinkToFit="0" readingOrder="2"/>
    </dxf>
    <dxf>
      <alignment horizontal="center" vertical="center" textRotation="0" indent="0" justifyLastLine="0" shrinkToFit="0" readingOrder="2"/>
    </dxf>
    <dxf>
      <alignment horizontal="center" vertical="center" textRotation="0" indent="0" justifyLastLine="0" shrinkToFit="0" readingOrder="2"/>
    </dxf>
    <dxf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2"/>
    </dxf>
    <dxf>
      <alignment horizontal="center" vertical="center" textRotation="0" wrapText="1" indent="0" justifyLastLine="0" shrinkToFit="0" readingOrder="2"/>
    </dxf>
    <dxf>
      <alignment horizontal="center" vertical="center" textRotation="0" wrapText="1" indent="0" justifyLastLine="0" shrinkToFit="0" readingOrder="2"/>
    </dxf>
    <dxf>
      <alignment horizontal="center" vertical="center" textRotation="0" wrapText="1" indent="0" justifyLastLine="0" shrinkToFit="0" readingOrder="2"/>
    </dxf>
    <dxf>
      <alignment horizontal="center" vertical="center" textRotation="0" wrapText="1" indent="0" justifyLastLine="0" shrinkToFit="0" readingOrder="2"/>
    </dxf>
    <dxf>
      <alignment horizontal="center" vertical="center" textRotation="0" wrapText="1" indent="0" justifyLastLine="0" shrinkToFit="0" readingOrder="2"/>
    </dxf>
    <dxf>
      <alignment horizontal="center" vertical="center" textRotation="0" wrapText="1" indent="0" justifyLastLine="0" shrinkToFit="0" readingOrder="2"/>
    </dxf>
    <dxf>
      <alignment horizontal="center" vertical="center" textRotation="0" wrapText="1" indent="0" justifyLastLine="0" shrinkToFit="0" readingOrder="2"/>
    </dxf>
    <dxf>
      <alignment horizontal="center" vertical="center" textRotation="0" wrapText="1" indent="0" justifyLastLine="0" shrinkToFit="0" readingOrder="2"/>
    </dxf>
    <dxf>
      <alignment horizontal="center" vertical="center" textRotation="0" wrapText="1" indent="0" justifyLastLine="0" shrinkToFit="0" readingOrder="2"/>
    </dxf>
    <dxf>
      <alignment horizontal="center" vertical="center" textRotation="0" wrapText="1" indent="0" justifyLastLine="0" shrinkToFit="0" readingOrder="2"/>
    </dxf>
    <dxf>
      <alignment horizontal="center" vertical="center" textRotation="0" wrapText="1" indent="0" justifyLastLine="0" shrinkToFit="0" readingOrder="2"/>
    </dxf>
    <dxf>
      <alignment horizontal="center" vertical="center" textRotation="0" wrapText="1" indent="0" justifyLastLine="0" shrinkToFit="0" readingOrder="2"/>
    </dxf>
    <dxf>
      <alignment horizontal="center" vertical="center" textRotation="0" wrapText="1" indent="0" justifyLastLine="0" shrinkToFit="0" readingOrder="2"/>
    </dxf>
    <dxf>
      <alignment horizontal="center" vertical="center" textRotation="0" wrapText="1" indent="0" justifyLastLine="0" shrinkToFit="0" readingOrder="2"/>
    </dxf>
    <dxf>
      <alignment horizontal="center" vertical="center" textRotation="0" wrapText="1" indent="0" justifyLastLine="0" shrinkToFit="0" readingOrder="2"/>
    </dxf>
    <dxf>
      <alignment horizontal="center" vertical="center" textRotation="0" wrapText="1" indent="0" justifyLastLine="0" shrinkToFit="0" readingOrder="2"/>
    </dxf>
    <dxf>
      <alignment horizontal="center" vertical="center" textRotation="0" wrapText="1" indent="0" justifyLastLine="0" shrinkToFit="0" readingOrder="2"/>
    </dxf>
    <dxf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color theme="1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color theme="1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color theme="1"/>
        <name val="Calibri"/>
        <scheme val="minor"/>
      </font>
      <alignment horizontal="center" vertical="center" textRotation="0" wrapText="1" indent="0" justifyLastLine="0" shrinkToFit="0" readingOrder="2"/>
    </dxf>
    <dxf>
      <font>
        <b/>
        <strike val="0"/>
        <outline val="0"/>
        <shadow val="0"/>
        <u val="none"/>
        <vertAlign val="baseline"/>
        <sz val="12"/>
        <color theme="1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vertAlign val="baseline"/>
        <name val="Calibri"/>
        <family val="2"/>
        <scheme val="minor"/>
      </font>
      <alignment horizontal="center" vertical="center" textRotation="0" wrapText="1" indent="0" justifyLastLine="0" shrinkToFit="0" readingOrder="2"/>
      <protection locked="1" hidden="0"/>
    </dxf>
    <dxf>
      <font>
        <strike val="0"/>
        <outline val="0"/>
        <shadow val="0"/>
        <vertAlign val="baseline"/>
        <name val="Calibri"/>
        <family val="2"/>
        <scheme val="minor"/>
      </font>
      <alignment horizontal="center" vertical="center" textRotation="0" wrapText="1" indent="0" justifyLastLine="0" shrinkToFit="0" readingOrder="2"/>
      <protection locked="1" hidden="0"/>
    </dxf>
    <dxf>
      <font>
        <strike val="0"/>
        <outline val="0"/>
        <shadow val="0"/>
        <vertAlign val="baseline"/>
        <name val="Calibri"/>
        <family val="2"/>
        <scheme val="minor"/>
      </font>
      <alignment horizontal="center" vertical="center" textRotation="0" wrapText="1" indent="0" justifyLastLine="0" shrinkToFit="0" readingOrder="2"/>
      <protection locked="1" hidden="0"/>
    </dxf>
    <dxf>
      <alignment horizontal="center" vertical="center" textRotation="0" wrapText="1" indent="0" justifyLastLine="0" shrinkToFit="0" readingOrder="2"/>
    </dxf>
    <dxf>
      <alignment horizontal="center" vertical="center" textRotation="0" wrapText="1" indent="0" justifyLastLine="0" shrinkToFit="0" readingOrder="2"/>
    </dxf>
    <dxf>
      <alignment horizontal="center" vertical="center" textRotation="0" wrapText="1" indent="0" justifyLastLine="0" shrinkToFit="0" readingOrder="2"/>
    </dxf>
    <dxf>
      <alignment horizontal="center" vertical="center" textRotation="0" wrapText="1" indent="0" justifyLastLine="0" shrinkToFit="0" readingOrder="2"/>
    </dxf>
    <dxf>
      <alignment horizontal="center" vertical="center" textRotation="0" wrapText="1" indent="0" justifyLastLine="0" shrinkToFit="0" readingOrder="2"/>
    </dxf>
    <dxf>
      <alignment horizontal="center" vertical="center" textRotation="0" wrapText="1" indent="0" justifyLastLine="0" shrinkToFit="0" readingOrder="2"/>
    </dxf>
    <dxf>
      <font>
        <strike val="0"/>
        <outline val="0"/>
        <shadow val="0"/>
        <vertAlign val="baseline"/>
        <name val="Calibri"/>
        <family val="2"/>
        <scheme val="minor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2"/>
      <protection locked="0" hidden="0"/>
    </dxf>
    <dxf>
      <font>
        <strike val="0"/>
        <outline val="0"/>
        <shadow val="0"/>
        <vertAlign val="baseline"/>
        <name val="Calibri"/>
        <family val="2"/>
        <scheme val="minor"/>
      </font>
      <numFmt numFmtId="30" formatCode="@"/>
      <alignment horizontal="center" vertical="center" textRotation="0" wrapText="1" indent="0" justifyLastLine="0" shrinkToFit="0" readingOrder="2"/>
      <border diagonalUp="0" diagonalDown="0" outline="0">
        <left/>
        <right/>
        <top/>
        <bottom style="medium">
          <color indexed="64"/>
        </bottom>
      </border>
      <protection locked="0" hidden="0"/>
    </dxf>
    <dxf>
      <font>
        <strike val="0"/>
        <outline val="0"/>
        <shadow val="0"/>
        <vertAlign val="baseline"/>
        <name val="Calibri"/>
        <family val="2"/>
        <scheme val="minor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2"/>
      <protection locked="0" hidden="0"/>
    </dxf>
    <dxf>
      <font>
        <strike val="0"/>
        <outline val="0"/>
        <shadow val="0"/>
        <vertAlign val="baseline"/>
        <name val="Calibri"/>
        <family val="2"/>
        <scheme val="minor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2"/>
      <protection locked="0" hidden="0"/>
    </dxf>
    <dxf>
      <font>
        <strike val="0"/>
        <outline val="0"/>
        <shadow val="0"/>
        <vertAlign val="baseline"/>
        <name val="Calibri"/>
        <family val="2"/>
        <scheme val="minor"/>
      </font>
      <numFmt numFmtId="170" formatCode="#,##0;[Red]#,##0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2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alignment horizontal="center" vertical="center" textRotation="0" wrapText="1" indent="0" justifyLastLine="0" shrinkToFit="0" readingOrder="2"/>
      <border diagonalUp="0" diagonalDown="0">
        <left/>
        <right/>
        <top/>
        <bottom style="medium">
          <color indexed="64"/>
        </bottom>
        <vertical/>
        <horizontal/>
      </border>
      <protection locked="0" hidden="0"/>
    </dxf>
    <dxf>
      <font>
        <strike val="0"/>
        <outline val="0"/>
        <shadow val="0"/>
        <vertAlign val="baseline"/>
        <name val="Calibri"/>
        <family val="2"/>
        <scheme val="minor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2"/>
      <protection locked="0" hidden="0"/>
    </dxf>
    <dxf>
      <font>
        <strike val="0"/>
        <outline val="0"/>
        <shadow val="0"/>
        <vertAlign val="baseline"/>
        <name val="Calibri"/>
        <family val="2"/>
        <scheme val="minor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2"/>
      <protection locked="0" hidden="0"/>
    </dxf>
    <dxf>
      <font>
        <strike val="0"/>
        <outline val="0"/>
        <shadow val="0"/>
        <vertAlign val="baseline"/>
        <name val="Calibri"/>
        <family val="2"/>
        <scheme val="minor"/>
      </font>
      <alignment textRotation="0" wrapText="1" indent="0" justifyLastLine="0" shrinkToFit="0" readingOrder="2"/>
      <protection locked="0" hidden="0"/>
    </dxf>
    <dxf>
      <font>
        <strike val="0"/>
        <outline val="0"/>
        <shadow val="0"/>
        <vertAlign val="baseline"/>
        <name val="Calibri"/>
        <family val="2"/>
        <scheme val="minor"/>
      </font>
      <alignment horizontal="center" vertical="center" textRotation="0" wrapText="1" indent="0" justifyLastLine="0" shrinkToFit="0" readingOrder="2"/>
      <protection locked="0" hidden="0"/>
    </dxf>
    <dxf>
      <font>
        <strike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alignment horizontal="center" vertical="center" textRotation="0" wrapText="1" indent="0" justifyLastLine="0" shrinkToFit="0" readingOrder="2"/>
      <protection locked="0" hidden="0"/>
    </dxf>
    <dxf>
      <alignment horizontal="center" vertical="center" textRotation="0" wrapText="1" indent="0" justifyLastLine="0" shrinkToFit="0" readingOrder="2"/>
      <protection locked="0" hidden="0"/>
    </dxf>
    <dxf>
      <alignment horizontal="center" vertical="center" textRotation="0" wrapText="1" indent="0" justifyLastLine="0" shrinkToFit="0" readingOrder="2"/>
      <protection locked="0" hidden="0"/>
    </dxf>
    <dxf>
      <alignment horizontal="center" vertical="center" textRotation="0" wrapText="1" indent="0" justifyLastLine="0" shrinkToFit="0" readingOrder="2"/>
      <protection locked="1" hidden="0"/>
    </dxf>
    <dxf>
      <alignment horizontal="center" vertical="center" textRotation="0" wrapText="1" indent="0" justifyLastLine="0" shrinkToFit="0" readingOrder="2"/>
      <protection locked="0" hidden="0"/>
    </dxf>
    <dxf>
      <alignment horizontal="center" vertical="center" textRotation="0" wrapText="1" indent="0" justifyLastLine="0" shrinkToFit="0" readingOrder="2"/>
      <protection locked="0" hidden="0"/>
    </dxf>
    <dxf>
      <alignment horizontal="center" vertical="center" textRotation="0" wrapText="1" indent="0" justifyLastLine="0" shrinkToFit="0" readingOrder="2"/>
      <protection locked="1" hidden="0"/>
    </dxf>
    <dxf>
      <protection locked="0" hidden="0"/>
    </dxf>
    <dxf>
      <alignment horizontal="center" vertical="center" textRotation="0" wrapText="1" indent="0" justifyLastLine="0" shrinkToFit="0" readingOrder="2"/>
      <protection locked="0" hidden="0"/>
    </dxf>
    <dxf>
      <font>
        <b/>
      </font>
      <alignment horizontal="center" vertical="center" textRotation="0" wrapText="1" indent="0" justifyLastLine="0" shrinkToFit="0" readingOrder="2"/>
      <protection locked="0" hidden="0"/>
    </dxf>
    <dxf>
      <alignment horizontal="center" vertical="center" textRotation="0" wrapText="1" indent="0" justifyLastLine="0" shrinkToFit="0" readingOrder="2"/>
    </dxf>
    <dxf>
      <alignment horizontal="center" vertical="center" textRotation="0" wrapText="1" indent="0" justifyLastLine="0" shrinkToFit="0" readingOrder="2"/>
    </dxf>
    <dxf>
      <alignment horizontal="center" vertical="center" textRotation="0" wrapText="1" indent="0" justifyLastLine="0" shrinkToFit="0" readingOrder="2"/>
    </dxf>
    <dxf>
      <font>
        <strike val="0"/>
        <outline val="0"/>
        <shadow val="0"/>
        <vertAlign val="baseline"/>
        <name val="Calibri"/>
        <family val="2"/>
        <scheme val="minor"/>
      </font>
      <alignment horizontal="center" vertical="center" textRotation="0" wrapText="1" indent="0" justifyLastLine="0" shrinkToFit="0" readingOrder="2"/>
      <protection locked="1" hidden="0"/>
    </dxf>
    <dxf>
      <font>
        <strike val="0"/>
        <outline val="0"/>
        <shadow val="0"/>
        <vertAlign val="baseline"/>
        <name val="Calibri"/>
        <family val="2"/>
        <scheme val="minor"/>
      </font>
      <alignment horizontal="center" vertical="center" textRotation="0" wrapText="1" indent="0" justifyLastLine="0" shrinkToFit="0" readingOrder="2"/>
      <protection locked="1" hidden="0"/>
    </dxf>
    <dxf>
      <font>
        <strike val="0"/>
        <outline val="0"/>
        <shadow val="0"/>
        <vertAlign val="baseline"/>
        <name val="Calibri"/>
        <family val="2"/>
        <scheme val="minor"/>
      </font>
      <alignment horizontal="center" vertical="center" textRotation="0" wrapText="1" indent="0" justifyLastLine="0" shrinkToFit="0" readingOrder="2"/>
      <protection locked="1" hidden="0"/>
    </dxf>
    <dxf>
      <font>
        <strike val="0"/>
        <outline val="0"/>
        <shadow val="0"/>
        <vertAlign val="baseline"/>
        <name val="Calibri"/>
        <family val="2"/>
        <scheme val="minor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2"/>
      <protection locked="0" hidden="0"/>
    </dxf>
    <dxf>
      <font>
        <strike val="0"/>
        <outline val="0"/>
        <shadow val="0"/>
        <vertAlign val="baseline"/>
        <name val="Calibri"/>
        <family val="2"/>
        <scheme val="minor"/>
      </font>
      <numFmt numFmtId="30" formatCode="@"/>
      <alignment horizontal="center" vertical="center" textRotation="0" wrapText="1" indent="0" justifyLastLine="0" shrinkToFit="0" readingOrder="2"/>
      <border diagonalUp="0" diagonalDown="0" outline="0">
        <left/>
        <right/>
        <top/>
        <bottom style="medium">
          <color indexed="64"/>
        </bottom>
      </border>
      <protection locked="0" hidden="0"/>
    </dxf>
    <dxf>
      <font>
        <strike val="0"/>
        <outline val="0"/>
        <shadow val="0"/>
        <vertAlign val="baseline"/>
        <name val="Calibri"/>
        <family val="2"/>
        <scheme val="minor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2"/>
      <protection locked="0" hidden="0"/>
    </dxf>
    <dxf>
      <font>
        <strike val="0"/>
        <outline val="0"/>
        <shadow val="0"/>
        <vertAlign val="baseline"/>
        <name val="Calibri"/>
        <family val="2"/>
        <scheme val="minor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2"/>
      <protection locked="0" hidden="0"/>
    </dxf>
    <dxf>
      <font>
        <strike val="0"/>
        <outline val="0"/>
        <shadow val="0"/>
        <vertAlign val="baseline"/>
        <name val="Calibri"/>
        <family val="2"/>
        <scheme val="minor"/>
      </font>
      <numFmt numFmtId="170" formatCode="#,##0;[Red]#,##0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2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alignment horizontal="center" vertical="center" textRotation="0" wrapText="1" indent="0" justifyLastLine="0" shrinkToFit="0" readingOrder="2"/>
      <border diagonalUp="0" diagonalDown="0">
        <left/>
        <right/>
        <top/>
        <bottom style="medium">
          <color indexed="64"/>
        </bottom>
        <vertical/>
        <horizontal/>
      </border>
      <protection locked="0" hidden="0"/>
    </dxf>
    <dxf>
      <font>
        <strike val="0"/>
        <outline val="0"/>
        <shadow val="0"/>
        <vertAlign val="baseline"/>
        <name val="Calibri"/>
        <family val="2"/>
        <scheme val="minor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2"/>
      <protection locked="0" hidden="0"/>
    </dxf>
    <dxf>
      <font>
        <strike val="0"/>
        <outline val="0"/>
        <shadow val="0"/>
        <vertAlign val="baseline"/>
        <name val="Calibri"/>
        <family val="2"/>
        <scheme val="minor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2"/>
      <protection locked="0" hidden="0"/>
    </dxf>
    <dxf>
      <font>
        <strike val="0"/>
        <outline val="0"/>
        <shadow val="0"/>
        <vertAlign val="baseline"/>
        <name val="Calibri"/>
        <family val="2"/>
        <scheme val="minor"/>
      </font>
      <alignment textRotation="0" wrapText="1" indent="0" justifyLastLine="0" shrinkToFit="0" readingOrder="2"/>
      <protection locked="0" hidden="0"/>
    </dxf>
    <dxf>
      <font>
        <strike val="0"/>
        <outline val="0"/>
        <shadow val="0"/>
        <vertAlign val="baseline"/>
        <name val="Calibri"/>
        <family val="2"/>
        <scheme val="minor"/>
      </font>
      <alignment horizontal="center" vertical="center" textRotation="0" wrapText="1" indent="0" justifyLastLine="0" shrinkToFit="0" readingOrder="2"/>
      <protection locked="0" hidden="0"/>
    </dxf>
    <dxf>
      <font>
        <strike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alignment horizontal="center" vertical="center" textRotation="0" wrapText="1" indent="0" justifyLastLine="0" shrinkToFit="0" readingOrder="2"/>
      <protection locked="0" hidden="0"/>
    </dxf>
    <dxf>
      <font>
        <strike val="0"/>
        <outline val="0"/>
        <shadow val="0"/>
        <vertAlign val="baseline"/>
        <name val="Calibri"/>
        <family val="2"/>
        <scheme val="minor"/>
      </font>
      <numFmt numFmtId="30" formatCode="@"/>
      <alignment horizontal="center" vertical="center" textRotation="0" wrapText="1" indent="0" justifyLastLine="0" shrinkToFit="0" readingOrder="2"/>
      <protection locked="1" hidden="0"/>
    </dxf>
    <dxf>
      <font>
        <strike val="0"/>
        <outline val="0"/>
        <shadow val="0"/>
        <vertAlign val="baseline"/>
        <name val="Calibri"/>
        <family val="2"/>
        <scheme val="minor"/>
      </font>
      <numFmt numFmtId="30" formatCode="@"/>
      <alignment horizontal="center" vertical="center" textRotation="0" wrapText="1" indent="0" justifyLastLine="0" shrinkToFit="0" readingOrder="2"/>
      <protection locked="1" hidden="0"/>
    </dxf>
    <dxf>
      <font>
        <strike val="0"/>
        <outline val="0"/>
        <shadow val="0"/>
        <vertAlign val="baseline"/>
        <name val="Calibri"/>
        <family val="2"/>
        <scheme val="minor"/>
      </font>
      <alignment horizontal="center" vertical="center" textRotation="0" wrapText="1" indent="0" justifyLastLine="0" shrinkToFit="0" readingOrder="2"/>
      <protection locked="1" hidden="0"/>
    </dxf>
    <dxf>
      <font>
        <strike val="0"/>
        <outline val="0"/>
        <shadow val="0"/>
        <u val="none"/>
        <vertAlign val="baseline"/>
        <sz val="12"/>
        <color theme="1"/>
        <name val="Calibri"/>
        <scheme val="minor"/>
      </font>
      <numFmt numFmtId="30" formatCode="@"/>
      <alignment horizontal="center" vertical="center" textRotation="0" wrapText="1" indent="0" justifyLastLine="0" shrinkToFit="0" readingOrder="2"/>
      <protection locked="0" hidden="0"/>
    </dxf>
    <dxf>
      <font>
        <strike val="0"/>
        <outline val="0"/>
        <shadow val="0"/>
        <u val="none"/>
        <vertAlign val="baseline"/>
        <sz val="12"/>
        <color theme="1"/>
        <name val="Calibri"/>
        <scheme val="minor"/>
      </font>
      <numFmt numFmtId="30" formatCode="@"/>
      <alignment horizontal="center" vertical="center" textRotation="0" wrapText="1" indent="0" justifyLastLine="0" shrinkToFit="0" readingOrder="2"/>
      <protection locked="0" hidden="0"/>
    </dxf>
    <dxf>
      <font>
        <strike val="0"/>
        <outline val="0"/>
        <shadow val="0"/>
        <u val="none"/>
        <vertAlign val="baseline"/>
        <sz val="12"/>
        <color theme="1"/>
        <name val="Calibri"/>
        <scheme val="minor"/>
      </font>
      <numFmt numFmtId="165" formatCode="#,##0_-[$ريال-429]"/>
      <alignment horizontal="center" vertical="center" textRotation="0" wrapText="1" indent="0" justifyLastLine="0" shrinkToFit="0" readingOrder="2"/>
      <protection locked="1" hidden="0"/>
    </dxf>
    <dxf>
      <font>
        <strike val="0"/>
        <outline val="0"/>
        <shadow val="0"/>
        <u val="none"/>
        <vertAlign val="baseline"/>
        <sz val="12"/>
        <color theme="1"/>
        <name val="Calibri"/>
        <scheme val="minor"/>
      </font>
      <alignment horizontal="center" vertical="center" textRotation="0" wrapText="1" indent="0" justifyLastLine="0" shrinkToFit="0" readingOrder="2"/>
      <protection locked="0" hidden="0"/>
    </dxf>
    <dxf>
      <font>
        <strike val="0"/>
        <outline val="0"/>
        <shadow val="0"/>
        <u val="none"/>
        <vertAlign val="baseline"/>
        <sz val="12"/>
        <color theme="1"/>
        <name val="Calibri"/>
        <scheme val="minor"/>
      </font>
      <alignment horizontal="center" vertical="center" textRotation="0" wrapText="1" indent="0" justifyLastLine="0" shrinkToFit="0" readingOrder="2"/>
      <protection locked="0" hidden="0"/>
    </dxf>
    <dxf>
      <font>
        <strike val="0"/>
        <outline val="0"/>
        <shadow val="0"/>
        <u val="none"/>
        <vertAlign val="baseline"/>
        <sz val="12"/>
        <color theme="1"/>
        <name val="Calibri"/>
        <scheme val="minor"/>
      </font>
      <numFmt numFmtId="165" formatCode="#,##0_-[$ريال-429]"/>
      <alignment horizontal="center" vertical="center" textRotation="0" wrapText="1" indent="0" justifyLastLine="0" shrinkToFit="0" readingOrder="2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alignment horizontal="center" vertical="center" textRotation="0" wrapText="1" indent="0" justifyLastLine="0" shrinkToFit="0" readingOrder="2"/>
      <protection locked="0" hidden="0"/>
    </dxf>
    <dxf>
      <font>
        <strike val="0"/>
        <outline val="0"/>
        <shadow val="0"/>
        <u val="none"/>
        <vertAlign val="baseline"/>
        <sz val="12"/>
        <color theme="1"/>
        <name val="Calibri"/>
        <scheme val="minor"/>
      </font>
      <alignment horizontal="center" vertical="center" textRotation="0" wrapText="1" indent="0" justifyLastLine="0" shrinkToFit="0" readingOrder="2"/>
      <protection locked="0" hidden="0"/>
    </dxf>
    <dxf>
      <font>
        <strike val="0"/>
        <outline val="0"/>
        <shadow val="0"/>
        <u val="none"/>
        <vertAlign val="baseline"/>
        <sz val="12"/>
        <color theme="1"/>
        <name val="Calibri"/>
        <scheme val="minor"/>
      </font>
      <alignment horizontal="center" vertical="center" textRotation="0" wrapText="1" indent="0" justifyLastLine="0" shrinkToFit="0" readingOrder="2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numFmt numFmtId="0" formatCode="General"/>
      <alignment horizontal="center" vertical="center" textRotation="0" wrapText="1" indent="0" justifyLastLine="0" shrinkToFit="0" readingOrder="2"/>
      <protection locked="0" hidden="0"/>
    </dxf>
    <dxf>
      <font>
        <strike val="0"/>
        <outline val="0"/>
        <shadow val="0"/>
        <u val="none"/>
        <vertAlign val="baseline"/>
        <sz val="12"/>
        <color theme="1"/>
        <name val="Calibri"/>
        <scheme val="minor"/>
      </font>
      <numFmt numFmtId="30" formatCode="@"/>
      <alignment horizontal="center" vertical="center" textRotation="0" wrapText="1" indent="0" justifyLastLine="0" shrinkToFit="0" readingOrder="2"/>
      <protection locked="0" hidden="0"/>
    </dxf>
    <dxf>
      <font>
        <strike val="0"/>
        <outline val="0"/>
        <shadow val="0"/>
        <u val="none"/>
        <vertAlign val="baseline"/>
        <sz val="12"/>
        <color theme="1"/>
        <name val="Calibri"/>
        <scheme val="minor"/>
      </font>
      <numFmt numFmtId="30" formatCode="@"/>
      <alignment horizontal="center" vertical="center" textRotation="0" wrapText="1" indent="0" justifyLastLine="0" shrinkToFit="0" readingOrder="2"/>
      <protection locked="0" hidden="0"/>
    </dxf>
    <dxf>
      <font>
        <strike val="0"/>
        <outline val="0"/>
        <shadow val="0"/>
        <u val="none"/>
        <vertAlign val="baseline"/>
        <sz val="12"/>
        <color theme="1"/>
        <name val="Calibri"/>
        <scheme val="minor"/>
      </font>
      <alignment horizontal="center" vertical="center" textRotation="0" wrapText="1" indent="0" justifyLastLine="0" shrinkToFit="0" readingOrder="2"/>
      <protection locked="0" hidden="0"/>
    </dxf>
    <dxf>
      <font>
        <strike val="0"/>
        <outline val="0"/>
        <shadow val="0"/>
        <u val="none"/>
        <vertAlign val="baseline"/>
        <sz val="12"/>
        <color theme="1"/>
        <name val="Calibri"/>
        <scheme val="minor"/>
      </font>
      <numFmt numFmtId="1" formatCode="0"/>
      <alignment horizontal="center" vertical="center" textRotation="0" wrapText="1" indent="0" justifyLastLine="0" shrinkToFit="0" readingOrder="2"/>
      <protection locked="0" hidden="0"/>
    </dxf>
    <dxf>
      <font>
        <strike val="0"/>
        <outline val="0"/>
        <shadow val="0"/>
        <u val="none"/>
        <vertAlign val="baseline"/>
        <sz val="12"/>
        <color theme="1"/>
        <name val="Calibri"/>
        <scheme val="minor"/>
      </font>
      <alignment horizontal="center" vertical="center" textRotation="0" wrapText="1" indent="0" justifyLastLine="0" shrinkToFit="0" readingOrder="2"/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alignment horizontal="center" vertical="center" textRotation="0" wrapText="0" indent="0" justifyLastLine="0" shrinkToFit="0" readingOrder="0"/>
      <protection locked="1" hidden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externalLink" Target="externalLinks/externalLink1.xml"/><Relationship Id="rId30" Type="http://schemas.openxmlformats.org/officeDocument/2006/relationships/sharedStrings" Target="sharedStrings.xml"/><Relationship Id="rId8" Type="http://schemas.openxmlformats.org/officeDocument/2006/relationships/worksheet" Target="worksheets/sheet8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Personal%20accounting%20office/Personal/Personal%20Accountant%20-%20For%20My%20V2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چک نویس"/>
      <sheetName val="فهرست"/>
      <sheetName val="تراکنش‌ها"/>
      <sheetName val="برنامه و بودجه بندی"/>
      <sheetName val="مدیریت سرمایه‌‌گذاری"/>
      <sheetName val="مدیریت کالا‌ها"/>
      <sheetName val="مدیریت منزل"/>
      <sheetName val="مدیریت وام و اقساط"/>
      <sheetName val="مدیریت چک‌ها"/>
      <sheetName val="مدیریت بدهی‌ها-طلب‌ها"/>
      <sheetName val="برنامه ریزی پرداخت‌ها"/>
      <sheetName val="تقویم"/>
      <sheetName val="گزارش فعالیت‌های ماه جاری"/>
      <sheetName val="گزارش دریافت‌ها"/>
      <sheetName val="گزارش پرداخت‌ها"/>
      <sheetName val="گزارش انتقال‌ها"/>
      <sheetName val="گروه‌‌های درآمدی"/>
      <sheetName val="گزارش گروه‌های دریافتی"/>
      <sheetName val="گروه‌‌های (بابت‌ها) هزینه"/>
      <sheetName val="گزارش گروه‌های پرداختی"/>
      <sheetName val="گروه‌های انتقال"/>
      <sheetName val="گزارش گروه‌های انتقال"/>
      <sheetName val="جست و جو"/>
      <sheetName val="دریافت کنندگان - پرداخت کنندگان"/>
      <sheetName val="تنظیمات حساب"/>
      <sheetName val="تنظیمات دفترچه"/>
      <sheetName val="راهنما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/>
      <sheetData sheetId="17" refreshError="1"/>
      <sheetData sheetId="18"/>
      <sheetData sheetId="19" refreshError="1"/>
      <sheetData sheetId="20" refreshError="1"/>
      <sheetData sheetId="21" refreshError="1"/>
      <sheetData sheetId="22" refreshError="1"/>
      <sheetData sheetId="23"/>
      <sheetData sheetId="24"/>
      <sheetData sheetId="25"/>
      <sheetData sheetId="26" refreshError="1"/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0000000}" name="Tarakonesh" displayName="Tarakonesh" ref="A7:N507" totalsRowShown="0" headerRowDxfId="409" dataDxfId="408">
  <autoFilter ref="A7:N507" xr:uid="{00000000-0009-0000-0100-000003000000}"/>
  <tableColumns count="14">
    <tableColumn id="1" xr3:uid="{00000000-0010-0000-0000-000001000000}" name="ردیف" dataDxfId="407"/>
    <tableColumn id="2" xr3:uid="{00000000-0010-0000-0000-000002000000}" name="افراد (اعضا)" dataDxfId="406"/>
    <tableColumn id="4" xr3:uid="{00000000-0010-0000-0000-000004000000}" name="تاریخ" dataDxfId="405"/>
    <tableColumn id="5" xr3:uid="{00000000-0010-0000-0000-000005000000}" name="عنوان" dataDxfId="404"/>
    <tableColumn id="14" xr3:uid="{00000000-0010-0000-0000-00000E000000}" name="تراکنش" dataDxfId="403"/>
    <tableColumn id="6" xr3:uid="{00000000-0010-0000-0000-000006000000}" name="گروه (درآمد/هزینه)" dataDxfId="402"/>
    <tableColumn id="7" xr3:uid="{00000000-0010-0000-0000-000007000000}" name="زیر گروه" dataDxfId="401"/>
    <tableColumn id="3" xr3:uid="{00000000-0010-0000-0000-000003000000}" name="روش تراکنش" dataDxfId="400"/>
    <tableColumn id="8" xr3:uid="{00000000-0010-0000-0000-000008000000}" name="مبلغ (ریال)" dataDxfId="399"/>
    <tableColumn id="9" xr3:uid="{00000000-0010-0000-0000-000009000000}" name="پرداخت کننده" dataDxfId="398"/>
    <tableColumn id="10" xr3:uid="{00000000-0010-0000-0000-00000A000000}" name="دریافت کننده" dataDxfId="397"/>
    <tableColumn id="11" xr3:uid="{00000000-0010-0000-0000-00000B000000}" name="مانده حساب‌ها" dataDxfId="396" dataCellStyle="Currency"/>
    <tableColumn id="12" xr3:uid="{00000000-0010-0000-0000-00000C000000}" name="نوع خرج" dataDxfId="395"/>
    <tableColumn id="13" xr3:uid="{00000000-0010-0000-0000-00000D000000}" name="ملاحظات" dataDxfId="394"/>
  </tableColumns>
  <tableStyleInfo name="TableStyleMedium15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6" xr:uid="{E9E23B16-1188-49F9-AA9A-6C8E35696AF9}" name="BudgetTypeTable" displayName="BudgetTypeTable" ref="A14:A32" totalsRowShown="0" headerRowDxfId="393" dataDxfId="392">
  <autoFilter ref="A14:A32" xr:uid="{6AEC4E4F-D138-42A7-8625-32AF6446FB92}"/>
  <tableColumns count="1">
    <tableColumn id="1" xr3:uid="{93761557-8AAB-4CE7-978B-119DB8A02638}" name="جدول نوع بودجه" dataDxfId="391"/>
  </tableColumns>
  <tableStyleInfo name="TableStyleMedium15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9" xr:uid="{DCE0EAC7-8998-4257-AE01-6182C32EC798}" name="BudgetTable" displayName="BudgetTable" ref="D2:K31" totalsRowCount="1" headerRowDxfId="390" dataDxfId="389" totalsRowDxfId="388">
  <autoFilter ref="D2:K30" xr:uid="{42DADA0B-0B6E-471B-8179-A8983A9B7F20}"/>
  <tableColumns count="8">
    <tableColumn id="7" xr3:uid="{46F43D95-9902-48AB-884C-F451DC2D7FAD}" name="نوع" dataDxfId="387" totalsRowDxfId="82"/>
    <tableColumn id="1" xr3:uid="{DD414367-F788-4733-BEA6-377AEC32C3FF}" name="عنوان" totalsRowLabel="مانده:" dataDxfId="386" totalsRowDxfId="81"/>
    <tableColumn id="4" xr3:uid="{134980A4-4BA6-499B-B1F0-88F36A6CD787}" name="اهمیت" dataDxfId="385" totalsRowDxfId="80"/>
    <tableColumn id="2" xr3:uid="{F1FA2425-CBFB-4F05-8BD4-1DF8DC85BFF4}" name="مبلغ بودجه (ریال)" totalsRowFunction="sum" dataDxfId="384" totalsRowDxfId="79"/>
    <tableColumn id="6" xr3:uid="{89994E85-8B50-411A-87FD-D9E3D61DE5CD}" name="عملیات و تاریخ  مقرر " dataDxfId="383" totalsRowDxfId="78"/>
    <tableColumn id="3" xr3:uid="{5769A98B-C5B5-403D-BB77-C90472D5BF72}" name="ملاحظات" dataDxfId="382" totalsRowDxfId="77"/>
    <tableColumn id="9" xr3:uid="{CAB497DF-1678-41B3-8376-86B9A08D3445}" name="وضعیت عملیات" dataDxfId="381" totalsRowDxfId="76"/>
    <tableColumn id="5" xr3:uid="{182B9E66-EE1A-44DE-B4B4-F623AD05F6F8}" name="لینک رسید و تاریخ عملیات" dataDxfId="380" totalsRowDxfId="75"/>
  </tableColumns>
  <tableStyleInfo name="TableStyleMedium15" showFirstColumn="0" showLastColumn="0" showRowStripes="0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3" xr:uid="{D62D46A7-088F-4632-AE66-1F49CCF96D94}" name="OperationStatusTable" displayName="OperationStatusTable" ref="A34:A42" totalsRowShown="0" headerRowDxfId="379" dataDxfId="378">
  <autoFilter ref="A34:A42" xr:uid="{D62D46A7-088F-4632-AE66-1F49CCF96D94}"/>
  <tableColumns count="1">
    <tableColumn id="1" xr3:uid="{1ADF3900-55E8-4A50-8909-96F1F42EB08A}" name="جدول وضعیت عملیات" dataDxfId="377"/>
  </tableColumns>
  <tableStyleInfo name="TableStyleMedium15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3" xr:uid="{E9807C8F-C7B8-4738-88F1-BE3AF37D98D4}" name="BudgetImportanceTable" displayName="BudgetImportanceTable" ref="A44:A49" totalsRowShown="0" headerRowDxfId="376" dataDxfId="375">
  <autoFilter ref="A44:A49" xr:uid="{E9807C8F-C7B8-4738-88F1-BE3AF37D98D4}"/>
  <tableColumns count="1">
    <tableColumn id="1" xr3:uid="{9E36D182-93FB-4224-89E3-E4497B3B4CEF}" name="جدول اهمیت بودجه" dataDxfId="374"/>
  </tableColumns>
  <tableStyleInfo name="TableStyleMedium1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AED775E-0580-4586-9DD7-1307A295C19A}" name="CommonBillTable" displayName="CommonBillTable" ref="D1:K7" totalsRowCount="1" headerRowDxfId="373" dataDxfId="372" totalsRowDxfId="371">
  <autoFilter ref="D1:K6" xr:uid="{2AED775E-0580-4586-9DD7-1307A295C19A}"/>
  <tableColumns count="8">
    <tableColumn id="1" xr3:uid="{C6B1C087-18D2-4286-906F-B33A7B1F3A07}" name="ردیف" totalsRowLabel="Total" dataDxfId="106" totalsRowDxfId="98"/>
    <tableColumn id="2" xr3:uid="{C66CC0FB-71CE-4604-9CCE-83F8274F9FDE}" name="تاریخ" dataDxfId="105" totalsRowDxfId="97"/>
    <tableColumn id="3" xr3:uid="{F65E6844-8F46-4532-A822-05752BCB35D3}" name="بابت" dataDxfId="104" totalsRowDxfId="96"/>
    <tableColumn id="4" xr3:uid="{44B522F5-C660-407E-B343-594A19F54E50}" name="مبلغ (ریال)" totalsRowFunction="sum" dataDxfId="103" totalsRowDxfId="95"/>
    <tableColumn id="15" xr3:uid="{EF2F91E4-B493-4D1D-A280-C7E4262BA70B}" name="پرداخت کننده" dataDxfId="102" totalsRowDxfId="94"/>
    <tableColumn id="5" xr3:uid="{981E60EF-5ABE-44B1-BAC8-AF37CEDEBBC1}" name="دریافت کننده" dataDxfId="101" totalsRowDxfId="93"/>
    <tableColumn id="6" xr3:uid="{01F8159F-C048-413D-A233-C70050BAA01C}" name="رسید تراکنش" dataDxfId="100" totalsRowDxfId="92"/>
    <tableColumn id="12" xr3:uid="{E1A50250-48F8-4972-927C-843E1BF519D4}" name="ملاحظات" dataDxfId="99" totalsRowDxfId="91"/>
  </tableColumns>
  <tableStyleInfo name="TableStyleMedium15" showFirstColumn="0" showLastColumn="0" showRowStripes="0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3" xr:uid="{D7482B58-C2C5-4FDD-81DF-E21776CD81FB}" name="SubscriberAccountOwnersTable" displayName="SubscriberAccountOwnersTable" ref="A11:A14" totalsRowShown="0" headerRowDxfId="370" dataDxfId="369">
  <autoFilter ref="A11:A14" xr:uid="{D7482B58-C2C5-4FDD-81DF-E21776CD81FB}"/>
  <tableColumns count="1">
    <tableColumn id="1" xr3:uid="{E48E308C-70AE-458B-80AE-CB0AFB362D2A}" name="لیست مالکان حساب مشترک" dataDxfId="368"/>
  </tableColumns>
  <tableStyleInfo name="TableStyleMedium1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2" xr:uid="{AF54F0D0-8574-41AA-9927-39DC6232EA3E}" name="CommonRecipientsTable" displayName="CommonRecipientsTable" ref="A39:A48" totalsRowShown="0" headerRowDxfId="367" dataDxfId="366">
  <autoFilter ref="A39:A48" xr:uid="{AF54F0D0-8574-41AA-9927-39DC6232EA3E}"/>
  <tableColumns count="1">
    <tableColumn id="1" xr3:uid="{33274848-D34F-4AB5-A6C4-C8CC15B46344}" name="لیست دریافت کنندگان مشترک" dataDxfId="365"/>
  </tableColumns>
  <tableStyleInfo name="TableStyleMedium1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4" xr:uid="{C6BFB907-AF34-4120-8643-C3F3C34D3FF0}" name="CommonEnvironmentBudgetTable140010" displayName="CommonEnvironmentBudgetTable140010" ref="M2:T18" totalsRowCount="1" headerRowDxfId="364" dataDxfId="363" totalsRowDxfId="362">
  <autoFilter ref="M2:T17" xr:uid="{C6BFB907-AF34-4120-8643-C3F3C34D3FF0}"/>
  <tableColumns count="8">
    <tableColumn id="7" xr3:uid="{906DA9B9-89A5-4F98-AA00-A40DFF1D5937}" name="نوع" dataDxfId="361" totalsRowDxfId="90"/>
    <tableColumn id="1" xr3:uid="{32880057-5030-4F5C-9869-8DA0742F486E}" name="عنوان" totalsRowLabel="مانده:" dataDxfId="360" totalsRowDxfId="89"/>
    <tableColumn id="4" xr3:uid="{1B540053-4F04-4C5C-989F-2285DB78C91F}" name="اهمیت" dataDxfId="359" totalsRowDxfId="88"/>
    <tableColumn id="2" xr3:uid="{BA17F4B4-9221-4B24-B220-3D62409234D6}" name="مبلغ بودجه (ریال)" totalsRowFunction="sum" dataDxfId="358" totalsRowDxfId="87"/>
    <tableColumn id="6" xr3:uid="{08546F04-4128-43DC-BD81-70F8F2954FB6}" name="عملیات و تاریخ  مقرر " dataDxfId="357" totalsRowDxfId="86"/>
    <tableColumn id="3" xr3:uid="{03534C5D-3CFA-454E-9637-DA321D548A3B}" name="ملاحظات" dataDxfId="356" totalsRowDxfId="85"/>
    <tableColumn id="9" xr3:uid="{4D6F3F09-8DBB-4F13-8572-898CD150F6E6}" name="وضعیت عملیات" dataDxfId="355" totalsRowDxfId="84"/>
    <tableColumn id="5" xr3:uid="{16061E04-BB85-4A80-AF2A-8C776F386F37}" name="لینک رسید و تاریخ عملیات" dataDxfId="354" totalsRowDxfId="83"/>
  </tableColumns>
  <tableStyleInfo name="TableStyleMedium15" showFirstColumn="0" showLastColumn="0" showRowStripes="0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7" xr:uid="{716586F3-B51A-402D-BE07-BBA97870EDBD}" name="CommonEnvironmentBudgetTypeTable" displayName="CommonEnvironmentBudgetTypeTable" ref="A16:A23" totalsRowShown="0" headerRowDxfId="353" dataDxfId="352">
  <autoFilter ref="A16:A23" xr:uid="{716586F3-B51A-402D-BE07-BBA97870EDBD}"/>
  <tableColumns count="1">
    <tableColumn id="1" xr3:uid="{C690CC00-9AFA-44D6-956F-8D45FB98A6DC}" name="جدول نوع بودجه - ویژه زندگی اشتراکی" dataDxfId="351"/>
  </tableColumns>
  <tableStyleInfo name="TableStyleMedium1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8" xr:uid="{4B80E665-9BAA-46EC-AF32-17B7D47950B0}" name="CommonEnvironmentBudgetImportanceTable" displayName="CommonEnvironmentBudgetImportanceTable" ref="A25:A30" totalsRowShown="0" headerRowDxfId="350" dataDxfId="349">
  <autoFilter ref="A25:A30" xr:uid="{4B80E665-9BAA-46EC-AF32-17B7D47950B0}"/>
  <tableColumns count="1">
    <tableColumn id="1" xr3:uid="{9C94662C-4F72-450D-8631-1BBEFA22DE3D}" name="جدول اهمیت بودجه" dataDxfId="348"/>
  </tableColumns>
  <tableStyleInfo name="TableStyleMedium1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0" xr:uid="{3BF28091-7288-434D-A4E3-3D8467C73E65}" name="CommonEnvironmentOperationStatusTable" displayName="CommonEnvironmentOperationStatusTable" ref="A32:A37" totalsRowShown="0" headerRowDxfId="347" dataDxfId="346">
  <autoFilter ref="A32:A37" xr:uid="{3BF28091-7288-434D-A4E3-3D8467C73E65}"/>
  <tableColumns count="1">
    <tableColumn id="1" xr3:uid="{C739A285-95ED-451F-BBEF-DAE59F639380}" name="جدول وضعیت عملیات" dataDxfId="345"/>
  </tableColumns>
  <tableStyleInfo name="TableStyleMedium15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236D6126-6025-4EEE-BAFF-A2673C3AD091}" name="InputandOutputTable" displayName="InputandOutputTable" ref="A16:A18" totalsRowShown="0" headerRowDxfId="155" dataDxfId="154">
  <autoFilter ref="A16:A18" xr:uid="{C2EF4E78-E6AC-4EA0-9E00-C2B84F1BF519}"/>
  <tableColumns count="1">
    <tableColumn id="1" xr3:uid="{E27689AE-D073-4984-9DD5-68CCE768166C}" name="لیست حالت‌ها" dataDxfId="153"/>
  </tableColumns>
  <tableStyleInfo name="TableStyleMedium15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5" xr:uid="{01C180D1-A6BF-4494-A613-EE1D7447C956}" name="IncomingProductCategoryTable" displayName="IncomingProductCategoryTable" ref="A20:A23" totalsRowShown="0" headerRowDxfId="152" dataDxfId="151">
  <autoFilter ref="A20:A23" xr:uid="{9ED9E0CF-CD90-46B6-9C11-B5D68BDF594B}"/>
  <tableColumns count="1">
    <tableColumn id="1" xr3:uid="{20A92359-65E0-4CF5-92B9-5443337BAF08}" name="دسته ورودی" dataDxfId="150"/>
  </tableColumns>
  <tableStyleInfo name="TableStyleMedium15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1" xr:uid="{B8B6C94A-C5C9-4F71-86C7-76845998A74E}" name="Table63" displayName="Table63" ref="A75:A79" totalsRowShown="0" headerRowDxfId="149" dataDxfId="148">
  <autoFilter ref="A75:A79" xr:uid="{1EAAB8A0-953B-408D-820C-ED446BA2C8F1}"/>
  <tableColumns count="1">
    <tableColumn id="1" xr3:uid="{0466B2E5-ECB0-4069-9BEC-3D2FD403708E}" name="راهنما" dataDxfId="147"/>
  </tableColumns>
  <tableStyleInfo name="TableStyleMedium15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2" xr:uid="{DFB43016-606B-496D-8771-2CCB4DD929D8}" name="OutputProductCategoryTable" displayName="OutputProductCategoryTable" ref="A27:A33" totalsRowShown="0" headerRowDxfId="146" dataDxfId="145">
  <autoFilter ref="A27:A33" xr:uid="{091FC02F-B51E-4B83-888B-9170BA69B5BC}"/>
  <tableColumns count="1">
    <tableColumn id="1" xr3:uid="{7112ED34-3B17-40F0-82A6-4EFB5DE2ED32}" name="دسته خروجی" dataDxfId="144"/>
  </tableColumns>
  <tableStyleInfo name="TableStyleMedium15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4" xr:uid="{2151F6BA-360D-4456-AC99-2AD2CC10440A}" name="ProductDeliveryandRecipientTable" displayName="ProductDeliveryandRecipientTable" ref="A1006:A1019" totalsRowShown="0" headerRowDxfId="143" dataDxfId="142">
  <autoFilter ref="A1006:A1019" xr:uid="{A32A1701-5D97-47AF-9FFB-C12F6E59E782}"/>
  <sortState xmlns:xlrd2="http://schemas.microsoft.com/office/spreadsheetml/2017/richdata2" ref="A1007:A1019">
    <sortCondition ref="A1006:A1019"/>
  </sortState>
  <tableColumns count="1">
    <tableColumn id="1" xr3:uid="{C1453AF1-189B-42C6-8C3F-C0F021B6AC13}" name="لیست تحویل دهنده | گیرنده کالا" dataDxfId="141"/>
  </tableColumns>
  <tableStyleInfo name="TableStyleMedium15" showFirstColumn="0" showLastColumn="0" showRowStripes="1" showColumnStripes="0"/>
</table>
</file>

<file path=xl/tables/table1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5" xr:uid="{FCB77240-DA50-4B68-A31F-6F2252A8E3BD}" name="MainProductCategoryTable" displayName="MainProductCategoryTable" ref="A83:A93" totalsRowShown="0" headerRowDxfId="140" dataDxfId="139">
  <autoFilter ref="A83:A93" xr:uid="{1FC65F67-9592-C849-A57F-DF9DD0F8A292}"/>
  <tableColumns count="1">
    <tableColumn id="1" xr3:uid="{A8C1B820-8069-4573-B755-54F968FDC5C5}" name="لیست دسته کالا" dataDxfId="138"/>
  </tableColumns>
  <tableStyleInfo name="TableStyleMedium15" showFirstColumn="0" showLastColumn="0" showRowStripes="1" showColumnStripes="0"/>
</table>
</file>

<file path=xl/tables/table1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6" xr:uid="{258D621F-988F-4130-B9B9-B3DAED5652BA}" name="جدول66" displayName="جدول66" ref="A97:A300" totalsRowShown="0" headerRowDxfId="137" dataDxfId="136">
  <autoFilter ref="A97:A300" xr:uid="{9657BAD9-7B85-AA49-BF6B-BF438504988B}"/>
  <tableColumns count="1">
    <tableColumn id="1" xr3:uid="{27638823-735A-46EE-B49F-2041D027D648}" name="کالای_دیجیتال" dataDxfId="135"/>
  </tableColumns>
  <tableStyleInfo name="TableStyleMedium15" showFirstColumn="0" showLastColumn="0" showRowStripes="1" showColumnStripes="0"/>
</table>
</file>

<file path=xl/tables/table2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7" xr:uid="{70EBB45D-F3AA-4CBD-9FDD-E637AB0C8970}" name="جدول67" displayName="جدول67" ref="A304:A316" totalsRowShown="0" headerRowDxfId="134" dataDxfId="133">
  <autoFilter ref="A304:A316" xr:uid="{4636600D-4C0E-0345-A74A-FF5D668C38C8}"/>
  <tableColumns count="1">
    <tableColumn id="1" xr3:uid="{3C21D5D7-E4E3-495C-934D-1D422A369ABD}" name="خودرو،_ابزار_و_تجهیزات_صنعتی" dataDxfId="132"/>
  </tableColumns>
  <tableStyleInfo name="TableStyleMedium15" showFirstColumn="0" showLastColumn="0" showRowStripes="1" showColumnStripes="0"/>
</table>
</file>

<file path=xl/tables/table2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8" xr:uid="{49C6D924-2427-4712-A040-A1C5E3EB6EF1}" name="Table65" displayName="Table65" ref="A320:A403" totalsRowShown="0" headerRowDxfId="131" dataDxfId="130">
  <autoFilter ref="A320:A403" xr:uid="{F62A72F6-F562-485B-B23D-FE9A7C22A770}"/>
  <tableColumns count="1">
    <tableColumn id="1" xr3:uid="{CB282EFE-1325-4B5F-A3C9-A95ADC85A5A2}" name="مد_و_پوشاک" dataDxfId="129"/>
  </tableColumns>
  <tableStyleInfo name="TableStyleMedium15" showFirstColumn="0" showLastColumn="0" showRowStripes="1" showColumnStripes="0"/>
</table>
</file>

<file path=xl/tables/table2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9" xr:uid="{8213645D-4A5A-4E58-8484-667D6288C9D1}" name="CommodityInputandOutputTable" displayName="CommodityInputandOutputTable" ref="D2:O9" totalsRowShown="0" headerRowDxfId="128" dataDxfId="31">
  <autoFilter ref="D2:O9" xr:uid="{8DB423BC-62BB-4963-BB3C-71D63DEF414D}"/>
  <tableColumns count="12">
    <tableColumn id="1" xr3:uid="{D2FB81D8-053F-4C66-9D84-FFE500D8CAB6}" name="ردیف" dataDxfId="43"/>
    <tableColumn id="2" xr3:uid="{9B68868D-C629-43FE-9F5F-2930D4BFCD02}" name="تاریخ" dataDxfId="42"/>
    <tableColumn id="3" xr3:uid="{E5A08DB4-721E-450F-925D-B83AA74A5AFF}" name="دسته کالا" dataDxfId="41"/>
    <tableColumn id="4" xr3:uid="{8A338918-1A6A-4B60-B5D0-793C0DE7A54A}" name="گروه کالا" dataDxfId="40"/>
    <tableColumn id="5" xr3:uid="{FFD140E2-1299-4416-A05A-79F9C1455A1E}" name="شرح کالا" dataDxfId="39"/>
    <tableColumn id="12" xr3:uid="{E4D049D9-EE8A-4F8C-BBC0-19B3D7BCD719}" name="تعداد کالا" dataDxfId="38"/>
    <tableColumn id="6" xr3:uid="{28CEB1B7-CAB8-4D1D-ABA9-24E08D8E0821}" name="کالای ورود | خروج" dataDxfId="37"/>
    <tableColumn id="7" xr3:uid="{0A166D41-6596-44C1-9C0E-85DF28A76133}" name="دسته کالای ورود | خروج" dataDxfId="36"/>
    <tableColumn id="8" xr3:uid="{164E1C31-5F59-4D0C-B773-FEB3D7537769}" name="تحویل دهنده کالا" dataDxfId="35"/>
    <tableColumn id="9" xr3:uid="{A258D195-EE18-4B39-AA84-B7390B1A7211}" name="تحویل گیرنده کالا" dataDxfId="34"/>
    <tableColumn id="10" xr3:uid="{8B06EF76-3B64-47B4-8E58-15E598B43F9A}" name="ملاحظات" dataDxfId="33"/>
    <tableColumn id="11" xr3:uid="{A3B7F579-86BE-46C5-922E-55BF4C6801B1}" name="لینک تصویر کالا" dataDxfId="32"/>
  </tableColumns>
  <tableStyleInfo name="TableStyleMedium15" showFirstColumn="0" showLastColumn="0" showRowStripes="1" showColumnStripes="0"/>
</table>
</file>

<file path=xl/tables/table2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0" xr:uid="{4F4075CC-D4CF-40ED-A5B8-AAA4A7E135EE}" name="Table69" displayName="Table69" ref="AE2:AK9" totalsRowShown="0" headerRowDxfId="127" dataDxfId="10">
  <autoFilter ref="AE2:AK9" xr:uid="{0E9F13EA-8A5C-4AB1-827C-F6CA825B4B31}"/>
  <sortState xmlns:xlrd2="http://schemas.microsoft.com/office/spreadsheetml/2017/richdata2" ref="AE3:AK19">
    <sortCondition ref="AI2:AI19"/>
  </sortState>
  <tableColumns count="7">
    <tableColumn id="1" xr3:uid="{88D91054-C8F3-4526-8D45-B566D2F6E55D}" name="ردیف" dataDxfId="9"/>
    <tableColumn id="2" xr3:uid="{258A4F2F-9FF9-467A-99F4-EF2E6DDF4DF9}" name="دسته کالا" dataDxfId="16"/>
    <tableColumn id="3" xr3:uid="{D19ACE46-E082-4E26-915F-16E2F59C92EB}" name="گروه کالا" dataDxfId="15"/>
    <tableColumn id="4" xr3:uid="{B0527281-52BA-4E7F-A1A0-F50BB52F7C01}" name="شرح کالا" dataDxfId="14"/>
    <tableColumn id="5" xr3:uid="{1D22F91E-3985-4CEC-9B21-17A9D6697E32}" name="مالک کالا" dataDxfId="13"/>
    <tableColumn id="6" xr3:uid="{3DC74A41-A47B-4CB1-A8A0-F427B7AE84D5}" name="وضعیت کالا" dataDxfId="12"/>
    <tableColumn id="7" xr3:uid="{76EF04DC-1067-4219-A58A-913ECEE00348}" name="ملاحظات" dataDxfId="11"/>
  </tableColumns>
  <tableStyleInfo name="TableStyleMedium15" showFirstColumn="0" showLastColumn="0" showRowStripes="1" showColumnStripes="0"/>
</table>
</file>

<file path=xl/tables/table2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1" xr:uid="{72728AC7-771C-4073-8E51-990F1D2F7194}" name="ProductStatusTable" displayName="ProductStatusTable" ref="A37:A45" totalsRowShown="0" headerRowDxfId="126" dataDxfId="125">
  <autoFilter ref="A37:A45" xr:uid="{4C1B60EE-9813-47D7-A523-31E41FED0FB9}"/>
  <tableColumns count="1">
    <tableColumn id="1" xr3:uid="{9F241F03-BEE8-4F6F-98F3-F34D6D843E77}" name="وضعیت کالا" dataDxfId="124"/>
  </tableColumns>
  <tableStyleInfo name="TableStyleMedium15" showFirstColumn="0" showLastColumn="0" showRowStripes="1" showColumnStripes="0"/>
</table>
</file>

<file path=xl/tables/table2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2" xr:uid="{169B137D-F1CB-498A-8AA6-A3D114650CCA}" name="Table71" displayName="Table71" ref="AM2:AU9" totalsRowShown="0" headerRowDxfId="123" dataDxfId="122">
  <autoFilter ref="AM2:AU9" xr:uid="{9C6741DB-820C-48D8-A4F1-631BBF62AB22}"/>
  <tableColumns count="9">
    <tableColumn id="1" xr3:uid="{FE981FEE-7B34-4C41-BB5C-3A492E83AA59}" name="ردیف" dataDxfId="8"/>
    <tableColumn id="2" xr3:uid="{691DD8C5-6635-4E35-85AC-F7C7849B153B}" name="دسته کالا" dataDxfId="7"/>
    <tableColumn id="3" xr3:uid="{8583E1DE-99E5-49F0-AEB9-17DB385E6E0B}" name="گروه کالا" dataDxfId="6"/>
    <tableColumn id="4" xr3:uid="{167D085D-FA38-4DD2-AA50-CC8B010FC32D}" name="شرح کالا" dataDxfId="5"/>
    <tableColumn id="5" xr3:uid="{57462AF5-D433-4BDE-9FF0-898C9DAD082F}" name="شرح عیب کالا" dataDxfId="4"/>
    <tableColumn id="6" xr3:uid="{0E0C789A-526E-47F3-9848-CE636158E165}" name="ملاحظات رفع عیب" dataDxfId="3"/>
    <tableColumn id="7" xr3:uid="{AF0701CC-B3F1-466F-8A02-664E27D309D8}" name="وضعیت تعمیر کالا" dataDxfId="2"/>
    <tableColumn id="9" xr3:uid="{9C56A1BE-F38B-4F0F-8F65-4A485E649403}" name="آرشیو" dataDxfId="1"/>
    <tableColumn id="8" xr3:uid="{FCA6FA39-0DBA-4E4C-B2A7-04766611A2BC}" name="ملاحظات مالی" dataDxfId="0"/>
  </tableColumns>
  <tableStyleInfo name="TableStyleMedium15" showFirstColumn="0" showLastColumn="0" showRowStripes="1" showColumnStripes="0"/>
</table>
</file>

<file path=xl/tables/table2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3" xr:uid="{74EF1863-E5DA-4DF4-A9AC-9A614AC7188C}" name="ProductRepairStatusTable" displayName="ProductRepairStatusTable" ref="A49:A53" totalsRowShown="0" headerRowDxfId="121" dataDxfId="120">
  <autoFilter ref="A49:A53" xr:uid="{BB969E9E-B2AB-40E5-84E2-8810FF9E947C}"/>
  <tableColumns count="1">
    <tableColumn id="1" xr3:uid="{F058078A-699D-450F-AC6A-F5B676111455}" name="وضعیت تعمیر کالا" dataDxfId="119"/>
  </tableColumns>
  <tableStyleInfo name="TableStyleMedium15" showFirstColumn="0" showLastColumn="0" showRowStripes="1" showColumnStripes="0"/>
</table>
</file>

<file path=xl/tables/table2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4" xr:uid="{E29B1012-31BB-45E8-8F34-C5F5F2D1D663}" name="ProductPreparationStatusTable" displayName="ProductPreparationStatusTable" ref="A57:A62" totalsRowShown="0" headerRowDxfId="118" dataDxfId="117">
  <autoFilter ref="A57:A62" xr:uid="{F867909B-9723-4D88-ABFB-F8AFB1349957}"/>
  <tableColumns count="1">
    <tableColumn id="1" xr3:uid="{AC265F58-4BD8-4EE6-9D36-97273739BB2B}" name="وضعیت تهیه کالا" dataDxfId="116"/>
  </tableColumns>
  <tableStyleInfo name="TableStyleMedium15" showFirstColumn="0" showLastColumn="0" showRowStripes="1" showColumnStripes="0"/>
</table>
</file>

<file path=xl/tables/table2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5" xr:uid="{1A249711-F0D1-406F-A512-245909B00AAF}" name="Table74" displayName="Table74" ref="Q2:AC9" totalsRowShown="0" headerRowDxfId="115" dataDxfId="22">
  <autoFilter ref="Q2:AC9" xr:uid="{C47851D2-206E-4057-A100-426D8D29EEB5}"/>
  <tableColumns count="13">
    <tableColumn id="1" xr3:uid="{B855F12E-7BDB-4261-82D9-A160AEA015E1}" name="ردیف" dataDxfId="30"/>
    <tableColumn id="2" xr3:uid="{33AEF0AB-9504-4368-BF02-97877CF44A6F}" name="دسته کالا" dataDxfId="29"/>
    <tableColumn id="3" xr3:uid="{8B4D7860-A632-4130-BE1B-A0EEC954A7DE}" name="گروه کالا" dataDxfId="28"/>
    <tableColumn id="4" xr3:uid="{693D8667-265A-4A6C-B516-DABC6F5B1899}" name="شرح کالا" dataDxfId="27"/>
    <tableColumn id="5" xr3:uid="{BB513177-840D-4318-B844-94FD9F02C9E6}" name="اهمیت" dataDxfId="26"/>
    <tableColumn id="16" xr3:uid="{D7F0D13C-92BF-4C32-9C04-3BB836883F86}" name="تعداد" dataDxfId="25"/>
    <tableColumn id="15" xr3:uid="{4A29B0AE-5409-4155-A332-F4DFEF442C6D}" name="قیمت واحد" dataDxfId="21"/>
    <tableColumn id="6" xr3:uid="{6372E0F9-EEA7-4DB4-8B95-3A697436E920}" name="قیمت کل" dataDxfId="20">
      <calculatedColumnFormula>IFERROR(Table74[[#This Row],[تعداد]]*Table74[[#This Row],[قیمت واحد]],0)</calculatedColumnFormula>
    </tableColumn>
    <tableColumn id="7" xr3:uid="{4974583D-F630-429F-8297-F2619AC3F810}" name="مبلغ تهیه شده" dataDxfId="19"/>
    <tableColumn id="8" xr3:uid="{E8CBCD21-AAE9-48BC-AEAD-E077DB19C075}" name="مانده تا هدف" dataDxfId="17">
      <calculatedColumnFormula>IFERROR(Table74[[#This Row],[قیمت کل]]-Table74[[#This Row],[مبلغ تهیه شده]],0)</calculatedColumnFormula>
    </tableColumn>
    <tableColumn id="13" xr3:uid="{B234293C-7BDA-4C1B-BEEA-3805C509807C}" name="قیمت خرید" dataDxfId="18"/>
    <tableColumn id="11" xr3:uid="{84E0A9EA-CFFF-4868-B9AF-C14B482636C2}" name="وضعیت تهیه کالا" dataDxfId="24"/>
    <tableColumn id="12" xr3:uid="{962B53C8-D2E6-4D79-BD41-2E6E572B3AE6}" name="ملاحظات" dataDxfId="23"/>
  </tableColumns>
  <tableStyleInfo name="TableStyleMedium15" showFirstColumn="0" showLastColumn="0" showRowStripes="1" showColumnStripes="0"/>
</table>
</file>

<file path=xl/tables/table2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6" xr:uid="{D467254A-A143-40BC-9176-A2724EF5A570}" name="ProductPriorityTable" displayName="ProductPriorityTable" ref="A65:A70" totalsRowShown="0" headerRowDxfId="114" dataDxfId="113">
  <autoFilter ref="A65:A70" xr:uid="{A593BD1F-1BED-4B08-B027-870ED9EC76F0}"/>
  <tableColumns count="1">
    <tableColumn id="1" xr3:uid="{9F409BA0-233E-4885-BBC0-84951573817C}" name="جدول اولویت تهیه کالا" dataDxfId="112"/>
  </tableColumns>
  <tableStyleInfo name="TableStyleMedium15" showFirstColumn="0" showLastColumn="0" showRowStripes="1" showColumnStripes="0"/>
</table>
</file>

<file path=xl/tables/table3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7" xr:uid="{DD925A40-CAF2-4531-8775-12B9C97E5ADB}" name="Table76" displayName="Table76" ref="A407:A629" totalsRowShown="0" headerRowDxfId="111" dataDxfId="110" headerRowBorderDxfId="108" tableBorderDxfId="109">
  <autoFilter ref="A407:A629" xr:uid="{395593F1-100C-4718-B538-2E018F58554C}"/>
  <tableColumns count="1">
    <tableColumn id="1" xr3:uid="{8B8D7A3E-2F1C-4E5D-8D66-1317132ABDDE}" name="خانه_و_آشپزخانه" dataDxfId="107"/>
  </tableColumns>
  <tableStyleInfo name="TableStyleMedium15" showFirstColumn="0" showLastColumn="0" showRowStripes="1" showColumnStripes="0"/>
</table>
</file>

<file path=xl/tables/table3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00000000-000C-0000-FFFF-FFFF01000000}" name="RevenueGroupTable" displayName="RevenueGroupTable" ref="A4:B12" totalsRowShown="0" headerRowDxfId="344" dataDxfId="343">
  <autoFilter ref="A4:B12" xr:uid="{00000000-0009-0000-0100-00000A000000}"/>
  <tableColumns count="2">
    <tableColumn id="1" xr3:uid="{00000000-0010-0000-0100-000001000000}" name="کد گروه درآمدی" dataDxfId="342"/>
    <tableColumn id="2" xr3:uid="{00000000-0010-0000-0100-000002000000}" name="نام گروه درآمد" dataDxfId="341"/>
  </tableColumns>
  <tableStyleInfo name="TableStyleMedium15" showFirstColumn="0" showLastColumn="0" showRowStripes="1" showColumnStripes="0"/>
</table>
</file>

<file path=xl/tables/table3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00000000-000C-0000-FFFF-FFFF02000000}" name="SalaryTable" displayName="SalaryTable" ref="F5:F6" totalsRowShown="0" headerRowDxfId="340" dataDxfId="339">
  <autoFilter ref="F5:F6" xr:uid="{00000000-0009-0000-0100-00000B000000}"/>
  <tableColumns count="1">
    <tableColumn id="1" xr3:uid="{00000000-0010-0000-0200-000001000000}" name="دستمزد" dataDxfId="338"/>
  </tableColumns>
  <tableStyleInfo name="TableStyleMedium1" showFirstColumn="0" showLastColumn="0" showRowStripes="1" showColumnStripes="0"/>
</table>
</file>

<file path=xl/tables/table3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00000000-000C-0000-FFFF-FFFF03000000}" name="ProfitOfAcquisitionTable" displayName="ProfitOfAcquisitionTable" ref="H5:H6" totalsRowShown="0" headerRowDxfId="337" dataDxfId="336">
  <autoFilter ref="H5:H6" xr:uid="{00000000-0009-0000-0100-00000C000000}"/>
  <tableColumns count="1">
    <tableColumn id="1" xr3:uid="{00000000-0010-0000-0300-000001000000}" name="منفعت کسب" dataDxfId="335"/>
  </tableColumns>
  <tableStyleInfo name="TableStyleMedium2" showFirstColumn="0" showLastColumn="0" showRowStripes="1" showColumnStripes="0"/>
</table>
</file>

<file path=xl/tables/table3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00000000-000C-0000-FFFF-FFFF04000000}" name="ProfitableInvestmentTable" displayName="ProfitableInvestmentTable" ref="J5:J6" totalsRowShown="0" headerRowDxfId="334" dataDxfId="333">
  <autoFilter ref="J5:J6" xr:uid="{00000000-0009-0000-0100-00000D000000}"/>
  <tableColumns count="1">
    <tableColumn id="1" xr3:uid="{00000000-0010-0000-0400-000001000000}" name="سود سرمایه‌گذاری" dataDxfId="332"/>
  </tableColumns>
  <tableStyleInfo name="TableStyleMedium3" showFirstColumn="0" showLastColumn="0" showRowStripes="1" showColumnStripes="0"/>
</table>
</file>

<file path=xl/tables/table3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00000000-000C-0000-FFFF-FFFF05000000}" name="IncentivesPrizesAndFeastsTable" displayName="IncentivesPrizesAndFeastsTable" ref="L5:L8" totalsRowShown="0" headerRowDxfId="331" dataDxfId="330">
  <autoFilter ref="L5:L8" xr:uid="{00000000-0009-0000-0100-00000F000000}"/>
  <sortState xmlns:xlrd2="http://schemas.microsoft.com/office/spreadsheetml/2017/richdata2" ref="L6:L8">
    <sortCondition ref="L5:L8"/>
  </sortState>
  <tableColumns count="1">
    <tableColumn id="1" xr3:uid="{00000000-0010-0000-0500-000001000000}" name="تشویقی‌ها، جوایز و عیدی‌ها" dataDxfId="329"/>
  </tableColumns>
  <tableStyleInfo name="TableStyleMedium4" showFirstColumn="0" showLastColumn="0" showRowStripes="1" showColumnStripes="0"/>
</table>
</file>

<file path=xl/tables/table3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00000000-000C-0000-FFFF-FFFF06000000}" name="GetAMortgageAndRentTable" displayName="GetAMortgageAndRentTable" ref="N5:N6" totalsRowShown="0" headerRowDxfId="328" dataDxfId="327">
  <autoFilter ref="N5:N6" xr:uid="{00000000-0009-0000-0100-000010000000}"/>
  <tableColumns count="1">
    <tableColumn id="1" xr3:uid="{00000000-0010-0000-0600-000001000000}" name="دریافت رهن و اجاره" dataDxfId="326"/>
  </tableColumns>
  <tableStyleInfo name="TableStyleMedium5" showFirstColumn="0" showLastColumn="0" showRowStripes="1" showColumnStripes="0"/>
</table>
</file>

<file path=xl/tables/table3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00000000-000C-0000-FFFF-FFFF07000000}" name="GetALoanTable" displayName="GetALoanTable" ref="P5:P6" totalsRowShown="0" headerRowDxfId="325" dataDxfId="324">
  <autoFilter ref="P5:P6" xr:uid="{00000000-0009-0000-0100-000011000000}"/>
  <tableColumns count="1">
    <tableColumn id="1" xr3:uid="{00000000-0010-0000-0700-000001000000}" name="دریافت وام" dataDxfId="323"/>
  </tableColumns>
  <tableStyleInfo name="TableStyleMedium6" showFirstColumn="0" showLastColumn="0" showRowStripes="1" showColumnStripes="0"/>
</table>
</file>

<file path=xl/tables/table3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" xr:uid="{00000000-000C-0000-FFFF-FFFF08000000}" name="MiscellaneousIncomeTable" displayName="MiscellaneousIncomeTable" ref="R5:R6" totalsRowShown="0" headerRowDxfId="322" dataDxfId="321">
  <autoFilter ref="R5:R6" xr:uid="{00000000-0009-0000-0100-000012000000}"/>
  <tableColumns count="1">
    <tableColumn id="1" xr3:uid="{00000000-0010-0000-0800-000001000000}" name="درآمد متفرقه" dataDxfId="320"/>
  </tableColumns>
  <tableStyleInfo name="TableStyleMedium1" showFirstColumn="0" showLastColumn="0" showRowStripes="1" showColumnStripes="0"/>
</table>
</file>

<file path=xl/tables/table3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2" xr:uid="{00000000-000C-0000-FFFF-FFFF09000000}" name="RightsTable" displayName="RightsTable" ref="D5:D6" totalsRowShown="0" headerRowDxfId="319" dataDxfId="318">
  <autoFilter ref="D5:D6" xr:uid="{00000000-0009-0000-0100-00002A000000}"/>
  <tableColumns count="1">
    <tableColumn id="1" xr3:uid="{00000000-0010-0000-0900-000001000000}" name="حقوق" dataDxfId="317"/>
  </tableColumns>
  <tableStyleInfo name="TableStyleMedium2" showFirstColumn="0" showLastColumn="0" showRowStripes="1" showColumnStripes="0"/>
</table>
</file>

<file path=xl/tables/table4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0000000-000C-0000-FFFF-FFFF0A000000}" name="CostGroupsTable" displayName="CostGroupsTable" ref="A5:B29" totalsRowShown="0" headerRowDxfId="316">
  <autoFilter ref="A5:B29" xr:uid="{00000000-0009-0000-0100-000007000000}"/>
  <sortState xmlns:xlrd2="http://schemas.microsoft.com/office/spreadsheetml/2017/richdata2" ref="A5:B28">
    <sortCondition ref="B4:B28"/>
  </sortState>
  <tableColumns count="2">
    <tableColumn id="1" xr3:uid="{00000000-0010-0000-0A00-000001000000}" name="کد گروه هزینه" dataDxfId="315"/>
    <tableColumn id="2" xr3:uid="{00000000-0010-0000-0A00-000002000000}" name="نام گروه هزینه" dataDxfId="314"/>
  </tableColumns>
  <tableStyleInfo name="TableStyleMedium15" showFirstColumn="0" showLastColumn="0" showRowStripes="1" showColumnStripes="0"/>
</table>
</file>

<file path=xl/tables/table4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00000000-000C-0000-FFFF-FFFF0B000000}" name="TravelCostsTable" displayName="TravelCostsTable" ref="F4:F13" totalsRowShown="0" headerRowDxfId="313" dataDxfId="312">
  <autoFilter ref="F4:F13" xr:uid="{00000000-0009-0000-0100-00000E000000}"/>
  <sortState xmlns:xlrd2="http://schemas.microsoft.com/office/spreadsheetml/2017/richdata2" ref="F4:F12">
    <sortCondition ref="F3:F12"/>
  </sortState>
  <tableColumns count="1">
    <tableColumn id="1" xr3:uid="{00000000-0010-0000-0B00-000001000000}" name="ایاب و ذهاب" dataDxfId="311"/>
  </tableColumns>
  <tableStyleInfo name="TableStyleMedium7" showFirstColumn="0" showLastColumn="0" showRowStripes="1" showColumnStripes="0"/>
</table>
</file>

<file path=xl/tables/table4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" xr:uid="{00000000-000C-0000-FFFF-FFFF0C000000}" name="NetworkCostsTable" displayName="NetworkCostsTable" ref="D4:D8" totalsRowShown="0" headerRowDxfId="310" dataDxfId="309">
  <autoFilter ref="D4:D8" xr:uid="{00000000-0009-0000-0100-000013000000}"/>
  <sortState xmlns:xlrd2="http://schemas.microsoft.com/office/spreadsheetml/2017/richdata2" ref="D4:D7">
    <sortCondition ref="D3:D7"/>
  </sortState>
  <tableColumns count="1">
    <tableColumn id="1" xr3:uid="{00000000-0010-0000-0C00-000001000000}" name="ارتباطات" dataDxfId="308"/>
  </tableColumns>
  <tableStyleInfo name="TableStyleMedium2" showFirstColumn="0" showLastColumn="0" showRowStripes="1" showColumnStripes="0"/>
</table>
</file>

<file path=xl/tables/table4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" xr:uid="{00000000-000C-0000-FFFF-FFFF0D000000}" name="HealthCareCostsTable" displayName="HealthCareCostsTable" ref="H4:H9" totalsRowShown="0" headerRowDxfId="307" dataDxfId="306">
  <autoFilter ref="H4:H9" xr:uid="{00000000-0009-0000-0100-000014000000}"/>
  <sortState xmlns:xlrd2="http://schemas.microsoft.com/office/spreadsheetml/2017/richdata2" ref="H4:H8">
    <sortCondition ref="H3:H8"/>
  </sortState>
  <tableColumns count="1">
    <tableColumn id="1" xr3:uid="{00000000-0010-0000-0D00-000001000000}" name="بهداشت و درمان" dataDxfId="305"/>
  </tableColumns>
  <tableStyleInfo name="TableStyleMedium5" showFirstColumn="0" showLastColumn="0" showRowStripes="1" showColumnStripes="0"/>
</table>
</file>

<file path=xl/tables/table4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1" xr:uid="{00000000-000C-0000-FFFF-FFFF0E000000}" name="PersonalCleaningCostsTable" displayName="PersonalCleaningCostsTable" ref="J4:J9" totalsRowShown="0" headerRowDxfId="304" dataDxfId="303">
  <autoFilter ref="J4:J9" xr:uid="{00000000-0009-0000-0100-000015000000}"/>
  <sortState xmlns:xlrd2="http://schemas.microsoft.com/office/spreadsheetml/2017/richdata2" ref="J4:J8">
    <sortCondition ref="J3:J8"/>
  </sortState>
  <tableColumns count="1">
    <tableColumn id="1" xr3:uid="{00000000-0010-0000-0E00-000001000000}" name="بهداشت و نظافت فردی" dataDxfId="302"/>
  </tableColumns>
  <tableStyleInfo name="TableStyleMedium4" showFirstColumn="0" showLastColumn="0" showRowStripes="1" showColumnStripes="0"/>
</table>
</file>

<file path=xl/tables/table4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2" xr:uid="{00000000-000C-0000-FFFF-FFFF0F000000}" name="EnvironmentalHealthCostsTable" displayName="EnvironmentalHealthCostsTable" ref="L4:L6" totalsRowShown="0" headerRowDxfId="301" dataDxfId="300">
  <autoFilter ref="L4:L6" xr:uid="{00000000-0009-0000-0100-000016000000}"/>
  <sortState xmlns:xlrd2="http://schemas.microsoft.com/office/spreadsheetml/2017/richdata2" ref="L4:L5">
    <sortCondition ref="L3:L5"/>
  </sortState>
  <tableColumns count="1">
    <tableColumn id="1" xr3:uid="{00000000-0010-0000-0F00-000001000000}" name="بهداشت و نظافت محیط" dataDxfId="299"/>
  </tableColumns>
  <tableStyleInfo name="TableStyleMedium3" showFirstColumn="0" showLastColumn="0" showRowStripes="1" showColumnStripes="0"/>
</table>
</file>

<file path=xl/tables/table4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3" xr:uid="{00000000-000C-0000-FFFF-FFFF10000000}" name="InsuranceCostsTable" displayName="InsuranceCostsTable" ref="N4:N8" totalsRowShown="0" headerRowDxfId="298" dataDxfId="297">
  <autoFilter ref="N4:N8" xr:uid="{00000000-0009-0000-0100-000017000000}"/>
  <sortState xmlns:xlrd2="http://schemas.microsoft.com/office/spreadsheetml/2017/richdata2" ref="N4:N7">
    <sortCondition ref="N3:N7"/>
  </sortState>
  <tableColumns count="1">
    <tableColumn id="1" xr3:uid="{00000000-0010-0000-1000-000001000000}" name="بیمه" dataDxfId="296"/>
  </tableColumns>
  <tableStyleInfo name="TableStyleMedium2" showFirstColumn="0" showLastColumn="0" showRowStripes="1" showColumnStripes="0"/>
</table>
</file>

<file path=xl/tables/table4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4" xr:uid="{00000000-000C-0000-FFFF-FFFF11000000}" name="InstallmentPaymentCostsTable" displayName="InstallmentPaymentCostsTable" ref="P4:P6" totalsRowShown="0" headerRowDxfId="295" dataDxfId="294">
  <autoFilter ref="P4:P6" xr:uid="{00000000-0009-0000-0100-000018000000}"/>
  <sortState xmlns:xlrd2="http://schemas.microsoft.com/office/spreadsheetml/2017/richdata2" ref="P4">
    <sortCondition ref="P3:P4"/>
  </sortState>
  <tableColumns count="1">
    <tableColumn id="1" xr3:uid="{00000000-0010-0000-1100-000001000000}" name="پرداخت اقساط" dataDxfId="293"/>
  </tableColumns>
  <tableStyleInfo name="TableStyleMedium1" showFirstColumn="0" showLastColumn="0" showRowStripes="1" showColumnStripes="0"/>
</table>
</file>

<file path=xl/tables/table4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5" xr:uid="{00000000-000C-0000-FFFF-FFFF12000000}" name="CostsOfClothingAndFootwearTable" displayName="CostsOfClothingAndFootwearTable" ref="R4:R8" totalsRowShown="0" headerRowDxfId="292" dataDxfId="291">
  <autoFilter ref="R4:R8" xr:uid="{00000000-0009-0000-0100-000019000000}"/>
  <sortState xmlns:xlrd2="http://schemas.microsoft.com/office/spreadsheetml/2017/richdata2" ref="R4:R7">
    <sortCondition ref="R3:R7"/>
  </sortState>
  <tableColumns count="1">
    <tableColumn id="1" xr3:uid="{00000000-0010-0000-1200-000001000000}" name="پوشاک و کفش" dataDxfId="290"/>
  </tableColumns>
  <tableStyleInfo name="TableStyleMedium7" showFirstColumn="0" showLastColumn="0" showRowStripes="1" showColumnStripes="0"/>
</table>
</file>

<file path=xl/tables/table4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6" xr:uid="{00000000-000C-0000-FFFF-FFFF13000000}" name="CarCostsTable" displayName="CarCostsTable" ref="T4:T9" totalsRowShown="0" headerRowDxfId="289" dataDxfId="288">
  <autoFilter ref="T4:T9" xr:uid="{00000000-0009-0000-0100-00001A000000}"/>
  <sortState xmlns:xlrd2="http://schemas.microsoft.com/office/spreadsheetml/2017/richdata2" ref="T4:T8">
    <sortCondition ref="T3:T8"/>
  </sortState>
  <tableColumns count="1">
    <tableColumn id="1" xr3:uid="{00000000-0010-0000-1300-000001000000}" name="خودرو" dataDxfId="287"/>
  </tableColumns>
  <tableStyleInfo name="TableStyleMedium6" showFirstColumn="0" showLastColumn="0" showRowStripes="1" showColumnStripes="0"/>
</table>
</file>

<file path=xl/tables/table5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7" xr:uid="{00000000-000C-0000-FFFF-FFFF14000000}" name="CostsOfFoodAndBeveragesTable" displayName="CostsOfFoodAndBeveragesTable" ref="V4:V8" totalsRowShown="0" headerRowDxfId="286" dataDxfId="285">
  <autoFilter ref="V4:V8" xr:uid="{00000000-0009-0000-0100-00001B000000}"/>
  <sortState xmlns:xlrd2="http://schemas.microsoft.com/office/spreadsheetml/2017/richdata2" ref="V4:V7">
    <sortCondition ref="V3:V7"/>
  </sortState>
  <tableColumns count="1">
    <tableColumn id="1" xr3:uid="{00000000-0010-0000-1400-000001000000}" name="خوراکی‌ها و آشامیدنی‌ها" dataDxfId="284"/>
  </tableColumns>
  <tableStyleInfo name="TableStyleMedium5" showFirstColumn="0" showLastColumn="0" showRowStripes="1" showColumnStripes="0"/>
</table>
</file>

<file path=xl/tables/table5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8" xr:uid="{00000000-000C-0000-FFFF-FFFF15000000}" name="CharityAndCulturalExpensesTable" displayName="CharityAndCulturalExpensesTable" ref="X4:X6" totalsRowShown="0" headerRowDxfId="283" dataDxfId="282">
  <autoFilter ref="X4:X6" xr:uid="{00000000-0009-0000-0100-00001C000000}"/>
  <sortState xmlns:xlrd2="http://schemas.microsoft.com/office/spreadsheetml/2017/richdata2" ref="X4">
    <sortCondition ref="X3:X4"/>
  </sortState>
  <tableColumns count="1">
    <tableColumn id="1" xr3:uid="{00000000-0010-0000-1500-000001000000}" name="خیریه و امور فرهنگی" dataDxfId="281"/>
  </tableColumns>
  <tableStyleInfo name="TableStyleMedium4" showFirstColumn="0" showLastColumn="0" showRowStripes="1" showColumnStripes="0"/>
</table>
</file>

<file path=xl/tables/table5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9" xr:uid="{00000000-000C-0000-FFFF-FFFF16000000}" name="TobaccoCostsTable" displayName="TobaccoCostsTable" ref="Z4:Z6" totalsRowShown="0" headerRowDxfId="280" dataDxfId="279">
  <autoFilter ref="Z4:Z6" xr:uid="{00000000-0009-0000-0100-00001D000000}"/>
  <sortState xmlns:xlrd2="http://schemas.microsoft.com/office/spreadsheetml/2017/richdata2" ref="Z4:Z5">
    <sortCondition ref="Z3:Z5"/>
  </sortState>
  <tableColumns count="1">
    <tableColumn id="1" xr3:uid="{00000000-0010-0000-1600-000001000000}" name="دخانیات" dataDxfId="278"/>
  </tableColumns>
  <tableStyleInfo name="TableStyleMedium3" showFirstColumn="0" showLastColumn="0" showRowStripes="1" showColumnStripes="0"/>
</table>
</file>

<file path=xl/tables/table5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0" xr:uid="{00000000-000C-0000-FFFF-FFFF17000000}" name="BicycleCostsTable" displayName="BicycleCostsTable" ref="AB4:AB6" totalsRowShown="0" headerRowDxfId="277" dataDxfId="276">
  <autoFilter ref="AB4:AB6" xr:uid="{00000000-0009-0000-0100-00001E000000}"/>
  <sortState xmlns:xlrd2="http://schemas.microsoft.com/office/spreadsheetml/2017/richdata2" ref="AB4:AB5">
    <sortCondition ref="AB3:AB5"/>
  </sortState>
  <tableColumns count="1">
    <tableColumn id="1" xr3:uid="{00000000-0010-0000-1700-000001000000}" name="دوچرخه" dataDxfId="275"/>
  </tableColumns>
  <tableStyleInfo name="TableStyleMedium2" showFirstColumn="0" showLastColumn="0" showRowStripes="1" showColumnStripes="0"/>
</table>
</file>

<file path=xl/tables/table5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1" xr:uid="{00000000-000C-0000-FFFF-FFFF18000000}" name="CostsOfCapitalJewelryTable" displayName="CostsOfCapitalJewelryTable" ref="AD4:AD8" totalsRowShown="0" headerRowDxfId="274" dataDxfId="273">
  <autoFilter ref="AD4:AD8" xr:uid="{00000000-0009-0000-0100-00001F000000}"/>
  <sortState xmlns:xlrd2="http://schemas.microsoft.com/office/spreadsheetml/2017/richdata2" ref="AD4:AD7">
    <sortCondition ref="AD3:AD7"/>
  </sortState>
  <tableColumns count="1">
    <tableColumn id="1" xr3:uid="{00000000-0010-0000-1800-000001000000}" name="زیورآلات سرمایه" dataDxfId="272"/>
  </tableColumns>
  <tableStyleInfo name="TableStyleMedium2" showFirstColumn="0" showLastColumn="0" showRowStripes="1" showColumnStripes="0"/>
</table>
</file>

<file path=xl/tables/table5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2" xr:uid="{00000000-000C-0000-FFFF-FFFF19000000}" name="Non_CapitalJewelryCostsTable" displayName="Non_CapitalJewelryCostsTable" ref="AF4:AF6" totalsRowShown="0" headerRowDxfId="271" dataDxfId="270">
  <autoFilter ref="AF4:AF6" xr:uid="{00000000-0009-0000-0100-000020000000}"/>
  <sortState xmlns:xlrd2="http://schemas.microsoft.com/office/spreadsheetml/2017/richdata2" ref="AF4">
    <sortCondition ref="AF3:AF4"/>
  </sortState>
  <tableColumns count="1">
    <tableColumn id="1" xr3:uid="{00000000-0010-0000-1900-000001000000}" name=" زیورآلات غیر سرمایه" dataDxfId="269"/>
  </tableColumns>
  <tableStyleInfo name="TableStyleMedium1" showFirstColumn="0" showLastColumn="0" showRowStripes="1" showColumnStripes="0"/>
</table>
</file>

<file path=xl/tables/table5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3" xr:uid="{00000000-000C-0000-FFFF-FFFF1A000000}" name="InvestmentCostsTable" displayName="InvestmentCostsTable" ref="AH4:AH6" totalsRowShown="0" headerRowDxfId="268" dataDxfId="267">
  <autoFilter ref="AH4:AH6" xr:uid="{00000000-0009-0000-0100-000021000000}"/>
  <sortState xmlns:xlrd2="http://schemas.microsoft.com/office/spreadsheetml/2017/richdata2" ref="AH5:AH6">
    <sortCondition ref="AH4:AH6"/>
  </sortState>
  <tableColumns count="1">
    <tableColumn id="1" xr3:uid="{00000000-0010-0000-1A00-000001000000}" name=" سرمایه گذاری" dataDxfId="266"/>
  </tableColumns>
  <tableStyleInfo name="TableStyleMedium7" showFirstColumn="0" showLastColumn="0" showRowStripes="1" showColumnStripes="0"/>
</table>
</file>

<file path=xl/tables/table5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4" xr:uid="{00000000-000C-0000-FFFF-FFFF1B000000}" name="TravelAndTourExpensesTable" displayName="TravelAndTourExpensesTable" ref="AJ4:AJ6" totalsRowShown="0" headerRowDxfId="265" dataDxfId="264">
  <autoFilter ref="AJ4:AJ6" xr:uid="{00000000-0009-0000-0100-000022000000}"/>
  <sortState xmlns:xlrd2="http://schemas.microsoft.com/office/spreadsheetml/2017/richdata2" ref="AJ4">
    <sortCondition ref="AJ3:AJ4"/>
  </sortState>
  <tableColumns count="1">
    <tableColumn id="1" xr3:uid="{00000000-0010-0000-1B00-000001000000}" name="سفر و گردش" dataDxfId="263"/>
  </tableColumns>
  <tableStyleInfo name="TableStyleMedium6" showFirstColumn="0" showLastColumn="0" showRowStripes="1" showColumnStripes="0"/>
</table>
</file>

<file path=xl/tables/table5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5" xr:uid="{00000000-000C-0000-FFFF-FFFF1C000000}" name="HousingBillCostsTable" displayName="HousingBillCostsTable" ref="AL4:AL15" totalsRowShown="0" headerRowDxfId="262" dataDxfId="261">
  <autoFilter ref="AL4:AL15" xr:uid="{00000000-0009-0000-0100-000023000000}"/>
  <sortState xmlns:xlrd2="http://schemas.microsoft.com/office/spreadsheetml/2017/richdata2" ref="AL4:AL14">
    <sortCondition ref="AL3:AL14"/>
  </sortState>
  <tableColumns count="1">
    <tableColumn id="1" xr3:uid="{00000000-0010-0000-1C00-000001000000}" name="صورتحاب‌های مسکن" dataDxfId="260"/>
  </tableColumns>
  <tableStyleInfo name="TableStyleMedium5" showFirstColumn="0" showLastColumn="0" showRowStripes="1" showColumnStripes="0"/>
</table>
</file>

<file path=xl/tables/table5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6" xr:uid="{00000000-000C-0000-FFFF-FFFF1D000000}" name="LeisureAndEntertainmentExpensesTable" displayName="LeisureAndEntertainmentExpensesTable" ref="AN4:AN8" totalsRowShown="0" headerRowDxfId="259" dataDxfId="258">
  <autoFilter ref="AN4:AN8" xr:uid="{00000000-0009-0000-0100-000024000000}"/>
  <sortState xmlns:xlrd2="http://schemas.microsoft.com/office/spreadsheetml/2017/richdata2" ref="AN4:AN7">
    <sortCondition ref="AN3:AN7"/>
  </sortState>
  <tableColumns count="1">
    <tableColumn id="1" xr3:uid="{00000000-0010-0000-1D00-000001000000}" name="فراغت و سرگرمی" dataDxfId="257"/>
  </tableColumns>
  <tableStyleInfo name="TableStyleMedium4" showFirstColumn="0" showLastColumn="0" showRowStripes="1" showColumnStripes="0"/>
</table>
</file>

<file path=xl/tables/table6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7" xr:uid="{00000000-000C-0000-FFFF-FFFF1E000000}" name="TaxCostsTable" displayName="TaxCostsTable" ref="AP4:AP8" totalsRowShown="0" headerRowDxfId="256" dataDxfId="255">
  <autoFilter ref="AP4:AP8" xr:uid="{00000000-0009-0000-0100-000025000000}"/>
  <tableColumns count="1">
    <tableColumn id="1" xr3:uid="{00000000-0010-0000-1E00-000001000000}" name="مالیات" dataDxfId="254"/>
  </tableColumns>
  <tableStyleInfo name="TableStyleMedium2" showFirstColumn="0" showLastColumn="0" showRowStripes="1" showColumnStripes="0"/>
</table>
</file>

<file path=xl/tables/table6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8" xr:uid="{00000000-000C-0000-FFFF-FFFF1F000000}" name="DegreeAndTuitionFeesTable" displayName="DegreeAndTuitionFeesTable" ref="AR4:AR6" totalsRowShown="0" headerRowDxfId="253" dataDxfId="252">
  <autoFilter ref="AR4:AR6" xr:uid="{00000000-0009-0000-0100-000026000000}"/>
  <sortState xmlns:xlrd2="http://schemas.microsoft.com/office/spreadsheetml/2017/richdata2" ref="AR4">
    <sortCondition ref="AR3:AR4"/>
  </sortState>
  <tableColumns count="1">
    <tableColumn id="1" xr3:uid="{00000000-0010-0000-1F00-000001000000}" name=" مدرک و تحصیل" dataDxfId="251"/>
  </tableColumns>
  <tableStyleInfo name="TableStyleMedium1" showFirstColumn="0" showLastColumn="0" showRowStripes="1" showColumnStripes="0"/>
</table>
</file>

<file path=xl/tables/table6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9" xr:uid="{00000000-000C-0000-FFFF-FFFF20000000}" name="ExerciseCostsTable" displayName="ExerciseCostsTable" ref="AT4:AT7" totalsRowShown="0" headerRowDxfId="250" dataDxfId="249">
  <autoFilter ref="AT4:AT7" xr:uid="{00000000-0009-0000-0100-000027000000}"/>
  <sortState xmlns:xlrd2="http://schemas.microsoft.com/office/spreadsheetml/2017/richdata2" ref="AT4:AT6">
    <sortCondition ref="AT3:AT6"/>
  </sortState>
  <tableColumns count="1">
    <tableColumn id="1" xr3:uid="{00000000-0010-0000-2000-000001000000}" name="ورزش" dataDxfId="248"/>
  </tableColumns>
  <tableStyleInfo name="TableStyleMedium7" showFirstColumn="0" showLastColumn="0" showRowStripes="1" showColumnStripes="0"/>
</table>
</file>

<file path=xl/tables/table6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0" xr:uid="{00000000-000C-0000-FFFF-FFFF21000000}" name="GiftCostsTable" displayName="GiftCostsTable" ref="AV4:AV11" totalsRowShown="0" headerRowDxfId="247" dataDxfId="246">
  <autoFilter ref="AV4:AV11" xr:uid="{00000000-0009-0000-0100-000028000000}"/>
  <tableColumns count="1">
    <tableColumn id="1" xr3:uid="{00000000-0010-0000-2100-000001000000}" name="هدیه و کادو" dataDxfId="245"/>
  </tableColumns>
  <tableStyleInfo name="TableStyleMedium6" showFirstColumn="0" showLastColumn="0" showRowStripes="1" showColumnStripes="0"/>
</table>
</file>

<file path=xl/tables/table6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1" xr:uid="{00000000-000C-0000-FFFF-FFFF22000000}" name="LearningAndIndividualDevelopmentCostsTable" displayName="LearningAndIndividualDevelopmentCostsTable" ref="AX4:AX7" totalsRowShown="0" headerRowDxfId="244" dataDxfId="243">
  <autoFilter ref="AX4:AX7" xr:uid="{00000000-0009-0000-0100-000029000000}"/>
  <tableColumns count="1">
    <tableColumn id="1" xr3:uid="{00000000-0010-0000-2200-000001000000}" name="یادگیری و توسعه فردی" dataDxfId="242"/>
  </tableColumns>
  <tableStyleInfo name="TableStyleMedium5" showFirstColumn="0" showLastColumn="0" showRowStripes="1" showColumnStripes="0"/>
</table>
</file>

<file path=xl/tables/table6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282954C5-616F-485C-A314-4D9D555112CE}" name="Accounts_Receivers_Payers_Table" displayName="Accounts_Receivers_Payers_Table" ref="D3:D18" totalsRowShown="0" headerRowDxfId="241" dataDxfId="240">
  <autoFilter ref="D3:D18" xr:uid="{282954C5-616F-485C-A314-4D9D555112CE}"/>
  <tableColumns count="1">
    <tableColumn id="1" xr3:uid="{4F5516FC-A919-4D2F-9080-341CCE3046E2}" name="Accounts_Receivers_Payers" dataDxfId="239"/>
  </tableColumns>
  <tableStyleInfo name="TableStyleMedium15" showFirstColumn="0" showLastColumn="0" showRowStripes="1" showColumnStripes="0"/>
</table>
</file>

<file path=xl/tables/table6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48C55AA4-F37D-4D99-BE2B-B1221861617E}" name="PersonsTable" displayName="PersonsTable" ref="D3:L4" totalsRowShown="0" headerRowDxfId="238" dataDxfId="237">
  <autoFilter ref="D3:L4" xr:uid="{48C55AA4-F37D-4D99-BE2B-B1221861617E}"/>
  <tableColumns count="9">
    <tableColumn id="6" xr3:uid="{68E8881D-1F0D-41F5-8C5D-764D3CBD2FD0}" name="ID" dataDxfId="236"/>
    <tableColumn id="1" xr3:uid="{2F87ECEC-D557-47DE-89F2-D88E134F34F1}" name="افراد" dataDxfId="235"/>
    <tableColumn id="2" xr3:uid="{85475129-5B44-4EA7-938C-C7F633C408DC}" name="کد ملی" dataDxfId="234"/>
    <tableColumn id="3" xr3:uid="{AE0E4825-4DF9-4EF2-A007-8D15688BCB78}" name="شماره تماس" dataDxfId="233"/>
    <tableColumn id="4" xr3:uid="{6557281E-E601-4363-A5E8-D3F55F24CFFF}" name="آدرس ایمیل" dataDxfId="232" dataCellStyle="Hyperlink"/>
    <tableColumn id="5" xr3:uid="{7192D02E-A22E-46AF-B898-9ED00C2D1F34}" name="سایت اینترنتی" dataDxfId="231"/>
    <tableColumn id="7" xr3:uid="{31B3615E-F042-4B31-B668-D43C93A87FE5}" name="آدرس محل کار" dataDxfId="230"/>
    <tableColumn id="8" xr3:uid="{B916AA35-F910-4551-98CF-C16AFDBEFF70}" name="آدرس منزل" dataDxfId="229"/>
    <tableColumn id="9" xr3:uid="{8C252ACF-424E-4297-9478-B4372ACF1CCF}" name="توضیحات" dataDxfId="228"/>
  </tableColumns>
  <tableStyleInfo name="TableStyleMedium15" showFirstColumn="0" showLastColumn="0" showRowStripes="1" showColumnStripes="0"/>
</table>
</file>

<file path=xl/tables/table6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1" xr:uid="{274EC88A-4B54-49A7-9AA9-7C2621AB40BC}" name="FinancialAccountsTable" displayName="FinancialAccountsTable" ref="D8:R19" totalsRowCount="1" headerRowDxfId="227" dataDxfId="226" totalsRowDxfId="225">
  <autoFilter ref="D8:R18" xr:uid="{274EC88A-4B54-49A7-9AA9-7C2621AB40BC}"/>
  <tableColumns count="15">
    <tableColumn id="1" xr3:uid="{B07A4647-B141-4519-A431-57834BEB4690}" name="ID" totalsRowLabel="Total" dataDxfId="224" totalsRowDxfId="223"/>
    <tableColumn id="2" xr3:uid="{9B0863B0-2E0D-40E3-80A5-53A7C80DB031}" name="نام حساب" dataDxfId="222" totalsRowDxfId="221"/>
    <tableColumn id="3" xr3:uid="{22E26951-650A-4DA8-83F7-7342252ADAF4}" name="شرح حساب" dataDxfId="220" totalsRowDxfId="219"/>
    <tableColumn id="4" xr3:uid="{0ACE1E7A-4205-4BD4-B95E-C67B9D28BA4E}" name="موجودی اولیه" totalsRowFunction="custom" dataDxfId="218" totalsRowDxfId="217">
      <totalsRowFormula>SUBTOTAL(109,FinancialAccountsTable[موجودی اولیه])-G14</totalsRowFormula>
    </tableColumn>
    <tableColumn id="9" xr3:uid="{9BF51EE3-668E-4C80-B6DB-2712CE69E2D3}" name="جمع پرداختی" totalsRowFunction="custom" dataDxfId="216" totalsRowDxfId="215">
      <totalsRowFormula>SUBTOTAL(109,FinancialAccountsTable[جمع پرداختی])-H14</totalsRowFormula>
    </tableColumn>
    <tableColumn id="11" xr3:uid="{8AE20E53-4327-42D3-8063-1F3B02795A7E}" name="جمع دریافتی" totalsRowFunction="custom" dataDxfId="214" totalsRowDxfId="213">
      <totalsRowFormula>SUBTOTAL(109,FinancialAccountsTable[جمع دریافتی])-I14</totalsRowFormula>
    </tableColumn>
    <tableColumn id="12" xr3:uid="{095FB686-98D1-4C04-AA7E-A329642F7292}" name="مانده" totalsRowFunction="custom" dataDxfId="212" totalsRowDxfId="211">
      <calculatedColumnFormula>(FinancialAccountsTable[[#This Row],[جمع دریافتی]]+FinancialAccountsTable[[#This Row],[موجودی اولیه]])-FinancialAccountsTable[[#This Row],[جمع پرداختی]]</calculatedColumnFormula>
      <totalsRowFormula>SUBTOTAL(109,FinancialAccountsTable[مانده])-J14</totalsRowFormula>
    </tableColumn>
    <tableColumn id="13" xr3:uid="{8845C887-A3C3-45F1-97C4-39C406E85452}" name="وضعیت فعلی" dataDxfId="210" totalsRowDxfId="209">
      <calculatedColumnFormula>IF(FinancialAccountsTable[[#This Row],[مانده]]=0,"",IF(FinancialAccountsTable[[#This Row],[مانده]]&gt;0,"بدهکار","بستانکار"))</calculatedColumnFormula>
    </tableColumn>
    <tableColumn id="17" xr3:uid="{09FE636F-2D89-420D-B35D-F047DF3FED9C}" name="نام بانک" dataDxfId="208" totalsRowDxfId="207"/>
    <tableColumn id="18" xr3:uid="{CD505A3A-0F06-41B5-9C88-ACE7BBDC75B9}" name="نوع حساب" dataDxfId="206" totalsRowDxfId="205"/>
    <tableColumn id="10" xr3:uid="{AB3BD14A-860C-4744-B018-FC385AC6514C}" name="شماره حساب" dataDxfId="204" totalsRowDxfId="203"/>
    <tableColumn id="19" xr3:uid="{7E3F7BE6-EF70-4DB5-ACF8-A36DE0C80E5B}" name="شماره شبا" dataDxfId="202" totalsRowDxfId="201"/>
    <tableColumn id="14" xr3:uid="{5D0BD8D2-3C56-4B7E-AE34-770948467C25}" name="شماره کارت" dataDxfId="200" totalsRowDxfId="199"/>
    <tableColumn id="15" xr3:uid="{F0EA249A-426E-4668-B36E-75E5633920DC}" name="تاریخ انقضاء کارت" dataDxfId="198" totalsRowDxfId="197"/>
    <tableColumn id="16" xr3:uid="{CF2BE494-D0B5-4C01-8126-ED743F936578}" name="CVV2" dataDxfId="196" totalsRowDxfId="195"/>
  </tableColumns>
  <tableStyleInfo name="TableStyleMedium15" showFirstColumn="0" showLastColumn="0" showRowStripes="1" showColumnStripes="0"/>
</table>
</file>

<file path=xl/tables/table6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27000000}" name="TypeOfExpenditureTable" displayName="TypeOfExpenditureTable" ref="D3:D6" totalsRowShown="0" headerRowDxfId="194" dataDxfId="193">
  <autoFilter ref="D3:D6" xr:uid="{00000000-0009-0000-0100-000002000000}"/>
  <tableColumns count="1">
    <tableColumn id="1" xr3:uid="{00000000-0010-0000-2700-000001000000}" name="نوع خرج" dataDxfId="192"/>
  </tableColumns>
  <tableStyleInfo name="TableStyleMedium15" showFirstColumn="0" showLastColumn="0" showRowStripes="1" showColumnStripes="0"/>
</table>
</file>

<file path=xl/tables/table6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28000000}" name="TypeOfTransactionTable" displayName="TypeOfTransactionTable" ref="F3:F7" totalsRowShown="0" headerRowDxfId="191" dataDxfId="190">
  <autoFilter ref="F3:F7" xr:uid="{00000000-0009-0000-0100-000006000000}"/>
  <tableColumns count="1">
    <tableColumn id="1" xr3:uid="{00000000-0010-0000-2800-000001000000}" name="نوع تراکنش" dataDxfId="189"/>
  </tableColumns>
  <tableStyleInfo name="TableStyleMedium23" showFirstColumn="0" showLastColumn="0" showRowStripes="1" showColumnStripes="0"/>
</table>
</file>

<file path=xl/tables/table7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0000000-000C-0000-FFFF-FFFF29000000}" name="TransactionMethodsTable" displayName="TransactionMethodsTable" ref="H3:H10" totalsRowShown="0" headerRowDxfId="188" dataDxfId="187">
  <autoFilter ref="H3:H10" xr:uid="{00000000-0009-0000-0100-000009000000}"/>
  <tableColumns count="1">
    <tableColumn id="1" xr3:uid="{00000000-0010-0000-2900-000001000000}" name="روش تراکنش" dataDxfId="186"/>
  </tableColumns>
  <tableStyleInfo name="TableStyleMedium3" showFirstColumn="0" showLastColumn="0" showRowStripes="1" showColumnStripes="0"/>
</table>
</file>

<file path=xl/tables/table7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4" xr:uid="{00000000-000C-0000-FFFF-FFFF2A000000}" name="HolidayTable" displayName="HolidayTable" ref="M4:O14" totalsRowShown="0" headerRowDxfId="185" dataDxfId="184">
  <autoFilter ref="M4:O14" xr:uid="{00000000-0009-0000-0100-00002C000000}"/>
  <tableColumns count="3">
    <tableColumn id="1" xr3:uid="{00000000-0010-0000-2A00-000001000000}" name="عنوان تعطیلات" dataDxfId="183"/>
    <tableColumn id="2" xr3:uid="{00000000-0010-0000-2A00-000002000000}" name="روز و ماه" dataDxfId="182"/>
    <tableColumn id="3" xr3:uid="{00000000-0010-0000-2A00-000003000000}" name="Date" dataDxfId="181">
      <calculatedColumnFormula>CONCATENATE(تقویم!$A$2,HolidayTable[[#This Row],[روز و ماه]])</calculatedColumnFormula>
    </tableColumn>
  </tableColumns>
  <tableStyleInfo name="TableStyleMedium13" showFirstColumn="0" showLastColumn="0" showRowStripes="1" showColumnStripes="0"/>
</table>
</file>

<file path=xl/tables/table7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5" xr:uid="{00000000-000C-0000-FFFF-FFFF2B000000}" name="showDateTable" displayName="showDateTable" ref="J4:K10" totalsRowShown="0" headerRowDxfId="180" dataDxfId="179">
  <autoFilter ref="J4:K10" xr:uid="{00000000-0009-0000-0100-00002D000000}"/>
  <tableColumns count="2">
    <tableColumn id="1" xr3:uid="{00000000-0010-0000-2B00-000001000000}" name="ID" dataDxfId="178"/>
    <tableColumn id="2" xr3:uid="{00000000-0010-0000-2B00-000002000000}" name="شیوه نمایش تاریخ" dataDxfId="177"/>
  </tableColumns>
  <tableStyleInfo name="TableStyleMedium9" showFirstColumn="0" showLastColumn="0" showRowStripes="1" showColumnStripes="0"/>
</table>
</file>

<file path=xl/tables/table7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6" xr:uid="{00000000-000C-0000-FFFF-FFFF2C000000}" name="EventsTable" displayName="EventsTable" ref="Q4:S224" totalsRowShown="0" headerRowDxfId="176" dataDxfId="175">
  <autoFilter ref="Q4:S224" xr:uid="{00000000-0009-0000-0100-00002E000000}"/>
  <tableColumns count="3">
    <tableColumn id="1" xr3:uid="{00000000-0010-0000-2C00-000001000000}" name="عنوان مناسبت" dataDxfId="174"/>
    <tableColumn id="2" xr3:uid="{00000000-0010-0000-2C00-000002000000}" name="روز و ماه" dataDxfId="173"/>
    <tableColumn id="3" xr3:uid="{00000000-0010-0000-2C00-000003000000}" name="Date" dataDxfId="172">
      <calculatedColumnFormula>CONCATENATE(تقویم!$A$2,EventsTable[[#This Row],[روز و ماه]])</calculatedColumnFormula>
    </tableColumn>
  </tableColumns>
  <tableStyleInfo name="TableStyleMedium10" showFirstColumn="0" showLastColumn="0" showRowStripes="1" showColumnStripes="0"/>
</table>
</file>

<file path=xl/tables/table7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7" xr:uid="{00000000-000C-0000-FFFF-FFFF2D000000}" name="LunarCalendarHolidaysTable" displayName="LunarCalendarHolidaysTable" ref="U4:V24" totalsRowShown="0" headerRowDxfId="171" dataDxfId="170">
  <autoFilter ref="U4:V24" xr:uid="{00000000-0009-0000-0100-00002F000000}"/>
  <tableColumns count="2">
    <tableColumn id="1" xr3:uid="{00000000-0010-0000-2D00-000001000000}" name="تعطیلات قمری" dataDxfId="169"/>
    <tableColumn id="2" xr3:uid="{00000000-0010-0000-2D00-000002000000}" name="Day and Month" dataDxfId="168"/>
  </tableColumns>
  <tableStyleInfo name="TableStyleMedium11" showFirstColumn="0" showLastColumn="0" showRowStripes="1" showColumnStripes="0"/>
</table>
</file>

<file path=xl/tables/table7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8" xr:uid="{00000000-000C-0000-FFFF-FFFF2E000000}" name="LunarCalendarEventsTable" displayName="LunarCalendarEventsTable" ref="X4:Y63" totalsRowShown="0" headerRowDxfId="167" dataDxfId="166">
  <autoFilter ref="X4:Y63" xr:uid="{00000000-0009-0000-0100-000030000000}"/>
  <tableColumns count="2">
    <tableColumn id="1" xr3:uid="{00000000-0010-0000-2E00-000001000000}" name="مناسبت قمری" dataDxfId="165"/>
    <tableColumn id="2" xr3:uid="{00000000-0010-0000-2E00-000002000000}" name="Day and Month" dataDxfId="164"/>
  </tableColumns>
  <tableStyleInfo name="TableStyleMedium14" showFirstColumn="0" showLastColumn="0" showRowStripes="1" showColumnStripes="0"/>
</table>
</file>

<file path=xl/tables/table7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9" xr:uid="{00000000-000C-0000-FFFF-FFFF2F000000}" name="GregorianCalendarEventsTable" displayName="GregorianCalendarEventsTable" ref="AA4:AB32" totalsRowShown="0" headerRowDxfId="163" dataDxfId="162">
  <autoFilter ref="AA4:AB32" xr:uid="{00000000-0009-0000-0100-000031000000}"/>
  <tableColumns count="2">
    <tableColumn id="1" xr3:uid="{00000000-0010-0000-2F00-000001000000}" name="مناسبت میلادی" dataDxfId="161"/>
    <tableColumn id="2" xr3:uid="{00000000-0010-0000-2F00-000002000000}" name="Day and Month" dataDxfId="160"/>
  </tableColumns>
  <tableStyleInfo name="TableStyleMedium12" showFirstColumn="0" showLastColumn="0" showRowStripes="1" showColumnStripes="0"/>
</table>
</file>

<file path=xl/tables/table7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0" xr:uid="{00000000-000C-0000-FFFF-FFFF30000000}" name="BankFeesTable" displayName="BankFeesTable" ref="J13:K41" totalsRowShown="0" headerRowDxfId="159" dataDxfId="158">
  <autoFilter ref="J13:K41" xr:uid="{00000000-0009-0000-0100-000032000000}"/>
  <tableColumns count="2">
    <tableColumn id="1" xr3:uid="{00000000-0010-0000-3000-000001000000}" name="عملیات" dataDxfId="157"/>
    <tableColumn id="2" xr3:uid="{00000000-0010-0000-3000-000002000000}" name="Wage" dataDxfId="156"/>
  </tableColumns>
  <tableStyleInfo name="TableStyleMedium14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printerSettings" Target="../printerSettings/printerSettings3.bin"/><Relationship Id="rId1" Type="http://schemas.openxmlformats.org/officeDocument/2006/relationships/hyperlink" Target="Receipts\R-14001230-01.jpg" TargetMode="External"/><Relationship Id="rId6" Type="http://schemas.openxmlformats.org/officeDocument/2006/relationships/table" Target="../tables/table5.xml"/><Relationship Id="rId5" Type="http://schemas.openxmlformats.org/officeDocument/2006/relationships/table" Target="../tables/table4.xml"/><Relationship Id="rId4" Type="http://schemas.openxmlformats.org/officeDocument/2006/relationships/table" Target="../tables/table3.xml"/></Relationships>
</file>

<file path=xl/worksheets/_rels/sheet14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1.xml"/><Relationship Id="rId3" Type="http://schemas.openxmlformats.org/officeDocument/2006/relationships/table" Target="../tables/table6.xml"/><Relationship Id="rId7" Type="http://schemas.openxmlformats.org/officeDocument/2006/relationships/table" Target="../tables/table10.xml"/><Relationship Id="rId2" Type="http://schemas.openxmlformats.org/officeDocument/2006/relationships/printerSettings" Target="../printerSettings/printerSettings4.bin"/><Relationship Id="rId1" Type="http://schemas.openxmlformats.org/officeDocument/2006/relationships/hyperlink" Target="Receipts%20for%20'Life%20Management%20in%20a%20Shared%20Environment'\RE-14001230-01.jpg" TargetMode="External"/><Relationship Id="rId6" Type="http://schemas.openxmlformats.org/officeDocument/2006/relationships/table" Target="../tables/table9.xml"/><Relationship Id="rId5" Type="http://schemas.openxmlformats.org/officeDocument/2006/relationships/table" Target="../tables/table8.xml"/><Relationship Id="rId4" Type="http://schemas.openxmlformats.org/officeDocument/2006/relationships/table" Target="../tables/table7.xml"/><Relationship Id="rId9" Type="http://schemas.openxmlformats.org/officeDocument/2006/relationships/table" Target="../tables/table12.xml"/></Relationships>
</file>

<file path=xl/worksheets/_rels/sheet15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9.xml"/><Relationship Id="rId13" Type="http://schemas.openxmlformats.org/officeDocument/2006/relationships/table" Target="../tables/table24.xml"/><Relationship Id="rId18" Type="http://schemas.openxmlformats.org/officeDocument/2006/relationships/table" Target="../tables/table29.xml"/><Relationship Id="rId3" Type="http://schemas.openxmlformats.org/officeDocument/2006/relationships/table" Target="../tables/table14.xml"/><Relationship Id="rId7" Type="http://schemas.openxmlformats.org/officeDocument/2006/relationships/table" Target="../tables/table18.xml"/><Relationship Id="rId12" Type="http://schemas.openxmlformats.org/officeDocument/2006/relationships/table" Target="../tables/table23.xml"/><Relationship Id="rId17" Type="http://schemas.openxmlformats.org/officeDocument/2006/relationships/table" Target="../tables/table28.xml"/><Relationship Id="rId2" Type="http://schemas.openxmlformats.org/officeDocument/2006/relationships/table" Target="../tables/table13.xml"/><Relationship Id="rId16" Type="http://schemas.openxmlformats.org/officeDocument/2006/relationships/table" Target="../tables/table27.xml"/><Relationship Id="rId1" Type="http://schemas.openxmlformats.org/officeDocument/2006/relationships/printerSettings" Target="../printerSettings/printerSettings5.bin"/><Relationship Id="rId6" Type="http://schemas.openxmlformats.org/officeDocument/2006/relationships/table" Target="../tables/table17.xml"/><Relationship Id="rId11" Type="http://schemas.openxmlformats.org/officeDocument/2006/relationships/table" Target="../tables/table22.xml"/><Relationship Id="rId5" Type="http://schemas.openxmlformats.org/officeDocument/2006/relationships/table" Target="../tables/table16.xml"/><Relationship Id="rId15" Type="http://schemas.openxmlformats.org/officeDocument/2006/relationships/table" Target="../tables/table26.xml"/><Relationship Id="rId10" Type="http://schemas.openxmlformats.org/officeDocument/2006/relationships/table" Target="../tables/table21.xml"/><Relationship Id="rId19" Type="http://schemas.openxmlformats.org/officeDocument/2006/relationships/table" Target="../tables/table30.xml"/><Relationship Id="rId4" Type="http://schemas.openxmlformats.org/officeDocument/2006/relationships/table" Target="../tables/table15.xml"/><Relationship Id="rId9" Type="http://schemas.openxmlformats.org/officeDocument/2006/relationships/table" Target="../tables/table20.xml"/><Relationship Id="rId14" Type="http://schemas.openxmlformats.org/officeDocument/2006/relationships/table" Target="../tables/table25.xml"/></Relationships>
</file>

<file path=xl/worksheets/_rels/sheet16.xml.rels><?xml version="1.0" encoding="UTF-8" standalone="yes"?>
<Relationships xmlns="http://schemas.openxmlformats.org/package/2006/relationships"><Relationship Id="rId8" Type="http://schemas.openxmlformats.org/officeDocument/2006/relationships/table" Target="../tables/table37.xml"/><Relationship Id="rId3" Type="http://schemas.openxmlformats.org/officeDocument/2006/relationships/table" Target="../tables/table32.xml"/><Relationship Id="rId7" Type="http://schemas.openxmlformats.org/officeDocument/2006/relationships/table" Target="../tables/table36.xml"/><Relationship Id="rId2" Type="http://schemas.openxmlformats.org/officeDocument/2006/relationships/table" Target="../tables/table31.xml"/><Relationship Id="rId1" Type="http://schemas.openxmlformats.org/officeDocument/2006/relationships/printerSettings" Target="../printerSettings/printerSettings6.bin"/><Relationship Id="rId6" Type="http://schemas.openxmlformats.org/officeDocument/2006/relationships/table" Target="../tables/table35.xml"/><Relationship Id="rId5" Type="http://schemas.openxmlformats.org/officeDocument/2006/relationships/table" Target="../tables/table34.xml"/><Relationship Id="rId10" Type="http://schemas.openxmlformats.org/officeDocument/2006/relationships/table" Target="../tables/table39.xml"/><Relationship Id="rId4" Type="http://schemas.openxmlformats.org/officeDocument/2006/relationships/table" Target="../tables/table33.xml"/><Relationship Id="rId9" Type="http://schemas.openxmlformats.org/officeDocument/2006/relationships/table" Target="../tables/table38.xml"/></Relationships>
</file>

<file path=xl/worksheets/_rels/sheet18.xml.rels><?xml version="1.0" encoding="UTF-8" standalone="yes"?>
<Relationships xmlns="http://schemas.openxmlformats.org/package/2006/relationships"><Relationship Id="rId8" Type="http://schemas.openxmlformats.org/officeDocument/2006/relationships/table" Target="../tables/table46.xml"/><Relationship Id="rId13" Type="http://schemas.openxmlformats.org/officeDocument/2006/relationships/table" Target="../tables/table51.xml"/><Relationship Id="rId18" Type="http://schemas.openxmlformats.org/officeDocument/2006/relationships/table" Target="../tables/table56.xml"/><Relationship Id="rId26" Type="http://schemas.openxmlformats.org/officeDocument/2006/relationships/table" Target="../tables/table64.xml"/><Relationship Id="rId3" Type="http://schemas.openxmlformats.org/officeDocument/2006/relationships/table" Target="../tables/table41.xml"/><Relationship Id="rId21" Type="http://schemas.openxmlformats.org/officeDocument/2006/relationships/table" Target="../tables/table59.xml"/><Relationship Id="rId7" Type="http://schemas.openxmlformats.org/officeDocument/2006/relationships/table" Target="../tables/table45.xml"/><Relationship Id="rId12" Type="http://schemas.openxmlformats.org/officeDocument/2006/relationships/table" Target="../tables/table50.xml"/><Relationship Id="rId17" Type="http://schemas.openxmlformats.org/officeDocument/2006/relationships/table" Target="../tables/table55.xml"/><Relationship Id="rId25" Type="http://schemas.openxmlformats.org/officeDocument/2006/relationships/table" Target="../tables/table63.xml"/><Relationship Id="rId2" Type="http://schemas.openxmlformats.org/officeDocument/2006/relationships/table" Target="../tables/table40.xml"/><Relationship Id="rId16" Type="http://schemas.openxmlformats.org/officeDocument/2006/relationships/table" Target="../tables/table54.xml"/><Relationship Id="rId20" Type="http://schemas.openxmlformats.org/officeDocument/2006/relationships/table" Target="../tables/table58.xml"/><Relationship Id="rId1" Type="http://schemas.openxmlformats.org/officeDocument/2006/relationships/printerSettings" Target="../printerSettings/printerSettings7.bin"/><Relationship Id="rId6" Type="http://schemas.openxmlformats.org/officeDocument/2006/relationships/table" Target="../tables/table44.xml"/><Relationship Id="rId11" Type="http://schemas.openxmlformats.org/officeDocument/2006/relationships/table" Target="../tables/table49.xml"/><Relationship Id="rId24" Type="http://schemas.openxmlformats.org/officeDocument/2006/relationships/table" Target="../tables/table62.xml"/><Relationship Id="rId5" Type="http://schemas.openxmlformats.org/officeDocument/2006/relationships/table" Target="../tables/table43.xml"/><Relationship Id="rId15" Type="http://schemas.openxmlformats.org/officeDocument/2006/relationships/table" Target="../tables/table53.xml"/><Relationship Id="rId23" Type="http://schemas.openxmlformats.org/officeDocument/2006/relationships/table" Target="../tables/table61.xml"/><Relationship Id="rId10" Type="http://schemas.openxmlformats.org/officeDocument/2006/relationships/table" Target="../tables/table48.xml"/><Relationship Id="rId19" Type="http://schemas.openxmlformats.org/officeDocument/2006/relationships/table" Target="../tables/table57.xml"/><Relationship Id="rId4" Type="http://schemas.openxmlformats.org/officeDocument/2006/relationships/table" Target="../tables/table42.xml"/><Relationship Id="rId9" Type="http://schemas.openxmlformats.org/officeDocument/2006/relationships/table" Target="../tables/table47.xml"/><Relationship Id="rId14" Type="http://schemas.openxmlformats.org/officeDocument/2006/relationships/table" Target="../tables/table52.xml"/><Relationship Id="rId22" Type="http://schemas.openxmlformats.org/officeDocument/2006/relationships/table" Target="../tables/table60.xml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5.xml"/><Relationship Id="rId1" Type="http://schemas.openxmlformats.org/officeDocument/2006/relationships/printerSettings" Target="../printerSettings/printerSettings8.bin"/></Relationships>
</file>

<file path=xl/worksheets/_rels/sheet2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66.xml"/><Relationship Id="rId2" Type="http://schemas.openxmlformats.org/officeDocument/2006/relationships/printerSettings" Target="../printerSettings/printerSettings9.bin"/><Relationship Id="rId1" Type="http://schemas.openxmlformats.org/officeDocument/2006/relationships/hyperlink" Target="mailto:test@email.com" TargetMode="External"/><Relationship Id="rId4" Type="http://schemas.openxmlformats.org/officeDocument/2006/relationships/table" Target="../tables/table67.xml"/></Relationships>
</file>

<file path=xl/worksheets/_rels/sheet25.xml.rels><?xml version="1.0" encoding="UTF-8" standalone="yes"?>
<Relationships xmlns="http://schemas.openxmlformats.org/package/2006/relationships"><Relationship Id="rId8" Type="http://schemas.openxmlformats.org/officeDocument/2006/relationships/table" Target="../tables/table74.xml"/><Relationship Id="rId3" Type="http://schemas.openxmlformats.org/officeDocument/2006/relationships/table" Target="../tables/table69.xml"/><Relationship Id="rId7" Type="http://schemas.openxmlformats.org/officeDocument/2006/relationships/table" Target="../tables/table73.xml"/><Relationship Id="rId2" Type="http://schemas.openxmlformats.org/officeDocument/2006/relationships/table" Target="../tables/table68.xml"/><Relationship Id="rId1" Type="http://schemas.openxmlformats.org/officeDocument/2006/relationships/printerSettings" Target="../printerSettings/printerSettings10.bin"/><Relationship Id="rId6" Type="http://schemas.openxmlformats.org/officeDocument/2006/relationships/table" Target="../tables/table72.xml"/><Relationship Id="rId11" Type="http://schemas.openxmlformats.org/officeDocument/2006/relationships/table" Target="../tables/table77.xml"/><Relationship Id="rId5" Type="http://schemas.openxmlformats.org/officeDocument/2006/relationships/table" Target="../tables/table71.xml"/><Relationship Id="rId10" Type="http://schemas.openxmlformats.org/officeDocument/2006/relationships/table" Target="../tables/table76.xml"/><Relationship Id="rId4" Type="http://schemas.openxmlformats.org/officeDocument/2006/relationships/table" Target="../tables/table70.xml"/><Relationship Id="rId9" Type="http://schemas.openxmlformats.org/officeDocument/2006/relationships/table" Target="../tables/table75.xml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2"/>
  <dimension ref="A4:AC37"/>
  <sheetViews>
    <sheetView rightToLeft="1" workbookViewId="0"/>
  </sheetViews>
  <sheetFormatPr defaultRowHeight="15"/>
  <cols>
    <col min="1" max="1" width="5.140625" customWidth="1"/>
    <col min="2" max="2" width="10.5703125" bestFit="1" customWidth="1"/>
    <col min="3" max="3" width="34" customWidth="1"/>
    <col min="4" max="4" width="5.5703125" customWidth="1"/>
    <col min="5" max="5" width="8.7109375" customWidth="1"/>
    <col min="6" max="6" width="15.7109375" bestFit="1" customWidth="1"/>
    <col min="7" max="7" width="8.140625" customWidth="1"/>
    <col min="8" max="8" width="11.28515625" bestFit="1" customWidth="1"/>
    <col min="9" max="9" width="11" bestFit="1" customWidth="1"/>
    <col min="10" max="10" width="12.140625" bestFit="1" customWidth="1"/>
    <col min="11" max="11" width="11.5703125" bestFit="1" customWidth="1"/>
    <col min="12" max="12" width="13.140625" bestFit="1" customWidth="1"/>
    <col min="13" max="13" width="30.140625" customWidth="1"/>
    <col min="14" max="14" width="4.5703125" customWidth="1"/>
    <col min="16" max="16" width="5.140625" customWidth="1"/>
    <col min="17" max="17" width="17.28515625" customWidth="1"/>
    <col min="18" max="18" width="21.140625" bestFit="1" customWidth="1"/>
    <col min="19" max="19" width="19.42578125" customWidth="1"/>
    <col min="20" max="20" width="22.140625" customWidth="1"/>
    <col min="21" max="21" width="15.7109375" bestFit="1" customWidth="1"/>
    <col min="22" max="22" width="18.5703125" customWidth="1"/>
    <col min="23" max="23" width="16" customWidth="1"/>
    <col min="24" max="24" width="13.28515625" customWidth="1"/>
    <col min="25" max="25" width="23.7109375" customWidth="1"/>
    <col min="26" max="26" width="11.5703125" bestFit="1" customWidth="1"/>
    <col min="27" max="27" width="13.140625" bestFit="1" customWidth="1"/>
    <col min="28" max="28" width="12.28515625" customWidth="1"/>
    <col min="29" max="29" width="10.42578125" customWidth="1"/>
  </cols>
  <sheetData>
    <row r="4" spans="1:29" ht="15.75" thickBot="1">
      <c r="A4" t="s">
        <v>101</v>
      </c>
    </row>
    <row r="5" spans="1:29" ht="16.5" thickBot="1">
      <c r="A5" t="s">
        <v>1</v>
      </c>
      <c r="B5" t="s">
        <v>14</v>
      </c>
      <c r="C5" t="s">
        <v>15</v>
      </c>
      <c r="D5" t="s">
        <v>0</v>
      </c>
      <c r="E5" t="s">
        <v>17</v>
      </c>
      <c r="F5" t="s">
        <v>4</v>
      </c>
      <c r="G5" t="s">
        <v>18</v>
      </c>
      <c r="H5" t="s">
        <v>2</v>
      </c>
      <c r="I5" t="s">
        <v>6</v>
      </c>
      <c r="J5" t="s">
        <v>5</v>
      </c>
      <c r="K5" t="s">
        <v>13</v>
      </c>
      <c r="L5" t="s">
        <v>41</v>
      </c>
      <c r="M5" t="s">
        <v>40</v>
      </c>
      <c r="P5" s="69" t="s">
        <v>1</v>
      </c>
      <c r="Q5" s="70" t="s">
        <v>118</v>
      </c>
      <c r="R5" s="70" t="s">
        <v>0</v>
      </c>
      <c r="S5" s="71" t="s">
        <v>17</v>
      </c>
      <c r="T5" s="72" t="s">
        <v>107</v>
      </c>
      <c r="U5" s="73" t="s">
        <v>146</v>
      </c>
      <c r="V5" s="70" t="s">
        <v>116</v>
      </c>
      <c r="W5" s="70" t="s">
        <v>147</v>
      </c>
      <c r="X5" s="74" t="s">
        <v>2</v>
      </c>
      <c r="Y5" s="70" t="s">
        <v>6</v>
      </c>
      <c r="Z5" s="70" t="s">
        <v>5</v>
      </c>
      <c r="AA5" s="70" t="s">
        <v>155</v>
      </c>
      <c r="AB5" s="71" t="s">
        <v>112</v>
      </c>
      <c r="AC5" s="71" t="s">
        <v>40</v>
      </c>
    </row>
    <row r="6" spans="1:29" ht="15.75">
      <c r="P6" s="75">
        <v>1</v>
      </c>
      <c r="Q6" s="76" t="s">
        <v>119</v>
      </c>
      <c r="R6" s="77">
        <f>DATE(2021,6,26)</f>
        <v>44373</v>
      </c>
      <c r="S6" s="78" t="s">
        <v>154</v>
      </c>
      <c r="T6" s="79" t="s">
        <v>280</v>
      </c>
      <c r="U6" s="76" t="s">
        <v>184</v>
      </c>
      <c r="V6" s="76" t="s">
        <v>268</v>
      </c>
      <c r="W6" s="76" t="s">
        <v>151</v>
      </c>
      <c r="X6" s="80">
        <v>80000</v>
      </c>
      <c r="Y6" s="76" t="s">
        <v>137</v>
      </c>
      <c r="Z6" s="76" t="s">
        <v>327</v>
      </c>
      <c r="AA6" s="76"/>
      <c r="AB6" s="78" t="s">
        <v>113</v>
      </c>
      <c r="AC6" s="78"/>
    </row>
    <row r="7" spans="1:29" ht="15.75">
      <c r="P7" s="81">
        <v>2</v>
      </c>
      <c r="Q7" s="82"/>
      <c r="R7" s="83">
        <f>DATE(2021,6,26)</f>
        <v>44373</v>
      </c>
      <c r="S7" s="84"/>
      <c r="T7" s="85" t="s">
        <v>280</v>
      </c>
      <c r="U7" s="82"/>
      <c r="V7" s="82"/>
      <c r="W7" s="82"/>
      <c r="X7" s="86"/>
      <c r="Y7" s="82"/>
      <c r="Z7" s="82"/>
      <c r="AA7" s="82"/>
      <c r="AB7" s="84"/>
      <c r="AC7" s="84"/>
    </row>
    <row r="8" spans="1:29" ht="15.75">
      <c r="P8" s="75">
        <v>3</v>
      </c>
      <c r="Q8" s="76"/>
      <c r="R8" s="77">
        <f>DATE(2021,8,17)</f>
        <v>44425</v>
      </c>
      <c r="S8" s="78"/>
      <c r="T8" s="79" t="s">
        <v>304</v>
      </c>
      <c r="U8" s="76" t="s">
        <v>307</v>
      </c>
      <c r="V8" s="76" t="s">
        <v>318</v>
      </c>
      <c r="W8" s="76"/>
      <c r="X8" s="80"/>
      <c r="Y8" s="76"/>
      <c r="Z8" s="76"/>
      <c r="AA8" s="76"/>
      <c r="AB8" s="78"/>
      <c r="AC8" s="78"/>
    </row>
    <row r="11" spans="1:29">
      <c r="A11" t="s">
        <v>106</v>
      </c>
    </row>
    <row r="12" spans="1:29">
      <c r="A12" t="s">
        <v>8</v>
      </c>
      <c r="B12" t="s">
        <v>102</v>
      </c>
      <c r="C12" t="s">
        <v>103</v>
      </c>
      <c r="D12" t="s">
        <v>104</v>
      </c>
      <c r="E12" t="s">
        <v>88</v>
      </c>
      <c r="F12" t="s">
        <v>89</v>
      </c>
      <c r="G12" t="s">
        <v>105</v>
      </c>
      <c r="H12" t="s">
        <v>98</v>
      </c>
    </row>
    <row r="15" spans="1:29">
      <c r="R15" t="s">
        <v>335</v>
      </c>
    </row>
    <row r="16" spans="1:29" ht="18.75">
      <c r="A16" s="9" t="e">
        <f>S24a</f>
        <v>#NAME?</v>
      </c>
      <c r="B16" s="35" t="s">
        <v>115</v>
      </c>
      <c r="C16" s="10" t="s">
        <v>102</v>
      </c>
      <c r="D16" s="11" t="s">
        <v>103</v>
      </c>
      <c r="E16" s="33" t="s">
        <v>104</v>
      </c>
      <c r="F16" s="12" t="s">
        <v>110</v>
      </c>
      <c r="G16" s="13" t="s">
        <v>89</v>
      </c>
      <c r="H16" s="23" t="s">
        <v>111</v>
      </c>
      <c r="I16" s="14" t="s">
        <v>105</v>
      </c>
      <c r="J16" s="15" t="s">
        <v>98</v>
      </c>
      <c r="Q16">
        <v>1</v>
      </c>
      <c r="U16" t="s">
        <v>334</v>
      </c>
    </row>
    <row r="17" spans="3:17">
      <c r="Q17">
        <v>2</v>
      </c>
    </row>
    <row r="18" spans="3:17">
      <c r="Q18">
        <v>3</v>
      </c>
    </row>
    <row r="20" spans="3:17">
      <c r="O20">
        <f>IF(Q16:Q22="",1,0)</f>
        <v>0</v>
      </c>
      <c r="Q20">
        <v>5</v>
      </c>
    </row>
    <row r="21" spans="3:17">
      <c r="Q21">
        <v>6</v>
      </c>
    </row>
    <row r="22" spans="3:17">
      <c r="C22" s="117" t="str">
        <f>Slash(14000525)</f>
        <v>1400/05/25</v>
      </c>
      <c r="Q22">
        <v>7</v>
      </c>
    </row>
    <row r="23" spans="3:17">
      <c r="K23" s="95"/>
      <c r="M23" t="str">
        <f>REPLACE(Q25,1,LEN(Q25),"")</f>
        <v/>
      </c>
    </row>
    <row r="24" spans="3:17">
      <c r="M24">
        <f>LEN(M23)</f>
        <v>0</v>
      </c>
    </row>
    <row r="25" spans="3:17">
      <c r="I25">
        <f>IFERROR(M25,5)</f>
        <v>7</v>
      </c>
      <c r="M25">
        <f>7</f>
        <v>7</v>
      </c>
      <c r="Q25">
        <v>1234</v>
      </c>
    </row>
    <row r="27" spans="3:17" ht="18.75">
      <c r="C27" s="159" t="s">
        <v>8</v>
      </c>
    </row>
    <row r="28" spans="3:17" ht="18.75">
      <c r="C28" s="167" t="s">
        <v>98</v>
      </c>
      <c r="M28" t="e">
        <f>CL</f>
        <v>#NAME?</v>
      </c>
    </row>
    <row r="29" spans="3:17" ht="18.75">
      <c r="C29" s="160" t="s">
        <v>115</v>
      </c>
    </row>
    <row r="30" spans="3:17" ht="18.75">
      <c r="C30" s="165" t="s">
        <v>111</v>
      </c>
    </row>
    <row r="31" spans="3:17" ht="18.75">
      <c r="C31" s="163" t="s">
        <v>974</v>
      </c>
    </row>
    <row r="32" spans="3:17" ht="18.75">
      <c r="C32" s="146" t="s">
        <v>975</v>
      </c>
    </row>
    <row r="33" spans="3:3" ht="18.75">
      <c r="C33" s="164" t="s">
        <v>89</v>
      </c>
    </row>
    <row r="34" spans="3:3" ht="18.75">
      <c r="C34" s="165" t="s">
        <v>111</v>
      </c>
    </row>
    <row r="35" spans="3:3" ht="18.75">
      <c r="C35" s="166" t="s">
        <v>105</v>
      </c>
    </row>
    <row r="36" spans="3:3">
      <c r="C36" s="153"/>
    </row>
    <row r="37" spans="3:3">
      <c r="C37" s="153"/>
    </row>
  </sheetData>
  <dataValidations disablePrompts="1" count="12">
    <dataValidation type="list" allowBlank="1" showInputMessage="1" showErrorMessage="1" sqref="V8" xr:uid="{00000000-0002-0000-0000-000000000000}">
      <formula1>INDIRECT($F$10)</formula1>
    </dataValidation>
    <dataValidation type="list" allowBlank="1" showInputMessage="1" showErrorMessage="1" sqref="U8" xr:uid="{00000000-0002-0000-0000-000001000000}">
      <formula1>INDIRECT($E$10)</formula1>
    </dataValidation>
    <dataValidation type="list" allowBlank="1" showInputMessage="1" showErrorMessage="1" sqref="V7" xr:uid="{00000000-0002-0000-0000-000002000000}">
      <formula1>INDIRECT($F$9)</formula1>
    </dataValidation>
    <dataValidation type="list" allowBlank="1" showInputMessage="1" showErrorMessage="1" sqref="U7" xr:uid="{00000000-0002-0000-0000-000003000000}">
      <formula1>INDIRECT($E$9)</formula1>
    </dataValidation>
    <dataValidation type="list" allowBlank="1" showInputMessage="1" showErrorMessage="1" sqref="V6" xr:uid="{00000000-0002-0000-0000-000004000000}">
      <formula1>INDIRECT($F$8)</formula1>
    </dataValidation>
    <dataValidation type="list" allowBlank="1" showInputMessage="1" showErrorMessage="1" sqref="U6" xr:uid="{00000000-0002-0000-0000-000005000000}">
      <formula1>INDIRECT($E$8)</formula1>
    </dataValidation>
    <dataValidation showInputMessage="1" promptTitle="راهنما" prompt="تاریخ به میلادی ثبت شود._x000a_به صورت خودکار تاریخ شمسی نمایش داده میشود." sqref="R6:R8" xr:uid="{00000000-0002-0000-0000-000006000000}"/>
    <dataValidation type="list" allowBlank="1" showInputMessage="1" showErrorMessage="1" errorTitle="Error" error="مقدار ورودی را از لیست انتخاب کنید" promptTitle="راهنما" prompt="روش انتقال پول را انتخاب کنید_x000a_" sqref="W6:W8" xr:uid="{00000000-0002-0000-0000-000007000000}">
      <formula1 xml:space="preserve"> TransactionMethodsList</formula1>
    </dataValidation>
    <dataValidation type="list" allowBlank="1" showInputMessage="1" showErrorMessage="1" errorTitle="Error" error="مقدار ورودی را از لیست انتخاب کنید" promptTitle="راهنما" prompt="نوع تراکنش را مشخص کنید._x000a_پرداخت (هزینه)_x000a_دریافت (درآمد)_x000a_انتقال" sqref="T6:T8" xr:uid="{00000000-0002-0000-0000-000008000000}">
      <formula1>INDIRECT("TypeOfTransactionTable[نوع تراکنش]")</formula1>
    </dataValidation>
    <dataValidation type="list" allowBlank="1" showInputMessage="1" showErrorMessage="1" errorTitle="Error" error="مقدار ورودی را از لیست انتخاب کنید" promptTitle="راهنما" prompt="حساب/فرد پرداخت کننده و دریافت کننده را تعیین کنید" sqref="Y6:Z8" xr:uid="{00000000-0002-0000-0000-000009000000}">
      <formula1>Accounts_and_ReceiversAndPayers_List</formula1>
    </dataValidation>
    <dataValidation type="list" allowBlank="1" showInputMessage="1" showErrorMessage="1" errorTitle="Error" error="فرد باید از لیست «افراد» انتخاب شود._x000a_به جدول «افراد» موجود در کاربردگ «تنظیمات حساب» مراجعه شود." promptTitle="راهنما" prompt="فردی که هزینه کرده یا برای آن هزینه شده" sqref="Q6:Q8" xr:uid="{00000000-0002-0000-0000-00000A000000}">
      <formula1>INDIRECT("PersonsTable[افراد]")</formula1>
    </dataValidation>
    <dataValidation type="list" allowBlank="1" showInputMessage="1" showErrorMessage="1" errorTitle="Error" error="نوع خرج باید از گزینه‌های موجود در لیست کشویی باشد." promptTitle="راهنما" prompt="نوع خرج را مشخص کنید._x000a_نا مشخص_x000a_خرج صحیح_x000a_خرج اضافی" sqref="AB6:AB8" xr:uid="{00000000-0002-0000-0000-00000B000000}">
      <formula1>INDIRECT("TypeOfExpenditureTable[نوع خرج]")</formula1>
    </dataValidation>
  </dataValidations>
  <hyperlinks>
    <hyperlink ref="A16" location="فهرست!A1" display="فهرست" xr:uid="{00000000-0004-0000-0000-000000000000}"/>
    <hyperlink ref="C16" location="'مدیریت وام و اقساط'!A1" display="وام و اقساط" xr:uid="{00000000-0004-0000-0000-000001000000}"/>
    <hyperlink ref="D16" location="'مدیریت چک‌ها'!A1" display="چک‌ها" xr:uid="{00000000-0004-0000-0000-000002000000}"/>
    <hyperlink ref="E16" location="'مدیریت بدهی‌ها-طلب‌ها'!A1" display="بدهی‌ها و طلب‌ها" xr:uid="{00000000-0004-0000-0000-000003000000}"/>
    <hyperlink ref="F16" location="'برنامه ریزی پرداخت‌ها'!A1" display="برنامه ریزی" xr:uid="{00000000-0004-0000-0000-000004000000}"/>
    <hyperlink ref="G16" location="تقویم!A1" display="تقویم" xr:uid="{00000000-0004-0000-0000-000005000000}"/>
    <hyperlink ref="H16" location="'بودجه بندی'!A1" display="بودجه بندی" xr:uid="{00000000-0004-0000-0000-000006000000}"/>
    <hyperlink ref="I16" location="'گزارش فعالیت‌های ماه جاری'!A1" display="ماه جاری" xr:uid="{00000000-0004-0000-0000-000007000000}"/>
    <hyperlink ref="J16" location="'جست و جو'!A1" display="جست و جو" xr:uid="{00000000-0004-0000-0000-000008000000}"/>
    <hyperlink ref="B16" location="تراکنش‌ها!A1" display="تراکنش‌ها" xr:uid="{00000000-0004-0000-0000-000009000000}"/>
    <hyperlink ref="C27" location="فهرست!A1" display="فهرست" xr:uid="{DBB1AB34-DABE-4EC4-B311-DB2D9D65FA64}"/>
    <hyperlink ref="C31" location="'مدیریت بدهی‌ها-طلب‌ها'!A1" display="بدهی‌ها و طلب‌ها" xr:uid="{9EC46A1F-8971-44E1-9E86-E0E6A1A0BD39}"/>
    <hyperlink ref="C32" location="'برنامه ریزی پرداخت‌ها'!A1" display="برنامه ریزی" xr:uid="{76FD54D4-737D-4E38-B3EE-01C81F61BA03}"/>
    <hyperlink ref="C33" location="تقویم!A1" display="تقویم" xr:uid="{5B08DC21-92F0-4A8C-83A1-CF1CE5225E6B}"/>
    <hyperlink ref="C34" location="'برنامه و بودجه بندی'!A1" display="بودجه بندی" xr:uid="{2E67174C-0A11-4416-9CCE-73039AA91436}"/>
    <hyperlink ref="C35" location="'گزارش فعالیت‌های ماه جاری'!A1" display="ماه جاری" xr:uid="{A8E34D8E-369E-44EB-9E2A-CBBE66490A21}"/>
    <hyperlink ref="C28" location="'جست و جو'!A1" display="جست و جو" xr:uid="{BFB2FE9C-1774-4948-9575-20B21C0C7E24}"/>
    <hyperlink ref="C29" location="تراکنش‌ها!A1" display="تراکنش‌ها" xr:uid="{F7A3FC34-AB15-48A6-B0A2-3DC1AF3ECAB2}"/>
    <hyperlink ref="C30" location="'برنامه و بودجه بندی'!A1" display="بودجه بندی" xr:uid="{EF637EEF-132D-415B-AFB7-4EE7DFCEE40A}"/>
  </hyperlink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6">
    <tabColor rgb="FF7030A0"/>
  </sheetPr>
  <dimension ref="B6:K29"/>
  <sheetViews>
    <sheetView rightToLeft="1" workbookViewId="0"/>
  </sheetViews>
  <sheetFormatPr defaultRowHeight="15"/>
  <cols>
    <col min="1" max="1" width="9.140625" customWidth="1"/>
    <col min="2" max="2" width="31.5703125" customWidth="1"/>
    <col min="3" max="3" width="4.5703125" customWidth="1"/>
    <col min="4" max="4" width="19.5703125" bestFit="1" customWidth="1"/>
    <col min="6" max="6" width="26.7109375" bestFit="1" customWidth="1"/>
    <col min="8" max="8" width="30" bestFit="1" customWidth="1"/>
    <col min="11" max="11" width="10.140625" bestFit="1" customWidth="1"/>
    <col min="13" max="13" width="6" bestFit="1" customWidth="1"/>
    <col min="14" max="14" width="13.42578125" bestFit="1" customWidth="1"/>
    <col min="15" max="15" width="17" bestFit="1" customWidth="1"/>
  </cols>
  <sheetData>
    <row r="6" spans="2:8">
      <c r="B6" s="2" t="s">
        <v>84</v>
      </c>
      <c r="D6" t="s">
        <v>85</v>
      </c>
      <c r="F6" t="s">
        <v>90</v>
      </c>
      <c r="H6" s="2" t="s">
        <v>94</v>
      </c>
    </row>
    <row r="7" spans="2:8">
      <c r="B7" t="s">
        <v>98</v>
      </c>
      <c r="D7" t="s">
        <v>86</v>
      </c>
      <c r="F7" t="s">
        <v>91</v>
      </c>
      <c r="H7" t="s">
        <v>95</v>
      </c>
    </row>
    <row r="8" spans="2:8">
      <c r="B8" s="2" t="s">
        <v>144</v>
      </c>
      <c r="D8" t="s">
        <v>87</v>
      </c>
      <c r="F8" t="s">
        <v>92</v>
      </c>
    </row>
    <row r="9" spans="2:8">
      <c r="B9" s="2" t="s">
        <v>7</v>
      </c>
      <c r="D9" t="s">
        <v>88</v>
      </c>
      <c r="F9" t="s">
        <v>93</v>
      </c>
    </row>
    <row r="10" spans="2:8">
      <c r="B10" s="2" t="s">
        <v>99</v>
      </c>
      <c r="D10" t="s">
        <v>89</v>
      </c>
      <c r="H10" t="s">
        <v>96</v>
      </c>
    </row>
    <row r="11" spans="2:8">
      <c r="H11" t="s">
        <v>97</v>
      </c>
    </row>
    <row r="12" spans="2:8">
      <c r="B12" t="s">
        <v>100</v>
      </c>
    </row>
    <row r="24" spans="8:11">
      <c r="H24" t="s">
        <v>42</v>
      </c>
    </row>
    <row r="29" spans="8:11">
      <c r="H29" t="s">
        <v>58</v>
      </c>
      <c r="K29" t="s">
        <v>59</v>
      </c>
    </row>
  </sheetData>
  <hyperlinks>
    <hyperlink ref="B6" location="تراکنش‌ها!A1" display="ثبت تراکنش‌های روزانه" xr:uid="{00000000-0004-0000-0100-000000000000}"/>
    <hyperlink ref="B10" location="'تنظیمات دفترچه'!A1" display="تنظیمات دفترچه" xr:uid="{00000000-0004-0000-0100-000001000000}"/>
    <hyperlink ref="B9" location="'تنظیمات حساب'!A1" display="تنظیمات حساب" xr:uid="{00000000-0004-0000-0100-000002000000}"/>
    <hyperlink ref="B8" location="'دریافت کنندگان - پرداخت کنندگان'!A1" display="دریافت کنندگان - پرداخت کنندگان" xr:uid="{00000000-0004-0000-0100-000003000000}"/>
    <hyperlink ref="H6" location="'گروه‌‌های درآمدی'!A1" display="گروه‌‌های درآمدی" xr:uid="{00000000-0004-0000-0100-000004000000}"/>
  </hyperlink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>
    <tabColor theme="7"/>
  </sheetPr>
  <dimension ref="A1:S515"/>
  <sheetViews>
    <sheetView showGridLines="0" rightToLeft="1" topLeftCell="E1" workbookViewId="0">
      <pane ySplit="7" topLeftCell="A8" activePane="bottomLeft" state="frozen"/>
      <selection pane="bottomLeft" activeCell="N8" sqref="N8"/>
    </sheetView>
  </sheetViews>
  <sheetFormatPr defaultRowHeight="15.75"/>
  <cols>
    <col min="1" max="1" width="6.7109375" style="17" customWidth="1"/>
    <col min="2" max="2" width="18.28515625" style="3" customWidth="1"/>
    <col min="3" max="3" width="22.85546875" style="3" customWidth="1"/>
    <col min="4" max="4" width="36.5703125" style="3" customWidth="1"/>
    <col min="5" max="5" width="18.140625" style="32" customWidth="1"/>
    <col min="6" max="6" width="18.7109375" style="40" customWidth="1"/>
    <col min="7" max="7" width="18.28515625" style="3" customWidth="1"/>
    <col min="8" max="8" width="18.28515625" style="22" customWidth="1"/>
    <col min="9" max="9" width="18.42578125" style="3" customWidth="1"/>
    <col min="10" max="10" width="18.28515625" style="3" customWidth="1"/>
    <col min="11" max="11" width="18.42578125" style="3" customWidth="1"/>
    <col min="12" max="12" width="18.28515625" style="3" customWidth="1"/>
    <col min="13" max="13" width="9.140625" style="32" customWidth="1"/>
    <col min="14" max="14" width="36.5703125" style="3" customWidth="1"/>
    <col min="15" max="17" width="9.140625" style="3"/>
    <col min="18" max="18" width="12.5703125" style="3" bestFit="1" customWidth="1"/>
    <col min="19" max="16384" width="9.140625" style="3"/>
  </cols>
  <sheetData>
    <row r="1" spans="1:19" ht="27" customHeight="1">
      <c r="A1" s="16"/>
      <c r="B1" s="9" t="s">
        <v>8</v>
      </c>
      <c r="C1" s="10" t="s">
        <v>102</v>
      </c>
      <c r="D1" s="11" t="s">
        <v>103</v>
      </c>
      <c r="E1" s="33" t="s">
        <v>104</v>
      </c>
      <c r="F1" s="36" t="s">
        <v>110</v>
      </c>
      <c r="G1" s="13" t="s">
        <v>89</v>
      </c>
      <c r="H1" s="96" t="s">
        <v>111</v>
      </c>
      <c r="I1" s="14" t="s">
        <v>105</v>
      </c>
      <c r="J1" s="15" t="s">
        <v>98</v>
      </c>
      <c r="K1" s="97" t="s">
        <v>7</v>
      </c>
      <c r="L1" s="4"/>
      <c r="M1" s="28"/>
      <c r="N1" s="4"/>
      <c r="O1" s="45"/>
      <c r="P1" s="45"/>
      <c r="Q1" s="45"/>
      <c r="R1" s="45"/>
    </row>
    <row r="2" spans="1:19" ht="3.75" customHeight="1">
      <c r="A2" s="16"/>
      <c r="B2" s="4"/>
      <c r="C2" s="4"/>
      <c r="D2" s="4"/>
      <c r="E2" s="34"/>
      <c r="F2" s="34"/>
      <c r="G2" s="4"/>
      <c r="H2" s="19"/>
      <c r="I2" s="4"/>
      <c r="J2" s="4"/>
      <c r="K2" s="4"/>
      <c r="L2" s="4"/>
      <c r="M2" s="28"/>
      <c r="N2" s="4"/>
      <c r="O2" s="45"/>
      <c r="P2" s="45"/>
      <c r="Q2" s="45"/>
      <c r="R2" s="45"/>
    </row>
    <row r="3" spans="1:19" ht="24" customHeight="1">
      <c r="A3" s="16"/>
      <c r="B3" s="5" t="s">
        <v>108</v>
      </c>
      <c r="C3" s="90">
        <f>SUMIF(Tarakonesh[تراکنش],"دریافت_درآمد",Tarakonesh[مبلغ (ریال)])</f>
        <v>5525000</v>
      </c>
      <c r="D3" s="6" t="s">
        <v>109</v>
      </c>
      <c r="E3" s="89">
        <f>SUMIF(Tarakonesh[تراکنش],"پرداخت_هزینه",Tarakonesh[مبلغ (ریال)])</f>
        <v>3093000</v>
      </c>
      <c r="F3" s="37" t="s">
        <v>333</v>
      </c>
      <c r="G3" s="88">
        <f>SUMIF(Tarakonesh[تراکنش],"انتقال",Tarakonesh[مبلغ (ریال)])</f>
        <v>520000</v>
      </c>
      <c r="H3" s="92" t="s">
        <v>336</v>
      </c>
      <c r="I3" s="94" t="e">
        <f>#REF!</f>
        <v>#REF!</v>
      </c>
      <c r="J3" s="316" t="s">
        <v>144</v>
      </c>
      <c r="K3" s="316"/>
      <c r="L3" s="4"/>
      <c r="M3" s="29"/>
      <c r="N3" s="4"/>
      <c r="O3" s="45"/>
      <c r="P3" s="45"/>
      <c r="Q3" s="45"/>
      <c r="R3" s="45"/>
    </row>
    <row r="4" spans="1:19" s="56" customFormat="1" ht="3.75" customHeight="1">
      <c r="A4" s="16"/>
      <c r="B4" s="52"/>
      <c r="C4" s="52"/>
      <c r="D4" s="52"/>
      <c r="E4" s="53"/>
      <c r="F4" s="53"/>
      <c r="G4" s="93"/>
      <c r="H4" s="54"/>
      <c r="I4" s="4"/>
      <c r="J4" s="55"/>
      <c r="K4" s="55"/>
      <c r="L4" s="4"/>
      <c r="M4" s="29"/>
      <c r="N4" s="4"/>
      <c r="O4" s="4"/>
      <c r="P4" s="4"/>
      <c r="Q4" s="4"/>
      <c r="R4" s="4"/>
    </row>
    <row r="5" spans="1:19" ht="24" customHeight="1">
      <c r="A5" s="16"/>
      <c r="B5" s="52"/>
      <c r="C5" s="118">
        <v>0</v>
      </c>
      <c r="D5" s="52"/>
      <c r="E5" s="126" t="s">
        <v>410</v>
      </c>
      <c r="F5" s="125">
        <f ca="1">TODAY()</f>
        <v>44558</v>
      </c>
      <c r="G5" s="4"/>
      <c r="H5" s="54"/>
      <c r="I5" s="4"/>
      <c r="J5" s="51" t="s">
        <v>186</v>
      </c>
      <c r="K5" s="57" t="s">
        <v>187</v>
      </c>
      <c r="L5" s="4"/>
      <c r="M5" s="29"/>
      <c r="N5" s="4"/>
      <c r="O5" s="45"/>
      <c r="P5" s="45"/>
      <c r="Q5" s="45"/>
      <c r="R5" s="45"/>
    </row>
    <row r="6" spans="1:19" ht="3.75" customHeight="1">
      <c r="A6" s="16"/>
      <c r="B6" s="7"/>
      <c r="C6" s="7"/>
      <c r="D6" s="7"/>
      <c r="E6" s="24"/>
      <c r="F6" s="24"/>
      <c r="G6" s="7"/>
      <c r="H6" s="20"/>
      <c r="I6" s="7"/>
      <c r="J6" s="7"/>
      <c r="K6" s="7"/>
      <c r="L6" s="7"/>
      <c r="M6" s="29"/>
      <c r="N6" s="4"/>
      <c r="O6" s="45"/>
      <c r="P6" s="45"/>
      <c r="Q6" s="45"/>
      <c r="R6" s="45"/>
    </row>
    <row r="7" spans="1:19" ht="24" customHeight="1">
      <c r="A7" s="18" t="s">
        <v>1</v>
      </c>
      <c r="B7" s="8" t="s">
        <v>118</v>
      </c>
      <c r="C7" s="8" t="s">
        <v>0</v>
      </c>
      <c r="D7" s="30" t="s">
        <v>17</v>
      </c>
      <c r="E7" s="38" t="s">
        <v>107</v>
      </c>
      <c r="F7" s="46" t="s">
        <v>146</v>
      </c>
      <c r="G7" s="8" t="s">
        <v>116</v>
      </c>
      <c r="H7" s="8" t="s">
        <v>147</v>
      </c>
      <c r="I7" s="21" t="s">
        <v>2</v>
      </c>
      <c r="J7" s="8" t="s">
        <v>6</v>
      </c>
      <c r="K7" s="8" t="s">
        <v>5</v>
      </c>
      <c r="L7" s="8" t="s">
        <v>155</v>
      </c>
      <c r="M7" s="30" t="s">
        <v>112</v>
      </c>
      <c r="N7" s="30" t="s">
        <v>1119</v>
      </c>
      <c r="O7" s="45"/>
      <c r="P7" s="45"/>
      <c r="Q7" s="45"/>
      <c r="R7" s="45"/>
      <c r="S7" s="45"/>
    </row>
    <row r="8" spans="1:19">
      <c r="A8" s="26">
        <v>1</v>
      </c>
      <c r="B8" s="27" t="s">
        <v>119</v>
      </c>
      <c r="C8" s="31" t="s">
        <v>382</v>
      </c>
      <c r="D8" s="31" t="s">
        <v>154</v>
      </c>
      <c r="E8" s="39" t="s">
        <v>280</v>
      </c>
      <c r="F8" s="27" t="s">
        <v>282</v>
      </c>
      <c r="G8" s="27"/>
      <c r="H8" s="27" t="s">
        <v>305</v>
      </c>
      <c r="I8" s="25">
        <v>80000</v>
      </c>
      <c r="J8" s="27" t="s">
        <v>320</v>
      </c>
      <c r="K8" s="27" t="s">
        <v>328</v>
      </c>
      <c r="L8" s="91" t="e">
        <f>IF( Tarakonesh[[#This Row],[تراکنش]]="", "",IF( Tarakonesh[[#This Row],[تراکنش]]="انتقال", "",(#REF! + IF(Tarakonesh[[#This Row],[تراکنش]]="دریافت_درآمد",Tarakonesh[[#This Row],[مبلغ (ریال)]],0))-IF(Tarakonesh[[#This Row],[تراکنش]]="پرداخت_هزینه",Tarakonesh[[#This Row],[مبلغ (ریال)]],0)))</f>
        <v>#REF!</v>
      </c>
      <c r="M8" s="31" t="s">
        <v>113</v>
      </c>
      <c r="N8" s="31"/>
    </row>
    <row r="9" spans="1:19" ht="31.5">
      <c r="A9" s="26">
        <v>2</v>
      </c>
      <c r="B9" s="27"/>
      <c r="C9" s="31" t="s">
        <v>383</v>
      </c>
      <c r="D9" s="31"/>
      <c r="E9" s="39" t="s">
        <v>304</v>
      </c>
      <c r="F9" s="27"/>
      <c r="G9" s="27"/>
      <c r="H9" s="27" t="s">
        <v>150</v>
      </c>
      <c r="I9" s="25">
        <v>1000000</v>
      </c>
      <c r="J9" s="27" t="s">
        <v>325</v>
      </c>
      <c r="K9" s="27" t="s">
        <v>320</v>
      </c>
      <c r="L9" s="91" t="e">
        <f>IF( Tarakonesh[[#This Row],[تراکنش]]="", "",IF( Tarakonesh[[#This Row],[تراکنش]]="انتقال",L8,IF(Tarakonesh[[#This Row],[تراکنش]]="دریافت_درآمد",(Tarakonesh[[#This Row],[مبلغ (ریال)]]+IF(Tarakonesh[[#This Row],[تراکنش]]="انتقال",0,L8)),((IF(Tarakonesh[[#This Row],[تراکنش]]="انتقال",0,L8))-Tarakonesh[[#This Row],[مبلغ (ریال)]]))))</f>
        <v>#REF!</v>
      </c>
      <c r="M9" s="31"/>
      <c r="N9" s="31"/>
    </row>
    <row r="10" spans="1:19" ht="31.5">
      <c r="A10" s="26">
        <v>3</v>
      </c>
      <c r="B10" s="27"/>
      <c r="C10" s="31" t="s">
        <v>381</v>
      </c>
      <c r="D10" s="31"/>
      <c r="E10" s="39" t="s">
        <v>140</v>
      </c>
      <c r="F10" s="27"/>
      <c r="G10" s="27"/>
      <c r="H10" s="27" t="s">
        <v>149</v>
      </c>
      <c r="I10" s="25">
        <v>20000</v>
      </c>
      <c r="J10" s="27" t="s">
        <v>137</v>
      </c>
      <c r="K10" s="27" t="s">
        <v>320</v>
      </c>
      <c r="L10" s="91" t="e">
        <f>IF( Tarakonesh[[#This Row],[تراکنش]]="", "",IF( Tarakonesh[[#This Row],[تراکنش]]="انتقال",L9,IF(Tarakonesh[[#This Row],[تراکنش]]="دریافت_درآمد",(Tarakonesh[[#This Row],[مبلغ (ریال)]]+IF(Tarakonesh[[#This Row],[تراکنش]]="انتقال",0,L9)),((IF(Tarakonesh[[#This Row],[تراکنش]]="انتقال",0,L9))-Tarakonesh[[#This Row],[مبلغ (ریال)]]))))</f>
        <v>#REF!</v>
      </c>
      <c r="M10" s="31"/>
      <c r="N10" s="31"/>
      <c r="R10" s="87"/>
    </row>
    <row r="11" spans="1:19">
      <c r="A11" s="26">
        <v>4</v>
      </c>
      <c r="B11" s="27"/>
      <c r="C11" s="31"/>
      <c r="D11" s="31"/>
      <c r="E11" s="39" t="s">
        <v>304</v>
      </c>
      <c r="F11" s="27"/>
      <c r="G11" s="27"/>
      <c r="H11" s="27" t="s">
        <v>148</v>
      </c>
      <c r="I11" s="25">
        <v>20000</v>
      </c>
      <c r="J11" s="27" t="s">
        <v>323</v>
      </c>
      <c r="K11" s="27" t="s">
        <v>321</v>
      </c>
      <c r="L11" s="91" t="e">
        <f>IF( Tarakonesh[[#This Row],[تراکنش]]="", "",IF( Tarakonesh[[#This Row],[تراکنش]]="انتقال",L10,IF(Tarakonesh[[#This Row],[تراکنش]]="دریافت_درآمد",(Tarakonesh[[#This Row],[مبلغ (ریال)]]+IF(Tarakonesh[[#This Row],[تراکنش]]="انتقال",0,L10)),((IF(Tarakonesh[[#This Row],[تراکنش]]="انتقال",0,L10))-Tarakonesh[[#This Row],[مبلغ (ریال)]]))))</f>
        <v>#REF!</v>
      </c>
      <c r="M11" s="31"/>
      <c r="N11" s="31"/>
      <c r="R11" s="87"/>
    </row>
    <row r="12" spans="1:19">
      <c r="A12" s="26">
        <v>5</v>
      </c>
      <c r="B12" s="27"/>
      <c r="C12" s="31"/>
      <c r="D12" s="31"/>
      <c r="E12" s="39" t="s">
        <v>280</v>
      </c>
      <c r="F12" s="27"/>
      <c r="G12" s="27"/>
      <c r="H12" s="27"/>
      <c r="I12" s="25">
        <v>3000</v>
      </c>
      <c r="J12" s="27" t="s">
        <v>321</v>
      </c>
      <c r="K12" s="27" t="s">
        <v>327</v>
      </c>
      <c r="L12" s="91" t="e">
        <f>IF( Tarakonesh[[#This Row],[تراکنش]]="", "",IF( Tarakonesh[[#This Row],[تراکنش]]="انتقال",L11,IF(Tarakonesh[[#This Row],[تراکنش]]="دریافت_درآمد",(Tarakonesh[[#This Row],[مبلغ (ریال)]]+IF(Tarakonesh[[#This Row],[تراکنش]]="انتقال",0,L11)),((IF(Tarakonesh[[#This Row],[تراکنش]]="انتقال",0,L11))-Tarakonesh[[#This Row],[مبلغ (ریال)]]))))</f>
        <v>#REF!</v>
      </c>
      <c r="M12" s="31"/>
      <c r="N12" s="31"/>
    </row>
    <row r="13" spans="1:19" ht="31.5">
      <c r="A13" s="26">
        <v>6</v>
      </c>
      <c r="B13" s="27"/>
      <c r="C13" s="31"/>
      <c r="D13" s="31"/>
      <c r="E13" s="39" t="s">
        <v>304</v>
      </c>
      <c r="F13" s="27"/>
      <c r="G13" s="27"/>
      <c r="H13" s="27"/>
      <c r="I13" s="25">
        <v>500000</v>
      </c>
      <c r="J13" s="27" t="s">
        <v>324</v>
      </c>
      <c r="K13" s="27" t="s">
        <v>137</v>
      </c>
      <c r="L13" s="91" t="e">
        <f>IF( Tarakonesh[[#This Row],[تراکنش]]="", "",IF( Tarakonesh[[#This Row],[تراکنش]]="انتقال",L12,IF(Tarakonesh[[#This Row],[تراکنش]]="دریافت_درآمد",(Tarakonesh[[#This Row],[مبلغ (ریال)]]+IF(Tarakonesh[[#This Row],[تراکنش]]="انتقال",0,L12)),((IF(Tarakonesh[[#This Row],[تراکنش]]="انتقال",0,L12))-Tarakonesh[[#This Row],[مبلغ (ریال)]]))))</f>
        <v>#REF!</v>
      </c>
      <c r="M13" s="31"/>
      <c r="N13" s="31"/>
    </row>
    <row r="14" spans="1:19">
      <c r="A14" s="26">
        <v>7</v>
      </c>
      <c r="B14" s="27"/>
      <c r="C14" s="31"/>
      <c r="D14" s="31"/>
      <c r="E14" s="39" t="s">
        <v>140</v>
      </c>
      <c r="F14" s="27"/>
      <c r="G14" s="27"/>
      <c r="H14" s="27"/>
      <c r="I14" s="25">
        <v>500000</v>
      </c>
      <c r="J14" s="27" t="s">
        <v>322</v>
      </c>
      <c r="K14" s="27" t="s">
        <v>321</v>
      </c>
      <c r="L14" s="91" t="e">
        <f>IF( Tarakonesh[[#This Row],[تراکنش]]="", "",IF( Tarakonesh[[#This Row],[تراکنش]]="انتقال",L13,IF(Tarakonesh[[#This Row],[تراکنش]]="دریافت_درآمد",(Tarakonesh[[#This Row],[مبلغ (ریال)]]+IF(Tarakonesh[[#This Row],[تراکنش]]="انتقال",0,L13)),((IF(Tarakonesh[[#This Row],[تراکنش]]="انتقال",0,L13))-Tarakonesh[[#This Row],[مبلغ (ریال)]]))))</f>
        <v>#REF!</v>
      </c>
      <c r="M14" s="31"/>
      <c r="N14" s="31"/>
    </row>
    <row r="15" spans="1:19">
      <c r="A15" s="26">
        <v>8</v>
      </c>
      <c r="B15" s="27"/>
      <c r="C15" s="31"/>
      <c r="D15" s="31"/>
      <c r="E15" s="39" t="s">
        <v>280</v>
      </c>
      <c r="F15" s="27"/>
      <c r="G15" s="27"/>
      <c r="H15" s="27"/>
      <c r="I15" s="25">
        <v>10000</v>
      </c>
      <c r="J15" s="27" t="s">
        <v>320</v>
      </c>
      <c r="K15" s="27" t="s">
        <v>324</v>
      </c>
      <c r="L15" s="91" t="e">
        <f>IF( Tarakonesh[[#This Row],[تراکنش]]="", "",IF( Tarakonesh[[#This Row],[تراکنش]]="انتقال",L14,IF(Tarakonesh[[#This Row],[تراکنش]]="دریافت_درآمد",(Tarakonesh[[#This Row],[مبلغ (ریال)]]+IF(Tarakonesh[[#This Row],[تراکنش]]="انتقال",0,L14)),((IF(Tarakonesh[[#This Row],[تراکنش]]="انتقال",0,L14))-Tarakonesh[[#This Row],[مبلغ (ریال)]]))))</f>
        <v>#REF!</v>
      </c>
      <c r="M15" s="31"/>
      <c r="N15" s="31"/>
    </row>
    <row r="16" spans="1:19">
      <c r="A16" s="26">
        <v>9</v>
      </c>
      <c r="B16" s="27"/>
      <c r="C16" s="31"/>
      <c r="D16" s="31"/>
      <c r="E16" s="39" t="s">
        <v>280</v>
      </c>
      <c r="F16" s="27"/>
      <c r="G16" s="27"/>
      <c r="H16" s="27"/>
      <c r="I16" s="25">
        <v>3000000</v>
      </c>
      <c r="J16" s="27" t="s">
        <v>321</v>
      </c>
      <c r="K16" s="27" t="s">
        <v>325</v>
      </c>
      <c r="L16" s="91" t="e">
        <f>IF( Tarakonesh[[#This Row],[تراکنش]]="", "",IF( Tarakonesh[[#This Row],[تراکنش]]="انتقال",L15,IF(Tarakonesh[[#This Row],[تراکنش]]="دریافت_درآمد",(Tarakonesh[[#This Row],[مبلغ (ریال)]]+IF(Tarakonesh[[#This Row],[تراکنش]]="انتقال",0,L15)),((IF(Tarakonesh[[#This Row],[تراکنش]]="انتقال",0,L15))-Tarakonesh[[#This Row],[مبلغ (ریال)]]))))</f>
        <v>#REF!</v>
      </c>
      <c r="M16" s="31"/>
      <c r="N16" s="31"/>
    </row>
    <row r="17" spans="1:14" ht="31.5">
      <c r="A17" s="26">
        <v>10</v>
      </c>
      <c r="B17" s="27"/>
      <c r="C17" s="31" t="s">
        <v>411</v>
      </c>
      <c r="D17" s="31"/>
      <c r="E17" s="39" t="s">
        <v>304</v>
      </c>
      <c r="F17" s="27"/>
      <c r="G17" s="27"/>
      <c r="H17" s="27"/>
      <c r="I17" s="25">
        <v>4000000</v>
      </c>
      <c r="J17" s="27" t="s">
        <v>326</v>
      </c>
      <c r="K17" s="27" t="s">
        <v>137</v>
      </c>
      <c r="L17" s="91" t="e">
        <f>IF( Tarakonesh[[#This Row],[تراکنش]]="", "",IF( Tarakonesh[[#This Row],[تراکنش]]="انتقال",L16,IF(Tarakonesh[[#This Row],[تراکنش]]="دریافت_درآمد",(Tarakonesh[[#This Row],[مبلغ (ریال)]]+IF(Tarakonesh[[#This Row],[تراکنش]]="انتقال",0,L16)),((IF(Tarakonesh[[#This Row],[تراکنش]]="انتقال",0,L16))-Tarakonesh[[#This Row],[مبلغ (ریال)]]))))</f>
        <v>#REF!</v>
      </c>
      <c r="M17" s="31"/>
      <c r="N17" s="31"/>
    </row>
    <row r="18" spans="1:14">
      <c r="A18" s="26">
        <v>11</v>
      </c>
      <c r="B18" s="27" t="s">
        <v>119</v>
      </c>
      <c r="C18" s="31"/>
      <c r="D18" s="31"/>
      <c r="E18" s="39" t="s">
        <v>304</v>
      </c>
      <c r="F18" s="27"/>
      <c r="G18" s="27"/>
      <c r="H18" s="27"/>
      <c r="I18" s="25">
        <v>5000</v>
      </c>
      <c r="J18" s="27"/>
      <c r="K18" s="27"/>
      <c r="L18" s="91" t="e">
        <f>IF( Tarakonesh[[#This Row],[تراکنش]]="", "",IF( Tarakonesh[[#This Row],[تراکنش]]="انتقال",L17,IF(Tarakonesh[[#This Row],[تراکنش]]="دریافت_درآمد",(Tarakonesh[[#This Row],[مبلغ (ریال)]]+IF(Tarakonesh[[#This Row],[تراکنش]]="انتقال",0,L17)),((IF(Tarakonesh[[#This Row],[تراکنش]]="انتقال",0,L17))-Tarakonesh[[#This Row],[مبلغ (ریال)]]))))</f>
        <v>#REF!</v>
      </c>
      <c r="M18" s="31"/>
      <c r="N18" s="31"/>
    </row>
    <row r="19" spans="1:14">
      <c r="A19" s="26">
        <v>12</v>
      </c>
      <c r="B19" s="27"/>
      <c r="C19" s="31"/>
      <c r="D19" s="31"/>
      <c r="E19" s="39"/>
      <c r="F19" s="27"/>
      <c r="G19" s="27"/>
      <c r="H19" s="27"/>
      <c r="I19" s="25"/>
      <c r="J19" s="27"/>
      <c r="K19" s="27"/>
      <c r="L19" s="91" t="str">
        <f>IF( Tarakonesh[[#This Row],[تراکنش]]="", "",IF( Tarakonesh[[#This Row],[تراکنش]]="انتقال",L18,IF(Tarakonesh[[#This Row],[تراکنش]]="دریافت_درآمد",(Tarakonesh[[#This Row],[مبلغ (ریال)]]+IF(Tarakonesh[[#This Row],[تراکنش]]="انتقال",0,L18)),((IF(Tarakonesh[[#This Row],[تراکنش]]="انتقال",0,L18))-Tarakonesh[[#This Row],[مبلغ (ریال)]]))))</f>
        <v/>
      </c>
      <c r="M19" s="31"/>
      <c r="N19" s="31"/>
    </row>
    <row r="20" spans="1:14">
      <c r="A20" s="26">
        <v>13</v>
      </c>
      <c r="B20" s="27"/>
      <c r="C20" s="31"/>
      <c r="D20" s="31"/>
      <c r="E20" s="39"/>
      <c r="F20" s="27"/>
      <c r="G20" s="27"/>
      <c r="H20" s="27"/>
      <c r="I20" s="25"/>
      <c r="J20" s="27"/>
      <c r="K20" s="27"/>
      <c r="L20" s="91" t="str">
        <f>IF( Tarakonesh[[#This Row],[تراکنش]]="", "",IF( Tarakonesh[[#This Row],[تراکنش]]="انتقال",L19,IF(Tarakonesh[[#This Row],[تراکنش]]="دریافت_درآمد",(Tarakonesh[[#This Row],[مبلغ (ریال)]]+IF(Tarakonesh[[#This Row],[تراکنش]]="انتقال",0,L19)),((IF(Tarakonesh[[#This Row],[تراکنش]]="انتقال",0,L19))-Tarakonesh[[#This Row],[مبلغ (ریال)]]))))</f>
        <v/>
      </c>
      <c r="M20" s="31"/>
      <c r="N20" s="31"/>
    </row>
    <row r="21" spans="1:14">
      <c r="A21" s="26">
        <v>14</v>
      </c>
      <c r="B21" s="27"/>
      <c r="C21" s="31" t="s">
        <v>382</v>
      </c>
      <c r="D21" s="31"/>
      <c r="E21" s="39"/>
      <c r="F21" s="27"/>
      <c r="G21" s="27"/>
      <c r="H21" s="27"/>
      <c r="I21" s="25"/>
      <c r="J21" s="27"/>
      <c r="K21" s="27"/>
      <c r="L21" s="91" t="str">
        <f>IF( Tarakonesh[[#This Row],[تراکنش]]="", "",IF( Tarakonesh[[#This Row],[تراکنش]]="انتقال",L20,IF(Tarakonesh[[#This Row],[تراکنش]]="دریافت_درآمد",(Tarakonesh[[#This Row],[مبلغ (ریال)]]+IF(Tarakonesh[[#This Row],[تراکنش]]="انتقال",0,L20)),((IF(Tarakonesh[[#This Row],[تراکنش]]="انتقال",0,L20))-Tarakonesh[[#This Row],[مبلغ (ریال)]]))))</f>
        <v/>
      </c>
      <c r="M21" s="31"/>
      <c r="N21" s="31"/>
    </row>
    <row r="22" spans="1:14">
      <c r="A22" s="26">
        <v>15</v>
      </c>
      <c r="B22" s="27"/>
      <c r="C22" s="31"/>
      <c r="D22" s="31"/>
      <c r="E22" s="39"/>
      <c r="F22" s="27"/>
      <c r="G22" s="27"/>
      <c r="H22" s="27"/>
      <c r="I22" s="25"/>
      <c r="J22" s="27"/>
      <c r="K22" s="27"/>
      <c r="L22" s="91" t="str">
        <f>IF( Tarakonesh[[#This Row],[تراکنش]]="", "",IF( Tarakonesh[[#This Row],[تراکنش]]="انتقال",L21,IF(Tarakonesh[[#This Row],[تراکنش]]="دریافت_درآمد",(Tarakonesh[[#This Row],[مبلغ (ریال)]]+IF(Tarakonesh[[#This Row],[تراکنش]]="انتقال",0,L21)),((IF(Tarakonesh[[#This Row],[تراکنش]]="انتقال",0,L21))-Tarakonesh[[#This Row],[مبلغ (ریال)]]))))</f>
        <v/>
      </c>
      <c r="M22" s="31"/>
      <c r="N22" s="31"/>
    </row>
    <row r="23" spans="1:14">
      <c r="A23" s="26">
        <v>16</v>
      </c>
      <c r="B23" s="27"/>
      <c r="C23" s="31"/>
      <c r="D23" s="31"/>
      <c r="E23" s="39"/>
      <c r="F23" s="27"/>
      <c r="G23" s="27"/>
      <c r="H23" s="27"/>
      <c r="I23" s="25"/>
      <c r="J23" s="27"/>
      <c r="K23" s="27"/>
      <c r="L23" s="91" t="str">
        <f>IF( Tarakonesh[[#This Row],[تراکنش]]="", "",IF( Tarakonesh[[#This Row],[تراکنش]]="انتقال",L22,IF(Tarakonesh[[#This Row],[تراکنش]]="دریافت_درآمد",(Tarakonesh[[#This Row],[مبلغ (ریال)]]+IF(Tarakonesh[[#This Row],[تراکنش]]="انتقال",0,L22)),((IF(Tarakonesh[[#This Row],[تراکنش]]="انتقال",0,L22))-Tarakonesh[[#This Row],[مبلغ (ریال)]]))))</f>
        <v/>
      </c>
      <c r="M23" s="31"/>
      <c r="N23" s="31"/>
    </row>
    <row r="24" spans="1:14">
      <c r="A24" s="26">
        <v>17</v>
      </c>
      <c r="B24" s="27"/>
      <c r="C24" s="31"/>
      <c r="D24" s="31"/>
      <c r="E24" s="39"/>
      <c r="F24" s="27"/>
      <c r="G24" s="27"/>
      <c r="H24" s="27"/>
      <c r="I24" s="25"/>
      <c r="J24" s="27"/>
      <c r="K24" s="27"/>
      <c r="L24" s="91" t="str">
        <f>IF( Tarakonesh[[#This Row],[تراکنش]]="", "",IF( Tarakonesh[[#This Row],[تراکنش]]="انتقال",L23,IF(Tarakonesh[[#This Row],[تراکنش]]="دریافت_درآمد",(Tarakonesh[[#This Row],[مبلغ (ریال)]]+IF(Tarakonesh[[#This Row],[تراکنش]]="انتقال",0,L23)),((IF(Tarakonesh[[#This Row],[تراکنش]]="انتقال",0,L23))-Tarakonesh[[#This Row],[مبلغ (ریال)]]))))</f>
        <v/>
      </c>
      <c r="M24" s="31"/>
      <c r="N24" s="31"/>
    </row>
    <row r="25" spans="1:14">
      <c r="A25" s="26">
        <v>18</v>
      </c>
      <c r="B25" s="27"/>
      <c r="C25" s="31"/>
      <c r="D25" s="31"/>
      <c r="E25" s="39"/>
      <c r="F25" s="27"/>
      <c r="G25" s="27"/>
      <c r="H25" s="27"/>
      <c r="I25" s="25"/>
      <c r="J25" s="27"/>
      <c r="K25" s="27"/>
      <c r="L25" s="91" t="str">
        <f>IF( Tarakonesh[[#This Row],[تراکنش]]="", "",IF( Tarakonesh[[#This Row],[تراکنش]]="انتقال",L24,IF(Tarakonesh[[#This Row],[تراکنش]]="دریافت_درآمد",(Tarakonesh[[#This Row],[مبلغ (ریال)]]+IF(Tarakonesh[[#This Row],[تراکنش]]="انتقال",0,L24)),((IF(Tarakonesh[[#This Row],[تراکنش]]="انتقال",0,L24))-Tarakonesh[[#This Row],[مبلغ (ریال)]]))))</f>
        <v/>
      </c>
      <c r="M25" s="31"/>
      <c r="N25" s="31"/>
    </row>
    <row r="26" spans="1:14">
      <c r="A26" s="26">
        <v>19</v>
      </c>
      <c r="B26" s="27"/>
      <c r="C26" s="31"/>
      <c r="D26" s="31"/>
      <c r="E26" s="39"/>
      <c r="F26" s="27"/>
      <c r="G26" s="27"/>
      <c r="H26" s="27"/>
      <c r="I26" s="25"/>
      <c r="J26" s="27"/>
      <c r="K26" s="27"/>
      <c r="L26" s="91" t="str">
        <f>IF( Tarakonesh[[#This Row],[تراکنش]]="", "",IF( Tarakonesh[[#This Row],[تراکنش]]="انتقال",L25,IF(Tarakonesh[[#This Row],[تراکنش]]="دریافت_درآمد",(Tarakonesh[[#This Row],[مبلغ (ریال)]]+IF(Tarakonesh[[#This Row],[تراکنش]]="انتقال",0,L25)),((IF(Tarakonesh[[#This Row],[تراکنش]]="انتقال",0,L25))-Tarakonesh[[#This Row],[مبلغ (ریال)]]))))</f>
        <v/>
      </c>
      <c r="M26" s="31"/>
      <c r="N26" s="31"/>
    </row>
    <row r="27" spans="1:14">
      <c r="A27" s="26">
        <v>20</v>
      </c>
      <c r="B27" s="27"/>
      <c r="C27" s="31"/>
      <c r="D27" s="31"/>
      <c r="E27" s="39"/>
      <c r="F27" s="27"/>
      <c r="G27" s="27"/>
      <c r="H27" s="27"/>
      <c r="I27" s="25"/>
      <c r="J27" s="27"/>
      <c r="K27" s="27"/>
      <c r="L27" s="91" t="str">
        <f>IF( Tarakonesh[[#This Row],[تراکنش]]="", "",IF( Tarakonesh[[#This Row],[تراکنش]]="انتقال",L26,IF(Tarakonesh[[#This Row],[تراکنش]]="دریافت_درآمد",(Tarakonesh[[#This Row],[مبلغ (ریال)]]+IF(Tarakonesh[[#This Row],[تراکنش]]="انتقال",0,L26)),((IF(Tarakonesh[[#This Row],[تراکنش]]="انتقال",0,L26))-Tarakonesh[[#This Row],[مبلغ (ریال)]]))))</f>
        <v/>
      </c>
      <c r="M27" s="31"/>
      <c r="N27" s="31"/>
    </row>
    <row r="28" spans="1:14">
      <c r="A28" s="26">
        <v>21</v>
      </c>
      <c r="B28" s="27"/>
      <c r="C28" s="31"/>
      <c r="D28" s="31"/>
      <c r="E28" s="39"/>
      <c r="F28" s="27"/>
      <c r="G28" s="27"/>
      <c r="H28" s="27"/>
      <c r="I28" s="25"/>
      <c r="J28" s="27"/>
      <c r="K28" s="27"/>
      <c r="L28" s="91" t="str">
        <f>IF( Tarakonesh[[#This Row],[تراکنش]]="", "",IF( Tarakonesh[[#This Row],[تراکنش]]="انتقال",L27,IF(Tarakonesh[[#This Row],[تراکنش]]="دریافت_درآمد",(Tarakonesh[[#This Row],[مبلغ (ریال)]]+IF(Tarakonesh[[#This Row],[تراکنش]]="انتقال",0,L27)),((IF(Tarakonesh[[#This Row],[تراکنش]]="انتقال",0,L27))-Tarakonesh[[#This Row],[مبلغ (ریال)]]))))</f>
        <v/>
      </c>
      <c r="M28" s="31"/>
      <c r="N28" s="31"/>
    </row>
    <row r="29" spans="1:14">
      <c r="A29" s="26">
        <v>22</v>
      </c>
      <c r="B29" s="27"/>
      <c r="C29" s="31"/>
      <c r="D29" s="31"/>
      <c r="E29" s="39"/>
      <c r="F29" s="27"/>
      <c r="G29" s="27"/>
      <c r="H29" s="27"/>
      <c r="I29" s="25"/>
      <c r="J29" s="27"/>
      <c r="K29" s="27"/>
      <c r="L29" s="91" t="str">
        <f>IF( Tarakonesh[[#This Row],[تراکنش]]="", "",IF( Tarakonesh[[#This Row],[تراکنش]]="انتقال",L28,IF(Tarakonesh[[#This Row],[تراکنش]]="دریافت_درآمد",(Tarakonesh[[#This Row],[مبلغ (ریال)]]+IF(Tarakonesh[[#This Row],[تراکنش]]="انتقال",0,L28)),((IF(Tarakonesh[[#This Row],[تراکنش]]="انتقال",0,L28))-Tarakonesh[[#This Row],[مبلغ (ریال)]]))))</f>
        <v/>
      </c>
      <c r="M29" s="31"/>
      <c r="N29" s="31"/>
    </row>
    <row r="30" spans="1:14">
      <c r="A30" s="26">
        <v>23</v>
      </c>
      <c r="B30" s="27"/>
      <c r="C30" s="31"/>
      <c r="D30" s="31"/>
      <c r="E30" s="39"/>
      <c r="F30" s="27"/>
      <c r="G30" s="27"/>
      <c r="H30" s="27"/>
      <c r="I30" s="25"/>
      <c r="J30" s="27"/>
      <c r="K30" s="27"/>
      <c r="L30" s="91" t="str">
        <f>IF( Tarakonesh[[#This Row],[تراکنش]]="", "",IF( Tarakonesh[[#This Row],[تراکنش]]="انتقال",L29,IF(Tarakonesh[[#This Row],[تراکنش]]="دریافت_درآمد",(Tarakonesh[[#This Row],[مبلغ (ریال)]]+IF(Tarakonesh[[#This Row],[تراکنش]]="انتقال",0,L29)),((IF(Tarakonesh[[#This Row],[تراکنش]]="انتقال",0,L29))-Tarakonesh[[#This Row],[مبلغ (ریال)]]))))</f>
        <v/>
      </c>
      <c r="M30" s="31"/>
      <c r="N30" s="31"/>
    </row>
    <row r="31" spans="1:14">
      <c r="A31" s="26">
        <v>24</v>
      </c>
      <c r="B31" s="27"/>
      <c r="C31" s="31"/>
      <c r="D31" s="31"/>
      <c r="E31" s="39"/>
      <c r="F31" s="27"/>
      <c r="G31" s="27"/>
      <c r="H31" s="27"/>
      <c r="I31" s="25"/>
      <c r="J31" s="27"/>
      <c r="K31" s="27"/>
      <c r="L31" s="91" t="str">
        <f>IF( Tarakonesh[[#This Row],[تراکنش]]="", "",IF( Tarakonesh[[#This Row],[تراکنش]]="انتقال",L30,IF(Tarakonesh[[#This Row],[تراکنش]]="دریافت_درآمد",(Tarakonesh[[#This Row],[مبلغ (ریال)]]+IF(Tarakonesh[[#This Row],[تراکنش]]="انتقال",0,L30)),((IF(Tarakonesh[[#This Row],[تراکنش]]="انتقال",0,L30))-Tarakonesh[[#This Row],[مبلغ (ریال)]]))))</f>
        <v/>
      </c>
      <c r="M31" s="31"/>
      <c r="N31" s="31"/>
    </row>
    <row r="32" spans="1:14">
      <c r="A32" s="26">
        <v>25</v>
      </c>
      <c r="B32" s="27"/>
      <c r="C32" s="31"/>
      <c r="D32" s="31"/>
      <c r="E32" s="39"/>
      <c r="F32" s="27"/>
      <c r="G32" s="27"/>
      <c r="H32" s="27"/>
      <c r="I32" s="25"/>
      <c r="J32" s="27"/>
      <c r="K32" s="27"/>
      <c r="L32" s="91" t="str">
        <f>IF( Tarakonesh[[#This Row],[تراکنش]]="", "",IF( Tarakonesh[[#This Row],[تراکنش]]="انتقال",L31,IF(Tarakonesh[[#This Row],[تراکنش]]="دریافت_درآمد",(Tarakonesh[[#This Row],[مبلغ (ریال)]]+IF(Tarakonesh[[#This Row],[تراکنش]]="انتقال",0,L31)),((IF(Tarakonesh[[#This Row],[تراکنش]]="انتقال",0,L31))-Tarakonesh[[#This Row],[مبلغ (ریال)]]))))</f>
        <v/>
      </c>
      <c r="M32" s="31"/>
      <c r="N32" s="31"/>
    </row>
    <row r="33" spans="1:14">
      <c r="A33" s="26">
        <v>26</v>
      </c>
      <c r="B33" s="27"/>
      <c r="C33" s="31"/>
      <c r="D33" s="31"/>
      <c r="E33" s="39"/>
      <c r="F33" s="27"/>
      <c r="G33" s="27"/>
      <c r="H33" s="27"/>
      <c r="I33" s="25"/>
      <c r="J33" s="27"/>
      <c r="K33" s="27"/>
      <c r="L33" s="91" t="str">
        <f>IF( Tarakonesh[[#This Row],[تراکنش]]="", "",IF( Tarakonesh[[#This Row],[تراکنش]]="انتقال",L32,IF(Tarakonesh[[#This Row],[تراکنش]]="دریافت_درآمد",(Tarakonesh[[#This Row],[مبلغ (ریال)]]+IF(Tarakonesh[[#This Row],[تراکنش]]="انتقال",0,L32)),((IF(Tarakonesh[[#This Row],[تراکنش]]="انتقال",0,L32))-Tarakonesh[[#This Row],[مبلغ (ریال)]]))))</f>
        <v/>
      </c>
      <c r="M33" s="31"/>
      <c r="N33" s="31"/>
    </row>
    <row r="34" spans="1:14">
      <c r="A34" s="26">
        <v>27</v>
      </c>
      <c r="B34" s="27"/>
      <c r="C34" s="31"/>
      <c r="D34" s="31"/>
      <c r="E34" s="39"/>
      <c r="F34" s="27"/>
      <c r="G34" s="27"/>
      <c r="H34" s="27"/>
      <c r="I34" s="25"/>
      <c r="J34" s="27"/>
      <c r="K34" s="27"/>
      <c r="L34" s="91" t="str">
        <f>IF( Tarakonesh[[#This Row],[تراکنش]]="", "",IF( Tarakonesh[[#This Row],[تراکنش]]="انتقال",L33,IF(Tarakonesh[[#This Row],[تراکنش]]="دریافت_درآمد",(Tarakonesh[[#This Row],[مبلغ (ریال)]]+IF(Tarakonesh[[#This Row],[تراکنش]]="انتقال",0,L33)),((IF(Tarakonesh[[#This Row],[تراکنش]]="انتقال",0,L33))-Tarakonesh[[#This Row],[مبلغ (ریال)]]))))</f>
        <v/>
      </c>
      <c r="M34" s="31"/>
      <c r="N34" s="31"/>
    </row>
    <row r="35" spans="1:14">
      <c r="A35" s="26">
        <v>28</v>
      </c>
      <c r="B35" s="27"/>
      <c r="C35" s="31"/>
      <c r="D35" s="31"/>
      <c r="E35" s="39"/>
      <c r="F35" s="27"/>
      <c r="G35" s="27"/>
      <c r="H35" s="27"/>
      <c r="I35" s="25"/>
      <c r="J35" s="27"/>
      <c r="K35" s="27"/>
      <c r="L35" s="91" t="str">
        <f>IF( Tarakonesh[[#This Row],[تراکنش]]="", "",IF( Tarakonesh[[#This Row],[تراکنش]]="انتقال",L34,IF(Tarakonesh[[#This Row],[تراکنش]]="دریافت_درآمد",(Tarakonesh[[#This Row],[مبلغ (ریال)]]+IF(Tarakonesh[[#This Row],[تراکنش]]="انتقال",0,L34)),((IF(Tarakonesh[[#This Row],[تراکنش]]="انتقال",0,L34))-Tarakonesh[[#This Row],[مبلغ (ریال)]]))))</f>
        <v/>
      </c>
      <c r="M35" s="31"/>
      <c r="N35" s="31"/>
    </row>
    <row r="36" spans="1:14">
      <c r="A36" s="26">
        <v>29</v>
      </c>
      <c r="B36" s="27"/>
      <c r="C36" s="31"/>
      <c r="D36" s="31"/>
      <c r="E36" s="39"/>
      <c r="F36" s="27"/>
      <c r="G36" s="27"/>
      <c r="H36" s="27"/>
      <c r="I36" s="25"/>
      <c r="J36" s="27"/>
      <c r="K36" s="27"/>
      <c r="L36" s="91" t="str">
        <f>IF( Tarakonesh[[#This Row],[تراکنش]]="", "",IF( Tarakonesh[[#This Row],[تراکنش]]="انتقال",L35,IF(Tarakonesh[[#This Row],[تراکنش]]="دریافت_درآمد",(Tarakonesh[[#This Row],[مبلغ (ریال)]]+IF(Tarakonesh[[#This Row],[تراکنش]]="انتقال",0,L35)),((IF(Tarakonesh[[#This Row],[تراکنش]]="انتقال",0,L35))-Tarakonesh[[#This Row],[مبلغ (ریال)]]))))</f>
        <v/>
      </c>
      <c r="M36" s="31"/>
      <c r="N36" s="31"/>
    </row>
    <row r="37" spans="1:14">
      <c r="A37" s="26">
        <v>30</v>
      </c>
      <c r="B37" s="27"/>
      <c r="C37" s="31"/>
      <c r="D37" s="31"/>
      <c r="E37" s="39"/>
      <c r="F37" s="27"/>
      <c r="G37" s="27"/>
      <c r="H37" s="27"/>
      <c r="I37" s="25"/>
      <c r="J37" s="27"/>
      <c r="K37" s="27"/>
      <c r="L37" s="91" t="str">
        <f>IF( Tarakonesh[[#This Row],[تراکنش]]="", "",IF( Tarakonesh[[#This Row],[تراکنش]]="انتقال",L36,IF(Tarakonesh[[#This Row],[تراکنش]]="دریافت_درآمد",(Tarakonesh[[#This Row],[مبلغ (ریال)]]+IF(Tarakonesh[[#This Row],[تراکنش]]="انتقال",0,L36)),((IF(Tarakonesh[[#This Row],[تراکنش]]="انتقال",0,L36))-Tarakonesh[[#This Row],[مبلغ (ریال)]]))))</f>
        <v/>
      </c>
      <c r="M37" s="31"/>
      <c r="N37" s="31"/>
    </row>
    <row r="38" spans="1:14">
      <c r="A38" s="26">
        <v>31</v>
      </c>
      <c r="B38" s="27"/>
      <c r="C38" s="31"/>
      <c r="D38" s="31"/>
      <c r="E38" s="39"/>
      <c r="F38" s="27"/>
      <c r="G38" s="27"/>
      <c r="H38" s="27"/>
      <c r="I38" s="25"/>
      <c r="J38" s="27"/>
      <c r="K38" s="27"/>
      <c r="L38" s="91" t="str">
        <f>IF( Tarakonesh[[#This Row],[تراکنش]]="", "",IF( Tarakonesh[[#This Row],[تراکنش]]="انتقال",L37,IF(Tarakonesh[[#This Row],[تراکنش]]="دریافت_درآمد",(Tarakonesh[[#This Row],[مبلغ (ریال)]]+IF(Tarakonesh[[#This Row],[تراکنش]]="انتقال",0,L37)),((IF(Tarakonesh[[#This Row],[تراکنش]]="انتقال",0,L37))-Tarakonesh[[#This Row],[مبلغ (ریال)]]))))</f>
        <v/>
      </c>
      <c r="M38" s="31"/>
      <c r="N38" s="31"/>
    </row>
    <row r="39" spans="1:14">
      <c r="A39" s="26">
        <v>32</v>
      </c>
      <c r="B39" s="27"/>
      <c r="C39" s="31"/>
      <c r="D39" s="31"/>
      <c r="E39" s="39"/>
      <c r="F39" s="27"/>
      <c r="G39" s="27"/>
      <c r="H39" s="27"/>
      <c r="I39" s="25"/>
      <c r="J39" s="27"/>
      <c r="K39" s="27"/>
      <c r="L39" s="91" t="str">
        <f>IF( Tarakonesh[[#This Row],[تراکنش]]="", "",IF( Tarakonesh[[#This Row],[تراکنش]]="انتقال",L38,IF(Tarakonesh[[#This Row],[تراکنش]]="دریافت_درآمد",(Tarakonesh[[#This Row],[مبلغ (ریال)]]+IF(Tarakonesh[[#This Row],[تراکنش]]="انتقال",0,L38)),((IF(Tarakonesh[[#This Row],[تراکنش]]="انتقال",0,L38))-Tarakonesh[[#This Row],[مبلغ (ریال)]]))))</f>
        <v/>
      </c>
      <c r="M39" s="31"/>
      <c r="N39" s="31"/>
    </row>
    <row r="40" spans="1:14">
      <c r="A40" s="26">
        <v>33</v>
      </c>
      <c r="B40" s="27"/>
      <c r="C40" s="31"/>
      <c r="D40" s="31"/>
      <c r="E40" s="39"/>
      <c r="F40" s="27"/>
      <c r="G40" s="27"/>
      <c r="H40" s="27"/>
      <c r="I40" s="25"/>
      <c r="J40" s="27"/>
      <c r="K40" s="27"/>
      <c r="L40" s="91" t="str">
        <f>IF( Tarakonesh[[#This Row],[تراکنش]]="", "",IF( Tarakonesh[[#This Row],[تراکنش]]="انتقال",L39,IF(Tarakonesh[[#This Row],[تراکنش]]="دریافت_درآمد",(Tarakonesh[[#This Row],[مبلغ (ریال)]]+IF(Tarakonesh[[#This Row],[تراکنش]]="انتقال",0,L39)),((IF(Tarakonesh[[#This Row],[تراکنش]]="انتقال",0,L39))-Tarakonesh[[#This Row],[مبلغ (ریال)]]))))</f>
        <v/>
      </c>
      <c r="M40" s="31"/>
      <c r="N40" s="31"/>
    </row>
    <row r="41" spans="1:14">
      <c r="A41" s="26">
        <v>34</v>
      </c>
      <c r="B41" s="27"/>
      <c r="C41" s="31"/>
      <c r="D41" s="31"/>
      <c r="E41" s="39"/>
      <c r="F41" s="27"/>
      <c r="G41" s="27"/>
      <c r="H41" s="27"/>
      <c r="I41" s="25"/>
      <c r="J41" s="27"/>
      <c r="K41" s="27"/>
      <c r="L41" s="91" t="str">
        <f>IF( Tarakonesh[[#This Row],[تراکنش]]="", "",IF( Tarakonesh[[#This Row],[تراکنش]]="انتقال",L40,IF(Tarakonesh[[#This Row],[تراکنش]]="دریافت_درآمد",(Tarakonesh[[#This Row],[مبلغ (ریال)]]+IF(Tarakonesh[[#This Row],[تراکنش]]="انتقال",0,L40)),((IF(Tarakonesh[[#This Row],[تراکنش]]="انتقال",0,L40))-Tarakonesh[[#This Row],[مبلغ (ریال)]]))))</f>
        <v/>
      </c>
      <c r="M41" s="31"/>
      <c r="N41" s="31"/>
    </row>
    <row r="42" spans="1:14">
      <c r="A42" s="26">
        <v>35</v>
      </c>
      <c r="B42" s="27"/>
      <c r="C42" s="31"/>
      <c r="D42" s="31"/>
      <c r="E42" s="39"/>
      <c r="F42" s="27"/>
      <c r="G42" s="27"/>
      <c r="H42" s="27"/>
      <c r="I42" s="25"/>
      <c r="J42" s="27"/>
      <c r="K42" s="27"/>
      <c r="L42" s="91" t="str">
        <f>IF( Tarakonesh[[#This Row],[تراکنش]]="", "",IF( Tarakonesh[[#This Row],[تراکنش]]="انتقال",L41,IF(Tarakonesh[[#This Row],[تراکنش]]="دریافت_درآمد",(Tarakonesh[[#This Row],[مبلغ (ریال)]]+IF(Tarakonesh[[#This Row],[تراکنش]]="انتقال",0,L41)),((IF(Tarakonesh[[#This Row],[تراکنش]]="انتقال",0,L41))-Tarakonesh[[#This Row],[مبلغ (ریال)]]))))</f>
        <v/>
      </c>
      <c r="M42" s="31"/>
      <c r="N42" s="31"/>
    </row>
    <row r="43" spans="1:14">
      <c r="A43" s="26">
        <v>36</v>
      </c>
      <c r="B43" s="27"/>
      <c r="C43" s="31"/>
      <c r="D43" s="31"/>
      <c r="E43" s="39"/>
      <c r="F43" s="27"/>
      <c r="G43" s="27"/>
      <c r="H43" s="27"/>
      <c r="I43" s="25"/>
      <c r="J43" s="27"/>
      <c r="K43" s="27"/>
      <c r="L43" s="91" t="str">
        <f>IF( Tarakonesh[[#This Row],[تراکنش]]="", "",IF( Tarakonesh[[#This Row],[تراکنش]]="انتقال",L42,IF(Tarakonesh[[#This Row],[تراکنش]]="دریافت_درآمد",(Tarakonesh[[#This Row],[مبلغ (ریال)]]+IF(Tarakonesh[[#This Row],[تراکنش]]="انتقال",0,L42)),((IF(Tarakonesh[[#This Row],[تراکنش]]="انتقال",0,L42))-Tarakonesh[[#This Row],[مبلغ (ریال)]]))))</f>
        <v/>
      </c>
      <c r="M43" s="31"/>
      <c r="N43" s="31"/>
    </row>
    <row r="44" spans="1:14">
      <c r="A44" s="26">
        <v>37</v>
      </c>
      <c r="B44" s="27"/>
      <c r="C44" s="31"/>
      <c r="D44" s="31"/>
      <c r="E44" s="39"/>
      <c r="F44" s="27"/>
      <c r="G44" s="27"/>
      <c r="H44" s="27"/>
      <c r="I44" s="25"/>
      <c r="J44" s="27"/>
      <c r="K44" s="27"/>
      <c r="L44" s="91" t="str">
        <f>IF( Tarakonesh[[#This Row],[تراکنش]]="", "",IF( Tarakonesh[[#This Row],[تراکنش]]="انتقال",L43,IF(Tarakonesh[[#This Row],[تراکنش]]="دریافت_درآمد",(Tarakonesh[[#This Row],[مبلغ (ریال)]]+IF(Tarakonesh[[#This Row],[تراکنش]]="انتقال",0,L43)),((IF(Tarakonesh[[#This Row],[تراکنش]]="انتقال",0,L43))-Tarakonesh[[#This Row],[مبلغ (ریال)]]))))</f>
        <v/>
      </c>
      <c r="M44" s="31"/>
      <c r="N44" s="31"/>
    </row>
    <row r="45" spans="1:14">
      <c r="A45" s="26">
        <v>38</v>
      </c>
      <c r="B45" s="27"/>
      <c r="C45" s="31"/>
      <c r="D45" s="31"/>
      <c r="E45" s="39"/>
      <c r="F45" s="27"/>
      <c r="G45" s="27"/>
      <c r="H45" s="27"/>
      <c r="I45" s="25"/>
      <c r="J45" s="27"/>
      <c r="K45" s="27"/>
      <c r="L45" s="91" t="str">
        <f>IF( Tarakonesh[[#This Row],[تراکنش]]="", "",IF( Tarakonesh[[#This Row],[تراکنش]]="انتقال",L44,IF(Tarakonesh[[#This Row],[تراکنش]]="دریافت_درآمد",(Tarakonesh[[#This Row],[مبلغ (ریال)]]+IF(Tarakonesh[[#This Row],[تراکنش]]="انتقال",0,L44)),((IF(Tarakonesh[[#This Row],[تراکنش]]="انتقال",0,L44))-Tarakonesh[[#This Row],[مبلغ (ریال)]]))))</f>
        <v/>
      </c>
      <c r="M45" s="31"/>
      <c r="N45" s="31"/>
    </row>
    <row r="46" spans="1:14">
      <c r="A46" s="26">
        <v>39</v>
      </c>
      <c r="B46" s="27"/>
      <c r="C46" s="31"/>
      <c r="D46" s="31"/>
      <c r="E46" s="39"/>
      <c r="F46" s="27"/>
      <c r="G46" s="27"/>
      <c r="H46" s="27"/>
      <c r="I46" s="25"/>
      <c r="J46" s="27"/>
      <c r="K46" s="27"/>
      <c r="L46" s="91" t="str">
        <f>IF( Tarakonesh[[#This Row],[تراکنش]]="", "",IF( Tarakonesh[[#This Row],[تراکنش]]="انتقال",L45,IF(Tarakonesh[[#This Row],[تراکنش]]="دریافت_درآمد",(Tarakonesh[[#This Row],[مبلغ (ریال)]]+IF(Tarakonesh[[#This Row],[تراکنش]]="انتقال",0,L45)),((IF(Tarakonesh[[#This Row],[تراکنش]]="انتقال",0,L45))-Tarakonesh[[#This Row],[مبلغ (ریال)]]))))</f>
        <v/>
      </c>
      <c r="M46" s="31"/>
      <c r="N46" s="31"/>
    </row>
    <row r="47" spans="1:14">
      <c r="A47" s="26">
        <v>40</v>
      </c>
      <c r="B47" s="27"/>
      <c r="C47" s="31"/>
      <c r="D47" s="31"/>
      <c r="E47" s="39"/>
      <c r="F47" s="27"/>
      <c r="G47" s="27"/>
      <c r="H47" s="27"/>
      <c r="I47" s="25"/>
      <c r="J47" s="27"/>
      <c r="K47" s="27"/>
      <c r="L47" s="91" t="str">
        <f>IF( Tarakonesh[[#This Row],[تراکنش]]="", "",IF( Tarakonesh[[#This Row],[تراکنش]]="انتقال",L46,IF(Tarakonesh[[#This Row],[تراکنش]]="دریافت_درآمد",(Tarakonesh[[#This Row],[مبلغ (ریال)]]+IF(Tarakonesh[[#This Row],[تراکنش]]="انتقال",0,L46)),((IF(Tarakonesh[[#This Row],[تراکنش]]="انتقال",0,L46))-Tarakonesh[[#This Row],[مبلغ (ریال)]]))))</f>
        <v/>
      </c>
      <c r="M47" s="31"/>
      <c r="N47" s="31"/>
    </row>
    <row r="48" spans="1:14">
      <c r="A48" s="26">
        <v>41</v>
      </c>
      <c r="B48" s="27"/>
      <c r="C48" s="31"/>
      <c r="D48" s="31"/>
      <c r="E48" s="39"/>
      <c r="F48" s="27"/>
      <c r="G48" s="27"/>
      <c r="H48" s="27"/>
      <c r="I48" s="25"/>
      <c r="J48" s="27"/>
      <c r="K48" s="27"/>
      <c r="L48" s="91" t="str">
        <f>IF( Tarakonesh[[#This Row],[تراکنش]]="", "",IF( Tarakonesh[[#This Row],[تراکنش]]="انتقال",L47,IF(Tarakonesh[[#This Row],[تراکنش]]="دریافت_درآمد",(Tarakonesh[[#This Row],[مبلغ (ریال)]]+IF(Tarakonesh[[#This Row],[تراکنش]]="انتقال",0,L47)),((IF(Tarakonesh[[#This Row],[تراکنش]]="انتقال",0,L47))-Tarakonesh[[#This Row],[مبلغ (ریال)]]))))</f>
        <v/>
      </c>
      <c r="M48" s="31"/>
      <c r="N48" s="31"/>
    </row>
    <row r="49" spans="1:14">
      <c r="A49" s="26">
        <v>42</v>
      </c>
      <c r="B49" s="27"/>
      <c r="C49" s="31"/>
      <c r="D49" s="31"/>
      <c r="E49" s="39"/>
      <c r="F49" s="27"/>
      <c r="G49" s="27"/>
      <c r="H49" s="27"/>
      <c r="I49" s="25"/>
      <c r="J49" s="27"/>
      <c r="K49" s="27"/>
      <c r="L49" s="91" t="str">
        <f>IF( Tarakonesh[[#This Row],[تراکنش]]="", "",IF( Tarakonesh[[#This Row],[تراکنش]]="انتقال",L48,IF(Tarakonesh[[#This Row],[تراکنش]]="دریافت_درآمد",(Tarakonesh[[#This Row],[مبلغ (ریال)]]+IF(Tarakonesh[[#This Row],[تراکنش]]="انتقال",0,L48)),((IF(Tarakonesh[[#This Row],[تراکنش]]="انتقال",0,L48))-Tarakonesh[[#This Row],[مبلغ (ریال)]]))))</f>
        <v/>
      </c>
      <c r="M49" s="31"/>
      <c r="N49" s="31"/>
    </row>
    <row r="50" spans="1:14">
      <c r="A50" s="26">
        <v>43</v>
      </c>
      <c r="B50" s="27"/>
      <c r="C50" s="31"/>
      <c r="D50" s="31"/>
      <c r="E50" s="39"/>
      <c r="F50" s="27"/>
      <c r="G50" s="27"/>
      <c r="H50" s="27"/>
      <c r="I50" s="25"/>
      <c r="J50" s="27"/>
      <c r="K50" s="27"/>
      <c r="L50" s="91" t="str">
        <f>IF( Tarakonesh[[#This Row],[تراکنش]]="", "",IF( Tarakonesh[[#This Row],[تراکنش]]="انتقال",L49,IF(Tarakonesh[[#This Row],[تراکنش]]="دریافت_درآمد",(Tarakonesh[[#This Row],[مبلغ (ریال)]]+IF(Tarakonesh[[#This Row],[تراکنش]]="انتقال",0,L49)),((IF(Tarakonesh[[#This Row],[تراکنش]]="انتقال",0,L49))-Tarakonesh[[#This Row],[مبلغ (ریال)]]))))</f>
        <v/>
      </c>
      <c r="M50" s="31"/>
      <c r="N50" s="31"/>
    </row>
    <row r="51" spans="1:14">
      <c r="A51" s="26">
        <v>44</v>
      </c>
      <c r="B51" s="27"/>
      <c r="C51" s="31"/>
      <c r="D51" s="31"/>
      <c r="E51" s="39"/>
      <c r="F51" s="27"/>
      <c r="G51" s="27"/>
      <c r="H51" s="27"/>
      <c r="I51" s="25"/>
      <c r="J51" s="27"/>
      <c r="K51" s="27"/>
      <c r="L51" s="91" t="str">
        <f>IF( Tarakonesh[[#This Row],[تراکنش]]="", "",IF( Tarakonesh[[#This Row],[تراکنش]]="انتقال",L50,IF(Tarakonesh[[#This Row],[تراکنش]]="دریافت_درآمد",(Tarakonesh[[#This Row],[مبلغ (ریال)]]+IF(Tarakonesh[[#This Row],[تراکنش]]="انتقال",0,L50)),((IF(Tarakonesh[[#This Row],[تراکنش]]="انتقال",0,L50))-Tarakonesh[[#This Row],[مبلغ (ریال)]]))))</f>
        <v/>
      </c>
      <c r="M51" s="31"/>
      <c r="N51" s="31"/>
    </row>
    <row r="52" spans="1:14">
      <c r="A52" s="26">
        <v>45</v>
      </c>
      <c r="B52" s="27"/>
      <c r="C52" s="31"/>
      <c r="D52" s="31"/>
      <c r="E52" s="39"/>
      <c r="F52" s="27"/>
      <c r="G52" s="27"/>
      <c r="H52" s="27"/>
      <c r="I52" s="25"/>
      <c r="J52" s="27"/>
      <c r="K52" s="27"/>
      <c r="L52" s="91" t="str">
        <f>IF( Tarakonesh[[#This Row],[تراکنش]]="", "",IF( Tarakonesh[[#This Row],[تراکنش]]="انتقال",L51,IF(Tarakonesh[[#This Row],[تراکنش]]="دریافت_درآمد",(Tarakonesh[[#This Row],[مبلغ (ریال)]]+IF(Tarakonesh[[#This Row],[تراکنش]]="انتقال",0,L51)),((IF(Tarakonesh[[#This Row],[تراکنش]]="انتقال",0,L51))-Tarakonesh[[#This Row],[مبلغ (ریال)]]))))</f>
        <v/>
      </c>
      <c r="M52" s="31"/>
      <c r="N52" s="31"/>
    </row>
    <row r="53" spans="1:14">
      <c r="A53" s="26">
        <v>46</v>
      </c>
      <c r="B53" s="27"/>
      <c r="C53" s="31"/>
      <c r="D53" s="31"/>
      <c r="E53" s="39"/>
      <c r="F53" s="27"/>
      <c r="G53" s="27"/>
      <c r="H53" s="27"/>
      <c r="I53" s="25"/>
      <c r="J53" s="27"/>
      <c r="K53" s="27"/>
      <c r="L53" s="91" t="str">
        <f>IF( Tarakonesh[[#This Row],[تراکنش]]="", "",IF( Tarakonesh[[#This Row],[تراکنش]]="انتقال",L52,IF(Tarakonesh[[#This Row],[تراکنش]]="دریافت_درآمد",(Tarakonesh[[#This Row],[مبلغ (ریال)]]+IF(Tarakonesh[[#This Row],[تراکنش]]="انتقال",0,L52)),((IF(Tarakonesh[[#This Row],[تراکنش]]="انتقال",0,L52))-Tarakonesh[[#This Row],[مبلغ (ریال)]]))))</f>
        <v/>
      </c>
      <c r="M53" s="31"/>
      <c r="N53" s="31"/>
    </row>
    <row r="54" spans="1:14">
      <c r="A54" s="26">
        <v>47</v>
      </c>
      <c r="B54" s="27"/>
      <c r="C54" s="31"/>
      <c r="D54" s="31"/>
      <c r="E54" s="39"/>
      <c r="F54" s="27"/>
      <c r="G54" s="27"/>
      <c r="H54" s="27"/>
      <c r="I54" s="25"/>
      <c r="J54" s="27"/>
      <c r="K54" s="27"/>
      <c r="L54" s="91" t="str">
        <f>IF( Tarakonesh[[#This Row],[تراکنش]]="", "",IF( Tarakonesh[[#This Row],[تراکنش]]="انتقال",L53,IF(Tarakonesh[[#This Row],[تراکنش]]="دریافت_درآمد",(Tarakonesh[[#This Row],[مبلغ (ریال)]]+IF(Tarakonesh[[#This Row],[تراکنش]]="انتقال",0,L53)),((IF(Tarakonesh[[#This Row],[تراکنش]]="انتقال",0,L53))-Tarakonesh[[#This Row],[مبلغ (ریال)]]))))</f>
        <v/>
      </c>
      <c r="M54" s="31"/>
      <c r="N54" s="31"/>
    </row>
    <row r="55" spans="1:14">
      <c r="A55" s="26">
        <v>48</v>
      </c>
      <c r="B55" s="27"/>
      <c r="C55" s="31"/>
      <c r="D55" s="31"/>
      <c r="E55" s="39"/>
      <c r="F55" s="27"/>
      <c r="G55" s="27"/>
      <c r="H55" s="27"/>
      <c r="I55" s="25"/>
      <c r="J55" s="27"/>
      <c r="K55" s="27"/>
      <c r="L55" s="91" t="str">
        <f>IF( Tarakonesh[[#This Row],[تراکنش]]="", "",IF( Tarakonesh[[#This Row],[تراکنش]]="انتقال",L54,IF(Tarakonesh[[#This Row],[تراکنش]]="دریافت_درآمد",(Tarakonesh[[#This Row],[مبلغ (ریال)]]+IF(Tarakonesh[[#This Row],[تراکنش]]="انتقال",0,L54)),((IF(Tarakonesh[[#This Row],[تراکنش]]="انتقال",0,L54))-Tarakonesh[[#This Row],[مبلغ (ریال)]]))))</f>
        <v/>
      </c>
      <c r="M55" s="31"/>
      <c r="N55" s="31"/>
    </row>
    <row r="56" spans="1:14">
      <c r="A56" s="26">
        <v>49</v>
      </c>
      <c r="B56" s="27"/>
      <c r="C56" s="31"/>
      <c r="D56" s="31"/>
      <c r="E56" s="39"/>
      <c r="F56" s="27"/>
      <c r="G56" s="27"/>
      <c r="H56" s="27"/>
      <c r="I56" s="25"/>
      <c r="J56" s="27"/>
      <c r="K56" s="27"/>
      <c r="L56" s="91" t="str">
        <f>IF( Tarakonesh[[#This Row],[تراکنش]]="", "",IF( Tarakonesh[[#This Row],[تراکنش]]="انتقال",L55,IF(Tarakonesh[[#This Row],[تراکنش]]="دریافت_درآمد",(Tarakonesh[[#This Row],[مبلغ (ریال)]]+IF(Tarakonesh[[#This Row],[تراکنش]]="انتقال",0,L55)),((IF(Tarakonesh[[#This Row],[تراکنش]]="انتقال",0,L55))-Tarakonesh[[#This Row],[مبلغ (ریال)]]))))</f>
        <v/>
      </c>
      <c r="M56" s="31"/>
      <c r="N56" s="31"/>
    </row>
    <row r="57" spans="1:14">
      <c r="A57" s="26">
        <v>50</v>
      </c>
      <c r="B57" s="27"/>
      <c r="C57" s="31"/>
      <c r="D57" s="31"/>
      <c r="E57" s="39"/>
      <c r="F57" s="27"/>
      <c r="G57" s="27"/>
      <c r="H57" s="27"/>
      <c r="I57" s="25"/>
      <c r="J57" s="27"/>
      <c r="K57" s="27"/>
      <c r="L57" s="91" t="str">
        <f>IF( Tarakonesh[[#This Row],[تراکنش]]="", "",IF( Tarakonesh[[#This Row],[تراکنش]]="انتقال",L56,IF(Tarakonesh[[#This Row],[تراکنش]]="دریافت_درآمد",(Tarakonesh[[#This Row],[مبلغ (ریال)]]+IF(Tarakonesh[[#This Row],[تراکنش]]="انتقال",0,L56)),((IF(Tarakonesh[[#This Row],[تراکنش]]="انتقال",0,L56))-Tarakonesh[[#This Row],[مبلغ (ریال)]]))))</f>
        <v/>
      </c>
      <c r="M57" s="31"/>
      <c r="N57" s="31"/>
    </row>
    <row r="58" spans="1:14">
      <c r="A58" s="26">
        <v>51</v>
      </c>
      <c r="B58" s="27"/>
      <c r="C58" s="31"/>
      <c r="D58" s="31"/>
      <c r="E58" s="39"/>
      <c r="F58" s="27"/>
      <c r="G58" s="27"/>
      <c r="H58" s="27"/>
      <c r="I58" s="25"/>
      <c r="J58" s="27"/>
      <c r="K58" s="27"/>
      <c r="L58" s="91" t="str">
        <f>IF( Tarakonesh[[#This Row],[تراکنش]]="", "",IF( Tarakonesh[[#This Row],[تراکنش]]="انتقال",L57,IF(Tarakonesh[[#This Row],[تراکنش]]="دریافت_درآمد",(Tarakonesh[[#This Row],[مبلغ (ریال)]]+IF(Tarakonesh[[#This Row],[تراکنش]]="انتقال",0,L57)),((IF(Tarakonesh[[#This Row],[تراکنش]]="انتقال",0,L57))-Tarakonesh[[#This Row],[مبلغ (ریال)]]))))</f>
        <v/>
      </c>
      <c r="M58" s="31"/>
      <c r="N58" s="31"/>
    </row>
    <row r="59" spans="1:14">
      <c r="A59" s="26">
        <v>52</v>
      </c>
      <c r="B59" s="27"/>
      <c r="C59" s="31"/>
      <c r="D59" s="31"/>
      <c r="E59" s="39"/>
      <c r="F59" s="27"/>
      <c r="G59" s="27"/>
      <c r="H59" s="27"/>
      <c r="I59" s="25"/>
      <c r="J59" s="27"/>
      <c r="K59" s="27"/>
      <c r="L59" s="91" t="str">
        <f>IF( Tarakonesh[[#This Row],[تراکنش]]="", "",IF( Tarakonesh[[#This Row],[تراکنش]]="انتقال",L58,IF(Tarakonesh[[#This Row],[تراکنش]]="دریافت_درآمد",(Tarakonesh[[#This Row],[مبلغ (ریال)]]+IF(Tarakonesh[[#This Row],[تراکنش]]="انتقال",0,L58)),((IF(Tarakonesh[[#This Row],[تراکنش]]="انتقال",0,L58))-Tarakonesh[[#This Row],[مبلغ (ریال)]]))))</f>
        <v/>
      </c>
      <c r="M59" s="31"/>
      <c r="N59" s="31"/>
    </row>
    <row r="60" spans="1:14">
      <c r="A60" s="26">
        <v>53</v>
      </c>
      <c r="B60" s="27"/>
      <c r="C60" s="31"/>
      <c r="D60" s="31"/>
      <c r="E60" s="39"/>
      <c r="F60" s="27"/>
      <c r="G60" s="27"/>
      <c r="H60" s="27"/>
      <c r="I60" s="25"/>
      <c r="J60" s="27"/>
      <c r="K60" s="27"/>
      <c r="L60" s="91" t="str">
        <f>IF( Tarakonesh[[#This Row],[تراکنش]]="", "",IF( Tarakonesh[[#This Row],[تراکنش]]="انتقال",L59,IF(Tarakonesh[[#This Row],[تراکنش]]="دریافت_درآمد",(Tarakonesh[[#This Row],[مبلغ (ریال)]]+IF(Tarakonesh[[#This Row],[تراکنش]]="انتقال",0,L59)),((IF(Tarakonesh[[#This Row],[تراکنش]]="انتقال",0,L59))-Tarakonesh[[#This Row],[مبلغ (ریال)]]))))</f>
        <v/>
      </c>
      <c r="M60" s="31"/>
      <c r="N60" s="31"/>
    </row>
    <row r="61" spans="1:14">
      <c r="A61" s="26">
        <v>54</v>
      </c>
      <c r="B61" s="27"/>
      <c r="C61" s="31"/>
      <c r="D61" s="31"/>
      <c r="E61" s="39"/>
      <c r="F61" s="27"/>
      <c r="G61" s="27"/>
      <c r="H61" s="27"/>
      <c r="I61" s="25"/>
      <c r="J61" s="27"/>
      <c r="K61" s="27"/>
      <c r="L61" s="91" t="str">
        <f>IF( Tarakonesh[[#This Row],[تراکنش]]="", "",IF( Tarakonesh[[#This Row],[تراکنش]]="انتقال",L60,IF(Tarakonesh[[#This Row],[تراکنش]]="دریافت_درآمد",(Tarakonesh[[#This Row],[مبلغ (ریال)]]+IF(Tarakonesh[[#This Row],[تراکنش]]="انتقال",0,L60)),((IF(Tarakonesh[[#This Row],[تراکنش]]="انتقال",0,L60))-Tarakonesh[[#This Row],[مبلغ (ریال)]]))))</f>
        <v/>
      </c>
      <c r="M61" s="31"/>
      <c r="N61" s="31"/>
    </row>
    <row r="62" spans="1:14">
      <c r="A62" s="26">
        <v>55</v>
      </c>
      <c r="B62" s="27"/>
      <c r="C62" s="31"/>
      <c r="D62" s="31"/>
      <c r="E62" s="39"/>
      <c r="F62" s="27"/>
      <c r="G62" s="27"/>
      <c r="H62" s="27"/>
      <c r="I62" s="25"/>
      <c r="J62" s="27"/>
      <c r="K62" s="27"/>
      <c r="L62" s="91" t="str">
        <f>IF( Tarakonesh[[#This Row],[تراکنش]]="", "",IF( Tarakonesh[[#This Row],[تراکنش]]="انتقال",L61,IF(Tarakonesh[[#This Row],[تراکنش]]="دریافت_درآمد",(Tarakonesh[[#This Row],[مبلغ (ریال)]]+IF(Tarakonesh[[#This Row],[تراکنش]]="انتقال",0,L61)),((IF(Tarakonesh[[#This Row],[تراکنش]]="انتقال",0,L61))-Tarakonesh[[#This Row],[مبلغ (ریال)]]))))</f>
        <v/>
      </c>
      <c r="M62" s="31"/>
      <c r="N62" s="31"/>
    </row>
    <row r="63" spans="1:14">
      <c r="A63" s="26">
        <v>56</v>
      </c>
      <c r="B63" s="27"/>
      <c r="C63" s="31"/>
      <c r="D63" s="31"/>
      <c r="E63" s="39"/>
      <c r="F63" s="27"/>
      <c r="G63" s="27"/>
      <c r="H63" s="27"/>
      <c r="I63" s="25"/>
      <c r="J63" s="27"/>
      <c r="K63" s="27"/>
      <c r="L63" s="91" t="str">
        <f>IF( Tarakonesh[[#This Row],[تراکنش]]="", "",IF( Tarakonesh[[#This Row],[تراکنش]]="انتقال",L62,IF(Tarakonesh[[#This Row],[تراکنش]]="دریافت_درآمد",(Tarakonesh[[#This Row],[مبلغ (ریال)]]+IF(Tarakonesh[[#This Row],[تراکنش]]="انتقال",0,L62)),((IF(Tarakonesh[[#This Row],[تراکنش]]="انتقال",0,L62))-Tarakonesh[[#This Row],[مبلغ (ریال)]]))))</f>
        <v/>
      </c>
      <c r="M63" s="31"/>
      <c r="N63" s="31"/>
    </row>
    <row r="64" spans="1:14">
      <c r="A64" s="26">
        <v>57</v>
      </c>
      <c r="B64" s="27"/>
      <c r="C64" s="31"/>
      <c r="D64" s="31"/>
      <c r="E64" s="39"/>
      <c r="F64" s="27"/>
      <c r="G64" s="27"/>
      <c r="H64" s="27"/>
      <c r="I64" s="25"/>
      <c r="J64" s="27"/>
      <c r="K64" s="27"/>
      <c r="L64" s="91" t="str">
        <f>IF( Tarakonesh[[#This Row],[تراکنش]]="", "",IF( Tarakonesh[[#This Row],[تراکنش]]="انتقال",L63,IF(Tarakonesh[[#This Row],[تراکنش]]="دریافت_درآمد",(Tarakonesh[[#This Row],[مبلغ (ریال)]]+IF(Tarakonesh[[#This Row],[تراکنش]]="انتقال",0,L63)),((IF(Tarakonesh[[#This Row],[تراکنش]]="انتقال",0,L63))-Tarakonesh[[#This Row],[مبلغ (ریال)]]))))</f>
        <v/>
      </c>
      <c r="M64" s="31"/>
      <c r="N64" s="31"/>
    </row>
    <row r="65" spans="1:14">
      <c r="A65" s="26">
        <v>58</v>
      </c>
      <c r="B65" s="27"/>
      <c r="C65" s="31"/>
      <c r="D65" s="31"/>
      <c r="E65" s="39"/>
      <c r="F65" s="27"/>
      <c r="G65" s="27"/>
      <c r="H65" s="27"/>
      <c r="I65" s="25"/>
      <c r="J65" s="27"/>
      <c r="K65" s="27"/>
      <c r="L65" s="91" t="str">
        <f>IF( Tarakonesh[[#This Row],[تراکنش]]="", "",IF( Tarakonesh[[#This Row],[تراکنش]]="انتقال",L64,IF(Tarakonesh[[#This Row],[تراکنش]]="دریافت_درآمد",(Tarakonesh[[#This Row],[مبلغ (ریال)]]+IF(Tarakonesh[[#This Row],[تراکنش]]="انتقال",0,L64)),((IF(Tarakonesh[[#This Row],[تراکنش]]="انتقال",0,L64))-Tarakonesh[[#This Row],[مبلغ (ریال)]]))))</f>
        <v/>
      </c>
      <c r="M65" s="31"/>
      <c r="N65" s="31"/>
    </row>
    <row r="66" spans="1:14">
      <c r="A66" s="26">
        <v>59</v>
      </c>
      <c r="B66" s="27"/>
      <c r="C66" s="31"/>
      <c r="D66" s="31"/>
      <c r="E66" s="39"/>
      <c r="F66" s="27"/>
      <c r="G66" s="27"/>
      <c r="H66" s="27"/>
      <c r="I66" s="25"/>
      <c r="J66" s="27"/>
      <c r="K66" s="27"/>
      <c r="L66" s="91" t="str">
        <f>IF( Tarakonesh[[#This Row],[تراکنش]]="", "",IF( Tarakonesh[[#This Row],[تراکنش]]="انتقال",L65,IF(Tarakonesh[[#This Row],[تراکنش]]="دریافت_درآمد",(Tarakonesh[[#This Row],[مبلغ (ریال)]]+IF(Tarakonesh[[#This Row],[تراکنش]]="انتقال",0,L65)),((IF(Tarakonesh[[#This Row],[تراکنش]]="انتقال",0,L65))-Tarakonesh[[#This Row],[مبلغ (ریال)]]))))</f>
        <v/>
      </c>
      <c r="M66" s="31"/>
      <c r="N66" s="31"/>
    </row>
    <row r="67" spans="1:14">
      <c r="A67" s="26">
        <v>60</v>
      </c>
      <c r="B67" s="27"/>
      <c r="C67" s="31"/>
      <c r="D67" s="31"/>
      <c r="E67" s="39"/>
      <c r="F67" s="27"/>
      <c r="G67" s="27"/>
      <c r="H67" s="27"/>
      <c r="I67" s="25"/>
      <c r="J67" s="27"/>
      <c r="K67" s="27"/>
      <c r="L67" s="91" t="str">
        <f>IF( Tarakonesh[[#This Row],[تراکنش]]="", "",IF( Tarakonesh[[#This Row],[تراکنش]]="انتقال",L66,IF(Tarakonesh[[#This Row],[تراکنش]]="دریافت_درآمد",(Tarakonesh[[#This Row],[مبلغ (ریال)]]+IF(Tarakonesh[[#This Row],[تراکنش]]="انتقال",0,L66)),((IF(Tarakonesh[[#This Row],[تراکنش]]="انتقال",0,L66))-Tarakonesh[[#This Row],[مبلغ (ریال)]]))))</f>
        <v/>
      </c>
      <c r="M67" s="31"/>
      <c r="N67" s="31"/>
    </row>
    <row r="68" spans="1:14">
      <c r="A68" s="26">
        <v>61</v>
      </c>
      <c r="B68" s="27"/>
      <c r="C68" s="31"/>
      <c r="D68" s="31"/>
      <c r="E68" s="39"/>
      <c r="F68" s="27"/>
      <c r="G68" s="27"/>
      <c r="H68" s="27"/>
      <c r="I68" s="25"/>
      <c r="J68" s="27"/>
      <c r="K68" s="27"/>
      <c r="L68" s="91" t="str">
        <f>IF( Tarakonesh[[#This Row],[تراکنش]]="", "",IF( Tarakonesh[[#This Row],[تراکنش]]="انتقال",L67,IF(Tarakonesh[[#This Row],[تراکنش]]="دریافت_درآمد",(Tarakonesh[[#This Row],[مبلغ (ریال)]]+IF(Tarakonesh[[#This Row],[تراکنش]]="انتقال",0,L67)),((IF(Tarakonesh[[#This Row],[تراکنش]]="انتقال",0,L67))-Tarakonesh[[#This Row],[مبلغ (ریال)]]))))</f>
        <v/>
      </c>
      <c r="M68" s="31"/>
      <c r="N68" s="31"/>
    </row>
    <row r="69" spans="1:14">
      <c r="A69" s="26">
        <v>62</v>
      </c>
      <c r="B69" s="27"/>
      <c r="C69" s="31"/>
      <c r="D69" s="31"/>
      <c r="E69" s="39"/>
      <c r="F69" s="27"/>
      <c r="G69" s="27"/>
      <c r="H69" s="27"/>
      <c r="I69" s="25"/>
      <c r="J69" s="27"/>
      <c r="K69" s="27"/>
      <c r="L69" s="91" t="str">
        <f>IF( Tarakonesh[[#This Row],[تراکنش]]="", "",IF( Tarakonesh[[#This Row],[تراکنش]]="انتقال",L68,IF(Tarakonesh[[#This Row],[تراکنش]]="دریافت_درآمد",(Tarakonesh[[#This Row],[مبلغ (ریال)]]+IF(Tarakonesh[[#This Row],[تراکنش]]="انتقال",0,L68)),((IF(Tarakonesh[[#This Row],[تراکنش]]="انتقال",0,L68))-Tarakonesh[[#This Row],[مبلغ (ریال)]]))))</f>
        <v/>
      </c>
      <c r="M69" s="31"/>
      <c r="N69" s="31"/>
    </row>
    <row r="70" spans="1:14">
      <c r="A70" s="26">
        <v>63</v>
      </c>
      <c r="B70" s="27"/>
      <c r="C70" s="31"/>
      <c r="D70" s="31"/>
      <c r="E70" s="39"/>
      <c r="F70" s="27"/>
      <c r="G70" s="27"/>
      <c r="H70" s="27"/>
      <c r="I70" s="25"/>
      <c r="J70" s="27"/>
      <c r="K70" s="27"/>
      <c r="L70" s="91" t="str">
        <f>IF( Tarakonesh[[#This Row],[تراکنش]]="", "",IF( Tarakonesh[[#This Row],[تراکنش]]="انتقال",L69,IF(Tarakonesh[[#This Row],[تراکنش]]="دریافت_درآمد",(Tarakonesh[[#This Row],[مبلغ (ریال)]]+IF(Tarakonesh[[#This Row],[تراکنش]]="انتقال",0,L69)),((IF(Tarakonesh[[#This Row],[تراکنش]]="انتقال",0,L69))-Tarakonesh[[#This Row],[مبلغ (ریال)]]))))</f>
        <v/>
      </c>
      <c r="M70" s="31"/>
      <c r="N70" s="31"/>
    </row>
    <row r="71" spans="1:14">
      <c r="A71" s="26">
        <v>64</v>
      </c>
      <c r="B71" s="27"/>
      <c r="C71" s="31"/>
      <c r="D71" s="31"/>
      <c r="E71" s="39"/>
      <c r="F71" s="27"/>
      <c r="G71" s="27"/>
      <c r="H71" s="27"/>
      <c r="I71" s="25"/>
      <c r="J71" s="27"/>
      <c r="K71" s="27"/>
      <c r="L71" s="91" t="str">
        <f>IF( Tarakonesh[[#This Row],[تراکنش]]="", "",IF( Tarakonesh[[#This Row],[تراکنش]]="انتقال",L70,IF(Tarakonesh[[#This Row],[تراکنش]]="دریافت_درآمد",(Tarakonesh[[#This Row],[مبلغ (ریال)]]+IF(Tarakonesh[[#This Row],[تراکنش]]="انتقال",0,L70)),((IF(Tarakonesh[[#This Row],[تراکنش]]="انتقال",0,L70))-Tarakonesh[[#This Row],[مبلغ (ریال)]]))))</f>
        <v/>
      </c>
      <c r="M71" s="31"/>
      <c r="N71" s="31"/>
    </row>
    <row r="72" spans="1:14">
      <c r="A72" s="26">
        <v>65</v>
      </c>
      <c r="B72" s="27"/>
      <c r="C72" s="31"/>
      <c r="D72" s="31"/>
      <c r="E72" s="39"/>
      <c r="F72" s="27"/>
      <c r="G72" s="27"/>
      <c r="H72" s="27"/>
      <c r="I72" s="25"/>
      <c r="J72" s="27"/>
      <c r="K72" s="27"/>
      <c r="L72" s="91" t="str">
        <f>IF( Tarakonesh[[#This Row],[تراکنش]]="", "",IF( Tarakonesh[[#This Row],[تراکنش]]="انتقال",L71,IF(Tarakonesh[[#This Row],[تراکنش]]="دریافت_درآمد",(Tarakonesh[[#This Row],[مبلغ (ریال)]]+IF(Tarakonesh[[#This Row],[تراکنش]]="انتقال",0,L71)),((IF(Tarakonesh[[#This Row],[تراکنش]]="انتقال",0,L71))-Tarakonesh[[#This Row],[مبلغ (ریال)]]))))</f>
        <v/>
      </c>
      <c r="M72" s="31"/>
      <c r="N72" s="31"/>
    </row>
    <row r="73" spans="1:14">
      <c r="A73" s="26">
        <v>66</v>
      </c>
      <c r="B73" s="27"/>
      <c r="C73" s="31"/>
      <c r="D73" s="31"/>
      <c r="E73" s="39"/>
      <c r="F73" s="27"/>
      <c r="G73" s="27"/>
      <c r="H73" s="27"/>
      <c r="I73" s="25"/>
      <c r="J73" s="27"/>
      <c r="K73" s="27"/>
      <c r="L73" s="91" t="str">
        <f>IF( Tarakonesh[[#This Row],[تراکنش]]="", "",IF( Tarakonesh[[#This Row],[تراکنش]]="انتقال",L72,IF(Tarakonesh[[#This Row],[تراکنش]]="دریافت_درآمد",(Tarakonesh[[#This Row],[مبلغ (ریال)]]+IF(Tarakonesh[[#This Row],[تراکنش]]="انتقال",0,L72)),((IF(Tarakonesh[[#This Row],[تراکنش]]="انتقال",0,L72))-Tarakonesh[[#This Row],[مبلغ (ریال)]]))))</f>
        <v/>
      </c>
      <c r="M73" s="31"/>
      <c r="N73" s="31"/>
    </row>
    <row r="74" spans="1:14">
      <c r="A74" s="26">
        <v>67</v>
      </c>
      <c r="B74" s="27"/>
      <c r="C74" s="31"/>
      <c r="D74" s="31"/>
      <c r="E74" s="39"/>
      <c r="F74" s="27"/>
      <c r="G74" s="27"/>
      <c r="H74" s="27"/>
      <c r="I74" s="25"/>
      <c r="J74" s="27"/>
      <c r="K74" s="27"/>
      <c r="L74" s="91" t="str">
        <f>IF( Tarakonesh[[#This Row],[تراکنش]]="", "",IF( Tarakonesh[[#This Row],[تراکنش]]="انتقال",L73,IF(Tarakonesh[[#This Row],[تراکنش]]="دریافت_درآمد",(Tarakonesh[[#This Row],[مبلغ (ریال)]]+IF(Tarakonesh[[#This Row],[تراکنش]]="انتقال",0,L73)),((IF(Tarakonesh[[#This Row],[تراکنش]]="انتقال",0,L73))-Tarakonesh[[#This Row],[مبلغ (ریال)]]))))</f>
        <v/>
      </c>
      <c r="M74" s="31"/>
      <c r="N74" s="31"/>
    </row>
    <row r="75" spans="1:14">
      <c r="A75" s="26">
        <v>68</v>
      </c>
      <c r="B75" s="27"/>
      <c r="C75" s="31"/>
      <c r="D75" s="31"/>
      <c r="E75" s="39"/>
      <c r="F75" s="27"/>
      <c r="G75" s="27"/>
      <c r="H75" s="27"/>
      <c r="I75" s="25"/>
      <c r="J75" s="27"/>
      <c r="K75" s="27"/>
      <c r="L75" s="91" t="str">
        <f>IF( Tarakonesh[[#This Row],[تراکنش]]="", "",IF( Tarakonesh[[#This Row],[تراکنش]]="انتقال",L74,IF(Tarakonesh[[#This Row],[تراکنش]]="دریافت_درآمد",(Tarakonesh[[#This Row],[مبلغ (ریال)]]+IF(Tarakonesh[[#This Row],[تراکنش]]="انتقال",0,L74)),((IF(Tarakonesh[[#This Row],[تراکنش]]="انتقال",0,L74))-Tarakonesh[[#This Row],[مبلغ (ریال)]]))))</f>
        <v/>
      </c>
      <c r="M75" s="31"/>
      <c r="N75" s="31"/>
    </row>
    <row r="76" spans="1:14">
      <c r="A76" s="26">
        <v>69</v>
      </c>
      <c r="B76" s="27"/>
      <c r="C76" s="31"/>
      <c r="D76" s="31"/>
      <c r="E76" s="39"/>
      <c r="F76" s="27"/>
      <c r="G76" s="27"/>
      <c r="H76" s="27"/>
      <c r="I76" s="25"/>
      <c r="J76" s="27"/>
      <c r="K76" s="27"/>
      <c r="L76" s="91" t="str">
        <f>IF( Tarakonesh[[#This Row],[تراکنش]]="", "",IF( Tarakonesh[[#This Row],[تراکنش]]="انتقال",L75,IF(Tarakonesh[[#This Row],[تراکنش]]="دریافت_درآمد",(Tarakonesh[[#This Row],[مبلغ (ریال)]]+IF(Tarakonesh[[#This Row],[تراکنش]]="انتقال",0,L75)),((IF(Tarakonesh[[#This Row],[تراکنش]]="انتقال",0,L75))-Tarakonesh[[#This Row],[مبلغ (ریال)]]))))</f>
        <v/>
      </c>
      <c r="M76" s="31"/>
      <c r="N76" s="31"/>
    </row>
    <row r="77" spans="1:14">
      <c r="A77" s="26">
        <v>70</v>
      </c>
      <c r="B77" s="27"/>
      <c r="C77" s="31"/>
      <c r="D77" s="31"/>
      <c r="E77" s="39"/>
      <c r="F77" s="27"/>
      <c r="G77" s="27"/>
      <c r="H77" s="27"/>
      <c r="I77" s="25"/>
      <c r="J77" s="27"/>
      <c r="K77" s="27"/>
      <c r="L77" s="91" t="str">
        <f>IF( Tarakonesh[[#This Row],[تراکنش]]="", "",IF( Tarakonesh[[#This Row],[تراکنش]]="انتقال",L76,IF(Tarakonesh[[#This Row],[تراکنش]]="دریافت_درآمد",(Tarakonesh[[#This Row],[مبلغ (ریال)]]+IF(Tarakonesh[[#This Row],[تراکنش]]="انتقال",0,L76)),((IF(Tarakonesh[[#This Row],[تراکنش]]="انتقال",0,L76))-Tarakonesh[[#This Row],[مبلغ (ریال)]]))))</f>
        <v/>
      </c>
      <c r="M77" s="31"/>
      <c r="N77" s="31"/>
    </row>
    <row r="78" spans="1:14">
      <c r="A78" s="26">
        <v>71</v>
      </c>
      <c r="B78" s="27"/>
      <c r="C78" s="31"/>
      <c r="D78" s="31"/>
      <c r="E78" s="39"/>
      <c r="F78" s="27"/>
      <c r="G78" s="27"/>
      <c r="H78" s="27"/>
      <c r="I78" s="25"/>
      <c r="J78" s="27"/>
      <c r="K78" s="27"/>
      <c r="L78" s="91" t="str">
        <f>IF( Tarakonesh[[#This Row],[تراکنش]]="", "",IF( Tarakonesh[[#This Row],[تراکنش]]="انتقال",L77,IF(Tarakonesh[[#This Row],[تراکنش]]="دریافت_درآمد",(Tarakonesh[[#This Row],[مبلغ (ریال)]]+IF(Tarakonesh[[#This Row],[تراکنش]]="انتقال",0,L77)),((IF(Tarakonesh[[#This Row],[تراکنش]]="انتقال",0,L77))-Tarakonesh[[#This Row],[مبلغ (ریال)]]))))</f>
        <v/>
      </c>
      <c r="M78" s="31"/>
      <c r="N78" s="31"/>
    </row>
    <row r="79" spans="1:14">
      <c r="A79" s="26">
        <v>72</v>
      </c>
      <c r="B79" s="27"/>
      <c r="C79" s="31"/>
      <c r="D79" s="31"/>
      <c r="E79" s="39"/>
      <c r="F79" s="27"/>
      <c r="G79" s="27"/>
      <c r="H79" s="27"/>
      <c r="I79" s="25"/>
      <c r="J79" s="27"/>
      <c r="K79" s="27"/>
      <c r="L79" s="91" t="str">
        <f>IF( Tarakonesh[[#This Row],[تراکنش]]="", "",IF( Tarakonesh[[#This Row],[تراکنش]]="انتقال",L78,IF(Tarakonesh[[#This Row],[تراکنش]]="دریافت_درآمد",(Tarakonesh[[#This Row],[مبلغ (ریال)]]+IF(Tarakonesh[[#This Row],[تراکنش]]="انتقال",0,L78)),((IF(Tarakonesh[[#This Row],[تراکنش]]="انتقال",0,L78))-Tarakonesh[[#This Row],[مبلغ (ریال)]]))))</f>
        <v/>
      </c>
      <c r="M79" s="31"/>
      <c r="N79" s="31"/>
    </row>
    <row r="80" spans="1:14">
      <c r="A80" s="26">
        <v>73</v>
      </c>
      <c r="B80" s="27"/>
      <c r="C80" s="31"/>
      <c r="D80" s="31"/>
      <c r="E80" s="39"/>
      <c r="F80" s="27"/>
      <c r="G80" s="27"/>
      <c r="H80" s="27"/>
      <c r="I80" s="25"/>
      <c r="J80" s="27"/>
      <c r="K80" s="27"/>
      <c r="L80" s="91" t="str">
        <f>IF( Tarakonesh[[#This Row],[تراکنش]]="", "",IF( Tarakonesh[[#This Row],[تراکنش]]="انتقال",L79,IF(Tarakonesh[[#This Row],[تراکنش]]="دریافت_درآمد",(Tarakonesh[[#This Row],[مبلغ (ریال)]]+IF(Tarakonesh[[#This Row],[تراکنش]]="انتقال",0,L79)),((IF(Tarakonesh[[#This Row],[تراکنش]]="انتقال",0,L79))-Tarakonesh[[#This Row],[مبلغ (ریال)]]))))</f>
        <v/>
      </c>
      <c r="M80" s="31"/>
      <c r="N80" s="31"/>
    </row>
    <row r="81" spans="1:14">
      <c r="A81" s="26">
        <v>74</v>
      </c>
      <c r="B81" s="27"/>
      <c r="C81" s="31"/>
      <c r="D81" s="31"/>
      <c r="E81" s="39"/>
      <c r="F81" s="27"/>
      <c r="G81" s="27"/>
      <c r="H81" s="27"/>
      <c r="I81" s="25"/>
      <c r="J81" s="27"/>
      <c r="K81" s="27"/>
      <c r="L81" s="91" t="str">
        <f>IF( Tarakonesh[[#This Row],[تراکنش]]="", "",IF( Tarakonesh[[#This Row],[تراکنش]]="انتقال",L80,IF(Tarakonesh[[#This Row],[تراکنش]]="دریافت_درآمد",(Tarakonesh[[#This Row],[مبلغ (ریال)]]+IF(Tarakonesh[[#This Row],[تراکنش]]="انتقال",0,L80)),((IF(Tarakonesh[[#This Row],[تراکنش]]="انتقال",0,L80))-Tarakonesh[[#This Row],[مبلغ (ریال)]]))))</f>
        <v/>
      </c>
      <c r="M81" s="31"/>
      <c r="N81" s="31"/>
    </row>
    <row r="82" spans="1:14">
      <c r="A82" s="26">
        <v>75</v>
      </c>
      <c r="B82" s="27"/>
      <c r="C82" s="31"/>
      <c r="D82" s="31"/>
      <c r="E82" s="39"/>
      <c r="F82" s="27"/>
      <c r="G82" s="27"/>
      <c r="H82" s="27"/>
      <c r="I82" s="25"/>
      <c r="J82" s="27"/>
      <c r="K82" s="27"/>
      <c r="L82" s="91" t="str">
        <f>IF( Tarakonesh[[#This Row],[تراکنش]]="", "",IF( Tarakonesh[[#This Row],[تراکنش]]="انتقال",L81,IF(Tarakonesh[[#This Row],[تراکنش]]="دریافت_درآمد",(Tarakonesh[[#This Row],[مبلغ (ریال)]]+IF(Tarakonesh[[#This Row],[تراکنش]]="انتقال",0,L81)),((IF(Tarakonesh[[#This Row],[تراکنش]]="انتقال",0,L81))-Tarakonesh[[#This Row],[مبلغ (ریال)]]))))</f>
        <v/>
      </c>
      <c r="M82" s="31"/>
      <c r="N82" s="31"/>
    </row>
    <row r="83" spans="1:14">
      <c r="A83" s="26">
        <v>76</v>
      </c>
      <c r="B83" s="27"/>
      <c r="C83" s="31"/>
      <c r="D83" s="31"/>
      <c r="E83" s="39"/>
      <c r="F83" s="27"/>
      <c r="G83" s="27"/>
      <c r="H83" s="27"/>
      <c r="I83" s="25"/>
      <c r="J83" s="27"/>
      <c r="K83" s="27"/>
      <c r="L83" s="91" t="str">
        <f>IF( Tarakonesh[[#This Row],[تراکنش]]="", "",IF( Tarakonesh[[#This Row],[تراکنش]]="انتقال",L82,IF(Tarakonesh[[#This Row],[تراکنش]]="دریافت_درآمد",(Tarakonesh[[#This Row],[مبلغ (ریال)]]+IF(Tarakonesh[[#This Row],[تراکنش]]="انتقال",0,L82)),((IF(Tarakonesh[[#This Row],[تراکنش]]="انتقال",0,L82))-Tarakonesh[[#This Row],[مبلغ (ریال)]]))))</f>
        <v/>
      </c>
      <c r="M83" s="31"/>
      <c r="N83" s="31"/>
    </row>
    <row r="84" spans="1:14">
      <c r="A84" s="26">
        <v>77</v>
      </c>
      <c r="B84" s="27"/>
      <c r="C84" s="31"/>
      <c r="D84" s="31"/>
      <c r="E84" s="39"/>
      <c r="F84" s="27"/>
      <c r="G84" s="27"/>
      <c r="H84" s="27"/>
      <c r="I84" s="25"/>
      <c r="J84" s="27"/>
      <c r="K84" s="27"/>
      <c r="L84" s="91" t="str">
        <f>IF( Tarakonesh[[#This Row],[تراکنش]]="", "",IF( Tarakonesh[[#This Row],[تراکنش]]="انتقال",L83,IF(Tarakonesh[[#This Row],[تراکنش]]="دریافت_درآمد",(Tarakonesh[[#This Row],[مبلغ (ریال)]]+IF(Tarakonesh[[#This Row],[تراکنش]]="انتقال",0,L83)),((IF(Tarakonesh[[#This Row],[تراکنش]]="انتقال",0,L83))-Tarakonesh[[#This Row],[مبلغ (ریال)]]))))</f>
        <v/>
      </c>
      <c r="M84" s="31"/>
      <c r="N84" s="31"/>
    </row>
    <row r="85" spans="1:14">
      <c r="A85" s="26">
        <v>78</v>
      </c>
      <c r="B85" s="27"/>
      <c r="C85" s="31"/>
      <c r="D85" s="31"/>
      <c r="E85" s="39"/>
      <c r="F85" s="27"/>
      <c r="G85" s="27"/>
      <c r="H85" s="27"/>
      <c r="I85" s="25"/>
      <c r="J85" s="27"/>
      <c r="K85" s="27"/>
      <c r="L85" s="91" t="str">
        <f>IF( Tarakonesh[[#This Row],[تراکنش]]="", "",IF( Tarakonesh[[#This Row],[تراکنش]]="انتقال",L84,IF(Tarakonesh[[#This Row],[تراکنش]]="دریافت_درآمد",(Tarakonesh[[#This Row],[مبلغ (ریال)]]+IF(Tarakonesh[[#This Row],[تراکنش]]="انتقال",0,L84)),((IF(Tarakonesh[[#This Row],[تراکنش]]="انتقال",0,L84))-Tarakonesh[[#This Row],[مبلغ (ریال)]]))))</f>
        <v/>
      </c>
      <c r="M85" s="31"/>
      <c r="N85" s="31"/>
    </row>
    <row r="86" spans="1:14">
      <c r="A86" s="26">
        <v>79</v>
      </c>
      <c r="B86" s="27"/>
      <c r="C86" s="31"/>
      <c r="D86" s="31"/>
      <c r="E86" s="39"/>
      <c r="F86" s="27"/>
      <c r="G86" s="27"/>
      <c r="H86" s="27"/>
      <c r="I86" s="25"/>
      <c r="J86" s="27"/>
      <c r="K86" s="27"/>
      <c r="L86" s="91" t="str">
        <f>IF( Tarakonesh[[#This Row],[تراکنش]]="", "",IF( Tarakonesh[[#This Row],[تراکنش]]="انتقال",L85,IF(Tarakonesh[[#This Row],[تراکنش]]="دریافت_درآمد",(Tarakonesh[[#This Row],[مبلغ (ریال)]]+IF(Tarakonesh[[#This Row],[تراکنش]]="انتقال",0,L85)),((IF(Tarakonesh[[#This Row],[تراکنش]]="انتقال",0,L85))-Tarakonesh[[#This Row],[مبلغ (ریال)]]))))</f>
        <v/>
      </c>
      <c r="M86" s="31"/>
      <c r="N86" s="31"/>
    </row>
    <row r="87" spans="1:14">
      <c r="A87" s="26">
        <v>80</v>
      </c>
      <c r="B87" s="27"/>
      <c r="C87" s="31"/>
      <c r="D87" s="31"/>
      <c r="E87" s="39"/>
      <c r="F87" s="27"/>
      <c r="G87" s="27"/>
      <c r="H87" s="27"/>
      <c r="I87" s="25"/>
      <c r="J87" s="27"/>
      <c r="K87" s="27"/>
      <c r="L87" s="91" t="str">
        <f>IF( Tarakonesh[[#This Row],[تراکنش]]="", "",IF( Tarakonesh[[#This Row],[تراکنش]]="انتقال",L86,IF(Tarakonesh[[#This Row],[تراکنش]]="دریافت_درآمد",(Tarakonesh[[#This Row],[مبلغ (ریال)]]+IF(Tarakonesh[[#This Row],[تراکنش]]="انتقال",0,L86)),((IF(Tarakonesh[[#This Row],[تراکنش]]="انتقال",0,L86))-Tarakonesh[[#This Row],[مبلغ (ریال)]]))))</f>
        <v/>
      </c>
      <c r="M87" s="31"/>
      <c r="N87" s="31"/>
    </row>
    <row r="88" spans="1:14">
      <c r="A88" s="26">
        <v>81</v>
      </c>
      <c r="B88" s="27"/>
      <c r="C88" s="31"/>
      <c r="D88" s="31"/>
      <c r="E88" s="39"/>
      <c r="F88" s="27"/>
      <c r="G88" s="27"/>
      <c r="H88" s="27"/>
      <c r="I88" s="25"/>
      <c r="J88" s="27"/>
      <c r="K88" s="27"/>
      <c r="L88" s="91" t="str">
        <f>IF( Tarakonesh[[#This Row],[تراکنش]]="", "",IF( Tarakonesh[[#This Row],[تراکنش]]="انتقال",L87,IF(Tarakonesh[[#This Row],[تراکنش]]="دریافت_درآمد",(Tarakonesh[[#This Row],[مبلغ (ریال)]]+IF(Tarakonesh[[#This Row],[تراکنش]]="انتقال",0,L87)),((IF(Tarakonesh[[#This Row],[تراکنش]]="انتقال",0,L87))-Tarakonesh[[#This Row],[مبلغ (ریال)]]))))</f>
        <v/>
      </c>
      <c r="M88" s="31"/>
      <c r="N88" s="31"/>
    </row>
    <row r="89" spans="1:14">
      <c r="A89" s="26">
        <v>82</v>
      </c>
      <c r="B89" s="27"/>
      <c r="C89" s="31"/>
      <c r="D89" s="31"/>
      <c r="E89" s="39"/>
      <c r="F89" s="27"/>
      <c r="G89" s="27"/>
      <c r="H89" s="27"/>
      <c r="I89" s="25"/>
      <c r="J89" s="27"/>
      <c r="K89" s="27"/>
      <c r="L89" s="91" t="str">
        <f>IF( Tarakonesh[[#This Row],[تراکنش]]="", "",IF( Tarakonesh[[#This Row],[تراکنش]]="انتقال",L88,IF(Tarakonesh[[#This Row],[تراکنش]]="دریافت_درآمد",(Tarakonesh[[#This Row],[مبلغ (ریال)]]+IF(Tarakonesh[[#This Row],[تراکنش]]="انتقال",0,L88)),((IF(Tarakonesh[[#This Row],[تراکنش]]="انتقال",0,L88))-Tarakonesh[[#This Row],[مبلغ (ریال)]]))))</f>
        <v/>
      </c>
      <c r="M89" s="31"/>
      <c r="N89" s="31"/>
    </row>
    <row r="90" spans="1:14">
      <c r="A90" s="26">
        <v>83</v>
      </c>
      <c r="B90" s="27"/>
      <c r="C90" s="31"/>
      <c r="D90" s="31"/>
      <c r="E90" s="39"/>
      <c r="F90" s="27"/>
      <c r="G90" s="27"/>
      <c r="H90" s="27"/>
      <c r="I90" s="25"/>
      <c r="J90" s="27"/>
      <c r="K90" s="27"/>
      <c r="L90" s="91" t="str">
        <f>IF( Tarakonesh[[#This Row],[تراکنش]]="", "",IF( Tarakonesh[[#This Row],[تراکنش]]="انتقال",L89,IF(Tarakonesh[[#This Row],[تراکنش]]="دریافت_درآمد",(Tarakonesh[[#This Row],[مبلغ (ریال)]]+IF(Tarakonesh[[#This Row],[تراکنش]]="انتقال",0,L89)),((IF(Tarakonesh[[#This Row],[تراکنش]]="انتقال",0,L89))-Tarakonesh[[#This Row],[مبلغ (ریال)]]))))</f>
        <v/>
      </c>
      <c r="M90" s="31"/>
      <c r="N90" s="31"/>
    </row>
    <row r="91" spans="1:14">
      <c r="A91" s="26">
        <v>84</v>
      </c>
      <c r="B91" s="27"/>
      <c r="C91" s="31"/>
      <c r="D91" s="31"/>
      <c r="E91" s="39"/>
      <c r="F91" s="27"/>
      <c r="G91" s="27"/>
      <c r="H91" s="27"/>
      <c r="I91" s="25"/>
      <c r="J91" s="27"/>
      <c r="K91" s="27"/>
      <c r="L91" s="91" t="str">
        <f>IF( Tarakonesh[[#This Row],[تراکنش]]="", "",IF( Tarakonesh[[#This Row],[تراکنش]]="انتقال",L90,IF(Tarakonesh[[#This Row],[تراکنش]]="دریافت_درآمد",(Tarakonesh[[#This Row],[مبلغ (ریال)]]+IF(Tarakonesh[[#This Row],[تراکنش]]="انتقال",0,L90)),((IF(Tarakonesh[[#This Row],[تراکنش]]="انتقال",0,L90))-Tarakonesh[[#This Row],[مبلغ (ریال)]]))))</f>
        <v/>
      </c>
      <c r="M91" s="31"/>
      <c r="N91" s="31"/>
    </row>
    <row r="92" spans="1:14">
      <c r="A92" s="26">
        <v>85</v>
      </c>
      <c r="B92" s="27"/>
      <c r="C92" s="31"/>
      <c r="D92" s="31"/>
      <c r="E92" s="39"/>
      <c r="F92" s="27"/>
      <c r="G92" s="27"/>
      <c r="H92" s="27"/>
      <c r="I92" s="25"/>
      <c r="J92" s="27"/>
      <c r="K92" s="27"/>
      <c r="L92" s="91" t="str">
        <f>IF( Tarakonesh[[#This Row],[تراکنش]]="", "",IF( Tarakonesh[[#This Row],[تراکنش]]="انتقال",L91,IF(Tarakonesh[[#This Row],[تراکنش]]="دریافت_درآمد",(Tarakonesh[[#This Row],[مبلغ (ریال)]]+IF(Tarakonesh[[#This Row],[تراکنش]]="انتقال",0,L91)),((IF(Tarakonesh[[#This Row],[تراکنش]]="انتقال",0,L91))-Tarakonesh[[#This Row],[مبلغ (ریال)]]))))</f>
        <v/>
      </c>
      <c r="M92" s="31"/>
      <c r="N92" s="31"/>
    </row>
    <row r="93" spans="1:14">
      <c r="A93" s="26">
        <v>86</v>
      </c>
      <c r="B93" s="27"/>
      <c r="C93" s="31"/>
      <c r="D93" s="31"/>
      <c r="E93" s="39"/>
      <c r="F93" s="27"/>
      <c r="G93" s="27"/>
      <c r="H93" s="27"/>
      <c r="I93" s="25"/>
      <c r="J93" s="27"/>
      <c r="K93" s="27"/>
      <c r="L93" s="91" t="str">
        <f>IF( Tarakonesh[[#This Row],[تراکنش]]="", "",IF( Tarakonesh[[#This Row],[تراکنش]]="انتقال",L92,IF(Tarakonesh[[#This Row],[تراکنش]]="دریافت_درآمد",(Tarakonesh[[#This Row],[مبلغ (ریال)]]+IF(Tarakonesh[[#This Row],[تراکنش]]="انتقال",0,L92)),((IF(Tarakonesh[[#This Row],[تراکنش]]="انتقال",0,L92))-Tarakonesh[[#This Row],[مبلغ (ریال)]]))))</f>
        <v/>
      </c>
      <c r="M93" s="31"/>
      <c r="N93" s="31"/>
    </row>
    <row r="94" spans="1:14">
      <c r="A94" s="26">
        <v>87</v>
      </c>
      <c r="B94" s="27"/>
      <c r="C94" s="31"/>
      <c r="D94" s="31"/>
      <c r="E94" s="39"/>
      <c r="F94" s="27"/>
      <c r="G94" s="27"/>
      <c r="H94" s="27"/>
      <c r="I94" s="25"/>
      <c r="J94" s="27"/>
      <c r="K94" s="27"/>
      <c r="L94" s="91" t="str">
        <f>IF( Tarakonesh[[#This Row],[تراکنش]]="", "",IF( Tarakonesh[[#This Row],[تراکنش]]="انتقال",L93,IF(Tarakonesh[[#This Row],[تراکنش]]="دریافت_درآمد",(Tarakonesh[[#This Row],[مبلغ (ریال)]]+IF(Tarakonesh[[#This Row],[تراکنش]]="انتقال",0,L93)),((IF(Tarakonesh[[#This Row],[تراکنش]]="انتقال",0,L93))-Tarakonesh[[#This Row],[مبلغ (ریال)]]))))</f>
        <v/>
      </c>
      <c r="M94" s="31"/>
      <c r="N94" s="31"/>
    </row>
    <row r="95" spans="1:14">
      <c r="A95" s="26">
        <v>88</v>
      </c>
      <c r="B95" s="27"/>
      <c r="C95" s="31"/>
      <c r="D95" s="31"/>
      <c r="E95" s="39"/>
      <c r="F95" s="27"/>
      <c r="G95" s="27"/>
      <c r="H95" s="27"/>
      <c r="I95" s="25"/>
      <c r="J95" s="27"/>
      <c r="K95" s="27"/>
      <c r="L95" s="91" t="str">
        <f>IF( Tarakonesh[[#This Row],[تراکنش]]="", "",IF( Tarakonesh[[#This Row],[تراکنش]]="انتقال",L94,IF(Tarakonesh[[#This Row],[تراکنش]]="دریافت_درآمد",(Tarakonesh[[#This Row],[مبلغ (ریال)]]+IF(Tarakonesh[[#This Row],[تراکنش]]="انتقال",0,L94)),((IF(Tarakonesh[[#This Row],[تراکنش]]="انتقال",0,L94))-Tarakonesh[[#This Row],[مبلغ (ریال)]]))))</f>
        <v/>
      </c>
      <c r="M95" s="31"/>
      <c r="N95" s="31"/>
    </row>
    <row r="96" spans="1:14">
      <c r="A96" s="26">
        <v>89</v>
      </c>
      <c r="B96" s="27"/>
      <c r="C96" s="31"/>
      <c r="D96" s="31"/>
      <c r="E96" s="39"/>
      <c r="F96" s="27"/>
      <c r="G96" s="27"/>
      <c r="H96" s="27"/>
      <c r="I96" s="25"/>
      <c r="J96" s="27"/>
      <c r="K96" s="27"/>
      <c r="L96" s="91" t="str">
        <f>IF( Tarakonesh[[#This Row],[تراکنش]]="", "",IF( Tarakonesh[[#This Row],[تراکنش]]="انتقال",L95,IF(Tarakonesh[[#This Row],[تراکنش]]="دریافت_درآمد",(Tarakonesh[[#This Row],[مبلغ (ریال)]]+IF(Tarakonesh[[#This Row],[تراکنش]]="انتقال",0,L95)),((IF(Tarakonesh[[#This Row],[تراکنش]]="انتقال",0,L95))-Tarakonesh[[#This Row],[مبلغ (ریال)]]))))</f>
        <v/>
      </c>
      <c r="M96" s="31"/>
      <c r="N96" s="31"/>
    </row>
    <row r="97" spans="1:14">
      <c r="A97" s="26">
        <v>90</v>
      </c>
      <c r="B97" s="27"/>
      <c r="C97" s="31"/>
      <c r="D97" s="31"/>
      <c r="E97" s="39"/>
      <c r="F97" s="27"/>
      <c r="G97" s="27"/>
      <c r="H97" s="27"/>
      <c r="I97" s="25"/>
      <c r="J97" s="27"/>
      <c r="K97" s="27"/>
      <c r="L97" s="91" t="str">
        <f>IF( Tarakonesh[[#This Row],[تراکنش]]="", "",IF( Tarakonesh[[#This Row],[تراکنش]]="انتقال",L96,IF(Tarakonesh[[#This Row],[تراکنش]]="دریافت_درآمد",(Tarakonesh[[#This Row],[مبلغ (ریال)]]+IF(Tarakonesh[[#This Row],[تراکنش]]="انتقال",0,L96)),((IF(Tarakonesh[[#This Row],[تراکنش]]="انتقال",0,L96))-Tarakonesh[[#This Row],[مبلغ (ریال)]]))))</f>
        <v/>
      </c>
      <c r="M97" s="31"/>
      <c r="N97" s="31"/>
    </row>
    <row r="98" spans="1:14">
      <c r="A98" s="26">
        <v>91</v>
      </c>
      <c r="B98" s="27"/>
      <c r="C98" s="31"/>
      <c r="D98" s="31"/>
      <c r="E98" s="39"/>
      <c r="F98" s="27"/>
      <c r="G98" s="27"/>
      <c r="H98" s="27"/>
      <c r="I98" s="25"/>
      <c r="J98" s="27"/>
      <c r="K98" s="27"/>
      <c r="L98" s="91" t="str">
        <f>IF( Tarakonesh[[#This Row],[تراکنش]]="", "",IF( Tarakonesh[[#This Row],[تراکنش]]="انتقال",L97,IF(Tarakonesh[[#This Row],[تراکنش]]="دریافت_درآمد",(Tarakonesh[[#This Row],[مبلغ (ریال)]]+IF(Tarakonesh[[#This Row],[تراکنش]]="انتقال",0,L97)),((IF(Tarakonesh[[#This Row],[تراکنش]]="انتقال",0,L97))-Tarakonesh[[#This Row],[مبلغ (ریال)]]))))</f>
        <v/>
      </c>
      <c r="M98" s="31"/>
      <c r="N98" s="31"/>
    </row>
    <row r="99" spans="1:14">
      <c r="A99" s="26">
        <v>92</v>
      </c>
      <c r="B99" s="27"/>
      <c r="C99" s="31"/>
      <c r="D99" s="31"/>
      <c r="E99" s="39"/>
      <c r="F99" s="27"/>
      <c r="G99" s="27"/>
      <c r="H99" s="27"/>
      <c r="I99" s="25"/>
      <c r="J99" s="27"/>
      <c r="K99" s="27"/>
      <c r="L99" s="91" t="str">
        <f>IF( Tarakonesh[[#This Row],[تراکنش]]="", "",IF( Tarakonesh[[#This Row],[تراکنش]]="انتقال",L98,IF(Tarakonesh[[#This Row],[تراکنش]]="دریافت_درآمد",(Tarakonesh[[#This Row],[مبلغ (ریال)]]+IF(Tarakonesh[[#This Row],[تراکنش]]="انتقال",0,L98)),((IF(Tarakonesh[[#This Row],[تراکنش]]="انتقال",0,L98))-Tarakonesh[[#This Row],[مبلغ (ریال)]]))))</f>
        <v/>
      </c>
      <c r="M99" s="31"/>
      <c r="N99" s="31"/>
    </row>
    <row r="100" spans="1:14">
      <c r="A100" s="26">
        <v>93</v>
      </c>
      <c r="B100" s="27"/>
      <c r="C100" s="31"/>
      <c r="D100" s="31"/>
      <c r="E100" s="39"/>
      <c r="F100" s="27"/>
      <c r="G100" s="27"/>
      <c r="H100" s="27"/>
      <c r="I100" s="25"/>
      <c r="J100" s="27"/>
      <c r="K100" s="27"/>
      <c r="L100" s="91" t="str">
        <f>IF( Tarakonesh[[#This Row],[تراکنش]]="", "",IF( Tarakonesh[[#This Row],[تراکنش]]="انتقال",L99,IF(Tarakonesh[[#This Row],[تراکنش]]="دریافت_درآمد",(Tarakonesh[[#This Row],[مبلغ (ریال)]]+IF(Tarakonesh[[#This Row],[تراکنش]]="انتقال",0,L99)),((IF(Tarakonesh[[#This Row],[تراکنش]]="انتقال",0,L99))-Tarakonesh[[#This Row],[مبلغ (ریال)]]))))</f>
        <v/>
      </c>
      <c r="M100" s="31"/>
      <c r="N100" s="31"/>
    </row>
    <row r="101" spans="1:14">
      <c r="A101" s="26">
        <v>94</v>
      </c>
      <c r="B101" s="27"/>
      <c r="C101" s="31"/>
      <c r="D101" s="31"/>
      <c r="E101" s="39"/>
      <c r="F101" s="27"/>
      <c r="G101" s="27"/>
      <c r="H101" s="27"/>
      <c r="I101" s="25"/>
      <c r="J101" s="27"/>
      <c r="K101" s="27"/>
      <c r="L101" s="91" t="str">
        <f>IF( Tarakonesh[[#This Row],[تراکنش]]="", "",IF( Tarakonesh[[#This Row],[تراکنش]]="انتقال",L100,IF(Tarakonesh[[#This Row],[تراکنش]]="دریافت_درآمد",(Tarakonesh[[#This Row],[مبلغ (ریال)]]+IF(Tarakonesh[[#This Row],[تراکنش]]="انتقال",0,L100)),((IF(Tarakonesh[[#This Row],[تراکنش]]="انتقال",0,L100))-Tarakonesh[[#This Row],[مبلغ (ریال)]]))))</f>
        <v/>
      </c>
      <c r="M101" s="31"/>
      <c r="N101" s="31"/>
    </row>
    <row r="102" spans="1:14">
      <c r="A102" s="26">
        <v>95</v>
      </c>
      <c r="B102" s="27"/>
      <c r="C102" s="31"/>
      <c r="D102" s="31"/>
      <c r="E102" s="39"/>
      <c r="F102" s="27"/>
      <c r="G102" s="27"/>
      <c r="H102" s="27"/>
      <c r="I102" s="25"/>
      <c r="J102" s="27"/>
      <c r="K102" s="27"/>
      <c r="L102" s="91" t="str">
        <f>IF( Tarakonesh[[#This Row],[تراکنش]]="", "",IF( Tarakonesh[[#This Row],[تراکنش]]="انتقال",L101,IF(Tarakonesh[[#This Row],[تراکنش]]="دریافت_درآمد",(Tarakonesh[[#This Row],[مبلغ (ریال)]]+IF(Tarakonesh[[#This Row],[تراکنش]]="انتقال",0,L101)),((IF(Tarakonesh[[#This Row],[تراکنش]]="انتقال",0,L101))-Tarakonesh[[#This Row],[مبلغ (ریال)]]))))</f>
        <v/>
      </c>
      <c r="M102" s="31"/>
      <c r="N102" s="31"/>
    </row>
    <row r="103" spans="1:14">
      <c r="A103" s="26">
        <v>96</v>
      </c>
      <c r="B103" s="27"/>
      <c r="C103" s="31"/>
      <c r="D103" s="31"/>
      <c r="E103" s="39"/>
      <c r="F103" s="27"/>
      <c r="G103" s="27"/>
      <c r="H103" s="27"/>
      <c r="I103" s="25"/>
      <c r="J103" s="27"/>
      <c r="K103" s="27"/>
      <c r="L103" s="91" t="str">
        <f>IF( Tarakonesh[[#This Row],[تراکنش]]="", "",IF( Tarakonesh[[#This Row],[تراکنش]]="انتقال",L102,IF(Tarakonesh[[#This Row],[تراکنش]]="دریافت_درآمد",(Tarakonesh[[#This Row],[مبلغ (ریال)]]+IF(Tarakonesh[[#This Row],[تراکنش]]="انتقال",0,L102)),((IF(Tarakonesh[[#This Row],[تراکنش]]="انتقال",0,L102))-Tarakonesh[[#This Row],[مبلغ (ریال)]]))))</f>
        <v/>
      </c>
      <c r="M103" s="31"/>
      <c r="N103" s="31"/>
    </row>
    <row r="104" spans="1:14">
      <c r="A104" s="26">
        <v>97</v>
      </c>
      <c r="B104" s="27"/>
      <c r="C104" s="31"/>
      <c r="D104" s="31"/>
      <c r="E104" s="39"/>
      <c r="F104" s="27"/>
      <c r="G104" s="27"/>
      <c r="H104" s="27"/>
      <c r="I104" s="25"/>
      <c r="J104" s="27"/>
      <c r="K104" s="27"/>
      <c r="L104" s="91" t="str">
        <f>IF( Tarakonesh[[#This Row],[تراکنش]]="", "",IF( Tarakonesh[[#This Row],[تراکنش]]="انتقال",L103,IF(Tarakonesh[[#This Row],[تراکنش]]="دریافت_درآمد",(Tarakonesh[[#This Row],[مبلغ (ریال)]]+IF(Tarakonesh[[#This Row],[تراکنش]]="انتقال",0,L103)),((IF(Tarakonesh[[#This Row],[تراکنش]]="انتقال",0,L103))-Tarakonesh[[#This Row],[مبلغ (ریال)]]))))</f>
        <v/>
      </c>
      <c r="M104" s="31"/>
      <c r="N104" s="31"/>
    </row>
    <row r="105" spans="1:14">
      <c r="A105" s="26">
        <v>98</v>
      </c>
      <c r="B105" s="27"/>
      <c r="C105" s="31"/>
      <c r="D105" s="31"/>
      <c r="E105" s="39"/>
      <c r="F105" s="27"/>
      <c r="G105" s="27"/>
      <c r="H105" s="27"/>
      <c r="I105" s="25"/>
      <c r="J105" s="27"/>
      <c r="K105" s="27"/>
      <c r="L105" s="91" t="str">
        <f>IF( Tarakonesh[[#This Row],[تراکنش]]="", "",IF( Tarakonesh[[#This Row],[تراکنش]]="انتقال",L104,IF(Tarakonesh[[#This Row],[تراکنش]]="دریافت_درآمد",(Tarakonesh[[#This Row],[مبلغ (ریال)]]+IF(Tarakonesh[[#This Row],[تراکنش]]="انتقال",0,L104)),((IF(Tarakonesh[[#This Row],[تراکنش]]="انتقال",0,L104))-Tarakonesh[[#This Row],[مبلغ (ریال)]]))))</f>
        <v/>
      </c>
      <c r="M105" s="31"/>
      <c r="N105" s="31"/>
    </row>
    <row r="106" spans="1:14">
      <c r="A106" s="26">
        <v>99</v>
      </c>
      <c r="B106" s="27"/>
      <c r="C106" s="31"/>
      <c r="D106" s="31"/>
      <c r="E106" s="39"/>
      <c r="F106" s="27"/>
      <c r="G106" s="27"/>
      <c r="H106" s="27"/>
      <c r="I106" s="25"/>
      <c r="J106" s="27"/>
      <c r="K106" s="27"/>
      <c r="L106" s="91" t="str">
        <f>IF( Tarakonesh[[#This Row],[تراکنش]]="", "",IF( Tarakonesh[[#This Row],[تراکنش]]="انتقال",L105,IF(Tarakonesh[[#This Row],[تراکنش]]="دریافت_درآمد",(Tarakonesh[[#This Row],[مبلغ (ریال)]]+IF(Tarakonesh[[#This Row],[تراکنش]]="انتقال",0,L105)),((IF(Tarakonesh[[#This Row],[تراکنش]]="انتقال",0,L105))-Tarakonesh[[#This Row],[مبلغ (ریال)]]))))</f>
        <v/>
      </c>
      <c r="M106" s="31"/>
      <c r="N106" s="31"/>
    </row>
    <row r="107" spans="1:14">
      <c r="A107" s="26">
        <v>100</v>
      </c>
      <c r="B107" s="27"/>
      <c r="C107" s="31"/>
      <c r="D107" s="31"/>
      <c r="E107" s="39"/>
      <c r="F107" s="27"/>
      <c r="G107" s="27"/>
      <c r="H107" s="27"/>
      <c r="I107" s="25"/>
      <c r="J107" s="27"/>
      <c r="K107" s="27"/>
      <c r="L107" s="91" t="str">
        <f>IF( Tarakonesh[[#This Row],[تراکنش]]="", "",IF( Tarakonesh[[#This Row],[تراکنش]]="انتقال",L106,IF(Tarakonesh[[#This Row],[تراکنش]]="دریافت_درآمد",(Tarakonesh[[#This Row],[مبلغ (ریال)]]+IF(Tarakonesh[[#This Row],[تراکنش]]="انتقال",0,L106)),((IF(Tarakonesh[[#This Row],[تراکنش]]="انتقال",0,L106))-Tarakonesh[[#This Row],[مبلغ (ریال)]]))))</f>
        <v/>
      </c>
      <c r="M107" s="31"/>
      <c r="N107" s="31"/>
    </row>
    <row r="108" spans="1:14">
      <c r="A108" s="26">
        <v>101</v>
      </c>
      <c r="B108" s="27"/>
      <c r="C108" s="31"/>
      <c r="D108" s="31"/>
      <c r="E108" s="39"/>
      <c r="F108" s="27"/>
      <c r="G108" s="27"/>
      <c r="H108" s="27"/>
      <c r="I108" s="25"/>
      <c r="J108" s="27"/>
      <c r="K108" s="27"/>
      <c r="L108" s="91" t="str">
        <f>IF( Tarakonesh[[#This Row],[تراکنش]]="", "",IF( Tarakonesh[[#This Row],[تراکنش]]="انتقال",L107,IF(Tarakonesh[[#This Row],[تراکنش]]="دریافت_درآمد",(Tarakonesh[[#This Row],[مبلغ (ریال)]]+IF(Tarakonesh[[#This Row],[تراکنش]]="انتقال",0,L107)),((IF(Tarakonesh[[#This Row],[تراکنش]]="انتقال",0,L107))-Tarakonesh[[#This Row],[مبلغ (ریال)]]))))</f>
        <v/>
      </c>
      <c r="M108" s="31"/>
      <c r="N108" s="31"/>
    </row>
    <row r="109" spans="1:14">
      <c r="A109" s="26">
        <v>102</v>
      </c>
      <c r="B109" s="27"/>
      <c r="C109" s="31"/>
      <c r="D109" s="31"/>
      <c r="E109" s="39"/>
      <c r="F109" s="27"/>
      <c r="G109" s="27"/>
      <c r="H109" s="27"/>
      <c r="I109" s="25"/>
      <c r="J109" s="27"/>
      <c r="K109" s="27"/>
      <c r="L109" s="91" t="str">
        <f>IF( Tarakonesh[[#This Row],[تراکنش]]="", "",IF( Tarakonesh[[#This Row],[تراکنش]]="انتقال",L108,IF(Tarakonesh[[#This Row],[تراکنش]]="دریافت_درآمد",(Tarakonesh[[#This Row],[مبلغ (ریال)]]+IF(Tarakonesh[[#This Row],[تراکنش]]="انتقال",0,L108)),((IF(Tarakonesh[[#This Row],[تراکنش]]="انتقال",0,L108))-Tarakonesh[[#This Row],[مبلغ (ریال)]]))))</f>
        <v/>
      </c>
      <c r="M109" s="31"/>
      <c r="N109" s="31"/>
    </row>
    <row r="110" spans="1:14">
      <c r="A110" s="26">
        <v>103</v>
      </c>
      <c r="B110" s="27"/>
      <c r="C110" s="31"/>
      <c r="D110" s="31"/>
      <c r="E110" s="39"/>
      <c r="F110" s="27"/>
      <c r="G110" s="27"/>
      <c r="H110" s="27"/>
      <c r="I110" s="25"/>
      <c r="J110" s="27"/>
      <c r="K110" s="27"/>
      <c r="L110" s="91" t="str">
        <f>IF( Tarakonesh[[#This Row],[تراکنش]]="", "",IF( Tarakonesh[[#This Row],[تراکنش]]="انتقال",L109,IF(Tarakonesh[[#This Row],[تراکنش]]="دریافت_درآمد",(Tarakonesh[[#This Row],[مبلغ (ریال)]]+IF(Tarakonesh[[#This Row],[تراکنش]]="انتقال",0,L109)),((IF(Tarakonesh[[#This Row],[تراکنش]]="انتقال",0,L109))-Tarakonesh[[#This Row],[مبلغ (ریال)]]))))</f>
        <v/>
      </c>
      <c r="M110" s="31"/>
      <c r="N110" s="31"/>
    </row>
    <row r="111" spans="1:14">
      <c r="A111" s="26">
        <v>104</v>
      </c>
      <c r="B111" s="27"/>
      <c r="C111" s="31"/>
      <c r="D111" s="31"/>
      <c r="E111" s="39"/>
      <c r="F111" s="27"/>
      <c r="G111" s="27"/>
      <c r="H111" s="27"/>
      <c r="I111" s="25"/>
      <c r="J111" s="27"/>
      <c r="K111" s="27"/>
      <c r="L111" s="91" t="str">
        <f>IF( Tarakonesh[[#This Row],[تراکنش]]="", "",IF( Tarakonesh[[#This Row],[تراکنش]]="انتقال",L110,IF(Tarakonesh[[#This Row],[تراکنش]]="دریافت_درآمد",(Tarakonesh[[#This Row],[مبلغ (ریال)]]+IF(Tarakonesh[[#This Row],[تراکنش]]="انتقال",0,L110)),((IF(Tarakonesh[[#This Row],[تراکنش]]="انتقال",0,L110))-Tarakonesh[[#This Row],[مبلغ (ریال)]]))))</f>
        <v/>
      </c>
      <c r="M111" s="31"/>
      <c r="N111" s="31"/>
    </row>
    <row r="112" spans="1:14">
      <c r="A112" s="26">
        <v>105</v>
      </c>
      <c r="B112" s="27"/>
      <c r="C112" s="31"/>
      <c r="D112" s="31"/>
      <c r="E112" s="39"/>
      <c r="F112" s="27"/>
      <c r="G112" s="27"/>
      <c r="H112" s="27"/>
      <c r="I112" s="25"/>
      <c r="J112" s="27"/>
      <c r="K112" s="27"/>
      <c r="L112" s="91" t="str">
        <f>IF( Tarakonesh[[#This Row],[تراکنش]]="", "",IF( Tarakonesh[[#This Row],[تراکنش]]="انتقال",L111,IF(Tarakonesh[[#This Row],[تراکنش]]="دریافت_درآمد",(Tarakonesh[[#This Row],[مبلغ (ریال)]]+IF(Tarakonesh[[#This Row],[تراکنش]]="انتقال",0,L111)),((IF(Tarakonesh[[#This Row],[تراکنش]]="انتقال",0,L111))-Tarakonesh[[#This Row],[مبلغ (ریال)]]))))</f>
        <v/>
      </c>
      <c r="M112" s="31"/>
      <c r="N112" s="31"/>
    </row>
    <row r="113" spans="1:14">
      <c r="A113" s="26">
        <v>106</v>
      </c>
      <c r="B113" s="27"/>
      <c r="C113" s="31"/>
      <c r="D113" s="31"/>
      <c r="E113" s="39"/>
      <c r="F113" s="27"/>
      <c r="G113" s="27"/>
      <c r="H113" s="27"/>
      <c r="I113" s="25"/>
      <c r="J113" s="27"/>
      <c r="K113" s="27"/>
      <c r="L113" s="91" t="str">
        <f>IF( Tarakonesh[[#This Row],[تراکنش]]="", "",IF( Tarakonesh[[#This Row],[تراکنش]]="انتقال",L112,IF(Tarakonesh[[#This Row],[تراکنش]]="دریافت_درآمد",(Tarakonesh[[#This Row],[مبلغ (ریال)]]+IF(Tarakonesh[[#This Row],[تراکنش]]="انتقال",0,L112)),((IF(Tarakonesh[[#This Row],[تراکنش]]="انتقال",0,L112))-Tarakonesh[[#This Row],[مبلغ (ریال)]]))))</f>
        <v/>
      </c>
      <c r="M113" s="31"/>
      <c r="N113" s="31"/>
    </row>
    <row r="114" spans="1:14">
      <c r="A114" s="26">
        <v>107</v>
      </c>
      <c r="B114" s="27"/>
      <c r="C114" s="31"/>
      <c r="D114" s="31"/>
      <c r="E114" s="39"/>
      <c r="F114" s="27"/>
      <c r="G114" s="27"/>
      <c r="H114" s="27"/>
      <c r="I114" s="25"/>
      <c r="J114" s="27"/>
      <c r="K114" s="27"/>
      <c r="L114" s="91" t="str">
        <f>IF( Tarakonesh[[#This Row],[تراکنش]]="", "",IF( Tarakonesh[[#This Row],[تراکنش]]="انتقال",L113,IF(Tarakonesh[[#This Row],[تراکنش]]="دریافت_درآمد",(Tarakonesh[[#This Row],[مبلغ (ریال)]]+IF(Tarakonesh[[#This Row],[تراکنش]]="انتقال",0,L113)),((IF(Tarakonesh[[#This Row],[تراکنش]]="انتقال",0,L113))-Tarakonesh[[#This Row],[مبلغ (ریال)]]))))</f>
        <v/>
      </c>
      <c r="M114" s="31"/>
      <c r="N114" s="31"/>
    </row>
    <row r="115" spans="1:14">
      <c r="A115" s="26">
        <v>108</v>
      </c>
      <c r="B115" s="27"/>
      <c r="C115" s="31"/>
      <c r="D115" s="31"/>
      <c r="E115" s="39"/>
      <c r="F115" s="27"/>
      <c r="G115" s="27"/>
      <c r="H115" s="27"/>
      <c r="I115" s="25"/>
      <c r="J115" s="27"/>
      <c r="K115" s="27"/>
      <c r="L115" s="91" t="str">
        <f>IF( Tarakonesh[[#This Row],[تراکنش]]="", "",IF( Tarakonesh[[#This Row],[تراکنش]]="انتقال",L114,IF(Tarakonesh[[#This Row],[تراکنش]]="دریافت_درآمد",(Tarakonesh[[#This Row],[مبلغ (ریال)]]+IF(Tarakonesh[[#This Row],[تراکنش]]="انتقال",0,L114)),((IF(Tarakonesh[[#This Row],[تراکنش]]="انتقال",0,L114))-Tarakonesh[[#This Row],[مبلغ (ریال)]]))))</f>
        <v/>
      </c>
      <c r="M115" s="31"/>
      <c r="N115" s="31"/>
    </row>
    <row r="116" spans="1:14">
      <c r="A116" s="26">
        <v>109</v>
      </c>
      <c r="B116" s="27"/>
      <c r="C116" s="31"/>
      <c r="D116" s="31"/>
      <c r="E116" s="39"/>
      <c r="F116" s="27"/>
      <c r="G116" s="27"/>
      <c r="H116" s="27"/>
      <c r="I116" s="25"/>
      <c r="J116" s="27"/>
      <c r="K116" s="27"/>
      <c r="L116" s="91" t="str">
        <f>IF( Tarakonesh[[#This Row],[تراکنش]]="", "",IF( Tarakonesh[[#This Row],[تراکنش]]="انتقال",L115,IF(Tarakonesh[[#This Row],[تراکنش]]="دریافت_درآمد",(Tarakonesh[[#This Row],[مبلغ (ریال)]]+IF(Tarakonesh[[#This Row],[تراکنش]]="انتقال",0,L115)),((IF(Tarakonesh[[#This Row],[تراکنش]]="انتقال",0,L115))-Tarakonesh[[#This Row],[مبلغ (ریال)]]))))</f>
        <v/>
      </c>
      <c r="M116" s="31"/>
      <c r="N116" s="31"/>
    </row>
    <row r="117" spans="1:14">
      <c r="A117" s="26">
        <v>110</v>
      </c>
      <c r="B117" s="27"/>
      <c r="C117" s="31"/>
      <c r="D117" s="31"/>
      <c r="E117" s="39"/>
      <c r="F117" s="27"/>
      <c r="G117" s="27"/>
      <c r="H117" s="27"/>
      <c r="I117" s="25"/>
      <c r="J117" s="27"/>
      <c r="K117" s="27"/>
      <c r="L117" s="91" t="str">
        <f>IF( Tarakonesh[[#This Row],[تراکنش]]="", "",IF( Tarakonesh[[#This Row],[تراکنش]]="انتقال",L116,IF(Tarakonesh[[#This Row],[تراکنش]]="دریافت_درآمد",(Tarakonesh[[#This Row],[مبلغ (ریال)]]+IF(Tarakonesh[[#This Row],[تراکنش]]="انتقال",0,L116)),((IF(Tarakonesh[[#This Row],[تراکنش]]="انتقال",0,L116))-Tarakonesh[[#This Row],[مبلغ (ریال)]]))))</f>
        <v/>
      </c>
      <c r="M117" s="31"/>
      <c r="N117" s="31"/>
    </row>
    <row r="118" spans="1:14">
      <c r="A118" s="26">
        <v>111</v>
      </c>
      <c r="B118" s="27"/>
      <c r="C118" s="31"/>
      <c r="D118" s="31"/>
      <c r="E118" s="39"/>
      <c r="F118" s="27"/>
      <c r="G118" s="27"/>
      <c r="H118" s="27"/>
      <c r="I118" s="25"/>
      <c r="J118" s="27"/>
      <c r="K118" s="27"/>
      <c r="L118" s="91" t="str">
        <f>IF( Tarakonesh[[#This Row],[تراکنش]]="", "",IF( Tarakonesh[[#This Row],[تراکنش]]="انتقال",L117,IF(Tarakonesh[[#This Row],[تراکنش]]="دریافت_درآمد",(Tarakonesh[[#This Row],[مبلغ (ریال)]]+IF(Tarakonesh[[#This Row],[تراکنش]]="انتقال",0,L117)),((IF(Tarakonesh[[#This Row],[تراکنش]]="انتقال",0,L117))-Tarakonesh[[#This Row],[مبلغ (ریال)]]))))</f>
        <v/>
      </c>
      <c r="M118" s="31"/>
      <c r="N118" s="31"/>
    </row>
    <row r="119" spans="1:14">
      <c r="A119" s="26">
        <v>112</v>
      </c>
      <c r="B119" s="27"/>
      <c r="C119" s="31"/>
      <c r="D119" s="31"/>
      <c r="E119" s="39"/>
      <c r="F119" s="27"/>
      <c r="G119" s="27"/>
      <c r="H119" s="27"/>
      <c r="I119" s="25"/>
      <c r="J119" s="27"/>
      <c r="K119" s="27"/>
      <c r="L119" s="91" t="str">
        <f>IF( Tarakonesh[[#This Row],[تراکنش]]="", "",IF( Tarakonesh[[#This Row],[تراکنش]]="انتقال",L118,IF(Tarakonesh[[#This Row],[تراکنش]]="دریافت_درآمد",(Tarakonesh[[#This Row],[مبلغ (ریال)]]+IF(Tarakonesh[[#This Row],[تراکنش]]="انتقال",0,L118)),((IF(Tarakonesh[[#This Row],[تراکنش]]="انتقال",0,L118))-Tarakonesh[[#This Row],[مبلغ (ریال)]]))))</f>
        <v/>
      </c>
      <c r="M119" s="31"/>
      <c r="N119" s="31"/>
    </row>
    <row r="120" spans="1:14">
      <c r="A120" s="26">
        <v>113</v>
      </c>
      <c r="B120" s="27"/>
      <c r="C120" s="31"/>
      <c r="D120" s="31"/>
      <c r="E120" s="39"/>
      <c r="F120" s="27"/>
      <c r="G120" s="27"/>
      <c r="H120" s="27"/>
      <c r="I120" s="25"/>
      <c r="J120" s="27"/>
      <c r="K120" s="27"/>
      <c r="L120" s="91" t="str">
        <f>IF( Tarakonesh[[#This Row],[تراکنش]]="", "",IF( Tarakonesh[[#This Row],[تراکنش]]="انتقال",L119,IF(Tarakonesh[[#This Row],[تراکنش]]="دریافت_درآمد",(Tarakonesh[[#This Row],[مبلغ (ریال)]]+IF(Tarakonesh[[#This Row],[تراکنش]]="انتقال",0,L119)),((IF(Tarakonesh[[#This Row],[تراکنش]]="انتقال",0,L119))-Tarakonesh[[#This Row],[مبلغ (ریال)]]))))</f>
        <v/>
      </c>
      <c r="M120" s="31"/>
      <c r="N120" s="31"/>
    </row>
    <row r="121" spans="1:14">
      <c r="A121" s="26">
        <v>114</v>
      </c>
      <c r="B121" s="27"/>
      <c r="C121" s="31"/>
      <c r="D121" s="31"/>
      <c r="E121" s="39"/>
      <c r="F121" s="27"/>
      <c r="G121" s="27"/>
      <c r="H121" s="27"/>
      <c r="I121" s="25"/>
      <c r="J121" s="27"/>
      <c r="K121" s="27"/>
      <c r="L121" s="91" t="str">
        <f>IF( Tarakonesh[[#This Row],[تراکنش]]="", "",IF( Tarakonesh[[#This Row],[تراکنش]]="انتقال",L120,IF(Tarakonesh[[#This Row],[تراکنش]]="دریافت_درآمد",(Tarakonesh[[#This Row],[مبلغ (ریال)]]+IF(Tarakonesh[[#This Row],[تراکنش]]="انتقال",0,L120)),((IF(Tarakonesh[[#This Row],[تراکنش]]="انتقال",0,L120))-Tarakonesh[[#This Row],[مبلغ (ریال)]]))))</f>
        <v/>
      </c>
      <c r="M121" s="31"/>
      <c r="N121" s="31"/>
    </row>
    <row r="122" spans="1:14">
      <c r="A122" s="26">
        <v>115</v>
      </c>
      <c r="B122" s="27"/>
      <c r="C122" s="31"/>
      <c r="D122" s="31"/>
      <c r="E122" s="39"/>
      <c r="F122" s="27"/>
      <c r="G122" s="27"/>
      <c r="H122" s="27"/>
      <c r="I122" s="25"/>
      <c r="J122" s="27"/>
      <c r="K122" s="27"/>
      <c r="L122" s="91" t="str">
        <f>IF( Tarakonesh[[#This Row],[تراکنش]]="", "",IF( Tarakonesh[[#This Row],[تراکنش]]="انتقال",L121,IF(Tarakonesh[[#This Row],[تراکنش]]="دریافت_درآمد",(Tarakonesh[[#This Row],[مبلغ (ریال)]]+IF(Tarakonesh[[#This Row],[تراکنش]]="انتقال",0,L121)),((IF(Tarakonesh[[#This Row],[تراکنش]]="انتقال",0,L121))-Tarakonesh[[#This Row],[مبلغ (ریال)]]))))</f>
        <v/>
      </c>
      <c r="M122" s="31"/>
      <c r="N122" s="31"/>
    </row>
    <row r="123" spans="1:14">
      <c r="A123" s="26">
        <v>116</v>
      </c>
      <c r="B123" s="27"/>
      <c r="C123" s="31"/>
      <c r="D123" s="31"/>
      <c r="E123" s="39"/>
      <c r="F123" s="27"/>
      <c r="G123" s="27"/>
      <c r="H123" s="27"/>
      <c r="I123" s="25"/>
      <c r="J123" s="27"/>
      <c r="K123" s="27"/>
      <c r="L123" s="91" t="str">
        <f>IF( Tarakonesh[[#This Row],[تراکنش]]="", "",IF( Tarakonesh[[#This Row],[تراکنش]]="انتقال",L122,IF(Tarakonesh[[#This Row],[تراکنش]]="دریافت_درآمد",(Tarakonesh[[#This Row],[مبلغ (ریال)]]+IF(Tarakonesh[[#This Row],[تراکنش]]="انتقال",0,L122)),((IF(Tarakonesh[[#This Row],[تراکنش]]="انتقال",0,L122))-Tarakonesh[[#This Row],[مبلغ (ریال)]]))))</f>
        <v/>
      </c>
      <c r="M123" s="31"/>
      <c r="N123" s="31"/>
    </row>
    <row r="124" spans="1:14">
      <c r="A124" s="26">
        <v>117</v>
      </c>
      <c r="B124" s="27"/>
      <c r="C124" s="31"/>
      <c r="D124" s="31"/>
      <c r="E124" s="39"/>
      <c r="F124" s="27"/>
      <c r="G124" s="27"/>
      <c r="H124" s="27"/>
      <c r="I124" s="25"/>
      <c r="J124" s="27"/>
      <c r="K124" s="27"/>
      <c r="L124" s="91" t="str">
        <f>IF( Tarakonesh[[#This Row],[تراکنش]]="", "",IF( Tarakonesh[[#This Row],[تراکنش]]="انتقال",L123,IF(Tarakonesh[[#This Row],[تراکنش]]="دریافت_درآمد",(Tarakonesh[[#This Row],[مبلغ (ریال)]]+IF(Tarakonesh[[#This Row],[تراکنش]]="انتقال",0,L123)),((IF(Tarakonesh[[#This Row],[تراکنش]]="انتقال",0,L123))-Tarakonesh[[#This Row],[مبلغ (ریال)]]))))</f>
        <v/>
      </c>
      <c r="M124" s="31"/>
      <c r="N124" s="31"/>
    </row>
    <row r="125" spans="1:14">
      <c r="A125" s="26">
        <v>118</v>
      </c>
      <c r="B125" s="27"/>
      <c r="C125" s="31"/>
      <c r="D125" s="31"/>
      <c r="E125" s="39"/>
      <c r="F125" s="27"/>
      <c r="G125" s="27"/>
      <c r="H125" s="27"/>
      <c r="I125" s="25"/>
      <c r="J125" s="27"/>
      <c r="K125" s="27"/>
      <c r="L125" s="91" t="str">
        <f>IF( Tarakonesh[[#This Row],[تراکنش]]="", "",IF( Tarakonesh[[#This Row],[تراکنش]]="انتقال",L124,IF(Tarakonesh[[#This Row],[تراکنش]]="دریافت_درآمد",(Tarakonesh[[#This Row],[مبلغ (ریال)]]+IF(Tarakonesh[[#This Row],[تراکنش]]="انتقال",0,L124)),((IF(Tarakonesh[[#This Row],[تراکنش]]="انتقال",0,L124))-Tarakonesh[[#This Row],[مبلغ (ریال)]]))))</f>
        <v/>
      </c>
      <c r="M125" s="31"/>
      <c r="N125" s="31"/>
    </row>
    <row r="126" spans="1:14">
      <c r="A126" s="26">
        <v>119</v>
      </c>
      <c r="B126" s="27"/>
      <c r="C126" s="31"/>
      <c r="D126" s="31"/>
      <c r="E126" s="39"/>
      <c r="F126" s="27"/>
      <c r="G126" s="27"/>
      <c r="H126" s="27"/>
      <c r="I126" s="25"/>
      <c r="J126" s="27"/>
      <c r="K126" s="27"/>
      <c r="L126" s="91" t="str">
        <f>IF( Tarakonesh[[#This Row],[تراکنش]]="", "",IF( Tarakonesh[[#This Row],[تراکنش]]="انتقال",L125,IF(Tarakonesh[[#This Row],[تراکنش]]="دریافت_درآمد",(Tarakonesh[[#This Row],[مبلغ (ریال)]]+IF(Tarakonesh[[#This Row],[تراکنش]]="انتقال",0,L125)),((IF(Tarakonesh[[#This Row],[تراکنش]]="انتقال",0,L125))-Tarakonesh[[#This Row],[مبلغ (ریال)]]))))</f>
        <v/>
      </c>
      <c r="M126" s="31"/>
      <c r="N126" s="31"/>
    </row>
    <row r="127" spans="1:14">
      <c r="A127" s="26">
        <v>120</v>
      </c>
      <c r="B127" s="27"/>
      <c r="C127" s="31"/>
      <c r="D127" s="31"/>
      <c r="E127" s="39"/>
      <c r="F127" s="27"/>
      <c r="G127" s="27"/>
      <c r="H127" s="27"/>
      <c r="I127" s="25"/>
      <c r="J127" s="27"/>
      <c r="K127" s="27"/>
      <c r="L127" s="91" t="str">
        <f>IF( Tarakonesh[[#This Row],[تراکنش]]="", "",IF( Tarakonesh[[#This Row],[تراکنش]]="انتقال",L126,IF(Tarakonesh[[#This Row],[تراکنش]]="دریافت_درآمد",(Tarakonesh[[#This Row],[مبلغ (ریال)]]+IF(Tarakonesh[[#This Row],[تراکنش]]="انتقال",0,L126)),((IF(Tarakonesh[[#This Row],[تراکنش]]="انتقال",0,L126))-Tarakonesh[[#This Row],[مبلغ (ریال)]]))))</f>
        <v/>
      </c>
      <c r="M127" s="31"/>
      <c r="N127" s="31"/>
    </row>
    <row r="128" spans="1:14">
      <c r="A128" s="26">
        <v>121</v>
      </c>
      <c r="B128" s="27"/>
      <c r="C128" s="31"/>
      <c r="D128" s="31"/>
      <c r="E128" s="39"/>
      <c r="F128" s="27"/>
      <c r="G128" s="27"/>
      <c r="H128" s="27"/>
      <c r="I128" s="25"/>
      <c r="J128" s="27"/>
      <c r="K128" s="27"/>
      <c r="L128" s="91" t="str">
        <f>IF( Tarakonesh[[#This Row],[تراکنش]]="", "",IF( Tarakonesh[[#This Row],[تراکنش]]="انتقال",L127,IF(Tarakonesh[[#This Row],[تراکنش]]="دریافت_درآمد",(Tarakonesh[[#This Row],[مبلغ (ریال)]]+IF(Tarakonesh[[#This Row],[تراکنش]]="انتقال",0,L127)),((IF(Tarakonesh[[#This Row],[تراکنش]]="انتقال",0,L127))-Tarakonesh[[#This Row],[مبلغ (ریال)]]))))</f>
        <v/>
      </c>
      <c r="M128" s="31"/>
      <c r="N128" s="31"/>
    </row>
    <row r="129" spans="1:14">
      <c r="A129" s="26">
        <v>122</v>
      </c>
      <c r="B129" s="27"/>
      <c r="C129" s="31"/>
      <c r="D129" s="31"/>
      <c r="E129" s="39"/>
      <c r="F129" s="27"/>
      <c r="G129" s="27"/>
      <c r="H129" s="27"/>
      <c r="I129" s="25"/>
      <c r="J129" s="27"/>
      <c r="K129" s="27"/>
      <c r="L129" s="91" t="str">
        <f>IF( Tarakonesh[[#This Row],[تراکنش]]="", "",IF( Tarakonesh[[#This Row],[تراکنش]]="انتقال",L128,IF(Tarakonesh[[#This Row],[تراکنش]]="دریافت_درآمد",(Tarakonesh[[#This Row],[مبلغ (ریال)]]+IF(Tarakonesh[[#This Row],[تراکنش]]="انتقال",0,L128)),((IF(Tarakonesh[[#This Row],[تراکنش]]="انتقال",0,L128))-Tarakonesh[[#This Row],[مبلغ (ریال)]]))))</f>
        <v/>
      </c>
      <c r="M129" s="31"/>
      <c r="N129" s="31"/>
    </row>
    <row r="130" spans="1:14">
      <c r="A130" s="26">
        <v>123</v>
      </c>
      <c r="B130" s="27"/>
      <c r="C130" s="31"/>
      <c r="D130" s="31"/>
      <c r="E130" s="39"/>
      <c r="F130" s="27"/>
      <c r="G130" s="27"/>
      <c r="H130" s="27"/>
      <c r="I130" s="25"/>
      <c r="J130" s="27"/>
      <c r="K130" s="27"/>
      <c r="L130" s="91" t="str">
        <f>IF( Tarakonesh[[#This Row],[تراکنش]]="", "",IF( Tarakonesh[[#This Row],[تراکنش]]="انتقال",L129,IF(Tarakonesh[[#This Row],[تراکنش]]="دریافت_درآمد",(Tarakonesh[[#This Row],[مبلغ (ریال)]]+IF(Tarakonesh[[#This Row],[تراکنش]]="انتقال",0,L129)),((IF(Tarakonesh[[#This Row],[تراکنش]]="انتقال",0,L129))-Tarakonesh[[#This Row],[مبلغ (ریال)]]))))</f>
        <v/>
      </c>
      <c r="M130" s="31"/>
      <c r="N130" s="31"/>
    </row>
    <row r="131" spans="1:14">
      <c r="A131" s="26">
        <v>124</v>
      </c>
      <c r="B131" s="27"/>
      <c r="C131" s="31"/>
      <c r="D131" s="31"/>
      <c r="E131" s="39"/>
      <c r="F131" s="27"/>
      <c r="G131" s="27"/>
      <c r="H131" s="27"/>
      <c r="I131" s="25"/>
      <c r="J131" s="27"/>
      <c r="K131" s="27"/>
      <c r="L131" s="91" t="str">
        <f>IF( Tarakonesh[[#This Row],[تراکنش]]="", "",IF( Tarakonesh[[#This Row],[تراکنش]]="انتقال",L130,IF(Tarakonesh[[#This Row],[تراکنش]]="دریافت_درآمد",(Tarakonesh[[#This Row],[مبلغ (ریال)]]+IF(Tarakonesh[[#This Row],[تراکنش]]="انتقال",0,L130)),((IF(Tarakonesh[[#This Row],[تراکنش]]="انتقال",0,L130))-Tarakonesh[[#This Row],[مبلغ (ریال)]]))))</f>
        <v/>
      </c>
      <c r="M131" s="31"/>
      <c r="N131" s="31"/>
    </row>
    <row r="132" spans="1:14">
      <c r="A132" s="26">
        <v>125</v>
      </c>
      <c r="B132" s="27"/>
      <c r="C132" s="31"/>
      <c r="D132" s="31"/>
      <c r="E132" s="39"/>
      <c r="F132" s="27"/>
      <c r="G132" s="27"/>
      <c r="H132" s="27"/>
      <c r="I132" s="25"/>
      <c r="J132" s="27"/>
      <c r="K132" s="27"/>
      <c r="L132" s="91" t="str">
        <f>IF( Tarakonesh[[#This Row],[تراکنش]]="", "",IF( Tarakonesh[[#This Row],[تراکنش]]="انتقال",L131,IF(Tarakonesh[[#This Row],[تراکنش]]="دریافت_درآمد",(Tarakonesh[[#This Row],[مبلغ (ریال)]]+IF(Tarakonesh[[#This Row],[تراکنش]]="انتقال",0,L131)),((IF(Tarakonesh[[#This Row],[تراکنش]]="انتقال",0,L131))-Tarakonesh[[#This Row],[مبلغ (ریال)]]))))</f>
        <v/>
      </c>
      <c r="M132" s="31"/>
      <c r="N132" s="31"/>
    </row>
    <row r="133" spans="1:14">
      <c r="A133" s="26">
        <v>126</v>
      </c>
      <c r="B133" s="27"/>
      <c r="C133" s="31"/>
      <c r="D133" s="31"/>
      <c r="E133" s="39"/>
      <c r="F133" s="27"/>
      <c r="G133" s="27"/>
      <c r="H133" s="27"/>
      <c r="I133" s="25"/>
      <c r="J133" s="27"/>
      <c r="K133" s="27"/>
      <c r="L133" s="91" t="str">
        <f>IF( Tarakonesh[[#This Row],[تراکنش]]="", "",IF( Tarakonesh[[#This Row],[تراکنش]]="انتقال",L132,IF(Tarakonesh[[#This Row],[تراکنش]]="دریافت_درآمد",(Tarakonesh[[#This Row],[مبلغ (ریال)]]+IF(Tarakonesh[[#This Row],[تراکنش]]="انتقال",0,L132)),((IF(Tarakonesh[[#This Row],[تراکنش]]="انتقال",0,L132))-Tarakonesh[[#This Row],[مبلغ (ریال)]]))))</f>
        <v/>
      </c>
      <c r="M133" s="31"/>
      <c r="N133" s="31"/>
    </row>
    <row r="134" spans="1:14">
      <c r="A134" s="26">
        <v>127</v>
      </c>
      <c r="B134" s="27"/>
      <c r="C134" s="31"/>
      <c r="D134" s="31"/>
      <c r="E134" s="39"/>
      <c r="F134" s="27"/>
      <c r="G134" s="27"/>
      <c r="H134" s="27"/>
      <c r="I134" s="25"/>
      <c r="J134" s="27"/>
      <c r="K134" s="27"/>
      <c r="L134" s="91" t="str">
        <f>IF( Tarakonesh[[#This Row],[تراکنش]]="", "",IF( Tarakonesh[[#This Row],[تراکنش]]="انتقال",L133,IF(Tarakonesh[[#This Row],[تراکنش]]="دریافت_درآمد",(Tarakonesh[[#This Row],[مبلغ (ریال)]]+IF(Tarakonesh[[#This Row],[تراکنش]]="انتقال",0,L133)),((IF(Tarakonesh[[#This Row],[تراکنش]]="انتقال",0,L133))-Tarakonesh[[#This Row],[مبلغ (ریال)]]))))</f>
        <v/>
      </c>
      <c r="M134" s="31"/>
      <c r="N134" s="31"/>
    </row>
    <row r="135" spans="1:14">
      <c r="A135" s="26">
        <v>128</v>
      </c>
      <c r="B135" s="27"/>
      <c r="C135" s="31"/>
      <c r="D135" s="31"/>
      <c r="E135" s="39"/>
      <c r="F135" s="27"/>
      <c r="G135" s="27"/>
      <c r="H135" s="27"/>
      <c r="I135" s="25"/>
      <c r="J135" s="27"/>
      <c r="K135" s="27"/>
      <c r="L135" s="91" t="str">
        <f>IF( Tarakonesh[[#This Row],[تراکنش]]="", "",IF( Tarakonesh[[#This Row],[تراکنش]]="انتقال",L134,IF(Tarakonesh[[#This Row],[تراکنش]]="دریافت_درآمد",(Tarakonesh[[#This Row],[مبلغ (ریال)]]+IF(Tarakonesh[[#This Row],[تراکنش]]="انتقال",0,L134)),((IF(Tarakonesh[[#This Row],[تراکنش]]="انتقال",0,L134))-Tarakonesh[[#This Row],[مبلغ (ریال)]]))))</f>
        <v/>
      </c>
      <c r="M135" s="31"/>
      <c r="N135" s="31"/>
    </row>
    <row r="136" spans="1:14">
      <c r="A136" s="26">
        <v>129</v>
      </c>
      <c r="B136" s="27"/>
      <c r="C136" s="31"/>
      <c r="D136" s="31"/>
      <c r="E136" s="39"/>
      <c r="F136" s="27"/>
      <c r="G136" s="27"/>
      <c r="H136" s="27"/>
      <c r="I136" s="25"/>
      <c r="J136" s="27"/>
      <c r="K136" s="27"/>
      <c r="L136" s="91" t="str">
        <f>IF( Tarakonesh[[#This Row],[تراکنش]]="", "",IF( Tarakonesh[[#This Row],[تراکنش]]="انتقال",L135,IF(Tarakonesh[[#This Row],[تراکنش]]="دریافت_درآمد",(Tarakonesh[[#This Row],[مبلغ (ریال)]]+IF(Tarakonesh[[#This Row],[تراکنش]]="انتقال",0,L135)),((IF(Tarakonesh[[#This Row],[تراکنش]]="انتقال",0,L135))-Tarakonesh[[#This Row],[مبلغ (ریال)]]))))</f>
        <v/>
      </c>
      <c r="M136" s="31"/>
      <c r="N136" s="31"/>
    </row>
    <row r="137" spans="1:14">
      <c r="A137" s="26">
        <v>130</v>
      </c>
      <c r="B137" s="27"/>
      <c r="C137" s="31"/>
      <c r="D137" s="31"/>
      <c r="E137" s="39"/>
      <c r="F137" s="27"/>
      <c r="G137" s="27"/>
      <c r="H137" s="27"/>
      <c r="I137" s="25"/>
      <c r="J137" s="27"/>
      <c r="K137" s="27"/>
      <c r="L137" s="91" t="str">
        <f>IF( Tarakonesh[[#This Row],[تراکنش]]="", "",IF( Tarakonesh[[#This Row],[تراکنش]]="انتقال",L136,IF(Tarakonesh[[#This Row],[تراکنش]]="دریافت_درآمد",(Tarakonesh[[#This Row],[مبلغ (ریال)]]+IF(Tarakonesh[[#This Row],[تراکنش]]="انتقال",0,L136)),((IF(Tarakonesh[[#This Row],[تراکنش]]="انتقال",0,L136))-Tarakonesh[[#This Row],[مبلغ (ریال)]]))))</f>
        <v/>
      </c>
      <c r="M137" s="31"/>
      <c r="N137" s="31"/>
    </row>
    <row r="138" spans="1:14">
      <c r="A138" s="26">
        <v>131</v>
      </c>
      <c r="B138" s="27"/>
      <c r="C138" s="31"/>
      <c r="D138" s="31"/>
      <c r="E138" s="39"/>
      <c r="F138" s="27"/>
      <c r="G138" s="27"/>
      <c r="H138" s="27"/>
      <c r="I138" s="25"/>
      <c r="J138" s="27"/>
      <c r="K138" s="27"/>
      <c r="L138" s="91" t="str">
        <f>IF( Tarakonesh[[#This Row],[تراکنش]]="", "",IF( Tarakonesh[[#This Row],[تراکنش]]="انتقال",L137,IF(Tarakonesh[[#This Row],[تراکنش]]="دریافت_درآمد",(Tarakonesh[[#This Row],[مبلغ (ریال)]]+IF(Tarakonesh[[#This Row],[تراکنش]]="انتقال",0,L137)),((IF(Tarakonesh[[#This Row],[تراکنش]]="انتقال",0,L137))-Tarakonesh[[#This Row],[مبلغ (ریال)]]))))</f>
        <v/>
      </c>
      <c r="M138" s="31"/>
      <c r="N138" s="31"/>
    </row>
    <row r="139" spans="1:14">
      <c r="A139" s="26">
        <v>132</v>
      </c>
      <c r="B139" s="27"/>
      <c r="C139" s="31"/>
      <c r="D139" s="31"/>
      <c r="E139" s="39"/>
      <c r="F139" s="27"/>
      <c r="G139" s="27"/>
      <c r="H139" s="27"/>
      <c r="I139" s="25"/>
      <c r="J139" s="27"/>
      <c r="K139" s="27"/>
      <c r="L139" s="91" t="str">
        <f>IF( Tarakonesh[[#This Row],[تراکنش]]="", "",IF( Tarakonesh[[#This Row],[تراکنش]]="انتقال",L138,IF(Tarakonesh[[#This Row],[تراکنش]]="دریافت_درآمد",(Tarakonesh[[#This Row],[مبلغ (ریال)]]+IF(Tarakonesh[[#This Row],[تراکنش]]="انتقال",0,L138)),((IF(Tarakonesh[[#This Row],[تراکنش]]="انتقال",0,L138))-Tarakonesh[[#This Row],[مبلغ (ریال)]]))))</f>
        <v/>
      </c>
      <c r="M139" s="31"/>
      <c r="N139" s="31"/>
    </row>
    <row r="140" spans="1:14">
      <c r="A140" s="26">
        <v>133</v>
      </c>
      <c r="B140" s="27"/>
      <c r="C140" s="31"/>
      <c r="D140" s="31"/>
      <c r="E140" s="39"/>
      <c r="F140" s="27"/>
      <c r="G140" s="27"/>
      <c r="H140" s="27"/>
      <c r="I140" s="25"/>
      <c r="J140" s="27"/>
      <c r="K140" s="27"/>
      <c r="L140" s="91" t="str">
        <f>IF( Tarakonesh[[#This Row],[تراکنش]]="", "",IF( Tarakonesh[[#This Row],[تراکنش]]="انتقال",L139,IF(Tarakonesh[[#This Row],[تراکنش]]="دریافت_درآمد",(Tarakonesh[[#This Row],[مبلغ (ریال)]]+IF(Tarakonesh[[#This Row],[تراکنش]]="انتقال",0,L139)),((IF(Tarakonesh[[#This Row],[تراکنش]]="انتقال",0,L139))-Tarakonesh[[#This Row],[مبلغ (ریال)]]))))</f>
        <v/>
      </c>
      <c r="M140" s="31"/>
      <c r="N140" s="31"/>
    </row>
    <row r="141" spans="1:14">
      <c r="A141" s="26">
        <v>134</v>
      </c>
      <c r="B141" s="27"/>
      <c r="C141" s="31"/>
      <c r="D141" s="31"/>
      <c r="E141" s="39"/>
      <c r="F141" s="27"/>
      <c r="G141" s="27"/>
      <c r="H141" s="27"/>
      <c r="I141" s="25"/>
      <c r="J141" s="27"/>
      <c r="K141" s="27"/>
      <c r="L141" s="91" t="str">
        <f>IF( Tarakonesh[[#This Row],[تراکنش]]="", "",IF( Tarakonesh[[#This Row],[تراکنش]]="انتقال",L140,IF(Tarakonesh[[#This Row],[تراکنش]]="دریافت_درآمد",(Tarakonesh[[#This Row],[مبلغ (ریال)]]+IF(Tarakonesh[[#This Row],[تراکنش]]="انتقال",0,L140)),((IF(Tarakonesh[[#This Row],[تراکنش]]="انتقال",0,L140))-Tarakonesh[[#This Row],[مبلغ (ریال)]]))))</f>
        <v/>
      </c>
      <c r="M141" s="31"/>
      <c r="N141" s="31"/>
    </row>
    <row r="142" spans="1:14">
      <c r="A142" s="26">
        <v>135</v>
      </c>
      <c r="B142" s="27"/>
      <c r="C142" s="31"/>
      <c r="D142" s="31"/>
      <c r="E142" s="39"/>
      <c r="F142" s="27"/>
      <c r="G142" s="27"/>
      <c r="H142" s="27"/>
      <c r="I142" s="25"/>
      <c r="J142" s="27"/>
      <c r="K142" s="27"/>
      <c r="L142" s="91" t="str">
        <f>IF( Tarakonesh[[#This Row],[تراکنش]]="", "",IF( Tarakonesh[[#This Row],[تراکنش]]="انتقال",L141,IF(Tarakonesh[[#This Row],[تراکنش]]="دریافت_درآمد",(Tarakonesh[[#This Row],[مبلغ (ریال)]]+IF(Tarakonesh[[#This Row],[تراکنش]]="انتقال",0,L141)),((IF(Tarakonesh[[#This Row],[تراکنش]]="انتقال",0,L141))-Tarakonesh[[#This Row],[مبلغ (ریال)]]))))</f>
        <v/>
      </c>
      <c r="M142" s="31"/>
      <c r="N142" s="31"/>
    </row>
    <row r="143" spans="1:14">
      <c r="A143" s="26">
        <v>136</v>
      </c>
      <c r="B143" s="27"/>
      <c r="C143" s="31"/>
      <c r="D143" s="31"/>
      <c r="E143" s="39"/>
      <c r="F143" s="27"/>
      <c r="G143" s="27"/>
      <c r="H143" s="27"/>
      <c r="I143" s="25"/>
      <c r="J143" s="27"/>
      <c r="K143" s="27"/>
      <c r="L143" s="91" t="str">
        <f>IF( Tarakonesh[[#This Row],[تراکنش]]="", "",IF( Tarakonesh[[#This Row],[تراکنش]]="انتقال",L142,IF(Tarakonesh[[#This Row],[تراکنش]]="دریافت_درآمد",(Tarakonesh[[#This Row],[مبلغ (ریال)]]+IF(Tarakonesh[[#This Row],[تراکنش]]="انتقال",0,L142)),((IF(Tarakonesh[[#This Row],[تراکنش]]="انتقال",0,L142))-Tarakonesh[[#This Row],[مبلغ (ریال)]]))))</f>
        <v/>
      </c>
      <c r="M143" s="31"/>
      <c r="N143" s="31"/>
    </row>
    <row r="144" spans="1:14">
      <c r="A144" s="26">
        <v>137</v>
      </c>
      <c r="B144" s="27"/>
      <c r="C144" s="31"/>
      <c r="D144" s="31"/>
      <c r="E144" s="39"/>
      <c r="F144" s="27"/>
      <c r="G144" s="27"/>
      <c r="H144" s="27"/>
      <c r="I144" s="25"/>
      <c r="J144" s="27"/>
      <c r="K144" s="27"/>
      <c r="L144" s="91" t="str">
        <f>IF( Tarakonesh[[#This Row],[تراکنش]]="", "",IF( Tarakonesh[[#This Row],[تراکنش]]="انتقال",L143,IF(Tarakonesh[[#This Row],[تراکنش]]="دریافت_درآمد",(Tarakonesh[[#This Row],[مبلغ (ریال)]]+IF(Tarakonesh[[#This Row],[تراکنش]]="انتقال",0,L143)),((IF(Tarakonesh[[#This Row],[تراکنش]]="انتقال",0,L143))-Tarakonesh[[#This Row],[مبلغ (ریال)]]))))</f>
        <v/>
      </c>
      <c r="M144" s="31"/>
      <c r="N144" s="31"/>
    </row>
    <row r="145" spans="1:14">
      <c r="A145" s="26">
        <v>138</v>
      </c>
      <c r="B145" s="27"/>
      <c r="C145" s="31"/>
      <c r="D145" s="31"/>
      <c r="E145" s="39"/>
      <c r="F145" s="27"/>
      <c r="G145" s="27"/>
      <c r="H145" s="27"/>
      <c r="I145" s="25"/>
      <c r="J145" s="27"/>
      <c r="K145" s="27"/>
      <c r="L145" s="91" t="str">
        <f>IF( Tarakonesh[[#This Row],[تراکنش]]="", "",IF( Tarakonesh[[#This Row],[تراکنش]]="انتقال",L144,IF(Tarakonesh[[#This Row],[تراکنش]]="دریافت_درآمد",(Tarakonesh[[#This Row],[مبلغ (ریال)]]+IF(Tarakonesh[[#This Row],[تراکنش]]="انتقال",0,L144)),((IF(Tarakonesh[[#This Row],[تراکنش]]="انتقال",0,L144))-Tarakonesh[[#This Row],[مبلغ (ریال)]]))))</f>
        <v/>
      </c>
      <c r="M145" s="31"/>
      <c r="N145" s="31"/>
    </row>
    <row r="146" spans="1:14">
      <c r="A146" s="26">
        <v>139</v>
      </c>
      <c r="B146" s="27"/>
      <c r="C146" s="31"/>
      <c r="D146" s="31"/>
      <c r="E146" s="39"/>
      <c r="F146" s="27"/>
      <c r="G146" s="27"/>
      <c r="H146" s="27"/>
      <c r="I146" s="25"/>
      <c r="J146" s="27"/>
      <c r="K146" s="27"/>
      <c r="L146" s="91" t="str">
        <f>IF( Tarakonesh[[#This Row],[تراکنش]]="", "",IF( Tarakonesh[[#This Row],[تراکنش]]="انتقال",L145,IF(Tarakonesh[[#This Row],[تراکنش]]="دریافت_درآمد",(Tarakonesh[[#This Row],[مبلغ (ریال)]]+IF(Tarakonesh[[#This Row],[تراکنش]]="انتقال",0,L145)),((IF(Tarakonesh[[#This Row],[تراکنش]]="انتقال",0,L145))-Tarakonesh[[#This Row],[مبلغ (ریال)]]))))</f>
        <v/>
      </c>
      <c r="M146" s="31"/>
      <c r="N146" s="31"/>
    </row>
    <row r="147" spans="1:14">
      <c r="A147" s="26">
        <v>140</v>
      </c>
      <c r="B147" s="27"/>
      <c r="C147" s="31"/>
      <c r="D147" s="31"/>
      <c r="E147" s="39"/>
      <c r="F147" s="27"/>
      <c r="G147" s="27"/>
      <c r="H147" s="27"/>
      <c r="I147" s="25"/>
      <c r="J147" s="27"/>
      <c r="K147" s="27"/>
      <c r="L147" s="91" t="str">
        <f>IF( Tarakonesh[[#This Row],[تراکنش]]="", "",IF( Tarakonesh[[#This Row],[تراکنش]]="انتقال",L146,IF(Tarakonesh[[#This Row],[تراکنش]]="دریافت_درآمد",(Tarakonesh[[#This Row],[مبلغ (ریال)]]+IF(Tarakonesh[[#This Row],[تراکنش]]="انتقال",0,L146)),((IF(Tarakonesh[[#This Row],[تراکنش]]="انتقال",0,L146))-Tarakonesh[[#This Row],[مبلغ (ریال)]]))))</f>
        <v/>
      </c>
      <c r="M147" s="31"/>
      <c r="N147" s="31"/>
    </row>
    <row r="148" spans="1:14">
      <c r="A148" s="26">
        <v>141</v>
      </c>
      <c r="B148" s="27"/>
      <c r="C148" s="31"/>
      <c r="D148" s="31"/>
      <c r="E148" s="39"/>
      <c r="F148" s="27"/>
      <c r="G148" s="27"/>
      <c r="H148" s="27"/>
      <c r="I148" s="25"/>
      <c r="J148" s="27"/>
      <c r="K148" s="27"/>
      <c r="L148" s="91" t="str">
        <f>IF( Tarakonesh[[#This Row],[تراکنش]]="", "",IF( Tarakonesh[[#This Row],[تراکنش]]="انتقال",L147,IF(Tarakonesh[[#This Row],[تراکنش]]="دریافت_درآمد",(Tarakonesh[[#This Row],[مبلغ (ریال)]]+IF(Tarakonesh[[#This Row],[تراکنش]]="انتقال",0,L147)),((IF(Tarakonesh[[#This Row],[تراکنش]]="انتقال",0,L147))-Tarakonesh[[#This Row],[مبلغ (ریال)]]))))</f>
        <v/>
      </c>
      <c r="M148" s="31"/>
      <c r="N148" s="31"/>
    </row>
    <row r="149" spans="1:14">
      <c r="A149" s="26">
        <v>142</v>
      </c>
      <c r="B149" s="27"/>
      <c r="C149" s="31"/>
      <c r="D149" s="31"/>
      <c r="E149" s="39"/>
      <c r="F149" s="27"/>
      <c r="G149" s="27"/>
      <c r="H149" s="27"/>
      <c r="I149" s="25"/>
      <c r="J149" s="27"/>
      <c r="K149" s="27"/>
      <c r="L149" s="91" t="str">
        <f>IF( Tarakonesh[[#This Row],[تراکنش]]="", "",IF( Tarakonesh[[#This Row],[تراکنش]]="انتقال",L148,IF(Tarakonesh[[#This Row],[تراکنش]]="دریافت_درآمد",(Tarakonesh[[#This Row],[مبلغ (ریال)]]+IF(Tarakonesh[[#This Row],[تراکنش]]="انتقال",0,L148)),((IF(Tarakonesh[[#This Row],[تراکنش]]="انتقال",0,L148))-Tarakonesh[[#This Row],[مبلغ (ریال)]]))))</f>
        <v/>
      </c>
      <c r="M149" s="31"/>
      <c r="N149" s="31"/>
    </row>
    <row r="150" spans="1:14">
      <c r="A150" s="26">
        <v>143</v>
      </c>
      <c r="B150" s="27"/>
      <c r="C150" s="31"/>
      <c r="D150" s="31"/>
      <c r="E150" s="39"/>
      <c r="F150" s="27"/>
      <c r="G150" s="27"/>
      <c r="H150" s="27"/>
      <c r="I150" s="25"/>
      <c r="J150" s="27"/>
      <c r="K150" s="27"/>
      <c r="L150" s="91" t="str">
        <f>IF( Tarakonesh[[#This Row],[تراکنش]]="", "",IF( Tarakonesh[[#This Row],[تراکنش]]="انتقال",L149,IF(Tarakonesh[[#This Row],[تراکنش]]="دریافت_درآمد",(Tarakonesh[[#This Row],[مبلغ (ریال)]]+IF(Tarakonesh[[#This Row],[تراکنش]]="انتقال",0,L149)),((IF(Tarakonesh[[#This Row],[تراکنش]]="انتقال",0,L149))-Tarakonesh[[#This Row],[مبلغ (ریال)]]))))</f>
        <v/>
      </c>
      <c r="M150" s="31"/>
      <c r="N150" s="31"/>
    </row>
    <row r="151" spans="1:14">
      <c r="A151" s="26">
        <v>144</v>
      </c>
      <c r="B151" s="27"/>
      <c r="C151" s="31"/>
      <c r="D151" s="31"/>
      <c r="E151" s="39"/>
      <c r="F151" s="27"/>
      <c r="G151" s="27"/>
      <c r="H151" s="27"/>
      <c r="I151" s="25"/>
      <c r="J151" s="27"/>
      <c r="K151" s="27"/>
      <c r="L151" s="91" t="str">
        <f>IF( Tarakonesh[[#This Row],[تراکنش]]="", "",IF( Tarakonesh[[#This Row],[تراکنش]]="انتقال",L150,IF(Tarakonesh[[#This Row],[تراکنش]]="دریافت_درآمد",(Tarakonesh[[#This Row],[مبلغ (ریال)]]+IF(Tarakonesh[[#This Row],[تراکنش]]="انتقال",0,L150)),((IF(Tarakonesh[[#This Row],[تراکنش]]="انتقال",0,L150))-Tarakonesh[[#This Row],[مبلغ (ریال)]]))))</f>
        <v/>
      </c>
      <c r="M151" s="31"/>
      <c r="N151" s="31"/>
    </row>
    <row r="152" spans="1:14">
      <c r="A152" s="26">
        <v>145</v>
      </c>
      <c r="B152" s="27"/>
      <c r="C152" s="31"/>
      <c r="D152" s="31"/>
      <c r="E152" s="39"/>
      <c r="F152" s="27"/>
      <c r="G152" s="27"/>
      <c r="H152" s="27"/>
      <c r="I152" s="25"/>
      <c r="J152" s="27"/>
      <c r="K152" s="27"/>
      <c r="L152" s="91" t="str">
        <f>IF( Tarakonesh[[#This Row],[تراکنش]]="", "",IF( Tarakonesh[[#This Row],[تراکنش]]="انتقال",L151,IF(Tarakonesh[[#This Row],[تراکنش]]="دریافت_درآمد",(Tarakonesh[[#This Row],[مبلغ (ریال)]]+IF(Tarakonesh[[#This Row],[تراکنش]]="انتقال",0,L151)),((IF(Tarakonesh[[#This Row],[تراکنش]]="انتقال",0,L151))-Tarakonesh[[#This Row],[مبلغ (ریال)]]))))</f>
        <v/>
      </c>
      <c r="M152" s="31"/>
      <c r="N152" s="31"/>
    </row>
    <row r="153" spans="1:14">
      <c r="A153" s="26">
        <v>146</v>
      </c>
      <c r="B153" s="27"/>
      <c r="C153" s="31"/>
      <c r="D153" s="31"/>
      <c r="E153" s="39"/>
      <c r="F153" s="27"/>
      <c r="G153" s="27"/>
      <c r="H153" s="27"/>
      <c r="I153" s="25"/>
      <c r="J153" s="27"/>
      <c r="K153" s="27"/>
      <c r="L153" s="91" t="str">
        <f>IF( Tarakonesh[[#This Row],[تراکنش]]="", "",IF( Tarakonesh[[#This Row],[تراکنش]]="انتقال",L152,IF(Tarakonesh[[#This Row],[تراکنش]]="دریافت_درآمد",(Tarakonesh[[#This Row],[مبلغ (ریال)]]+IF(Tarakonesh[[#This Row],[تراکنش]]="انتقال",0,L152)),((IF(Tarakonesh[[#This Row],[تراکنش]]="انتقال",0,L152))-Tarakonesh[[#This Row],[مبلغ (ریال)]]))))</f>
        <v/>
      </c>
      <c r="M153" s="31"/>
      <c r="N153" s="31"/>
    </row>
    <row r="154" spans="1:14">
      <c r="A154" s="26">
        <v>147</v>
      </c>
      <c r="B154" s="27"/>
      <c r="C154" s="31"/>
      <c r="D154" s="31"/>
      <c r="E154" s="39"/>
      <c r="F154" s="27"/>
      <c r="G154" s="27"/>
      <c r="H154" s="27"/>
      <c r="I154" s="25"/>
      <c r="J154" s="27"/>
      <c r="K154" s="27"/>
      <c r="L154" s="91" t="str">
        <f>IF( Tarakonesh[[#This Row],[تراکنش]]="", "",IF( Tarakonesh[[#This Row],[تراکنش]]="انتقال",L153,IF(Tarakonesh[[#This Row],[تراکنش]]="دریافت_درآمد",(Tarakonesh[[#This Row],[مبلغ (ریال)]]+IF(Tarakonesh[[#This Row],[تراکنش]]="انتقال",0,L153)),((IF(Tarakonesh[[#This Row],[تراکنش]]="انتقال",0,L153))-Tarakonesh[[#This Row],[مبلغ (ریال)]]))))</f>
        <v/>
      </c>
      <c r="M154" s="31"/>
      <c r="N154" s="31"/>
    </row>
    <row r="155" spans="1:14">
      <c r="A155" s="26">
        <v>148</v>
      </c>
      <c r="B155" s="27"/>
      <c r="C155" s="31"/>
      <c r="D155" s="31"/>
      <c r="E155" s="39"/>
      <c r="F155" s="27"/>
      <c r="G155" s="27"/>
      <c r="H155" s="27"/>
      <c r="I155" s="25"/>
      <c r="J155" s="27"/>
      <c r="K155" s="27"/>
      <c r="L155" s="91" t="str">
        <f>IF( Tarakonesh[[#This Row],[تراکنش]]="", "",IF( Tarakonesh[[#This Row],[تراکنش]]="انتقال",L154,IF(Tarakonesh[[#This Row],[تراکنش]]="دریافت_درآمد",(Tarakonesh[[#This Row],[مبلغ (ریال)]]+IF(Tarakonesh[[#This Row],[تراکنش]]="انتقال",0,L154)),((IF(Tarakonesh[[#This Row],[تراکنش]]="انتقال",0,L154))-Tarakonesh[[#This Row],[مبلغ (ریال)]]))))</f>
        <v/>
      </c>
      <c r="M155" s="31"/>
      <c r="N155" s="31"/>
    </row>
    <row r="156" spans="1:14">
      <c r="A156" s="26">
        <v>149</v>
      </c>
      <c r="B156" s="27"/>
      <c r="C156" s="31"/>
      <c r="D156" s="31"/>
      <c r="E156" s="39"/>
      <c r="F156" s="27"/>
      <c r="G156" s="27"/>
      <c r="H156" s="27"/>
      <c r="I156" s="25"/>
      <c r="J156" s="27"/>
      <c r="K156" s="27"/>
      <c r="L156" s="91" t="str">
        <f>IF( Tarakonesh[[#This Row],[تراکنش]]="", "",IF( Tarakonesh[[#This Row],[تراکنش]]="انتقال",L155,IF(Tarakonesh[[#This Row],[تراکنش]]="دریافت_درآمد",(Tarakonesh[[#This Row],[مبلغ (ریال)]]+IF(Tarakonesh[[#This Row],[تراکنش]]="انتقال",0,L155)),((IF(Tarakonesh[[#This Row],[تراکنش]]="انتقال",0,L155))-Tarakonesh[[#This Row],[مبلغ (ریال)]]))))</f>
        <v/>
      </c>
      <c r="M156" s="31"/>
      <c r="N156" s="31"/>
    </row>
    <row r="157" spans="1:14">
      <c r="A157" s="26">
        <v>150</v>
      </c>
      <c r="B157" s="27"/>
      <c r="C157" s="31"/>
      <c r="D157" s="31"/>
      <c r="E157" s="39"/>
      <c r="F157" s="27"/>
      <c r="G157" s="27"/>
      <c r="H157" s="27"/>
      <c r="I157" s="25"/>
      <c r="J157" s="27"/>
      <c r="K157" s="27"/>
      <c r="L157" s="91" t="str">
        <f>IF( Tarakonesh[[#This Row],[تراکنش]]="", "",IF( Tarakonesh[[#This Row],[تراکنش]]="انتقال",L156,IF(Tarakonesh[[#This Row],[تراکنش]]="دریافت_درآمد",(Tarakonesh[[#This Row],[مبلغ (ریال)]]+IF(Tarakonesh[[#This Row],[تراکنش]]="انتقال",0,L156)),((IF(Tarakonesh[[#This Row],[تراکنش]]="انتقال",0,L156))-Tarakonesh[[#This Row],[مبلغ (ریال)]]))))</f>
        <v/>
      </c>
      <c r="M157" s="31"/>
      <c r="N157" s="31"/>
    </row>
    <row r="158" spans="1:14">
      <c r="A158" s="26">
        <v>151</v>
      </c>
      <c r="B158" s="27"/>
      <c r="C158" s="31"/>
      <c r="D158" s="31"/>
      <c r="E158" s="39"/>
      <c r="F158" s="27"/>
      <c r="G158" s="27"/>
      <c r="H158" s="27"/>
      <c r="I158" s="25"/>
      <c r="J158" s="27"/>
      <c r="K158" s="27"/>
      <c r="L158" s="91" t="str">
        <f>IF( Tarakonesh[[#This Row],[تراکنش]]="", "",IF( Tarakonesh[[#This Row],[تراکنش]]="انتقال",L157,IF(Tarakonesh[[#This Row],[تراکنش]]="دریافت_درآمد",(Tarakonesh[[#This Row],[مبلغ (ریال)]]+IF(Tarakonesh[[#This Row],[تراکنش]]="انتقال",0,L157)),((IF(Tarakonesh[[#This Row],[تراکنش]]="انتقال",0,L157))-Tarakonesh[[#This Row],[مبلغ (ریال)]]))))</f>
        <v/>
      </c>
      <c r="M158" s="31"/>
      <c r="N158" s="31"/>
    </row>
    <row r="159" spans="1:14">
      <c r="A159" s="26">
        <v>152</v>
      </c>
      <c r="B159" s="27"/>
      <c r="C159" s="31"/>
      <c r="D159" s="31"/>
      <c r="E159" s="39"/>
      <c r="F159" s="27"/>
      <c r="G159" s="27"/>
      <c r="H159" s="27"/>
      <c r="I159" s="25"/>
      <c r="J159" s="27"/>
      <c r="K159" s="27"/>
      <c r="L159" s="91" t="str">
        <f>IF( Tarakonesh[[#This Row],[تراکنش]]="", "",IF( Tarakonesh[[#This Row],[تراکنش]]="انتقال",L158,IF(Tarakonesh[[#This Row],[تراکنش]]="دریافت_درآمد",(Tarakonesh[[#This Row],[مبلغ (ریال)]]+IF(Tarakonesh[[#This Row],[تراکنش]]="انتقال",0,L158)),((IF(Tarakonesh[[#This Row],[تراکنش]]="انتقال",0,L158))-Tarakonesh[[#This Row],[مبلغ (ریال)]]))))</f>
        <v/>
      </c>
      <c r="M159" s="31"/>
      <c r="N159" s="31"/>
    </row>
    <row r="160" spans="1:14">
      <c r="A160" s="26">
        <v>153</v>
      </c>
      <c r="B160" s="27"/>
      <c r="C160" s="31"/>
      <c r="D160" s="31"/>
      <c r="E160" s="39"/>
      <c r="F160" s="27"/>
      <c r="G160" s="27"/>
      <c r="H160" s="27"/>
      <c r="I160" s="25"/>
      <c r="J160" s="27"/>
      <c r="K160" s="27"/>
      <c r="L160" s="91" t="str">
        <f>IF( Tarakonesh[[#This Row],[تراکنش]]="", "",IF( Tarakonesh[[#This Row],[تراکنش]]="انتقال",L159,IF(Tarakonesh[[#This Row],[تراکنش]]="دریافت_درآمد",(Tarakonesh[[#This Row],[مبلغ (ریال)]]+IF(Tarakonesh[[#This Row],[تراکنش]]="انتقال",0,L159)),((IF(Tarakonesh[[#This Row],[تراکنش]]="انتقال",0,L159))-Tarakonesh[[#This Row],[مبلغ (ریال)]]))))</f>
        <v/>
      </c>
      <c r="M160" s="31"/>
      <c r="N160" s="31"/>
    </row>
    <row r="161" spans="1:14">
      <c r="A161" s="26">
        <v>154</v>
      </c>
      <c r="B161" s="27"/>
      <c r="C161" s="31"/>
      <c r="D161" s="31"/>
      <c r="E161" s="39"/>
      <c r="F161" s="27"/>
      <c r="G161" s="27"/>
      <c r="H161" s="27"/>
      <c r="I161" s="25"/>
      <c r="J161" s="27"/>
      <c r="K161" s="27"/>
      <c r="L161" s="91" t="str">
        <f>IF( Tarakonesh[[#This Row],[تراکنش]]="", "",IF( Tarakonesh[[#This Row],[تراکنش]]="انتقال",L160,IF(Tarakonesh[[#This Row],[تراکنش]]="دریافت_درآمد",(Tarakonesh[[#This Row],[مبلغ (ریال)]]+IF(Tarakonesh[[#This Row],[تراکنش]]="انتقال",0,L160)),((IF(Tarakonesh[[#This Row],[تراکنش]]="انتقال",0,L160))-Tarakonesh[[#This Row],[مبلغ (ریال)]]))))</f>
        <v/>
      </c>
      <c r="M161" s="31"/>
      <c r="N161" s="31"/>
    </row>
    <row r="162" spans="1:14">
      <c r="A162" s="26">
        <v>155</v>
      </c>
      <c r="B162" s="27"/>
      <c r="C162" s="31"/>
      <c r="D162" s="31"/>
      <c r="E162" s="39"/>
      <c r="F162" s="27"/>
      <c r="G162" s="27"/>
      <c r="H162" s="27"/>
      <c r="I162" s="25"/>
      <c r="J162" s="27"/>
      <c r="K162" s="27"/>
      <c r="L162" s="91" t="str">
        <f>IF( Tarakonesh[[#This Row],[تراکنش]]="", "",IF( Tarakonesh[[#This Row],[تراکنش]]="انتقال",L161,IF(Tarakonesh[[#This Row],[تراکنش]]="دریافت_درآمد",(Tarakonesh[[#This Row],[مبلغ (ریال)]]+IF(Tarakonesh[[#This Row],[تراکنش]]="انتقال",0,L161)),((IF(Tarakonesh[[#This Row],[تراکنش]]="انتقال",0,L161))-Tarakonesh[[#This Row],[مبلغ (ریال)]]))))</f>
        <v/>
      </c>
      <c r="M162" s="31"/>
      <c r="N162" s="31"/>
    </row>
    <row r="163" spans="1:14">
      <c r="A163" s="26">
        <v>156</v>
      </c>
      <c r="B163" s="27"/>
      <c r="C163" s="31"/>
      <c r="D163" s="31"/>
      <c r="E163" s="39"/>
      <c r="F163" s="27"/>
      <c r="G163" s="27"/>
      <c r="H163" s="27"/>
      <c r="I163" s="25"/>
      <c r="J163" s="27"/>
      <c r="K163" s="27"/>
      <c r="L163" s="91" t="str">
        <f>IF( Tarakonesh[[#This Row],[تراکنش]]="", "",IF( Tarakonesh[[#This Row],[تراکنش]]="انتقال",L162,IF(Tarakonesh[[#This Row],[تراکنش]]="دریافت_درآمد",(Tarakonesh[[#This Row],[مبلغ (ریال)]]+IF(Tarakonesh[[#This Row],[تراکنش]]="انتقال",0,L162)),((IF(Tarakonesh[[#This Row],[تراکنش]]="انتقال",0,L162))-Tarakonesh[[#This Row],[مبلغ (ریال)]]))))</f>
        <v/>
      </c>
      <c r="M163" s="31"/>
      <c r="N163" s="31"/>
    </row>
    <row r="164" spans="1:14">
      <c r="A164" s="26">
        <v>157</v>
      </c>
      <c r="B164" s="27"/>
      <c r="C164" s="31"/>
      <c r="D164" s="31"/>
      <c r="E164" s="39"/>
      <c r="F164" s="27"/>
      <c r="G164" s="27"/>
      <c r="H164" s="27"/>
      <c r="I164" s="25"/>
      <c r="J164" s="27"/>
      <c r="K164" s="27"/>
      <c r="L164" s="91" t="str">
        <f>IF( Tarakonesh[[#This Row],[تراکنش]]="", "",IF( Tarakonesh[[#This Row],[تراکنش]]="انتقال",L163,IF(Tarakonesh[[#This Row],[تراکنش]]="دریافت_درآمد",(Tarakonesh[[#This Row],[مبلغ (ریال)]]+IF(Tarakonesh[[#This Row],[تراکنش]]="انتقال",0,L163)),((IF(Tarakonesh[[#This Row],[تراکنش]]="انتقال",0,L163))-Tarakonesh[[#This Row],[مبلغ (ریال)]]))))</f>
        <v/>
      </c>
      <c r="M164" s="31"/>
      <c r="N164" s="31"/>
    </row>
    <row r="165" spans="1:14">
      <c r="A165" s="26">
        <v>158</v>
      </c>
      <c r="B165" s="27"/>
      <c r="C165" s="31"/>
      <c r="D165" s="31"/>
      <c r="E165" s="39"/>
      <c r="F165" s="27"/>
      <c r="G165" s="27"/>
      <c r="H165" s="27"/>
      <c r="I165" s="25"/>
      <c r="J165" s="27"/>
      <c r="K165" s="27"/>
      <c r="L165" s="91" t="str">
        <f>IF( Tarakonesh[[#This Row],[تراکنش]]="", "",IF( Tarakonesh[[#This Row],[تراکنش]]="انتقال",L164,IF(Tarakonesh[[#This Row],[تراکنش]]="دریافت_درآمد",(Tarakonesh[[#This Row],[مبلغ (ریال)]]+IF(Tarakonesh[[#This Row],[تراکنش]]="انتقال",0,L164)),((IF(Tarakonesh[[#This Row],[تراکنش]]="انتقال",0,L164))-Tarakonesh[[#This Row],[مبلغ (ریال)]]))))</f>
        <v/>
      </c>
      <c r="M165" s="31"/>
      <c r="N165" s="31"/>
    </row>
    <row r="166" spans="1:14">
      <c r="A166" s="26">
        <v>159</v>
      </c>
      <c r="B166" s="27"/>
      <c r="C166" s="31"/>
      <c r="D166" s="31"/>
      <c r="E166" s="39"/>
      <c r="F166" s="27"/>
      <c r="G166" s="27"/>
      <c r="H166" s="27"/>
      <c r="I166" s="25"/>
      <c r="J166" s="27"/>
      <c r="K166" s="27"/>
      <c r="L166" s="91" t="str">
        <f>IF( Tarakonesh[[#This Row],[تراکنش]]="", "",IF( Tarakonesh[[#This Row],[تراکنش]]="انتقال",L165,IF(Tarakonesh[[#This Row],[تراکنش]]="دریافت_درآمد",(Tarakonesh[[#This Row],[مبلغ (ریال)]]+IF(Tarakonesh[[#This Row],[تراکنش]]="انتقال",0,L165)),((IF(Tarakonesh[[#This Row],[تراکنش]]="انتقال",0,L165))-Tarakonesh[[#This Row],[مبلغ (ریال)]]))))</f>
        <v/>
      </c>
      <c r="M166" s="31"/>
      <c r="N166" s="31"/>
    </row>
    <row r="167" spans="1:14">
      <c r="A167" s="26">
        <v>160</v>
      </c>
      <c r="B167" s="27"/>
      <c r="C167" s="31"/>
      <c r="D167" s="31"/>
      <c r="E167" s="39"/>
      <c r="F167" s="27"/>
      <c r="G167" s="27"/>
      <c r="H167" s="27"/>
      <c r="I167" s="25"/>
      <c r="J167" s="27"/>
      <c r="K167" s="27"/>
      <c r="L167" s="91" t="str">
        <f>IF( Tarakonesh[[#This Row],[تراکنش]]="", "",IF( Tarakonesh[[#This Row],[تراکنش]]="انتقال",L166,IF(Tarakonesh[[#This Row],[تراکنش]]="دریافت_درآمد",(Tarakonesh[[#This Row],[مبلغ (ریال)]]+IF(Tarakonesh[[#This Row],[تراکنش]]="انتقال",0,L166)),((IF(Tarakonesh[[#This Row],[تراکنش]]="انتقال",0,L166))-Tarakonesh[[#This Row],[مبلغ (ریال)]]))))</f>
        <v/>
      </c>
      <c r="M167" s="31"/>
      <c r="N167" s="31"/>
    </row>
    <row r="168" spans="1:14">
      <c r="A168" s="26">
        <v>161</v>
      </c>
      <c r="B168" s="27"/>
      <c r="C168" s="31"/>
      <c r="D168" s="31"/>
      <c r="E168" s="39"/>
      <c r="F168" s="27"/>
      <c r="G168" s="27"/>
      <c r="H168" s="27"/>
      <c r="I168" s="25"/>
      <c r="J168" s="27"/>
      <c r="K168" s="27"/>
      <c r="L168" s="91" t="str">
        <f>IF( Tarakonesh[[#This Row],[تراکنش]]="", "",IF( Tarakonesh[[#This Row],[تراکنش]]="انتقال",L167,IF(Tarakonesh[[#This Row],[تراکنش]]="دریافت_درآمد",(Tarakonesh[[#This Row],[مبلغ (ریال)]]+IF(Tarakonesh[[#This Row],[تراکنش]]="انتقال",0,L167)),((IF(Tarakonesh[[#This Row],[تراکنش]]="انتقال",0,L167))-Tarakonesh[[#This Row],[مبلغ (ریال)]]))))</f>
        <v/>
      </c>
      <c r="M168" s="31"/>
      <c r="N168" s="31"/>
    </row>
    <row r="169" spans="1:14">
      <c r="A169" s="26">
        <v>162</v>
      </c>
      <c r="B169" s="27"/>
      <c r="C169" s="31"/>
      <c r="D169" s="31"/>
      <c r="E169" s="39"/>
      <c r="F169" s="27"/>
      <c r="G169" s="27"/>
      <c r="H169" s="27"/>
      <c r="I169" s="25"/>
      <c r="J169" s="27"/>
      <c r="K169" s="27"/>
      <c r="L169" s="91" t="str">
        <f>IF( Tarakonesh[[#This Row],[تراکنش]]="", "",IF( Tarakonesh[[#This Row],[تراکنش]]="انتقال",L168,IF(Tarakonesh[[#This Row],[تراکنش]]="دریافت_درآمد",(Tarakonesh[[#This Row],[مبلغ (ریال)]]+IF(Tarakonesh[[#This Row],[تراکنش]]="انتقال",0,L168)),((IF(Tarakonesh[[#This Row],[تراکنش]]="انتقال",0,L168))-Tarakonesh[[#This Row],[مبلغ (ریال)]]))))</f>
        <v/>
      </c>
      <c r="M169" s="31"/>
      <c r="N169" s="31"/>
    </row>
    <row r="170" spans="1:14">
      <c r="A170" s="26">
        <v>163</v>
      </c>
      <c r="B170" s="27"/>
      <c r="C170" s="31"/>
      <c r="D170" s="31"/>
      <c r="E170" s="39"/>
      <c r="F170" s="27"/>
      <c r="G170" s="27"/>
      <c r="H170" s="27"/>
      <c r="I170" s="25"/>
      <c r="J170" s="27"/>
      <c r="K170" s="27"/>
      <c r="L170" s="91" t="str">
        <f>IF( Tarakonesh[[#This Row],[تراکنش]]="", "",IF( Tarakonesh[[#This Row],[تراکنش]]="انتقال",L169,IF(Tarakonesh[[#This Row],[تراکنش]]="دریافت_درآمد",(Tarakonesh[[#This Row],[مبلغ (ریال)]]+IF(Tarakonesh[[#This Row],[تراکنش]]="انتقال",0,L169)),((IF(Tarakonesh[[#This Row],[تراکنش]]="انتقال",0,L169))-Tarakonesh[[#This Row],[مبلغ (ریال)]]))))</f>
        <v/>
      </c>
      <c r="M170" s="31"/>
      <c r="N170" s="31"/>
    </row>
    <row r="171" spans="1:14">
      <c r="A171" s="26">
        <v>164</v>
      </c>
      <c r="B171" s="27"/>
      <c r="C171" s="31"/>
      <c r="D171" s="31"/>
      <c r="E171" s="39"/>
      <c r="F171" s="27"/>
      <c r="G171" s="27"/>
      <c r="H171" s="27"/>
      <c r="I171" s="25"/>
      <c r="J171" s="27"/>
      <c r="K171" s="27"/>
      <c r="L171" s="91" t="str">
        <f>IF( Tarakonesh[[#This Row],[تراکنش]]="", "",IF( Tarakonesh[[#This Row],[تراکنش]]="انتقال",L170,IF(Tarakonesh[[#This Row],[تراکنش]]="دریافت_درآمد",(Tarakonesh[[#This Row],[مبلغ (ریال)]]+IF(Tarakonesh[[#This Row],[تراکنش]]="انتقال",0,L170)),((IF(Tarakonesh[[#This Row],[تراکنش]]="انتقال",0,L170))-Tarakonesh[[#This Row],[مبلغ (ریال)]]))))</f>
        <v/>
      </c>
      <c r="M171" s="31"/>
      <c r="N171" s="31"/>
    </row>
    <row r="172" spans="1:14">
      <c r="A172" s="26">
        <v>165</v>
      </c>
      <c r="B172" s="27"/>
      <c r="C172" s="31"/>
      <c r="D172" s="31"/>
      <c r="E172" s="39"/>
      <c r="F172" s="27"/>
      <c r="G172" s="27"/>
      <c r="H172" s="27"/>
      <c r="I172" s="25"/>
      <c r="J172" s="27"/>
      <c r="K172" s="27"/>
      <c r="L172" s="91" t="str">
        <f>IF( Tarakonesh[[#This Row],[تراکنش]]="", "",IF( Tarakonesh[[#This Row],[تراکنش]]="انتقال",L171,IF(Tarakonesh[[#This Row],[تراکنش]]="دریافت_درآمد",(Tarakonesh[[#This Row],[مبلغ (ریال)]]+IF(Tarakonesh[[#This Row],[تراکنش]]="انتقال",0,L171)),((IF(Tarakonesh[[#This Row],[تراکنش]]="انتقال",0,L171))-Tarakonesh[[#This Row],[مبلغ (ریال)]]))))</f>
        <v/>
      </c>
      <c r="M172" s="31"/>
      <c r="N172" s="31"/>
    </row>
    <row r="173" spans="1:14">
      <c r="A173" s="26">
        <v>166</v>
      </c>
      <c r="B173" s="27"/>
      <c r="C173" s="31"/>
      <c r="D173" s="31"/>
      <c r="E173" s="39"/>
      <c r="F173" s="27"/>
      <c r="G173" s="27"/>
      <c r="H173" s="27"/>
      <c r="I173" s="25"/>
      <c r="J173" s="27"/>
      <c r="K173" s="27"/>
      <c r="L173" s="91" t="str">
        <f>IF( Tarakonesh[[#This Row],[تراکنش]]="", "",IF( Tarakonesh[[#This Row],[تراکنش]]="انتقال",L172,IF(Tarakonesh[[#This Row],[تراکنش]]="دریافت_درآمد",(Tarakonesh[[#This Row],[مبلغ (ریال)]]+IF(Tarakonesh[[#This Row],[تراکنش]]="انتقال",0,L172)),((IF(Tarakonesh[[#This Row],[تراکنش]]="انتقال",0,L172))-Tarakonesh[[#This Row],[مبلغ (ریال)]]))))</f>
        <v/>
      </c>
      <c r="M173" s="31"/>
      <c r="N173" s="31"/>
    </row>
    <row r="174" spans="1:14">
      <c r="A174" s="26">
        <v>167</v>
      </c>
      <c r="B174" s="27"/>
      <c r="C174" s="31"/>
      <c r="D174" s="31"/>
      <c r="E174" s="39"/>
      <c r="F174" s="27"/>
      <c r="G174" s="27"/>
      <c r="H174" s="27"/>
      <c r="I174" s="25"/>
      <c r="J174" s="27"/>
      <c r="K174" s="27"/>
      <c r="L174" s="91" t="str">
        <f>IF( Tarakonesh[[#This Row],[تراکنش]]="", "",IF( Tarakonesh[[#This Row],[تراکنش]]="انتقال",L173,IF(Tarakonesh[[#This Row],[تراکنش]]="دریافت_درآمد",(Tarakonesh[[#This Row],[مبلغ (ریال)]]+IF(Tarakonesh[[#This Row],[تراکنش]]="انتقال",0,L173)),((IF(Tarakonesh[[#This Row],[تراکنش]]="انتقال",0,L173))-Tarakonesh[[#This Row],[مبلغ (ریال)]]))))</f>
        <v/>
      </c>
      <c r="M174" s="31"/>
      <c r="N174" s="31"/>
    </row>
    <row r="175" spans="1:14">
      <c r="A175" s="26">
        <v>168</v>
      </c>
      <c r="B175" s="27"/>
      <c r="C175" s="31"/>
      <c r="D175" s="31"/>
      <c r="E175" s="39"/>
      <c r="F175" s="27"/>
      <c r="G175" s="27"/>
      <c r="H175" s="27"/>
      <c r="I175" s="25"/>
      <c r="J175" s="27"/>
      <c r="K175" s="27"/>
      <c r="L175" s="91" t="str">
        <f>IF( Tarakonesh[[#This Row],[تراکنش]]="", "",IF( Tarakonesh[[#This Row],[تراکنش]]="انتقال",L174,IF(Tarakonesh[[#This Row],[تراکنش]]="دریافت_درآمد",(Tarakonesh[[#This Row],[مبلغ (ریال)]]+IF(Tarakonesh[[#This Row],[تراکنش]]="انتقال",0,L174)),((IF(Tarakonesh[[#This Row],[تراکنش]]="انتقال",0,L174))-Tarakonesh[[#This Row],[مبلغ (ریال)]]))))</f>
        <v/>
      </c>
      <c r="M175" s="31"/>
      <c r="N175" s="31"/>
    </row>
    <row r="176" spans="1:14">
      <c r="A176" s="26">
        <v>169</v>
      </c>
      <c r="B176" s="27"/>
      <c r="C176" s="31"/>
      <c r="D176" s="31"/>
      <c r="E176" s="39"/>
      <c r="F176" s="27"/>
      <c r="G176" s="27"/>
      <c r="H176" s="27"/>
      <c r="I176" s="25"/>
      <c r="J176" s="27"/>
      <c r="K176" s="27"/>
      <c r="L176" s="91" t="str">
        <f>IF( Tarakonesh[[#This Row],[تراکنش]]="", "",IF( Tarakonesh[[#This Row],[تراکنش]]="انتقال",L175,IF(Tarakonesh[[#This Row],[تراکنش]]="دریافت_درآمد",(Tarakonesh[[#This Row],[مبلغ (ریال)]]+IF(Tarakonesh[[#This Row],[تراکنش]]="انتقال",0,L175)),((IF(Tarakonesh[[#This Row],[تراکنش]]="انتقال",0,L175))-Tarakonesh[[#This Row],[مبلغ (ریال)]]))))</f>
        <v/>
      </c>
      <c r="M176" s="31"/>
      <c r="N176" s="31"/>
    </row>
    <row r="177" spans="1:14">
      <c r="A177" s="26">
        <v>170</v>
      </c>
      <c r="B177" s="27"/>
      <c r="C177" s="31"/>
      <c r="D177" s="31"/>
      <c r="E177" s="39"/>
      <c r="F177" s="27"/>
      <c r="G177" s="27"/>
      <c r="H177" s="27"/>
      <c r="I177" s="25"/>
      <c r="J177" s="27"/>
      <c r="K177" s="27"/>
      <c r="L177" s="91" t="str">
        <f>IF( Tarakonesh[[#This Row],[تراکنش]]="", "",IF( Tarakonesh[[#This Row],[تراکنش]]="انتقال",L176,IF(Tarakonesh[[#This Row],[تراکنش]]="دریافت_درآمد",(Tarakonesh[[#This Row],[مبلغ (ریال)]]+IF(Tarakonesh[[#This Row],[تراکنش]]="انتقال",0,L176)),((IF(Tarakonesh[[#This Row],[تراکنش]]="انتقال",0,L176))-Tarakonesh[[#This Row],[مبلغ (ریال)]]))))</f>
        <v/>
      </c>
      <c r="M177" s="31"/>
      <c r="N177" s="31"/>
    </row>
    <row r="178" spans="1:14">
      <c r="A178" s="26">
        <v>171</v>
      </c>
      <c r="B178" s="27"/>
      <c r="C178" s="31"/>
      <c r="D178" s="31"/>
      <c r="E178" s="39"/>
      <c r="F178" s="27"/>
      <c r="G178" s="27"/>
      <c r="H178" s="27"/>
      <c r="I178" s="25"/>
      <c r="J178" s="27"/>
      <c r="K178" s="27"/>
      <c r="L178" s="91" t="str">
        <f>IF( Tarakonesh[[#This Row],[تراکنش]]="", "",IF( Tarakonesh[[#This Row],[تراکنش]]="انتقال",L177,IF(Tarakonesh[[#This Row],[تراکنش]]="دریافت_درآمد",(Tarakonesh[[#This Row],[مبلغ (ریال)]]+IF(Tarakonesh[[#This Row],[تراکنش]]="انتقال",0,L177)),((IF(Tarakonesh[[#This Row],[تراکنش]]="انتقال",0,L177))-Tarakonesh[[#This Row],[مبلغ (ریال)]]))))</f>
        <v/>
      </c>
      <c r="M178" s="31"/>
      <c r="N178" s="31"/>
    </row>
    <row r="179" spans="1:14">
      <c r="A179" s="26">
        <v>172</v>
      </c>
      <c r="B179" s="27"/>
      <c r="C179" s="31"/>
      <c r="D179" s="31"/>
      <c r="E179" s="39"/>
      <c r="F179" s="27"/>
      <c r="G179" s="27"/>
      <c r="H179" s="27"/>
      <c r="I179" s="25"/>
      <c r="J179" s="27"/>
      <c r="K179" s="27"/>
      <c r="L179" s="91" t="str">
        <f>IF( Tarakonesh[[#This Row],[تراکنش]]="", "",IF( Tarakonesh[[#This Row],[تراکنش]]="انتقال",L178,IF(Tarakonesh[[#This Row],[تراکنش]]="دریافت_درآمد",(Tarakonesh[[#This Row],[مبلغ (ریال)]]+IF(Tarakonesh[[#This Row],[تراکنش]]="انتقال",0,L178)),((IF(Tarakonesh[[#This Row],[تراکنش]]="انتقال",0,L178))-Tarakonesh[[#This Row],[مبلغ (ریال)]]))))</f>
        <v/>
      </c>
      <c r="M179" s="31"/>
      <c r="N179" s="31"/>
    </row>
    <row r="180" spans="1:14">
      <c r="A180" s="26">
        <v>173</v>
      </c>
      <c r="B180" s="27"/>
      <c r="C180" s="31"/>
      <c r="D180" s="31"/>
      <c r="E180" s="39"/>
      <c r="F180" s="27"/>
      <c r="G180" s="27"/>
      <c r="H180" s="27"/>
      <c r="I180" s="25"/>
      <c r="J180" s="27"/>
      <c r="K180" s="27"/>
      <c r="L180" s="91" t="str">
        <f>IF( Tarakonesh[[#This Row],[تراکنش]]="", "",IF( Tarakonesh[[#This Row],[تراکنش]]="انتقال",L179,IF(Tarakonesh[[#This Row],[تراکنش]]="دریافت_درآمد",(Tarakonesh[[#This Row],[مبلغ (ریال)]]+IF(Tarakonesh[[#This Row],[تراکنش]]="انتقال",0,L179)),((IF(Tarakonesh[[#This Row],[تراکنش]]="انتقال",0,L179))-Tarakonesh[[#This Row],[مبلغ (ریال)]]))))</f>
        <v/>
      </c>
      <c r="M180" s="31"/>
      <c r="N180" s="31"/>
    </row>
    <row r="181" spans="1:14">
      <c r="A181" s="26">
        <v>174</v>
      </c>
      <c r="B181" s="27"/>
      <c r="C181" s="31"/>
      <c r="D181" s="31"/>
      <c r="E181" s="39"/>
      <c r="F181" s="27"/>
      <c r="G181" s="27"/>
      <c r="H181" s="27"/>
      <c r="I181" s="25"/>
      <c r="J181" s="27"/>
      <c r="K181" s="27"/>
      <c r="L181" s="91" t="str">
        <f>IF( Tarakonesh[[#This Row],[تراکنش]]="", "",IF( Tarakonesh[[#This Row],[تراکنش]]="انتقال",L180,IF(Tarakonesh[[#This Row],[تراکنش]]="دریافت_درآمد",(Tarakonesh[[#This Row],[مبلغ (ریال)]]+IF(Tarakonesh[[#This Row],[تراکنش]]="انتقال",0,L180)),((IF(Tarakonesh[[#This Row],[تراکنش]]="انتقال",0,L180))-Tarakonesh[[#This Row],[مبلغ (ریال)]]))))</f>
        <v/>
      </c>
      <c r="M181" s="31"/>
      <c r="N181" s="31"/>
    </row>
    <row r="182" spans="1:14">
      <c r="A182" s="26">
        <v>175</v>
      </c>
      <c r="B182" s="27"/>
      <c r="C182" s="31"/>
      <c r="D182" s="31"/>
      <c r="E182" s="39"/>
      <c r="F182" s="27"/>
      <c r="G182" s="27"/>
      <c r="H182" s="27"/>
      <c r="I182" s="25"/>
      <c r="J182" s="27"/>
      <c r="K182" s="27"/>
      <c r="L182" s="91" t="str">
        <f>IF( Tarakonesh[[#This Row],[تراکنش]]="", "",IF( Tarakonesh[[#This Row],[تراکنش]]="انتقال",L181,IF(Tarakonesh[[#This Row],[تراکنش]]="دریافت_درآمد",(Tarakonesh[[#This Row],[مبلغ (ریال)]]+IF(Tarakonesh[[#This Row],[تراکنش]]="انتقال",0,L181)),((IF(Tarakonesh[[#This Row],[تراکنش]]="انتقال",0,L181))-Tarakonesh[[#This Row],[مبلغ (ریال)]]))))</f>
        <v/>
      </c>
      <c r="M182" s="31"/>
      <c r="N182" s="31"/>
    </row>
    <row r="183" spans="1:14">
      <c r="A183" s="26">
        <v>176</v>
      </c>
      <c r="B183" s="27"/>
      <c r="C183" s="31"/>
      <c r="D183" s="31"/>
      <c r="E183" s="39"/>
      <c r="F183" s="27"/>
      <c r="G183" s="27"/>
      <c r="H183" s="27"/>
      <c r="I183" s="25"/>
      <c r="J183" s="27"/>
      <c r="K183" s="27"/>
      <c r="L183" s="91" t="str">
        <f>IF( Tarakonesh[[#This Row],[تراکنش]]="", "",IF( Tarakonesh[[#This Row],[تراکنش]]="انتقال",L182,IF(Tarakonesh[[#This Row],[تراکنش]]="دریافت_درآمد",(Tarakonesh[[#This Row],[مبلغ (ریال)]]+IF(Tarakonesh[[#This Row],[تراکنش]]="انتقال",0,L182)),((IF(Tarakonesh[[#This Row],[تراکنش]]="انتقال",0,L182))-Tarakonesh[[#This Row],[مبلغ (ریال)]]))))</f>
        <v/>
      </c>
      <c r="M183" s="31"/>
      <c r="N183" s="31"/>
    </row>
    <row r="184" spans="1:14">
      <c r="A184" s="26">
        <v>177</v>
      </c>
      <c r="B184" s="27"/>
      <c r="C184" s="31"/>
      <c r="D184" s="31"/>
      <c r="E184" s="39"/>
      <c r="F184" s="27"/>
      <c r="G184" s="27"/>
      <c r="H184" s="27"/>
      <c r="I184" s="25"/>
      <c r="J184" s="27"/>
      <c r="K184" s="27"/>
      <c r="L184" s="91" t="str">
        <f>IF( Tarakonesh[[#This Row],[تراکنش]]="", "",IF( Tarakonesh[[#This Row],[تراکنش]]="انتقال",L183,IF(Tarakonesh[[#This Row],[تراکنش]]="دریافت_درآمد",(Tarakonesh[[#This Row],[مبلغ (ریال)]]+IF(Tarakonesh[[#This Row],[تراکنش]]="انتقال",0,L183)),((IF(Tarakonesh[[#This Row],[تراکنش]]="انتقال",0,L183))-Tarakonesh[[#This Row],[مبلغ (ریال)]]))))</f>
        <v/>
      </c>
      <c r="M184" s="31"/>
      <c r="N184" s="31"/>
    </row>
    <row r="185" spans="1:14">
      <c r="A185" s="26">
        <v>178</v>
      </c>
      <c r="B185" s="27"/>
      <c r="C185" s="31"/>
      <c r="D185" s="31"/>
      <c r="E185" s="39"/>
      <c r="F185" s="27"/>
      <c r="G185" s="27"/>
      <c r="H185" s="27"/>
      <c r="I185" s="25"/>
      <c r="J185" s="27"/>
      <c r="K185" s="27"/>
      <c r="L185" s="91" t="str">
        <f>IF( Tarakonesh[[#This Row],[تراکنش]]="", "",IF( Tarakonesh[[#This Row],[تراکنش]]="انتقال",L184,IF(Tarakonesh[[#This Row],[تراکنش]]="دریافت_درآمد",(Tarakonesh[[#This Row],[مبلغ (ریال)]]+IF(Tarakonesh[[#This Row],[تراکنش]]="انتقال",0,L184)),((IF(Tarakonesh[[#This Row],[تراکنش]]="انتقال",0,L184))-Tarakonesh[[#This Row],[مبلغ (ریال)]]))))</f>
        <v/>
      </c>
      <c r="M185" s="31"/>
      <c r="N185" s="31"/>
    </row>
    <row r="186" spans="1:14">
      <c r="A186" s="26">
        <v>179</v>
      </c>
      <c r="B186" s="27"/>
      <c r="C186" s="31"/>
      <c r="D186" s="31"/>
      <c r="E186" s="39"/>
      <c r="F186" s="27"/>
      <c r="G186" s="27"/>
      <c r="H186" s="27"/>
      <c r="I186" s="25"/>
      <c r="J186" s="27"/>
      <c r="K186" s="27"/>
      <c r="L186" s="91" t="str">
        <f>IF( Tarakonesh[[#This Row],[تراکنش]]="", "",IF( Tarakonesh[[#This Row],[تراکنش]]="انتقال",L185,IF(Tarakonesh[[#This Row],[تراکنش]]="دریافت_درآمد",(Tarakonesh[[#This Row],[مبلغ (ریال)]]+IF(Tarakonesh[[#This Row],[تراکنش]]="انتقال",0,L185)),((IF(Tarakonesh[[#This Row],[تراکنش]]="انتقال",0,L185))-Tarakonesh[[#This Row],[مبلغ (ریال)]]))))</f>
        <v/>
      </c>
      <c r="M186" s="31"/>
      <c r="N186" s="31"/>
    </row>
    <row r="187" spans="1:14">
      <c r="A187" s="26">
        <v>180</v>
      </c>
      <c r="B187" s="27"/>
      <c r="C187" s="31"/>
      <c r="D187" s="31"/>
      <c r="E187" s="39"/>
      <c r="F187" s="27"/>
      <c r="G187" s="27"/>
      <c r="H187" s="27"/>
      <c r="I187" s="25"/>
      <c r="J187" s="27"/>
      <c r="K187" s="27"/>
      <c r="L187" s="91" t="str">
        <f>IF( Tarakonesh[[#This Row],[تراکنش]]="", "",IF( Tarakonesh[[#This Row],[تراکنش]]="انتقال",L186,IF(Tarakonesh[[#This Row],[تراکنش]]="دریافت_درآمد",(Tarakonesh[[#This Row],[مبلغ (ریال)]]+IF(Tarakonesh[[#This Row],[تراکنش]]="انتقال",0,L186)),((IF(Tarakonesh[[#This Row],[تراکنش]]="انتقال",0,L186))-Tarakonesh[[#This Row],[مبلغ (ریال)]]))))</f>
        <v/>
      </c>
      <c r="M187" s="31"/>
      <c r="N187" s="31"/>
    </row>
    <row r="188" spans="1:14">
      <c r="A188" s="26">
        <v>181</v>
      </c>
      <c r="B188" s="27"/>
      <c r="C188" s="31"/>
      <c r="D188" s="31"/>
      <c r="E188" s="39"/>
      <c r="F188" s="27"/>
      <c r="G188" s="27"/>
      <c r="H188" s="27"/>
      <c r="I188" s="25"/>
      <c r="J188" s="27"/>
      <c r="K188" s="27"/>
      <c r="L188" s="91" t="str">
        <f>IF( Tarakonesh[[#This Row],[تراکنش]]="", "",IF( Tarakonesh[[#This Row],[تراکنش]]="انتقال",L187,IF(Tarakonesh[[#This Row],[تراکنش]]="دریافت_درآمد",(Tarakonesh[[#This Row],[مبلغ (ریال)]]+IF(Tarakonesh[[#This Row],[تراکنش]]="انتقال",0,L187)),((IF(Tarakonesh[[#This Row],[تراکنش]]="انتقال",0,L187))-Tarakonesh[[#This Row],[مبلغ (ریال)]]))))</f>
        <v/>
      </c>
      <c r="M188" s="31"/>
      <c r="N188" s="31"/>
    </row>
    <row r="189" spans="1:14">
      <c r="A189" s="26">
        <v>182</v>
      </c>
      <c r="B189" s="27"/>
      <c r="C189" s="31"/>
      <c r="D189" s="31"/>
      <c r="E189" s="39"/>
      <c r="F189" s="27"/>
      <c r="G189" s="27"/>
      <c r="H189" s="27"/>
      <c r="I189" s="25"/>
      <c r="J189" s="27"/>
      <c r="K189" s="27"/>
      <c r="L189" s="91" t="str">
        <f>IF( Tarakonesh[[#This Row],[تراکنش]]="", "",IF( Tarakonesh[[#This Row],[تراکنش]]="انتقال",L188,IF(Tarakonesh[[#This Row],[تراکنش]]="دریافت_درآمد",(Tarakonesh[[#This Row],[مبلغ (ریال)]]+IF(Tarakonesh[[#This Row],[تراکنش]]="انتقال",0,L188)),((IF(Tarakonesh[[#This Row],[تراکنش]]="انتقال",0,L188))-Tarakonesh[[#This Row],[مبلغ (ریال)]]))))</f>
        <v/>
      </c>
      <c r="M189" s="31"/>
      <c r="N189" s="31"/>
    </row>
    <row r="190" spans="1:14">
      <c r="A190" s="26">
        <v>183</v>
      </c>
      <c r="B190" s="27"/>
      <c r="C190" s="31"/>
      <c r="D190" s="31"/>
      <c r="E190" s="39"/>
      <c r="F190" s="27"/>
      <c r="G190" s="27"/>
      <c r="H190" s="27"/>
      <c r="I190" s="25"/>
      <c r="J190" s="27"/>
      <c r="K190" s="27"/>
      <c r="L190" s="91" t="str">
        <f>IF( Tarakonesh[[#This Row],[تراکنش]]="", "",IF( Tarakonesh[[#This Row],[تراکنش]]="انتقال",L189,IF(Tarakonesh[[#This Row],[تراکنش]]="دریافت_درآمد",(Tarakonesh[[#This Row],[مبلغ (ریال)]]+IF(Tarakonesh[[#This Row],[تراکنش]]="انتقال",0,L189)),((IF(Tarakonesh[[#This Row],[تراکنش]]="انتقال",0,L189))-Tarakonesh[[#This Row],[مبلغ (ریال)]]))))</f>
        <v/>
      </c>
      <c r="M190" s="31"/>
      <c r="N190" s="31"/>
    </row>
    <row r="191" spans="1:14">
      <c r="A191" s="26">
        <v>184</v>
      </c>
      <c r="B191" s="27"/>
      <c r="C191" s="31"/>
      <c r="D191" s="31"/>
      <c r="E191" s="39"/>
      <c r="F191" s="27"/>
      <c r="G191" s="27"/>
      <c r="H191" s="27"/>
      <c r="I191" s="25"/>
      <c r="J191" s="27"/>
      <c r="K191" s="27"/>
      <c r="L191" s="91" t="str">
        <f>IF( Tarakonesh[[#This Row],[تراکنش]]="", "",IF( Tarakonesh[[#This Row],[تراکنش]]="انتقال",L190,IF(Tarakonesh[[#This Row],[تراکنش]]="دریافت_درآمد",(Tarakonesh[[#This Row],[مبلغ (ریال)]]+IF(Tarakonesh[[#This Row],[تراکنش]]="انتقال",0,L190)),((IF(Tarakonesh[[#This Row],[تراکنش]]="انتقال",0,L190))-Tarakonesh[[#This Row],[مبلغ (ریال)]]))))</f>
        <v/>
      </c>
      <c r="M191" s="31"/>
      <c r="N191" s="31"/>
    </row>
    <row r="192" spans="1:14">
      <c r="A192" s="26">
        <v>185</v>
      </c>
      <c r="B192" s="27"/>
      <c r="C192" s="31"/>
      <c r="D192" s="31"/>
      <c r="E192" s="39"/>
      <c r="F192" s="27"/>
      <c r="G192" s="27"/>
      <c r="H192" s="27"/>
      <c r="I192" s="25"/>
      <c r="J192" s="27"/>
      <c r="K192" s="27"/>
      <c r="L192" s="91" t="str">
        <f>IF( Tarakonesh[[#This Row],[تراکنش]]="", "",IF( Tarakonesh[[#This Row],[تراکنش]]="انتقال",L191,IF(Tarakonesh[[#This Row],[تراکنش]]="دریافت_درآمد",(Tarakonesh[[#This Row],[مبلغ (ریال)]]+IF(Tarakonesh[[#This Row],[تراکنش]]="انتقال",0,L191)),((IF(Tarakonesh[[#This Row],[تراکنش]]="انتقال",0,L191))-Tarakonesh[[#This Row],[مبلغ (ریال)]]))))</f>
        <v/>
      </c>
      <c r="M192" s="31"/>
      <c r="N192" s="31"/>
    </row>
    <row r="193" spans="1:14">
      <c r="A193" s="26">
        <v>186</v>
      </c>
      <c r="B193" s="27"/>
      <c r="C193" s="31"/>
      <c r="D193" s="31"/>
      <c r="E193" s="39"/>
      <c r="F193" s="27"/>
      <c r="G193" s="27"/>
      <c r="H193" s="27"/>
      <c r="I193" s="25"/>
      <c r="J193" s="27"/>
      <c r="K193" s="27"/>
      <c r="L193" s="91" t="str">
        <f>IF( Tarakonesh[[#This Row],[تراکنش]]="", "",IF( Tarakonesh[[#This Row],[تراکنش]]="انتقال",L192,IF(Tarakonesh[[#This Row],[تراکنش]]="دریافت_درآمد",(Tarakonesh[[#This Row],[مبلغ (ریال)]]+IF(Tarakonesh[[#This Row],[تراکنش]]="انتقال",0,L192)),((IF(Tarakonesh[[#This Row],[تراکنش]]="انتقال",0,L192))-Tarakonesh[[#This Row],[مبلغ (ریال)]]))))</f>
        <v/>
      </c>
      <c r="M193" s="31"/>
      <c r="N193" s="31"/>
    </row>
    <row r="194" spans="1:14">
      <c r="A194" s="26">
        <v>187</v>
      </c>
      <c r="B194" s="27"/>
      <c r="C194" s="31"/>
      <c r="D194" s="31"/>
      <c r="E194" s="39"/>
      <c r="F194" s="27"/>
      <c r="G194" s="27"/>
      <c r="H194" s="27"/>
      <c r="I194" s="25"/>
      <c r="J194" s="27"/>
      <c r="K194" s="27"/>
      <c r="L194" s="91" t="str">
        <f>IF( Tarakonesh[[#This Row],[تراکنش]]="", "",IF( Tarakonesh[[#This Row],[تراکنش]]="انتقال",L193,IF(Tarakonesh[[#This Row],[تراکنش]]="دریافت_درآمد",(Tarakonesh[[#This Row],[مبلغ (ریال)]]+IF(Tarakonesh[[#This Row],[تراکنش]]="انتقال",0,L193)),((IF(Tarakonesh[[#This Row],[تراکنش]]="انتقال",0,L193))-Tarakonesh[[#This Row],[مبلغ (ریال)]]))))</f>
        <v/>
      </c>
      <c r="M194" s="31"/>
      <c r="N194" s="31"/>
    </row>
    <row r="195" spans="1:14">
      <c r="A195" s="26">
        <v>188</v>
      </c>
      <c r="B195" s="27"/>
      <c r="C195" s="31"/>
      <c r="D195" s="31"/>
      <c r="E195" s="39"/>
      <c r="F195" s="27"/>
      <c r="G195" s="27"/>
      <c r="H195" s="27"/>
      <c r="I195" s="25"/>
      <c r="J195" s="27"/>
      <c r="K195" s="27"/>
      <c r="L195" s="91" t="str">
        <f>IF( Tarakonesh[[#This Row],[تراکنش]]="", "",IF( Tarakonesh[[#This Row],[تراکنش]]="انتقال",L194,IF(Tarakonesh[[#This Row],[تراکنش]]="دریافت_درآمد",(Tarakonesh[[#This Row],[مبلغ (ریال)]]+IF(Tarakonesh[[#This Row],[تراکنش]]="انتقال",0,L194)),((IF(Tarakonesh[[#This Row],[تراکنش]]="انتقال",0,L194))-Tarakonesh[[#This Row],[مبلغ (ریال)]]))))</f>
        <v/>
      </c>
      <c r="M195" s="31"/>
      <c r="N195" s="31"/>
    </row>
    <row r="196" spans="1:14">
      <c r="A196" s="26">
        <v>189</v>
      </c>
      <c r="B196" s="27"/>
      <c r="C196" s="31"/>
      <c r="D196" s="31"/>
      <c r="E196" s="39"/>
      <c r="F196" s="27"/>
      <c r="G196" s="27"/>
      <c r="H196" s="27"/>
      <c r="I196" s="25"/>
      <c r="J196" s="27"/>
      <c r="K196" s="27"/>
      <c r="L196" s="91" t="str">
        <f>IF( Tarakonesh[[#This Row],[تراکنش]]="", "",IF( Tarakonesh[[#This Row],[تراکنش]]="انتقال",L195,IF(Tarakonesh[[#This Row],[تراکنش]]="دریافت_درآمد",(Tarakonesh[[#This Row],[مبلغ (ریال)]]+IF(Tarakonesh[[#This Row],[تراکنش]]="انتقال",0,L195)),((IF(Tarakonesh[[#This Row],[تراکنش]]="انتقال",0,L195))-Tarakonesh[[#This Row],[مبلغ (ریال)]]))))</f>
        <v/>
      </c>
      <c r="M196" s="31"/>
      <c r="N196" s="31"/>
    </row>
    <row r="197" spans="1:14">
      <c r="A197" s="26">
        <v>190</v>
      </c>
      <c r="B197" s="27"/>
      <c r="C197" s="31"/>
      <c r="D197" s="31"/>
      <c r="E197" s="39"/>
      <c r="F197" s="27"/>
      <c r="G197" s="27"/>
      <c r="H197" s="27"/>
      <c r="I197" s="25"/>
      <c r="J197" s="27"/>
      <c r="K197" s="27"/>
      <c r="L197" s="91" t="str">
        <f>IF( Tarakonesh[[#This Row],[تراکنش]]="", "",IF( Tarakonesh[[#This Row],[تراکنش]]="انتقال",L196,IF(Tarakonesh[[#This Row],[تراکنش]]="دریافت_درآمد",(Tarakonesh[[#This Row],[مبلغ (ریال)]]+IF(Tarakonesh[[#This Row],[تراکنش]]="انتقال",0,L196)),((IF(Tarakonesh[[#This Row],[تراکنش]]="انتقال",0,L196))-Tarakonesh[[#This Row],[مبلغ (ریال)]]))))</f>
        <v/>
      </c>
      <c r="M197" s="31"/>
      <c r="N197" s="31"/>
    </row>
    <row r="198" spans="1:14">
      <c r="A198" s="26">
        <v>191</v>
      </c>
      <c r="B198" s="27"/>
      <c r="C198" s="31"/>
      <c r="D198" s="31"/>
      <c r="E198" s="39"/>
      <c r="F198" s="27"/>
      <c r="G198" s="27"/>
      <c r="H198" s="27"/>
      <c r="I198" s="25"/>
      <c r="J198" s="27"/>
      <c r="K198" s="27"/>
      <c r="L198" s="91" t="str">
        <f>IF( Tarakonesh[[#This Row],[تراکنش]]="", "",IF( Tarakonesh[[#This Row],[تراکنش]]="انتقال",L197,IF(Tarakonesh[[#This Row],[تراکنش]]="دریافت_درآمد",(Tarakonesh[[#This Row],[مبلغ (ریال)]]+IF(Tarakonesh[[#This Row],[تراکنش]]="انتقال",0,L197)),((IF(Tarakonesh[[#This Row],[تراکنش]]="انتقال",0,L197))-Tarakonesh[[#This Row],[مبلغ (ریال)]]))))</f>
        <v/>
      </c>
      <c r="M198" s="31"/>
      <c r="N198" s="31"/>
    </row>
    <row r="199" spans="1:14">
      <c r="A199" s="26">
        <v>192</v>
      </c>
      <c r="B199" s="27"/>
      <c r="C199" s="31"/>
      <c r="D199" s="31"/>
      <c r="E199" s="39"/>
      <c r="F199" s="27"/>
      <c r="G199" s="27"/>
      <c r="H199" s="27"/>
      <c r="I199" s="25"/>
      <c r="J199" s="27"/>
      <c r="K199" s="27"/>
      <c r="L199" s="91" t="str">
        <f>IF( Tarakonesh[[#This Row],[تراکنش]]="", "",IF( Tarakonesh[[#This Row],[تراکنش]]="انتقال",L198,IF(Tarakonesh[[#This Row],[تراکنش]]="دریافت_درآمد",(Tarakonesh[[#This Row],[مبلغ (ریال)]]+IF(Tarakonesh[[#This Row],[تراکنش]]="انتقال",0,L198)),((IF(Tarakonesh[[#This Row],[تراکنش]]="انتقال",0,L198))-Tarakonesh[[#This Row],[مبلغ (ریال)]]))))</f>
        <v/>
      </c>
      <c r="M199" s="31"/>
      <c r="N199" s="31"/>
    </row>
    <row r="200" spans="1:14">
      <c r="A200" s="26">
        <v>193</v>
      </c>
      <c r="B200" s="27"/>
      <c r="C200" s="31"/>
      <c r="D200" s="31"/>
      <c r="E200" s="39"/>
      <c r="F200" s="27"/>
      <c r="G200" s="27"/>
      <c r="H200" s="27"/>
      <c r="I200" s="25"/>
      <c r="J200" s="27"/>
      <c r="K200" s="27"/>
      <c r="L200" s="91" t="str">
        <f>IF( Tarakonesh[[#This Row],[تراکنش]]="", "",IF( Tarakonesh[[#This Row],[تراکنش]]="انتقال",L199,IF(Tarakonesh[[#This Row],[تراکنش]]="دریافت_درآمد",(Tarakonesh[[#This Row],[مبلغ (ریال)]]+IF(Tarakonesh[[#This Row],[تراکنش]]="انتقال",0,L199)),((IF(Tarakonesh[[#This Row],[تراکنش]]="انتقال",0,L199))-Tarakonesh[[#This Row],[مبلغ (ریال)]]))))</f>
        <v/>
      </c>
      <c r="M200" s="31"/>
      <c r="N200" s="31"/>
    </row>
    <row r="201" spans="1:14">
      <c r="A201" s="26">
        <v>194</v>
      </c>
      <c r="B201" s="27"/>
      <c r="C201" s="31"/>
      <c r="D201" s="31"/>
      <c r="E201" s="39"/>
      <c r="F201" s="27"/>
      <c r="G201" s="27"/>
      <c r="H201" s="27"/>
      <c r="I201" s="25"/>
      <c r="J201" s="27"/>
      <c r="K201" s="27"/>
      <c r="L201" s="91" t="str">
        <f>IF( Tarakonesh[[#This Row],[تراکنش]]="", "",IF( Tarakonesh[[#This Row],[تراکنش]]="انتقال",L200,IF(Tarakonesh[[#This Row],[تراکنش]]="دریافت_درآمد",(Tarakonesh[[#This Row],[مبلغ (ریال)]]+IF(Tarakonesh[[#This Row],[تراکنش]]="انتقال",0,L200)),((IF(Tarakonesh[[#This Row],[تراکنش]]="انتقال",0,L200))-Tarakonesh[[#This Row],[مبلغ (ریال)]]))))</f>
        <v/>
      </c>
      <c r="M201" s="31"/>
      <c r="N201" s="31"/>
    </row>
    <row r="202" spans="1:14">
      <c r="A202" s="26">
        <v>195</v>
      </c>
      <c r="B202" s="27"/>
      <c r="C202" s="31"/>
      <c r="D202" s="31"/>
      <c r="E202" s="39"/>
      <c r="F202" s="27"/>
      <c r="G202" s="27"/>
      <c r="H202" s="27"/>
      <c r="I202" s="25"/>
      <c r="J202" s="27"/>
      <c r="K202" s="27"/>
      <c r="L202" s="91" t="str">
        <f>IF( Tarakonesh[[#This Row],[تراکنش]]="", "",IF( Tarakonesh[[#This Row],[تراکنش]]="انتقال",L201,IF(Tarakonesh[[#This Row],[تراکنش]]="دریافت_درآمد",(Tarakonesh[[#This Row],[مبلغ (ریال)]]+IF(Tarakonesh[[#This Row],[تراکنش]]="انتقال",0,L201)),((IF(Tarakonesh[[#This Row],[تراکنش]]="انتقال",0,L201))-Tarakonesh[[#This Row],[مبلغ (ریال)]]))))</f>
        <v/>
      </c>
      <c r="M202" s="31"/>
      <c r="N202" s="31"/>
    </row>
    <row r="203" spans="1:14">
      <c r="A203" s="26">
        <v>196</v>
      </c>
      <c r="B203" s="27"/>
      <c r="C203" s="31"/>
      <c r="D203" s="31"/>
      <c r="E203" s="39"/>
      <c r="F203" s="27"/>
      <c r="G203" s="27"/>
      <c r="H203" s="27"/>
      <c r="I203" s="25"/>
      <c r="J203" s="27"/>
      <c r="K203" s="27"/>
      <c r="L203" s="91" t="str">
        <f>IF( Tarakonesh[[#This Row],[تراکنش]]="", "",IF( Tarakonesh[[#This Row],[تراکنش]]="انتقال",L202,IF(Tarakonesh[[#This Row],[تراکنش]]="دریافت_درآمد",(Tarakonesh[[#This Row],[مبلغ (ریال)]]+IF(Tarakonesh[[#This Row],[تراکنش]]="انتقال",0,L202)),((IF(Tarakonesh[[#This Row],[تراکنش]]="انتقال",0,L202))-Tarakonesh[[#This Row],[مبلغ (ریال)]]))))</f>
        <v/>
      </c>
      <c r="M203" s="31"/>
      <c r="N203" s="31"/>
    </row>
    <row r="204" spans="1:14">
      <c r="A204" s="26">
        <v>197</v>
      </c>
      <c r="B204" s="27"/>
      <c r="C204" s="31"/>
      <c r="D204" s="31"/>
      <c r="E204" s="39"/>
      <c r="F204" s="27"/>
      <c r="G204" s="27"/>
      <c r="H204" s="27"/>
      <c r="I204" s="25"/>
      <c r="J204" s="27"/>
      <c r="K204" s="27"/>
      <c r="L204" s="91" t="str">
        <f>IF( Tarakonesh[[#This Row],[تراکنش]]="", "",IF( Tarakonesh[[#This Row],[تراکنش]]="انتقال",L203,IF(Tarakonesh[[#This Row],[تراکنش]]="دریافت_درآمد",(Tarakonesh[[#This Row],[مبلغ (ریال)]]+IF(Tarakonesh[[#This Row],[تراکنش]]="انتقال",0,L203)),((IF(Tarakonesh[[#This Row],[تراکنش]]="انتقال",0,L203))-Tarakonesh[[#This Row],[مبلغ (ریال)]]))))</f>
        <v/>
      </c>
      <c r="M204" s="31"/>
      <c r="N204" s="31"/>
    </row>
    <row r="205" spans="1:14">
      <c r="A205" s="26">
        <v>198</v>
      </c>
      <c r="B205" s="27"/>
      <c r="C205" s="31"/>
      <c r="D205" s="31"/>
      <c r="E205" s="39"/>
      <c r="F205" s="27"/>
      <c r="G205" s="27"/>
      <c r="H205" s="27"/>
      <c r="I205" s="25"/>
      <c r="J205" s="27"/>
      <c r="K205" s="27"/>
      <c r="L205" s="91" t="str">
        <f>IF( Tarakonesh[[#This Row],[تراکنش]]="", "",IF( Tarakonesh[[#This Row],[تراکنش]]="انتقال",L204,IF(Tarakonesh[[#This Row],[تراکنش]]="دریافت_درآمد",(Tarakonesh[[#This Row],[مبلغ (ریال)]]+IF(Tarakonesh[[#This Row],[تراکنش]]="انتقال",0,L204)),((IF(Tarakonesh[[#This Row],[تراکنش]]="انتقال",0,L204))-Tarakonesh[[#This Row],[مبلغ (ریال)]]))))</f>
        <v/>
      </c>
      <c r="M205" s="31"/>
      <c r="N205" s="31"/>
    </row>
    <row r="206" spans="1:14">
      <c r="A206" s="26">
        <v>199</v>
      </c>
      <c r="B206" s="27"/>
      <c r="C206" s="31"/>
      <c r="D206" s="31"/>
      <c r="E206" s="39"/>
      <c r="F206" s="27"/>
      <c r="G206" s="27"/>
      <c r="H206" s="27"/>
      <c r="I206" s="25"/>
      <c r="J206" s="27"/>
      <c r="K206" s="27"/>
      <c r="L206" s="91" t="str">
        <f>IF( Tarakonesh[[#This Row],[تراکنش]]="", "",IF( Tarakonesh[[#This Row],[تراکنش]]="انتقال",L205,IF(Tarakonesh[[#This Row],[تراکنش]]="دریافت_درآمد",(Tarakonesh[[#This Row],[مبلغ (ریال)]]+IF(Tarakonesh[[#This Row],[تراکنش]]="انتقال",0,L205)),((IF(Tarakonesh[[#This Row],[تراکنش]]="انتقال",0,L205))-Tarakonesh[[#This Row],[مبلغ (ریال)]]))))</f>
        <v/>
      </c>
      <c r="M206" s="31"/>
      <c r="N206" s="31"/>
    </row>
    <row r="207" spans="1:14">
      <c r="A207" s="26">
        <v>200</v>
      </c>
      <c r="B207" s="27"/>
      <c r="C207" s="31"/>
      <c r="D207" s="31"/>
      <c r="E207" s="39"/>
      <c r="F207" s="27"/>
      <c r="G207" s="27"/>
      <c r="H207" s="27"/>
      <c r="I207" s="25"/>
      <c r="J207" s="27"/>
      <c r="K207" s="27"/>
      <c r="L207" s="91" t="str">
        <f>IF( Tarakonesh[[#This Row],[تراکنش]]="", "",IF( Tarakonesh[[#This Row],[تراکنش]]="انتقال",L206,IF(Tarakonesh[[#This Row],[تراکنش]]="دریافت_درآمد",(Tarakonesh[[#This Row],[مبلغ (ریال)]]+IF(Tarakonesh[[#This Row],[تراکنش]]="انتقال",0,L206)),((IF(Tarakonesh[[#This Row],[تراکنش]]="انتقال",0,L206))-Tarakonesh[[#This Row],[مبلغ (ریال)]]))))</f>
        <v/>
      </c>
      <c r="M207" s="31"/>
      <c r="N207" s="31"/>
    </row>
    <row r="208" spans="1:14">
      <c r="A208" s="26">
        <v>201</v>
      </c>
      <c r="B208" s="27"/>
      <c r="C208" s="31"/>
      <c r="D208" s="31"/>
      <c r="E208" s="39"/>
      <c r="F208" s="27"/>
      <c r="G208" s="27"/>
      <c r="H208" s="27"/>
      <c r="I208" s="25"/>
      <c r="J208" s="27"/>
      <c r="K208" s="27"/>
      <c r="L208" s="91" t="str">
        <f>IF( Tarakonesh[[#This Row],[تراکنش]]="", "",IF( Tarakonesh[[#This Row],[تراکنش]]="انتقال",L207,IF(Tarakonesh[[#This Row],[تراکنش]]="دریافت_درآمد",(Tarakonesh[[#This Row],[مبلغ (ریال)]]+IF(Tarakonesh[[#This Row],[تراکنش]]="انتقال",0,L207)),((IF(Tarakonesh[[#This Row],[تراکنش]]="انتقال",0,L207))-Tarakonesh[[#This Row],[مبلغ (ریال)]]))))</f>
        <v/>
      </c>
      <c r="M208" s="31"/>
      <c r="N208" s="31"/>
    </row>
    <row r="209" spans="1:14">
      <c r="A209" s="26">
        <v>202</v>
      </c>
      <c r="B209" s="27"/>
      <c r="C209" s="31"/>
      <c r="D209" s="31"/>
      <c r="E209" s="39"/>
      <c r="F209" s="27"/>
      <c r="G209" s="27"/>
      <c r="H209" s="27"/>
      <c r="I209" s="25"/>
      <c r="J209" s="27"/>
      <c r="K209" s="27"/>
      <c r="L209" s="91" t="str">
        <f>IF( Tarakonesh[[#This Row],[تراکنش]]="", "",IF( Tarakonesh[[#This Row],[تراکنش]]="انتقال",L208,IF(Tarakonesh[[#This Row],[تراکنش]]="دریافت_درآمد",(Tarakonesh[[#This Row],[مبلغ (ریال)]]+IF(Tarakonesh[[#This Row],[تراکنش]]="انتقال",0,L208)),((IF(Tarakonesh[[#This Row],[تراکنش]]="انتقال",0,L208))-Tarakonesh[[#This Row],[مبلغ (ریال)]]))))</f>
        <v/>
      </c>
      <c r="M209" s="31"/>
      <c r="N209" s="31"/>
    </row>
    <row r="210" spans="1:14">
      <c r="A210" s="26">
        <v>203</v>
      </c>
      <c r="B210" s="27"/>
      <c r="C210" s="31"/>
      <c r="D210" s="31"/>
      <c r="E210" s="39"/>
      <c r="F210" s="27"/>
      <c r="G210" s="27"/>
      <c r="H210" s="27"/>
      <c r="I210" s="25"/>
      <c r="J210" s="27"/>
      <c r="K210" s="27"/>
      <c r="L210" s="91" t="str">
        <f>IF( Tarakonesh[[#This Row],[تراکنش]]="", "",IF( Tarakonesh[[#This Row],[تراکنش]]="انتقال",L209,IF(Tarakonesh[[#This Row],[تراکنش]]="دریافت_درآمد",(Tarakonesh[[#This Row],[مبلغ (ریال)]]+IF(Tarakonesh[[#This Row],[تراکنش]]="انتقال",0,L209)),((IF(Tarakonesh[[#This Row],[تراکنش]]="انتقال",0,L209))-Tarakonesh[[#This Row],[مبلغ (ریال)]]))))</f>
        <v/>
      </c>
      <c r="M210" s="31"/>
      <c r="N210" s="31"/>
    </row>
    <row r="211" spans="1:14">
      <c r="A211" s="26">
        <v>204</v>
      </c>
      <c r="B211" s="27"/>
      <c r="C211" s="31"/>
      <c r="D211" s="31"/>
      <c r="E211" s="39"/>
      <c r="F211" s="27"/>
      <c r="G211" s="27"/>
      <c r="H211" s="27"/>
      <c r="I211" s="25"/>
      <c r="J211" s="27"/>
      <c r="K211" s="27"/>
      <c r="L211" s="91" t="str">
        <f>IF( Tarakonesh[[#This Row],[تراکنش]]="", "",IF( Tarakonesh[[#This Row],[تراکنش]]="انتقال",L210,IF(Tarakonesh[[#This Row],[تراکنش]]="دریافت_درآمد",(Tarakonesh[[#This Row],[مبلغ (ریال)]]+IF(Tarakonesh[[#This Row],[تراکنش]]="انتقال",0,L210)),((IF(Tarakonesh[[#This Row],[تراکنش]]="انتقال",0,L210))-Tarakonesh[[#This Row],[مبلغ (ریال)]]))))</f>
        <v/>
      </c>
      <c r="M211" s="31"/>
      <c r="N211" s="31"/>
    </row>
    <row r="212" spans="1:14">
      <c r="A212" s="26">
        <v>205</v>
      </c>
      <c r="B212" s="27"/>
      <c r="C212" s="31"/>
      <c r="D212" s="31"/>
      <c r="E212" s="39"/>
      <c r="F212" s="27"/>
      <c r="G212" s="27"/>
      <c r="H212" s="27"/>
      <c r="I212" s="25"/>
      <c r="J212" s="27"/>
      <c r="K212" s="27"/>
      <c r="L212" s="91" t="str">
        <f>IF( Tarakonesh[[#This Row],[تراکنش]]="", "",IF( Tarakonesh[[#This Row],[تراکنش]]="انتقال",L211,IF(Tarakonesh[[#This Row],[تراکنش]]="دریافت_درآمد",(Tarakonesh[[#This Row],[مبلغ (ریال)]]+IF(Tarakonesh[[#This Row],[تراکنش]]="انتقال",0,L211)),((IF(Tarakonesh[[#This Row],[تراکنش]]="انتقال",0,L211))-Tarakonesh[[#This Row],[مبلغ (ریال)]]))))</f>
        <v/>
      </c>
      <c r="M212" s="31"/>
      <c r="N212" s="31"/>
    </row>
    <row r="213" spans="1:14">
      <c r="A213" s="26">
        <v>206</v>
      </c>
      <c r="B213" s="27"/>
      <c r="C213" s="31"/>
      <c r="D213" s="31"/>
      <c r="E213" s="39"/>
      <c r="F213" s="27"/>
      <c r="G213" s="27"/>
      <c r="H213" s="27"/>
      <c r="I213" s="25"/>
      <c r="J213" s="27"/>
      <c r="K213" s="27"/>
      <c r="L213" s="91" t="str">
        <f>IF( Tarakonesh[[#This Row],[تراکنش]]="", "",IF( Tarakonesh[[#This Row],[تراکنش]]="انتقال",L212,IF(Tarakonesh[[#This Row],[تراکنش]]="دریافت_درآمد",(Tarakonesh[[#This Row],[مبلغ (ریال)]]+IF(Tarakonesh[[#This Row],[تراکنش]]="انتقال",0,L212)),((IF(Tarakonesh[[#This Row],[تراکنش]]="انتقال",0,L212))-Tarakonesh[[#This Row],[مبلغ (ریال)]]))))</f>
        <v/>
      </c>
      <c r="M213" s="31"/>
      <c r="N213" s="31"/>
    </row>
    <row r="214" spans="1:14">
      <c r="A214" s="26">
        <v>207</v>
      </c>
      <c r="B214" s="27"/>
      <c r="C214" s="31"/>
      <c r="D214" s="31"/>
      <c r="E214" s="39"/>
      <c r="F214" s="27"/>
      <c r="G214" s="27"/>
      <c r="H214" s="27"/>
      <c r="I214" s="25"/>
      <c r="J214" s="27"/>
      <c r="K214" s="27"/>
      <c r="L214" s="91" t="str">
        <f>IF( Tarakonesh[[#This Row],[تراکنش]]="", "",IF( Tarakonesh[[#This Row],[تراکنش]]="انتقال",L213,IF(Tarakonesh[[#This Row],[تراکنش]]="دریافت_درآمد",(Tarakonesh[[#This Row],[مبلغ (ریال)]]+IF(Tarakonesh[[#This Row],[تراکنش]]="انتقال",0,L213)),((IF(Tarakonesh[[#This Row],[تراکنش]]="انتقال",0,L213))-Tarakonesh[[#This Row],[مبلغ (ریال)]]))))</f>
        <v/>
      </c>
      <c r="M214" s="31"/>
      <c r="N214" s="31"/>
    </row>
    <row r="215" spans="1:14">
      <c r="A215" s="26">
        <v>208</v>
      </c>
      <c r="B215" s="27"/>
      <c r="C215" s="31"/>
      <c r="D215" s="31"/>
      <c r="E215" s="39"/>
      <c r="F215" s="27"/>
      <c r="G215" s="27"/>
      <c r="H215" s="27"/>
      <c r="I215" s="25"/>
      <c r="J215" s="27"/>
      <c r="K215" s="27"/>
      <c r="L215" s="91" t="str">
        <f>IF( Tarakonesh[[#This Row],[تراکنش]]="", "",IF( Tarakonesh[[#This Row],[تراکنش]]="انتقال",L214,IF(Tarakonesh[[#This Row],[تراکنش]]="دریافت_درآمد",(Tarakonesh[[#This Row],[مبلغ (ریال)]]+IF(Tarakonesh[[#This Row],[تراکنش]]="انتقال",0,L214)),((IF(Tarakonesh[[#This Row],[تراکنش]]="انتقال",0,L214))-Tarakonesh[[#This Row],[مبلغ (ریال)]]))))</f>
        <v/>
      </c>
      <c r="M215" s="31"/>
      <c r="N215" s="31"/>
    </row>
    <row r="216" spans="1:14">
      <c r="A216" s="26">
        <v>209</v>
      </c>
      <c r="B216" s="27"/>
      <c r="C216" s="31"/>
      <c r="D216" s="31"/>
      <c r="E216" s="39"/>
      <c r="F216" s="27"/>
      <c r="G216" s="27"/>
      <c r="H216" s="27"/>
      <c r="I216" s="25"/>
      <c r="J216" s="27"/>
      <c r="K216" s="27"/>
      <c r="L216" s="91" t="str">
        <f>IF( Tarakonesh[[#This Row],[تراکنش]]="", "",IF( Tarakonesh[[#This Row],[تراکنش]]="انتقال",L215,IF(Tarakonesh[[#This Row],[تراکنش]]="دریافت_درآمد",(Tarakonesh[[#This Row],[مبلغ (ریال)]]+IF(Tarakonesh[[#This Row],[تراکنش]]="انتقال",0,L215)),((IF(Tarakonesh[[#This Row],[تراکنش]]="انتقال",0,L215))-Tarakonesh[[#This Row],[مبلغ (ریال)]]))))</f>
        <v/>
      </c>
      <c r="M216" s="31"/>
      <c r="N216" s="31"/>
    </row>
    <row r="217" spans="1:14">
      <c r="A217" s="26">
        <v>210</v>
      </c>
      <c r="B217" s="27"/>
      <c r="C217" s="31"/>
      <c r="D217" s="31"/>
      <c r="E217" s="39"/>
      <c r="F217" s="27"/>
      <c r="G217" s="27"/>
      <c r="H217" s="27"/>
      <c r="I217" s="25"/>
      <c r="J217" s="27"/>
      <c r="K217" s="27"/>
      <c r="L217" s="91" t="str">
        <f>IF( Tarakonesh[[#This Row],[تراکنش]]="", "",IF( Tarakonesh[[#This Row],[تراکنش]]="انتقال",L216,IF(Tarakonesh[[#This Row],[تراکنش]]="دریافت_درآمد",(Tarakonesh[[#This Row],[مبلغ (ریال)]]+IF(Tarakonesh[[#This Row],[تراکنش]]="انتقال",0,L216)),((IF(Tarakonesh[[#This Row],[تراکنش]]="انتقال",0,L216))-Tarakonesh[[#This Row],[مبلغ (ریال)]]))))</f>
        <v/>
      </c>
      <c r="M217" s="31"/>
      <c r="N217" s="31"/>
    </row>
    <row r="218" spans="1:14">
      <c r="A218" s="26">
        <v>211</v>
      </c>
      <c r="B218" s="27"/>
      <c r="C218" s="31"/>
      <c r="D218" s="31"/>
      <c r="E218" s="39"/>
      <c r="F218" s="27"/>
      <c r="G218" s="27"/>
      <c r="H218" s="27"/>
      <c r="I218" s="25"/>
      <c r="J218" s="27"/>
      <c r="K218" s="27"/>
      <c r="L218" s="91" t="str">
        <f>IF( Tarakonesh[[#This Row],[تراکنش]]="", "",IF( Tarakonesh[[#This Row],[تراکنش]]="انتقال",L217,IF(Tarakonesh[[#This Row],[تراکنش]]="دریافت_درآمد",(Tarakonesh[[#This Row],[مبلغ (ریال)]]+IF(Tarakonesh[[#This Row],[تراکنش]]="انتقال",0,L217)),((IF(Tarakonesh[[#This Row],[تراکنش]]="انتقال",0,L217))-Tarakonesh[[#This Row],[مبلغ (ریال)]]))))</f>
        <v/>
      </c>
      <c r="M218" s="31"/>
      <c r="N218" s="31"/>
    </row>
    <row r="219" spans="1:14">
      <c r="A219" s="26">
        <v>212</v>
      </c>
      <c r="B219" s="27"/>
      <c r="C219" s="31"/>
      <c r="D219" s="31"/>
      <c r="E219" s="39"/>
      <c r="F219" s="27"/>
      <c r="G219" s="27"/>
      <c r="H219" s="27"/>
      <c r="I219" s="25"/>
      <c r="J219" s="27"/>
      <c r="K219" s="27"/>
      <c r="L219" s="91" t="str">
        <f>IF( Tarakonesh[[#This Row],[تراکنش]]="", "",IF( Tarakonesh[[#This Row],[تراکنش]]="انتقال",L218,IF(Tarakonesh[[#This Row],[تراکنش]]="دریافت_درآمد",(Tarakonesh[[#This Row],[مبلغ (ریال)]]+IF(Tarakonesh[[#This Row],[تراکنش]]="انتقال",0,L218)),((IF(Tarakonesh[[#This Row],[تراکنش]]="انتقال",0,L218))-Tarakonesh[[#This Row],[مبلغ (ریال)]]))))</f>
        <v/>
      </c>
      <c r="M219" s="31"/>
      <c r="N219" s="31"/>
    </row>
    <row r="220" spans="1:14">
      <c r="A220" s="26">
        <v>213</v>
      </c>
      <c r="B220" s="27"/>
      <c r="C220" s="31"/>
      <c r="D220" s="31"/>
      <c r="E220" s="39"/>
      <c r="F220" s="27"/>
      <c r="G220" s="27"/>
      <c r="H220" s="27"/>
      <c r="I220" s="25"/>
      <c r="J220" s="27"/>
      <c r="K220" s="27"/>
      <c r="L220" s="91" t="str">
        <f>IF( Tarakonesh[[#This Row],[تراکنش]]="", "",IF( Tarakonesh[[#This Row],[تراکنش]]="انتقال",L219,IF(Tarakonesh[[#This Row],[تراکنش]]="دریافت_درآمد",(Tarakonesh[[#This Row],[مبلغ (ریال)]]+IF(Tarakonesh[[#This Row],[تراکنش]]="انتقال",0,L219)),((IF(Tarakonesh[[#This Row],[تراکنش]]="انتقال",0,L219))-Tarakonesh[[#This Row],[مبلغ (ریال)]]))))</f>
        <v/>
      </c>
      <c r="M220" s="31"/>
      <c r="N220" s="31"/>
    </row>
    <row r="221" spans="1:14">
      <c r="A221" s="26">
        <v>214</v>
      </c>
      <c r="B221" s="27"/>
      <c r="C221" s="31"/>
      <c r="D221" s="31"/>
      <c r="E221" s="39"/>
      <c r="F221" s="27"/>
      <c r="G221" s="27"/>
      <c r="H221" s="27"/>
      <c r="I221" s="25"/>
      <c r="J221" s="27"/>
      <c r="K221" s="27"/>
      <c r="L221" s="91" t="str">
        <f>IF( Tarakonesh[[#This Row],[تراکنش]]="", "",IF( Tarakonesh[[#This Row],[تراکنش]]="انتقال",L220,IF(Tarakonesh[[#This Row],[تراکنش]]="دریافت_درآمد",(Tarakonesh[[#This Row],[مبلغ (ریال)]]+IF(Tarakonesh[[#This Row],[تراکنش]]="انتقال",0,L220)),((IF(Tarakonesh[[#This Row],[تراکنش]]="انتقال",0,L220))-Tarakonesh[[#This Row],[مبلغ (ریال)]]))))</f>
        <v/>
      </c>
      <c r="M221" s="31"/>
      <c r="N221" s="31"/>
    </row>
    <row r="222" spans="1:14">
      <c r="A222" s="26">
        <v>215</v>
      </c>
      <c r="B222" s="27"/>
      <c r="C222" s="31"/>
      <c r="D222" s="31"/>
      <c r="E222" s="39"/>
      <c r="F222" s="27"/>
      <c r="G222" s="27"/>
      <c r="H222" s="27"/>
      <c r="I222" s="25"/>
      <c r="J222" s="27"/>
      <c r="K222" s="27"/>
      <c r="L222" s="91" t="str">
        <f>IF( Tarakonesh[[#This Row],[تراکنش]]="", "",IF( Tarakonesh[[#This Row],[تراکنش]]="انتقال",L221,IF(Tarakonesh[[#This Row],[تراکنش]]="دریافت_درآمد",(Tarakonesh[[#This Row],[مبلغ (ریال)]]+IF(Tarakonesh[[#This Row],[تراکنش]]="انتقال",0,L221)),((IF(Tarakonesh[[#This Row],[تراکنش]]="انتقال",0,L221))-Tarakonesh[[#This Row],[مبلغ (ریال)]]))))</f>
        <v/>
      </c>
      <c r="M222" s="31"/>
      <c r="N222" s="31"/>
    </row>
    <row r="223" spans="1:14">
      <c r="A223" s="26">
        <v>216</v>
      </c>
      <c r="B223" s="27"/>
      <c r="C223" s="31"/>
      <c r="D223" s="31"/>
      <c r="E223" s="39"/>
      <c r="F223" s="27"/>
      <c r="G223" s="27"/>
      <c r="H223" s="27"/>
      <c r="I223" s="25"/>
      <c r="J223" s="27"/>
      <c r="K223" s="27"/>
      <c r="L223" s="91" t="str">
        <f>IF( Tarakonesh[[#This Row],[تراکنش]]="", "",IF( Tarakonesh[[#This Row],[تراکنش]]="انتقال",L222,IF(Tarakonesh[[#This Row],[تراکنش]]="دریافت_درآمد",(Tarakonesh[[#This Row],[مبلغ (ریال)]]+IF(Tarakonesh[[#This Row],[تراکنش]]="انتقال",0,L222)),((IF(Tarakonesh[[#This Row],[تراکنش]]="انتقال",0,L222))-Tarakonesh[[#This Row],[مبلغ (ریال)]]))))</f>
        <v/>
      </c>
      <c r="M223" s="31"/>
      <c r="N223" s="31"/>
    </row>
    <row r="224" spans="1:14">
      <c r="A224" s="26">
        <v>217</v>
      </c>
      <c r="B224" s="27"/>
      <c r="C224" s="31"/>
      <c r="D224" s="31"/>
      <c r="E224" s="39"/>
      <c r="F224" s="27"/>
      <c r="G224" s="27"/>
      <c r="H224" s="27"/>
      <c r="I224" s="25"/>
      <c r="J224" s="27"/>
      <c r="K224" s="27"/>
      <c r="L224" s="91" t="str">
        <f>IF( Tarakonesh[[#This Row],[تراکنش]]="", "",IF( Tarakonesh[[#This Row],[تراکنش]]="انتقال",L223,IF(Tarakonesh[[#This Row],[تراکنش]]="دریافت_درآمد",(Tarakonesh[[#This Row],[مبلغ (ریال)]]+IF(Tarakonesh[[#This Row],[تراکنش]]="انتقال",0,L223)),((IF(Tarakonesh[[#This Row],[تراکنش]]="انتقال",0,L223))-Tarakonesh[[#This Row],[مبلغ (ریال)]]))))</f>
        <v/>
      </c>
      <c r="M224" s="31"/>
      <c r="N224" s="31"/>
    </row>
    <row r="225" spans="1:14">
      <c r="A225" s="26">
        <v>218</v>
      </c>
      <c r="B225" s="27"/>
      <c r="C225" s="31"/>
      <c r="D225" s="31"/>
      <c r="E225" s="39"/>
      <c r="F225" s="27"/>
      <c r="G225" s="27"/>
      <c r="H225" s="27"/>
      <c r="I225" s="25"/>
      <c r="J225" s="27"/>
      <c r="K225" s="27"/>
      <c r="L225" s="91" t="str">
        <f>IF( Tarakonesh[[#This Row],[تراکنش]]="", "",IF( Tarakonesh[[#This Row],[تراکنش]]="انتقال",L224,IF(Tarakonesh[[#This Row],[تراکنش]]="دریافت_درآمد",(Tarakonesh[[#This Row],[مبلغ (ریال)]]+IF(Tarakonesh[[#This Row],[تراکنش]]="انتقال",0,L224)),((IF(Tarakonesh[[#This Row],[تراکنش]]="انتقال",0,L224))-Tarakonesh[[#This Row],[مبلغ (ریال)]]))))</f>
        <v/>
      </c>
      <c r="M225" s="31"/>
      <c r="N225" s="31"/>
    </row>
    <row r="226" spans="1:14">
      <c r="A226" s="26">
        <v>219</v>
      </c>
      <c r="B226" s="27"/>
      <c r="C226" s="31"/>
      <c r="D226" s="31"/>
      <c r="E226" s="39"/>
      <c r="F226" s="27"/>
      <c r="G226" s="27"/>
      <c r="H226" s="27"/>
      <c r="I226" s="25"/>
      <c r="J226" s="27"/>
      <c r="K226" s="27"/>
      <c r="L226" s="91" t="str">
        <f>IF( Tarakonesh[[#This Row],[تراکنش]]="", "",IF( Tarakonesh[[#This Row],[تراکنش]]="انتقال",L225,IF(Tarakonesh[[#This Row],[تراکنش]]="دریافت_درآمد",(Tarakonesh[[#This Row],[مبلغ (ریال)]]+IF(Tarakonesh[[#This Row],[تراکنش]]="انتقال",0,L225)),((IF(Tarakonesh[[#This Row],[تراکنش]]="انتقال",0,L225))-Tarakonesh[[#This Row],[مبلغ (ریال)]]))))</f>
        <v/>
      </c>
      <c r="M226" s="31"/>
      <c r="N226" s="31"/>
    </row>
    <row r="227" spans="1:14">
      <c r="A227" s="26">
        <v>220</v>
      </c>
      <c r="B227" s="27"/>
      <c r="C227" s="31"/>
      <c r="D227" s="31"/>
      <c r="E227" s="39"/>
      <c r="F227" s="27"/>
      <c r="G227" s="27"/>
      <c r="H227" s="27"/>
      <c r="I227" s="25"/>
      <c r="J227" s="27"/>
      <c r="K227" s="27"/>
      <c r="L227" s="91" t="str">
        <f>IF( Tarakonesh[[#This Row],[تراکنش]]="", "",IF( Tarakonesh[[#This Row],[تراکنش]]="انتقال",L226,IF(Tarakonesh[[#This Row],[تراکنش]]="دریافت_درآمد",(Tarakonesh[[#This Row],[مبلغ (ریال)]]+IF(Tarakonesh[[#This Row],[تراکنش]]="انتقال",0,L226)),((IF(Tarakonesh[[#This Row],[تراکنش]]="انتقال",0,L226))-Tarakonesh[[#This Row],[مبلغ (ریال)]]))))</f>
        <v/>
      </c>
      <c r="M227" s="31"/>
      <c r="N227" s="31"/>
    </row>
    <row r="228" spans="1:14">
      <c r="A228" s="26">
        <v>221</v>
      </c>
      <c r="B228" s="27"/>
      <c r="C228" s="31"/>
      <c r="D228" s="31"/>
      <c r="E228" s="39"/>
      <c r="F228" s="27"/>
      <c r="G228" s="27"/>
      <c r="H228" s="27"/>
      <c r="I228" s="25"/>
      <c r="J228" s="27"/>
      <c r="K228" s="27"/>
      <c r="L228" s="91" t="str">
        <f>IF( Tarakonesh[[#This Row],[تراکنش]]="", "",IF( Tarakonesh[[#This Row],[تراکنش]]="انتقال",L227,IF(Tarakonesh[[#This Row],[تراکنش]]="دریافت_درآمد",(Tarakonesh[[#This Row],[مبلغ (ریال)]]+IF(Tarakonesh[[#This Row],[تراکنش]]="انتقال",0,L227)),((IF(Tarakonesh[[#This Row],[تراکنش]]="انتقال",0,L227))-Tarakonesh[[#This Row],[مبلغ (ریال)]]))))</f>
        <v/>
      </c>
      <c r="M228" s="31"/>
      <c r="N228" s="31"/>
    </row>
    <row r="229" spans="1:14">
      <c r="A229" s="26">
        <v>222</v>
      </c>
      <c r="B229" s="27"/>
      <c r="C229" s="31"/>
      <c r="D229" s="31"/>
      <c r="E229" s="39"/>
      <c r="F229" s="27"/>
      <c r="G229" s="27"/>
      <c r="H229" s="27"/>
      <c r="I229" s="25"/>
      <c r="J229" s="27"/>
      <c r="K229" s="27"/>
      <c r="L229" s="91" t="str">
        <f>IF( Tarakonesh[[#This Row],[تراکنش]]="", "",IF( Tarakonesh[[#This Row],[تراکنش]]="انتقال",L228,IF(Tarakonesh[[#This Row],[تراکنش]]="دریافت_درآمد",(Tarakonesh[[#This Row],[مبلغ (ریال)]]+IF(Tarakonesh[[#This Row],[تراکنش]]="انتقال",0,L228)),((IF(Tarakonesh[[#This Row],[تراکنش]]="انتقال",0,L228))-Tarakonesh[[#This Row],[مبلغ (ریال)]]))))</f>
        <v/>
      </c>
      <c r="M229" s="31"/>
      <c r="N229" s="31"/>
    </row>
    <row r="230" spans="1:14">
      <c r="A230" s="26">
        <v>223</v>
      </c>
      <c r="B230" s="27"/>
      <c r="C230" s="31"/>
      <c r="D230" s="31"/>
      <c r="E230" s="39"/>
      <c r="F230" s="27"/>
      <c r="G230" s="27"/>
      <c r="H230" s="27"/>
      <c r="I230" s="25"/>
      <c r="J230" s="27"/>
      <c r="K230" s="27"/>
      <c r="L230" s="91" t="str">
        <f>IF( Tarakonesh[[#This Row],[تراکنش]]="", "",IF( Tarakonesh[[#This Row],[تراکنش]]="انتقال",L229,IF(Tarakonesh[[#This Row],[تراکنش]]="دریافت_درآمد",(Tarakonesh[[#This Row],[مبلغ (ریال)]]+IF(Tarakonesh[[#This Row],[تراکنش]]="انتقال",0,L229)),((IF(Tarakonesh[[#This Row],[تراکنش]]="انتقال",0,L229))-Tarakonesh[[#This Row],[مبلغ (ریال)]]))))</f>
        <v/>
      </c>
      <c r="M230" s="31"/>
      <c r="N230" s="31"/>
    </row>
    <row r="231" spans="1:14">
      <c r="A231" s="26">
        <v>224</v>
      </c>
      <c r="B231" s="27"/>
      <c r="C231" s="31"/>
      <c r="D231" s="31"/>
      <c r="E231" s="39"/>
      <c r="F231" s="27"/>
      <c r="G231" s="27"/>
      <c r="H231" s="27"/>
      <c r="I231" s="25"/>
      <c r="J231" s="27"/>
      <c r="K231" s="27"/>
      <c r="L231" s="91" t="str">
        <f>IF( Tarakonesh[[#This Row],[تراکنش]]="", "",IF( Tarakonesh[[#This Row],[تراکنش]]="انتقال",L230,IF(Tarakonesh[[#This Row],[تراکنش]]="دریافت_درآمد",(Tarakonesh[[#This Row],[مبلغ (ریال)]]+IF(Tarakonesh[[#This Row],[تراکنش]]="انتقال",0,L230)),((IF(Tarakonesh[[#This Row],[تراکنش]]="انتقال",0,L230))-Tarakonesh[[#This Row],[مبلغ (ریال)]]))))</f>
        <v/>
      </c>
      <c r="M231" s="31"/>
      <c r="N231" s="31"/>
    </row>
    <row r="232" spans="1:14">
      <c r="A232" s="26">
        <v>225</v>
      </c>
      <c r="B232" s="27"/>
      <c r="C232" s="31"/>
      <c r="D232" s="31"/>
      <c r="E232" s="39"/>
      <c r="F232" s="27"/>
      <c r="G232" s="27"/>
      <c r="H232" s="27"/>
      <c r="I232" s="25"/>
      <c r="J232" s="27"/>
      <c r="K232" s="27"/>
      <c r="L232" s="91" t="str">
        <f>IF( Tarakonesh[[#This Row],[تراکنش]]="", "",IF( Tarakonesh[[#This Row],[تراکنش]]="انتقال",L231,IF(Tarakonesh[[#This Row],[تراکنش]]="دریافت_درآمد",(Tarakonesh[[#This Row],[مبلغ (ریال)]]+IF(Tarakonesh[[#This Row],[تراکنش]]="انتقال",0,L231)),((IF(Tarakonesh[[#This Row],[تراکنش]]="انتقال",0,L231))-Tarakonesh[[#This Row],[مبلغ (ریال)]]))))</f>
        <v/>
      </c>
      <c r="M232" s="31"/>
      <c r="N232" s="31"/>
    </row>
    <row r="233" spans="1:14">
      <c r="A233" s="26">
        <v>226</v>
      </c>
      <c r="B233" s="27"/>
      <c r="C233" s="31"/>
      <c r="D233" s="31"/>
      <c r="E233" s="39"/>
      <c r="F233" s="27"/>
      <c r="G233" s="27"/>
      <c r="H233" s="27"/>
      <c r="I233" s="25"/>
      <c r="J233" s="27"/>
      <c r="K233" s="27"/>
      <c r="L233" s="91" t="str">
        <f>IF( Tarakonesh[[#This Row],[تراکنش]]="", "",IF( Tarakonesh[[#This Row],[تراکنش]]="انتقال",L232,IF(Tarakonesh[[#This Row],[تراکنش]]="دریافت_درآمد",(Tarakonesh[[#This Row],[مبلغ (ریال)]]+IF(Tarakonesh[[#This Row],[تراکنش]]="انتقال",0,L232)),((IF(Tarakonesh[[#This Row],[تراکنش]]="انتقال",0,L232))-Tarakonesh[[#This Row],[مبلغ (ریال)]]))))</f>
        <v/>
      </c>
      <c r="M233" s="31"/>
      <c r="N233" s="31"/>
    </row>
    <row r="234" spans="1:14">
      <c r="A234" s="26">
        <v>227</v>
      </c>
      <c r="B234" s="27"/>
      <c r="C234" s="31"/>
      <c r="D234" s="31"/>
      <c r="E234" s="39"/>
      <c r="F234" s="27"/>
      <c r="G234" s="27"/>
      <c r="H234" s="27"/>
      <c r="I234" s="25"/>
      <c r="J234" s="27"/>
      <c r="K234" s="27"/>
      <c r="L234" s="91" t="str">
        <f>IF( Tarakonesh[[#This Row],[تراکنش]]="", "",IF( Tarakonesh[[#This Row],[تراکنش]]="انتقال",L233,IF(Tarakonesh[[#This Row],[تراکنش]]="دریافت_درآمد",(Tarakonesh[[#This Row],[مبلغ (ریال)]]+IF(Tarakonesh[[#This Row],[تراکنش]]="انتقال",0,L233)),((IF(Tarakonesh[[#This Row],[تراکنش]]="انتقال",0,L233))-Tarakonesh[[#This Row],[مبلغ (ریال)]]))))</f>
        <v/>
      </c>
      <c r="M234" s="31"/>
      <c r="N234" s="31"/>
    </row>
    <row r="235" spans="1:14">
      <c r="A235" s="26">
        <v>228</v>
      </c>
      <c r="B235" s="27"/>
      <c r="C235" s="31"/>
      <c r="D235" s="31"/>
      <c r="E235" s="39"/>
      <c r="F235" s="27"/>
      <c r="G235" s="27"/>
      <c r="H235" s="27"/>
      <c r="I235" s="25"/>
      <c r="J235" s="27"/>
      <c r="K235" s="27"/>
      <c r="L235" s="91" t="str">
        <f>IF( Tarakonesh[[#This Row],[تراکنش]]="", "",IF( Tarakonesh[[#This Row],[تراکنش]]="انتقال",L234,IF(Tarakonesh[[#This Row],[تراکنش]]="دریافت_درآمد",(Tarakonesh[[#This Row],[مبلغ (ریال)]]+IF(Tarakonesh[[#This Row],[تراکنش]]="انتقال",0,L234)),((IF(Tarakonesh[[#This Row],[تراکنش]]="انتقال",0,L234))-Tarakonesh[[#This Row],[مبلغ (ریال)]]))))</f>
        <v/>
      </c>
      <c r="M235" s="31"/>
      <c r="N235" s="31"/>
    </row>
    <row r="236" spans="1:14">
      <c r="A236" s="26">
        <v>229</v>
      </c>
      <c r="B236" s="27"/>
      <c r="C236" s="31"/>
      <c r="D236" s="31"/>
      <c r="E236" s="39"/>
      <c r="F236" s="27"/>
      <c r="G236" s="27"/>
      <c r="H236" s="27"/>
      <c r="I236" s="25"/>
      <c r="J236" s="27"/>
      <c r="K236" s="27"/>
      <c r="L236" s="91" t="str">
        <f>IF( Tarakonesh[[#This Row],[تراکنش]]="", "",IF( Tarakonesh[[#This Row],[تراکنش]]="انتقال",L235,IF(Tarakonesh[[#This Row],[تراکنش]]="دریافت_درآمد",(Tarakonesh[[#This Row],[مبلغ (ریال)]]+IF(Tarakonesh[[#This Row],[تراکنش]]="انتقال",0,L235)),((IF(Tarakonesh[[#This Row],[تراکنش]]="انتقال",0,L235))-Tarakonesh[[#This Row],[مبلغ (ریال)]]))))</f>
        <v/>
      </c>
      <c r="M236" s="31"/>
      <c r="N236" s="31"/>
    </row>
    <row r="237" spans="1:14">
      <c r="A237" s="26">
        <v>230</v>
      </c>
      <c r="B237" s="27"/>
      <c r="C237" s="31"/>
      <c r="D237" s="31"/>
      <c r="E237" s="39"/>
      <c r="F237" s="27"/>
      <c r="G237" s="27"/>
      <c r="H237" s="27"/>
      <c r="I237" s="25"/>
      <c r="J237" s="27"/>
      <c r="K237" s="27"/>
      <c r="L237" s="91" t="str">
        <f>IF( Tarakonesh[[#This Row],[تراکنش]]="", "",IF( Tarakonesh[[#This Row],[تراکنش]]="انتقال",L236,IF(Tarakonesh[[#This Row],[تراکنش]]="دریافت_درآمد",(Tarakonesh[[#This Row],[مبلغ (ریال)]]+IF(Tarakonesh[[#This Row],[تراکنش]]="انتقال",0,L236)),((IF(Tarakonesh[[#This Row],[تراکنش]]="انتقال",0,L236))-Tarakonesh[[#This Row],[مبلغ (ریال)]]))))</f>
        <v/>
      </c>
      <c r="M237" s="31"/>
      <c r="N237" s="31"/>
    </row>
    <row r="238" spans="1:14">
      <c r="A238" s="26">
        <v>231</v>
      </c>
      <c r="B238" s="27"/>
      <c r="C238" s="31"/>
      <c r="D238" s="31"/>
      <c r="E238" s="39"/>
      <c r="F238" s="27"/>
      <c r="G238" s="27"/>
      <c r="H238" s="27"/>
      <c r="I238" s="25"/>
      <c r="J238" s="27"/>
      <c r="K238" s="27"/>
      <c r="L238" s="91" t="str">
        <f>IF( Tarakonesh[[#This Row],[تراکنش]]="", "",IF( Tarakonesh[[#This Row],[تراکنش]]="انتقال",L237,IF(Tarakonesh[[#This Row],[تراکنش]]="دریافت_درآمد",(Tarakonesh[[#This Row],[مبلغ (ریال)]]+IF(Tarakonesh[[#This Row],[تراکنش]]="انتقال",0,L237)),((IF(Tarakonesh[[#This Row],[تراکنش]]="انتقال",0,L237))-Tarakonesh[[#This Row],[مبلغ (ریال)]]))))</f>
        <v/>
      </c>
      <c r="M238" s="31"/>
      <c r="N238" s="31"/>
    </row>
    <row r="239" spans="1:14">
      <c r="A239" s="26">
        <v>232</v>
      </c>
      <c r="B239" s="27"/>
      <c r="C239" s="31"/>
      <c r="D239" s="31"/>
      <c r="E239" s="39"/>
      <c r="F239" s="27"/>
      <c r="G239" s="27"/>
      <c r="H239" s="27"/>
      <c r="I239" s="25"/>
      <c r="J239" s="27"/>
      <c r="K239" s="27"/>
      <c r="L239" s="91" t="str">
        <f>IF( Tarakonesh[[#This Row],[تراکنش]]="", "",IF( Tarakonesh[[#This Row],[تراکنش]]="انتقال",L238,IF(Tarakonesh[[#This Row],[تراکنش]]="دریافت_درآمد",(Tarakonesh[[#This Row],[مبلغ (ریال)]]+IF(Tarakonesh[[#This Row],[تراکنش]]="انتقال",0,L238)),((IF(Tarakonesh[[#This Row],[تراکنش]]="انتقال",0,L238))-Tarakonesh[[#This Row],[مبلغ (ریال)]]))))</f>
        <v/>
      </c>
      <c r="M239" s="31"/>
      <c r="N239" s="31"/>
    </row>
    <row r="240" spans="1:14">
      <c r="A240" s="26">
        <v>233</v>
      </c>
      <c r="B240" s="27"/>
      <c r="C240" s="31"/>
      <c r="D240" s="31"/>
      <c r="E240" s="39"/>
      <c r="F240" s="27"/>
      <c r="G240" s="27"/>
      <c r="H240" s="27"/>
      <c r="I240" s="25"/>
      <c r="J240" s="27"/>
      <c r="K240" s="27"/>
      <c r="L240" s="91" t="str">
        <f>IF( Tarakonesh[[#This Row],[تراکنش]]="", "",IF( Tarakonesh[[#This Row],[تراکنش]]="انتقال",L239,IF(Tarakonesh[[#This Row],[تراکنش]]="دریافت_درآمد",(Tarakonesh[[#This Row],[مبلغ (ریال)]]+IF(Tarakonesh[[#This Row],[تراکنش]]="انتقال",0,L239)),((IF(Tarakonesh[[#This Row],[تراکنش]]="انتقال",0,L239))-Tarakonesh[[#This Row],[مبلغ (ریال)]]))))</f>
        <v/>
      </c>
      <c r="M240" s="31"/>
      <c r="N240" s="31"/>
    </row>
    <row r="241" spans="1:14">
      <c r="A241" s="26">
        <v>234</v>
      </c>
      <c r="B241" s="27"/>
      <c r="C241" s="31"/>
      <c r="D241" s="31"/>
      <c r="E241" s="39"/>
      <c r="F241" s="27"/>
      <c r="G241" s="27"/>
      <c r="H241" s="27"/>
      <c r="I241" s="25"/>
      <c r="J241" s="27"/>
      <c r="K241" s="27"/>
      <c r="L241" s="91" t="str">
        <f>IF( Tarakonesh[[#This Row],[تراکنش]]="", "",IF( Tarakonesh[[#This Row],[تراکنش]]="انتقال",L240,IF(Tarakonesh[[#This Row],[تراکنش]]="دریافت_درآمد",(Tarakonesh[[#This Row],[مبلغ (ریال)]]+IF(Tarakonesh[[#This Row],[تراکنش]]="انتقال",0,L240)),((IF(Tarakonesh[[#This Row],[تراکنش]]="انتقال",0,L240))-Tarakonesh[[#This Row],[مبلغ (ریال)]]))))</f>
        <v/>
      </c>
      <c r="M241" s="31"/>
      <c r="N241" s="31"/>
    </row>
    <row r="242" spans="1:14">
      <c r="A242" s="26">
        <v>235</v>
      </c>
      <c r="B242" s="27"/>
      <c r="C242" s="31"/>
      <c r="D242" s="31"/>
      <c r="E242" s="39"/>
      <c r="F242" s="27"/>
      <c r="G242" s="27"/>
      <c r="H242" s="27"/>
      <c r="I242" s="25"/>
      <c r="J242" s="27"/>
      <c r="K242" s="27"/>
      <c r="L242" s="91" t="str">
        <f>IF( Tarakonesh[[#This Row],[تراکنش]]="", "",IF( Tarakonesh[[#This Row],[تراکنش]]="انتقال",L241,IF(Tarakonesh[[#This Row],[تراکنش]]="دریافت_درآمد",(Tarakonesh[[#This Row],[مبلغ (ریال)]]+IF(Tarakonesh[[#This Row],[تراکنش]]="انتقال",0,L241)),((IF(Tarakonesh[[#This Row],[تراکنش]]="انتقال",0,L241))-Tarakonesh[[#This Row],[مبلغ (ریال)]]))))</f>
        <v/>
      </c>
      <c r="M242" s="31"/>
      <c r="N242" s="31"/>
    </row>
    <row r="243" spans="1:14">
      <c r="A243" s="26">
        <v>236</v>
      </c>
      <c r="B243" s="27"/>
      <c r="C243" s="31"/>
      <c r="D243" s="31"/>
      <c r="E243" s="39"/>
      <c r="F243" s="27"/>
      <c r="G243" s="27"/>
      <c r="H243" s="27"/>
      <c r="I243" s="25"/>
      <c r="J243" s="27"/>
      <c r="K243" s="27"/>
      <c r="L243" s="91" t="str">
        <f>IF( Tarakonesh[[#This Row],[تراکنش]]="", "",IF( Tarakonesh[[#This Row],[تراکنش]]="انتقال",L242,IF(Tarakonesh[[#This Row],[تراکنش]]="دریافت_درآمد",(Tarakonesh[[#This Row],[مبلغ (ریال)]]+IF(Tarakonesh[[#This Row],[تراکنش]]="انتقال",0,L242)),((IF(Tarakonesh[[#This Row],[تراکنش]]="انتقال",0,L242))-Tarakonesh[[#This Row],[مبلغ (ریال)]]))))</f>
        <v/>
      </c>
      <c r="M243" s="31"/>
      <c r="N243" s="31"/>
    </row>
    <row r="244" spans="1:14">
      <c r="A244" s="26">
        <v>237</v>
      </c>
      <c r="B244" s="27"/>
      <c r="C244" s="31"/>
      <c r="D244" s="31"/>
      <c r="E244" s="39"/>
      <c r="F244" s="27"/>
      <c r="G244" s="27"/>
      <c r="H244" s="27"/>
      <c r="I244" s="25"/>
      <c r="J244" s="27"/>
      <c r="K244" s="27"/>
      <c r="L244" s="91" t="str">
        <f>IF( Tarakonesh[[#This Row],[تراکنش]]="", "",IF( Tarakonesh[[#This Row],[تراکنش]]="انتقال",L243,IF(Tarakonesh[[#This Row],[تراکنش]]="دریافت_درآمد",(Tarakonesh[[#This Row],[مبلغ (ریال)]]+IF(Tarakonesh[[#This Row],[تراکنش]]="انتقال",0,L243)),((IF(Tarakonesh[[#This Row],[تراکنش]]="انتقال",0,L243))-Tarakonesh[[#This Row],[مبلغ (ریال)]]))))</f>
        <v/>
      </c>
      <c r="M244" s="31"/>
      <c r="N244" s="31"/>
    </row>
    <row r="245" spans="1:14">
      <c r="A245" s="26">
        <v>238</v>
      </c>
      <c r="B245" s="27"/>
      <c r="C245" s="31"/>
      <c r="D245" s="31"/>
      <c r="E245" s="39"/>
      <c r="F245" s="27"/>
      <c r="G245" s="27"/>
      <c r="H245" s="27"/>
      <c r="I245" s="25"/>
      <c r="J245" s="27"/>
      <c r="K245" s="27"/>
      <c r="L245" s="91" t="str">
        <f>IF( Tarakonesh[[#This Row],[تراکنش]]="", "",IF( Tarakonesh[[#This Row],[تراکنش]]="انتقال",L244,IF(Tarakonesh[[#This Row],[تراکنش]]="دریافت_درآمد",(Tarakonesh[[#This Row],[مبلغ (ریال)]]+IF(Tarakonesh[[#This Row],[تراکنش]]="انتقال",0,L244)),((IF(Tarakonesh[[#This Row],[تراکنش]]="انتقال",0,L244))-Tarakonesh[[#This Row],[مبلغ (ریال)]]))))</f>
        <v/>
      </c>
      <c r="M245" s="31"/>
      <c r="N245" s="31"/>
    </row>
    <row r="246" spans="1:14">
      <c r="A246" s="26">
        <v>239</v>
      </c>
      <c r="B246" s="27"/>
      <c r="C246" s="31"/>
      <c r="D246" s="31"/>
      <c r="E246" s="39"/>
      <c r="F246" s="27"/>
      <c r="G246" s="27"/>
      <c r="H246" s="27"/>
      <c r="I246" s="25"/>
      <c r="J246" s="27"/>
      <c r="K246" s="27"/>
      <c r="L246" s="91" t="str">
        <f>IF( Tarakonesh[[#This Row],[تراکنش]]="", "",IF( Tarakonesh[[#This Row],[تراکنش]]="انتقال",L245,IF(Tarakonesh[[#This Row],[تراکنش]]="دریافت_درآمد",(Tarakonesh[[#This Row],[مبلغ (ریال)]]+IF(Tarakonesh[[#This Row],[تراکنش]]="انتقال",0,L245)),((IF(Tarakonesh[[#This Row],[تراکنش]]="انتقال",0,L245))-Tarakonesh[[#This Row],[مبلغ (ریال)]]))))</f>
        <v/>
      </c>
      <c r="M246" s="31"/>
      <c r="N246" s="31"/>
    </row>
    <row r="247" spans="1:14">
      <c r="A247" s="26">
        <v>240</v>
      </c>
      <c r="B247" s="27"/>
      <c r="C247" s="31"/>
      <c r="D247" s="31"/>
      <c r="E247" s="39"/>
      <c r="F247" s="27"/>
      <c r="G247" s="27"/>
      <c r="H247" s="27"/>
      <c r="I247" s="25"/>
      <c r="J247" s="27"/>
      <c r="K247" s="27"/>
      <c r="L247" s="91" t="str">
        <f>IF( Tarakonesh[[#This Row],[تراکنش]]="", "",IF( Tarakonesh[[#This Row],[تراکنش]]="انتقال",L246,IF(Tarakonesh[[#This Row],[تراکنش]]="دریافت_درآمد",(Tarakonesh[[#This Row],[مبلغ (ریال)]]+IF(Tarakonesh[[#This Row],[تراکنش]]="انتقال",0,L246)),((IF(Tarakonesh[[#This Row],[تراکنش]]="انتقال",0,L246))-Tarakonesh[[#This Row],[مبلغ (ریال)]]))))</f>
        <v/>
      </c>
      <c r="M247" s="31"/>
      <c r="N247" s="31"/>
    </row>
    <row r="248" spans="1:14">
      <c r="A248" s="26">
        <v>241</v>
      </c>
      <c r="B248" s="27"/>
      <c r="C248" s="31"/>
      <c r="D248" s="31"/>
      <c r="E248" s="39"/>
      <c r="F248" s="27"/>
      <c r="G248" s="27"/>
      <c r="H248" s="27"/>
      <c r="I248" s="25"/>
      <c r="J248" s="27"/>
      <c r="K248" s="27"/>
      <c r="L248" s="91" t="str">
        <f>IF( Tarakonesh[[#This Row],[تراکنش]]="", "",IF( Tarakonesh[[#This Row],[تراکنش]]="انتقال",L247,IF(Tarakonesh[[#This Row],[تراکنش]]="دریافت_درآمد",(Tarakonesh[[#This Row],[مبلغ (ریال)]]+IF(Tarakonesh[[#This Row],[تراکنش]]="انتقال",0,L247)),((IF(Tarakonesh[[#This Row],[تراکنش]]="انتقال",0,L247))-Tarakonesh[[#This Row],[مبلغ (ریال)]]))))</f>
        <v/>
      </c>
      <c r="M248" s="31"/>
      <c r="N248" s="31"/>
    </row>
    <row r="249" spans="1:14">
      <c r="A249" s="26">
        <v>242</v>
      </c>
      <c r="B249" s="27"/>
      <c r="C249" s="31"/>
      <c r="D249" s="31"/>
      <c r="E249" s="39"/>
      <c r="F249" s="27"/>
      <c r="G249" s="27"/>
      <c r="H249" s="27"/>
      <c r="I249" s="25"/>
      <c r="J249" s="27"/>
      <c r="K249" s="27"/>
      <c r="L249" s="91" t="str">
        <f>IF( Tarakonesh[[#This Row],[تراکنش]]="", "",IF( Tarakonesh[[#This Row],[تراکنش]]="انتقال",L248,IF(Tarakonesh[[#This Row],[تراکنش]]="دریافت_درآمد",(Tarakonesh[[#This Row],[مبلغ (ریال)]]+IF(Tarakonesh[[#This Row],[تراکنش]]="انتقال",0,L248)),((IF(Tarakonesh[[#This Row],[تراکنش]]="انتقال",0,L248))-Tarakonesh[[#This Row],[مبلغ (ریال)]]))))</f>
        <v/>
      </c>
      <c r="M249" s="31"/>
      <c r="N249" s="31"/>
    </row>
    <row r="250" spans="1:14">
      <c r="A250" s="26">
        <v>243</v>
      </c>
      <c r="B250" s="27"/>
      <c r="C250" s="31"/>
      <c r="D250" s="31"/>
      <c r="E250" s="39"/>
      <c r="F250" s="27"/>
      <c r="G250" s="27"/>
      <c r="H250" s="27"/>
      <c r="I250" s="25"/>
      <c r="J250" s="27"/>
      <c r="K250" s="27"/>
      <c r="L250" s="91" t="str">
        <f>IF( Tarakonesh[[#This Row],[تراکنش]]="", "",IF( Tarakonesh[[#This Row],[تراکنش]]="انتقال",L249,IF(Tarakonesh[[#This Row],[تراکنش]]="دریافت_درآمد",(Tarakonesh[[#This Row],[مبلغ (ریال)]]+IF(Tarakonesh[[#This Row],[تراکنش]]="انتقال",0,L249)),((IF(Tarakonesh[[#This Row],[تراکنش]]="انتقال",0,L249))-Tarakonesh[[#This Row],[مبلغ (ریال)]]))))</f>
        <v/>
      </c>
      <c r="M250" s="31"/>
      <c r="N250" s="31"/>
    </row>
    <row r="251" spans="1:14">
      <c r="A251" s="26">
        <v>244</v>
      </c>
      <c r="B251" s="27"/>
      <c r="C251" s="31"/>
      <c r="D251" s="31"/>
      <c r="E251" s="39"/>
      <c r="F251" s="27"/>
      <c r="G251" s="27"/>
      <c r="H251" s="27"/>
      <c r="I251" s="25"/>
      <c r="J251" s="27"/>
      <c r="K251" s="27"/>
      <c r="L251" s="91" t="str">
        <f>IF( Tarakonesh[[#This Row],[تراکنش]]="", "",IF( Tarakonesh[[#This Row],[تراکنش]]="انتقال",L250,IF(Tarakonesh[[#This Row],[تراکنش]]="دریافت_درآمد",(Tarakonesh[[#This Row],[مبلغ (ریال)]]+IF(Tarakonesh[[#This Row],[تراکنش]]="انتقال",0,L250)),((IF(Tarakonesh[[#This Row],[تراکنش]]="انتقال",0,L250))-Tarakonesh[[#This Row],[مبلغ (ریال)]]))))</f>
        <v/>
      </c>
      <c r="M251" s="31"/>
      <c r="N251" s="31"/>
    </row>
    <row r="252" spans="1:14">
      <c r="A252" s="26">
        <v>245</v>
      </c>
      <c r="B252" s="27"/>
      <c r="C252" s="31"/>
      <c r="D252" s="31"/>
      <c r="E252" s="39"/>
      <c r="F252" s="27"/>
      <c r="G252" s="27"/>
      <c r="H252" s="27"/>
      <c r="I252" s="25"/>
      <c r="J252" s="27"/>
      <c r="K252" s="27"/>
      <c r="L252" s="91" t="str">
        <f>IF( Tarakonesh[[#This Row],[تراکنش]]="", "",IF( Tarakonesh[[#This Row],[تراکنش]]="انتقال",L251,IF(Tarakonesh[[#This Row],[تراکنش]]="دریافت_درآمد",(Tarakonesh[[#This Row],[مبلغ (ریال)]]+IF(Tarakonesh[[#This Row],[تراکنش]]="انتقال",0,L251)),((IF(Tarakonesh[[#This Row],[تراکنش]]="انتقال",0,L251))-Tarakonesh[[#This Row],[مبلغ (ریال)]]))))</f>
        <v/>
      </c>
      <c r="M252" s="31"/>
      <c r="N252" s="31"/>
    </row>
    <row r="253" spans="1:14">
      <c r="A253" s="26">
        <v>246</v>
      </c>
      <c r="B253" s="27"/>
      <c r="C253" s="31"/>
      <c r="D253" s="31"/>
      <c r="E253" s="39"/>
      <c r="F253" s="27"/>
      <c r="G253" s="27"/>
      <c r="H253" s="27"/>
      <c r="I253" s="25"/>
      <c r="J253" s="27"/>
      <c r="K253" s="27"/>
      <c r="L253" s="91" t="str">
        <f>IF( Tarakonesh[[#This Row],[تراکنش]]="", "",IF( Tarakonesh[[#This Row],[تراکنش]]="انتقال",L252,IF(Tarakonesh[[#This Row],[تراکنش]]="دریافت_درآمد",(Tarakonesh[[#This Row],[مبلغ (ریال)]]+IF(Tarakonesh[[#This Row],[تراکنش]]="انتقال",0,L252)),((IF(Tarakonesh[[#This Row],[تراکنش]]="انتقال",0,L252))-Tarakonesh[[#This Row],[مبلغ (ریال)]]))))</f>
        <v/>
      </c>
      <c r="M253" s="31"/>
      <c r="N253" s="31"/>
    </row>
    <row r="254" spans="1:14">
      <c r="A254" s="26">
        <v>247</v>
      </c>
      <c r="B254" s="27"/>
      <c r="C254" s="31"/>
      <c r="D254" s="31"/>
      <c r="E254" s="39"/>
      <c r="F254" s="27"/>
      <c r="G254" s="27"/>
      <c r="H254" s="27"/>
      <c r="I254" s="25"/>
      <c r="J254" s="27"/>
      <c r="K254" s="27"/>
      <c r="L254" s="91" t="str">
        <f>IF( Tarakonesh[[#This Row],[تراکنش]]="", "",IF( Tarakonesh[[#This Row],[تراکنش]]="انتقال",L253,IF(Tarakonesh[[#This Row],[تراکنش]]="دریافت_درآمد",(Tarakonesh[[#This Row],[مبلغ (ریال)]]+IF(Tarakonesh[[#This Row],[تراکنش]]="انتقال",0,L253)),((IF(Tarakonesh[[#This Row],[تراکنش]]="انتقال",0,L253))-Tarakonesh[[#This Row],[مبلغ (ریال)]]))))</f>
        <v/>
      </c>
      <c r="M254" s="31"/>
      <c r="N254" s="31"/>
    </row>
    <row r="255" spans="1:14">
      <c r="A255" s="26">
        <v>248</v>
      </c>
      <c r="B255" s="27"/>
      <c r="C255" s="31"/>
      <c r="D255" s="31"/>
      <c r="E255" s="39"/>
      <c r="F255" s="27"/>
      <c r="G255" s="27"/>
      <c r="H255" s="27"/>
      <c r="I255" s="25"/>
      <c r="J255" s="27"/>
      <c r="K255" s="27"/>
      <c r="L255" s="91" t="str">
        <f>IF( Tarakonesh[[#This Row],[تراکنش]]="", "",IF( Tarakonesh[[#This Row],[تراکنش]]="انتقال",L254,IF(Tarakonesh[[#This Row],[تراکنش]]="دریافت_درآمد",(Tarakonesh[[#This Row],[مبلغ (ریال)]]+IF(Tarakonesh[[#This Row],[تراکنش]]="انتقال",0,L254)),((IF(Tarakonesh[[#This Row],[تراکنش]]="انتقال",0,L254))-Tarakonesh[[#This Row],[مبلغ (ریال)]]))))</f>
        <v/>
      </c>
      <c r="M255" s="31"/>
      <c r="N255" s="31"/>
    </row>
    <row r="256" spans="1:14">
      <c r="A256" s="26">
        <v>249</v>
      </c>
      <c r="B256" s="27"/>
      <c r="C256" s="31"/>
      <c r="D256" s="31"/>
      <c r="E256" s="39"/>
      <c r="F256" s="27"/>
      <c r="G256" s="27"/>
      <c r="H256" s="27"/>
      <c r="I256" s="25"/>
      <c r="J256" s="27"/>
      <c r="K256" s="27"/>
      <c r="L256" s="91" t="str">
        <f>IF( Tarakonesh[[#This Row],[تراکنش]]="", "",IF( Tarakonesh[[#This Row],[تراکنش]]="انتقال",L255,IF(Tarakonesh[[#This Row],[تراکنش]]="دریافت_درآمد",(Tarakonesh[[#This Row],[مبلغ (ریال)]]+IF(Tarakonesh[[#This Row],[تراکنش]]="انتقال",0,L255)),((IF(Tarakonesh[[#This Row],[تراکنش]]="انتقال",0,L255))-Tarakonesh[[#This Row],[مبلغ (ریال)]]))))</f>
        <v/>
      </c>
      <c r="M256" s="31"/>
      <c r="N256" s="31"/>
    </row>
    <row r="257" spans="1:14">
      <c r="A257" s="26">
        <v>250</v>
      </c>
      <c r="B257" s="27"/>
      <c r="C257" s="31"/>
      <c r="D257" s="31"/>
      <c r="E257" s="39"/>
      <c r="F257" s="27"/>
      <c r="G257" s="27"/>
      <c r="H257" s="27"/>
      <c r="I257" s="25"/>
      <c r="J257" s="27"/>
      <c r="K257" s="27"/>
      <c r="L257" s="91" t="str">
        <f>IF( Tarakonesh[[#This Row],[تراکنش]]="", "",IF( Tarakonesh[[#This Row],[تراکنش]]="انتقال",L256,IF(Tarakonesh[[#This Row],[تراکنش]]="دریافت_درآمد",(Tarakonesh[[#This Row],[مبلغ (ریال)]]+IF(Tarakonesh[[#This Row],[تراکنش]]="انتقال",0,L256)),((IF(Tarakonesh[[#This Row],[تراکنش]]="انتقال",0,L256))-Tarakonesh[[#This Row],[مبلغ (ریال)]]))))</f>
        <v/>
      </c>
      <c r="M257" s="31"/>
      <c r="N257" s="31"/>
    </row>
    <row r="258" spans="1:14">
      <c r="A258" s="26">
        <v>251</v>
      </c>
      <c r="B258" s="27"/>
      <c r="C258" s="31"/>
      <c r="D258" s="31"/>
      <c r="E258" s="39"/>
      <c r="F258" s="27"/>
      <c r="G258" s="27"/>
      <c r="H258" s="27"/>
      <c r="I258" s="25"/>
      <c r="J258" s="27"/>
      <c r="K258" s="27"/>
      <c r="L258" s="91" t="str">
        <f>IF( Tarakonesh[[#This Row],[تراکنش]]="", "",IF( Tarakonesh[[#This Row],[تراکنش]]="انتقال",L257,IF(Tarakonesh[[#This Row],[تراکنش]]="دریافت_درآمد",(Tarakonesh[[#This Row],[مبلغ (ریال)]]+IF(Tarakonesh[[#This Row],[تراکنش]]="انتقال",0,L257)),((IF(Tarakonesh[[#This Row],[تراکنش]]="انتقال",0,L257))-Tarakonesh[[#This Row],[مبلغ (ریال)]]))))</f>
        <v/>
      </c>
      <c r="M258" s="31"/>
      <c r="N258" s="31"/>
    </row>
    <row r="259" spans="1:14">
      <c r="A259" s="26">
        <v>252</v>
      </c>
      <c r="B259" s="27"/>
      <c r="C259" s="31"/>
      <c r="D259" s="31"/>
      <c r="E259" s="39"/>
      <c r="F259" s="27"/>
      <c r="G259" s="27"/>
      <c r="H259" s="27"/>
      <c r="I259" s="25"/>
      <c r="J259" s="27"/>
      <c r="K259" s="27"/>
      <c r="L259" s="91" t="str">
        <f>IF( Tarakonesh[[#This Row],[تراکنش]]="", "",IF( Tarakonesh[[#This Row],[تراکنش]]="انتقال",L258,IF(Tarakonesh[[#This Row],[تراکنش]]="دریافت_درآمد",(Tarakonesh[[#This Row],[مبلغ (ریال)]]+IF(Tarakonesh[[#This Row],[تراکنش]]="انتقال",0,L258)),((IF(Tarakonesh[[#This Row],[تراکنش]]="انتقال",0,L258))-Tarakonesh[[#This Row],[مبلغ (ریال)]]))))</f>
        <v/>
      </c>
      <c r="M259" s="31"/>
      <c r="N259" s="31"/>
    </row>
    <row r="260" spans="1:14">
      <c r="A260" s="26">
        <v>253</v>
      </c>
      <c r="B260" s="27"/>
      <c r="C260" s="31"/>
      <c r="D260" s="31"/>
      <c r="E260" s="39"/>
      <c r="F260" s="27"/>
      <c r="G260" s="27"/>
      <c r="H260" s="27"/>
      <c r="I260" s="25"/>
      <c r="J260" s="27"/>
      <c r="K260" s="27"/>
      <c r="L260" s="91" t="str">
        <f>IF( Tarakonesh[[#This Row],[تراکنش]]="", "",IF( Tarakonesh[[#This Row],[تراکنش]]="انتقال",L259,IF(Tarakonesh[[#This Row],[تراکنش]]="دریافت_درآمد",(Tarakonesh[[#This Row],[مبلغ (ریال)]]+IF(Tarakonesh[[#This Row],[تراکنش]]="انتقال",0,L259)),((IF(Tarakonesh[[#This Row],[تراکنش]]="انتقال",0,L259))-Tarakonesh[[#This Row],[مبلغ (ریال)]]))))</f>
        <v/>
      </c>
      <c r="M260" s="31"/>
      <c r="N260" s="31"/>
    </row>
    <row r="261" spans="1:14">
      <c r="A261" s="26">
        <v>254</v>
      </c>
      <c r="B261" s="27"/>
      <c r="C261" s="31"/>
      <c r="D261" s="31"/>
      <c r="E261" s="39"/>
      <c r="F261" s="27"/>
      <c r="G261" s="27"/>
      <c r="H261" s="27"/>
      <c r="I261" s="25"/>
      <c r="J261" s="27"/>
      <c r="K261" s="27"/>
      <c r="L261" s="91" t="str">
        <f>IF( Tarakonesh[[#This Row],[تراکنش]]="", "",IF( Tarakonesh[[#This Row],[تراکنش]]="انتقال",L260,IF(Tarakonesh[[#This Row],[تراکنش]]="دریافت_درآمد",(Tarakonesh[[#This Row],[مبلغ (ریال)]]+IF(Tarakonesh[[#This Row],[تراکنش]]="انتقال",0,L260)),((IF(Tarakonesh[[#This Row],[تراکنش]]="انتقال",0,L260))-Tarakonesh[[#This Row],[مبلغ (ریال)]]))))</f>
        <v/>
      </c>
      <c r="M261" s="31"/>
      <c r="N261" s="31"/>
    </row>
    <row r="262" spans="1:14">
      <c r="A262" s="26">
        <v>255</v>
      </c>
      <c r="B262" s="27"/>
      <c r="C262" s="31"/>
      <c r="D262" s="31"/>
      <c r="E262" s="39"/>
      <c r="F262" s="27"/>
      <c r="G262" s="27"/>
      <c r="H262" s="27"/>
      <c r="I262" s="25"/>
      <c r="J262" s="27"/>
      <c r="K262" s="27"/>
      <c r="L262" s="91" t="str">
        <f>IF( Tarakonesh[[#This Row],[تراکنش]]="", "",IF( Tarakonesh[[#This Row],[تراکنش]]="انتقال",L261,IF(Tarakonesh[[#This Row],[تراکنش]]="دریافت_درآمد",(Tarakonesh[[#This Row],[مبلغ (ریال)]]+IF(Tarakonesh[[#This Row],[تراکنش]]="انتقال",0,L261)),((IF(Tarakonesh[[#This Row],[تراکنش]]="انتقال",0,L261))-Tarakonesh[[#This Row],[مبلغ (ریال)]]))))</f>
        <v/>
      </c>
      <c r="M262" s="31"/>
      <c r="N262" s="31"/>
    </row>
    <row r="263" spans="1:14">
      <c r="A263" s="26">
        <v>256</v>
      </c>
      <c r="B263" s="27"/>
      <c r="C263" s="31"/>
      <c r="D263" s="31"/>
      <c r="E263" s="39"/>
      <c r="F263" s="27"/>
      <c r="G263" s="27"/>
      <c r="H263" s="27"/>
      <c r="I263" s="25"/>
      <c r="J263" s="27"/>
      <c r="K263" s="27"/>
      <c r="L263" s="91" t="str">
        <f>IF( Tarakonesh[[#This Row],[تراکنش]]="", "",IF( Tarakonesh[[#This Row],[تراکنش]]="انتقال",L262,IF(Tarakonesh[[#This Row],[تراکنش]]="دریافت_درآمد",(Tarakonesh[[#This Row],[مبلغ (ریال)]]+IF(Tarakonesh[[#This Row],[تراکنش]]="انتقال",0,L262)),((IF(Tarakonesh[[#This Row],[تراکنش]]="انتقال",0,L262))-Tarakonesh[[#This Row],[مبلغ (ریال)]]))))</f>
        <v/>
      </c>
      <c r="M263" s="31"/>
      <c r="N263" s="31"/>
    </row>
    <row r="264" spans="1:14">
      <c r="A264" s="26">
        <v>257</v>
      </c>
      <c r="B264" s="27"/>
      <c r="C264" s="31"/>
      <c r="D264" s="31"/>
      <c r="E264" s="39"/>
      <c r="F264" s="27"/>
      <c r="G264" s="27"/>
      <c r="H264" s="27"/>
      <c r="I264" s="25"/>
      <c r="J264" s="27"/>
      <c r="K264" s="27"/>
      <c r="L264" s="91" t="str">
        <f>IF( Tarakonesh[[#This Row],[تراکنش]]="", "",IF( Tarakonesh[[#This Row],[تراکنش]]="انتقال",L263,IF(Tarakonesh[[#This Row],[تراکنش]]="دریافت_درآمد",(Tarakonesh[[#This Row],[مبلغ (ریال)]]+IF(Tarakonesh[[#This Row],[تراکنش]]="انتقال",0,L263)),((IF(Tarakonesh[[#This Row],[تراکنش]]="انتقال",0,L263))-Tarakonesh[[#This Row],[مبلغ (ریال)]]))))</f>
        <v/>
      </c>
      <c r="M264" s="31"/>
      <c r="N264" s="31"/>
    </row>
    <row r="265" spans="1:14">
      <c r="A265" s="26">
        <v>258</v>
      </c>
      <c r="B265" s="27"/>
      <c r="C265" s="31"/>
      <c r="D265" s="31"/>
      <c r="E265" s="39"/>
      <c r="F265" s="27"/>
      <c r="G265" s="27"/>
      <c r="H265" s="27"/>
      <c r="I265" s="25"/>
      <c r="J265" s="27"/>
      <c r="K265" s="27"/>
      <c r="L265" s="91" t="str">
        <f>IF( Tarakonesh[[#This Row],[تراکنش]]="", "",IF( Tarakonesh[[#This Row],[تراکنش]]="انتقال",L264,IF(Tarakonesh[[#This Row],[تراکنش]]="دریافت_درآمد",(Tarakonesh[[#This Row],[مبلغ (ریال)]]+IF(Tarakonesh[[#This Row],[تراکنش]]="انتقال",0,L264)),((IF(Tarakonesh[[#This Row],[تراکنش]]="انتقال",0,L264))-Tarakonesh[[#This Row],[مبلغ (ریال)]]))))</f>
        <v/>
      </c>
      <c r="M265" s="31"/>
      <c r="N265" s="31"/>
    </row>
    <row r="266" spans="1:14">
      <c r="A266" s="26">
        <v>259</v>
      </c>
      <c r="B266" s="27"/>
      <c r="C266" s="31"/>
      <c r="D266" s="31"/>
      <c r="E266" s="39"/>
      <c r="F266" s="27"/>
      <c r="G266" s="27"/>
      <c r="H266" s="27"/>
      <c r="I266" s="25"/>
      <c r="J266" s="27"/>
      <c r="K266" s="27"/>
      <c r="L266" s="91" t="str">
        <f>IF( Tarakonesh[[#This Row],[تراکنش]]="", "",IF( Tarakonesh[[#This Row],[تراکنش]]="انتقال",L265,IF(Tarakonesh[[#This Row],[تراکنش]]="دریافت_درآمد",(Tarakonesh[[#This Row],[مبلغ (ریال)]]+IF(Tarakonesh[[#This Row],[تراکنش]]="انتقال",0,L265)),((IF(Tarakonesh[[#This Row],[تراکنش]]="انتقال",0,L265))-Tarakonesh[[#This Row],[مبلغ (ریال)]]))))</f>
        <v/>
      </c>
      <c r="M266" s="31"/>
      <c r="N266" s="31"/>
    </row>
    <row r="267" spans="1:14">
      <c r="A267" s="26">
        <v>260</v>
      </c>
      <c r="B267" s="27"/>
      <c r="C267" s="31"/>
      <c r="D267" s="31"/>
      <c r="E267" s="39"/>
      <c r="F267" s="27"/>
      <c r="G267" s="27"/>
      <c r="H267" s="27"/>
      <c r="I267" s="25"/>
      <c r="J267" s="27"/>
      <c r="K267" s="27"/>
      <c r="L267" s="91" t="str">
        <f>IF( Tarakonesh[[#This Row],[تراکنش]]="", "",IF( Tarakonesh[[#This Row],[تراکنش]]="انتقال",L266,IF(Tarakonesh[[#This Row],[تراکنش]]="دریافت_درآمد",(Tarakonesh[[#This Row],[مبلغ (ریال)]]+IF(Tarakonesh[[#This Row],[تراکنش]]="انتقال",0,L266)),((IF(Tarakonesh[[#This Row],[تراکنش]]="انتقال",0,L266))-Tarakonesh[[#This Row],[مبلغ (ریال)]]))))</f>
        <v/>
      </c>
      <c r="M267" s="31"/>
      <c r="N267" s="31"/>
    </row>
    <row r="268" spans="1:14">
      <c r="A268" s="26">
        <v>261</v>
      </c>
      <c r="B268" s="27"/>
      <c r="C268" s="31"/>
      <c r="D268" s="31"/>
      <c r="E268" s="39"/>
      <c r="F268" s="27"/>
      <c r="G268" s="27"/>
      <c r="H268" s="27"/>
      <c r="I268" s="25"/>
      <c r="J268" s="27"/>
      <c r="K268" s="27"/>
      <c r="L268" s="91" t="str">
        <f>IF( Tarakonesh[[#This Row],[تراکنش]]="", "",IF( Tarakonesh[[#This Row],[تراکنش]]="انتقال",L267,IF(Tarakonesh[[#This Row],[تراکنش]]="دریافت_درآمد",(Tarakonesh[[#This Row],[مبلغ (ریال)]]+IF(Tarakonesh[[#This Row],[تراکنش]]="انتقال",0,L267)),((IF(Tarakonesh[[#This Row],[تراکنش]]="انتقال",0,L267))-Tarakonesh[[#This Row],[مبلغ (ریال)]]))))</f>
        <v/>
      </c>
      <c r="M268" s="31"/>
      <c r="N268" s="31"/>
    </row>
    <row r="269" spans="1:14">
      <c r="A269" s="26">
        <v>262</v>
      </c>
      <c r="B269" s="27"/>
      <c r="C269" s="31"/>
      <c r="D269" s="31"/>
      <c r="E269" s="39"/>
      <c r="F269" s="27"/>
      <c r="G269" s="27"/>
      <c r="H269" s="27"/>
      <c r="I269" s="25"/>
      <c r="J269" s="27"/>
      <c r="K269" s="27"/>
      <c r="L269" s="91" t="str">
        <f>IF( Tarakonesh[[#This Row],[تراکنش]]="", "",IF( Tarakonesh[[#This Row],[تراکنش]]="انتقال",L268,IF(Tarakonesh[[#This Row],[تراکنش]]="دریافت_درآمد",(Tarakonesh[[#This Row],[مبلغ (ریال)]]+IF(Tarakonesh[[#This Row],[تراکنش]]="انتقال",0,L268)),((IF(Tarakonesh[[#This Row],[تراکنش]]="انتقال",0,L268))-Tarakonesh[[#This Row],[مبلغ (ریال)]]))))</f>
        <v/>
      </c>
      <c r="M269" s="31"/>
      <c r="N269" s="31"/>
    </row>
    <row r="270" spans="1:14">
      <c r="A270" s="26">
        <v>263</v>
      </c>
      <c r="B270" s="27"/>
      <c r="C270" s="31"/>
      <c r="D270" s="31"/>
      <c r="E270" s="39"/>
      <c r="F270" s="27"/>
      <c r="G270" s="27"/>
      <c r="H270" s="27"/>
      <c r="I270" s="25"/>
      <c r="J270" s="27"/>
      <c r="K270" s="27"/>
      <c r="L270" s="91" t="str">
        <f>IF( Tarakonesh[[#This Row],[تراکنش]]="", "",IF( Tarakonesh[[#This Row],[تراکنش]]="انتقال",L269,IF(Tarakonesh[[#This Row],[تراکنش]]="دریافت_درآمد",(Tarakonesh[[#This Row],[مبلغ (ریال)]]+IF(Tarakonesh[[#This Row],[تراکنش]]="انتقال",0,L269)),((IF(Tarakonesh[[#This Row],[تراکنش]]="انتقال",0,L269))-Tarakonesh[[#This Row],[مبلغ (ریال)]]))))</f>
        <v/>
      </c>
      <c r="M270" s="31"/>
      <c r="N270" s="31"/>
    </row>
    <row r="271" spans="1:14">
      <c r="A271" s="26">
        <v>264</v>
      </c>
      <c r="B271" s="27"/>
      <c r="C271" s="31"/>
      <c r="D271" s="31"/>
      <c r="E271" s="39"/>
      <c r="F271" s="27"/>
      <c r="G271" s="27"/>
      <c r="H271" s="27"/>
      <c r="I271" s="25"/>
      <c r="J271" s="27"/>
      <c r="K271" s="27"/>
      <c r="L271" s="91" t="str">
        <f>IF( Tarakonesh[[#This Row],[تراکنش]]="", "",IF( Tarakonesh[[#This Row],[تراکنش]]="انتقال",L270,IF(Tarakonesh[[#This Row],[تراکنش]]="دریافت_درآمد",(Tarakonesh[[#This Row],[مبلغ (ریال)]]+IF(Tarakonesh[[#This Row],[تراکنش]]="انتقال",0,L270)),((IF(Tarakonesh[[#This Row],[تراکنش]]="انتقال",0,L270))-Tarakonesh[[#This Row],[مبلغ (ریال)]]))))</f>
        <v/>
      </c>
      <c r="M271" s="31"/>
      <c r="N271" s="31"/>
    </row>
    <row r="272" spans="1:14">
      <c r="A272" s="26">
        <v>265</v>
      </c>
      <c r="B272" s="27"/>
      <c r="C272" s="31"/>
      <c r="D272" s="31"/>
      <c r="E272" s="39"/>
      <c r="F272" s="27"/>
      <c r="G272" s="27"/>
      <c r="H272" s="27"/>
      <c r="I272" s="25"/>
      <c r="J272" s="27"/>
      <c r="K272" s="27"/>
      <c r="L272" s="91" t="str">
        <f>IF( Tarakonesh[[#This Row],[تراکنش]]="", "",IF( Tarakonesh[[#This Row],[تراکنش]]="انتقال",L271,IF(Tarakonesh[[#This Row],[تراکنش]]="دریافت_درآمد",(Tarakonesh[[#This Row],[مبلغ (ریال)]]+IF(Tarakonesh[[#This Row],[تراکنش]]="انتقال",0,L271)),((IF(Tarakonesh[[#This Row],[تراکنش]]="انتقال",0,L271))-Tarakonesh[[#This Row],[مبلغ (ریال)]]))))</f>
        <v/>
      </c>
      <c r="M272" s="31"/>
      <c r="N272" s="31"/>
    </row>
    <row r="273" spans="1:14">
      <c r="A273" s="26">
        <v>266</v>
      </c>
      <c r="B273" s="27"/>
      <c r="C273" s="31"/>
      <c r="D273" s="31"/>
      <c r="E273" s="39"/>
      <c r="F273" s="27"/>
      <c r="G273" s="27"/>
      <c r="H273" s="27"/>
      <c r="I273" s="25"/>
      <c r="J273" s="27"/>
      <c r="K273" s="27"/>
      <c r="L273" s="91" t="str">
        <f>IF( Tarakonesh[[#This Row],[تراکنش]]="", "",IF( Tarakonesh[[#This Row],[تراکنش]]="انتقال",L272,IF(Tarakonesh[[#This Row],[تراکنش]]="دریافت_درآمد",(Tarakonesh[[#This Row],[مبلغ (ریال)]]+IF(Tarakonesh[[#This Row],[تراکنش]]="انتقال",0,L272)),((IF(Tarakonesh[[#This Row],[تراکنش]]="انتقال",0,L272))-Tarakonesh[[#This Row],[مبلغ (ریال)]]))))</f>
        <v/>
      </c>
      <c r="M273" s="31"/>
      <c r="N273" s="31"/>
    </row>
    <row r="274" spans="1:14">
      <c r="A274" s="26">
        <v>267</v>
      </c>
      <c r="B274" s="27"/>
      <c r="C274" s="31"/>
      <c r="D274" s="31"/>
      <c r="E274" s="39"/>
      <c r="F274" s="27"/>
      <c r="G274" s="27"/>
      <c r="H274" s="27"/>
      <c r="I274" s="25"/>
      <c r="J274" s="27"/>
      <c r="K274" s="27"/>
      <c r="L274" s="91" t="str">
        <f>IF( Tarakonesh[[#This Row],[تراکنش]]="", "",IF( Tarakonesh[[#This Row],[تراکنش]]="انتقال",L273,IF(Tarakonesh[[#This Row],[تراکنش]]="دریافت_درآمد",(Tarakonesh[[#This Row],[مبلغ (ریال)]]+IF(Tarakonesh[[#This Row],[تراکنش]]="انتقال",0,L273)),((IF(Tarakonesh[[#This Row],[تراکنش]]="انتقال",0,L273))-Tarakonesh[[#This Row],[مبلغ (ریال)]]))))</f>
        <v/>
      </c>
      <c r="M274" s="31"/>
      <c r="N274" s="31"/>
    </row>
    <row r="275" spans="1:14">
      <c r="A275" s="26">
        <v>268</v>
      </c>
      <c r="B275" s="27"/>
      <c r="C275" s="31"/>
      <c r="D275" s="31"/>
      <c r="E275" s="39"/>
      <c r="F275" s="27"/>
      <c r="G275" s="27"/>
      <c r="H275" s="27"/>
      <c r="I275" s="25"/>
      <c r="J275" s="27"/>
      <c r="K275" s="27"/>
      <c r="L275" s="91" t="str">
        <f>IF( Tarakonesh[[#This Row],[تراکنش]]="", "",IF( Tarakonesh[[#This Row],[تراکنش]]="انتقال",L274,IF(Tarakonesh[[#This Row],[تراکنش]]="دریافت_درآمد",(Tarakonesh[[#This Row],[مبلغ (ریال)]]+IF(Tarakonesh[[#This Row],[تراکنش]]="انتقال",0,L274)),((IF(Tarakonesh[[#This Row],[تراکنش]]="انتقال",0,L274))-Tarakonesh[[#This Row],[مبلغ (ریال)]]))))</f>
        <v/>
      </c>
      <c r="M275" s="31"/>
      <c r="N275" s="31"/>
    </row>
    <row r="276" spans="1:14">
      <c r="A276" s="26">
        <v>269</v>
      </c>
      <c r="B276" s="27"/>
      <c r="C276" s="31"/>
      <c r="D276" s="31"/>
      <c r="E276" s="39"/>
      <c r="F276" s="27"/>
      <c r="G276" s="27"/>
      <c r="H276" s="27"/>
      <c r="I276" s="25"/>
      <c r="J276" s="27"/>
      <c r="K276" s="27"/>
      <c r="L276" s="91" t="str">
        <f>IF( Tarakonesh[[#This Row],[تراکنش]]="", "",IF( Tarakonesh[[#This Row],[تراکنش]]="انتقال",L275,IF(Tarakonesh[[#This Row],[تراکنش]]="دریافت_درآمد",(Tarakonesh[[#This Row],[مبلغ (ریال)]]+IF(Tarakonesh[[#This Row],[تراکنش]]="انتقال",0,L275)),((IF(Tarakonesh[[#This Row],[تراکنش]]="انتقال",0,L275))-Tarakonesh[[#This Row],[مبلغ (ریال)]]))))</f>
        <v/>
      </c>
      <c r="M276" s="31"/>
      <c r="N276" s="31"/>
    </row>
    <row r="277" spans="1:14">
      <c r="A277" s="26">
        <v>270</v>
      </c>
      <c r="B277" s="27"/>
      <c r="C277" s="31"/>
      <c r="D277" s="31"/>
      <c r="E277" s="39"/>
      <c r="F277" s="27"/>
      <c r="G277" s="27"/>
      <c r="H277" s="27"/>
      <c r="I277" s="25"/>
      <c r="J277" s="27"/>
      <c r="K277" s="27"/>
      <c r="L277" s="91" t="str">
        <f>IF( Tarakonesh[[#This Row],[تراکنش]]="", "",IF( Tarakonesh[[#This Row],[تراکنش]]="انتقال",L276,IF(Tarakonesh[[#This Row],[تراکنش]]="دریافت_درآمد",(Tarakonesh[[#This Row],[مبلغ (ریال)]]+IF(Tarakonesh[[#This Row],[تراکنش]]="انتقال",0,L276)),((IF(Tarakonesh[[#This Row],[تراکنش]]="انتقال",0,L276))-Tarakonesh[[#This Row],[مبلغ (ریال)]]))))</f>
        <v/>
      </c>
      <c r="M277" s="31"/>
      <c r="N277" s="31"/>
    </row>
    <row r="278" spans="1:14">
      <c r="A278" s="26">
        <v>271</v>
      </c>
      <c r="B278" s="27"/>
      <c r="C278" s="31"/>
      <c r="D278" s="31"/>
      <c r="E278" s="39"/>
      <c r="F278" s="27"/>
      <c r="G278" s="27"/>
      <c r="H278" s="27"/>
      <c r="I278" s="25"/>
      <c r="J278" s="27"/>
      <c r="K278" s="27"/>
      <c r="L278" s="91" t="str">
        <f>IF( Tarakonesh[[#This Row],[تراکنش]]="", "",IF( Tarakonesh[[#This Row],[تراکنش]]="انتقال",L277,IF(Tarakonesh[[#This Row],[تراکنش]]="دریافت_درآمد",(Tarakonesh[[#This Row],[مبلغ (ریال)]]+IF(Tarakonesh[[#This Row],[تراکنش]]="انتقال",0,L277)),((IF(Tarakonesh[[#This Row],[تراکنش]]="انتقال",0,L277))-Tarakonesh[[#This Row],[مبلغ (ریال)]]))))</f>
        <v/>
      </c>
      <c r="M278" s="31"/>
      <c r="N278" s="31"/>
    </row>
    <row r="279" spans="1:14">
      <c r="A279" s="26">
        <v>272</v>
      </c>
      <c r="B279" s="27"/>
      <c r="C279" s="31"/>
      <c r="D279" s="31"/>
      <c r="E279" s="39"/>
      <c r="F279" s="27"/>
      <c r="G279" s="27"/>
      <c r="H279" s="27"/>
      <c r="I279" s="25"/>
      <c r="J279" s="27"/>
      <c r="K279" s="27"/>
      <c r="L279" s="91" t="str">
        <f>IF( Tarakonesh[[#This Row],[تراکنش]]="", "",IF( Tarakonesh[[#This Row],[تراکنش]]="انتقال",L278,IF(Tarakonesh[[#This Row],[تراکنش]]="دریافت_درآمد",(Tarakonesh[[#This Row],[مبلغ (ریال)]]+IF(Tarakonesh[[#This Row],[تراکنش]]="انتقال",0,L278)),((IF(Tarakonesh[[#This Row],[تراکنش]]="انتقال",0,L278))-Tarakonesh[[#This Row],[مبلغ (ریال)]]))))</f>
        <v/>
      </c>
      <c r="M279" s="31"/>
      <c r="N279" s="31"/>
    </row>
    <row r="280" spans="1:14">
      <c r="A280" s="26">
        <v>273</v>
      </c>
      <c r="B280" s="27"/>
      <c r="C280" s="31"/>
      <c r="D280" s="31"/>
      <c r="E280" s="39"/>
      <c r="F280" s="27"/>
      <c r="G280" s="27"/>
      <c r="H280" s="27"/>
      <c r="I280" s="25"/>
      <c r="J280" s="27"/>
      <c r="K280" s="27"/>
      <c r="L280" s="91" t="str">
        <f>IF( Tarakonesh[[#This Row],[تراکنش]]="", "",IF( Tarakonesh[[#This Row],[تراکنش]]="انتقال",L279,IF(Tarakonesh[[#This Row],[تراکنش]]="دریافت_درآمد",(Tarakonesh[[#This Row],[مبلغ (ریال)]]+IF(Tarakonesh[[#This Row],[تراکنش]]="انتقال",0,L279)),((IF(Tarakonesh[[#This Row],[تراکنش]]="انتقال",0,L279))-Tarakonesh[[#This Row],[مبلغ (ریال)]]))))</f>
        <v/>
      </c>
      <c r="M280" s="31"/>
      <c r="N280" s="31"/>
    </row>
    <row r="281" spans="1:14">
      <c r="A281" s="26">
        <v>274</v>
      </c>
      <c r="B281" s="27"/>
      <c r="C281" s="31"/>
      <c r="D281" s="31"/>
      <c r="E281" s="39"/>
      <c r="F281" s="27"/>
      <c r="G281" s="27"/>
      <c r="H281" s="27"/>
      <c r="I281" s="25"/>
      <c r="J281" s="27"/>
      <c r="K281" s="27"/>
      <c r="L281" s="91" t="str">
        <f>IF( Tarakonesh[[#This Row],[تراکنش]]="", "",IF( Tarakonesh[[#This Row],[تراکنش]]="انتقال",L280,IF(Tarakonesh[[#This Row],[تراکنش]]="دریافت_درآمد",(Tarakonesh[[#This Row],[مبلغ (ریال)]]+IF(Tarakonesh[[#This Row],[تراکنش]]="انتقال",0,L280)),((IF(Tarakonesh[[#This Row],[تراکنش]]="انتقال",0,L280))-Tarakonesh[[#This Row],[مبلغ (ریال)]]))))</f>
        <v/>
      </c>
      <c r="M281" s="31"/>
      <c r="N281" s="31"/>
    </row>
    <row r="282" spans="1:14">
      <c r="A282" s="26">
        <v>275</v>
      </c>
      <c r="B282" s="27"/>
      <c r="C282" s="31"/>
      <c r="D282" s="31"/>
      <c r="E282" s="39"/>
      <c r="F282" s="27"/>
      <c r="G282" s="27"/>
      <c r="H282" s="27"/>
      <c r="I282" s="25"/>
      <c r="J282" s="27"/>
      <c r="K282" s="27"/>
      <c r="L282" s="91" t="str">
        <f>IF( Tarakonesh[[#This Row],[تراکنش]]="", "",IF( Tarakonesh[[#This Row],[تراکنش]]="انتقال",L281,IF(Tarakonesh[[#This Row],[تراکنش]]="دریافت_درآمد",(Tarakonesh[[#This Row],[مبلغ (ریال)]]+IF(Tarakonesh[[#This Row],[تراکنش]]="انتقال",0,L281)),((IF(Tarakonesh[[#This Row],[تراکنش]]="انتقال",0,L281))-Tarakonesh[[#This Row],[مبلغ (ریال)]]))))</f>
        <v/>
      </c>
      <c r="M282" s="31"/>
      <c r="N282" s="31"/>
    </row>
    <row r="283" spans="1:14">
      <c r="A283" s="26">
        <v>276</v>
      </c>
      <c r="B283" s="27"/>
      <c r="C283" s="31"/>
      <c r="D283" s="31"/>
      <c r="E283" s="39"/>
      <c r="F283" s="27"/>
      <c r="G283" s="27"/>
      <c r="H283" s="27"/>
      <c r="I283" s="25"/>
      <c r="J283" s="27"/>
      <c r="K283" s="27"/>
      <c r="L283" s="91" t="str">
        <f>IF( Tarakonesh[[#This Row],[تراکنش]]="", "",IF( Tarakonesh[[#This Row],[تراکنش]]="انتقال",L282,IF(Tarakonesh[[#This Row],[تراکنش]]="دریافت_درآمد",(Tarakonesh[[#This Row],[مبلغ (ریال)]]+IF(Tarakonesh[[#This Row],[تراکنش]]="انتقال",0,L282)),((IF(Tarakonesh[[#This Row],[تراکنش]]="انتقال",0,L282))-Tarakonesh[[#This Row],[مبلغ (ریال)]]))))</f>
        <v/>
      </c>
      <c r="M283" s="31"/>
      <c r="N283" s="31"/>
    </row>
    <row r="284" spans="1:14">
      <c r="A284" s="26">
        <v>277</v>
      </c>
      <c r="B284" s="27"/>
      <c r="C284" s="31"/>
      <c r="D284" s="31"/>
      <c r="E284" s="39"/>
      <c r="F284" s="27"/>
      <c r="G284" s="27"/>
      <c r="H284" s="27"/>
      <c r="I284" s="25"/>
      <c r="J284" s="27"/>
      <c r="K284" s="27"/>
      <c r="L284" s="91" t="str">
        <f>IF( Tarakonesh[[#This Row],[تراکنش]]="", "",IF( Tarakonesh[[#This Row],[تراکنش]]="انتقال",L283,IF(Tarakonesh[[#This Row],[تراکنش]]="دریافت_درآمد",(Tarakonesh[[#This Row],[مبلغ (ریال)]]+IF(Tarakonesh[[#This Row],[تراکنش]]="انتقال",0,L283)),((IF(Tarakonesh[[#This Row],[تراکنش]]="انتقال",0,L283))-Tarakonesh[[#This Row],[مبلغ (ریال)]]))))</f>
        <v/>
      </c>
      <c r="M284" s="31"/>
      <c r="N284" s="31"/>
    </row>
    <row r="285" spans="1:14">
      <c r="A285" s="26">
        <v>278</v>
      </c>
      <c r="B285" s="27"/>
      <c r="C285" s="31"/>
      <c r="D285" s="31"/>
      <c r="E285" s="39"/>
      <c r="F285" s="27"/>
      <c r="G285" s="27"/>
      <c r="H285" s="27"/>
      <c r="I285" s="25"/>
      <c r="J285" s="27"/>
      <c r="K285" s="27"/>
      <c r="L285" s="91" t="str">
        <f>IF( Tarakonesh[[#This Row],[تراکنش]]="", "",IF( Tarakonesh[[#This Row],[تراکنش]]="انتقال",L284,IF(Tarakonesh[[#This Row],[تراکنش]]="دریافت_درآمد",(Tarakonesh[[#This Row],[مبلغ (ریال)]]+IF(Tarakonesh[[#This Row],[تراکنش]]="انتقال",0,L284)),((IF(Tarakonesh[[#This Row],[تراکنش]]="انتقال",0,L284))-Tarakonesh[[#This Row],[مبلغ (ریال)]]))))</f>
        <v/>
      </c>
      <c r="M285" s="31"/>
      <c r="N285" s="31"/>
    </row>
    <row r="286" spans="1:14">
      <c r="A286" s="26">
        <v>279</v>
      </c>
      <c r="B286" s="27"/>
      <c r="C286" s="31"/>
      <c r="D286" s="31"/>
      <c r="E286" s="39"/>
      <c r="F286" s="27"/>
      <c r="G286" s="27"/>
      <c r="H286" s="27"/>
      <c r="I286" s="25"/>
      <c r="J286" s="27"/>
      <c r="K286" s="27"/>
      <c r="L286" s="91" t="str">
        <f>IF( Tarakonesh[[#This Row],[تراکنش]]="", "",IF( Tarakonesh[[#This Row],[تراکنش]]="انتقال",L285,IF(Tarakonesh[[#This Row],[تراکنش]]="دریافت_درآمد",(Tarakonesh[[#This Row],[مبلغ (ریال)]]+IF(Tarakonesh[[#This Row],[تراکنش]]="انتقال",0,L285)),((IF(Tarakonesh[[#This Row],[تراکنش]]="انتقال",0,L285))-Tarakonesh[[#This Row],[مبلغ (ریال)]]))))</f>
        <v/>
      </c>
      <c r="M286" s="31"/>
      <c r="N286" s="31"/>
    </row>
    <row r="287" spans="1:14">
      <c r="A287" s="26">
        <v>280</v>
      </c>
      <c r="B287" s="27"/>
      <c r="C287" s="31"/>
      <c r="D287" s="31"/>
      <c r="E287" s="39"/>
      <c r="F287" s="27"/>
      <c r="G287" s="27"/>
      <c r="H287" s="27"/>
      <c r="I287" s="25"/>
      <c r="J287" s="27"/>
      <c r="K287" s="27"/>
      <c r="L287" s="91" t="str">
        <f>IF( Tarakonesh[[#This Row],[تراکنش]]="", "",IF( Tarakonesh[[#This Row],[تراکنش]]="انتقال",L286,IF(Tarakonesh[[#This Row],[تراکنش]]="دریافت_درآمد",(Tarakonesh[[#This Row],[مبلغ (ریال)]]+IF(Tarakonesh[[#This Row],[تراکنش]]="انتقال",0,L286)),((IF(Tarakonesh[[#This Row],[تراکنش]]="انتقال",0,L286))-Tarakonesh[[#This Row],[مبلغ (ریال)]]))))</f>
        <v/>
      </c>
      <c r="M287" s="31"/>
      <c r="N287" s="31"/>
    </row>
    <row r="288" spans="1:14">
      <c r="A288" s="26">
        <v>281</v>
      </c>
      <c r="B288" s="27"/>
      <c r="C288" s="31"/>
      <c r="D288" s="31"/>
      <c r="E288" s="39"/>
      <c r="F288" s="27"/>
      <c r="G288" s="27"/>
      <c r="H288" s="27"/>
      <c r="I288" s="25"/>
      <c r="J288" s="27"/>
      <c r="K288" s="27"/>
      <c r="L288" s="91" t="str">
        <f>IF( Tarakonesh[[#This Row],[تراکنش]]="", "",IF( Tarakonesh[[#This Row],[تراکنش]]="انتقال",L287,IF(Tarakonesh[[#This Row],[تراکنش]]="دریافت_درآمد",(Tarakonesh[[#This Row],[مبلغ (ریال)]]+IF(Tarakonesh[[#This Row],[تراکنش]]="انتقال",0,L287)),((IF(Tarakonesh[[#This Row],[تراکنش]]="انتقال",0,L287))-Tarakonesh[[#This Row],[مبلغ (ریال)]]))))</f>
        <v/>
      </c>
      <c r="M288" s="31"/>
      <c r="N288" s="31"/>
    </row>
    <row r="289" spans="1:14">
      <c r="A289" s="26">
        <v>282</v>
      </c>
      <c r="B289" s="27"/>
      <c r="C289" s="31"/>
      <c r="D289" s="31"/>
      <c r="E289" s="39"/>
      <c r="F289" s="27"/>
      <c r="G289" s="27"/>
      <c r="H289" s="27"/>
      <c r="I289" s="25"/>
      <c r="J289" s="27"/>
      <c r="K289" s="27"/>
      <c r="L289" s="91" t="str">
        <f>IF( Tarakonesh[[#This Row],[تراکنش]]="", "",IF( Tarakonesh[[#This Row],[تراکنش]]="انتقال",L288,IF(Tarakonesh[[#This Row],[تراکنش]]="دریافت_درآمد",(Tarakonesh[[#This Row],[مبلغ (ریال)]]+IF(Tarakonesh[[#This Row],[تراکنش]]="انتقال",0,L288)),((IF(Tarakonesh[[#This Row],[تراکنش]]="انتقال",0,L288))-Tarakonesh[[#This Row],[مبلغ (ریال)]]))))</f>
        <v/>
      </c>
      <c r="M289" s="31"/>
      <c r="N289" s="31"/>
    </row>
    <row r="290" spans="1:14">
      <c r="A290" s="26">
        <v>283</v>
      </c>
      <c r="B290" s="27"/>
      <c r="C290" s="31"/>
      <c r="D290" s="31"/>
      <c r="E290" s="39"/>
      <c r="F290" s="27"/>
      <c r="G290" s="27"/>
      <c r="H290" s="27"/>
      <c r="I290" s="25"/>
      <c r="J290" s="27"/>
      <c r="K290" s="27"/>
      <c r="L290" s="91" t="str">
        <f>IF( Tarakonesh[[#This Row],[تراکنش]]="", "",IF( Tarakonesh[[#This Row],[تراکنش]]="انتقال",L289,IF(Tarakonesh[[#This Row],[تراکنش]]="دریافت_درآمد",(Tarakonesh[[#This Row],[مبلغ (ریال)]]+IF(Tarakonesh[[#This Row],[تراکنش]]="انتقال",0,L289)),((IF(Tarakonesh[[#This Row],[تراکنش]]="انتقال",0,L289))-Tarakonesh[[#This Row],[مبلغ (ریال)]]))))</f>
        <v/>
      </c>
      <c r="M290" s="31"/>
      <c r="N290" s="31"/>
    </row>
    <row r="291" spans="1:14">
      <c r="A291" s="26">
        <v>284</v>
      </c>
      <c r="B291" s="27"/>
      <c r="C291" s="31"/>
      <c r="D291" s="31"/>
      <c r="E291" s="39"/>
      <c r="F291" s="27"/>
      <c r="G291" s="27"/>
      <c r="H291" s="27"/>
      <c r="I291" s="25"/>
      <c r="J291" s="27"/>
      <c r="K291" s="27"/>
      <c r="L291" s="91" t="str">
        <f>IF( Tarakonesh[[#This Row],[تراکنش]]="", "",IF( Tarakonesh[[#This Row],[تراکنش]]="انتقال",L290,IF(Tarakonesh[[#This Row],[تراکنش]]="دریافت_درآمد",(Tarakonesh[[#This Row],[مبلغ (ریال)]]+IF(Tarakonesh[[#This Row],[تراکنش]]="انتقال",0,L290)),((IF(Tarakonesh[[#This Row],[تراکنش]]="انتقال",0,L290))-Tarakonesh[[#This Row],[مبلغ (ریال)]]))))</f>
        <v/>
      </c>
      <c r="M291" s="31"/>
      <c r="N291" s="31"/>
    </row>
    <row r="292" spans="1:14">
      <c r="A292" s="26">
        <v>285</v>
      </c>
      <c r="B292" s="27"/>
      <c r="C292" s="31"/>
      <c r="D292" s="31"/>
      <c r="E292" s="39"/>
      <c r="F292" s="27"/>
      <c r="G292" s="27"/>
      <c r="H292" s="27"/>
      <c r="I292" s="25"/>
      <c r="J292" s="27"/>
      <c r="K292" s="27"/>
      <c r="L292" s="91" t="str">
        <f>IF( Tarakonesh[[#This Row],[تراکنش]]="", "",IF( Tarakonesh[[#This Row],[تراکنش]]="انتقال",L291,IF(Tarakonesh[[#This Row],[تراکنش]]="دریافت_درآمد",(Tarakonesh[[#This Row],[مبلغ (ریال)]]+IF(Tarakonesh[[#This Row],[تراکنش]]="انتقال",0,L291)),((IF(Tarakonesh[[#This Row],[تراکنش]]="انتقال",0,L291))-Tarakonesh[[#This Row],[مبلغ (ریال)]]))))</f>
        <v/>
      </c>
      <c r="M292" s="31"/>
      <c r="N292" s="31"/>
    </row>
    <row r="293" spans="1:14">
      <c r="A293" s="26">
        <v>286</v>
      </c>
      <c r="B293" s="27"/>
      <c r="C293" s="31"/>
      <c r="D293" s="31"/>
      <c r="E293" s="39"/>
      <c r="F293" s="27"/>
      <c r="G293" s="27"/>
      <c r="H293" s="27"/>
      <c r="I293" s="25"/>
      <c r="J293" s="27"/>
      <c r="K293" s="27"/>
      <c r="L293" s="91" t="str">
        <f>IF( Tarakonesh[[#This Row],[تراکنش]]="", "",IF( Tarakonesh[[#This Row],[تراکنش]]="انتقال",L292,IF(Tarakonesh[[#This Row],[تراکنش]]="دریافت_درآمد",(Tarakonesh[[#This Row],[مبلغ (ریال)]]+IF(Tarakonesh[[#This Row],[تراکنش]]="انتقال",0,L292)),((IF(Tarakonesh[[#This Row],[تراکنش]]="انتقال",0,L292))-Tarakonesh[[#This Row],[مبلغ (ریال)]]))))</f>
        <v/>
      </c>
      <c r="M293" s="31"/>
      <c r="N293" s="31"/>
    </row>
    <row r="294" spans="1:14">
      <c r="A294" s="26">
        <v>287</v>
      </c>
      <c r="B294" s="27"/>
      <c r="C294" s="31"/>
      <c r="D294" s="31"/>
      <c r="E294" s="39"/>
      <c r="F294" s="27"/>
      <c r="G294" s="27"/>
      <c r="H294" s="27"/>
      <c r="I294" s="25"/>
      <c r="J294" s="27"/>
      <c r="K294" s="27"/>
      <c r="L294" s="91" t="str">
        <f>IF( Tarakonesh[[#This Row],[تراکنش]]="", "",IF( Tarakonesh[[#This Row],[تراکنش]]="انتقال",L293,IF(Tarakonesh[[#This Row],[تراکنش]]="دریافت_درآمد",(Tarakonesh[[#This Row],[مبلغ (ریال)]]+IF(Tarakonesh[[#This Row],[تراکنش]]="انتقال",0,L293)),((IF(Tarakonesh[[#This Row],[تراکنش]]="انتقال",0,L293))-Tarakonesh[[#This Row],[مبلغ (ریال)]]))))</f>
        <v/>
      </c>
      <c r="M294" s="31"/>
      <c r="N294" s="31"/>
    </row>
    <row r="295" spans="1:14">
      <c r="A295" s="26">
        <v>288</v>
      </c>
      <c r="B295" s="27"/>
      <c r="C295" s="31"/>
      <c r="D295" s="31"/>
      <c r="E295" s="39"/>
      <c r="F295" s="27"/>
      <c r="G295" s="27"/>
      <c r="H295" s="27"/>
      <c r="I295" s="25"/>
      <c r="J295" s="27"/>
      <c r="K295" s="27"/>
      <c r="L295" s="91" t="str">
        <f>IF( Tarakonesh[[#This Row],[تراکنش]]="", "",IF( Tarakonesh[[#This Row],[تراکنش]]="انتقال",L294,IF(Tarakonesh[[#This Row],[تراکنش]]="دریافت_درآمد",(Tarakonesh[[#This Row],[مبلغ (ریال)]]+IF(Tarakonesh[[#This Row],[تراکنش]]="انتقال",0,L294)),((IF(Tarakonesh[[#This Row],[تراکنش]]="انتقال",0,L294))-Tarakonesh[[#This Row],[مبلغ (ریال)]]))))</f>
        <v/>
      </c>
      <c r="M295" s="31"/>
      <c r="N295" s="31"/>
    </row>
    <row r="296" spans="1:14">
      <c r="A296" s="26">
        <v>289</v>
      </c>
      <c r="B296" s="27"/>
      <c r="C296" s="31"/>
      <c r="D296" s="31"/>
      <c r="E296" s="39"/>
      <c r="F296" s="27"/>
      <c r="G296" s="27"/>
      <c r="H296" s="27"/>
      <c r="I296" s="25"/>
      <c r="J296" s="27"/>
      <c r="K296" s="27"/>
      <c r="L296" s="91" t="str">
        <f>IF( Tarakonesh[[#This Row],[تراکنش]]="", "",IF( Tarakonesh[[#This Row],[تراکنش]]="انتقال",L295,IF(Tarakonesh[[#This Row],[تراکنش]]="دریافت_درآمد",(Tarakonesh[[#This Row],[مبلغ (ریال)]]+IF(Tarakonesh[[#This Row],[تراکنش]]="انتقال",0,L295)),((IF(Tarakonesh[[#This Row],[تراکنش]]="انتقال",0,L295))-Tarakonesh[[#This Row],[مبلغ (ریال)]]))))</f>
        <v/>
      </c>
      <c r="M296" s="31"/>
      <c r="N296" s="31"/>
    </row>
    <row r="297" spans="1:14">
      <c r="A297" s="26">
        <v>290</v>
      </c>
      <c r="B297" s="27"/>
      <c r="C297" s="31"/>
      <c r="D297" s="31"/>
      <c r="E297" s="39"/>
      <c r="F297" s="27"/>
      <c r="G297" s="27"/>
      <c r="H297" s="27"/>
      <c r="I297" s="25"/>
      <c r="J297" s="27"/>
      <c r="K297" s="27"/>
      <c r="L297" s="91" t="str">
        <f>IF( Tarakonesh[[#This Row],[تراکنش]]="", "",IF( Tarakonesh[[#This Row],[تراکنش]]="انتقال",L296,IF(Tarakonesh[[#This Row],[تراکنش]]="دریافت_درآمد",(Tarakonesh[[#This Row],[مبلغ (ریال)]]+IF(Tarakonesh[[#This Row],[تراکنش]]="انتقال",0,L296)),((IF(Tarakonesh[[#This Row],[تراکنش]]="انتقال",0,L296))-Tarakonesh[[#This Row],[مبلغ (ریال)]]))))</f>
        <v/>
      </c>
      <c r="M297" s="31"/>
      <c r="N297" s="31"/>
    </row>
    <row r="298" spans="1:14">
      <c r="A298" s="26">
        <v>291</v>
      </c>
      <c r="B298" s="27"/>
      <c r="C298" s="31"/>
      <c r="D298" s="31"/>
      <c r="E298" s="39"/>
      <c r="F298" s="27"/>
      <c r="G298" s="27"/>
      <c r="H298" s="27"/>
      <c r="I298" s="25"/>
      <c r="J298" s="27"/>
      <c r="K298" s="27"/>
      <c r="L298" s="91" t="str">
        <f>IF( Tarakonesh[[#This Row],[تراکنش]]="", "",IF( Tarakonesh[[#This Row],[تراکنش]]="انتقال",L297,IF(Tarakonesh[[#This Row],[تراکنش]]="دریافت_درآمد",(Tarakonesh[[#This Row],[مبلغ (ریال)]]+IF(Tarakonesh[[#This Row],[تراکنش]]="انتقال",0,L297)),((IF(Tarakonesh[[#This Row],[تراکنش]]="انتقال",0,L297))-Tarakonesh[[#This Row],[مبلغ (ریال)]]))))</f>
        <v/>
      </c>
      <c r="M298" s="31"/>
      <c r="N298" s="31"/>
    </row>
    <row r="299" spans="1:14">
      <c r="A299" s="26">
        <v>292</v>
      </c>
      <c r="B299" s="27"/>
      <c r="C299" s="31"/>
      <c r="D299" s="31"/>
      <c r="E299" s="39"/>
      <c r="F299" s="27"/>
      <c r="G299" s="27"/>
      <c r="H299" s="27"/>
      <c r="I299" s="25"/>
      <c r="J299" s="27"/>
      <c r="K299" s="27"/>
      <c r="L299" s="91" t="str">
        <f>IF( Tarakonesh[[#This Row],[تراکنش]]="", "",IF( Tarakonesh[[#This Row],[تراکنش]]="انتقال",L298,IF(Tarakonesh[[#This Row],[تراکنش]]="دریافت_درآمد",(Tarakonesh[[#This Row],[مبلغ (ریال)]]+IF(Tarakonesh[[#This Row],[تراکنش]]="انتقال",0,L298)),((IF(Tarakonesh[[#This Row],[تراکنش]]="انتقال",0,L298))-Tarakonesh[[#This Row],[مبلغ (ریال)]]))))</f>
        <v/>
      </c>
      <c r="M299" s="31"/>
      <c r="N299" s="31"/>
    </row>
    <row r="300" spans="1:14">
      <c r="A300" s="26">
        <v>293</v>
      </c>
      <c r="B300" s="27"/>
      <c r="C300" s="31"/>
      <c r="D300" s="31"/>
      <c r="E300" s="39"/>
      <c r="F300" s="27"/>
      <c r="G300" s="27"/>
      <c r="H300" s="27"/>
      <c r="I300" s="25"/>
      <c r="J300" s="27"/>
      <c r="K300" s="27"/>
      <c r="L300" s="91" t="str">
        <f>IF( Tarakonesh[[#This Row],[تراکنش]]="", "",IF( Tarakonesh[[#This Row],[تراکنش]]="انتقال",L299,IF(Tarakonesh[[#This Row],[تراکنش]]="دریافت_درآمد",(Tarakonesh[[#This Row],[مبلغ (ریال)]]+IF(Tarakonesh[[#This Row],[تراکنش]]="انتقال",0,L299)),((IF(Tarakonesh[[#This Row],[تراکنش]]="انتقال",0,L299))-Tarakonesh[[#This Row],[مبلغ (ریال)]]))))</f>
        <v/>
      </c>
      <c r="M300" s="31"/>
      <c r="N300" s="31"/>
    </row>
    <row r="301" spans="1:14">
      <c r="A301" s="26">
        <v>294</v>
      </c>
      <c r="B301" s="27"/>
      <c r="C301" s="31"/>
      <c r="D301" s="31"/>
      <c r="E301" s="39"/>
      <c r="F301" s="27"/>
      <c r="G301" s="27"/>
      <c r="H301" s="27"/>
      <c r="I301" s="25"/>
      <c r="J301" s="27"/>
      <c r="K301" s="27"/>
      <c r="L301" s="91" t="str">
        <f>IF( Tarakonesh[[#This Row],[تراکنش]]="", "",IF( Tarakonesh[[#This Row],[تراکنش]]="انتقال",L300,IF(Tarakonesh[[#This Row],[تراکنش]]="دریافت_درآمد",(Tarakonesh[[#This Row],[مبلغ (ریال)]]+IF(Tarakonesh[[#This Row],[تراکنش]]="انتقال",0,L300)),((IF(Tarakonesh[[#This Row],[تراکنش]]="انتقال",0,L300))-Tarakonesh[[#This Row],[مبلغ (ریال)]]))))</f>
        <v/>
      </c>
      <c r="M301" s="31"/>
      <c r="N301" s="31"/>
    </row>
    <row r="302" spans="1:14">
      <c r="A302" s="26">
        <v>295</v>
      </c>
      <c r="B302" s="27"/>
      <c r="C302" s="31"/>
      <c r="D302" s="31"/>
      <c r="E302" s="39"/>
      <c r="F302" s="27"/>
      <c r="G302" s="27"/>
      <c r="H302" s="27"/>
      <c r="I302" s="25"/>
      <c r="J302" s="27"/>
      <c r="K302" s="27"/>
      <c r="L302" s="91" t="str">
        <f>IF( Tarakonesh[[#This Row],[تراکنش]]="", "",IF( Tarakonesh[[#This Row],[تراکنش]]="انتقال",L301,IF(Tarakonesh[[#This Row],[تراکنش]]="دریافت_درآمد",(Tarakonesh[[#This Row],[مبلغ (ریال)]]+IF(Tarakonesh[[#This Row],[تراکنش]]="انتقال",0,L301)),((IF(Tarakonesh[[#This Row],[تراکنش]]="انتقال",0,L301))-Tarakonesh[[#This Row],[مبلغ (ریال)]]))))</f>
        <v/>
      </c>
      <c r="M302" s="31"/>
      <c r="N302" s="31"/>
    </row>
    <row r="303" spans="1:14">
      <c r="A303" s="26">
        <v>296</v>
      </c>
      <c r="B303" s="27"/>
      <c r="C303" s="31"/>
      <c r="D303" s="31"/>
      <c r="E303" s="39"/>
      <c r="F303" s="27"/>
      <c r="G303" s="27"/>
      <c r="H303" s="27"/>
      <c r="I303" s="25"/>
      <c r="J303" s="27"/>
      <c r="K303" s="27"/>
      <c r="L303" s="91" t="str">
        <f>IF( Tarakonesh[[#This Row],[تراکنش]]="", "",IF( Tarakonesh[[#This Row],[تراکنش]]="انتقال",L302,IF(Tarakonesh[[#This Row],[تراکنش]]="دریافت_درآمد",(Tarakonesh[[#This Row],[مبلغ (ریال)]]+IF(Tarakonesh[[#This Row],[تراکنش]]="انتقال",0,L302)),((IF(Tarakonesh[[#This Row],[تراکنش]]="انتقال",0,L302))-Tarakonesh[[#This Row],[مبلغ (ریال)]]))))</f>
        <v/>
      </c>
      <c r="M303" s="31"/>
      <c r="N303" s="31"/>
    </row>
    <row r="304" spans="1:14">
      <c r="A304" s="26">
        <v>297</v>
      </c>
      <c r="B304" s="27"/>
      <c r="C304" s="31"/>
      <c r="D304" s="31"/>
      <c r="E304" s="39"/>
      <c r="F304" s="27"/>
      <c r="G304" s="27"/>
      <c r="H304" s="27"/>
      <c r="I304" s="25"/>
      <c r="J304" s="27"/>
      <c r="K304" s="27"/>
      <c r="L304" s="91" t="str">
        <f>IF( Tarakonesh[[#This Row],[تراکنش]]="", "",IF( Tarakonesh[[#This Row],[تراکنش]]="انتقال",L303,IF(Tarakonesh[[#This Row],[تراکنش]]="دریافت_درآمد",(Tarakonesh[[#This Row],[مبلغ (ریال)]]+IF(Tarakonesh[[#This Row],[تراکنش]]="انتقال",0,L303)),((IF(Tarakonesh[[#This Row],[تراکنش]]="انتقال",0,L303))-Tarakonesh[[#This Row],[مبلغ (ریال)]]))))</f>
        <v/>
      </c>
      <c r="M304" s="31"/>
      <c r="N304" s="31"/>
    </row>
    <row r="305" spans="1:14">
      <c r="A305" s="26">
        <v>298</v>
      </c>
      <c r="B305" s="27"/>
      <c r="C305" s="31"/>
      <c r="D305" s="31"/>
      <c r="E305" s="39"/>
      <c r="F305" s="27"/>
      <c r="G305" s="27"/>
      <c r="H305" s="27"/>
      <c r="I305" s="25"/>
      <c r="J305" s="27"/>
      <c r="K305" s="27"/>
      <c r="L305" s="91" t="str">
        <f>IF( Tarakonesh[[#This Row],[تراکنش]]="", "",IF( Tarakonesh[[#This Row],[تراکنش]]="انتقال",L304,IF(Tarakonesh[[#This Row],[تراکنش]]="دریافت_درآمد",(Tarakonesh[[#This Row],[مبلغ (ریال)]]+IF(Tarakonesh[[#This Row],[تراکنش]]="انتقال",0,L304)),((IF(Tarakonesh[[#This Row],[تراکنش]]="انتقال",0,L304))-Tarakonesh[[#This Row],[مبلغ (ریال)]]))))</f>
        <v/>
      </c>
      <c r="M305" s="31"/>
      <c r="N305" s="31"/>
    </row>
    <row r="306" spans="1:14">
      <c r="A306" s="26">
        <v>299</v>
      </c>
      <c r="B306" s="27"/>
      <c r="C306" s="31"/>
      <c r="D306" s="31"/>
      <c r="E306" s="39"/>
      <c r="F306" s="27"/>
      <c r="G306" s="27"/>
      <c r="H306" s="27"/>
      <c r="I306" s="25"/>
      <c r="J306" s="27"/>
      <c r="K306" s="27"/>
      <c r="L306" s="91" t="str">
        <f>IF( Tarakonesh[[#This Row],[تراکنش]]="", "",IF( Tarakonesh[[#This Row],[تراکنش]]="انتقال",L305,IF(Tarakonesh[[#This Row],[تراکنش]]="دریافت_درآمد",(Tarakonesh[[#This Row],[مبلغ (ریال)]]+IF(Tarakonesh[[#This Row],[تراکنش]]="انتقال",0,L305)),((IF(Tarakonesh[[#This Row],[تراکنش]]="انتقال",0,L305))-Tarakonesh[[#This Row],[مبلغ (ریال)]]))))</f>
        <v/>
      </c>
      <c r="M306" s="31"/>
      <c r="N306" s="31"/>
    </row>
    <row r="307" spans="1:14">
      <c r="A307" s="26">
        <v>300</v>
      </c>
      <c r="B307" s="27"/>
      <c r="C307" s="31"/>
      <c r="D307" s="31"/>
      <c r="E307" s="39"/>
      <c r="F307" s="27"/>
      <c r="G307" s="27"/>
      <c r="H307" s="27"/>
      <c r="I307" s="25"/>
      <c r="J307" s="27"/>
      <c r="K307" s="27"/>
      <c r="L307" s="91" t="str">
        <f>IF( Tarakonesh[[#This Row],[تراکنش]]="", "",IF( Tarakonesh[[#This Row],[تراکنش]]="انتقال",L306,IF(Tarakonesh[[#This Row],[تراکنش]]="دریافت_درآمد",(Tarakonesh[[#This Row],[مبلغ (ریال)]]+IF(Tarakonesh[[#This Row],[تراکنش]]="انتقال",0,L306)),((IF(Tarakonesh[[#This Row],[تراکنش]]="انتقال",0,L306))-Tarakonesh[[#This Row],[مبلغ (ریال)]]))))</f>
        <v/>
      </c>
      <c r="M307" s="31"/>
      <c r="N307" s="31"/>
    </row>
    <row r="308" spans="1:14">
      <c r="A308" s="26">
        <v>301</v>
      </c>
      <c r="B308" s="27"/>
      <c r="C308" s="31"/>
      <c r="D308" s="31"/>
      <c r="E308" s="39"/>
      <c r="F308" s="27"/>
      <c r="G308" s="27"/>
      <c r="H308" s="27"/>
      <c r="I308" s="25"/>
      <c r="J308" s="27"/>
      <c r="K308" s="27"/>
      <c r="L308" s="91" t="str">
        <f>IF( Tarakonesh[[#This Row],[تراکنش]]="", "",IF( Tarakonesh[[#This Row],[تراکنش]]="انتقال",L307,IF(Tarakonesh[[#This Row],[تراکنش]]="دریافت_درآمد",(Tarakonesh[[#This Row],[مبلغ (ریال)]]+IF(Tarakonesh[[#This Row],[تراکنش]]="انتقال",0,L307)),((IF(Tarakonesh[[#This Row],[تراکنش]]="انتقال",0,L307))-Tarakonesh[[#This Row],[مبلغ (ریال)]]))))</f>
        <v/>
      </c>
      <c r="M308" s="31"/>
      <c r="N308" s="31"/>
    </row>
    <row r="309" spans="1:14">
      <c r="A309" s="26">
        <v>302</v>
      </c>
      <c r="B309" s="27"/>
      <c r="C309" s="31"/>
      <c r="D309" s="31"/>
      <c r="E309" s="39"/>
      <c r="F309" s="27"/>
      <c r="G309" s="27"/>
      <c r="H309" s="27"/>
      <c r="I309" s="25"/>
      <c r="J309" s="27"/>
      <c r="K309" s="27"/>
      <c r="L309" s="91" t="str">
        <f>IF( Tarakonesh[[#This Row],[تراکنش]]="", "",IF( Tarakonesh[[#This Row],[تراکنش]]="انتقال",L308,IF(Tarakonesh[[#This Row],[تراکنش]]="دریافت_درآمد",(Tarakonesh[[#This Row],[مبلغ (ریال)]]+IF(Tarakonesh[[#This Row],[تراکنش]]="انتقال",0,L308)),((IF(Tarakonesh[[#This Row],[تراکنش]]="انتقال",0,L308))-Tarakonesh[[#This Row],[مبلغ (ریال)]]))))</f>
        <v/>
      </c>
      <c r="M309" s="31"/>
      <c r="N309" s="31"/>
    </row>
    <row r="310" spans="1:14">
      <c r="A310" s="26">
        <v>303</v>
      </c>
      <c r="B310" s="27"/>
      <c r="C310" s="31"/>
      <c r="D310" s="31"/>
      <c r="E310" s="39"/>
      <c r="F310" s="27"/>
      <c r="G310" s="27"/>
      <c r="H310" s="27"/>
      <c r="I310" s="25"/>
      <c r="J310" s="27"/>
      <c r="K310" s="27"/>
      <c r="L310" s="91" t="str">
        <f>IF( Tarakonesh[[#This Row],[تراکنش]]="", "",IF( Tarakonesh[[#This Row],[تراکنش]]="انتقال",L309,IF(Tarakonesh[[#This Row],[تراکنش]]="دریافت_درآمد",(Tarakonesh[[#This Row],[مبلغ (ریال)]]+IF(Tarakonesh[[#This Row],[تراکنش]]="انتقال",0,L309)),((IF(Tarakonesh[[#This Row],[تراکنش]]="انتقال",0,L309))-Tarakonesh[[#This Row],[مبلغ (ریال)]]))))</f>
        <v/>
      </c>
      <c r="M310" s="31"/>
      <c r="N310" s="31"/>
    </row>
    <row r="311" spans="1:14">
      <c r="A311" s="26">
        <v>304</v>
      </c>
      <c r="B311" s="27"/>
      <c r="C311" s="31"/>
      <c r="D311" s="31"/>
      <c r="E311" s="39"/>
      <c r="F311" s="27"/>
      <c r="G311" s="27"/>
      <c r="H311" s="27"/>
      <c r="I311" s="25"/>
      <c r="J311" s="27"/>
      <c r="K311" s="27"/>
      <c r="L311" s="91" t="str">
        <f>IF( Tarakonesh[[#This Row],[تراکنش]]="", "",IF( Tarakonesh[[#This Row],[تراکنش]]="انتقال",L310,IF(Tarakonesh[[#This Row],[تراکنش]]="دریافت_درآمد",(Tarakonesh[[#This Row],[مبلغ (ریال)]]+IF(Tarakonesh[[#This Row],[تراکنش]]="انتقال",0,L310)),((IF(Tarakonesh[[#This Row],[تراکنش]]="انتقال",0,L310))-Tarakonesh[[#This Row],[مبلغ (ریال)]]))))</f>
        <v/>
      </c>
      <c r="M311" s="31"/>
      <c r="N311" s="31"/>
    </row>
    <row r="312" spans="1:14">
      <c r="A312" s="26">
        <v>305</v>
      </c>
      <c r="B312" s="27"/>
      <c r="C312" s="31"/>
      <c r="D312" s="31"/>
      <c r="E312" s="39"/>
      <c r="F312" s="27"/>
      <c r="G312" s="27"/>
      <c r="H312" s="27"/>
      <c r="I312" s="25"/>
      <c r="J312" s="27"/>
      <c r="K312" s="27"/>
      <c r="L312" s="91" t="str">
        <f>IF( Tarakonesh[[#This Row],[تراکنش]]="", "",IF( Tarakonesh[[#This Row],[تراکنش]]="انتقال",L311,IF(Tarakonesh[[#This Row],[تراکنش]]="دریافت_درآمد",(Tarakonesh[[#This Row],[مبلغ (ریال)]]+IF(Tarakonesh[[#This Row],[تراکنش]]="انتقال",0,L311)),((IF(Tarakonesh[[#This Row],[تراکنش]]="انتقال",0,L311))-Tarakonesh[[#This Row],[مبلغ (ریال)]]))))</f>
        <v/>
      </c>
      <c r="M312" s="31"/>
      <c r="N312" s="31"/>
    </row>
    <row r="313" spans="1:14">
      <c r="A313" s="26">
        <v>306</v>
      </c>
      <c r="B313" s="27"/>
      <c r="C313" s="31"/>
      <c r="D313" s="31"/>
      <c r="E313" s="39"/>
      <c r="F313" s="27"/>
      <c r="G313" s="27"/>
      <c r="H313" s="27"/>
      <c r="I313" s="25"/>
      <c r="J313" s="27"/>
      <c r="K313" s="27"/>
      <c r="L313" s="91" t="str">
        <f>IF( Tarakonesh[[#This Row],[تراکنش]]="", "",IF( Tarakonesh[[#This Row],[تراکنش]]="انتقال",L312,IF(Tarakonesh[[#This Row],[تراکنش]]="دریافت_درآمد",(Tarakonesh[[#This Row],[مبلغ (ریال)]]+IF(Tarakonesh[[#This Row],[تراکنش]]="انتقال",0,L312)),((IF(Tarakonesh[[#This Row],[تراکنش]]="انتقال",0,L312))-Tarakonesh[[#This Row],[مبلغ (ریال)]]))))</f>
        <v/>
      </c>
      <c r="M313" s="31"/>
      <c r="N313" s="31"/>
    </row>
    <row r="314" spans="1:14">
      <c r="A314" s="26">
        <v>307</v>
      </c>
      <c r="B314" s="27"/>
      <c r="C314" s="31"/>
      <c r="D314" s="31"/>
      <c r="E314" s="39"/>
      <c r="F314" s="27"/>
      <c r="G314" s="27"/>
      <c r="H314" s="27"/>
      <c r="I314" s="25"/>
      <c r="J314" s="27"/>
      <c r="K314" s="27"/>
      <c r="L314" s="91" t="str">
        <f>IF( Tarakonesh[[#This Row],[تراکنش]]="", "",IF( Tarakonesh[[#This Row],[تراکنش]]="انتقال",L313,IF(Tarakonesh[[#This Row],[تراکنش]]="دریافت_درآمد",(Tarakonesh[[#This Row],[مبلغ (ریال)]]+IF(Tarakonesh[[#This Row],[تراکنش]]="انتقال",0,L313)),((IF(Tarakonesh[[#This Row],[تراکنش]]="انتقال",0,L313))-Tarakonesh[[#This Row],[مبلغ (ریال)]]))))</f>
        <v/>
      </c>
      <c r="M314" s="31"/>
      <c r="N314" s="31"/>
    </row>
    <row r="315" spans="1:14">
      <c r="A315" s="26">
        <v>308</v>
      </c>
      <c r="B315" s="27"/>
      <c r="C315" s="31"/>
      <c r="D315" s="31"/>
      <c r="E315" s="39"/>
      <c r="F315" s="27"/>
      <c r="G315" s="27"/>
      <c r="H315" s="27"/>
      <c r="I315" s="25"/>
      <c r="J315" s="27"/>
      <c r="K315" s="27"/>
      <c r="L315" s="91" t="str">
        <f>IF( Tarakonesh[[#This Row],[تراکنش]]="", "",IF( Tarakonesh[[#This Row],[تراکنش]]="انتقال",L314,IF(Tarakonesh[[#This Row],[تراکنش]]="دریافت_درآمد",(Tarakonesh[[#This Row],[مبلغ (ریال)]]+IF(Tarakonesh[[#This Row],[تراکنش]]="انتقال",0,L314)),((IF(Tarakonesh[[#This Row],[تراکنش]]="انتقال",0,L314))-Tarakonesh[[#This Row],[مبلغ (ریال)]]))))</f>
        <v/>
      </c>
      <c r="M315" s="31"/>
      <c r="N315" s="31"/>
    </row>
    <row r="316" spans="1:14">
      <c r="A316" s="26">
        <v>309</v>
      </c>
      <c r="B316" s="27"/>
      <c r="C316" s="31"/>
      <c r="D316" s="31"/>
      <c r="E316" s="39"/>
      <c r="F316" s="27"/>
      <c r="G316" s="27"/>
      <c r="H316" s="27"/>
      <c r="I316" s="25"/>
      <c r="J316" s="27"/>
      <c r="K316" s="27"/>
      <c r="L316" s="91" t="str">
        <f>IF( Tarakonesh[[#This Row],[تراکنش]]="", "",IF( Tarakonesh[[#This Row],[تراکنش]]="انتقال",L315,IF(Tarakonesh[[#This Row],[تراکنش]]="دریافت_درآمد",(Tarakonesh[[#This Row],[مبلغ (ریال)]]+IF(Tarakonesh[[#This Row],[تراکنش]]="انتقال",0,L315)),((IF(Tarakonesh[[#This Row],[تراکنش]]="انتقال",0,L315))-Tarakonesh[[#This Row],[مبلغ (ریال)]]))))</f>
        <v/>
      </c>
      <c r="M316" s="31"/>
      <c r="N316" s="31"/>
    </row>
    <row r="317" spans="1:14">
      <c r="A317" s="26">
        <v>310</v>
      </c>
      <c r="B317" s="27"/>
      <c r="C317" s="31"/>
      <c r="D317" s="31"/>
      <c r="E317" s="39"/>
      <c r="F317" s="27"/>
      <c r="G317" s="27"/>
      <c r="H317" s="27"/>
      <c r="I317" s="25"/>
      <c r="J317" s="27"/>
      <c r="K317" s="27"/>
      <c r="L317" s="91" t="str">
        <f>IF( Tarakonesh[[#This Row],[تراکنش]]="", "",IF( Tarakonesh[[#This Row],[تراکنش]]="انتقال",L316,IF(Tarakonesh[[#This Row],[تراکنش]]="دریافت_درآمد",(Tarakonesh[[#This Row],[مبلغ (ریال)]]+IF(Tarakonesh[[#This Row],[تراکنش]]="انتقال",0,L316)),((IF(Tarakonesh[[#This Row],[تراکنش]]="انتقال",0,L316))-Tarakonesh[[#This Row],[مبلغ (ریال)]]))))</f>
        <v/>
      </c>
      <c r="M317" s="31"/>
      <c r="N317" s="31"/>
    </row>
    <row r="318" spans="1:14">
      <c r="A318" s="26">
        <v>311</v>
      </c>
      <c r="B318" s="27"/>
      <c r="C318" s="31"/>
      <c r="D318" s="31"/>
      <c r="E318" s="39"/>
      <c r="F318" s="27"/>
      <c r="G318" s="27"/>
      <c r="H318" s="27"/>
      <c r="I318" s="25"/>
      <c r="J318" s="27"/>
      <c r="K318" s="27"/>
      <c r="L318" s="91" t="str">
        <f>IF( Tarakonesh[[#This Row],[تراکنش]]="", "",IF( Tarakonesh[[#This Row],[تراکنش]]="انتقال",L317,IF(Tarakonesh[[#This Row],[تراکنش]]="دریافت_درآمد",(Tarakonesh[[#This Row],[مبلغ (ریال)]]+IF(Tarakonesh[[#This Row],[تراکنش]]="انتقال",0,L317)),((IF(Tarakonesh[[#This Row],[تراکنش]]="انتقال",0,L317))-Tarakonesh[[#This Row],[مبلغ (ریال)]]))))</f>
        <v/>
      </c>
      <c r="M318" s="31"/>
      <c r="N318" s="31"/>
    </row>
    <row r="319" spans="1:14">
      <c r="A319" s="26">
        <v>312</v>
      </c>
      <c r="B319" s="27"/>
      <c r="C319" s="31"/>
      <c r="D319" s="31"/>
      <c r="E319" s="39"/>
      <c r="F319" s="27"/>
      <c r="G319" s="27"/>
      <c r="H319" s="27"/>
      <c r="I319" s="25"/>
      <c r="J319" s="27"/>
      <c r="K319" s="27"/>
      <c r="L319" s="91" t="str">
        <f>IF( Tarakonesh[[#This Row],[تراکنش]]="", "",IF( Tarakonesh[[#This Row],[تراکنش]]="انتقال",L318,IF(Tarakonesh[[#This Row],[تراکنش]]="دریافت_درآمد",(Tarakonesh[[#This Row],[مبلغ (ریال)]]+IF(Tarakonesh[[#This Row],[تراکنش]]="انتقال",0,L318)),((IF(Tarakonesh[[#This Row],[تراکنش]]="انتقال",0,L318))-Tarakonesh[[#This Row],[مبلغ (ریال)]]))))</f>
        <v/>
      </c>
      <c r="M319" s="31"/>
      <c r="N319" s="31"/>
    </row>
    <row r="320" spans="1:14">
      <c r="A320" s="26">
        <v>313</v>
      </c>
      <c r="B320" s="27"/>
      <c r="C320" s="31"/>
      <c r="D320" s="31"/>
      <c r="E320" s="39"/>
      <c r="F320" s="27"/>
      <c r="G320" s="27"/>
      <c r="H320" s="27"/>
      <c r="I320" s="25"/>
      <c r="J320" s="27"/>
      <c r="K320" s="27"/>
      <c r="L320" s="91" t="str">
        <f>IF( Tarakonesh[[#This Row],[تراکنش]]="", "",IF( Tarakonesh[[#This Row],[تراکنش]]="انتقال",L319,IF(Tarakonesh[[#This Row],[تراکنش]]="دریافت_درآمد",(Tarakonesh[[#This Row],[مبلغ (ریال)]]+IF(Tarakonesh[[#This Row],[تراکنش]]="انتقال",0,L319)),((IF(Tarakonesh[[#This Row],[تراکنش]]="انتقال",0,L319))-Tarakonesh[[#This Row],[مبلغ (ریال)]]))))</f>
        <v/>
      </c>
      <c r="M320" s="31"/>
      <c r="N320" s="31"/>
    </row>
    <row r="321" spans="1:14">
      <c r="A321" s="26">
        <v>314</v>
      </c>
      <c r="B321" s="27"/>
      <c r="C321" s="31"/>
      <c r="D321" s="31"/>
      <c r="E321" s="39"/>
      <c r="F321" s="27"/>
      <c r="G321" s="27"/>
      <c r="H321" s="27"/>
      <c r="I321" s="25"/>
      <c r="J321" s="27"/>
      <c r="K321" s="27"/>
      <c r="L321" s="91" t="str">
        <f>IF( Tarakonesh[[#This Row],[تراکنش]]="", "",IF( Tarakonesh[[#This Row],[تراکنش]]="انتقال",L320,IF(Tarakonesh[[#This Row],[تراکنش]]="دریافت_درآمد",(Tarakonesh[[#This Row],[مبلغ (ریال)]]+IF(Tarakonesh[[#This Row],[تراکنش]]="انتقال",0,L320)),((IF(Tarakonesh[[#This Row],[تراکنش]]="انتقال",0,L320))-Tarakonesh[[#This Row],[مبلغ (ریال)]]))))</f>
        <v/>
      </c>
      <c r="M321" s="31"/>
      <c r="N321" s="31"/>
    </row>
    <row r="322" spans="1:14">
      <c r="A322" s="26">
        <v>315</v>
      </c>
      <c r="B322" s="27"/>
      <c r="C322" s="31"/>
      <c r="D322" s="31"/>
      <c r="E322" s="39"/>
      <c r="F322" s="27"/>
      <c r="G322" s="27"/>
      <c r="H322" s="27"/>
      <c r="I322" s="25"/>
      <c r="J322" s="27"/>
      <c r="K322" s="27"/>
      <c r="L322" s="91" t="str">
        <f>IF( Tarakonesh[[#This Row],[تراکنش]]="", "",IF( Tarakonesh[[#This Row],[تراکنش]]="انتقال",L321,IF(Tarakonesh[[#This Row],[تراکنش]]="دریافت_درآمد",(Tarakonesh[[#This Row],[مبلغ (ریال)]]+IF(Tarakonesh[[#This Row],[تراکنش]]="انتقال",0,L321)),((IF(Tarakonesh[[#This Row],[تراکنش]]="انتقال",0,L321))-Tarakonesh[[#This Row],[مبلغ (ریال)]]))))</f>
        <v/>
      </c>
      <c r="M322" s="31"/>
      <c r="N322" s="31"/>
    </row>
    <row r="323" spans="1:14">
      <c r="A323" s="26">
        <v>316</v>
      </c>
      <c r="B323" s="27"/>
      <c r="C323" s="31"/>
      <c r="D323" s="31"/>
      <c r="E323" s="39"/>
      <c r="F323" s="27"/>
      <c r="G323" s="27"/>
      <c r="H323" s="27"/>
      <c r="I323" s="25"/>
      <c r="J323" s="27"/>
      <c r="K323" s="27"/>
      <c r="L323" s="91" t="str">
        <f>IF( Tarakonesh[[#This Row],[تراکنش]]="", "",IF( Tarakonesh[[#This Row],[تراکنش]]="انتقال",L322,IF(Tarakonesh[[#This Row],[تراکنش]]="دریافت_درآمد",(Tarakonesh[[#This Row],[مبلغ (ریال)]]+IF(Tarakonesh[[#This Row],[تراکنش]]="انتقال",0,L322)),((IF(Tarakonesh[[#This Row],[تراکنش]]="انتقال",0,L322))-Tarakonesh[[#This Row],[مبلغ (ریال)]]))))</f>
        <v/>
      </c>
      <c r="M323" s="31"/>
      <c r="N323" s="31"/>
    </row>
    <row r="324" spans="1:14">
      <c r="A324" s="26">
        <v>317</v>
      </c>
      <c r="B324" s="27"/>
      <c r="C324" s="31"/>
      <c r="D324" s="31"/>
      <c r="E324" s="39"/>
      <c r="F324" s="27"/>
      <c r="G324" s="27"/>
      <c r="H324" s="27"/>
      <c r="I324" s="25"/>
      <c r="J324" s="27"/>
      <c r="K324" s="27"/>
      <c r="L324" s="91" t="str">
        <f>IF( Tarakonesh[[#This Row],[تراکنش]]="", "",IF( Tarakonesh[[#This Row],[تراکنش]]="انتقال",L323,IF(Tarakonesh[[#This Row],[تراکنش]]="دریافت_درآمد",(Tarakonesh[[#This Row],[مبلغ (ریال)]]+IF(Tarakonesh[[#This Row],[تراکنش]]="انتقال",0,L323)),((IF(Tarakonesh[[#This Row],[تراکنش]]="انتقال",0,L323))-Tarakonesh[[#This Row],[مبلغ (ریال)]]))))</f>
        <v/>
      </c>
      <c r="M324" s="31"/>
      <c r="N324" s="31"/>
    </row>
    <row r="325" spans="1:14">
      <c r="A325" s="26">
        <v>318</v>
      </c>
      <c r="B325" s="27"/>
      <c r="C325" s="31"/>
      <c r="D325" s="31"/>
      <c r="E325" s="39"/>
      <c r="F325" s="27"/>
      <c r="G325" s="27"/>
      <c r="H325" s="27"/>
      <c r="I325" s="25"/>
      <c r="J325" s="27"/>
      <c r="K325" s="27"/>
      <c r="L325" s="91" t="str">
        <f>IF( Tarakonesh[[#This Row],[تراکنش]]="", "",IF( Tarakonesh[[#This Row],[تراکنش]]="انتقال",L324,IF(Tarakonesh[[#This Row],[تراکنش]]="دریافت_درآمد",(Tarakonesh[[#This Row],[مبلغ (ریال)]]+IF(Tarakonesh[[#This Row],[تراکنش]]="انتقال",0,L324)),((IF(Tarakonesh[[#This Row],[تراکنش]]="انتقال",0,L324))-Tarakonesh[[#This Row],[مبلغ (ریال)]]))))</f>
        <v/>
      </c>
      <c r="M325" s="31"/>
      <c r="N325" s="31"/>
    </row>
    <row r="326" spans="1:14">
      <c r="A326" s="26">
        <v>319</v>
      </c>
      <c r="B326" s="27"/>
      <c r="C326" s="31"/>
      <c r="D326" s="31"/>
      <c r="E326" s="39"/>
      <c r="F326" s="27"/>
      <c r="G326" s="27"/>
      <c r="H326" s="27"/>
      <c r="I326" s="25"/>
      <c r="J326" s="27"/>
      <c r="K326" s="27"/>
      <c r="L326" s="91" t="str">
        <f>IF( Tarakonesh[[#This Row],[تراکنش]]="", "",IF( Tarakonesh[[#This Row],[تراکنش]]="انتقال",L325,IF(Tarakonesh[[#This Row],[تراکنش]]="دریافت_درآمد",(Tarakonesh[[#This Row],[مبلغ (ریال)]]+IF(Tarakonesh[[#This Row],[تراکنش]]="انتقال",0,L325)),((IF(Tarakonesh[[#This Row],[تراکنش]]="انتقال",0,L325))-Tarakonesh[[#This Row],[مبلغ (ریال)]]))))</f>
        <v/>
      </c>
      <c r="M326" s="31"/>
      <c r="N326" s="31"/>
    </row>
    <row r="327" spans="1:14">
      <c r="A327" s="26">
        <v>320</v>
      </c>
      <c r="B327" s="27"/>
      <c r="C327" s="31"/>
      <c r="D327" s="31"/>
      <c r="E327" s="39"/>
      <c r="F327" s="27"/>
      <c r="G327" s="27"/>
      <c r="H327" s="27"/>
      <c r="I327" s="25"/>
      <c r="J327" s="27"/>
      <c r="K327" s="27"/>
      <c r="L327" s="91" t="str">
        <f>IF( Tarakonesh[[#This Row],[تراکنش]]="", "",IF( Tarakonesh[[#This Row],[تراکنش]]="انتقال",L326,IF(Tarakonesh[[#This Row],[تراکنش]]="دریافت_درآمد",(Tarakonesh[[#This Row],[مبلغ (ریال)]]+IF(Tarakonesh[[#This Row],[تراکنش]]="انتقال",0,L326)),((IF(Tarakonesh[[#This Row],[تراکنش]]="انتقال",0,L326))-Tarakonesh[[#This Row],[مبلغ (ریال)]]))))</f>
        <v/>
      </c>
      <c r="M327" s="31"/>
      <c r="N327" s="31"/>
    </row>
    <row r="328" spans="1:14">
      <c r="A328" s="26">
        <v>321</v>
      </c>
      <c r="B328" s="27"/>
      <c r="C328" s="31"/>
      <c r="D328" s="31"/>
      <c r="E328" s="39"/>
      <c r="F328" s="27"/>
      <c r="G328" s="27"/>
      <c r="H328" s="27"/>
      <c r="I328" s="25"/>
      <c r="J328" s="27"/>
      <c r="K328" s="27"/>
      <c r="L328" s="91" t="str">
        <f>IF( Tarakonesh[[#This Row],[تراکنش]]="", "",IF( Tarakonesh[[#This Row],[تراکنش]]="انتقال",L327,IF(Tarakonesh[[#This Row],[تراکنش]]="دریافت_درآمد",(Tarakonesh[[#This Row],[مبلغ (ریال)]]+IF(Tarakonesh[[#This Row],[تراکنش]]="انتقال",0,L327)),((IF(Tarakonesh[[#This Row],[تراکنش]]="انتقال",0,L327))-Tarakonesh[[#This Row],[مبلغ (ریال)]]))))</f>
        <v/>
      </c>
      <c r="M328" s="31"/>
      <c r="N328" s="31"/>
    </row>
    <row r="329" spans="1:14">
      <c r="A329" s="26">
        <v>322</v>
      </c>
      <c r="B329" s="27"/>
      <c r="C329" s="31"/>
      <c r="D329" s="31"/>
      <c r="E329" s="39"/>
      <c r="F329" s="27"/>
      <c r="G329" s="27"/>
      <c r="H329" s="27"/>
      <c r="I329" s="25"/>
      <c r="J329" s="27"/>
      <c r="K329" s="27"/>
      <c r="L329" s="91" t="str">
        <f>IF( Tarakonesh[[#This Row],[تراکنش]]="", "",IF( Tarakonesh[[#This Row],[تراکنش]]="انتقال",L328,IF(Tarakonesh[[#This Row],[تراکنش]]="دریافت_درآمد",(Tarakonesh[[#This Row],[مبلغ (ریال)]]+IF(Tarakonesh[[#This Row],[تراکنش]]="انتقال",0,L328)),((IF(Tarakonesh[[#This Row],[تراکنش]]="انتقال",0,L328))-Tarakonesh[[#This Row],[مبلغ (ریال)]]))))</f>
        <v/>
      </c>
      <c r="M329" s="31"/>
      <c r="N329" s="31"/>
    </row>
    <row r="330" spans="1:14">
      <c r="A330" s="26">
        <v>323</v>
      </c>
      <c r="B330" s="27"/>
      <c r="C330" s="31"/>
      <c r="D330" s="31"/>
      <c r="E330" s="39"/>
      <c r="F330" s="27"/>
      <c r="G330" s="27"/>
      <c r="H330" s="27"/>
      <c r="I330" s="25"/>
      <c r="J330" s="27"/>
      <c r="K330" s="27"/>
      <c r="L330" s="91" t="str">
        <f>IF( Tarakonesh[[#This Row],[تراکنش]]="", "",IF( Tarakonesh[[#This Row],[تراکنش]]="انتقال",L329,IF(Tarakonesh[[#This Row],[تراکنش]]="دریافت_درآمد",(Tarakonesh[[#This Row],[مبلغ (ریال)]]+IF(Tarakonesh[[#This Row],[تراکنش]]="انتقال",0,L329)),((IF(Tarakonesh[[#This Row],[تراکنش]]="انتقال",0,L329))-Tarakonesh[[#This Row],[مبلغ (ریال)]]))))</f>
        <v/>
      </c>
      <c r="M330" s="31"/>
      <c r="N330" s="31"/>
    </row>
    <row r="331" spans="1:14">
      <c r="A331" s="26">
        <v>324</v>
      </c>
      <c r="B331" s="27"/>
      <c r="C331" s="31"/>
      <c r="D331" s="31"/>
      <c r="E331" s="39"/>
      <c r="F331" s="27"/>
      <c r="G331" s="27"/>
      <c r="H331" s="27"/>
      <c r="I331" s="25"/>
      <c r="J331" s="27"/>
      <c r="K331" s="27"/>
      <c r="L331" s="91" t="str">
        <f>IF( Tarakonesh[[#This Row],[تراکنش]]="", "",IF( Tarakonesh[[#This Row],[تراکنش]]="انتقال",L330,IF(Tarakonesh[[#This Row],[تراکنش]]="دریافت_درآمد",(Tarakonesh[[#This Row],[مبلغ (ریال)]]+IF(Tarakonesh[[#This Row],[تراکنش]]="انتقال",0,L330)),((IF(Tarakonesh[[#This Row],[تراکنش]]="انتقال",0,L330))-Tarakonesh[[#This Row],[مبلغ (ریال)]]))))</f>
        <v/>
      </c>
      <c r="M331" s="31"/>
      <c r="N331" s="31"/>
    </row>
    <row r="332" spans="1:14">
      <c r="A332" s="26">
        <v>325</v>
      </c>
      <c r="B332" s="27"/>
      <c r="C332" s="31"/>
      <c r="D332" s="31"/>
      <c r="E332" s="39"/>
      <c r="F332" s="27"/>
      <c r="G332" s="27"/>
      <c r="H332" s="27"/>
      <c r="I332" s="25"/>
      <c r="J332" s="27"/>
      <c r="K332" s="27"/>
      <c r="L332" s="91" t="str">
        <f>IF( Tarakonesh[[#This Row],[تراکنش]]="", "",IF( Tarakonesh[[#This Row],[تراکنش]]="انتقال",L331,IF(Tarakonesh[[#This Row],[تراکنش]]="دریافت_درآمد",(Tarakonesh[[#This Row],[مبلغ (ریال)]]+IF(Tarakonesh[[#This Row],[تراکنش]]="انتقال",0,L331)),((IF(Tarakonesh[[#This Row],[تراکنش]]="انتقال",0,L331))-Tarakonesh[[#This Row],[مبلغ (ریال)]]))))</f>
        <v/>
      </c>
      <c r="M332" s="31"/>
      <c r="N332" s="31"/>
    </row>
    <row r="333" spans="1:14">
      <c r="A333" s="26">
        <v>326</v>
      </c>
      <c r="B333" s="27"/>
      <c r="C333" s="31"/>
      <c r="D333" s="31"/>
      <c r="E333" s="39"/>
      <c r="F333" s="27"/>
      <c r="G333" s="27"/>
      <c r="H333" s="27"/>
      <c r="I333" s="25"/>
      <c r="J333" s="27"/>
      <c r="K333" s="27"/>
      <c r="L333" s="91" t="str">
        <f>IF( Tarakonesh[[#This Row],[تراکنش]]="", "",IF( Tarakonesh[[#This Row],[تراکنش]]="انتقال",L332,IF(Tarakonesh[[#This Row],[تراکنش]]="دریافت_درآمد",(Tarakonesh[[#This Row],[مبلغ (ریال)]]+IF(Tarakonesh[[#This Row],[تراکنش]]="انتقال",0,L332)),((IF(Tarakonesh[[#This Row],[تراکنش]]="انتقال",0,L332))-Tarakonesh[[#This Row],[مبلغ (ریال)]]))))</f>
        <v/>
      </c>
      <c r="M333" s="31"/>
      <c r="N333" s="31"/>
    </row>
    <row r="334" spans="1:14">
      <c r="A334" s="26">
        <v>327</v>
      </c>
      <c r="B334" s="27"/>
      <c r="C334" s="31"/>
      <c r="D334" s="31"/>
      <c r="E334" s="39"/>
      <c r="F334" s="27"/>
      <c r="G334" s="27"/>
      <c r="H334" s="27"/>
      <c r="I334" s="25"/>
      <c r="J334" s="27"/>
      <c r="K334" s="27"/>
      <c r="L334" s="91" t="str">
        <f>IF( Tarakonesh[[#This Row],[تراکنش]]="", "",IF( Tarakonesh[[#This Row],[تراکنش]]="انتقال",L333,IF(Tarakonesh[[#This Row],[تراکنش]]="دریافت_درآمد",(Tarakonesh[[#This Row],[مبلغ (ریال)]]+IF(Tarakonesh[[#This Row],[تراکنش]]="انتقال",0,L333)),((IF(Tarakonesh[[#This Row],[تراکنش]]="انتقال",0,L333))-Tarakonesh[[#This Row],[مبلغ (ریال)]]))))</f>
        <v/>
      </c>
      <c r="M334" s="31"/>
      <c r="N334" s="31"/>
    </row>
    <row r="335" spans="1:14">
      <c r="A335" s="26">
        <v>328</v>
      </c>
      <c r="B335" s="27"/>
      <c r="C335" s="31"/>
      <c r="D335" s="31"/>
      <c r="E335" s="39"/>
      <c r="F335" s="27"/>
      <c r="G335" s="27"/>
      <c r="H335" s="27"/>
      <c r="I335" s="25"/>
      <c r="J335" s="27"/>
      <c r="K335" s="27"/>
      <c r="L335" s="91" t="str">
        <f>IF( Tarakonesh[[#This Row],[تراکنش]]="", "",IF( Tarakonesh[[#This Row],[تراکنش]]="انتقال",L334,IF(Tarakonesh[[#This Row],[تراکنش]]="دریافت_درآمد",(Tarakonesh[[#This Row],[مبلغ (ریال)]]+IF(Tarakonesh[[#This Row],[تراکنش]]="انتقال",0,L334)),((IF(Tarakonesh[[#This Row],[تراکنش]]="انتقال",0,L334))-Tarakonesh[[#This Row],[مبلغ (ریال)]]))))</f>
        <v/>
      </c>
      <c r="M335" s="31"/>
      <c r="N335" s="31"/>
    </row>
    <row r="336" spans="1:14">
      <c r="A336" s="26">
        <v>329</v>
      </c>
      <c r="B336" s="27"/>
      <c r="C336" s="31"/>
      <c r="D336" s="31"/>
      <c r="E336" s="39"/>
      <c r="F336" s="27"/>
      <c r="G336" s="27"/>
      <c r="H336" s="27"/>
      <c r="I336" s="25"/>
      <c r="J336" s="27"/>
      <c r="K336" s="27"/>
      <c r="L336" s="91" t="str">
        <f>IF( Tarakonesh[[#This Row],[تراکنش]]="", "",IF( Tarakonesh[[#This Row],[تراکنش]]="انتقال",L335,IF(Tarakonesh[[#This Row],[تراکنش]]="دریافت_درآمد",(Tarakonesh[[#This Row],[مبلغ (ریال)]]+IF(Tarakonesh[[#This Row],[تراکنش]]="انتقال",0,L335)),((IF(Tarakonesh[[#This Row],[تراکنش]]="انتقال",0,L335))-Tarakonesh[[#This Row],[مبلغ (ریال)]]))))</f>
        <v/>
      </c>
      <c r="M336" s="31"/>
      <c r="N336" s="31"/>
    </row>
    <row r="337" spans="1:14">
      <c r="A337" s="26">
        <v>330</v>
      </c>
      <c r="B337" s="27"/>
      <c r="C337" s="31"/>
      <c r="D337" s="31"/>
      <c r="E337" s="39"/>
      <c r="F337" s="27"/>
      <c r="G337" s="27"/>
      <c r="H337" s="27"/>
      <c r="I337" s="25"/>
      <c r="J337" s="27"/>
      <c r="K337" s="27"/>
      <c r="L337" s="91" t="str">
        <f>IF( Tarakonesh[[#This Row],[تراکنش]]="", "",IF( Tarakonesh[[#This Row],[تراکنش]]="انتقال",L336,IF(Tarakonesh[[#This Row],[تراکنش]]="دریافت_درآمد",(Tarakonesh[[#This Row],[مبلغ (ریال)]]+IF(Tarakonesh[[#This Row],[تراکنش]]="انتقال",0,L336)),((IF(Tarakonesh[[#This Row],[تراکنش]]="انتقال",0,L336))-Tarakonesh[[#This Row],[مبلغ (ریال)]]))))</f>
        <v/>
      </c>
      <c r="M337" s="31"/>
      <c r="N337" s="31"/>
    </row>
    <row r="338" spans="1:14">
      <c r="A338" s="26">
        <v>331</v>
      </c>
      <c r="B338" s="27"/>
      <c r="C338" s="31"/>
      <c r="D338" s="31"/>
      <c r="E338" s="39"/>
      <c r="F338" s="27"/>
      <c r="G338" s="27"/>
      <c r="H338" s="27"/>
      <c r="I338" s="25"/>
      <c r="J338" s="27"/>
      <c r="K338" s="27"/>
      <c r="L338" s="91" t="str">
        <f>IF( Tarakonesh[[#This Row],[تراکنش]]="", "",IF( Tarakonesh[[#This Row],[تراکنش]]="انتقال",L337,IF(Tarakonesh[[#This Row],[تراکنش]]="دریافت_درآمد",(Tarakonesh[[#This Row],[مبلغ (ریال)]]+IF(Tarakonesh[[#This Row],[تراکنش]]="انتقال",0,L337)),((IF(Tarakonesh[[#This Row],[تراکنش]]="انتقال",0,L337))-Tarakonesh[[#This Row],[مبلغ (ریال)]]))))</f>
        <v/>
      </c>
      <c r="M338" s="31"/>
      <c r="N338" s="31"/>
    </row>
    <row r="339" spans="1:14">
      <c r="A339" s="26">
        <v>332</v>
      </c>
      <c r="B339" s="27"/>
      <c r="C339" s="31"/>
      <c r="D339" s="31"/>
      <c r="E339" s="39"/>
      <c r="F339" s="27"/>
      <c r="G339" s="27"/>
      <c r="H339" s="27"/>
      <c r="I339" s="25"/>
      <c r="J339" s="27"/>
      <c r="K339" s="27"/>
      <c r="L339" s="91" t="str">
        <f>IF( Tarakonesh[[#This Row],[تراکنش]]="", "",IF( Tarakonesh[[#This Row],[تراکنش]]="انتقال",L338,IF(Tarakonesh[[#This Row],[تراکنش]]="دریافت_درآمد",(Tarakonesh[[#This Row],[مبلغ (ریال)]]+IF(Tarakonesh[[#This Row],[تراکنش]]="انتقال",0,L338)),((IF(Tarakonesh[[#This Row],[تراکنش]]="انتقال",0,L338))-Tarakonesh[[#This Row],[مبلغ (ریال)]]))))</f>
        <v/>
      </c>
      <c r="M339" s="31"/>
      <c r="N339" s="31"/>
    </row>
    <row r="340" spans="1:14">
      <c r="A340" s="26">
        <v>333</v>
      </c>
      <c r="B340" s="27"/>
      <c r="C340" s="31"/>
      <c r="D340" s="31"/>
      <c r="E340" s="39"/>
      <c r="F340" s="27"/>
      <c r="G340" s="27"/>
      <c r="H340" s="27"/>
      <c r="I340" s="25"/>
      <c r="J340" s="27"/>
      <c r="K340" s="27"/>
      <c r="L340" s="91" t="str">
        <f>IF( Tarakonesh[[#This Row],[تراکنش]]="", "",IF( Tarakonesh[[#This Row],[تراکنش]]="انتقال",L339,IF(Tarakonesh[[#This Row],[تراکنش]]="دریافت_درآمد",(Tarakonesh[[#This Row],[مبلغ (ریال)]]+IF(Tarakonesh[[#This Row],[تراکنش]]="انتقال",0,L339)),((IF(Tarakonesh[[#This Row],[تراکنش]]="انتقال",0,L339))-Tarakonesh[[#This Row],[مبلغ (ریال)]]))))</f>
        <v/>
      </c>
      <c r="M340" s="31"/>
      <c r="N340" s="31"/>
    </row>
    <row r="341" spans="1:14">
      <c r="A341" s="26">
        <v>334</v>
      </c>
      <c r="B341" s="27"/>
      <c r="C341" s="31"/>
      <c r="D341" s="31"/>
      <c r="E341" s="39"/>
      <c r="F341" s="27"/>
      <c r="G341" s="27"/>
      <c r="H341" s="27"/>
      <c r="I341" s="25"/>
      <c r="J341" s="27"/>
      <c r="K341" s="27"/>
      <c r="L341" s="91" t="str">
        <f>IF( Tarakonesh[[#This Row],[تراکنش]]="", "",IF( Tarakonesh[[#This Row],[تراکنش]]="انتقال",L340,IF(Tarakonesh[[#This Row],[تراکنش]]="دریافت_درآمد",(Tarakonesh[[#This Row],[مبلغ (ریال)]]+IF(Tarakonesh[[#This Row],[تراکنش]]="انتقال",0,L340)),((IF(Tarakonesh[[#This Row],[تراکنش]]="انتقال",0,L340))-Tarakonesh[[#This Row],[مبلغ (ریال)]]))))</f>
        <v/>
      </c>
      <c r="M341" s="31"/>
      <c r="N341" s="31"/>
    </row>
    <row r="342" spans="1:14">
      <c r="A342" s="26">
        <v>335</v>
      </c>
      <c r="B342" s="27"/>
      <c r="C342" s="31"/>
      <c r="D342" s="31"/>
      <c r="E342" s="39"/>
      <c r="F342" s="27"/>
      <c r="G342" s="27"/>
      <c r="H342" s="27"/>
      <c r="I342" s="25"/>
      <c r="J342" s="27"/>
      <c r="K342" s="27"/>
      <c r="L342" s="91" t="str">
        <f>IF( Tarakonesh[[#This Row],[تراکنش]]="", "",IF( Tarakonesh[[#This Row],[تراکنش]]="انتقال",L341,IF(Tarakonesh[[#This Row],[تراکنش]]="دریافت_درآمد",(Tarakonesh[[#This Row],[مبلغ (ریال)]]+IF(Tarakonesh[[#This Row],[تراکنش]]="انتقال",0,L341)),((IF(Tarakonesh[[#This Row],[تراکنش]]="انتقال",0,L341))-Tarakonesh[[#This Row],[مبلغ (ریال)]]))))</f>
        <v/>
      </c>
      <c r="M342" s="31"/>
      <c r="N342" s="31"/>
    </row>
    <row r="343" spans="1:14">
      <c r="A343" s="26">
        <v>336</v>
      </c>
      <c r="B343" s="27"/>
      <c r="C343" s="31"/>
      <c r="D343" s="31"/>
      <c r="E343" s="39"/>
      <c r="F343" s="27"/>
      <c r="G343" s="27"/>
      <c r="H343" s="27"/>
      <c r="I343" s="25"/>
      <c r="J343" s="27"/>
      <c r="K343" s="27"/>
      <c r="L343" s="91" t="str">
        <f>IF( Tarakonesh[[#This Row],[تراکنش]]="", "",IF( Tarakonesh[[#This Row],[تراکنش]]="انتقال",L342,IF(Tarakonesh[[#This Row],[تراکنش]]="دریافت_درآمد",(Tarakonesh[[#This Row],[مبلغ (ریال)]]+IF(Tarakonesh[[#This Row],[تراکنش]]="انتقال",0,L342)),((IF(Tarakonesh[[#This Row],[تراکنش]]="انتقال",0,L342))-Tarakonesh[[#This Row],[مبلغ (ریال)]]))))</f>
        <v/>
      </c>
      <c r="M343" s="31"/>
      <c r="N343" s="31"/>
    </row>
    <row r="344" spans="1:14">
      <c r="A344" s="26">
        <v>337</v>
      </c>
      <c r="B344" s="27"/>
      <c r="C344" s="31"/>
      <c r="D344" s="31"/>
      <c r="E344" s="39"/>
      <c r="F344" s="27"/>
      <c r="G344" s="27"/>
      <c r="H344" s="27"/>
      <c r="I344" s="25"/>
      <c r="J344" s="27"/>
      <c r="K344" s="27"/>
      <c r="L344" s="91" t="str">
        <f>IF( Tarakonesh[[#This Row],[تراکنش]]="", "",IF( Tarakonesh[[#This Row],[تراکنش]]="انتقال",L343,IF(Tarakonesh[[#This Row],[تراکنش]]="دریافت_درآمد",(Tarakonesh[[#This Row],[مبلغ (ریال)]]+IF(Tarakonesh[[#This Row],[تراکنش]]="انتقال",0,L343)),((IF(Tarakonesh[[#This Row],[تراکنش]]="انتقال",0,L343))-Tarakonesh[[#This Row],[مبلغ (ریال)]]))))</f>
        <v/>
      </c>
      <c r="M344" s="31"/>
      <c r="N344" s="31"/>
    </row>
    <row r="345" spans="1:14">
      <c r="A345" s="26">
        <v>338</v>
      </c>
      <c r="B345" s="27"/>
      <c r="C345" s="31"/>
      <c r="D345" s="31"/>
      <c r="E345" s="39"/>
      <c r="F345" s="27"/>
      <c r="G345" s="27"/>
      <c r="H345" s="27"/>
      <c r="I345" s="25"/>
      <c r="J345" s="27"/>
      <c r="K345" s="27"/>
      <c r="L345" s="91" t="str">
        <f>IF( Tarakonesh[[#This Row],[تراکنش]]="", "",IF( Tarakonesh[[#This Row],[تراکنش]]="انتقال",L344,IF(Tarakonesh[[#This Row],[تراکنش]]="دریافت_درآمد",(Tarakonesh[[#This Row],[مبلغ (ریال)]]+IF(Tarakonesh[[#This Row],[تراکنش]]="انتقال",0,L344)),((IF(Tarakonesh[[#This Row],[تراکنش]]="انتقال",0,L344))-Tarakonesh[[#This Row],[مبلغ (ریال)]]))))</f>
        <v/>
      </c>
      <c r="M345" s="31"/>
      <c r="N345" s="31"/>
    </row>
    <row r="346" spans="1:14">
      <c r="A346" s="26">
        <v>339</v>
      </c>
      <c r="B346" s="27"/>
      <c r="C346" s="31"/>
      <c r="D346" s="31"/>
      <c r="E346" s="39"/>
      <c r="F346" s="27"/>
      <c r="G346" s="27"/>
      <c r="H346" s="27"/>
      <c r="I346" s="25"/>
      <c r="J346" s="27"/>
      <c r="K346" s="27"/>
      <c r="L346" s="91" t="str">
        <f>IF( Tarakonesh[[#This Row],[تراکنش]]="", "",IF( Tarakonesh[[#This Row],[تراکنش]]="انتقال",L345,IF(Tarakonesh[[#This Row],[تراکنش]]="دریافت_درآمد",(Tarakonesh[[#This Row],[مبلغ (ریال)]]+IF(Tarakonesh[[#This Row],[تراکنش]]="انتقال",0,L345)),((IF(Tarakonesh[[#This Row],[تراکنش]]="انتقال",0,L345))-Tarakonesh[[#This Row],[مبلغ (ریال)]]))))</f>
        <v/>
      </c>
      <c r="M346" s="31"/>
      <c r="N346" s="31"/>
    </row>
    <row r="347" spans="1:14">
      <c r="A347" s="26">
        <v>340</v>
      </c>
      <c r="B347" s="27"/>
      <c r="C347" s="31"/>
      <c r="D347" s="31"/>
      <c r="E347" s="39"/>
      <c r="F347" s="27"/>
      <c r="G347" s="27"/>
      <c r="H347" s="27"/>
      <c r="I347" s="25"/>
      <c r="J347" s="27"/>
      <c r="K347" s="27"/>
      <c r="L347" s="91" t="str">
        <f>IF( Tarakonesh[[#This Row],[تراکنش]]="", "",IF( Tarakonesh[[#This Row],[تراکنش]]="انتقال",L346,IF(Tarakonesh[[#This Row],[تراکنش]]="دریافت_درآمد",(Tarakonesh[[#This Row],[مبلغ (ریال)]]+IF(Tarakonesh[[#This Row],[تراکنش]]="انتقال",0,L346)),((IF(Tarakonesh[[#This Row],[تراکنش]]="انتقال",0,L346))-Tarakonesh[[#This Row],[مبلغ (ریال)]]))))</f>
        <v/>
      </c>
      <c r="M347" s="31"/>
      <c r="N347" s="31"/>
    </row>
    <row r="348" spans="1:14">
      <c r="A348" s="26">
        <v>341</v>
      </c>
      <c r="B348" s="27"/>
      <c r="C348" s="31"/>
      <c r="D348" s="31"/>
      <c r="E348" s="39"/>
      <c r="F348" s="27"/>
      <c r="G348" s="27"/>
      <c r="H348" s="27"/>
      <c r="I348" s="25"/>
      <c r="J348" s="27"/>
      <c r="K348" s="27"/>
      <c r="L348" s="91" t="str">
        <f>IF( Tarakonesh[[#This Row],[تراکنش]]="", "",IF( Tarakonesh[[#This Row],[تراکنش]]="انتقال",L347,IF(Tarakonesh[[#This Row],[تراکنش]]="دریافت_درآمد",(Tarakonesh[[#This Row],[مبلغ (ریال)]]+IF(Tarakonesh[[#This Row],[تراکنش]]="انتقال",0,L347)),((IF(Tarakonesh[[#This Row],[تراکنش]]="انتقال",0,L347))-Tarakonesh[[#This Row],[مبلغ (ریال)]]))))</f>
        <v/>
      </c>
      <c r="M348" s="31"/>
      <c r="N348" s="31"/>
    </row>
    <row r="349" spans="1:14">
      <c r="A349" s="26">
        <v>342</v>
      </c>
      <c r="B349" s="27"/>
      <c r="C349" s="31"/>
      <c r="D349" s="31"/>
      <c r="E349" s="39"/>
      <c r="F349" s="27"/>
      <c r="G349" s="27"/>
      <c r="H349" s="27"/>
      <c r="I349" s="25"/>
      <c r="J349" s="27"/>
      <c r="K349" s="27"/>
      <c r="L349" s="91" t="str">
        <f>IF( Tarakonesh[[#This Row],[تراکنش]]="", "",IF( Tarakonesh[[#This Row],[تراکنش]]="انتقال",L348,IF(Tarakonesh[[#This Row],[تراکنش]]="دریافت_درآمد",(Tarakonesh[[#This Row],[مبلغ (ریال)]]+IF(Tarakonesh[[#This Row],[تراکنش]]="انتقال",0,L348)),((IF(Tarakonesh[[#This Row],[تراکنش]]="انتقال",0,L348))-Tarakonesh[[#This Row],[مبلغ (ریال)]]))))</f>
        <v/>
      </c>
      <c r="M349" s="31"/>
      <c r="N349" s="31"/>
    </row>
    <row r="350" spans="1:14">
      <c r="A350" s="26">
        <v>343</v>
      </c>
      <c r="B350" s="27"/>
      <c r="C350" s="31"/>
      <c r="D350" s="31"/>
      <c r="E350" s="39"/>
      <c r="F350" s="27"/>
      <c r="G350" s="27"/>
      <c r="H350" s="27"/>
      <c r="I350" s="25"/>
      <c r="J350" s="27"/>
      <c r="K350" s="27"/>
      <c r="L350" s="91" t="str">
        <f>IF( Tarakonesh[[#This Row],[تراکنش]]="", "",IF( Tarakonesh[[#This Row],[تراکنش]]="انتقال",L349,IF(Tarakonesh[[#This Row],[تراکنش]]="دریافت_درآمد",(Tarakonesh[[#This Row],[مبلغ (ریال)]]+IF(Tarakonesh[[#This Row],[تراکنش]]="انتقال",0,L349)),((IF(Tarakonesh[[#This Row],[تراکنش]]="انتقال",0,L349))-Tarakonesh[[#This Row],[مبلغ (ریال)]]))))</f>
        <v/>
      </c>
      <c r="M350" s="31"/>
      <c r="N350" s="31"/>
    </row>
    <row r="351" spans="1:14">
      <c r="A351" s="26">
        <v>344</v>
      </c>
      <c r="B351" s="27"/>
      <c r="C351" s="31"/>
      <c r="D351" s="31"/>
      <c r="E351" s="39"/>
      <c r="F351" s="27"/>
      <c r="G351" s="27"/>
      <c r="H351" s="27"/>
      <c r="I351" s="25"/>
      <c r="J351" s="27"/>
      <c r="K351" s="27"/>
      <c r="L351" s="91" t="str">
        <f>IF( Tarakonesh[[#This Row],[تراکنش]]="", "",IF( Tarakonesh[[#This Row],[تراکنش]]="انتقال",L350,IF(Tarakonesh[[#This Row],[تراکنش]]="دریافت_درآمد",(Tarakonesh[[#This Row],[مبلغ (ریال)]]+IF(Tarakonesh[[#This Row],[تراکنش]]="انتقال",0,L350)),((IF(Tarakonesh[[#This Row],[تراکنش]]="انتقال",0,L350))-Tarakonesh[[#This Row],[مبلغ (ریال)]]))))</f>
        <v/>
      </c>
      <c r="M351" s="31"/>
      <c r="N351" s="31"/>
    </row>
    <row r="352" spans="1:14">
      <c r="A352" s="26">
        <v>345</v>
      </c>
      <c r="B352" s="27"/>
      <c r="C352" s="31"/>
      <c r="D352" s="31"/>
      <c r="E352" s="39"/>
      <c r="F352" s="27"/>
      <c r="G352" s="27"/>
      <c r="H352" s="27"/>
      <c r="I352" s="25"/>
      <c r="J352" s="27"/>
      <c r="K352" s="27"/>
      <c r="L352" s="91" t="str">
        <f>IF( Tarakonesh[[#This Row],[تراکنش]]="", "",IF( Tarakonesh[[#This Row],[تراکنش]]="انتقال",L351,IF(Tarakonesh[[#This Row],[تراکنش]]="دریافت_درآمد",(Tarakonesh[[#This Row],[مبلغ (ریال)]]+IF(Tarakonesh[[#This Row],[تراکنش]]="انتقال",0,L351)),((IF(Tarakonesh[[#This Row],[تراکنش]]="انتقال",0,L351))-Tarakonesh[[#This Row],[مبلغ (ریال)]]))))</f>
        <v/>
      </c>
      <c r="M352" s="31"/>
      <c r="N352" s="31"/>
    </row>
    <row r="353" spans="1:14">
      <c r="A353" s="26">
        <v>346</v>
      </c>
      <c r="B353" s="27"/>
      <c r="C353" s="31"/>
      <c r="D353" s="31"/>
      <c r="E353" s="39"/>
      <c r="F353" s="27"/>
      <c r="G353" s="27"/>
      <c r="H353" s="27"/>
      <c r="I353" s="25"/>
      <c r="J353" s="27"/>
      <c r="K353" s="27"/>
      <c r="L353" s="91" t="str">
        <f>IF( Tarakonesh[[#This Row],[تراکنش]]="", "",IF( Tarakonesh[[#This Row],[تراکنش]]="انتقال",L352,IF(Tarakonesh[[#This Row],[تراکنش]]="دریافت_درآمد",(Tarakonesh[[#This Row],[مبلغ (ریال)]]+IF(Tarakonesh[[#This Row],[تراکنش]]="انتقال",0,L352)),((IF(Tarakonesh[[#This Row],[تراکنش]]="انتقال",0,L352))-Tarakonesh[[#This Row],[مبلغ (ریال)]]))))</f>
        <v/>
      </c>
      <c r="M353" s="31"/>
      <c r="N353" s="31"/>
    </row>
    <row r="354" spans="1:14">
      <c r="A354" s="26">
        <v>347</v>
      </c>
      <c r="B354" s="27"/>
      <c r="C354" s="31"/>
      <c r="D354" s="31"/>
      <c r="E354" s="39"/>
      <c r="F354" s="27"/>
      <c r="G354" s="27"/>
      <c r="H354" s="27"/>
      <c r="I354" s="25"/>
      <c r="J354" s="27"/>
      <c r="K354" s="27"/>
      <c r="L354" s="91" t="str">
        <f>IF( Tarakonesh[[#This Row],[تراکنش]]="", "",IF( Tarakonesh[[#This Row],[تراکنش]]="انتقال",L353,IF(Tarakonesh[[#This Row],[تراکنش]]="دریافت_درآمد",(Tarakonesh[[#This Row],[مبلغ (ریال)]]+IF(Tarakonesh[[#This Row],[تراکنش]]="انتقال",0,L353)),((IF(Tarakonesh[[#This Row],[تراکنش]]="انتقال",0,L353))-Tarakonesh[[#This Row],[مبلغ (ریال)]]))))</f>
        <v/>
      </c>
      <c r="M354" s="31"/>
      <c r="N354" s="31"/>
    </row>
    <row r="355" spans="1:14">
      <c r="A355" s="26">
        <v>348</v>
      </c>
      <c r="B355" s="27"/>
      <c r="C355" s="31"/>
      <c r="D355" s="31"/>
      <c r="E355" s="39"/>
      <c r="F355" s="27"/>
      <c r="G355" s="27"/>
      <c r="H355" s="27"/>
      <c r="I355" s="25"/>
      <c r="J355" s="27"/>
      <c r="K355" s="27"/>
      <c r="L355" s="91" t="str">
        <f>IF( Tarakonesh[[#This Row],[تراکنش]]="", "",IF( Tarakonesh[[#This Row],[تراکنش]]="انتقال",L354,IF(Tarakonesh[[#This Row],[تراکنش]]="دریافت_درآمد",(Tarakonesh[[#This Row],[مبلغ (ریال)]]+IF(Tarakonesh[[#This Row],[تراکنش]]="انتقال",0,L354)),((IF(Tarakonesh[[#This Row],[تراکنش]]="انتقال",0,L354))-Tarakonesh[[#This Row],[مبلغ (ریال)]]))))</f>
        <v/>
      </c>
      <c r="M355" s="31"/>
      <c r="N355" s="31"/>
    </row>
    <row r="356" spans="1:14">
      <c r="A356" s="26">
        <v>349</v>
      </c>
      <c r="B356" s="27"/>
      <c r="C356" s="31"/>
      <c r="D356" s="31"/>
      <c r="E356" s="39"/>
      <c r="F356" s="27"/>
      <c r="G356" s="27"/>
      <c r="H356" s="27"/>
      <c r="I356" s="25"/>
      <c r="J356" s="27"/>
      <c r="K356" s="27"/>
      <c r="L356" s="91" t="str">
        <f>IF( Tarakonesh[[#This Row],[تراکنش]]="", "",IF( Tarakonesh[[#This Row],[تراکنش]]="انتقال",L355,IF(Tarakonesh[[#This Row],[تراکنش]]="دریافت_درآمد",(Tarakonesh[[#This Row],[مبلغ (ریال)]]+IF(Tarakonesh[[#This Row],[تراکنش]]="انتقال",0,L355)),((IF(Tarakonesh[[#This Row],[تراکنش]]="انتقال",0,L355))-Tarakonesh[[#This Row],[مبلغ (ریال)]]))))</f>
        <v/>
      </c>
      <c r="M356" s="31"/>
      <c r="N356" s="31"/>
    </row>
    <row r="357" spans="1:14">
      <c r="A357" s="26">
        <v>350</v>
      </c>
      <c r="B357" s="27"/>
      <c r="C357" s="31"/>
      <c r="D357" s="31"/>
      <c r="E357" s="39"/>
      <c r="F357" s="27"/>
      <c r="G357" s="27"/>
      <c r="H357" s="27"/>
      <c r="I357" s="25"/>
      <c r="J357" s="27"/>
      <c r="K357" s="27"/>
      <c r="L357" s="91" t="str">
        <f>IF( Tarakonesh[[#This Row],[تراکنش]]="", "",IF( Tarakonesh[[#This Row],[تراکنش]]="انتقال",L356,IF(Tarakonesh[[#This Row],[تراکنش]]="دریافت_درآمد",(Tarakonesh[[#This Row],[مبلغ (ریال)]]+IF(Tarakonesh[[#This Row],[تراکنش]]="انتقال",0,L356)),((IF(Tarakonesh[[#This Row],[تراکنش]]="انتقال",0,L356))-Tarakonesh[[#This Row],[مبلغ (ریال)]]))))</f>
        <v/>
      </c>
      <c r="M357" s="31"/>
      <c r="N357" s="31"/>
    </row>
    <row r="358" spans="1:14">
      <c r="A358" s="26">
        <v>351</v>
      </c>
      <c r="B358" s="27"/>
      <c r="C358" s="31"/>
      <c r="D358" s="31"/>
      <c r="E358" s="39"/>
      <c r="F358" s="27"/>
      <c r="G358" s="27"/>
      <c r="H358" s="27"/>
      <c r="I358" s="25"/>
      <c r="J358" s="27"/>
      <c r="K358" s="27"/>
      <c r="L358" s="91" t="str">
        <f>IF( Tarakonesh[[#This Row],[تراکنش]]="", "",IF( Tarakonesh[[#This Row],[تراکنش]]="انتقال",L357,IF(Tarakonesh[[#This Row],[تراکنش]]="دریافت_درآمد",(Tarakonesh[[#This Row],[مبلغ (ریال)]]+IF(Tarakonesh[[#This Row],[تراکنش]]="انتقال",0,L357)),((IF(Tarakonesh[[#This Row],[تراکنش]]="انتقال",0,L357))-Tarakonesh[[#This Row],[مبلغ (ریال)]]))))</f>
        <v/>
      </c>
      <c r="M358" s="31"/>
      <c r="N358" s="31"/>
    </row>
    <row r="359" spans="1:14">
      <c r="A359" s="26">
        <v>352</v>
      </c>
      <c r="B359" s="27"/>
      <c r="C359" s="31"/>
      <c r="D359" s="31"/>
      <c r="E359" s="39"/>
      <c r="F359" s="27"/>
      <c r="G359" s="27"/>
      <c r="H359" s="27"/>
      <c r="I359" s="25"/>
      <c r="J359" s="27"/>
      <c r="K359" s="27"/>
      <c r="L359" s="91" t="str">
        <f>IF( Tarakonesh[[#This Row],[تراکنش]]="", "",IF( Tarakonesh[[#This Row],[تراکنش]]="انتقال",L358,IF(Tarakonesh[[#This Row],[تراکنش]]="دریافت_درآمد",(Tarakonesh[[#This Row],[مبلغ (ریال)]]+IF(Tarakonesh[[#This Row],[تراکنش]]="انتقال",0,L358)),((IF(Tarakonesh[[#This Row],[تراکنش]]="انتقال",0,L358))-Tarakonesh[[#This Row],[مبلغ (ریال)]]))))</f>
        <v/>
      </c>
      <c r="M359" s="31"/>
      <c r="N359" s="31"/>
    </row>
    <row r="360" spans="1:14">
      <c r="A360" s="26">
        <v>353</v>
      </c>
      <c r="B360" s="27"/>
      <c r="C360" s="31"/>
      <c r="D360" s="31"/>
      <c r="E360" s="39"/>
      <c r="F360" s="27"/>
      <c r="G360" s="27"/>
      <c r="H360" s="27"/>
      <c r="I360" s="25"/>
      <c r="J360" s="27"/>
      <c r="K360" s="27"/>
      <c r="L360" s="91" t="str">
        <f>IF( Tarakonesh[[#This Row],[تراکنش]]="", "",IF( Tarakonesh[[#This Row],[تراکنش]]="انتقال",L359,IF(Tarakonesh[[#This Row],[تراکنش]]="دریافت_درآمد",(Tarakonesh[[#This Row],[مبلغ (ریال)]]+IF(Tarakonesh[[#This Row],[تراکنش]]="انتقال",0,L359)),((IF(Tarakonesh[[#This Row],[تراکنش]]="انتقال",0,L359))-Tarakonesh[[#This Row],[مبلغ (ریال)]]))))</f>
        <v/>
      </c>
      <c r="M360" s="31"/>
      <c r="N360" s="31"/>
    </row>
    <row r="361" spans="1:14">
      <c r="A361" s="26">
        <v>354</v>
      </c>
      <c r="B361" s="27"/>
      <c r="C361" s="31"/>
      <c r="D361" s="31"/>
      <c r="E361" s="39"/>
      <c r="F361" s="27"/>
      <c r="G361" s="27"/>
      <c r="H361" s="27"/>
      <c r="I361" s="25"/>
      <c r="J361" s="27"/>
      <c r="K361" s="27"/>
      <c r="L361" s="91" t="str">
        <f>IF( Tarakonesh[[#This Row],[تراکنش]]="", "",IF( Tarakonesh[[#This Row],[تراکنش]]="انتقال",L360,IF(Tarakonesh[[#This Row],[تراکنش]]="دریافت_درآمد",(Tarakonesh[[#This Row],[مبلغ (ریال)]]+IF(Tarakonesh[[#This Row],[تراکنش]]="انتقال",0,L360)),((IF(Tarakonesh[[#This Row],[تراکنش]]="انتقال",0,L360))-Tarakonesh[[#This Row],[مبلغ (ریال)]]))))</f>
        <v/>
      </c>
      <c r="M361" s="31"/>
      <c r="N361" s="31"/>
    </row>
    <row r="362" spans="1:14">
      <c r="A362" s="26">
        <v>355</v>
      </c>
      <c r="B362" s="27"/>
      <c r="C362" s="31"/>
      <c r="D362" s="31"/>
      <c r="E362" s="39"/>
      <c r="F362" s="27"/>
      <c r="G362" s="27"/>
      <c r="H362" s="27"/>
      <c r="I362" s="25"/>
      <c r="J362" s="27"/>
      <c r="K362" s="27"/>
      <c r="L362" s="91" t="str">
        <f>IF( Tarakonesh[[#This Row],[تراکنش]]="", "",IF( Tarakonesh[[#This Row],[تراکنش]]="انتقال",L361,IF(Tarakonesh[[#This Row],[تراکنش]]="دریافت_درآمد",(Tarakonesh[[#This Row],[مبلغ (ریال)]]+IF(Tarakonesh[[#This Row],[تراکنش]]="انتقال",0,L361)),((IF(Tarakonesh[[#This Row],[تراکنش]]="انتقال",0,L361))-Tarakonesh[[#This Row],[مبلغ (ریال)]]))))</f>
        <v/>
      </c>
      <c r="M362" s="31"/>
      <c r="N362" s="31"/>
    </row>
    <row r="363" spans="1:14">
      <c r="A363" s="26">
        <v>356</v>
      </c>
      <c r="B363" s="27"/>
      <c r="C363" s="31"/>
      <c r="D363" s="31"/>
      <c r="E363" s="39"/>
      <c r="F363" s="27"/>
      <c r="G363" s="27"/>
      <c r="H363" s="27"/>
      <c r="I363" s="25"/>
      <c r="J363" s="27"/>
      <c r="K363" s="27"/>
      <c r="L363" s="91" t="str">
        <f>IF( Tarakonesh[[#This Row],[تراکنش]]="", "",IF( Tarakonesh[[#This Row],[تراکنش]]="انتقال",L362,IF(Tarakonesh[[#This Row],[تراکنش]]="دریافت_درآمد",(Tarakonesh[[#This Row],[مبلغ (ریال)]]+IF(Tarakonesh[[#This Row],[تراکنش]]="انتقال",0,L362)),((IF(Tarakonesh[[#This Row],[تراکنش]]="انتقال",0,L362))-Tarakonesh[[#This Row],[مبلغ (ریال)]]))))</f>
        <v/>
      </c>
      <c r="M363" s="31"/>
      <c r="N363" s="31"/>
    </row>
    <row r="364" spans="1:14">
      <c r="A364" s="26">
        <v>357</v>
      </c>
      <c r="B364" s="27"/>
      <c r="C364" s="31"/>
      <c r="D364" s="31"/>
      <c r="E364" s="39"/>
      <c r="F364" s="27"/>
      <c r="G364" s="27"/>
      <c r="H364" s="27"/>
      <c r="I364" s="25"/>
      <c r="J364" s="27"/>
      <c r="K364" s="27"/>
      <c r="L364" s="91" t="str">
        <f>IF( Tarakonesh[[#This Row],[تراکنش]]="", "",IF( Tarakonesh[[#This Row],[تراکنش]]="انتقال",L363,IF(Tarakonesh[[#This Row],[تراکنش]]="دریافت_درآمد",(Tarakonesh[[#This Row],[مبلغ (ریال)]]+IF(Tarakonesh[[#This Row],[تراکنش]]="انتقال",0,L363)),((IF(Tarakonesh[[#This Row],[تراکنش]]="انتقال",0,L363))-Tarakonesh[[#This Row],[مبلغ (ریال)]]))))</f>
        <v/>
      </c>
      <c r="M364" s="31"/>
      <c r="N364" s="31"/>
    </row>
    <row r="365" spans="1:14">
      <c r="A365" s="26">
        <v>358</v>
      </c>
      <c r="B365" s="27"/>
      <c r="C365" s="31"/>
      <c r="D365" s="31"/>
      <c r="E365" s="39"/>
      <c r="F365" s="27"/>
      <c r="G365" s="27"/>
      <c r="H365" s="27"/>
      <c r="I365" s="25"/>
      <c r="J365" s="27"/>
      <c r="K365" s="27"/>
      <c r="L365" s="91" t="str">
        <f>IF( Tarakonesh[[#This Row],[تراکنش]]="", "",IF( Tarakonesh[[#This Row],[تراکنش]]="انتقال",L364,IF(Tarakonesh[[#This Row],[تراکنش]]="دریافت_درآمد",(Tarakonesh[[#This Row],[مبلغ (ریال)]]+IF(Tarakonesh[[#This Row],[تراکنش]]="انتقال",0,L364)),((IF(Tarakonesh[[#This Row],[تراکنش]]="انتقال",0,L364))-Tarakonesh[[#This Row],[مبلغ (ریال)]]))))</f>
        <v/>
      </c>
      <c r="M365" s="31"/>
      <c r="N365" s="31"/>
    </row>
    <row r="366" spans="1:14">
      <c r="A366" s="26">
        <v>359</v>
      </c>
      <c r="B366" s="27"/>
      <c r="C366" s="31"/>
      <c r="D366" s="31"/>
      <c r="E366" s="39"/>
      <c r="F366" s="27"/>
      <c r="G366" s="27"/>
      <c r="H366" s="27"/>
      <c r="I366" s="25"/>
      <c r="J366" s="27"/>
      <c r="K366" s="27"/>
      <c r="L366" s="91" t="str">
        <f>IF( Tarakonesh[[#This Row],[تراکنش]]="", "",IF( Tarakonesh[[#This Row],[تراکنش]]="انتقال",L365,IF(Tarakonesh[[#This Row],[تراکنش]]="دریافت_درآمد",(Tarakonesh[[#This Row],[مبلغ (ریال)]]+IF(Tarakonesh[[#This Row],[تراکنش]]="انتقال",0,L365)),((IF(Tarakonesh[[#This Row],[تراکنش]]="انتقال",0,L365))-Tarakonesh[[#This Row],[مبلغ (ریال)]]))))</f>
        <v/>
      </c>
      <c r="M366" s="31"/>
      <c r="N366" s="31"/>
    </row>
    <row r="367" spans="1:14">
      <c r="A367" s="26">
        <v>360</v>
      </c>
      <c r="B367" s="27"/>
      <c r="C367" s="31"/>
      <c r="D367" s="31"/>
      <c r="E367" s="39"/>
      <c r="F367" s="27"/>
      <c r="G367" s="27"/>
      <c r="H367" s="27"/>
      <c r="I367" s="25"/>
      <c r="J367" s="27"/>
      <c r="K367" s="27"/>
      <c r="L367" s="91" t="str">
        <f>IF( Tarakonesh[[#This Row],[تراکنش]]="", "",IF( Tarakonesh[[#This Row],[تراکنش]]="انتقال",L366,IF(Tarakonesh[[#This Row],[تراکنش]]="دریافت_درآمد",(Tarakonesh[[#This Row],[مبلغ (ریال)]]+IF(Tarakonesh[[#This Row],[تراکنش]]="انتقال",0,L366)),((IF(Tarakonesh[[#This Row],[تراکنش]]="انتقال",0,L366))-Tarakonesh[[#This Row],[مبلغ (ریال)]]))))</f>
        <v/>
      </c>
      <c r="M367" s="31"/>
      <c r="N367" s="31"/>
    </row>
    <row r="368" spans="1:14">
      <c r="A368" s="26">
        <v>361</v>
      </c>
      <c r="B368" s="27"/>
      <c r="C368" s="31"/>
      <c r="D368" s="31"/>
      <c r="E368" s="39"/>
      <c r="F368" s="27"/>
      <c r="G368" s="27"/>
      <c r="H368" s="27"/>
      <c r="I368" s="25"/>
      <c r="J368" s="27"/>
      <c r="K368" s="27"/>
      <c r="L368" s="91" t="str">
        <f>IF( Tarakonesh[[#This Row],[تراکنش]]="", "",IF( Tarakonesh[[#This Row],[تراکنش]]="انتقال",L367,IF(Tarakonesh[[#This Row],[تراکنش]]="دریافت_درآمد",(Tarakonesh[[#This Row],[مبلغ (ریال)]]+IF(Tarakonesh[[#This Row],[تراکنش]]="انتقال",0,L367)),((IF(Tarakonesh[[#This Row],[تراکنش]]="انتقال",0,L367))-Tarakonesh[[#This Row],[مبلغ (ریال)]]))))</f>
        <v/>
      </c>
      <c r="M368" s="31"/>
      <c r="N368" s="31"/>
    </row>
    <row r="369" spans="1:14">
      <c r="A369" s="26">
        <v>362</v>
      </c>
      <c r="B369" s="27"/>
      <c r="C369" s="31"/>
      <c r="D369" s="31"/>
      <c r="E369" s="39"/>
      <c r="F369" s="27"/>
      <c r="G369" s="27"/>
      <c r="H369" s="27"/>
      <c r="I369" s="25"/>
      <c r="J369" s="27"/>
      <c r="K369" s="27"/>
      <c r="L369" s="91" t="str">
        <f>IF( Tarakonesh[[#This Row],[تراکنش]]="", "",IF( Tarakonesh[[#This Row],[تراکنش]]="انتقال",L368,IF(Tarakonesh[[#This Row],[تراکنش]]="دریافت_درآمد",(Tarakonesh[[#This Row],[مبلغ (ریال)]]+IF(Tarakonesh[[#This Row],[تراکنش]]="انتقال",0,L368)),((IF(Tarakonesh[[#This Row],[تراکنش]]="انتقال",0,L368))-Tarakonesh[[#This Row],[مبلغ (ریال)]]))))</f>
        <v/>
      </c>
      <c r="M369" s="31"/>
      <c r="N369" s="31"/>
    </row>
    <row r="370" spans="1:14">
      <c r="A370" s="26">
        <v>363</v>
      </c>
      <c r="B370" s="27"/>
      <c r="C370" s="31"/>
      <c r="D370" s="31"/>
      <c r="E370" s="39"/>
      <c r="F370" s="27"/>
      <c r="G370" s="27"/>
      <c r="H370" s="27"/>
      <c r="I370" s="25"/>
      <c r="J370" s="27"/>
      <c r="K370" s="27"/>
      <c r="L370" s="91" t="str">
        <f>IF( Tarakonesh[[#This Row],[تراکنش]]="", "",IF( Tarakonesh[[#This Row],[تراکنش]]="انتقال",L369,IF(Tarakonesh[[#This Row],[تراکنش]]="دریافت_درآمد",(Tarakonesh[[#This Row],[مبلغ (ریال)]]+IF(Tarakonesh[[#This Row],[تراکنش]]="انتقال",0,L369)),((IF(Tarakonesh[[#This Row],[تراکنش]]="انتقال",0,L369))-Tarakonesh[[#This Row],[مبلغ (ریال)]]))))</f>
        <v/>
      </c>
      <c r="M370" s="31"/>
      <c r="N370" s="31"/>
    </row>
    <row r="371" spans="1:14">
      <c r="A371" s="26">
        <v>364</v>
      </c>
      <c r="B371" s="27"/>
      <c r="C371" s="31"/>
      <c r="D371" s="31"/>
      <c r="E371" s="39"/>
      <c r="F371" s="27"/>
      <c r="G371" s="27"/>
      <c r="H371" s="27"/>
      <c r="I371" s="25"/>
      <c r="J371" s="27"/>
      <c r="K371" s="27"/>
      <c r="L371" s="91" t="str">
        <f>IF( Tarakonesh[[#This Row],[تراکنش]]="", "",IF( Tarakonesh[[#This Row],[تراکنش]]="انتقال",L370,IF(Tarakonesh[[#This Row],[تراکنش]]="دریافت_درآمد",(Tarakonesh[[#This Row],[مبلغ (ریال)]]+IF(Tarakonesh[[#This Row],[تراکنش]]="انتقال",0,L370)),((IF(Tarakonesh[[#This Row],[تراکنش]]="انتقال",0,L370))-Tarakonesh[[#This Row],[مبلغ (ریال)]]))))</f>
        <v/>
      </c>
      <c r="M371" s="31"/>
      <c r="N371" s="31"/>
    </row>
    <row r="372" spans="1:14">
      <c r="A372" s="26">
        <v>365</v>
      </c>
      <c r="B372" s="27"/>
      <c r="C372" s="31"/>
      <c r="D372" s="31"/>
      <c r="E372" s="39"/>
      <c r="F372" s="27"/>
      <c r="G372" s="27"/>
      <c r="H372" s="27"/>
      <c r="I372" s="25"/>
      <c r="J372" s="27"/>
      <c r="K372" s="27"/>
      <c r="L372" s="91" t="str">
        <f>IF( Tarakonesh[[#This Row],[تراکنش]]="", "",IF( Tarakonesh[[#This Row],[تراکنش]]="انتقال",L371,IF(Tarakonesh[[#This Row],[تراکنش]]="دریافت_درآمد",(Tarakonesh[[#This Row],[مبلغ (ریال)]]+IF(Tarakonesh[[#This Row],[تراکنش]]="انتقال",0,L371)),((IF(Tarakonesh[[#This Row],[تراکنش]]="انتقال",0,L371))-Tarakonesh[[#This Row],[مبلغ (ریال)]]))))</f>
        <v/>
      </c>
      <c r="M372" s="31"/>
      <c r="N372" s="31"/>
    </row>
    <row r="373" spans="1:14">
      <c r="A373" s="26">
        <v>366</v>
      </c>
      <c r="B373" s="27"/>
      <c r="C373" s="31"/>
      <c r="D373" s="31"/>
      <c r="E373" s="39"/>
      <c r="F373" s="27"/>
      <c r="G373" s="27"/>
      <c r="H373" s="27"/>
      <c r="I373" s="25"/>
      <c r="J373" s="27"/>
      <c r="K373" s="27"/>
      <c r="L373" s="91" t="str">
        <f>IF( Tarakonesh[[#This Row],[تراکنش]]="", "",IF( Tarakonesh[[#This Row],[تراکنش]]="انتقال",L372,IF(Tarakonesh[[#This Row],[تراکنش]]="دریافت_درآمد",(Tarakonesh[[#This Row],[مبلغ (ریال)]]+IF(Tarakonesh[[#This Row],[تراکنش]]="انتقال",0,L372)),((IF(Tarakonesh[[#This Row],[تراکنش]]="انتقال",0,L372))-Tarakonesh[[#This Row],[مبلغ (ریال)]]))))</f>
        <v/>
      </c>
      <c r="M373" s="31"/>
      <c r="N373" s="31"/>
    </row>
    <row r="374" spans="1:14">
      <c r="A374" s="26">
        <v>367</v>
      </c>
      <c r="B374" s="27"/>
      <c r="C374" s="31"/>
      <c r="D374" s="31"/>
      <c r="E374" s="39"/>
      <c r="F374" s="27"/>
      <c r="G374" s="27"/>
      <c r="H374" s="27"/>
      <c r="I374" s="25"/>
      <c r="J374" s="27"/>
      <c r="K374" s="27"/>
      <c r="L374" s="91" t="str">
        <f>IF( Tarakonesh[[#This Row],[تراکنش]]="", "",IF( Tarakonesh[[#This Row],[تراکنش]]="انتقال",L373,IF(Tarakonesh[[#This Row],[تراکنش]]="دریافت_درآمد",(Tarakonesh[[#This Row],[مبلغ (ریال)]]+IF(Tarakonesh[[#This Row],[تراکنش]]="انتقال",0,L373)),((IF(Tarakonesh[[#This Row],[تراکنش]]="انتقال",0,L373))-Tarakonesh[[#This Row],[مبلغ (ریال)]]))))</f>
        <v/>
      </c>
      <c r="M374" s="31"/>
      <c r="N374" s="31"/>
    </row>
    <row r="375" spans="1:14">
      <c r="A375" s="26">
        <v>368</v>
      </c>
      <c r="B375" s="27"/>
      <c r="C375" s="31"/>
      <c r="D375" s="31"/>
      <c r="E375" s="39"/>
      <c r="F375" s="27"/>
      <c r="G375" s="27"/>
      <c r="H375" s="27"/>
      <c r="I375" s="25"/>
      <c r="J375" s="27"/>
      <c r="K375" s="27"/>
      <c r="L375" s="91" t="str">
        <f>IF( Tarakonesh[[#This Row],[تراکنش]]="", "",IF( Tarakonesh[[#This Row],[تراکنش]]="انتقال",L374,IF(Tarakonesh[[#This Row],[تراکنش]]="دریافت_درآمد",(Tarakonesh[[#This Row],[مبلغ (ریال)]]+IF(Tarakonesh[[#This Row],[تراکنش]]="انتقال",0,L374)),((IF(Tarakonesh[[#This Row],[تراکنش]]="انتقال",0,L374))-Tarakonesh[[#This Row],[مبلغ (ریال)]]))))</f>
        <v/>
      </c>
      <c r="M375" s="31"/>
      <c r="N375" s="31"/>
    </row>
    <row r="376" spans="1:14">
      <c r="A376" s="26">
        <v>369</v>
      </c>
      <c r="B376" s="27"/>
      <c r="C376" s="31"/>
      <c r="D376" s="31"/>
      <c r="E376" s="39"/>
      <c r="F376" s="27"/>
      <c r="G376" s="27"/>
      <c r="H376" s="27"/>
      <c r="I376" s="25"/>
      <c r="J376" s="27"/>
      <c r="K376" s="27"/>
      <c r="L376" s="91" t="str">
        <f>IF( Tarakonesh[[#This Row],[تراکنش]]="", "",IF( Tarakonesh[[#This Row],[تراکنش]]="انتقال",L375,IF(Tarakonesh[[#This Row],[تراکنش]]="دریافت_درآمد",(Tarakonesh[[#This Row],[مبلغ (ریال)]]+IF(Tarakonesh[[#This Row],[تراکنش]]="انتقال",0,L375)),((IF(Tarakonesh[[#This Row],[تراکنش]]="انتقال",0,L375))-Tarakonesh[[#This Row],[مبلغ (ریال)]]))))</f>
        <v/>
      </c>
      <c r="M376" s="31"/>
      <c r="N376" s="31"/>
    </row>
    <row r="377" spans="1:14">
      <c r="A377" s="26">
        <v>370</v>
      </c>
      <c r="B377" s="27"/>
      <c r="C377" s="31"/>
      <c r="D377" s="31"/>
      <c r="E377" s="39"/>
      <c r="F377" s="27"/>
      <c r="G377" s="27"/>
      <c r="H377" s="27"/>
      <c r="I377" s="25"/>
      <c r="J377" s="27"/>
      <c r="K377" s="27"/>
      <c r="L377" s="91" t="str">
        <f>IF( Tarakonesh[[#This Row],[تراکنش]]="", "",IF( Tarakonesh[[#This Row],[تراکنش]]="انتقال",L376,IF(Tarakonesh[[#This Row],[تراکنش]]="دریافت_درآمد",(Tarakonesh[[#This Row],[مبلغ (ریال)]]+IF(Tarakonesh[[#This Row],[تراکنش]]="انتقال",0,L376)),((IF(Tarakonesh[[#This Row],[تراکنش]]="انتقال",0,L376))-Tarakonesh[[#This Row],[مبلغ (ریال)]]))))</f>
        <v/>
      </c>
      <c r="M377" s="31"/>
      <c r="N377" s="31"/>
    </row>
    <row r="378" spans="1:14">
      <c r="A378" s="26">
        <v>371</v>
      </c>
      <c r="B378" s="27"/>
      <c r="C378" s="31"/>
      <c r="D378" s="31"/>
      <c r="E378" s="39"/>
      <c r="F378" s="27"/>
      <c r="G378" s="27"/>
      <c r="H378" s="27"/>
      <c r="I378" s="25"/>
      <c r="J378" s="27"/>
      <c r="K378" s="27"/>
      <c r="L378" s="91" t="str">
        <f>IF( Tarakonesh[[#This Row],[تراکنش]]="", "",IF( Tarakonesh[[#This Row],[تراکنش]]="انتقال",L377,IF(Tarakonesh[[#This Row],[تراکنش]]="دریافت_درآمد",(Tarakonesh[[#This Row],[مبلغ (ریال)]]+IF(Tarakonesh[[#This Row],[تراکنش]]="انتقال",0,L377)),((IF(Tarakonesh[[#This Row],[تراکنش]]="انتقال",0,L377))-Tarakonesh[[#This Row],[مبلغ (ریال)]]))))</f>
        <v/>
      </c>
      <c r="M378" s="31"/>
      <c r="N378" s="31"/>
    </row>
    <row r="379" spans="1:14">
      <c r="A379" s="26">
        <v>372</v>
      </c>
      <c r="B379" s="27"/>
      <c r="C379" s="31"/>
      <c r="D379" s="31"/>
      <c r="E379" s="39"/>
      <c r="F379" s="27"/>
      <c r="G379" s="27"/>
      <c r="H379" s="27"/>
      <c r="I379" s="25"/>
      <c r="J379" s="27"/>
      <c r="K379" s="27"/>
      <c r="L379" s="91" t="str">
        <f>IF( Tarakonesh[[#This Row],[تراکنش]]="", "",IF( Tarakonesh[[#This Row],[تراکنش]]="انتقال",L378,IF(Tarakonesh[[#This Row],[تراکنش]]="دریافت_درآمد",(Tarakonesh[[#This Row],[مبلغ (ریال)]]+IF(Tarakonesh[[#This Row],[تراکنش]]="انتقال",0,L378)),((IF(Tarakonesh[[#This Row],[تراکنش]]="انتقال",0,L378))-Tarakonesh[[#This Row],[مبلغ (ریال)]]))))</f>
        <v/>
      </c>
      <c r="M379" s="31"/>
      <c r="N379" s="31"/>
    </row>
    <row r="380" spans="1:14">
      <c r="A380" s="26">
        <v>373</v>
      </c>
      <c r="B380" s="27"/>
      <c r="C380" s="31"/>
      <c r="D380" s="31"/>
      <c r="E380" s="39"/>
      <c r="F380" s="27"/>
      <c r="G380" s="27"/>
      <c r="H380" s="27"/>
      <c r="I380" s="25"/>
      <c r="J380" s="27"/>
      <c r="K380" s="27"/>
      <c r="L380" s="91" t="str">
        <f>IF( Tarakonesh[[#This Row],[تراکنش]]="", "",IF( Tarakonesh[[#This Row],[تراکنش]]="انتقال",L379,IF(Tarakonesh[[#This Row],[تراکنش]]="دریافت_درآمد",(Tarakonesh[[#This Row],[مبلغ (ریال)]]+IF(Tarakonesh[[#This Row],[تراکنش]]="انتقال",0,L379)),((IF(Tarakonesh[[#This Row],[تراکنش]]="انتقال",0,L379))-Tarakonesh[[#This Row],[مبلغ (ریال)]]))))</f>
        <v/>
      </c>
      <c r="M380" s="31"/>
      <c r="N380" s="31"/>
    </row>
    <row r="381" spans="1:14">
      <c r="A381" s="26">
        <v>374</v>
      </c>
      <c r="B381" s="27"/>
      <c r="C381" s="31"/>
      <c r="D381" s="31"/>
      <c r="E381" s="39"/>
      <c r="F381" s="27"/>
      <c r="G381" s="27"/>
      <c r="H381" s="27"/>
      <c r="I381" s="25"/>
      <c r="J381" s="27"/>
      <c r="K381" s="27"/>
      <c r="L381" s="91" t="str">
        <f>IF( Tarakonesh[[#This Row],[تراکنش]]="", "",IF( Tarakonesh[[#This Row],[تراکنش]]="انتقال",L380,IF(Tarakonesh[[#This Row],[تراکنش]]="دریافت_درآمد",(Tarakonesh[[#This Row],[مبلغ (ریال)]]+IF(Tarakonesh[[#This Row],[تراکنش]]="انتقال",0,L380)),((IF(Tarakonesh[[#This Row],[تراکنش]]="انتقال",0,L380))-Tarakonesh[[#This Row],[مبلغ (ریال)]]))))</f>
        <v/>
      </c>
      <c r="M381" s="31"/>
      <c r="N381" s="31"/>
    </row>
    <row r="382" spans="1:14">
      <c r="A382" s="26">
        <v>375</v>
      </c>
      <c r="B382" s="27"/>
      <c r="C382" s="31"/>
      <c r="D382" s="31"/>
      <c r="E382" s="39"/>
      <c r="F382" s="27"/>
      <c r="G382" s="27"/>
      <c r="H382" s="27"/>
      <c r="I382" s="25"/>
      <c r="J382" s="27"/>
      <c r="K382" s="27"/>
      <c r="L382" s="91" t="str">
        <f>IF( Tarakonesh[[#This Row],[تراکنش]]="", "",IF( Tarakonesh[[#This Row],[تراکنش]]="انتقال",L381,IF(Tarakonesh[[#This Row],[تراکنش]]="دریافت_درآمد",(Tarakonesh[[#This Row],[مبلغ (ریال)]]+IF(Tarakonesh[[#This Row],[تراکنش]]="انتقال",0,L381)),((IF(Tarakonesh[[#This Row],[تراکنش]]="انتقال",0,L381))-Tarakonesh[[#This Row],[مبلغ (ریال)]]))))</f>
        <v/>
      </c>
      <c r="M382" s="31"/>
      <c r="N382" s="31"/>
    </row>
    <row r="383" spans="1:14">
      <c r="A383" s="26">
        <v>376</v>
      </c>
      <c r="B383" s="27"/>
      <c r="C383" s="31"/>
      <c r="D383" s="31"/>
      <c r="E383" s="39"/>
      <c r="F383" s="27"/>
      <c r="G383" s="27"/>
      <c r="H383" s="27"/>
      <c r="I383" s="25"/>
      <c r="J383" s="27"/>
      <c r="K383" s="27"/>
      <c r="L383" s="91" t="str">
        <f>IF( Tarakonesh[[#This Row],[تراکنش]]="", "",IF( Tarakonesh[[#This Row],[تراکنش]]="انتقال",L382,IF(Tarakonesh[[#This Row],[تراکنش]]="دریافت_درآمد",(Tarakonesh[[#This Row],[مبلغ (ریال)]]+IF(Tarakonesh[[#This Row],[تراکنش]]="انتقال",0,L382)),((IF(Tarakonesh[[#This Row],[تراکنش]]="انتقال",0,L382))-Tarakonesh[[#This Row],[مبلغ (ریال)]]))))</f>
        <v/>
      </c>
      <c r="M383" s="31"/>
      <c r="N383" s="31"/>
    </row>
    <row r="384" spans="1:14">
      <c r="A384" s="26">
        <v>377</v>
      </c>
      <c r="B384" s="27"/>
      <c r="C384" s="31"/>
      <c r="D384" s="31"/>
      <c r="E384" s="39"/>
      <c r="F384" s="27"/>
      <c r="G384" s="27"/>
      <c r="H384" s="27"/>
      <c r="I384" s="25"/>
      <c r="J384" s="27"/>
      <c r="K384" s="27"/>
      <c r="L384" s="91" t="str">
        <f>IF( Tarakonesh[[#This Row],[تراکنش]]="", "",IF( Tarakonesh[[#This Row],[تراکنش]]="انتقال",L383,IF(Tarakonesh[[#This Row],[تراکنش]]="دریافت_درآمد",(Tarakonesh[[#This Row],[مبلغ (ریال)]]+IF(Tarakonesh[[#This Row],[تراکنش]]="انتقال",0,L383)),((IF(Tarakonesh[[#This Row],[تراکنش]]="انتقال",0,L383))-Tarakonesh[[#This Row],[مبلغ (ریال)]]))))</f>
        <v/>
      </c>
      <c r="M384" s="31"/>
      <c r="N384" s="31"/>
    </row>
    <row r="385" spans="1:14">
      <c r="A385" s="26">
        <v>378</v>
      </c>
      <c r="B385" s="27"/>
      <c r="C385" s="31"/>
      <c r="D385" s="31"/>
      <c r="E385" s="39"/>
      <c r="F385" s="27"/>
      <c r="G385" s="27"/>
      <c r="H385" s="27"/>
      <c r="I385" s="25"/>
      <c r="J385" s="27"/>
      <c r="K385" s="27"/>
      <c r="L385" s="91" t="str">
        <f>IF( Tarakonesh[[#This Row],[تراکنش]]="", "",IF( Tarakonesh[[#This Row],[تراکنش]]="انتقال",L384,IF(Tarakonesh[[#This Row],[تراکنش]]="دریافت_درآمد",(Tarakonesh[[#This Row],[مبلغ (ریال)]]+IF(Tarakonesh[[#This Row],[تراکنش]]="انتقال",0,L384)),((IF(Tarakonesh[[#This Row],[تراکنش]]="انتقال",0,L384))-Tarakonesh[[#This Row],[مبلغ (ریال)]]))))</f>
        <v/>
      </c>
      <c r="M385" s="31"/>
      <c r="N385" s="31"/>
    </row>
    <row r="386" spans="1:14">
      <c r="A386" s="26">
        <v>379</v>
      </c>
      <c r="B386" s="27"/>
      <c r="C386" s="31"/>
      <c r="D386" s="31"/>
      <c r="E386" s="39"/>
      <c r="F386" s="27"/>
      <c r="G386" s="27"/>
      <c r="H386" s="27"/>
      <c r="I386" s="25"/>
      <c r="J386" s="27"/>
      <c r="K386" s="27"/>
      <c r="L386" s="91" t="str">
        <f>IF( Tarakonesh[[#This Row],[تراکنش]]="", "",IF( Tarakonesh[[#This Row],[تراکنش]]="انتقال",L385,IF(Tarakonesh[[#This Row],[تراکنش]]="دریافت_درآمد",(Tarakonesh[[#This Row],[مبلغ (ریال)]]+IF(Tarakonesh[[#This Row],[تراکنش]]="انتقال",0,L385)),((IF(Tarakonesh[[#This Row],[تراکنش]]="انتقال",0,L385))-Tarakonesh[[#This Row],[مبلغ (ریال)]]))))</f>
        <v/>
      </c>
      <c r="M386" s="31"/>
      <c r="N386" s="31"/>
    </row>
    <row r="387" spans="1:14">
      <c r="A387" s="26">
        <v>380</v>
      </c>
      <c r="B387" s="27"/>
      <c r="C387" s="31"/>
      <c r="D387" s="31"/>
      <c r="E387" s="39"/>
      <c r="F387" s="27"/>
      <c r="G387" s="27"/>
      <c r="H387" s="27"/>
      <c r="I387" s="25"/>
      <c r="J387" s="27"/>
      <c r="K387" s="27"/>
      <c r="L387" s="91" t="str">
        <f>IF( Tarakonesh[[#This Row],[تراکنش]]="", "",IF( Tarakonesh[[#This Row],[تراکنش]]="انتقال",L386,IF(Tarakonesh[[#This Row],[تراکنش]]="دریافت_درآمد",(Tarakonesh[[#This Row],[مبلغ (ریال)]]+IF(Tarakonesh[[#This Row],[تراکنش]]="انتقال",0,L386)),((IF(Tarakonesh[[#This Row],[تراکنش]]="انتقال",0,L386))-Tarakonesh[[#This Row],[مبلغ (ریال)]]))))</f>
        <v/>
      </c>
      <c r="M387" s="31"/>
      <c r="N387" s="31"/>
    </row>
    <row r="388" spans="1:14">
      <c r="A388" s="26">
        <v>381</v>
      </c>
      <c r="B388" s="27"/>
      <c r="C388" s="31"/>
      <c r="D388" s="31"/>
      <c r="E388" s="39"/>
      <c r="F388" s="27"/>
      <c r="G388" s="27"/>
      <c r="H388" s="27"/>
      <c r="I388" s="25"/>
      <c r="J388" s="27"/>
      <c r="K388" s="27"/>
      <c r="L388" s="91" t="str">
        <f>IF( Tarakonesh[[#This Row],[تراکنش]]="", "",IF( Tarakonesh[[#This Row],[تراکنش]]="انتقال",L387,IF(Tarakonesh[[#This Row],[تراکنش]]="دریافت_درآمد",(Tarakonesh[[#This Row],[مبلغ (ریال)]]+IF(Tarakonesh[[#This Row],[تراکنش]]="انتقال",0,L387)),((IF(Tarakonesh[[#This Row],[تراکنش]]="انتقال",0,L387))-Tarakonesh[[#This Row],[مبلغ (ریال)]]))))</f>
        <v/>
      </c>
      <c r="M388" s="31"/>
      <c r="N388" s="31"/>
    </row>
    <row r="389" spans="1:14">
      <c r="A389" s="26">
        <v>382</v>
      </c>
      <c r="B389" s="27"/>
      <c r="C389" s="31"/>
      <c r="D389" s="31"/>
      <c r="E389" s="39"/>
      <c r="F389" s="27"/>
      <c r="G389" s="27"/>
      <c r="H389" s="27"/>
      <c r="I389" s="25"/>
      <c r="J389" s="27"/>
      <c r="K389" s="27"/>
      <c r="L389" s="91" t="str">
        <f>IF( Tarakonesh[[#This Row],[تراکنش]]="", "",IF( Tarakonesh[[#This Row],[تراکنش]]="انتقال",L388,IF(Tarakonesh[[#This Row],[تراکنش]]="دریافت_درآمد",(Tarakonesh[[#This Row],[مبلغ (ریال)]]+IF(Tarakonesh[[#This Row],[تراکنش]]="انتقال",0,L388)),((IF(Tarakonesh[[#This Row],[تراکنش]]="انتقال",0,L388))-Tarakonesh[[#This Row],[مبلغ (ریال)]]))))</f>
        <v/>
      </c>
      <c r="M389" s="31"/>
      <c r="N389" s="31"/>
    </row>
    <row r="390" spans="1:14">
      <c r="A390" s="26">
        <v>383</v>
      </c>
      <c r="B390" s="27"/>
      <c r="C390" s="31"/>
      <c r="D390" s="31"/>
      <c r="E390" s="39"/>
      <c r="F390" s="27"/>
      <c r="G390" s="27"/>
      <c r="H390" s="27"/>
      <c r="I390" s="25"/>
      <c r="J390" s="27"/>
      <c r="K390" s="27"/>
      <c r="L390" s="91" t="str">
        <f>IF( Tarakonesh[[#This Row],[تراکنش]]="", "",IF( Tarakonesh[[#This Row],[تراکنش]]="انتقال",L389,IF(Tarakonesh[[#This Row],[تراکنش]]="دریافت_درآمد",(Tarakonesh[[#This Row],[مبلغ (ریال)]]+IF(Tarakonesh[[#This Row],[تراکنش]]="انتقال",0,L389)),((IF(Tarakonesh[[#This Row],[تراکنش]]="انتقال",0,L389))-Tarakonesh[[#This Row],[مبلغ (ریال)]]))))</f>
        <v/>
      </c>
      <c r="M390" s="31"/>
      <c r="N390" s="31"/>
    </row>
    <row r="391" spans="1:14">
      <c r="A391" s="26">
        <v>384</v>
      </c>
      <c r="B391" s="27"/>
      <c r="C391" s="31"/>
      <c r="D391" s="31"/>
      <c r="E391" s="39"/>
      <c r="F391" s="27"/>
      <c r="G391" s="27"/>
      <c r="H391" s="27"/>
      <c r="I391" s="25"/>
      <c r="J391" s="27"/>
      <c r="K391" s="27"/>
      <c r="L391" s="91" t="str">
        <f>IF( Tarakonesh[[#This Row],[تراکنش]]="", "",IF( Tarakonesh[[#This Row],[تراکنش]]="انتقال",L390,IF(Tarakonesh[[#This Row],[تراکنش]]="دریافت_درآمد",(Tarakonesh[[#This Row],[مبلغ (ریال)]]+IF(Tarakonesh[[#This Row],[تراکنش]]="انتقال",0,L390)),((IF(Tarakonesh[[#This Row],[تراکنش]]="انتقال",0,L390))-Tarakonesh[[#This Row],[مبلغ (ریال)]]))))</f>
        <v/>
      </c>
      <c r="M391" s="31"/>
      <c r="N391" s="31"/>
    </row>
    <row r="392" spans="1:14">
      <c r="A392" s="26">
        <v>385</v>
      </c>
      <c r="B392" s="27"/>
      <c r="C392" s="31"/>
      <c r="D392" s="31"/>
      <c r="E392" s="39"/>
      <c r="F392" s="27"/>
      <c r="G392" s="27"/>
      <c r="H392" s="27"/>
      <c r="I392" s="25"/>
      <c r="J392" s="27"/>
      <c r="K392" s="27"/>
      <c r="L392" s="91" t="str">
        <f>IF( Tarakonesh[[#This Row],[تراکنش]]="", "",IF( Tarakonesh[[#This Row],[تراکنش]]="انتقال",L391,IF(Tarakonesh[[#This Row],[تراکنش]]="دریافت_درآمد",(Tarakonesh[[#This Row],[مبلغ (ریال)]]+IF(Tarakonesh[[#This Row],[تراکنش]]="انتقال",0,L391)),((IF(Tarakonesh[[#This Row],[تراکنش]]="انتقال",0,L391))-Tarakonesh[[#This Row],[مبلغ (ریال)]]))))</f>
        <v/>
      </c>
      <c r="M392" s="31"/>
      <c r="N392" s="31"/>
    </row>
    <row r="393" spans="1:14">
      <c r="A393" s="26">
        <v>386</v>
      </c>
      <c r="B393" s="27"/>
      <c r="C393" s="31"/>
      <c r="D393" s="31"/>
      <c r="E393" s="39"/>
      <c r="F393" s="27"/>
      <c r="G393" s="27"/>
      <c r="H393" s="27"/>
      <c r="I393" s="25"/>
      <c r="J393" s="27"/>
      <c r="K393" s="27"/>
      <c r="L393" s="91" t="str">
        <f>IF( Tarakonesh[[#This Row],[تراکنش]]="", "",IF( Tarakonesh[[#This Row],[تراکنش]]="انتقال",L392,IF(Tarakonesh[[#This Row],[تراکنش]]="دریافت_درآمد",(Tarakonesh[[#This Row],[مبلغ (ریال)]]+IF(Tarakonesh[[#This Row],[تراکنش]]="انتقال",0,L392)),((IF(Tarakonesh[[#This Row],[تراکنش]]="انتقال",0,L392))-Tarakonesh[[#This Row],[مبلغ (ریال)]]))))</f>
        <v/>
      </c>
      <c r="M393" s="31"/>
      <c r="N393" s="31"/>
    </row>
    <row r="394" spans="1:14">
      <c r="A394" s="26">
        <v>387</v>
      </c>
      <c r="B394" s="27"/>
      <c r="C394" s="31"/>
      <c r="D394" s="31"/>
      <c r="E394" s="39"/>
      <c r="F394" s="27"/>
      <c r="G394" s="27"/>
      <c r="H394" s="27"/>
      <c r="I394" s="25"/>
      <c r="J394" s="27"/>
      <c r="K394" s="27"/>
      <c r="L394" s="91" t="str">
        <f>IF( Tarakonesh[[#This Row],[تراکنش]]="", "",IF( Tarakonesh[[#This Row],[تراکنش]]="انتقال",L393,IF(Tarakonesh[[#This Row],[تراکنش]]="دریافت_درآمد",(Tarakonesh[[#This Row],[مبلغ (ریال)]]+IF(Tarakonesh[[#This Row],[تراکنش]]="انتقال",0,L393)),((IF(Tarakonesh[[#This Row],[تراکنش]]="انتقال",0,L393))-Tarakonesh[[#This Row],[مبلغ (ریال)]]))))</f>
        <v/>
      </c>
      <c r="M394" s="31"/>
      <c r="N394" s="31"/>
    </row>
    <row r="395" spans="1:14">
      <c r="A395" s="26">
        <v>388</v>
      </c>
      <c r="B395" s="27"/>
      <c r="C395" s="31"/>
      <c r="D395" s="31"/>
      <c r="E395" s="39"/>
      <c r="F395" s="27"/>
      <c r="G395" s="27"/>
      <c r="H395" s="27"/>
      <c r="I395" s="25"/>
      <c r="J395" s="27"/>
      <c r="K395" s="27"/>
      <c r="L395" s="91" t="str">
        <f>IF( Tarakonesh[[#This Row],[تراکنش]]="", "",IF( Tarakonesh[[#This Row],[تراکنش]]="انتقال",L394,IF(Tarakonesh[[#This Row],[تراکنش]]="دریافت_درآمد",(Tarakonesh[[#This Row],[مبلغ (ریال)]]+IF(Tarakonesh[[#This Row],[تراکنش]]="انتقال",0,L394)),((IF(Tarakonesh[[#This Row],[تراکنش]]="انتقال",0,L394))-Tarakonesh[[#This Row],[مبلغ (ریال)]]))))</f>
        <v/>
      </c>
      <c r="M395" s="31"/>
      <c r="N395" s="31"/>
    </row>
    <row r="396" spans="1:14">
      <c r="A396" s="26">
        <v>389</v>
      </c>
      <c r="B396" s="27"/>
      <c r="C396" s="31"/>
      <c r="D396" s="31"/>
      <c r="E396" s="39"/>
      <c r="F396" s="27"/>
      <c r="G396" s="27"/>
      <c r="H396" s="27"/>
      <c r="I396" s="25"/>
      <c r="J396" s="27"/>
      <c r="K396" s="27"/>
      <c r="L396" s="91" t="str">
        <f>IF( Tarakonesh[[#This Row],[تراکنش]]="", "",IF( Tarakonesh[[#This Row],[تراکنش]]="انتقال",L395,IF(Tarakonesh[[#This Row],[تراکنش]]="دریافت_درآمد",(Tarakonesh[[#This Row],[مبلغ (ریال)]]+IF(Tarakonesh[[#This Row],[تراکنش]]="انتقال",0,L395)),((IF(Tarakonesh[[#This Row],[تراکنش]]="انتقال",0,L395))-Tarakonesh[[#This Row],[مبلغ (ریال)]]))))</f>
        <v/>
      </c>
      <c r="M396" s="31"/>
      <c r="N396" s="31"/>
    </row>
    <row r="397" spans="1:14">
      <c r="A397" s="26">
        <v>390</v>
      </c>
      <c r="B397" s="27"/>
      <c r="C397" s="31"/>
      <c r="D397" s="31"/>
      <c r="E397" s="39"/>
      <c r="F397" s="27"/>
      <c r="G397" s="27"/>
      <c r="H397" s="27"/>
      <c r="I397" s="25"/>
      <c r="J397" s="27"/>
      <c r="K397" s="27"/>
      <c r="L397" s="91" t="str">
        <f>IF( Tarakonesh[[#This Row],[تراکنش]]="", "",IF( Tarakonesh[[#This Row],[تراکنش]]="انتقال",L396,IF(Tarakonesh[[#This Row],[تراکنش]]="دریافت_درآمد",(Tarakonesh[[#This Row],[مبلغ (ریال)]]+IF(Tarakonesh[[#This Row],[تراکنش]]="انتقال",0,L396)),((IF(Tarakonesh[[#This Row],[تراکنش]]="انتقال",0,L396))-Tarakonesh[[#This Row],[مبلغ (ریال)]]))))</f>
        <v/>
      </c>
      <c r="M397" s="31"/>
      <c r="N397" s="31"/>
    </row>
    <row r="398" spans="1:14">
      <c r="A398" s="26">
        <v>391</v>
      </c>
      <c r="B398" s="27"/>
      <c r="C398" s="31"/>
      <c r="D398" s="31"/>
      <c r="E398" s="39"/>
      <c r="F398" s="27"/>
      <c r="G398" s="27"/>
      <c r="H398" s="27"/>
      <c r="I398" s="25"/>
      <c r="J398" s="27"/>
      <c r="K398" s="27"/>
      <c r="L398" s="91" t="str">
        <f>IF( Tarakonesh[[#This Row],[تراکنش]]="", "",IF( Tarakonesh[[#This Row],[تراکنش]]="انتقال",L397,IF(Tarakonesh[[#This Row],[تراکنش]]="دریافت_درآمد",(Tarakonesh[[#This Row],[مبلغ (ریال)]]+IF(Tarakonesh[[#This Row],[تراکنش]]="انتقال",0,L397)),((IF(Tarakonesh[[#This Row],[تراکنش]]="انتقال",0,L397))-Tarakonesh[[#This Row],[مبلغ (ریال)]]))))</f>
        <v/>
      </c>
      <c r="M398" s="31"/>
      <c r="N398" s="31"/>
    </row>
    <row r="399" spans="1:14">
      <c r="A399" s="26">
        <v>392</v>
      </c>
      <c r="B399" s="27"/>
      <c r="C399" s="31"/>
      <c r="D399" s="31"/>
      <c r="E399" s="39"/>
      <c r="F399" s="27"/>
      <c r="G399" s="27"/>
      <c r="H399" s="27"/>
      <c r="I399" s="25"/>
      <c r="J399" s="27"/>
      <c r="K399" s="27"/>
      <c r="L399" s="91" t="str">
        <f>IF( Tarakonesh[[#This Row],[تراکنش]]="", "",IF( Tarakonesh[[#This Row],[تراکنش]]="انتقال",L398,IF(Tarakonesh[[#This Row],[تراکنش]]="دریافت_درآمد",(Tarakonesh[[#This Row],[مبلغ (ریال)]]+IF(Tarakonesh[[#This Row],[تراکنش]]="انتقال",0,L398)),((IF(Tarakonesh[[#This Row],[تراکنش]]="انتقال",0,L398))-Tarakonesh[[#This Row],[مبلغ (ریال)]]))))</f>
        <v/>
      </c>
      <c r="M399" s="31"/>
      <c r="N399" s="31"/>
    </row>
    <row r="400" spans="1:14">
      <c r="A400" s="26">
        <v>393</v>
      </c>
      <c r="B400" s="27"/>
      <c r="C400" s="31"/>
      <c r="D400" s="31"/>
      <c r="E400" s="39"/>
      <c r="F400" s="27"/>
      <c r="G400" s="27"/>
      <c r="H400" s="27"/>
      <c r="I400" s="25"/>
      <c r="J400" s="27"/>
      <c r="K400" s="27"/>
      <c r="L400" s="91" t="str">
        <f>IF( Tarakonesh[[#This Row],[تراکنش]]="", "",IF( Tarakonesh[[#This Row],[تراکنش]]="انتقال",L399,IF(Tarakonesh[[#This Row],[تراکنش]]="دریافت_درآمد",(Tarakonesh[[#This Row],[مبلغ (ریال)]]+IF(Tarakonesh[[#This Row],[تراکنش]]="انتقال",0,L399)),((IF(Tarakonesh[[#This Row],[تراکنش]]="انتقال",0,L399))-Tarakonesh[[#This Row],[مبلغ (ریال)]]))))</f>
        <v/>
      </c>
      <c r="M400" s="31"/>
      <c r="N400" s="31"/>
    </row>
    <row r="401" spans="1:14">
      <c r="A401" s="26">
        <v>394</v>
      </c>
      <c r="B401" s="27"/>
      <c r="C401" s="31"/>
      <c r="D401" s="31"/>
      <c r="E401" s="39"/>
      <c r="F401" s="27"/>
      <c r="G401" s="27"/>
      <c r="H401" s="27"/>
      <c r="I401" s="25"/>
      <c r="J401" s="27"/>
      <c r="K401" s="27"/>
      <c r="L401" s="91" t="str">
        <f>IF( Tarakonesh[[#This Row],[تراکنش]]="", "",IF( Tarakonesh[[#This Row],[تراکنش]]="انتقال",L400,IF(Tarakonesh[[#This Row],[تراکنش]]="دریافت_درآمد",(Tarakonesh[[#This Row],[مبلغ (ریال)]]+IF(Tarakonesh[[#This Row],[تراکنش]]="انتقال",0,L400)),((IF(Tarakonesh[[#This Row],[تراکنش]]="انتقال",0,L400))-Tarakonesh[[#This Row],[مبلغ (ریال)]]))))</f>
        <v/>
      </c>
      <c r="M401" s="31"/>
      <c r="N401" s="31"/>
    </row>
    <row r="402" spans="1:14">
      <c r="A402" s="26">
        <v>395</v>
      </c>
      <c r="B402" s="27"/>
      <c r="C402" s="31"/>
      <c r="D402" s="31"/>
      <c r="E402" s="39"/>
      <c r="F402" s="27"/>
      <c r="G402" s="27"/>
      <c r="H402" s="27"/>
      <c r="I402" s="25"/>
      <c r="J402" s="27"/>
      <c r="K402" s="27"/>
      <c r="L402" s="91" t="str">
        <f>IF( Tarakonesh[[#This Row],[تراکنش]]="", "",IF( Tarakonesh[[#This Row],[تراکنش]]="انتقال",L401,IF(Tarakonesh[[#This Row],[تراکنش]]="دریافت_درآمد",(Tarakonesh[[#This Row],[مبلغ (ریال)]]+IF(Tarakonesh[[#This Row],[تراکنش]]="انتقال",0,L401)),((IF(Tarakonesh[[#This Row],[تراکنش]]="انتقال",0,L401))-Tarakonesh[[#This Row],[مبلغ (ریال)]]))))</f>
        <v/>
      </c>
      <c r="M402" s="31"/>
      <c r="N402" s="31"/>
    </row>
    <row r="403" spans="1:14">
      <c r="A403" s="26">
        <v>396</v>
      </c>
      <c r="B403" s="27"/>
      <c r="C403" s="31"/>
      <c r="D403" s="31"/>
      <c r="E403" s="39"/>
      <c r="F403" s="27"/>
      <c r="G403" s="27"/>
      <c r="H403" s="27"/>
      <c r="I403" s="25"/>
      <c r="J403" s="27"/>
      <c r="K403" s="27"/>
      <c r="L403" s="91" t="str">
        <f>IF( Tarakonesh[[#This Row],[تراکنش]]="", "",IF( Tarakonesh[[#This Row],[تراکنش]]="انتقال",L402,IF(Tarakonesh[[#This Row],[تراکنش]]="دریافت_درآمد",(Tarakonesh[[#This Row],[مبلغ (ریال)]]+IF(Tarakonesh[[#This Row],[تراکنش]]="انتقال",0,L402)),((IF(Tarakonesh[[#This Row],[تراکنش]]="انتقال",0,L402))-Tarakonesh[[#This Row],[مبلغ (ریال)]]))))</f>
        <v/>
      </c>
      <c r="M403" s="31"/>
      <c r="N403" s="31"/>
    </row>
    <row r="404" spans="1:14">
      <c r="A404" s="26">
        <v>397</v>
      </c>
      <c r="B404" s="27"/>
      <c r="C404" s="31"/>
      <c r="D404" s="31"/>
      <c r="E404" s="39"/>
      <c r="F404" s="27"/>
      <c r="G404" s="27"/>
      <c r="H404" s="27"/>
      <c r="I404" s="25"/>
      <c r="J404" s="27"/>
      <c r="K404" s="27"/>
      <c r="L404" s="91" t="str">
        <f>IF( Tarakonesh[[#This Row],[تراکنش]]="", "",IF( Tarakonesh[[#This Row],[تراکنش]]="انتقال",L403,IF(Tarakonesh[[#This Row],[تراکنش]]="دریافت_درآمد",(Tarakonesh[[#This Row],[مبلغ (ریال)]]+IF(Tarakonesh[[#This Row],[تراکنش]]="انتقال",0,L403)),((IF(Tarakonesh[[#This Row],[تراکنش]]="انتقال",0,L403))-Tarakonesh[[#This Row],[مبلغ (ریال)]]))))</f>
        <v/>
      </c>
      <c r="M404" s="31"/>
      <c r="N404" s="31"/>
    </row>
    <row r="405" spans="1:14">
      <c r="A405" s="26">
        <v>398</v>
      </c>
      <c r="B405" s="27"/>
      <c r="C405" s="31"/>
      <c r="D405" s="31"/>
      <c r="E405" s="39"/>
      <c r="F405" s="27"/>
      <c r="G405" s="27"/>
      <c r="H405" s="27"/>
      <c r="I405" s="25"/>
      <c r="J405" s="27"/>
      <c r="K405" s="27"/>
      <c r="L405" s="91" t="str">
        <f>IF( Tarakonesh[[#This Row],[تراکنش]]="", "",IF( Tarakonesh[[#This Row],[تراکنش]]="انتقال",L404,IF(Tarakonesh[[#This Row],[تراکنش]]="دریافت_درآمد",(Tarakonesh[[#This Row],[مبلغ (ریال)]]+IF(Tarakonesh[[#This Row],[تراکنش]]="انتقال",0,L404)),((IF(Tarakonesh[[#This Row],[تراکنش]]="انتقال",0,L404))-Tarakonesh[[#This Row],[مبلغ (ریال)]]))))</f>
        <v/>
      </c>
      <c r="M405" s="31"/>
      <c r="N405" s="31"/>
    </row>
    <row r="406" spans="1:14">
      <c r="A406" s="26">
        <v>399</v>
      </c>
      <c r="B406" s="27"/>
      <c r="C406" s="31"/>
      <c r="D406" s="31"/>
      <c r="E406" s="39"/>
      <c r="F406" s="27"/>
      <c r="G406" s="27"/>
      <c r="H406" s="27"/>
      <c r="I406" s="25"/>
      <c r="J406" s="27"/>
      <c r="K406" s="27"/>
      <c r="L406" s="91" t="str">
        <f>IF( Tarakonesh[[#This Row],[تراکنش]]="", "",IF( Tarakonesh[[#This Row],[تراکنش]]="انتقال",L405,IF(Tarakonesh[[#This Row],[تراکنش]]="دریافت_درآمد",(Tarakonesh[[#This Row],[مبلغ (ریال)]]+IF(Tarakonesh[[#This Row],[تراکنش]]="انتقال",0,L405)),((IF(Tarakonesh[[#This Row],[تراکنش]]="انتقال",0,L405))-Tarakonesh[[#This Row],[مبلغ (ریال)]]))))</f>
        <v/>
      </c>
      <c r="M406" s="31"/>
      <c r="N406" s="31"/>
    </row>
    <row r="407" spans="1:14">
      <c r="A407" s="26">
        <v>400</v>
      </c>
      <c r="B407" s="27"/>
      <c r="C407" s="31"/>
      <c r="D407" s="31"/>
      <c r="E407" s="39"/>
      <c r="F407" s="27"/>
      <c r="G407" s="27"/>
      <c r="H407" s="27"/>
      <c r="I407" s="25"/>
      <c r="J407" s="27"/>
      <c r="K407" s="27"/>
      <c r="L407" s="91" t="str">
        <f>IF( Tarakonesh[[#This Row],[تراکنش]]="", "",IF( Tarakonesh[[#This Row],[تراکنش]]="انتقال",L406,IF(Tarakonesh[[#This Row],[تراکنش]]="دریافت_درآمد",(Tarakonesh[[#This Row],[مبلغ (ریال)]]+IF(Tarakonesh[[#This Row],[تراکنش]]="انتقال",0,L406)),((IF(Tarakonesh[[#This Row],[تراکنش]]="انتقال",0,L406))-Tarakonesh[[#This Row],[مبلغ (ریال)]]))))</f>
        <v/>
      </c>
      <c r="M407" s="31"/>
      <c r="N407" s="31"/>
    </row>
    <row r="408" spans="1:14">
      <c r="A408" s="26">
        <v>401</v>
      </c>
      <c r="B408" s="27"/>
      <c r="C408" s="31"/>
      <c r="D408" s="31"/>
      <c r="E408" s="39"/>
      <c r="F408" s="27"/>
      <c r="G408" s="27"/>
      <c r="H408" s="27"/>
      <c r="I408" s="25"/>
      <c r="J408" s="27"/>
      <c r="K408" s="27"/>
      <c r="L408" s="91" t="str">
        <f>IF( Tarakonesh[[#This Row],[تراکنش]]="", "",IF( Tarakonesh[[#This Row],[تراکنش]]="انتقال",L407,IF(Tarakonesh[[#This Row],[تراکنش]]="دریافت_درآمد",(Tarakonesh[[#This Row],[مبلغ (ریال)]]+IF(Tarakonesh[[#This Row],[تراکنش]]="انتقال",0,L407)),((IF(Tarakonesh[[#This Row],[تراکنش]]="انتقال",0,L407))-Tarakonesh[[#This Row],[مبلغ (ریال)]]))))</f>
        <v/>
      </c>
      <c r="M408" s="31"/>
      <c r="N408" s="31"/>
    </row>
    <row r="409" spans="1:14">
      <c r="A409" s="26">
        <v>402</v>
      </c>
      <c r="B409" s="27"/>
      <c r="C409" s="31"/>
      <c r="D409" s="31"/>
      <c r="E409" s="39"/>
      <c r="F409" s="27"/>
      <c r="G409" s="27"/>
      <c r="H409" s="27"/>
      <c r="I409" s="25"/>
      <c r="J409" s="27"/>
      <c r="K409" s="27"/>
      <c r="L409" s="91" t="str">
        <f>IF( Tarakonesh[[#This Row],[تراکنش]]="", "",IF( Tarakonesh[[#This Row],[تراکنش]]="انتقال",L408,IF(Tarakonesh[[#This Row],[تراکنش]]="دریافت_درآمد",(Tarakonesh[[#This Row],[مبلغ (ریال)]]+IF(Tarakonesh[[#This Row],[تراکنش]]="انتقال",0,L408)),((IF(Tarakonesh[[#This Row],[تراکنش]]="انتقال",0,L408))-Tarakonesh[[#This Row],[مبلغ (ریال)]]))))</f>
        <v/>
      </c>
      <c r="M409" s="31"/>
      <c r="N409" s="31"/>
    </row>
    <row r="410" spans="1:14">
      <c r="A410" s="26">
        <v>403</v>
      </c>
      <c r="B410" s="27"/>
      <c r="C410" s="31"/>
      <c r="D410" s="31"/>
      <c r="E410" s="39"/>
      <c r="F410" s="27"/>
      <c r="G410" s="27"/>
      <c r="H410" s="27"/>
      <c r="I410" s="25"/>
      <c r="J410" s="27"/>
      <c r="K410" s="27"/>
      <c r="L410" s="91" t="str">
        <f>IF( Tarakonesh[[#This Row],[تراکنش]]="", "",IF( Tarakonesh[[#This Row],[تراکنش]]="انتقال",L409,IF(Tarakonesh[[#This Row],[تراکنش]]="دریافت_درآمد",(Tarakonesh[[#This Row],[مبلغ (ریال)]]+IF(Tarakonesh[[#This Row],[تراکنش]]="انتقال",0,L409)),((IF(Tarakonesh[[#This Row],[تراکنش]]="انتقال",0,L409))-Tarakonesh[[#This Row],[مبلغ (ریال)]]))))</f>
        <v/>
      </c>
      <c r="M410" s="31"/>
      <c r="N410" s="31"/>
    </row>
    <row r="411" spans="1:14">
      <c r="A411" s="26">
        <v>404</v>
      </c>
      <c r="B411" s="27"/>
      <c r="C411" s="31"/>
      <c r="D411" s="31"/>
      <c r="E411" s="39"/>
      <c r="F411" s="27"/>
      <c r="G411" s="27"/>
      <c r="H411" s="27"/>
      <c r="I411" s="25"/>
      <c r="J411" s="27"/>
      <c r="K411" s="27"/>
      <c r="L411" s="91" t="str">
        <f>IF( Tarakonesh[[#This Row],[تراکنش]]="", "",IF( Tarakonesh[[#This Row],[تراکنش]]="انتقال",L410,IF(Tarakonesh[[#This Row],[تراکنش]]="دریافت_درآمد",(Tarakonesh[[#This Row],[مبلغ (ریال)]]+IF(Tarakonesh[[#This Row],[تراکنش]]="انتقال",0,L410)),((IF(Tarakonesh[[#This Row],[تراکنش]]="انتقال",0,L410))-Tarakonesh[[#This Row],[مبلغ (ریال)]]))))</f>
        <v/>
      </c>
      <c r="M411" s="31"/>
      <c r="N411" s="31"/>
    </row>
    <row r="412" spans="1:14">
      <c r="A412" s="26">
        <v>405</v>
      </c>
      <c r="B412" s="27"/>
      <c r="C412" s="31"/>
      <c r="D412" s="31"/>
      <c r="E412" s="39"/>
      <c r="F412" s="27"/>
      <c r="G412" s="27"/>
      <c r="H412" s="27"/>
      <c r="I412" s="25"/>
      <c r="J412" s="27"/>
      <c r="K412" s="27"/>
      <c r="L412" s="91" t="str">
        <f>IF( Tarakonesh[[#This Row],[تراکنش]]="", "",IF( Tarakonesh[[#This Row],[تراکنش]]="انتقال",L411,IF(Tarakonesh[[#This Row],[تراکنش]]="دریافت_درآمد",(Tarakonesh[[#This Row],[مبلغ (ریال)]]+IF(Tarakonesh[[#This Row],[تراکنش]]="انتقال",0,L411)),((IF(Tarakonesh[[#This Row],[تراکنش]]="انتقال",0,L411))-Tarakonesh[[#This Row],[مبلغ (ریال)]]))))</f>
        <v/>
      </c>
      <c r="M412" s="31"/>
      <c r="N412" s="31"/>
    </row>
    <row r="413" spans="1:14">
      <c r="A413" s="26">
        <v>406</v>
      </c>
      <c r="B413" s="27"/>
      <c r="C413" s="31"/>
      <c r="D413" s="31"/>
      <c r="E413" s="39"/>
      <c r="F413" s="27"/>
      <c r="G413" s="27"/>
      <c r="H413" s="27"/>
      <c r="I413" s="25"/>
      <c r="J413" s="27"/>
      <c r="K413" s="27"/>
      <c r="L413" s="91" t="str">
        <f>IF( Tarakonesh[[#This Row],[تراکنش]]="", "",IF( Tarakonesh[[#This Row],[تراکنش]]="انتقال",L412,IF(Tarakonesh[[#This Row],[تراکنش]]="دریافت_درآمد",(Tarakonesh[[#This Row],[مبلغ (ریال)]]+IF(Tarakonesh[[#This Row],[تراکنش]]="انتقال",0,L412)),((IF(Tarakonesh[[#This Row],[تراکنش]]="انتقال",0,L412))-Tarakonesh[[#This Row],[مبلغ (ریال)]]))))</f>
        <v/>
      </c>
      <c r="M413" s="31"/>
      <c r="N413" s="31"/>
    </row>
    <row r="414" spans="1:14">
      <c r="A414" s="26">
        <v>407</v>
      </c>
      <c r="B414" s="27"/>
      <c r="C414" s="31"/>
      <c r="D414" s="31"/>
      <c r="E414" s="39"/>
      <c r="F414" s="27"/>
      <c r="G414" s="27"/>
      <c r="H414" s="27"/>
      <c r="I414" s="25"/>
      <c r="J414" s="27"/>
      <c r="K414" s="27"/>
      <c r="L414" s="91" t="str">
        <f>IF( Tarakonesh[[#This Row],[تراکنش]]="", "",IF( Tarakonesh[[#This Row],[تراکنش]]="انتقال",L413,IF(Tarakonesh[[#This Row],[تراکنش]]="دریافت_درآمد",(Tarakonesh[[#This Row],[مبلغ (ریال)]]+IF(Tarakonesh[[#This Row],[تراکنش]]="انتقال",0,L413)),((IF(Tarakonesh[[#This Row],[تراکنش]]="انتقال",0,L413))-Tarakonesh[[#This Row],[مبلغ (ریال)]]))))</f>
        <v/>
      </c>
      <c r="M414" s="31"/>
      <c r="N414" s="31"/>
    </row>
    <row r="415" spans="1:14">
      <c r="A415" s="26">
        <v>408</v>
      </c>
      <c r="B415" s="27"/>
      <c r="C415" s="31"/>
      <c r="D415" s="31"/>
      <c r="E415" s="39"/>
      <c r="F415" s="27"/>
      <c r="G415" s="27"/>
      <c r="H415" s="27"/>
      <c r="I415" s="25"/>
      <c r="J415" s="27"/>
      <c r="K415" s="27"/>
      <c r="L415" s="91" t="str">
        <f>IF( Tarakonesh[[#This Row],[تراکنش]]="", "",IF( Tarakonesh[[#This Row],[تراکنش]]="انتقال",L414,IF(Tarakonesh[[#This Row],[تراکنش]]="دریافت_درآمد",(Tarakonesh[[#This Row],[مبلغ (ریال)]]+IF(Tarakonesh[[#This Row],[تراکنش]]="انتقال",0,L414)),((IF(Tarakonesh[[#This Row],[تراکنش]]="انتقال",0,L414))-Tarakonesh[[#This Row],[مبلغ (ریال)]]))))</f>
        <v/>
      </c>
      <c r="M415" s="31"/>
      <c r="N415" s="31"/>
    </row>
    <row r="416" spans="1:14">
      <c r="A416" s="26">
        <v>409</v>
      </c>
      <c r="B416" s="27"/>
      <c r="C416" s="31"/>
      <c r="D416" s="31"/>
      <c r="E416" s="39"/>
      <c r="F416" s="27"/>
      <c r="G416" s="27"/>
      <c r="H416" s="27"/>
      <c r="I416" s="25"/>
      <c r="J416" s="27"/>
      <c r="K416" s="27"/>
      <c r="L416" s="91" t="str">
        <f>IF( Tarakonesh[[#This Row],[تراکنش]]="", "",IF( Tarakonesh[[#This Row],[تراکنش]]="انتقال",L415,IF(Tarakonesh[[#This Row],[تراکنش]]="دریافت_درآمد",(Tarakonesh[[#This Row],[مبلغ (ریال)]]+IF(Tarakonesh[[#This Row],[تراکنش]]="انتقال",0,L415)),((IF(Tarakonesh[[#This Row],[تراکنش]]="انتقال",0,L415))-Tarakonesh[[#This Row],[مبلغ (ریال)]]))))</f>
        <v/>
      </c>
      <c r="M416" s="31"/>
      <c r="N416" s="31"/>
    </row>
    <row r="417" spans="1:14">
      <c r="A417" s="26">
        <v>410</v>
      </c>
      <c r="B417" s="27"/>
      <c r="C417" s="31"/>
      <c r="D417" s="31"/>
      <c r="E417" s="39"/>
      <c r="F417" s="27"/>
      <c r="G417" s="27"/>
      <c r="H417" s="27"/>
      <c r="I417" s="25"/>
      <c r="J417" s="27"/>
      <c r="K417" s="27"/>
      <c r="L417" s="91" t="str">
        <f>IF( Tarakonesh[[#This Row],[تراکنش]]="", "",IF( Tarakonesh[[#This Row],[تراکنش]]="انتقال",L416,IF(Tarakonesh[[#This Row],[تراکنش]]="دریافت_درآمد",(Tarakonesh[[#This Row],[مبلغ (ریال)]]+IF(Tarakonesh[[#This Row],[تراکنش]]="انتقال",0,L416)),((IF(Tarakonesh[[#This Row],[تراکنش]]="انتقال",0,L416))-Tarakonesh[[#This Row],[مبلغ (ریال)]]))))</f>
        <v/>
      </c>
      <c r="M417" s="31"/>
      <c r="N417" s="31"/>
    </row>
    <row r="418" spans="1:14">
      <c r="A418" s="26">
        <v>411</v>
      </c>
      <c r="B418" s="27"/>
      <c r="C418" s="31"/>
      <c r="D418" s="31"/>
      <c r="E418" s="39"/>
      <c r="F418" s="27"/>
      <c r="G418" s="27"/>
      <c r="H418" s="27"/>
      <c r="I418" s="25"/>
      <c r="J418" s="27"/>
      <c r="K418" s="27"/>
      <c r="L418" s="91" t="str">
        <f>IF( Tarakonesh[[#This Row],[تراکنش]]="", "",IF( Tarakonesh[[#This Row],[تراکنش]]="انتقال",L417,IF(Tarakonesh[[#This Row],[تراکنش]]="دریافت_درآمد",(Tarakonesh[[#This Row],[مبلغ (ریال)]]+IF(Tarakonesh[[#This Row],[تراکنش]]="انتقال",0,L417)),((IF(Tarakonesh[[#This Row],[تراکنش]]="انتقال",0,L417))-Tarakonesh[[#This Row],[مبلغ (ریال)]]))))</f>
        <v/>
      </c>
      <c r="M418" s="31"/>
      <c r="N418" s="31"/>
    </row>
    <row r="419" spans="1:14">
      <c r="A419" s="26">
        <v>412</v>
      </c>
      <c r="B419" s="27"/>
      <c r="C419" s="31"/>
      <c r="D419" s="31"/>
      <c r="E419" s="39"/>
      <c r="F419" s="27"/>
      <c r="G419" s="27"/>
      <c r="H419" s="27"/>
      <c r="I419" s="25"/>
      <c r="J419" s="27"/>
      <c r="K419" s="27"/>
      <c r="L419" s="91" t="str">
        <f>IF( Tarakonesh[[#This Row],[تراکنش]]="", "",IF( Tarakonesh[[#This Row],[تراکنش]]="انتقال",L418,IF(Tarakonesh[[#This Row],[تراکنش]]="دریافت_درآمد",(Tarakonesh[[#This Row],[مبلغ (ریال)]]+IF(Tarakonesh[[#This Row],[تراکنش]]="انتقال",0,L418)),((IF(Tarakonesh[[#This Row],[تراکنش]]="انتقال",0,L418))-Tarakonesh[[#This Row],[مبلغ (ریال)]]))))</f>
        <v/>
      </c>
      <c r="M419" s="31"/>
      <c r="N419" s="31"/>
    </row>
    <row r="420" spans="1:14">
      <c r="A420" s="26">
        <v>413</v>
      </c>
      <c r="B420" s="27"/>
      <c r="C420" s="31"/>
      <c r="D420" s="31"/>
      <c r="E420" s="39"/>
      <c r="F420" s="27"/>
      <c r="G420" s="27"/>
      <c r="H420" s="27"/>
      <c r="I420" s="25"/>
      <c r="J420" s="27"/>
      <c r="K420" s="27"/>
      <c r="L420" s="91" t="str">
        <f>IF( Tarakonesh[[#This Row],[تراکنش]]="", "",IF( Tarakonesh[[#This Row],[تراکنش]]="انتقال",L419,IF(Tarakonesh[[#This Row],[تراکنش]]="دریافت_درآمد",(Tarakonesh[[#This Row],[مبلغ (ریال)]]+IF(Tarakonesh[[#This Row],[تراکنش]]="انتقال",0,L419)),((IF(Tarakonesh[[#This Row],[تراکنش]]="انتقال",0,L419))-Tarakonesh[[#This Row],[مبلغ (ریال)]]))))</f>
        <v/>
      </c>
      <c r="M420" s="31"/>
      <c r="N420" s="31"/>
    </row>
    <row r="421" spans="1:14">
      <c r="A421" s="26">
        <v>414</v>
      </c>
      <c r="B421" s="27"/>
      <c r="C421" s="31"/>
      <c r="D421" s="31"/>
      <c r="E421" s="39"/>
      <c r="F421" s="27"/>
      <c r="G421" s="27"/>
      <c r="H421" s="27"/>
      <c r="I421" s="25"/>
      <c r="J421" s="27"/>
      <c r="K421" s="27"/>
      <c r="L421" s="91" t="str">
        <f>IF( Tarakonesh[[#This Row],[تراکنش]]="", "",IF( Tarakonesh[[#This Row],[تراکنش]]="انتقال",L420,IF(Tarakonesh[[#This Row],[تراکنش]]="دریافت_درآمد",(Tarakonesh[[#This Row],[مبلغ (ریال)]]+IF(Tarakonesh[[#This Row],[تراکنش]]="انتقال",0,L420)),((IF(Tarakonesh[[#This Row],[تراکنش]]="انتقال",0,L420))-Tarakonesh[[#This Row],[مبلغ (ریال)]]))))</f>
        <v/>
      </c>
      <c r="M421" s="31"/>
      <c r="N421" s="31"/>
    </row>
    <row r="422" spans="1:14">
      <c r="A422" s="26">
        <v>415</v>
      </c>
      <c r="B422" s="27"/>
      <c r="C422" s="31"/>
      <c r="D422" s="31"/>
      <c r="E422" s="39"/>
      <c r="F422" s="27"/>
      <c r="G422" s="27"/>
      <c r="H422" s="27"/>
      <c r="I422" s="25"/>
      <c r="J422" s="27"/>
      <c r="K422" s="27"/>
      <c r="L422" s="91" t="str">
        <f>IF( Tarakonesh[[#This Row],[تراکنش]]="", "",IF( Tarakonesh[[#This Row],[تراکنش]]="انتقال",L421,IF(Tarakonesh[[#This Row],[تراکنش]]="دریافت_درآمد",(Tarakonesh[[#This Row],[مبلغ (ریال)]]+IF(Tarakonesh[[#This Row],[تراکنش]]="انتقال",0,L421)),((IF(Tarakonesh[[#This Row],[تراکنش]]="انتقال",0,L421))-Tarakonesh[[#This Row],[مبلغ (ریال)]]))))</f>
        <v/>
      </c>
      <c r="M422" s="31"/>
      <c r="N422" s="31"/>
    </row>
    <row r="423" spans="1:14">
      <c r="A423" s="26">
        <v>416</v>
      </c>
      <c r="B423" s="27"/>
      <c r="C423" s="31"/>
      <c r="D423" s="31"/>
      <c r="E423" s="39"/>
      <c r="F423" s="27"/>
      <c r="G423" s="27"/>
      <c r="H423" s="27"/>
      <c r="I423" s="25"/>
      <c r="J423" s="27"/>
      <c r="K423" s="27"/>
      <c r="L423" s="91" t="str">
        <f>IF( Tarakonesh[[#This Row],[تراکنش]]="", "",IF( Tarakonesh[[#This Row],[تراکنش]]="انتقال",L422,IF(Tarakonesh[[#This Row],[تراکنش]]="دریافت_درآمد",(Tarakonesh[[#This Row],[مبلغ (ریال)]]+IF(Tarakonesh[[#This Row],[تراکنش]]="انتقال",0,L422)),((IF(Tarakonesh[[#This Row],[تراکنش]]="انتقال",0,L422))-Tarakonesh[[#This Row],[مبلغ (ریال)]]))))</f>
        <v/>
      </c>
      <c r="M423" s="31"/>
      <c r="N423" s="31"/>
    </row>
    <row r="424" spans="1:14">
      <c r="A424" s="26">
        <v>417</v>
      </c>
      <c r="B424" s="27"/>
      <c r="C424" s="31"/>
      <c r="D424" s="31"/>
      <c r="E424" s="39"/>
      <c r="F424" s="27"/>
      <c r="G424" s="27"/>
      <c r="H424" s="27"/>
      <c r="I424" s="25"/>
      <c r="J424" s="27"/>
      <c r="K424" s="27"/>
      <c r="L424" s="91" t="str">
        <f>IF( Tarakonesh[[#This Row],[تراکنش]]="", "",IF( Tarakonesh[[#This Row],[تراکنش]]="انتقال",L423,IF(Tarakonesh[[#This Row],[تراکنش]]="دریافت_درآمد",(Tarakonesh[[#This Row],[مبلغ (ریال)]]+IF(Tarakonesh[[#This Row],[تراکنش]]="انتقال",0,L423)),((IF(Tarakonesh[[#This Row],[تراکنش]]="انتقال",0,L423))-Tarakonesh[[#This Row],[مبلغ (ریال)]]))))</f>
        <v/>
      </c>
      <c r="M424" s="31"/>
      <c r="N424" s="31"/>
    </row>
    <row r="425" spans="1:14">
      <c r="A425" s="26">
        <v>418</v>
      </c>
      <c r="B425" s="27"/>
      <c r="C425" s="31"/>
      <c r="D425" s="31"/>
      <c r="E425" s="39"/>
      <c r="F425" s="27"/>
      <c r="G425" s="27"/>
      <c r="H425" s="27"/>
      <c r="I425" s="25"/>
      <c r="J425" s="27"/>
      <c r="K425" s="27"/>
      <c r="L425" s="91" t="str">
        <f>IF( Tarakonesh[[#This Row],[تراکنش]]="", "",IF( Tarakonesh[[#This Row],[تراکنش]]="انتقال",L424,IF(Tarakonesh[[#This Row],[تراکنش]]="دریافت_درآمد",(Tarakonesh[[#This Row],[مبلغ (ریال)]]+IF(Tarakonesh[[#This Row],[تراکنش]]="انتقال",0,L424)),((IF(Tarakonesh[[#This Row],[تراکنش]]="انتقال",0,L424))-Tarakonesh[[#This Row],[مبلغ (ریال)]]))))</f>
        <v/>
      </c>
      <c r="M425" s="31"/>
      <c r="N425" s="31"/>
    </row>
    <row r="426" spans="1:14">
      <c r="A426" s="26">
        <v>419</v>
      </c>
      <c r="B426" s="27"/>
      <c r="C426" s="31"/>
      <c r="D426" s="31"/>
      <c r="E426" s="39"/>
      <c r="F426" s="27"/>
      <c r="G426" s="27"/>
      <c r="H426" s="27"/>
      <c r="I426" s="25"/>
      <c r="J426" s="27"/>
      <c r="K426" s="27"/>
      <c r="L426" s="91" t="str">
        <f>IF( Tarakonesh[[#This Row],[تراکنش]]="", "",IF( Tarakonesh[[#This Row],[تراکنش]]="انتقال",L425,IF(Tarakonesh[[#This Row],[تراکنش]]="دریافت_درآمد",(Tarakonesh[[#This Row],[مبلغ (ریال)]]+IF(Tarakonesh[[#This Row],[تراکنش]]="انتقال",0,L425)),((IF(Tarakonesh[[#This Row],[تراکنش]]="انتقال",0,L425))-Tarakonesh[[#This Row],[مبلغ (ریال)]]))))</f>
        <v/>
      </c>
      <c r="M426" s="31"/>
      <c r="N426" s="31"/>
    </row>
    <row r="427" spans="1:14">
      <c r="A427" s="26">
        <v>420</v>
      </c>
      <c r="B427" s="27"/>
      <c r="C427" s="31"/>
      <c r="D427" s="31"/>
      <c r="E427" s="39"/>
      <c r="F427" s="27"/>
      <c r="G427" s="27"/>
      <c r="H427" s="27"/>
      <c r="I427" s="25"/>
      <c r="J427" s="27"/>
      <c r="K427" s="27"/>
      <c r="L427" s="91" t="str">
        <f>IF( Tarakonesh[[#This Row],[تراکنش]]="", "",IF( Tarakonesh[[#This Row],[تراکنش]]="انتقال",L426,IF(Tarakonesh[[#This Row],[تراکنش]]="دریافت_درآمد",(Tarakonesh[[#This Row],[مبلغ (ریال)]]+IF(Tarakonesh[[#This Row],[تراکنش]]="انتقال",0,L426)),((IF(Tarakonesh[[#This Row],[تراکنش]]="انتقال",0,L426))-Tarakonesh[[#This Row],[مبلغ (ریال)]]))))</f>
        <v/>
      </c>
      <c r="M427" s="31"/>
      <c r="N427" s="31"/>
    </row>
    <row r="428" spans="1:14">
      <c r="A428" s="26">
        <v>421</v>
      </c>
      <c r="B428" s="27"/>
      <c r="C428" s="31"/>
      <c r="D428" s="31"/>
      <c r="E428" s="39"/>
      <c r="F428" s="27"/>
      <c r="G428" s="27"/>
      <c r="H428" s="27"/>
      <c r="I428" s="25"/>
      <c r="J428" s="27"/>
      <c r="K428" s="27"/>
      <c r="L428" s="91" t="str">
        <f>IF( Tarakonesh[[#This Row],[تراکنش]]="", "",IF( Tarakonesh[[#This Row],[تراکنش]]="انتقال",L427,IF(Tarakonesh[[#This Row],[تراکنش]]="دریافت_درآمد",(Tarakonesh[[#This Row],[مبلغ (ریال)]]+IF(Tarakonesh[[#This Row],[تراکنش]]="انتقال",0,L427)),((IF(Tarakonesh[[#This Row],[تراکنش]]="انتقال",0,L427))-Tarakonesh[[#This Row],[مبلغ (ریال)]]))))</f>
        <v/>
      </c>
      <c r="M428" s="31"/>
      <c r="N428" s="31"/>
    </row>
    <row r="429" spans="1:14">
      <c r="A429" s="26">
        <v>422</v>
      </c>
      <c r="B429" s="27"/>
      <c r="C429" s="31"/>
      <c r="D429" s="31"/>
      <c r="E429" s="39"/>
      <c r="F429" s="27"/>
      <c r="G429" s="27"/>
      <c r="H429" s="27"/>
      <c r="I429" s="25"/>
      <c r="J429" s="27"/>
      <c r="K429" s="27"/>
      <c r="L429" s="91" t="str">
        <f>IF( Tarakonesh[[#This Row],[تراکنش]]="", "",IF( Tarakonesh[[#This Row],[تراکنش]]="انتقال",L428,IF(Tarakonesh[[#This Row],[تراکنش]]="دریافت_درآمد",(Tarakonesh[[#This Row],[مبلغ (ریال)]]+IF(Tarakonesh[[#This Row],[تراکنش]]="انتقال",0,L428)),((IF(Tarakonesh[[#This Row],[تراکنش]]="انتقال",0,L428))-Tarakonesh[[#This Row],[مبلغ (ریال)]]))))</f>
        <v/>
      </c>
      <c r="M429" s="31"/>
      <c r="N429" s="31"/>
    </row>
    <row r="430" spans="1:14">
      <c r="A430" s="26">
        <v>423</v>
      </c>
      <c r="B430" s="27"/>
      <c r="C430" s="31"/>
      <c r="D430" s="31"/>
      <c r="E430" s="39"/>
      <c r="F430" s="27"/>
      <c r="G430" s="27"/>
      <c r="H430" s="27"/>
      <c r="I430" s="25"/>
      <c r="J430" s="27"/>
      <c r="K430" s="27"/>
      <c r="L430" s="91" t="str">
        <f>IF( Tarakonesh[[#This Row],[تراکنش]]="", "",IF( Tarakonesh[[#This Row],[تراکنش]]="انتقال",L429,IF(Tarakonesh[[#This Row],[تراکنش]]="دریافت_درآمد",(Tarakonesh[[#This Row],[مبلغ (ریال)]]+IF(Tarakonesh[[#This Row],[تراکنش]]="انتقال",0,L429)),((IF(Tarakonesh[[#This Row],[تراکنش]]="انتقال",0,L429))-Tarakonesh[[#This Row],[مبلغ (ریال)]]))))</f>
        <v/>
      </c>
      <c r="M430" s="31"/>
      <c r="N430" s="31"/>
    </row>
    <row r="431" spans="1:14">
      <c r="A431" s="26">
        <v>424</v>
      </c>
      <c r="B431" s="27"/>
      <c r="C431" s="31"/>
      <c r="D431" s="31"/>
      <c r="E431" s="39"/>
      <c r="F431" s="27"/>
      <c r="G431" s="27"/>
      <c r="H431" s="27"/>
      <c r="I431" s="25"/>
      <c r="J431" s="27"/>
      <c r="K431" s="27"/>
      <c r="L431" s="91" t="str">
        <f>IF( Tarakonesh[[#This Row],[تراکنش]]="", "",IF( Tarakonesh[[#This Row],[تراکنش]]="انتقال",L430,IF(Tarakonesh[[#This Row],[تراکنش]]="دریافت_درآمد",(Tarakonesh[[#This Row],[مبلغ (ریال)]]+IF(Tarakonesh[[#This Row],[تراکنش]]="انتقال",0,L430)),((IF(Tarakonesh[[#This Row],[تراکنش]]="انتقال",0,L430))-Tarakonesh[[#This Row],[مبلغ (ریال)]]))))</f>
        <v/>
      </c>
      <c r="M431" s="31"/>
      <c r="N431" s="31"/>
    </row>
    <row r="432" spans="1:14">
      <c r="A432" s="26">
        <v>425</v>
      </c>
      <c r="B432" s="27"/>
      <c r="C432" s="31"/>
      <c r="D432" s="31"/>
      <c r="E432" s="39"/>
      <c r="F432" s="27"/>
      <c r="G432" s="27"/>
      <c r="H432" s="27"/>
      <c r="I432" s="25"/>
      <c r="J432" s="27"/>
      <c r="K432" s="27"/>
      <c r="L432" s="91" t="str">
        <f>IF( Tarakonesh[[#This Row],[تراکنش]]="", "",IF( Tarakonesh[[#This Row],[تراکنش]]="انتقال",L431,IF(Tarakonesh[[#This Row],[تراکنش]]="دریافت_درآمد",(Tarakonesh[[#This Row],[مبلغ (ریال)]]+IF(Tarakonesh[[#This Row],[تراکنش]]="انتقال",0,L431)),((IF(Tarakonesh[[#This Row],[تراکنش]]="انتقال",0,L431))-Tarakonesh[[#This Row],[مبلغ (ریال)]]))))</f>
        <v/>
      </c>
      <c r="M432" s="31"/>
      <c r="N432" s="31"/>
    </row>
    <row r="433" spans="1:14">
      <c r="A433" s="26">
        <v>426</v>
      </c>
      <c r="B433" s="27"/>
      <c r="C433" s="31"/>
      <c r="D433" s="31"/>
      <c r="E433" s="39"/>
      <c r="F433" s="27"/>
      <c r="G433" s="27"/>
      <c r="H433" s="27"/>
      <c r="I433" s="25"/>
      <c r="J433" s="27"/>
      <c r="K433" s="27"/>
      <c r="L433" s="91" t="str">
        <f>IF( Tarakonesh[[#This Row],[تراکنش]]="", "",IF( Tarakonesh[[#This Row],[تراکنش]]="انتقال",L432,IF(Tarakonesh[[#This Row],[تراکنش]]="دریافت_درآمد",(Tarakonesh[[#This Row],[مبلغ (ریال)]]+IF(Tarakonesh[[#This Row],[تراکنش]]="انتقال",0,L432)),((IF(Tarakonesh[[#This Row],[تراکنش]]="انتقال",0,L432))-Tarakonesh[[#This Row],[مبلغ (ریال)]]))))</f>
        <v/>
      </c>
      <c r="M433" s="31"/>
      <c r="N433" s="31"/>
    </row>
    <row r="434" spans="1:14">
      <c r="A434" s="26">
        <v>427</v>
      </c>
      <c r="B434" s="27"/>
      <c r="C434" s="31"/>
      <c r="D434" s="31"/>
      <c r="E434" s="39"/>
      <c r="F434" s="27"/>
      <c r="G434" s="27"/>
      <c r="H434" s="27"/>
      <c r="I434" s="25"/>
      <c r="J434" s="27"/>
      <c r="K434" s="27"/>
      <c r="L434" s="91" t="str">
        <f>IF( Tarakonesh[[#This Row],[تراکنش]]="", "",IF( Tarakonesh[[#This Row],[تراکنش]]="انتقال",L433,IF(Tarakonesh[[#This Row],[تراکنش]]="دریافت_درآمد",(Tarakonesh[[#This Row],[مبلغ (ریال)]]+IF(Tarakonesh[[#This Row],[تراکنش]]="انتقال",0,L433)),((IF(Tarakonesh[[#This Row],[تراکنش]]="انتقال",0,L433))-Tarakonesh[[#This Row],[مبلغ (ریال)]]))))</f>
        <v/>
      </c>
      <c r="M434" s="31"/>
      <c r="N434" s="31"/>
    </row>
    <row r="435" spans="1:14">
      <c r="A435" s="26">
        <v>428</v>
      </c>
      <c r="B435" s="27"/>
      <c r="C435" s="31"/>
      <c r="D435" s="31"/>
      <c r="E435" s="39"/>
      <c r="F435" s="27"/>
      <c r="G435" s="27"/>
      <c r="H435" s="27"/>
      <c r="I435" s="25"/>
      <c r="J435" s="27"/>
      <c r="K435" s="27"/>
      <c r="L435" s="91" t="str">
        <f>IF( Tarakonesh[[#This Row],[تراکنش]]="", "",IF( Tarakonesh[[#This Row],[تراکنش]]="انتقال",L434,IF(Tarakonesh[[#This Row],[تراکنش]]="دریافت_درآمد",(Tarakonesh[[#This Row],[مبلغ (ریال)]]+IF(Tarakonesh[[#This Row],[تراکنش]]="انتقال",0,L434)),((IF(Tarakonesh[[#This Row],[تراکنش]]="انتقال",0,L434))-Tarakonesh[[#This Row],[مبلغ (ریال)]]))))</f>
        <v/>
      </c>
      <c r="M435" s="31"/>
      <c r="N435" s="31"/>
    </row>
    <row r="436" spans="1:14">
      <c r="A436" s="26">
        <v>429</v>
      </c>
      <c r="B436" s="27"/>
      <c r="C436" s="31"/>
      <c r="D436" s="31"/>
      <c r="E436" s="39"/>
      <c r="F436" s="27"/>
      <c r="G436" s="27"/>
      <c r="H436" s="27"/>
      <c r="I436" s="25"/>
      <c r="J436" s="27"/>
      <c r="K436" s="27"/>
      <c r="L436" s="91" t="str">
        <f>IF( Tarakonesh[[#This Row],[تراکنش]]="", "",IF( Tarakonesh[[#This Row],[تراکنش]]="انتقال",L435,IF(Tarakonesh[[#This Row],[تراکنش]]="دریافت_درآمد",(Tarakonesh[[#This Row],[مبلغ (ریال)]]+IF(Tarakonesh[[#This Row],[تراکنش]]="انتقال",0,L435)),((IF(Tarakonesh[[#This Row],[تراکنش]]="انتقال",0,L435))-Tarakonesh[[#This Row],[مبلغ (ریال)]]))))</f>
        <v/>
      </c>
      <c r="M436" s="31"/>
      <c r="N436" s="31"/>
    </row>
    <row r="437" spans="1:14">
      <c r="A437" s="26">
        <v>430</v>
      </c>
      <c r="B437" s="27"/>
      <c r="C437" s="31"/>
      <c r="D437" s="31"/>
      <c r="E437" s="39"/>
      <c r="F437" s="27"/>
      <c r="G437" s="27"/>
      <c r="H437" s="27"/>
      <c r="I437" s="25"/>
      <c r="J437" s="27"/>
      <c r="K437" s="27"/>
      <c r="L437" s="91" t="str">
        <f>IF( Tarakonesh[[#This Row],[تراکنش]]="", "",IF( Tarakonesh[[#This Row],[تراکنش]]="انتقال",L436,IF(Tarakonesh[[#This Row],[تراکنش]]="دریافت_درآمد",(Tarakonesh[[#This Row],[مبلغ (ریال)]]+IF(Tarakonesh[[#This Row],[تراکنش]]="انتقال",0,L436)),((IF(Tarakonesh[[#This Row],[تراکنش]]="انتقال",0,L436))-Tarakonesh[[#This Row],[مبلغ (ریال)]]))))</f>
        <v/>
      </c>
      <c r="M437" s="31"/>
      <c r="N437" s="31"/>
    </row>
    <row r="438" spans="1:14">
      <c r="A438" s="26">
        <v>431</v>
      </c>
      <c r="B438" s="27"/>
      <c r="C438" s="31"/>
      <c r="D438" s="31"/>
      <c r="E438" s="39"/>
      <c r="F438" s="27"/>
      <c r="G438" s="27"/>
      <c r="H438" s="27"/>
      <c r="I438" s="25"/>
      <c r="J438" s="27"/>
      <c r="K438" s="27"/>
      <c r="L438" s="91" t="str">
        <f>IF( Tarakonesh[[#This Row],[تراکنش]]="", "",IF( Tarakonesh[[#This Row],[تراکنش]]="انتقال",L437,IF(Tarakonesh[[#This Row],[تراکنش]]="دریافت_درآمد",(Tarakonesh[[#This Row],[مبلغ (ریال)]]+IF(Tarakonesh[[#This Row],[تراکنش]]="انتقال",0,L437)),((IF(Tarakonesh[[#This Row],[تراکنش]]="انتقال",0,L437))-Tarakonesh[[#This Row],[مبلغ (ریال)]]))))</f>
        <v/>
      </c>
      <c r="M438" s="31"/>
      <c r="N438" s="31"/>
    </row>
    <row r="439" spans="1:14">
      <c r="A439" s="26">
        <v>432</v>
      </c>
      <c r="B439" s="27"/>
      <c r="C439" s="31"/>
      <c r="D439" s="31"/>
      <c r="E439" s="39"/>
      <c r="F439" s="27"/>
      <c r="G439" s="27"/>
      <c r="H439" s="27"/>
      <c r="I439" s="25"/>
      <c r="J439" s="27"/>
      <c r="K439" s="27"/>
      <c r="L439" s="91" t="str">
        <f>IF( Tarakonesh[[#This Row],[تراکنش]]="", "",IF( Tarakonesh[[#This Row],[تراکنش]]="انتقال",L438,IF(Tarakonesh[[#This Row],[تراکنش]]="دریافت_درآمد",(Tarakonesh[[#This Row],[مبلغ (ریال)]]+IF(Tarakonesh[[#This Row],[تراکنش]]="انتقال",0,L438)),((IF(Tarakonesh[[#This Row],[تراکنش]]="انتقال",0,L438))-Tarakonesh[[#This Row],[مبلغ (ریال)]]))))</f>
        <v/>
      </c>
      <c r="M439" s="31"/>
      <c r="N439" s="31"/>
    </row>
    <row r="440" spans="1:14">
      <c r="A440" s="26">
        <v>433</v>
      </c>
      <c r="B440" s="27"/>
      <c r="C440" s="31"/>
      <c r="D440" s="31"/>
      <c r="E440" s="39"/>
      <c r="F440" s="27"/>
      <c r="G440" s="27"/>
      <c r="H440" s="27"/>
      <c r="I440" s="25"/>
      <c r="J440" s="27"/>
      <c r="K440" s="27"/>
      <c r="L440" s="91" t="str">
        <f>IF( Tarakonesh[[#This Row],[تراکنش]]="", "",IF( Tarakonesh[[#This Row],[تراکنش]]="انتقال",L439,IF(Tarakonesh[[#This Row],[تراکنش]]="دریافت_درآمد",(Tarakonesh[[#This Row],[مبلغ (ریال)]]+IF(Tarakonesh[[#This Row],[تراکنش]]="انتقال",0,L439)),((IF(Tarakonesh[[#This Row],[تراکنش]]="انتقال",0,L439))-Tarakonesh[[#This Row],[مبلغ (ریال)]]))))</f>
        <v/>
      </c>
      <c r="M440" s="31"/>
      <c r="N440" s="31"/>
    </row>
    <row r="441" spans="1:14">
      <c r="A441" s="26">
        <v>434</v>
      </c>
      <c r="B441" s="27"/>
      <c r="C441" s="31"/>
      <c r="D441" s="31"/>
      <c r="E441" s="39"/>
      <c r="F441" s="27"/>
      <c r="G441" s="27"/>
      <c r="H441" s="27"/>
      <c r="I441" s="25"/>
      <c r="J441" s="27"/>
      <c r="K441" s="27"/>
      <c r="L441" s="91" t="str">
        <f>IF( Tarakonesh[[#This Row],[تراکنش]]="", "",IF( Tarakonesh[[#This Row],[تراکنش]]="انتقال",L440,IF(Tarakonesh[[#This Row],[تراکنش]]="دریافت_درآمد",(Tarakonesh[[#This Row],[مبلغ (ریال)]]+IF(Tarakonesh[[#This Row],[تراکنش]]="انتقال",0,L440)),((IF(Tarakonesh[[#This Row],[تراکنش]]="انتقال",0,L440))-Tarakonesh[[#This Row],[مبلغ (ریال)]]))))</f>
        <v/>
      </c>
      <c r="M441" s="31"/>
      <c r="N441" s="31"/>
    </row>
    <row r="442" spans="1:14">
      <c r="A442" s="26">
        <v>435</v>
      </c>
      <c r="B442" s="27"/>
      <c r="C442" s="31"/>
      <c r="D442" s="31"/>
      <c r="E442" s="39"/>
      <c r="F442" s="27"/>
      <c r="G442" s="27"/>
      <c r="H442" s="27"/>
      <c r="I442" s="25"/>
      <c r="J442" s="27"/>
      <c r="K442" s="27"/>
      <c r="L442" s="91" t="str">
        <f>IF( Tarakonesh[[#This Row],[تراکنش]]="", "",IF( Tarakonesh[[#This Row],[تراکنش]]="انتقال",L441,IF(Tarakonesh[[#This Row],[تراکنش]]="دریافت_درآمد",(Tarakonesh[[#This Row],[مبلغ (ریال)]]+IF(Tarakonesh[[#This Row],[تراکنش]]="انتقال",0,L441)),((IF(Tarakonesh[[#This Row],[تراکنش]]="انتقال",0,L441))-Tarakonesh[[#This Row],[مبلغ (ریال)]]))))</f>
        <v/>
      </c>
      <c r="M442" s="31"/>
      <c r="N442" s="31"/>
    </row>
    <row r="443" spans="1:14">
      <c r="A443" s="26">
        <v>436</v>
      </c>
      <c r="B443" s="27"/>
      <c r="C443" s="31"/>
      <c r="D443" s="31"/>
      <c r="E443" s="39"/>
      <c r="F443" s="27"/>
      <c r="G443" s="27"/>
      <c r="H443" s="27"/>
      <c r="I443" s="25"/>
      <c r="J443" s="27"/>
      <c r="K443" s="27"/>
      <c r="L443" s="91" t="str">
        <f>IF( Tarakonesh[[#This Row],[تراکنش]]="", "",IF( Tarakonesh[[#This Row],[تراکنش]]="انتقال",L442,IF(Tarakonesh[[#This Row],[تراکنش]]="دریافت_درآمد",(Tarakonesh[[#This Row],[مبلغ (ریال)]]+IF(Tarakonesh[[#This Row],[تراکنش]]="انتقال",0,L442)),((IF(Tarakonesh[[#This Row],[تراکنش]]="انتقال",0,L442))-Tarakonesh[[#This Row],[مبلغ (ریال)]]))))</f>
        <v/>
      </c>
      <c r="M443" s="31"/>
      <c r="N443" s="31"/>
    </row>
    <row r="444" spans="1:14">
      <c r="A444" s="26">
        <v>437</v>
      </c>
      <c r="B444" s="27"/>
      <c r="C444" s="31"/>
      <c r="D444" s="31"/>
      <c r="E444" s="39"/>
      <c r="F444" s="27"/>
      <c r="G444" s="27"/>
      <c r="H444" s="27"/>
      <c r="I444" s="25"/>
      <c r="J444" s="27"/>
      <c r="K444" s="27"/>
      <c r="L444" s="91" t="str">
        <f>IF( Tarakonesh[[#This Row],[تراکنش]]="", "",IF( Tarakonesh[[#This Row],[تراکنش]]="انتقال",L443,IF(Tarakonesh[[#This Row],[تراکنش]]="دریافت_درآمد",(Tarakonesh[[#This Row],[مبلغ (ریال)]]+IF(Tarakonesh[[#This Row],[تراکنش]]="انتقال",0,L443)),((IF(Tarakonesh[[#This Row],[تراکنش]]="انتقال",0,L443))-Tarakonesh[[#This Row],[مبلغ (ریال)]]))))</f>
        <v/>
      </c>
      <c r="M444" s="31"/>
      <c r="N444" s="31"/>
    </row>
    <row r="445" spans="1:14">
      <c r="A445" s="26">
        <v>438</v>
      </c>
      <c r="B445" s="27"/>
      <c r="C445" s="31"/>
      <c r="D445" s="31"/>
      <c r="E445" s="39"/>
      <c r="F445" s="27"/>
      <c r="G445" s="27"/>
      <c r="H445" s="27"/>
      <c r="I445" s="25"/>
      <c r="J445" s="27"/>
      <c r="K445" s="27"/>
      <c r="L445" s="91" t="str">
        <f>IF( Tarakonesh[[#This Row],[تراکنش]]="", "",IF( Tarakonesh[[#This Row],[تراکنش]]="انتقال",L444,IF(Tarakonesh[[#This Row],[تراکنش]]="دریافت_درآمد",(Tarakonesh[[#This Row],[مبلغ (ریال)]]+IF(Tarakonesh[[#This Row],[تراکنش]]="انتقال",0,L444)),((IF(Tarakonesh[[#This Row],[تراکنش]]="انتقال",0,L444))-Tarakonesh[[#This Row],[مبلغ (ریال)]]))))</f>
        <v/>
      </c>
      <c r="M445" s="31"/>
      <c r="N445" s="31"/>
    </row>
    <row r="446" spans="1:14">
      <c r="A446" s="26">
        <v>439</v>
      </c>
      <c r="B446" s="27"/>
      <c r="C446" s="31"/>
      <c r="D446" s="31"/>
      <c r="E446" s="39"/>
      <c r="F446" s="27"/>
      <c r="G446" s="27"/>
      <c r="H446" s="27"/>
      <c r="I446" s="25"/>
      <c r="J446" s="27"/>
      <c r="K446" s="27"/>
      <c r="L446" s="91" t="str">
        <f>IF( Tarakonesh[[#This Row],[تراکنش]]="", "",IF( Tarakonesh[[#This Row],[تراکنش]]="انتقال",L445,IF(Tarakonesh[[#This Row],[تراکنش]]="دریافت_درآمد",(Tarakonesh[[#This Row],[مبلغ (ریال)]]+IF(Tarakonesh[[#This Row],[تراکنش]]="انتقال",0,L445)),((IF(Tarakonesh[[#This Row],[تراکنش]]="انتقال",0,L445))-Tarakonesh[[#This Row],[مبلغ (ریال)]]))))</f>
        <v/>
      </c>
      <c r="M446" s="31"/>
      <c r="N446" s="31"/>
    </row>
    <row r="447" spans="1:14">
      <c r="A447" s="26">
        <v>440</v>
      </c>
      <c r="B447" s="27"/>
      <c r="C447" s="31"/>
      <c r="D447" s="31"/>
      <c r="E447" s="39"/>
      <c r="F447" s="27"/>
      <c r="G447" s="27"/>
      <c r="H447" s="27"/>
      <c r="I447" s="25"/>
      <c r="J447" s="27"/>
      <c r="K447" s="27"/>
      <c r="L447" s="91" t="str">
        <f>IF( Tarakonesh[[#This Row],[تراکنش]]="", "",IF( Tarakonesh[[#This Row],[تراکنش]]="انتقال",L446,IF(Tarakonesh[[#This Row],[تراکنش]]="دریافت_درآمد",(Tarakonesh[[#This Row],[مبلغ (ریال)]]+IF(Tarakonesh[[#This Row],[تراکنش]]="انتقال",0,L446)),((IF(Tarakonesh[[#This Row],[تراکنش]]="انتقال",0,L446))-Tarakonesh[[#This Row],[مبلغ (ریال)]]))))</f>
        <v/>
      </c>
      <c r="M447" s="31"/>
      <c r="N447" s="31"/>
    </row>
    <row r="448" spans="1:14">
      <c r="A448" s="26">
        <v>441</v>
      </c>
      <c r="B448" s="27"/>
      <c r="C448" s="31"/>
      <c r="D448" s="31"/>
      <c r="E448" s="39"/>
      <c r="F448" s="27"/>
      <c r="G448" s="27"/>
      <c r="H448" s="27"/>
      <c r="I448" s="25"/>
      <c r="J448" s="27"/>
      <c r="K448" s="27"/>
      <c r="L448" s="91" t="str">
        <f>IF( Tarakonesh[[#This Row],[تراکنش]]="", "",IF( Tarakonesh[[#This Row],[تراکنش]]="انتقال",L447,IF(Tarakonesh[[#This Row],[تراکنش]]="دریافت_درآمد",(Tarakonesh[[#This Row],[مبلغ (ریال)]]+IF(Tarakonesh[[#This Row],[تراکنش]]="انتقال",0,L447)),((IF(Tarakonesh[[#This Row],[تراکنش]]="انتقال",0,L447))-Tarakonesh[[#This Row],[مبلغ (ریال)]]))))</f>
        <v/>
      </c>
      <c r="M448" s="31"/>
      <c r="N448" s="31"/>
    </row>
    <row r="449" spans="1:14">
      <c r="A449" s="26">
        <v>442</v>
      </c>
      <c r="B449" s="27"/>
      <c r="C449" s="31"/>
      <c r="D449" s="31"/>
      <c r="E449" s="39"/>
      <c r="F449" s="27"/>
      <c r="G449" s="27"/>
      <c r="H449" s="27"/>
      <c r="I449" s="25"/>
      <c r="J449" s="27"/>
      <c r="K449" s="27"/>
      <c r="L449" s="91" t="str">
        <f>IF( Tarakonesh[[#This Row],[تراکنش]]="", "",IF( Tarakonesh[[#This Row],[تراکنش]]="انتقال",L448,IF(Tarakonesh[[#This Row],[تراکنش]]="دریافت_درآمد",(Tarakonesh[[#This Row],[مبلغ (ریال)]]+IF(Tarakonesh[[#This Row],[تراکنش]]="انتقال",0,L448)),((IF(Tarakonesh[[#This Row],[تراکنش]]="انتقال",0,L448))-Tarakonesh[[#This Row],[مبلغ (ریال)]]))))</f>
        <v/>
      </c>
      <c r="M449" s="31"/>
      <c r="N449" s="31"/>
    </row>
    <row r="450" spans="1:14">
      <c r="A450" s="26">
        <v>443</v>
      </c>
      <c r="B450" s="27"/>
      <c r="C450" s="31"/>
      <c r="D450" s="31"/>
      <c r="E450" s="39"/>
      <c r="F450" s="27"/>
      <c r="G450" s="27"/>
      <c r="H450" s="27"/>
      <c r="I450" s="25"/>
      <c r="J450" s="27"/>
      <c r="K450" s="27"/>
      <c r="L450" s="91" t="str">
        <f>IF( Tarakonesh[[#This Row],[تراکنش]]="", "",IF( Tarakonesh[[#This Row],[تراکنش]]="انتقال",L449,IF(Tarakonesh[[#This Row],[تراکنش]]="دریافت_درآمد",(Tarakonesh[[#This Row],[مبلغ (ریال)]]+IF(Tarakonesh[[#This Row],[تراکنش]]="انتقال",0,L449)),((IF(Tarakonesh[[#This Row],[تراکنش]]="انتقال",0,L449))-Tarakonesh[[#This Row],[مبلغ (ریال)]]))))</f>
        <v/>
      </c>
      <c r="M450" s="31"/>
      <c r="N450" s="31"/>
    </row>
    <row r="451" spans="1:14">
      <c r="A451" s="26">
        <v>444</v>
      </c>
      <c r="B451" s="27"/>
      <c r="C451" s="31"/>
      <c r="D451" s="31"/>
      <c r="E451" s="39"/>
      <c r="F451" s="27"/>
      <c r="G451" s="27"/>
      <c r="H451" s="27"/>
      <c r="I451" s="25"/>
      <c r="J451" s="27"/>
      <c r="K451" s="27"/>
      <c r="L451" s="91" t="str">
        <f>IF( Tarakonesh[[#This Row],[تراکنش]]="", "",IF( Tarakonesh[[#This Row],[تراکنش]]="انتقال",L450,IF(Tarakonesh[[#This Row],[تراکنش]]="دریافت_درآمد",(Tarakonesh[[#This Row],[مبلغ (ریال)]]+IF(Tarakonesh[[#This Row],[تراکنش]]="انتقال",0,L450)),((IF(Tarakonesh[[#This Row],[تراکنش]]="انتقال",0,L450))-Tarakonesh[[#This Row],[مبلغ (ریال)]]))))</f>
        <v/>
      </c>
      <c r="M451" s="31"/>
      <c r="N451" s="31"/>
    </row>
    <row r="452" spans="1:14">
      <c r="A452" s="26">
        <v>445</v>
      </c>
      <c r="B452" s="27"/>
      <c r="C452" s="31"/>
      <c r="D452" s="31"/>
      <c r="E452" s="39"/>
      <c r="F452" s="27"/>
      <c r="G452" s="27"/>
      <c r="H452" s="27"/>
      <c r="I452" s="25"/>
      <c r="J452" s="27"/>
      <c r="K452" s="27"/>
      <c r="L452" s="91" t="str">
        <f>IF( Tarakonesh[[#This Row],[تراکنش]]="", "",IF( Tarakonesh[[#This Row],[تراکنش]]="انتقال",L451,IF(Tarakonesh[[#This Row],[تراکنش]]="دریافت_درآمد",(Tarakonesh[[#This Row],[مبلغ (ریال)]]+IF(Tarakonesh[[#This Row],[تراکنش]]="انتقال",0,L451)),((IF(Tarakonesh[[#This Row],[تراکنش]]="انتقال",0,L451))-Tarakonesh[[#This Row],[مبلغ (ریال)]]))))</f>
        <v/>
      </c>
      <c r="M452" s="31"/>
      <c r="N452" s="31"/>
    </row>
    <row r="453" spans="1:14">
      <c r="A453" s="26">
        <v>446</v>
      </c>
      <c r="B453" s="27"/>
      <c r="C453" s="31"/>
      <c r="D453" s="31"/>
      <c r="E453" s="39"/>
      <c r="F453" s="27"/>
      <c r="G453" s="27"/>
      <c r="H453" s="27"/>
      <c r="I453" s="25"/>
      <c r="J453" s="27"/>
      <c r="K453" s="27"/>
      <c r="L453" s="91" t="str">
        <f>IF( Tarakonesh[[#This Row],[تراکنش]]="", "",IF( Tarakonesh[[#This Row],[تراکنش]]="انتقال",L452,IF(Tarakonesh[[#This Row],[تراکنش]]="دریافت_درآمد",(Tarakonesh[[#This Row],[مبلغ (ریال)]]+IF(Tarakonesh[[#This Row],[تراکنش]]="انتقال",0,L452)),((IF(Tarakonesh[[#This Row],[تراکنش]]="انتقال",0,L452))-Tarakonesh[[#This Row],[مبلغ (ریال)]]))))</f>
        <v/>
      </c>
      <c r="M453" s="31"/>
      <c r="N453" s="31"/>
    </row>
    <row r="454" spans="1:14">
      <c r="A454" s="26">
        <v>447</v>
      </c>
      <c r="B454" s="27"/>
      <c r="C454" s="31"/>
      <c r="D454" s="31"/>
      <c r="E454" s="39"/>
      <c r="F454" s="27"/>
      <c r="G454" s="27"/>
      <c r="H454" s="27"/>
      <c r="I454" s="25"/>
      <c r="J454" s="27"/>
      <c r="K454" s="27"/>
      <c r="L454" s="91" t="str">
        <f>IF( Tarakonesh[[#This Row],[تراکنش]]="", "",IF( Tarakonesh[[#This Row],[تراکنش]]="انتقال",L453,IF(Tarakonesh[[#This Row],[تراکنش]]="دریافت_درآمد",(Tarakonesh[[#This Row],[مبلغ (ریال)]]+IF(Tarakonesh[[#This Row],[تراکنش]]="انتقال",0,L453)),((IF(Tarakonesh[[#This Row],[تراکنش]]="انتقال",0,L453))-Tarakonesh[[#This Row],[مبلغ (ریال)]]))))</f>
        <v/>
      </c>
      <c r="M454" s="31"/>
      <c r="N454" s="31"/>
    </row>
    <row r="455" spans="1:14">
      <c r="A455" s="26">
        <v>448</v>
      </c>
      <c r="B455" s="27"/>
      <c r="C455" s="31"/>
      <c r="D455" s="31"/>
      <c r="E455" s="39"/>
      <c r="F455" s="27"/>
      <c r="G455" s="27"/>
      <c r="H455" s="27"/>
      <c r="I455" s="25"/>
      <c r="J455" s="27"/>
      <c r="K455" s="27"/>
      <c r="L455" s="91" t="str">
        <f>IF( Tarakonesh[[#This Row],[تراکنش]]="", "",IF( Tarakonesh[[#This Row],[تراکنش]]="انتقال",L454,IF(Tarakonesh[[#This Row],[تراکنش]]="دریافت_درآمد",(Tarakonesh[[#This Row],[مبلغ (ریال)]]+IF(Tarakonesh[[#This Row],[تراکنش]]="انتقال",0,L454)),((IF(Tarakonesh[[#This Row],[تراکنش]]="انتقال",0,L454))-Tarakonesh[[#This Row],[مبلغ (ریال)]]))))</f>
        <v/>
      </c>
      <c r="M455" s="31"/>
      <c r="N455" s="31"/>
    </row>
    <row r="456" spans="1:14">
      <c r="A456" s="26">
        <v>449</v>
      </c>
      <c r="B456" s="27"/>
      <c r="C456" s="31"/>
      <c r="D456" s="31"/>
      <c r="E456" s="39"/>
      <c r="F456" s="27"/>
      <c r="G456" s="27"/>
      <c r="H456" s="27"/>
      <c r="I456" s="25"/>
      <c r="J456" s="27"/>
      <c r="K456" s="27"/>
      <c r="L456" s="91" t="str">
        <f>IF( Tarakonesh[[#This Row],[تراکنش]]="", "",IF( Tarakonesh[[#This Row],[تراکنش]]="انتقال",L455,IF(Tarakonesh[[#This Row],[تراکنش]]="دریافت_درآمد",(Tarakonesh[[#This Row],[مبلغ (ریال)]]+IF(Tarakonesh[[#This Row],[تراکنش]]="انتقال",0,L455)),((IF(Tarakonesh[[#This Row],[تراکنش]]="انتقال",0,L455))-Tarakonesh[[#This Row],[مبلغ (ریال)]]))))</f>
        <v/>
      </c>
      <c r="M456" s="31"/>
      <c r="N456" s="31"/>
    </row>
    <row r="457" spans="1:14">
      <c r="A457" s="26">
        <v>450</v>
      </c>
      <c r="B457" s="27"/>
      <c r="C457" s="31"/>
      <c r="D457" s="31"/>
      <c r="E457" s="39"/>
      <c r="F457" s="27"/>
      <c r="G457" s="27"/>
      <c r="H457" s="27"/>
      <c r="I457" s="25"/>
      <c r="J457" s="27"/>
      <c r="K457" s="27"/>
      <c r="L457" s="91" t="str">
        <f>IF( Tarakonesh[[#This Row],[تراکنش]]="", "",IF( Tarakonesh[[#This Row],[تراکنش]]="انتقال",L456,IF(Tarakonesh[[#This Row],[تراکنش]]="دریافت_درآمد",(Tarakonesh[[#This Row],[مبلغ (ریال)]]+IF(Tarakonesh[[#This Row],[تراکنش]]="انتقال",0,L456)),((IF(Tarakonesh[[#This Row],[تراکنش]]="انتقال",0,L456))-Tarakonesh[[#This Row],[مبلغ (ریال)]]))))</f>
        <v/>
      </c>
      <c r="M457" s="31"/>
      <c r="N457" s="31"/>
    </row>
    <row r="458" spans="1:14">
      <c r="A458" s="26">
        <v>451</v>
      </c>
      <c r="B458" s="27"/>
      <c r="C458" s="31"/>
      <c r="D458" s="31"/>
      <c r="E458" s="39"/>
      <c r="F458" s="27"/>
      <c r="G458" s="27"/>
      <c r="H458" s="27"/>
      <c r="I458" s="25"/>
      <c r="J458" s="27"/>
      <c r="K458" s="27"/>
      <c r="L458" s="91" t="str">
        <f>IF( Tarakonesh[[#This Row],[تراکنش]]="", "",IF( Tarakonesh[[#This Row],[تراکنش]]="انتقال",L457,IF(Tarakonesh[[#This Row],[تراکنش]]="دریافت_درآمد",(Tarakonesh[[#This Row],[مبلغ (ریال)]]+IF(Tarakonesh[[#This Row],[تراکنش]]="انتقال",0,L457)),((IF(Tarakonesh[[#This Row],[تراکنش]]="انتقال",0,L457))-Tarakonesh[[#This Row],[مبلغ (ریال)]]))))</f>
        <v/>
      </c>
      <c r="M458" s="31"/>
      <c r="N458" s="31"/>
    </row>
    <row r="459" spans="1:14">
      <c r="A459" s="26">
        <v>452</v>
      </c>
      <c r="B459" s="27"/>
      <c r="C459" s="31"/>
      <c r="D459" s="31"/>
      <c r="E459" s="39"/>
      <c r="F459" s="27"/>
      <c r="G459" s="27"/>
      <c r="H459" s="27"/>
      <c r="I459" s="25"/>
      <c r="J459" s="27"/>
      <c r="K459" s="27"/>
      <c r="L459" s="91" t="str">
        <f>IF( Tarakonesh[[#This Row],[تراکنش]]="", "",IF( Tarakonesh[[#This Row],[تراکنش]]="انتقال",L458,IF(Tarakonesh[[#This Row],[تراکنش]]="دریافت_درآمد",(Tarakonesh[[#This Row],[مبلغ (ریال)]]+IF(Tarakonesh[[#This Row],[تراکنش]]="انتقال",0,L458)),((IF(Tarakonesh[[#This Row],[تراکنش]]="انتقال",0,L458))-Tarakonesh[[#This Row],[مبلغ (ریال)]]))))</f>
        <v/>
      </c>
      <c r="M459" s="31"/>
      <c r="N459" s="31"/>
    </row>
    <row r="460" spans="1:14">
      <c r="A460" s="26">
        <v>453</v>
      </c>
      <c r="B460" s="27"/>
      <c r="C460" s="31"/>
      <c r="D460" s="31"/>
      <c r="E460" s="39"/>
      <c r="F460" s="27"/>
      <c r="G460" s="27"/>
      <c r="H460" s="27"/>
      <c r="I460" s="25"/>
      <c r="J460" s="27"/>
      <c r="K460" s="27"/>
      <c r="L460" s="91" t="str">
        <f>IF( Tarakonesh[[#This Row],[تراکنش]]="", "",IF( Tarakonesh[[#This Row],[تراکنش]]="انتقال",L459,IF(Tarakonesh[[#This Row],[تراکنش]]="دریافت_درآمد",(Tarakonesh[[#This Row],[مبلغ (ریال)]]+IF(Tarakonesh[[#This Row],[تراکنش]]="انتقال",0,L459)),((IF(Tarakonesh[[#This Row],[تراکنش]]="انتقال",0,L459))-Tarakonesh[[#This Row],[مبلغ (ریال)]]))))</f>
        <v/>
      </c>
      <c r="M460" s="31"/>
      <c r="N460" s="31"/>
    </row>
    <row r="461" spans="1:14">
      <c r="A461" s="26">
        <v>454</v>
      </c>
      <c r="B461" s="27"/>
      <c r="C461" s="31"/>
      <c r="D461" s="31"/>
      <c r="E461" s="39"/>
      <c r="F461" s="27"/>
      <c r="G461" s="27"/>
      <c r="H461" s="27"/>
      <c r="I461" s="25"/>
      <c r="J461" s="27"/>
      <c r="K461" s="27"/>
      <c r="L461" s="91" t="str">
        <f>IF( Tarakonesh[[#This Row],[تراکنش]]="", "",IF( Tarakonesh[[#This Row],[تراکنش]]="انتقال",L460,IF(Tarakonesh[[#This Row],[تراکنش]]="دریافت_درآمد",(Tarakonesh[[#This Row],[مبلغ (ریال)]]+IF(Tarakonesh[[#This Row],[تراکنش]]="انتقال",0,L460)),((IF(Tarakonesh[[#This Row],[تراکنش]]="انتقال",0,L460))-Tarakonesh[[#This Row],[مبلغ (ریال)]]))))</f>
        <v/>
      </c>
      <c r="M461" s="31"/>
      <c r="N461" s="31"/>
    </row>
    <row r="462" spans="1:14">
      <c r="A462" s="26">
        <v>455</v>
      </c>
      <c r="B462" s="27"/>
      <c r="C462" s="31"/>
      <c r="D462" s="31"/>
      <c r="E462" s="39"/>
      <c r="F462" s="27"/>
      <c r="G462" s="27"/>
      <c r="H462" s="27"/>
      <c r="I462" s="25"/>
      <c r="J462" s="27"/>
      <c r="K462" s="27"/>
      <c r="L462" s="91" t="str">
        <f>IF( Tarakonesh[[#This Row],[تراکنش]]="", "",IF( Tarakonesh[[#This Row],[تراکنش]]="انتقال",L461,IF(Tarakonesh[[#This Row],[تراکنش]]="دریافت_درآمد",(Tarakonesh[[#This Row],[مبلغ (ریال)]]+IF(Tarakonesh[[#This Row],[تراکنش]]="انتقال",0,L461)),((IF(Tarakonesh[[#This Row],[تراکنش]]="انتقال",0,L461))-Tarakonesh[[#This Row],[مبلغ (ریال)]]))))</f>
        <v/>
      </c>
      <c r="M462" s="31"/>
      <c r="N462" s="31"/>
    </row>
    <row r="463" spans="1:14">
      <c r="A463" s="26">
        <v>456</v>
      </c>
      <c r="B463" s="27"/>
      <c r="C463" s="31"/>
      <c r="D463" s="31"/>
      <c r="E463" s="39"/>
      <c r="F463" s="27"/>
      <c r="G463" s="27"/>
      <c r="H463" s="27"/>
      <c r="I463" s="25"/>
      <c r="J463" s="27"/>
      <c r="K463" s="27"/>
      <c r="L463" s="91" t="str">
        <f>IF( Tarakonesh[[#This Row],[تراکنش]]="", "",IF( Tarakonesh[[#This Row],[تراکنش]]="انتقال",L462,IF(Tarakonesh[[#This Row],[تراکنش]]="دریافت_درآمد",(Tarakonesh[[#This Row],[مبلغ (ریال)]]+IF(Tarakonesh[[#This Row],[تراکنش]]="انتقال",0,L462)),((IF(Tarakonesh[[#This Row],[تراکنش]]="انتقال",0,L462))-Tarakonesh[[#This Row],[مبلغ (ریال)]]))))</f>
        <v/>
      </c>
      <c r="M463" s="31"/>
      <c r="N463" s="31"/>
    </row>
    <row r="464" spans="1:14">
      <c r="A464" s="26">
        <v>457</v>
      </c>
      <c r="B464" s="27"/>
      <c r="C464" s="31"/>
      <c r="D464" s="31"/>
      <c r="E464" s="39"/>
      <c r="F464" s="27"/>
      <c r="G464" s="27"/>
      <c r="H464" s="27"/>
      <c r="I464" s="25"/>
      <c r="J464" s="27"/>
      <c r="K464" s="27"/>
      <c r="L464" s="91" t="str">
        <f>IF( Tarakonesh[[#This Row],[تراکنش]]="", "",IF( Tarakonesh[[#This Row],[تراکنش]]="انتقال",L463,IF(Tarakonesh[[#This Row],[تراکنش]]="دریافت_درآمد",(Tarakonesh[[#This Row],[مبلغ (ریال)]]+IF(Tarakonesh[[#This Row],[تراکنش]]="انتقال",0,L463)),((IF(Tarakonesh[[#This Row],[تراکنش]]="انتقال",0,L463))-Tarakonesh[[#This Row],[مبلغ (ریال)]]))))</f>
        <v/>
      </c>
      <c r="M464" s="31"/>
      <c r="N464" s="31"/>
    </row>
    <row r="465" spans="1:14">
      <c r="A465" s="26">
        <v>458</v>
      </c>
      <c r="B465" s="27"/>
      <c r="C465" s="31"/>
      <c r="D465" s="31"/>
      <c r="E465" s="39"/>
      <c r="F465" s="27"/>
      <c r="G465" s="27"/>
      <c r="H465" s="27"/>
      <c r="I465" s="25"/>
      <c r="J465" s="27"/>
      <c r="K465" s="27"/>
      <c r="L465" s="91" t="str">
        <f>IF( Tarakonesh[[#This Row],[تراکنش]]="", "",IF( Tarakonesh[[#This Row],[تراکنش]]="انتقال",L464,IF(Tarakonesh[[#This Row],[تراکنش]]="دریافت_درآمد",(Tarakonesh[[#This Row],[مبلغ (ریال)]]+IF(Tarakonesh[[#This Row],[تراکنش]]="انتقال",0,L464)),((IF(Tarakonesh[[#This Row],[تراکنش]]="انتقال",0,L464))-Tarakonesh[[#This Row],[مبلغ (ریال)]]))))</f>
        <v/>
      </c>
      <c r="M465" s="31"/>
      <c r="N465" s="31"/>
    </row>
    <row r="466" spans="1:14">
      <c r="A466" s="26">
        <v>459</v>
      </c>
      <c r="B466" s="27"/>
      <c r="C466" s="31"/>
      <c r="D466" s="31"/>
      <c r="E466" s="39"/>
      <c r="F466" s="27"/>
      <c r="G466" s="27"/>
      <c r="H466" s="27"/>
      <c r="I466" s="25"/>
      <c r="J466" s="27"/>
      <c r="K466" s="27"/>
      <c r="L466" s="91" t="str">
        <f>IF( Tarakonesh[[#This Row],[تراکنش]]="", "",IF( Tarakonesh[[#This Row],[تراکنش]]="انتقال",L465,IF(Tarakonesh[[#This Row],[تراکنش]]="دریافت_درآمد",(Tarakonesh[[#This Row],[مبلغ (ریال)]]+IF(Tarakonesh[[#This Row],[تراکنش]]="انتقال",0,L465)),((IF(Tarakonesh[[#This Row],[تراکنش]]="انتقال",0,L465))-Tarakonesh[[#This Row],[مبلغ (ریال)]]))))</f>
        <v/>
      </c>
      <c r="M466" s="31"/>
      <c r="N466" s="31"/>
    </row>
    <row r="467" spans="1:14">
      <c r="A467" s="26">
        <v>460</v>
      </c>
      <c r="B467" s="27"/>
      <c r="C467" s="31"/>
      <c r="D467" s="31"/>
      <c r="E467" s="39"/>
      <c r="F467" s="27"/>
      <c r="G467" s="27"/>
      <c r="H467" s="27"/>
      <c r="I467" s="25"/>
      <c r="J467" s="27"/>
      <c r="K467" s="27"/>
      <c r="L467" s="91" t="str">
        <f>IF( Tarakonesh[[#This Row],[تراکنش]]="", "",IF( Tarakonesh[[#This Row],[تراکنش]]="انتقال",L466,IF(Tarakonesh[[#This Row],[تراکنش]]="دریافت_درآمد",(Tarakonesh[[#This Row],[مبلغ (ریال)]]+IF(Tarakonesh[[#This Row],[تراکنش]]="انتقال",0,L466)),((IF(Tarakonesh[[#This Row],[تراکنش]]="انتقال",0,L466))-Tarakonesh[[#This Row],[مبلغ (ریال)]]))))</f>
        <v/>
      </c>
      <c r="M467" s="31"/>
      <c r="N467" s="31"/>
    </row>
    <row r="468" spans="1:14">
      <c r="A468" s="26">
        <v>461</v>
      </c>
      <c r="B468" s="27"/>
      <c r="C468" s="31"/>
      <c r="D468" s="31"/>
      <c r="E468" s="39"/>
      <c r="F468" s="27"/>
      <c r="G468" s="27"/>
      <c r="H468" s="27"/>
      <c r="I468" s="25"/>
      <c r="J468" s="27"/>
      <c r="K468" s="27"/>
      <c r="L468" s="91" t="str">
        <f>IF( Tarakonesh[[#This Row],[تراکنش]]="", "",IF( Tarakonesh[[#This Row],[تراکنش]]="انتقال",L467,IF(Tarakonesh[[#This Row],[تراکنش]]="دریافت_درآمد",(Tarakonesh[[#This Row],[مبلغ (ریال)]]+IF(Tarakonesh[[#This Row],[تراکنش]]="انتقال",0,L467)),((IF(Tarakonesh[[#This Row],[تراکنش]]="انتقال",0,L467))-Tarakonesh[[#This Row],[مبلغ (ریال)]]))))</f>
        <v/>
      </c>
      <c r="M468" s="31"/>
      <c r="N468" s="31"/>
    </row>
    <row r="469" spans="1:14">
      <c r="A469" s="26">
        <v>462</v>
      </c>
      <c r="B469" s="27"/>
      <c r="C469" s="31"/>
      <c r="D469" s="31"/>
      <c r="E469" s="39"/>
      <c r="F469" s="27"/>
      <c r="G469" s="27"/>
      <c r="H469" s="27"/>
      <c r="I469" s="25"/>
      <c r="J469" s="27"/>
      <c r="K469" s="27"/>
      <c r="L469" s="91" t="str">
        <f>IF( Tarakonesh[[#This Row],[تراکنش]]="", "",IF( Tarakonesh[[#This Row],[تراکنش]]="انتقال",L468,IF(Tarakonesh[[#This Row],[تراکنش]]="دریافت_درآمد",(Tarakonesh[[#This Row],[مبلغ (ریال)]]+IF(Tarakonesh[[#This Row],[تراکنش]]="انتقال",0,L468)),((IF(Tarakonesh[[#This Row],[تراکنش]]="انتقال",0,L468))-Tarakonesh[[#This Row],[مبلغ (ریال)]]))))</f>
        <v/>
      </c>
      <c r="M469" s="31"/>
      <c r="N469" s="31"/>
    </row>
    <row r="470" spans="1:14">
      <c r="A470" s="26">
        <v>463</v>
      </c>
      <c r="B470" s="27"/>
      <c r="C470" s="31"/>
      <c r="D470" s="31"/>
      <c r="E470" s="39"/>
      <c r="F470" s="27"/>
      <c r="G470" s="27"/>
      <c r="H470" s="27"/>
      <c r="I470" s="25"/>
      <c r="J470" s="27"/>
      <c r="K470" s="27"/>
      <c r="L470" s="91" t="str">
        <f>IF( Tarakonesh[[#This Row],[تراکنش]]="", "",IF( Tarakonesh[[#This Row],[تراکنش]]="انتقال",L469,IF(Tarakonesh[[#This Row],[تراکنش]]="دریافت_درآمد",(Tarakonesh[[#This Row],[مبلغ (ریال)]]+IF(Tarakonesh[[#This Row],[تراکنش]]="انتقال",0,L469)),((IF(Tarakonesh[[#This Row],[تراکنش]]="انتقال",0,L469))-Tarakonesh[[#This Row],[مبلغ (ریال)]]))))</f>
        <v/>
      </c>
      <c r="M470" s="31"/>
      <c r="N470" s="31"/>
    </row>
    <row r="471" spans="1:14">
      <c r="A471" s="26">
        <v>464</v>
      </c>
      <c r="B471" s="27"/>
      <c r="C471" s="31"/>
      <c r="D471" s="31"/>
      <c r="E471" s="39"/>
      <c r="F471" s="27"/>
      <c r="G471" s="27"/>
      <c r="H471" s="27"/>
      <c r="I471" s="25"/>
      <c r="J471" s="27"/>
      <c r="K471" s="27"/>
      <c r="L471" s="91" t="str">
        <f>IF( Tarakonesh[[#This Row],[تراکنش]]="", "",IF( Tarakonesh[[#This Row],[تراکنش]]="انتقال",L470,IF(Tarakonesh[[#This Row],[تراکنش]]="دریافت_درآمد",(Tarakonesh[[#This Row],[مبلغ (ریال)]]+IF(Tarakonesh[[#This Row],[تراکنش]]="انتقال",0,L470)),((IF(Tarakonesh[[#This Row],[تراکنش]]="انتقال",0,L470))-Tarakonesh[[#This Row],[مبلغ (ریال)]]))))</f>
        <v/>
      </c>
      <c r="M471" s="31"/>
      <c r="N471" s="31"/>
    </row>
    <row r="472" spans="1:14">
      <c r="A472" s="26">
        <v>465</v>
      </c>
      <c r="B472" s="27"/>
      <c r="C472" s="31"/>
      <c r="D472" s="31"/>
      <c r="E472" s="39"/>
      <c r="F472" s="27"/>
      <c r="G472" s="27"/>
      <c r="H472" s="27"/>
      <c r="I472" s="25"/>
      <c r="J472" s="27"/>
      <c r="K472" s="27"/>
      <c r="L472" s="91" t="str">
        <f>IF( Tarakonesh[[#This Row],[تراکنش]]="", "",IF( Tarakonesh[[#This Row],[تراکنش]]="انتقال",L471,IF(Tarakonesh[[#This Row],[تراکنش]]="دریافت_درآمد",(Tarakonesh[[#This Row],[مبلغ (ریال)]]+IF(Tarakonesh[[#This Row],[تراکنش]]="انتقال",0,L471)),((IF(Tarakonesh[[#This Row],[تراکنش]]="انتقال",0,L471))-Tarakonesh[[#This Row],[مبلغ (ریال)]]))))</f>
        <v/>
      </c>
      <c r="M472" s="31"/>
      <c r="N472" s="31"/>
    </row>
    <row r="473" spans="1:14">
      <c r="A473" s="26">
        <v>466</v>
      </c>
      <c r="B473" s="27"/>
      <c r="C473" s="31"/>
      <c r="D473" s="31"/>
      <c r="E473" s="39"/>
      <c r="F473" s="27"/>
      <c r="G473" s="27"/>
      <c r="H473" s="27"/>
      <c r="I473" s="25"/>
      <c r="J473" s="27"/>
      <c r="K473" s="27"/>
      <c r="L473" s="91" t="str">
        <f>IF( Tarakonesh[[#This Row],[تراکنش]]="", "",IF( Tarakonesh[[#This Row],[تراکنش]]="انتقال",L472,IF(Tarakonesh[[#This Row],[تراکنش]]="دریافت_درآمد",(Tarakonesh[[#This Row],[مبلغ (ریال)]]+IF(Tarakonesh[[#This Row],[تراکنش]]="انتقال",0,L472)),((IF(Tarakonesh[[#This Row],[تراکنش]]="انتقال",0,L472))-Tarakonesh[[#This Row],[مبلغ (ریال)]]))))</f>
        <v/>
      </c>
      <c r="M473" s="31"/>
      <c r="N473" s="31"/>
    </row>
    <row r="474" spans="1:14">
      <c r="A474" s="26">
        <v>467</v>
      </c>
      <c r="B474" s="27"/>
      <c r="C474" s="31"/>
      <c r="D474" s="31"/>
      <c r="E474" s="39"/>
      <c r="F474" s="27"/>
      <c r="G474" s="27"/>
      <c r="H474" s="27"/>
      <c r="I474" s="25"/>
      <c r="J474" s="27"/>
      <c r="K474" s="27"/>
      <c r="L474" s="91" t="str">
        <f>IF( Tarakonesh[[#This Row],[تراکنش]]="", "",IF( Tarakonesh[[#This Row],[تراکنش]]="انتقال",L473,IF(Tarakonesh[[#This Row],[تراکنش]]="دریافت_درآمد",(Tarakonesh[[#This Row],[مبلغ (ریال)]]+IF(Tarakonesh[[#This Row],[تراکنش]]="انتقال",0,L473)),((IF(Tarakonesh[[#This Row],[تراکنش]]="انتقال",0,L473))-Tarakonesh[[#This Row],[مبلغ (ریال)]]))))</f>
        <v/>
      </c>
      <c r="M474" s="31"/>
      <c r="N474" s="31"/>
    </row>
    <row r="475" spans="1:14">
      <c r="A475" s="26">
        <v>468</v>
      </c>
      <c r="B475" s="27"/>
      <c r="C475" s="31"/>
      <c r="D475" s="31"/>
      <c r="E475" s="39"/>
      <c r="F475" s="27"/>
      <c r="G475" s="27"/>
      <c r="H475" s="27"/>
      <c r="I475" s="25"/>
      <c r="J475" s="27"/>
      <c r="K475" s="27"/>
      <c r="L475" s="91" t="str">
        <f>IF( Tarakonesh[[#This Row],[تراکنش]]="", "",IF( Tarakonesh[[#This Row],[تراکنش]]="انتقال",L474,IF(Tarakonesh[[#This Row],[تراکنش]]="دریافت_درآمد",(Tarakonesh[[#This Row],[مبلغ (ریال)]]+IF(Tarakonesh[[#This Row],[تراکنش]]="انتقال",0,L474)),((IF(Tarakonesh[[#This Row],[تراکنش]]="انتقال",0,L474))-Tarakonesh[[#This Row],[مبلغ (ریال)]]))))</f>
        <v/>
      </c>
      <c r="M475" s="31"/>
      <c r="N475" s="31"/>
    </row>
    <row r="476" spans="1:14">
      <c r="A476" s="26">
        <v>469</v>
      </c>
      <c r="B476" s="27"/>
      <c r="C476" s="31"/>
      <c r="D476" s="31"/>
      <c r="E476" s="39"/>
      <c r="F476" s="27"/>
      <c r="G476" s="27"/>
      <c r="H476" s="27"/>
      <c r="I476" s="25"/>
      <c r="J476" s="27"/>
      <c r="K476" s="27"/>
      <c r="L476" s="91" t="str">
        <f>IF( Tarakonesh[[#This Row],[تراکنش]]="", "",IF( Tarakonesh[[#This Row],[تراکنش]]="انتقال",L475,IF(Tarakonesh[[#This Row],[تراکنش]]="دریافت_درآمد",(Tarakonesh[[#This Row],[مبلغ (ریال)]]+IF(Tarakonesh[[#This Row],[تراکنش]]="انتقال",0,L475)),((IF(Tarakonesh[[#This Row],[تراکنش]]="انتقال",0,L475))-Tarakonesh[[#This Row],[مبلغ (ریال)]]))))</f>
        <v/>
      </c>
      <c r="M476" s="31"/>
      <c r="N476" s="31"/>
    </row>
    <row r="477" spans="1:14">
      <c r="A477" s="26">
        <v>470</v>
      </c>
      <c r="B477" s="27"/>
      <c r="C477" s="31"/>
      <c r="D477" s="31"/>
      <c r="E477" s="39"/>
      <c r="F477" s="27"/>
      <c r="G477" s="27"/>
      <c r="H477" s="27"/>
      <c r="I477" s="25"/>
      <c r="J477" s="27"/>
      <c r="K477" s="27"/>
      <c r="L477" s="91" t="str">
        <f>IF( Tarakonesh[[#This Row],[تراکنش]]="", "",IF( Tarakonesh[[#This Row],[تراکنش]]="انتقال",L476,IF(Tarakonesh[[#This Row],[تراکنش]]="دریافت_درآمد",(Tarakonesh[[#This Row],[مبلغ (ریال)]]+IF(Tarakonesh[[#This Row],[تراکنش]]="انتقال",0,L476)),((IF(Tarakonesh[[#This Row],[تراکنش]]="انتقال",0,L476))-Tarakonesh[[#This Row],[مبلغ (ریال)]]))))</f>
        <v/>
      </c>
      <c r="M477" s="31"/>
      <c r="N477" s="31"/>
    </row>
    <row r="478" spans="1:14">
      <c r="A478" s="26">
        <v>471</v>
      </c>
      <c r="B478" s="27"/>
      <c r="C478" s="31"/>
      <c r="D478" s="31"/>
      <c r="E478" s="39"/>
      <c r="F478" s="27"/>
      <c r="G478" s="27"/>
      <c r="H478" s="27"/>
      <c r="I478" s="25"/>
      <c r="J478" s="27"/>
      <c r="K478" s="27"/>
      <c r="L478" s="91" t="str">
        <f>IF( Tarakonesh[[#This Row],[تراکنش]]="", "",IF( Tarakonesh[[#This Row],[تراکنش]]="انتقال",L477,IF(Tarakonesh[[#This Row],[تراکنش]]="دریافت_درآمد",(Tarakonesh[[#This Row],[مبلغ (ریال)]]+IF(Tarakonesh[[#This Row],[تراکنش]]="انتقال",0,L477)),((IF(Tarakonesh[[#This Row],[تراکنش]]="انتقال",0,L477))-Tarakonesh[[#This Row],[مبلغ (ریال)]]))))</f>
        <v/>
      </c>
      <c r="M478" s="31"/>
      <c r="N478" s="31"/>
    </row>
    <row r="479" spans="1:14">
      <c r="A479" s="26">
        <v>472</v>
      </c>
      <c r="B479" s="27"/>
      <c r="C479" s="31"/>
      <c r="D479" s="31"/>
      <c r="E479" s="39"/>
      <c r="F479" s="27"/>
      <c r="G479" s="27"/>
      <c r="H479" s="27"/>
      <c r="I479" s="25"/>
      <c r="J479" s="27"/>
      <c r="K479" s="27"/>
      <c r="L479" s="91" t="str">
        <f>IF( Tarakonesh[[#This Row],[تراکنش]]="", "",IF( Tarakonesh[[#This Row],[تراکنش]]="انتقال",L478,IF(Tarakonesh[[#This Row],[تراکنش]]="دریافت_درآمد",(Tarakonesh[[#This Row],[مبلغ (ریال)]]+IF(Tarakonesh[[#This Row],[تراکنش]]="انتقال",0,L478)),((IF(Tarakonesh[[#This Row],[تراکنش]]="انتقال",0,L478))-Tarakonesh[[#This Row],[مبلغ (ریال)]]))))</f>
        <v/>
      </c>
      <c r="M479" s="31"/>
      <c r="N479" s="31"/>
    </row>
    <row r="480" spans="1:14">
      <c r="A480" s="26">
        <v>473</v>
      </c>
      <c r="B480" s="27"/>
      <c r="C480" s="31"/>
      <c r="D480" s="31"/>
      <c r="E480" s="39"/>
      <c r="F480" s="27"/>
      <c r="G480" s="27"/>
      <c r="H480" s="27"/>
      <c r="I480" s="25"/>
      <c r="J480" s="27"/>
      <c r="K480" s="27"/>
      <c r="L480" s="91" t="str">
        <f>IF( Tarakonesh[[#This Row],[تراکنش]]="", "",IF( Tarakonesh[[#This Row],[تراکنش]]="انتقال",L479,IF(Tarakonesh[[#This Row],[تراکنش]]="دریافت_درآمد",(Tarakonesh[[#This Row],[مبلغ (ریال)]]+IF(Tarakonesh[[#This Row],[تراکنش]]="انتقال",0,L479)),((IF(Tarakonesh[[#This Row],[تراکنش]]="انتقال",0,L479))-Tarakonesh[[#This Row],[مبلغ (ریال)]]))))</f>
        <v/>
      </c>
      <c r="M480" s="31"/>
      <c r="N480" s="31"/>
    </row>
    <row r="481" spans="1:14">
      <c r="A481" s="26">
        <v>474</v>
      </c>
      <c r="B481" s="27"/>
      <c r="C481" s="31"/>
      <c r="D481" s="31"/>
      <c r="E481" s="39"/>
      <c r="F481" s="27"/>
      <c r="G481" s="27"/>
      <c r="H481" s="27"/>
      <c r="I481" s="25"/>
      <c r="J481" s="27"/>
      <c r="K481" s="27"/>
      <c r="L481" s="91" t="str">
        <f>IF( Tarakonesh[[#This Row],[تراکنش]]="", "",IF( Tarakonesh[[#This Row],[تراکنش]]="انتقال",L480,IF(Tarakonesh[[#This Row],[تراکنش]]="دریافت_درآمد",(Tarakonesh[[#This Row],[مبلغ (ریال)]]+IF(Tarakonesh[[#This Row],[تراکنش]]="انتقال",0,L480)),((IF(Tarakonesh[[#This Row],[تراکنش]]="انتقال",0,L480))-Tarakonesh[[#This Row],[مبلغ (ریال)]]))))</f>
        <v/>
      </c>
      <c r="M481" s="31"/>
      <c r="N481" s="31"/>
    </row>
    <row r="482" spans="1:14">
      <c r="A482" s="26">
        <v>475</v>
      </c>
      <c r="B482" s="27"/>
      <c r="C482" s="31"/>
      <c r="D482" s="31"/>
      <c r="E482" s="39"/>
      <c r="F482" s="27"/>
      <c r="G482" s="27"/>
      <c r="H482" s="27"/>
      <c r="I482" s="25"/>
      <c r="J482" s="27"/>
      <c r="K482" s="27"/>
      <c r="L482" s="91" t="str">
        <f>IF( Tarakonesh[[#This Row],[تراکنش]]="", "",IF( Tarakonesh[[#This Row],[تراکنش]]="انتقال",L481,IF(Tarakonesh[[#This Row],[تراکنش]]="دریافت_درآمد",(Tarakonesh[[#This Row],[مبلغ (ریال)]]+IF(Tarakonesh[[#This Row],[تراکنش]]="انتقال",0,L481)),((IF(Tarakonesh[[#This Row],[تراکنش]]="انتقال",0,L481))-Tarakonesh[[#This Row],[مبلغ (ریال)]]))))</f>
        <v/>
      </c>
      <c r="M482" s="31"/>
      <c r="N482" s="31"/>
    </row>
    <row r="483" spans="1:14">
      <c r="A483" s="26">
        <v>476</v>
      </c>
      <c r="B483" s="27"/>
      <c r="C483" s="31"/>
      <c r="D483" s="31"/>
      <c r="E483" s="39"/>
      <c r="F483" s="27"/>
      <c r="G483" s="27"/>
      <c r="H483" s="27"/>
      <c r="I483" s="25"/>
      <c r="J483" s="27"/>
      <c r="K483" s="27"/>
      <c r="L483" s="91" t="str">
        <f>IF( Tarakonesh[[#This Row],[تراکنش]]="", "",IF( Tarakonesh[[#This Row],[تراکنش]]="انتقال",L482,IF(Tarakonesh[[#This Row],[تراکنش]]="دریافت_درآمد",(Tarakonesh[[#This Row],[مبلغ (ریال)]]+IF(Tarakonesh[[#This Row],[تراکنش]]="انتقال",0,L482)),((IF(Tarakonesh[[#This Row],[تراکنش]]="انتقال",0,L482))-Tarakonesh[[#This Row],[مبلغ (ریال)]]))))</f>
        <v/>
      </c>
      <c r="M483" s="31"/>
      <c r="N483" s="31"/>
    </row>
    <row r="484" spans="1:14">
      <c r="A484" s="26">
        <v>477</v>
      </c>
      <c r="B484" s="27"/>
      <c r="C484" s="31"/>
      <c r="D484" s="31"/>
      <c r="E484" s="39"/>
      <c r="F484" s="27"/>
      <c r="G484" s="27"/>
      <c r="H484" s="27"/>
      <c r="I484" s="25"/>
      <c r="J484" s="27"/>
      <c r="K484" s="27"/>
      <c r="L484" s="91" t="str">
        <f>IF( Tarakonesh[[#This Row],[تراکنش]]="", "",IF( Tarakonesh[[#This Row],[تراکنش]]="انتقال",L483,IF(Tarakonesh[[#This Row],[تراکنش]]="دریافت_درآمد",(Tarakonesh[[#This Row],[مبلغ (ریال)]]+IF(Tarakonesh[[#This Row],[تراکنش]]="انتقال",0,L483)),((IF(Tarakonesh[[#This Row],[تراکنش]]="انتقال",0,L483))-Tarakonesh[[#This Row],[مبلغ (ریال)]]))))</f>
        <v/>
      </c>
      <c r="M484" s="31"/>
      <c r="N484" s="31"/>
    </row>
    <row r="485" spans="1:14">
      <c r="A485" s="26">
        <v>478</v>
      </c>
      <c r="B485" s="27"/>
      <c r="C485" s="31"/>
      <c r="D485" s="31"/>
      <c r="E485" s="39"/>
      <c r="F485" s="27"/>
      <c r="G485" s="27"/>
      <c r="H485" s="27"/>
      <c r="I485" s="25"/>
      <c r="J485" s="27"/>
      <c r="K485" s="27"/>
      <c r="L485" s="91" t="str">
        <f>IF( Tarakonesh[[#This Row],[تراکنش]]="", "",IF( Tarakonesh[[#This Row],[تراکنش]]="انتقال",L484,IF(Tarakonesh[[#This Row],[تراکنش]]="دریافت_درآمد",(Tarakonesh[[#This Row],[مبلغ (ریال)]]+IF(Tarakonesh[[#This Row],[تراکنش]]="انتقال",0,L484)),((IF(Tarakonesh[[#This Row],[تراکنش]]="انتقال",0,L484))-Tarakonesh[[#This Row],[مبلغ (ریال)]]))))</f>
        <v/>
      </c>
      <c r="M485" s="31"/>
      <c r="N485" s="31"/>
    </row>
    <row r="486" spans="1:14">
      <c r="A486" s="26">
        <v>479</v>
      </c>
      <c r="B486" s="27"/>
      <c r="C486" s="31"/>
      <c r="D486" s="31"/>
      <c r="E486" s="39"/>
      <c r="F486" s="27"/>
      <c r="G486" s="27"/>
      <c r="H486" s="27"/>
      <c r="I486" s="25"/>
      <c r="J486" s="27"/>
      <c r="K486" s="27"/>
      <c r="L486" s="91" t="str">
        <f>IF( Tarakonesh[[#This Row],[تراکنش]]="", "",IF( Tarakonesh[[#This Row],[تراکنش]]="انتقال",L485,IF(Tarakonesh[[#This Row],[تراکنش]]="دریافت_درآمد",(Tarakonesh[[#This Row],[مبلغ (ریال)]]+IF(Tarakonesh[[#This Row],[تراکنش]]="انتقال",0,L485)),((IF(Tarakonesh[[#This Row],[تراکنش]]="انتقال",0,L485))-Tarakonesh[[#This Row],[مبلغ (ریال)]]))))</f>
        <v/>
      </c>
      <c r="M486" s="31"/>
      <c r="N486" s="31"/>
    </row>
    <row r="487" spans="1:14">
      <c r="A487" s="26">
        <v>480</v>
      </c>
      <c r="B487" s="27"/>
      <c r="C487" s="31"/>
      <c r="D487" s="31"/>
      <c r="E487" s="39"/>
      <c r="F487" s="27"/>
      <c r="G487" s="27"/>
      <c r="H487" s="27"/>
      <c r="I487" s="25"/>
      <c r="J487" s="27"/>
      <c r="K487" s="27"/>
      <c r="L487" s="91" t="str">
        <f>IF( Tarakonesh[[#This Row],[تراکنش]]="", "",IF( Tarakonesh[[#This Row],[تراکنش]]="انتقال",L486,IF(Tarakonesh[[#This Row],[تراکنش]]="دریافت_درآمد",(Tarakonesh[[#This Row],[مبلغ (ریال)]]+IF(Tarakonesh[[#This Row],[تراکنش]]="انتقال",0,L486)),((IF(Tarakonesh[[#This Row],[تراکنش]]="انتقال",0,L486))-Tarakonesh[[#This Row],[مبلغ (ریال)]]))))</f>
        <v/>
      </c>
      <c r="M487" s="31"/>
      <c r="N487" s="31"/>
    </row>
    <row r="488" spans="1:14">
      <c r="A488" s="26">
        <v>481</v>
      </c>
      <c r="B488" s="27"/>
      <c r="C488" s="31"/>
      <c r="D488" s="31"/>
      <c r="E488" s="39"/>
      <c r="F488" s="27"/>
      <c r="G488" s="27"/>
      <c r="H488" s="27"/>
      <c r="I488" s="25"/>
      <c r="J488" s="27"/>
      <c r="K488" s="27"/>
      <c r="L488" s="91" t="str">
        <f>IF( Tarakonesh[[#This Row],[تراکنش]]="", "",IF( Tarakonesh[[#This Row],[تراکنش]]="انتقال",L487,IF(Tarakonesh[[#This Row],[تراکنش]]="دریافت_درآمد",(Tarakonesh[[#This Row],[مبلغ (ریال)]]+IF(Tarakonesh[[#This Row],[تراکنش]]="انتقال",0,L487)),((IF(Tarakonesh[[#This Row],[تراکنش]]="انتقال",0,L487))-Tarakonesh[[#This Row],[مبلغ (ریال)]]))))</f>
        <v/>
      </c>
      <c r="M488" s="31"/>
      <c r="N488" s="31"/>
    </row>
    <row r="489" spans="1:14">
      <c r="A489" s="26">
        <v>482</v>
      </c>
      <c r="B489" s="27"/>
      <c r="C489" s="31"/>
      <c r="D489" s="31"/>
      <c r="E489" s="39"/>
      <c r="F489" s="27"/>
      <c r="G489" s="27"/>
      <c r="H489" s="27"/>
      <c r="I489" s="25"/>
      <c r="J489" s="27"/>
      <c r="K489" s="27"/>
      <c r="L489" s="91" t="str">
        <f>IF( Tarakonesh[[#This Row],[تراکنش]]="", "",IF( Tarakonesh[[#This Row],[تراکنش]]="انتقال",L488,IF(Tarakonesh[[#This Row],[تراکنش]]="دریافت_درآمد",(Tarakonesh[[#This Row],[مبلغ (ریال)]]+IF(Tarakonesh[[#This Row],[تراکنش]]="انتقال",0,L488)),((IF(Tarakonesh[[#This Row],[تراکنش]]="انتقال",0,L488))-Tarakonesh[[#This Row],[مبلغ (ریال)]]))))</f>
        <v/>
      </c>
      <c r="M489" s="31"/>
      <c r="N489" s="31"/>
    </row>
    <row r="490" spans="1:14">
      <c r="A490" s="26">
        <v>483</v>
      </c>
      <c r="B490" s="27"/>
      <c r="C490" s="31"/>
      <c r="D490" s="31"/>
      <c r="E490" s="39"/>
      <c r="F490" s="27"/>
      <c r="G490" s="27"/>
      <c r="H490" s="27"/>
      <c r="I490" s="25"/>
      <c r="J490" s="27"/>
      <c r="K490" s="27"/>
      <c r="L490" s="91" t="str">
        <f>IF( Tarakonesh[[#This Row],[تراکنش]]="", "",IF( Tarakonesh[[#This Row],[تراکنش]]="انتقال",L489,IF(Tarakonesh[[#This Row],[تراکنش]]="دریافت_درآمد",(Tarakonesh[[#This Row],[مبلغ (ریال)]]+IF(Tarakonesh[[#This Row],[تراکنش]]="انتقال",0,L489)),((IF(Tarakonesh[[#This Row],[تراکنش]]="انتقال",0,L489))-Tarakonesh[[#This Row],[مبلغ (ریال)]]))))</f>
        <v/>
      </c>
      <c r="M490" s="31"/>
      <c r="N490" s="31"/>
    </row>
    <row r="491" spans="1:14">
      <c r="A491" s="26">
        <v>484</v>
      </c>
      <c r="B491" s="27"/>
      <c r="C491" s="31"/>
      <c r="D491" s="31"/>
      <c r="E491" s="39"/>
      <c r="F491" s="27"/>
      <c r="G491" s="27"/>
      <c r="H491" s="27"/>
      <c r="I491" s="25"/>
      <c r="J491" s="27"/>
      <c r="K491" s="27"/>
      <c r="L491" s="91" t="str">
        <f>IF( Tarakonesh[[#This Row],[تراکنش]]="", "",IF( Tarakonesh[[#This Row],[تراکنش]]="انتقال",L490,IF(Tarakonesh[[#This Row],[تراکنش]]="دریافت_درآمد",(Tarakonesh[[#This Row],[مبلغ (ریال)]]+IF(Tarakonesh[[#This Row],[تراکنش]]="انتقال",0,L490)),((IF(Tarakonesh[[#This Row],[تراکنش]]="انتقال",0,L490))-Tarakonesh[[#This Row],[مبلغ (ریال)]]))))</f>
        <v/>
      </c>
      <c r="M491" s="31"/>
      <c r="N491" s="31"/>
    </row>
    <row r="492" spans="1:14">
      <c r="A492" s="26">
        <v>485</v>
      </c>
      <c r="B492" s="27"/>
      <c r="C492" s="31"/>
      <c r="D492" s="31"/>
      <c r="E492" s="39"/>
      <c r="F492" s="27"/>
      <c r="G492" s="27"/>
      <c r="H492" s="27"/>
      <c r="I492" s="25"/>
      <c r="J492" s="27"/>
      <c r="K492" s="27"/>
      <c r="L492" s="91" t="str">
        <f>IF( Tarakonesh[[#This Row],[تراکنش]]="", "",IF( Tarakonesh[[#This Row],[تراکنش]]="انتقال",L491,IF(Tarakonesh[[#This Row],[تراکنش]]="دریافت_درآمد",(Tarakonesh[[#This Row],[مبلغ (ریال)]]+IF(Tarakonesh[[#This Row],[تراکنش]]="انتقال",0,L491)),((IF(Tarakonesh[[#This Row],[تراکنش]]="انتقال",0,L491))-Tarakonesh[[#This Row],[مبلغ (ریال)]]))))</f>
        <v/>
      </c>
      <c r="M492" s="31"/>
      <c r="N492" s="31"/>
    </row>
    <row r="493" spans="1:14">
      <c r="A493" s="26">
        <v>486</v>
      </c>
      <c r="B493" s="27"/>
      <c r="C493" s="31"/>
      <c r="D493" s="31"/>
      <c r="E493" s="39"/>
      <c r="F493" s="27"/>
      <c r="G493" s="27"/>
      <c r="H493" s="27"/>
      <c r="I493" s="25"/>
      <c r="J493" s="27"/>
      <c r="K493" s="27"/>
      <c r="L493" s="91" t="str">
        <f>IF( Tarakonesh[[#This Row],[تراکنش]]="", "",IF( Tarakonesh[[#This Row],[تراکنش]]="انتقال",L492,IF(Tarakonesh[[#This Row],[تراکنش]]="دریافت_درآمد",(Tarakonesh[[#This Row],[مبلغ (ریال)]]+IF(Tarakonesh[[#This Row],[تراکنش]]="انتقال",0,L492)),((IF(Tarakonesh[[#This Row],[تراکنش]]="انتقال",0,L492))-Tarakonesh[[#This Row],[مبلغ (ریال)]]))))</f>
        <v/>
      </c>
      <c r="M493" s="31"/>
      <c r="N493" s="31"/>
    </row>
    <row r="494" spans="1:14">
      <c r="A494" s="26">
        <v>487</v>
      </c>
      <c r="B494" s="27"/>
      <c r="C494" s="31"/>
      <c r="D494" s="31"/>
      <c r="E494" s="39"/>
      <c r="F494" s="27"/>
      <c r="G494" s="27"/>
      <c r="H494" s="27"/>
      <c r="I494" s="25"/>
      <c r="J494" s="27"/>
      <c r="K494" s="27"/>
      <c r="L494" s="91" t="str">
        <f>IF( Tarakonesh[[#This Row],[تراکنش]]="", "",IF( Tarakonesh[[#This Row],[تراکنش]]="انتقال",L493,IF(Tarakonesh[[#This Row],[تراکنش]]="دریافت_درآمد",(Tarakonesh[[#This Row],[مبلغ (ریال)]]+IF(Tarakonesh[[#This Row],[تراکنش]]="انتقال",0,L493)),((IF(Tarakonesh[[#This Row],[تراکنش]]="انتقال",0,L493))-Tarakonesh[[#This Row],[مبلغ (ریال)]]))))</f>
        <v/>
      </c>
      <c r="M494" s="31"/>
      <c r="N494" s="31"/>
    </row>
    <row r="495" spans="1:14">
      <c r="A495" s="26">
        <v>488</v>
      </c>
      <c r="B495" s="27"/>
      <c r="C495" s="31"/>
      <c r="D495" s="31"/>
      <c r="E495" s="39"/>
      <c r="F495" s="27"/>
      <c r="G495" s="27"/>
      <c r="H495" s="27"/>
      <c r="I495" s="25"/>
      <c r="J495" s="27"/>
      <c r="K495" s="27"/>
      <c r="L495" s="91" t="str">
        <f>IF( Tarakonesh[[#This Row],[تراکنش]]="", "",IF( Tarakonesh[[#This Row],[تراکنش]]="انتقال",L494,IF(Tarakonesh[[#This Row],[تراکنش]]="دریافت_درآمد",(Tarakonesh[[#This Row],[مبلغ (ریال)]]+IF(Tarakonesh[[#This Row],[تراکنش]]="انتقال",0,L494)),((IF(Tarakonesh[[#This Row],[تراکنش]]="انتقال",0,L494))-Tarakonesh[[#This Row],[مبلغ (ریال)]]))))</f>
        <v/>
      </c>
      <c r="M495" s="31"/>
      <c r="N495" s="31"/>
    </row>
    <row r="496" spans="1:14">
      <c r="A496" s="26">
        <v>489</v>
      </c>
      <c r="B496" s="27"/>
      <c r="C496" s="31"/>
      <c r="D496" s="31"/>
      <c r="E496" s="39"/>
      <c r="F496" s="27"/>
      <c r="G496" s="27"/>
      <c r="H496" s="27"/>
      <c r="I496" s="25"/>
      <c r="J496" s="27"/>
      <c r="K496" s="27"/>
      <c r="L496" s="91" t="str">
        <f>IF( Tarakonesh[[#This Row],[تراکنش]]="", "",IF( Tarakonesh[[#This Row],[تراکنش]]="انتقال",L495,IF(Tarakonesh[[#This Row],[تراکنش]]="دریافت_درآمد",(Tarakonesh[[#This Row],[مبلغ (ریال)]]+IF(Tarakonesh[[#This Row],[تراکنش]]="انتقال",0,L495)),((IF(Tarakonesh[[#This Row],[تراکنش]]="انتقال",0,L495))-Tarakonesh[[#This Row],[مبلغ (ریال)]]))))</f>
        <v/>
      </c>
      <c r="M496" s="31"/>
      <c r="N496" s="31"/>
    </row>
    <row r="497" spans="1:14">
      <c r="A497" s="26">
        <v>490</v>
      </c>
      <c r="B497" s="27"/>
      <c r="C497" s="31"/>
      <c r="D497" s="31"/>
      <c r="E497" s="39"/>
      <c r="F497" s="27"/>
      <c r="G497" s="27"/>
      <c r="H497" s="27"/>
      <c r="I497" s="25"/>
      <c r="J497" s="27"/>
      <c r="K497" s="27"/>
      <c r="L497" s="91" t="str">
        <f>IF( Tarakonesh[[#This Row],[تراکنش]]="", "",IF( Tarakonesh[[#This Row],[تراکنش]]="انتقال",L496,IF(Tarakonesh[[#This Row],[تراکنش]]="دریافت_درآمد",(Tarakonesh[[#This Row],[مبلغ (ریال)]]+IF(Tarakonesh[[#This Row],[تراکنش]]="انتقال",0,L496)),((IF(Tarakonesh[[#This Row],[تراکنش]]="انتقال",0,L496))-Tarakonesh[[#This Row],[مبلغ (ریال)]]))))</f>
        <v/>
      </c>
      <c r="M497" s="31"/>
      <c r="N497" s="31"/>
    </row>
    <row r="498" spans="1:14">
      <c r="A498" s="26">
        <v>491</v>
      </c>
      <c r="B498" s="27"/>
      <c r="C498" s="31"/>
      <c r="D498" s="31"/>
      <c r="E498" s="39"/>
      <c r="F498" s="27"/>
      <c r="G498" s="27"/>
      <c r="H498" s="27"/>
      <c r="I498" s="25"/>
      <c r="J498" s="27"/>
      <c r="K498" s="27"/>
      <c r="L498" s="91" t="str">
        <f>IF( Tarakonesh[[#This Row],[تراکنش]]="", "",IF( Tarakonesh[[#This Row],[تراکنش]]="انتقال",L497,IF(Tarakonesh[[#This Row],[تراکنش]]="دریافت_درآمد",(Tarakonesh[[#This Row],[مبلغ (ریال)]]+IF(Tarakonesh[[#This Row],[تراکنش]]="انتقال",0,L497)),((IF(Tarakonesh[[#This Row],[تراکنش]]="انتقال",0,L497))-Tarakonesh[[#This Row],[مبلغ (ریال)]]))))</f>
        <v/>
      </c>
      <c r="M498" s="31"/>
      <c r="N498" s="31"/>
    </row>
    <row r="499" spans="1:14">
      <c r="A499" s="26">
        <v>492</v>
      </c>
      <c r="B499" s="27"/>
      <c r="C499" s="31"/>
      <c r="D499" s="31"/>
      <c r="E499" s="39"/>
      <c r="F499" s="27"/>
      <c r="G499" s="27"/>
      <c r="H499" s="27"/>
      <c r="I499" s="25"/>
      <c r="J499" s="27"/>
      <c r="K499" s="27"/>
      <c r="L499" s="91" t="str">
        <f>IF( Tarakonesh[[#This Row],[تراکنش]]="", "",IF( Tarakonesh[[#This Row],[تراکنش]]="انتقال",L498,IF(Tarakonesh[[#This Row],[تراکنش]]="دریافت_درآمد",(Tarakonesh[[#This Row],[مبلغ (ریال)]]+IF(Tarakonesh[[#This Row],[تراکنش]]="انتقال",0,L498)),((IF(Tarakonesh[[#This Row],[تراکنش]]="انتقال",0,L498))-Tarakonesh[[#This Row],[مبلغ (ریال)]]))))</f>
        <v/>
      </c>
      <c r="M499" s="31"/>
      <c r="N499" s="31"/>
    </row>
    <row r="500" spans="1:14">
      <c r="A500" s="26">
        <v>493</v>
      </c>
      <c r="B500" s="27"/>
      <c r="C500" s="31"/>
      <c r="D500" s="31"/>
      <c r="E500" s="39"/>
      <c r="F500" s="27"/>
      <c r="G500" s="27"/>
      <c r="H500" s="27"/>
      <c r="I500" s="25"/>
      <c r="J500" s="27"/>
      <c r="K500" s="27"/>
      <c r="L500" s="91" t="str">
        <f>IF( Tarakonesh[[#This Row],[تراکنش]]="", "",IF( Tarakonesh[[#This Row],[تراکنش]]="انتقال",L499,IF(Tarakonesh[[#This Row],[تراکنش]]="دریافت_درآمد",(Tarakonesh[[#This Row],[مبلغ (ریال)]]+IF(Tarakonesh[[#This Row],[تراکنش]]="انتقال",0,L499)),((IF(Tarakonesh[[#This Row],[تراکنش]]="انتقال",0,L499))-Tarakonesh[[#This Row],[مبلغ (ریال)]]))))</f>
        <v/>
      </c>
      <c r="M500" s="31"/>
      <c r="N500" s="31"/>
    </row>
    <row r="501" spans="1:14">
      <c r="A501" s="26">
        <v>494</v>
      </c>
      <c r="B501" s="27"/>
      <c r="C501" s="31"/>
      <c r="D501" s="31"/>
      <c r="E501" s="39"/>
      <c r="F501" s="27"/>
      <c r="G501" s="27"/>
      <c r="H501" s="27"/>
      <c r="I501" s="25"/>
      <c r="J501" s="27"/>
      <c r="K501" s="27"/>
      <c r="L501" s="91" t="str">
        <f>IF( Tarakonesh[[#This Row],[تراکنش]]="", "",IF( Tarakonesh[[#This Row],[تراکنش]]="انتقال",L500,IF(Tarakonesh[[#This Row],[تراکنش]]="دریافت_درآمد",(Tarakonesh[[#This Row],[مبلغ (ریال)]]+IF(Tarakonesh[[#This Row],[تراکنش]]="انتقال",0,L500)),((IF(Tarakonesh[[#This Row],[تراکنش]]="انتقال",0,L500))-Tarakonesh[[#This Row],[مبلغ (ریال)]]))))</f>
        <v/>
      </c>
      <c r="M501" s="31"/>
      <c r="N501" s="31"/>
    </row>
    <row r="502" spans="1:14">
      <c r="A502" s="26">
        <v>495</v>
      </c>
      <c r="B502" s="27"/>
      <c r="C502" s="31"/>
      <c r="D502" s="31"/>
      <c r="E502" s="39"/>
      <c r="F502" s="27"/>
      <c r="G502" s="27"/>
      <c r="H502" s="27"/>
      <c r="I502" s="25"/>
      <c r="J502" s="27"/>
      <c r="K502" s="27"/>
      <c r="L502" s="91" t="str">
        <f>IF( Tarakonesh[[#This Row],[تراکنش]]="", "",IF( Tarakonesh[[#This Row],[تراکنش]]="انتقال",L501,IF(Tarakonesh[[#This Row],[تراکنش]]="دریافت_درآمد",(Tarakonesh[[#This Row],[مبلغ (ریال)]]+IF(Tarakonesh[[#This Row],[تراکنش]]="انتقال",0,L501)),((IF(Tarakonesh[[#This Row],[تراکنش]]="انتقال",0,L501))-Tarakonesh[[#This Row],[مبلغ (ریال)]]))))</f>
        <v/>
      </c>
      <c r="M502" s="31"/>
      <c r="N502" s="31"/>
    </row>
    <row r="503" spans="1:14">
      <c r="A503" s="26">
        <v>496</v>
      </c>
      <c r="B503" s="27"/>
      <c r="C503" s="31"/>
      <c r="D503" s="31"/>
      <c r="E503" s="39"/>
      <c r="F503" s="27"/>
      <c r="G503" s="27"/>
      <c r="H503" s="27"/>
      <c r="I503" s="25"/>
      <c r="J503" s="27"/>
      <c r="K503" s="27"/>
      <c r="L503" s="91" t="str">
        <f>IF( Tarakonesh[[#This Row],[تراکنش]]="", "",IF( Tarakonesh[[#This Row],[تراکنش]]="انتقال",L502,IF(Tarakonesh[[#This Row],[تراکنش]]="دریافت_درآمد",(Tarakonesh[[#This Row],[مبلغ (ریال)]]+IF(Tarakonesh[[#This Row],[تراکنش]]="انتقال",0,L502)),((IF(Tarakonesh[[#This Row],[تراکنش]]="انتقال",0,L502))-Tarakonesh[[#This Row],[مبلغ (ریال)]]))))</f>
        <v/>
      </c>
      <c r="M503" s="31"/>
      <c r="N503" s="31"/>
    </row>
    <row r="504" spans="1:14">
      <c r="A504" s="26">
        <v>497</v>
      </c>
      <c r="B504" s="27"/>
      <c r="C504" s="31"/>
      <c r="D504" s="31"/>
      <c r="E504" s="39"/>
      <c r="F504" s="27"/>
      <c r="G504" s="27"/>
      <c r="H504" s="27"/>
      <c r="I504" s="25"/>
      <c r="J504" s="27"/>
      <c r="K504" s="27"/>
      <c r="L504" s="91" t="str">
        <f>IF( Tarakonesh[[#This Row],[تراکنش]]="", "",IF( Tarakonesh[[#This Row],[تراکنش]]="انتقال",L503,IF(Tarakonesh[[#This Row],[تراکنش]]="دریافت_درآمد",(Tarakonesh[[#This Row],[مبلغ (ریال)]]+IF(Tarakonesh[[#This Row],[تراکنش]]="انتقال",0,L503)),((IF(Tarakonesh[[#This Row],[تراکنش]]="انتقال",0,L503))-Tarakonesh[[#This Row],[مبلغ (ریال)]]))))</f>
        <v/>
      </c>
      <c r="M504" s="31"/>
      <c r="N504" s="31"/>
    </row>
    <row r="505" spans="1:14">
      <c r="A505" s="26">
        <v>498</v>
      </c>
      <c r="B505" s="27"/>
      <c r="C505" s="31"/>
      <c r="D505" s="31"/>
      <c r="E505" s="39"/>
      <c r="F505" s="27"/>
      <c r="G505" s="27"/>
      <c r="H505" s="27"/>
      <c r="I505" s="25"/>
      <c r="J505" s="27"/>
      <c r="K505" s="27"/>
      <c r="L505" s="91" t="str">
        <f>IF( Tarakonesh[[#This Row],[تراکنش]]="", "",IF( Tarakonesh[[#This Row],[تراکنش]]="انتقال",L504,IF(Tarakonesh[[#This Row],[تراکنش]]="دریافت_درآمد",(Tarakonesh[[#This Row],[مبلغ (ریال)]]+IF(Tarakonesh[[#This Row],[تراکنش]]="انتقال",0,L504)),((IF(Tarakonesh[[#This Row],[تراکنش]]="انتقال",0,L504))-Tarakonesh[[#This Row],[مبلغ (ریال)]]))))</f>
        <v/>
      </c>
      <c r="M505" s="31"/>
      <c r="N505" s="31"/>
    </row>
    <row r="506" spans="1:14">
      <c r="A506" s="26">
        <v>499</v>
      </c>
      <c r="B506" s="27"/>
      <c r="C506" s="31"/>
      <c r="D506" s="31"/>
      <c r="E506" s="39"/>
      <c r="F506" s="27"/>
      <c r="G506" s="27"/>
      <c r="H506" s="27"/>
      <c r="I506" s="25"/>
      <c r="J506" s="27"/>
      <c r="K506" s="27"/>
      <c r="L506" s="91" t="str">
        <f>IF( Tarakonesh[[#This Row],[تراکنش]]="", "",IF( Tarakonesh[[#This Row],[تراکنش]]="انتقال",L505,IF(Tarakonesh[[#This Row],[تراکنش]]="دریافت_درآمد",(Tarakonesh[[#This Row],[مبلغ (ریال)]]+IF(Tarakonesh[[#This Row],[تراکنش]]="انتقال",0,L505)),((IF(Tarakonesh[[#This Row],[تراکنش]]="انتقال",0,L505))-Tarakonesh[[#This Row],[مبلغ (ریال)]]))))</f>
        <v/>
      </c>
      <c r="M506" s="31"/>
      <c r="N506" s="31"/>
    </row>
    <row r="507" spans="1:14">
      <c r="A507" s="26">
        <v>500</v>
      </c>
      <c r="B507" s="27"/>
      <c r="C507" s="31"/>
      <c r="D507" s="31"/>
      <c r="E507" s="39"/>
      <c r="F507" s="27"/>
      <c r="G507" s="27"/>
      <c r="H507" s="27"/>
      <c r="I507" s="25"/>
      <c r="J507" s="27"/>
      <c r="K507" s="27"/>
      <c r="L507" s="91" t="str">
        <f>IF( Tarakonesh[[#This Row],[تراکنش]]="", "",IF( Tarakonesh[[#This Row],[تراکنش]]="انتقال",L506,IF(Tarakonesh[[#This Row],[تراکنش]]="دریافت_درآمد",(Tarakonesh[[#This Row],[مبلغ (ریال)]]+IF(Tarakonesh[[#This Row],[تراکنش]]="انتقال",0,L506)),((IF(Tarakonesh[[#This Row],[تراکنش]]="انتقال",0,L506))-Tarakonesh[[#This Row],[مبلغ (ریال)]]))))</f>
        <v/>
      </c>
      <c r="M507" s="31"/>
      <c r="N507" s="31"/>
    </row>
    <row r="514" spans="4:4">
      <c r="D514" s="119"/>
    </row>
    <row r="515" spans="4:4">
      <c r="D515" s="119"/>
    </row>
  </sheetData>
  <dataConsolidate/>
  <mergeCells count="1">
    <mergeCell ref="J3:K3"/>
  </mergeCells>
  <conditionalFormatting sqref="A8:N507">
    <cfRule type="expression" dxfId="74" priority="1">
      <formula xml:space="preserve"> "" = $E8</formula>
    </cfRule>
    <cfRule type="expression" dxfId="73" priority="5">
      <formula xml:space="preserve"> "انتقال" = $E8</formula>
    </cfRule>
    <cfRule type="expression" dxfId="72" priority="6">
      <formula xml:space="preserve"> "پرداخت_هزینه" = $E8</formula>
    </cfRule>
    <cfRule type="expression" dxfId="71" priority="7">
      <formula>"دریافت_درآمد" = $E8</formula>
    </cfRule>
  </conditionalFormatting>
  <dataValidations xWindow="680" yWindow="432" count="9">
    <dataValidation type="list" allowBlank="1" showInputMessage="1" showErrorMessage="1" errorTitle="Error" error="نوع خرج باید از گزینه‌های موجود در لیست کشویی باشد." promptTitle="راهنما" prompt="نوع خرج را مشخص کنید._x000a_نا مشخص_x000a_خرج صحیح_x000a_خرج اضافی" sqref="M8:M507" xr:uid="{00000000-0002-0000-0200-000000000000}">
      <formula1>INDIRECT("TypeOfExpenditureTable[نوع خرج]")</formula1>
    </dataValidation>
    <dataValidation type="list" allowBlank="1" showInputMessage="1" showErrorMessage="1" errorTitle="Error" error="فرد باید از لیست «افراد» انتخاب شود._x000a_به جدول «افراد» موجود در کاربردگ «تنظیمات حساب» مراجعه شود." promptTitle="راهنما" prompt="فردی که هزینه کرده یا برای آن هزینه شده" sqref="B8:B507" xr:uid="{00000000-0002-0000-0200-000001000000}">
      <formula1>INDIRECT("PersonsTable[افراد]")</formula1>
    </dataValidation>
    <dataValidation type="list" allowBlank="1" showInputMessage="1" showErrorMessage="1" errorTitle="Error" error="مقدار ورودی را از لیست انتخاب کنید" promptTitle="راهنما" prompt="حساب/فرد پرداخت کننده و دریافت کننده را تعیین کنید" sqref="J8:K507" xr:uid="{00000000-0002-0000-0200-000002000000}">
      <formula1>Accounts_and_ReceiversAndPayers_List</formula1>
    </dataValidation>
    <dataValidation type="list" allowBlank="1" showInputMessage="1" showErrorMessage="1" errorTitle="Error" error="مقدار ورودی را از لیست انتخاب کنید" promptTitle="راهنما" prompt="نوع تراکنش را مشخص کنید._x000a_پرداخت (هزینه)_x000a_دریافت (درآمد)_x000a_انتقال_x000a__x000a_در صورت انتخاب «انتقال» ستون‌های «گروه» و «زیر‌گروه» غیر‌فعال می‌شوند." sqref="E8:E507" xr:uid="{00000000-0002-0000-0200-000003000000}">
      <formula1>INDIRECT("TypeOfTransactionTable[نوع تراکنش]")</formula1>
    </dataValidation>
    <dataValidation type="list" allowBlank="1" showInputMessage="1" showErrorMessage="1" errorTitle="Error" error="مقدار ورودی را از لیست انتخاب کنید" promptTitle="راهنما" prompt="روش انتقال پول را انتخاب کنید_x000a_" sqref="H8:H507" xr:uid="{00000000-0002-0000-0200-000004000000}">
      <formula1 xml:space="preserve"> TransactionMethodsList</formula1>
    </dataValidation>
    <dataValidation showInputMessage="1" promptTitle="راهنما" prompt="تاریخ به صورت 13770101 ثبت شود." sqref="C8:C507" xr:uid="{00000000-0002-0000-0200-000005000000}"/>
    <dataValidation type="list" allowBlank="1" showErrorMessage="1" errorTitle="Error" error="مقدار ورودی را از لیست انتخاب کنید_x000a__x000a_در حالت «انتقال» گزینه‌ای وجود ندارد" promptTitle="راهنما" prompt="از بین گروه‌های درآمدی یا هزینه‌ها انتخاب کنید." sqref="F8:F507" xr:uid="{00000000-0002-0000-0200-000006000000}">
      <formula1>INDIRECT($E8)</formula1>
    </dataValidation>
    <dataValidation type="list" allowBlank="1" showErrorMessage="1" errorTitle="Error" error="مقدار ورودی را از لیست انتخاب کنید_x000a__x000a_در حالت «انتقال» گزینه‌ای وجود ندارد" sqref="G8:G507" xr:uid="{00000000-0002-0000-0200-000007000000}">
      <formula1>INDIRECT($F8)</formula1>
    </dataValidation>
    <dataValidation type="list" allowBlank="1" showInputMessage="1" showErrorMessage="1" sqref="C5" xr:uid="{00000000-0002-0000-0200-000008000000}">
      <formula1>INDIRECT("showDateTable[ID]")</formula1>
    </dataValidation>
  </dataValidations>
  <hyperlinks>
    <hyperlink ref="B1" location="فهرست!A1" display="فهرست" xr:uid="{00000000-0004-0000-0200-000000000000}"/>
    <hyperlink ref="C1" location="'مدیریت وام و اقساط'!A1" display="وام و اقساط" xr:uid="{00000000-0004-0000-0200-000001000000}"/>
    <hyperlink ref="D1" location="'مدیریت چک‌ها'!A1" display="چک‌ها" xr:uid="{00000000-0004-0000-0200-000002000000}"/>
    <hyperlink ref="E1" location="'مدیریت بدهی‌ها-طلب‌ها'!A1" display="بدهی‌ها و طلب‌ها" xr:uid="{00000000-0004-0000-0200-000003000000}"/>
    <hyperlink ref="F1" location="'برنامه ریزی پرداخت‌ها'!A1" display="برنامه ریزی" xr:uid="{00000000-0004-0000-0200-000004000000}"/>
    <hyperlink ref="G1" location="تقویم!A1" display="تقویم" xr:uid="{00000000-0004-0000-0200-000005000000}"/>
    <hyperlink ref="H1" location="'بودجه بندی'!A1" display="بودجه بندی" xr:uid="{00000000-0004-0000-0200-000006000000}"/>
    <hyperlink ref="I1" location="'گزارش فعالیت‌های ماه جاری'!A1" display="ماه جاری" xr:uid="{00000000-0004-0000-0200-000007000000}"/>
    <hyperlink ref="J1" location="'جست و جو'!A1" display="جست و جو" xr:uid="{00000000-0004-0000-0200-000008000000}"/>
    <hyperlink ref="J5" location="'گروه‌‌های (بابت‌ها) هزینه'!A1" display="گروه‌های هزینه" xr:uid="{00000000-0004-0000-0200-000009000000}"/>
    <hyperlink ref="K5" location="'گروه‌‌های درآمدی'!A1" display="گروه‌های درآمد" xr:uid="{00000000-0004-0000-0200-00000A000000}"/>
    <hyperlink ref="K1" location="'تنظیمات حساب'!A1" display="تنظیمات حساب" xr:uid="{00000000-0004-0000-0200-00000B000000}"/>
    <hyperlink ref="J3:K3" location="'دریافت کنندگان - پرداخت کنندگان'!A1" display="دریافت کنندگان - پرداخت کنندگان" xr:uid="{00000000-0004-0000-0200-00000C000000}"/>
  </hyperlinks>
  <pageMargins left="0.7" right="0.7" top="0.75" bottom="0.75" header="0.3" footer="0.3"/>
  <pageSetup orientation="portrait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1">
    <tabColor theme="9"/>
  </sheetPr>
  <dimension ref="A1:K1"/>
  <sheetViews>
    <sheetView rightToLeft="1" workbookViewId="0">
      <selection activeCell="E33" sqref="E33"/>
    </sheetView>
  </sheetViews>
  <sheetFormatPr defaultRowHeight="15"/>
  <cols>
    <col min="6" max="7" width="10.140625" customWidth="1"/>
    <col min="8" max="8" width="17.5703125" customWidth="1"/>
    <col min="9" max="9" width="13.140625" customWidth="1"/>
  </cols>
  <sheetData>
    <row r="1" spans="1:11">
      <c r="A1" t="s">
        <v>1</v>
      </c>
      <c r="B1" t="s">
        <v>26</v>
      </c>
      <c r="C1" t="s">
        <v>27</v>
      </c>
      <c r="D1" t="s">
        <v>28</v>
      </c>
      <c r="E1" t="s">
        <v>35</v>
      </c>
      <c r="F1" t="s">
        <v>29</v>
      </c>
      <c r="G1" t="s">
        <v>34</v>
      </c>
      <c r="H1" t="s">
        <v>30</v>
      </c>
      <c r="I1" t="s">
        <v>31</v>
      </c>
      <c r="J1" t="s">
        <v>32</v>
      </c>
      <c r="K1" t="s">
        <v>33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3">
    <tabColor theme="8"/>
  </sheetPr>
  <dimension ref="A1:J1"/>
  <sheetViews>
    <sheetView rightToLeft="1" workbookViewId="0">
      <selection activeCell="G34" sqref="G34"/>
    </sheetView>
  </sheetViews>
  <sheetFormatPr defaultRowHeight="15"/>
  <cols>
    <col min="3" max="5" width="10.7109375" customWidth="1"/>
    <col min="6" max="6" width="13.28515625" customWidth="1"/>
    <col min="7" max="7" width="14.5703125" customWidth="1"/>
    <col min="8" max="8" width="19.85546875" customWidth="1"/>
    <col min="9" max="9" width="13.5703125" customWidth="1"/>
    <col min="10" max="10" width="15.7109375" customWidth="1"/>
  </cols>
  <sheetData>
    <row r="1" spans="1:10">
      <c r="A1" t="s">
        <v>1</v>
      </c>
      <c r="B1" t="s">
        <v>19</v>
      </c>
      <c r="C1" t="s">
        <v>9</v>
      </c>
      <c r="D1" t="s">
        <v>20</v>
      </c>
      <c r="E1" t="s">
        <v>22</v>
      </c>
      <c r="F1" t="s">
        <v>21</v>
      </c>
      <c r="G1" t="s">
        <v>10</v>
      </c>
      <c r="H1" t="s">
        <v>23</v>
      </c>
      <c r="I1" t="s">
        <v>24</v>
      </c>
      <c r="J1" t="s">
        <v>25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9">
    <tabColor theme="6"/>
  </sheetPr>
  <dimension ref="A1"/>
  <sheetViews>
    <sheetView rightToLeft="1" workbookViewId="0">
      <selection activeCell="B4" sqref="B4"/>
    </sheetView>
  </sheetViews>
  <sheetFormatPr defaultRowHeight="15"/>
  <sheetData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10">
    <tabColor theme="5"/>
  </sheetPr>
  <dimension ref="A1:M1"/>
  <sheetViews>
    <sheetView rightToLeft="1" workbookViewId="0">
      <selection activeCell="A2" sqref="A2"/>
    </sheetView>
  </sheetViews>
  <sheetFormatPr defaultRowHeight="15"/>
  <cols>
    <col min="7" max="8" width="18.28515625" customWidth="1"/>
  </cols>
  <sheetData>
    <row r="1" spans="1:13">
      <c r="A1" t="s">
        <v>1</v>
      </c>
      <c r="B1" t="s">
        <v>14</v>
      </c>
      <c r="C1" t="s">
        <v>15</v>
      </c>
      <c r="D1" t="s">
        <v>17</v>
      </c>
      <c r="E1" t="s">
        <v>37</v>
      </c>
      <c r="F1" t="s">
        <v>36</v>
      </c>
      <c r="G1" t="s">
        <v>38</v>
      </c>
      <c r="H1" t="s">
        <v>39</v>
      </c>
      <c r="I1" t="s">
        <v>4</v>
      </c>
      <c r="J1" t="s">
        <v>2</v>
      </c>
      <c r="K1" t="s">
        <v>16</v>
      </c>
      <c r="L1" t="s">
        <v>5</v>
      </c>
      <c r="M1" t="s">
        <v>40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7">
    <tabColor theme="5" tint="-0.499984740745262"/>
  </sheetPr>
  <dimension ref="A1:AG37"/>
  <sheetViews>
    <sheetView showGridLines="0" rightToLeft="1" topLeftCell="C1" zoomScaleNormal="100" workbookViewId="0">
      <selection activeCell="H11" sqref="H11"/>
    </sheetView>
  </sheetViews>
  <sheetFormatPr defaultRowHeight="15"/>
  <cols>
    <col min="1" max="1" width="19.42578125" customWidth="1"/>
    <col min="2" max="2" width="0.7109375" style="41" customWidth="1"/>
    <col min="3" max="4" width="9.140625" customWidth="1"/>
    <col min="5" max="5" width="0.7109375" customWidth="1"/>
    <col min="6" max="11" width="9.140625" customWidth="1"/>
    <col min="13" max="13" width="0.7109375" customWidth="1"/>
    <col min="14" max="14" width="4.5703125" customWidth="1"/>
    <col min="15" max="15" width="0.7109375" customWidth="1"/>
    <col min="23" max="23" width="0.7109375" customWidth="1"/>
    <col min="24" max="24" width="4.5703125" customWidth="1"/>
    <col min="25" max="25" width="0.7109375" customWidth="1"/>
    <col min="33" max="33" width="0.7109375" customWidth="1"/>
  </cols>
  <sheetData>
    <row r="1" spans="1:33" ht="24" customHeight="1">
      <c r="A1" s="100" t="s">
        <v>337</v>
      </c>
    </row>
    <row r="2" spans="1:33" ht="24" customHeight="1">
      <c r="A2" s="99">
        <v>1400</v>
      </c>
      <c r="D2" s="111"/>
      <c r="E2" s="111"/>
      <c r="F2" s="111">
        <v>0</v>
      </c>
      <c r="G2" s="111">
        <v>1</v>
      </c>
      <c r="H2" s="111">
        <v>2</v>
      </c>
      <c r="I2" s="111">
        <v>3</v>
      </c>
      <c r="J2" s="111">
        <v>4</v>
      </c>
      <c r="K2" s="111">
        <v>5</v>
      </c>
      <c r="L2" s="111">
        <v>6</v>
      </c>
      <c r="M2" s="112"/>
      <c r="N2" s="112"/>
      <c r="O2" s="111"/>
      <c r="P2" s="111">
        <v>0</v>
      </c>
      <c r="Q2" s="111">
        <v>1</v>
      </c>
      <c r="R2" s="111">
        <v>2</v>
      </c>
      <c r="S2" s="111">
        <v>3</v>
      </c>
      <c r="T2" s="111">
        <v>4</v>
      </c>
      <c r="U2" s="111">
        <v>5</v>
      </c>
      <c r="V2" s="111">
        <v>6</v>
      </c>
      <c r="W2" s="112"/>
      <c r="X2" s="112"/>
      <c r="Y2" s="111"/>
      <c r="Z2" s="111">
        <v>0</v>
      </c>
      <c r="AA2" s="111">
        <v>1</v>
      </c>
      <c r="AB2" s="111">
        <v>2</v>
      </c>
      <c r="AC2" s="111">
        <v>3</v>
      </c>
      <c r="AD2" s="111">
        <v>4</v>
      </c>
      <c r="AE2" s="111">
        <v>5</v>
      </c>
      <c r="AF2" s="111">
        <v>6</v>
      </c>
    </row>
    <row r="3" spans="1:33" ht="24" customHeight="1">
      <c r="A3" s="41"/>
      <c r="D3" s="320" t="s">
        <v>346</v>
      </c>
      <c r="E3" s="102"/>
      <c r="F3" s="318" t="s">
        <v>338</v>
      </c>
      <c r="G3" s="318"/>
      <c r="H3" s="318"/>
      <c r="I3" s="318"/>
      <c r="J3" s="318"/>
      <c r="K3" s="318"/>
      <c r="L3" s="318"/>
      <c r="M3" s="104"/>
      <c r="O3" s="102"/>
      <c r="P3" s="318" t="s">
        <v>347</v>
      </c>
      <c r="Q3" s="318"/>
      <c r="R3" s="318"/>
      <c r="S3" s="318"/>
      <c r="T3" s="318"/>
      <c r="U3" s="318"/>
      <c r="V3" s="318"/>
      <c r="W3" s="104"/>
      <c r="Y3" s="102"/>
      <c r="Z3" s="318" t="s">
        <v>350</v>
      </c>
      <c r="AA3" s="318"/>
      <c r="AB3" s="318"/>
      <c r="AC3" s="318"/>
      <c r="AD3" s="318"/>
      <c r="AE3" s="318"/>
      <c r="AF3" s="318"/>
      <c r="AG3" s="104"/>
    </row>
    <row r="4" spans="1:33" ht="24" customHeight="1" thickBot="1">
      <c r="A4" s="9" t="s">
        <v>8</v>
      </c>
      <c r="D4" s="320"/>
      <c r="E4" s="102"/>
      <c r="F4" s="103" t="s">
        <v>339</v>
      </c>
      <c r="G4" s="103" t="s">
        <v>341</v>
      </c>
      <c r="H4" s="103" t="s">
        <v>342</v>
      </c>
      <c r="I4" s="103" t="s">
        <v>343</v>
      </c>
      <c r="J4" s="103" t="s">
        <v>344</v>
      </c>
      <c r="K4" s="103" t="s">
        <v>345</v>
      </c>
      <c r="L4" s="103" t="s">
        <v>340</v>
      </c>
      <c r="M4" s="104"/>
      <c r="O4" s="102"/>
      <c r="P4" s="103" t="s">
        <v>339</v>
      </c>
      <c r="Q4" s="103" t="s">
        <v>341</v>
      </c>
      <c r="R4" s="103" t="s">
        <v>342</v>
      </c>
      <c r="S4" s="103" t="s">
        <v>343</v>
      </c>
      <c r="T4" s="103" t="s">
        <v>344</v>
      </c>
      <c r="U4" s="103" t="s">
        <v>345</v>
      </c>
      <c r="V4" s="103" t="s">
        <v>340</v>
      </c>
      <c r="W4" s="104"/>
      <c r="Y4" s="102"/>
      <c r="Z4" s="103" t="s">
        <v>339</v>
      </c>
      <c r="AA4" s="103" t="s">
        <v>341</v>
      </c>
      <c r="AB4" s="103" t="s">
        <v>342</v>
      </c>
      <c r="AC4" s="103" t="s">
        <v>343</v>
      </c>
      <c r="AD4" s="103" t="s">
        <v>344</v>
      </c>
      <c r="AE4" s="103" t="s">
        <v>345</v>
      </c>
      <c r="AF4" s="103" t="s">
        <v>340</v>
      </c>
      <c r="AG4" s="104"/>
    </row>
    <row r="5" spans="1:33" ht="24" customHeight="1">
      <c r="A5" s="35" t="s">
        <v>115</v>
      </c>
      <c r="D5" s="320"/>
      <c r="E5" s="102"/>
      <c r="F5" s="101" t="str">
        <f>IF(DayWeekNo($A$2&amp;"0101")=F2,1,IF(DayWeekNo($A$2&amp;"0101")&lt;F2,E5+1,""))</f>
        <v/>
      </c>
      <c r="G5" s="101">
        <f>IF(DayWeekNo($A$2&amp;"0101")=G2,1,IF(DayWeekNo($A$2&amp;"0101")&lt;G2,F5+1,""))</f>
        <v>1</v>
      </c>
      <c r="H5" s="101">
        <f>IF(DayWeekNo($A$2&amp;"0101")=H2,1,IF(DayWeekNo($A$2&amp;"0101")&lt;H2,G5+1,""))</f>
        <v>2</v>
      </c>
      <c r="I5" s="101">
        <f>IF(DayWeekNo($A$2&amp;"0101")=I2,1,IF(DayWeekNo($A$2&amp;"0101")&lt;I2,H5+1,""))</f>
        <v>3</v>
      </c>
      <c r="J5" s="101">
        <f>IF(DayWeekNo($A$2&amp;"0101")=J2,1,IF(DayWeekNo($A$2&amp;"0101")&lt;J2,I5+1,""))</f>
        <v>4</v>
      </c>
      <c r="K5" s="101">
        <f>IF(DayWeekNo($A$2&amp;"0101")=K2,1,IF(DayWeekNo($A$2&amp;"0101")&lt;K2,J5+1,""))</f>
        <v>5</v>
      </c>
      <c r="L5" s="101">
        <f>IF(DayWeekNo($A$2&amp;"0101")=L2,1,IF(DayWeekNo($A$2&amp;"0101")&lt;L2,K5+1,""))</f>
        <v>6</v>
      </c>
      <c r="M5" s="105"/>
      <c r="O5" s="102"/>
      <c r="P5" s="101" t="str">
        <f>IF(DayWeekNo($A$2&amp;"0201")=P2,1,IF(DayWeekNo($A$2&amp;"0201")&lt;P2,O5+1,""))</f>
        <v/>
      </c>
      <c r="Q5" s="101" t="str">
        <f>IF(DayWeekNo($A$2&amp;"0201")=Q2,1,IF(DayWeekNo($A$2&amp;"0201")&lt;Q2,P5+1,""))</f>
        <v/>
      </c>
      <c r="R5" s="101" t="str">
        <f>IF(DayWeekNo($A$2&amp;"0201")=R2,1,IF(DayWeekNo($A$2&amp;"0201")&lt;R2,Q5+1,""))</f>
        <v/>
      </c>
      <c r="S5" s="101" t="str">
        <f>IF(DayWeekNo($A$2&amp;"0201")=S2,1,IF(DayWeekNo($A$2&amp;"0201")&lt;S2,R5+1,""))</f>
        <v/>
      </c>
      <c r="T5" s="101">
        <f>IF(DayWeekNo($A$2&amp;"0201")=T2,1,IF(DayWeekNo($A$2&amp;"0201")&lt;T2,S5+1,""))</f>
        <v>1</v>
      </c>
      <c r="U5" s="101">
        <f>IF(DayWeekNo($A$2&amp;"0201")=U2,1,IF(DayWeekNo($A$2&amp;"0201")&lt;U2,T5+1,""))</f>
        <v>2</v>
      </c>
      <c r="V5" s="101">
        <f>IF(DayWeekNo($A$2&amp;"0201")=V2,1,IF(DayWeekNo($A$2&amp;"0201")&lt;V2,U5+1,""))</f>
        <v>3</v>
      </c>
      <c r="Y5" s="102"/>
      <c r="Z5" s="101">
        <f>IF(DayWeekNo($A$2&amp;"0301")=Z2,1,IF(DayWeekNo($A$2&amp;"0301")&lt;Z2,Y5+1,""))</f>
        <v>1</v>
      </c>
      <c r="AA5" s="101">
        <f>IF(DayWeekNo($A$2&amp;"0301")=AA2,1,IF(DayWeekNo($A$2&amp;"0301")&lt;AA2,Z5+1,""))</f>
        <v>2</v>
      </c>
      <c r="AB5" s="101">
        <f>IF(DayWeekNo($A$2&amp;"0301")=AB2,1,IF(DayWeekNo($A$2&amp;"0301")&lt;AB2,AA5+1,""))</f>
        <v>3</v>
      </c>
      <c r="AC5" s="101">
        <f>IF(DayWeekNo($A$2&amp;"0301")=AC2,1,IF(DayWeekNo($A$2&amp;"0301")&lt;AC2,AB5+1,""))</f>
        <v>4</v>
      </c>
      <c r="AD5" s="101">
        <f>IF(DayWeekNo($A$2&amp;"0301")=AD2,1,IF(DayWeekNo($A$2&amp;"0301")&lt;AD2,AC5+1,""))</f>
        <v>5</v>
      </c>
      <c r="AE5" s="101">
        <f>IF(DayWeekNo($A$2&amp;"0301")=AE2,1,IF(DayWeekNo($A$2&amp;"0301")&lt;AE2,AD5+1,""))</f>
        <v>6</v>
      </c>
      <c r="AF5" s="101">
        <f>IF(DayWeekNo($A$2&amp;"0301")=AF2,1,IF(DayWeekNo($A$2&amp;"0301")&lt;AF2,AE5+1,""))</f>
        <v>7</v>
      </c>
      <c r="AG5" s="105"/>
    </row>
    <row r="6" spans="1:33" ht="24" customHeight="1">
      <c r="A6" s="10" t="s">
        <v>102</v>
      </c>
      <c r="D6" s="320"/>
      <c r="E6" s="102"/>
      <c r="F6" s="101">
        <f>IFERROR(IF(L5+1&lt;=31,L5+1,""),"")</f>
        <v>7</v>
      </c>
      <c r="G6" s="101">
        <f>IFERROR(IF(F6+1&lt;=31,F6+1,""),"")</f>
        <v>8</v>
      </c>
      <c r="H6" s="101">
        <f t="shared" ref="H6:L6" si="0">IFERROR(IF(G6+1&lt;=31,G6+1,""),"")</f>
        <v>9</v>
      </c>
      <c r="I6" s="101">
        <f t="shared" si="0"/>
        <v>10</v>
      </c>
      <c r="J6" s="101">
        <f t="shared" si="0"/>
        <v>11</v>
      </c>
      <c r="K6" s="101">
        <f t="shared" si="0"/>
        <v>12</v>
      </c>
      <c r="L6" s="101">
        <f t="shared" si="0"/>
        <v>13</v>
      </c>
      <c r="M6" s="105"/>
      <c r="O6" s="102"/>
      <c r="P6" s="101">
        <f>IFERROR(IF(V5+1&lt;=31,V5+1,""),"")</f>
        <v>4</v>
      </c>
      <c r="Q6" s="101">
        <f>IFERROR(IF(P6+1&lt;=31,P6+1,""),"")</f>
        <v>5</v>
      </c>
      <c r="R6" s="101">
        <f t="shared" ref="R6:V6" si="1">IFERROR(IF(Q6+1&lt;=31,Q6+1,""),"")</f>
        <v>6</v>
      </c>
      <c r="S6" s="101">
        <f t="shared" si="1"/>
        <v>7</v>
      </c>
      <c r="T6" s="101">
        <f t="shared" si="1"/>
        <v>8</v>
      </c>
      <c r="U6" s="101">
        <f t="shared" si="1"/>
        <v>9</v>
      </c>
      <c r="V6" s="101">
        <f t="shared" si="1"/>
        <v>10</v>
      </c>
      <c r="Y6" s="102"/>
      <c r="Z6" s="101">
        <f>IFERROR(IF(AF5+1&lt;=31,AF5+1,""),"")</f>
        <v>8</v>
      </c>
      <c r="AA6" s="101">
        <f>IFERROR(IF(Z6+1&lt;=31,Z6+1,""),"")</f>
        <v>9</v>
      </c>
      <c r="AB6" s="101">
        <f t="shared" ref="AB6:AF6" si="2">IFERROR(IF(AA6+1&lt;=31,AA6+1,""),"")</f>
        <v>10</v>
      </c>
      <c r="AC6" s="101">
        <f t="shared" si="2"/>
        <v>11</v>
      </c>
      <c r="AD6" s="101">
        <f t="shared" si="2"/>
        <v>12</v>
      </c>
      <c r="AE6" s="101">
        <f t="shared" si="2"/>
        <v>13</v>
      </c>
      <c r="AF6" s="101">
        <f t="shared" si="2"/>
        <v>14</v>
      </c>
      <c r="AG6" s="105"/>
    </row>
    <row r="7" spans="1:33" ht="24" customHeight="1">
      <c r="A7" s="11" t="s">
        <v>103</v>
      </c>
      <c r="D7" s="320"/>
      <c r="E7" s="102"/>
      <c r="F7" s="101">
        <f t="shared" ref="F7:F9" si="3">IFERROR(IF(L6+1&lt;=31,L6+1,""),"")</f>
        <v>14</v>
      </c>
      <c r="G7" s="101">
        <f t="shared" ref="G7:L7" si="4">IFERROR(IF(F7+1&lt;=31,F7+1,""),"")</f>
        <v>15</v>
      </c>
      <c r="H7" s="101">
        <f t="shared" si="4"/>
        <v>16</v>
      </c>
      <c r="I7" s="101">
        <f t="shared" si="4"/>
        <v>17</v>
      </c>
      <c r="J7" s="101">
        <f t="shared" si="4"/>
        <v>18</v>
      </c>
      <c r="K7" s="101">
        <f t="shared" si="4"/>
        <v>19</v>
      </c>
      <c r="L7" s="101">
        <f t="shared" si="4"/>
        <v>20</v>
      </c>
      <c r="M7" s="105"/>
      <c r="O7" s="102"/>
      <c r="P7" s="101">
        <f t="shared" ref="P7:P9" si="5">IFERROR(IF(V6+1&lt;=31,V6+1,""),"")</f>
        <v>11</v>
      </c>
      <c r="Q7" s="101">
        <f t="shared" ref="Q7:V7" si="6">IFERROR(IF(P7+1&lt;=31,P7+1,""),"")</f>
        <v>12</v>
      </c>
      <c r="R7" s="101">
        <f t="shared" si="6"/>
        <v>13</v>
      </c>
      <c r="S7" s="101">
        <f t="shared" si="6"/>
        <v>14</v>
      </c>
      <c r="T7" s="101">
        <f t="shared" si="6"/>
        <v>15</v>
      </c>
      <c r="U7" s="101">
        <f t="shared" si="6"/>
        <v>16</v>
      </c>
      <c r="V7" s="101">
        <f t="shared" si="6"/>
        <v>17</v>
      </c>
      <c r="Y7" s="102"/>
      <c r="Z7" s="101">
        <f t="shared" ref="Z7:Z9" si="7">IFERROR(IF(AF6+1&lt;=31,AF6+1,""),"")</f>
        <v>15</v>
      </c>
      <c r="AA7" s="101">
        <f t="shared" ref="AA7:AF7" si="8">IFERROR(IF(Z7+1&lt;=31,Z7+1,""),"")</f>
        <v>16</v>
      </c>
      <c r="AB7" s="101">
        <f t="shared" si="8"/>
        <v>17</v>
      </c>
      <c r="AC7" s="101">
        <f t="shared" si="8"/>
        <v>18</v>
      </c>
      <c r="AD7" s="101">
        <f t="shared" si="8"/>
        <v>19</v>
      </c>
      <c r="AE7" s="101">
        <f t="shared" si="8"/>
        <v>20</v>
      </c>
      <c r="AF7" s="101">
        <f t="shared" si="8"/>
        <v>21</v>
      </c>
      <c r="AG7" s="105"/>
    </row>
    <row r="8" spans="1:33" ht="24" customHeight="1">
      <c r="A8" s="33" t="s">
        <v>104</v>
      </c>
      <c r="D8" s="320"/>
      <c r="E8" s="102"/>
      <c r="F8" s="101">
        <f t="shared" si="3"/>
        <v>21</v>
      </c>
      <c r="G8" s="101">
        <f t="shared" ref="G8:L8" si="9">IFERROR(IF(F8+1&lt;=31,F8+1,""),"")</f>
        <v>22</v>
      </c>
      <c r="H8" s="101">
        <f t="shared" si="9"/>
        <v>23</v>
      </c>
      <c r="I8" s="101">
        <f t="shared" si="9"/>
        <v>24</v>
      </c>
      <c r="J8" s="101">
        <f t="shared" si="9"/>
        <v>25</v>
      </c>
      <c r="K8" s="101">
        <f t="shared" si="9"/>
        <v>26</v>
      </c>
      <c r="L8" s="101">
        <f t="shared" si="9"/>
        <v>27</v>
      </c>
      <c r="M8" s="105"/>
      <c r="O8" s="102"/>
      <c r="P8" s="101">
        <f t="shared" si="5"/>
        <v>18</v>
      </c>
      <c r="Q8" s="101">
        <f t="shared" ref="Q8:V8" si="10">IFERROR(IF(P8+1&lt;=31,P8+1,""),"")</f>
        <v>19</v>
      </c>
      <c r="R8" s="101">
        <f t="shared" si="10"/>
        <v>20</v>
      </c>
      <c r="S8" s="101">
        <f t="shared" si="10"/>
        <v>21</v>
      </c>
      <c r="T8" s="101">
        <f t="shared" si="10"/>
        <v>22</v>
      </c>
      <c r="U8" s="101">
        <f t="shared" si="10"/>
        <v>23</v>
      </c>
      <c r="V8" s="101">
        <f t="shared" si="10"/>
        <v>24</v>
      </c>
      <c r="Y8" s="102"/>
      <c r="Z8" s="101">
        <f t="shared" si="7"/>
        <v>22</v>
      </c>
      <c r="AA8" s="101">
        <f t="shared" ref="AA8:AF8" si="11">IFERROR(IF(Z8+1&lt;=31,Z8+1,""),"")</f>
        <v>23</v>
      </c>
      <c r="AB8" s="101">
        <f t="shared" si="11"/>
        <v>24</v>
      </c>
      <c r="AC8" s="101">
        <f t="shared" si="11"/>
        <v>25</v>
      </c>
      <c r="AD8" s="101">
        <f t="shared" si="11"/>
        <v>26</v>
      </c>
      <c r="AE8" s="101">
        <f t="shared" si="11"/>
        <v>27</v>
      </c>
      <c r="AF8" s="101">
        <f t="shared" si="11"/>
        <v>28</v>
      </c>
      <c r="AG8" s="105"/>
    </row>
    <row r="9" spans="1:33" ht="24" customHeight="1">
      <c r="A9" s="12" t="s">
        <v>110</v>
      </c>
      <c r="D9" s="320"/>
      <c r="E9" s="102"/>
      <c r="F9" s="101">
        <f t="shared" si="3"/>
        <v>28</v>
      </c>
      <c r="G9" s="101">
        <f t="shared" ref="G9:L10" si="12">IFERROR(IF(F9+1&lt;=31,F9+1,""),"")</f>
        <v>29</v>
      </c>
      <c r="H9" s="101">
        <f t="shared" si="12"/>
        <v>30</v>
      </c>
      <c r="I9" s="101">
        <f t="shared" si="12"/>
        <v>31</v>
      </c>
      <c r="J9" s="101" t="str">
        <f t="shared" si="12"/>
        <v/>
      </c>
      <c r="K9" s="101" t="str">
        <f t="shared" si="12"/>
        <v/>
      </c>
      <c r="L9" s="101" t="str">
        <f t="shared" si="12"/>
        <v/>
      </c>
      <c r="M9" s="105"/>
      <c r="O9" s="102"/>
      <c r="P9" s="101">
        <f t="shared" si="5"/>
        <v>25</v>
      </c>
      <c r="Q9" s="101">
        <f t="shared" ref="Q9:V10" si="13">IFERROR(IF(P9+1&lt;=31,P9+1,""),"")</f>
        <v>26</v>
      </c>
      <c r="R9" s="101">
        <f t="shared" si="13"/>
        <v>27</v>
      </c>
      <c r="S9" s="101">
        <f t="shared" si="13"/>
        <v>28</v>
      </c>
      <c r="T9" s="101">
        <f t="shared" si="13"/>
        <v>29</v>
      </c>
      <c r="U9" s="101">
        <f t="shared" si="13"/>
        <v>30</v>
      </c>
      <c r="V9" s="101">
        <f t="shared" si="13"/>
        <v>31</v>
      </c>
      <c r="Y9" s="102"/>
      <c r="Z9" s="101">
        <f t="shared" si="7"/>
        <v>29</v>
      </c>
      <c r="AA9" s="101">
        <f t="shared" ref="AA9:AF10" si="14">IFERROR(IF(Z9+1&lt;=31,Z9+1,""),"")</f>
        <v>30</v>
      </c>
      <c r="AB9" s="101">
        <f t="shared" si="14"/>
        <v>31</v>
      </c>
      <c r="AC9" s="101" t="str">
        <f t="shared" si="14"/>
        <v/>
      </c>
      <c r="AD9" s="101" t="str">
        <f t="shared" si="14"/>
        <v/>
      </c>
      <c r="AE9" s="101" t="str">
        <f t="shared" si="14"/>
        <v/>
      </c>
      <c r="AF9" s="101" t="str">
        <f t="shared" si="14"/>
        <v/>
      </c>
      <c r="AG9" s="105"/>
    </row>
    <row r="10" spans="1:33" ht="24" customHeight="1">
      <c r="A10" s="13" t="s">
        <v>89</v>
      </c>
      <c r="D10" s="320"/>
      <c r="E10" s="102"/>
      <c r="F10" s="101" t="str">
        <f t="shared" ref="F10" si="15">IFERROR(IF(L9+1&lt;=31,L9+1,""),"")</f>
        <v/>
      </c>
      <c r="G10" s="101" t="str">
        <f t="shared" si="12"/>
        <v/>
      </c>
      <c r="H10" s="101" t="str">
        <f t="shared" si="12"/>
        <v/>
      </c>
      <c r="I10" s="101" t="str">
        <f t="shared" si="12"/>
        <v/>
      </c>
      <c r="J10" s="101" t="str">
        <f t="shared" si="12"/>
        <v/>
      </c>
      <c r="K10" s="101" t="str">
        <f t="shared" si="12"/>
        <v/>
      </c>
      <c r="L10" s="101" t="str">
        <f t="shared" si="12"/>
        <v/>
      </c>
      <c r="O10" s="102"/>
      <c r="P10" s="101" t="str">
        <f t="shared" ref="P10" si="16">IFERROR(IF(V9+1&lt;=31,V9+1,""),"")</f>
        <v/>
      </c>
      <c r="Q10" s="101" t="str">
        <f t="shared" si="13"/>
        <v/>
      </c>
      <c r="R10" s="101" t="str">
        <f t="shared" si="13"/>
        <v/>
      </c>
      <c r="S10" s="101" t="str">
        <f t="shared" si="13"/>
        <v/>
      </c>
      <c r="T10" s="101" t="str">
        <f t="shared" si="13"/>
        <v/>
      </c>
      <c r="U10" s="101" t="str">
        <f t="shared" si="13"/>
        <v/>
      </c>
      <c r="V10" s="101" t="str">
        <f t="shared" si="13"/>
        <v/>
      </c>
      <c r="Y10" s="102"/>
      <c r="Z10" s="101" t="str">
        <f t="shared" ref="Z10" si="17">IFERROR(IF(AF9+1&lt;=31,AF9+1,""),"")</f>
        <v/>
      </c>
      <c r="AA10" s="101" t="str">
        <f t="shared" si="14"/>
        <v/>
      </c>
      <c r="AB10" s="101" t="str">
        <f t="shared" si="14"/>
        <v/>
      </c>
      <c r="AC10" s="101" t="str">
        <f t="shared" si="14"/>
        <v/>
      </c>
      <c r="AD10" s="101" t="str">
        <f t="shared" si="14"/>
        <v/>
      </c>
      <c r="AE10" s="101" t="str">
        <f t="shared" si="14"/>
        <v/>
      </c>
      <c r="AF10" s="101" t="str">
        <f t="shared" si="14"/>
        <v/>
      </c>
    </row>
    <row r="11" spans="1:33" ht="24" customHeight="1">
      <c r="A11" s="23" t="s">
        <v>111</v>
      </c>
      <c r="D11" s="111"/>
      <c r="E11" s="111"/>
      <c r="F11" s="111">
        <v>0</v>
      </c>
      <c r="G11" s="111">
        <v>1</v>
      </c>
      <c r="H11" s="111">
        <v>2</v>
      </c>
      <c r="I11" s="111">
        <v>3</v>
      </c>
      <c r="J11" s="111">
        <v>4</v>
      </c>
      <c r="K11" s="111">
        <v>5</v>
      </c>
      <c r="L11" s="111">
        <v>6</v>
      </c>
      <c r="M11" s="112"/>
      <c r="N11" s="112"/>
      <c r="O11" s="111"/>
      <c r="P11" s="111">
        <v>0</v>
      </c>
      <c r="Q11" s="111">
        <v>1</v>
      </c>
      <c r="R11" s="111">
        <v>2</v>
      </c>
      <c r="S11" s="111">
        <v>3</v>
      </c>
      <c r="T11" s="111">
        <v>4</v>
      </c>
      <c r="U11" s="111">
        <v>5</v>
      </c>
      <c r="V11" s="111">
        <v>6</v>
      </c>
      <c r="W11" s="112"/>
      <c r="X11" s="112"/>
      <c r="Y11" s="112"/>
      <c r="Z11" s="111">
        <v>0</v>
      </c>
      <c r="AA11" s="111">
        <v>1</v>
      </c>
      <c r="AB11" s="111">
        <v>2</v>
      </c>
      <c r="AC11" s="111">
        <v>3</v>
      </c>
      <c r="AD11" s="111">
        <v>4</v>
      </c>
      <c r="AE11" s="111">
        <v>5</v>
      </c>
      <c r="AF11" s="111">
        <v>6</v>
      </c>
      <c r="AG11" s="112"/>
    </row>
    <row r="12" spans="1:33" ht="24" customHeight="1">
      <c r="A12" s="14" t="s">
        <v>105</v>
      </c>
      <c r="D12" s="319" t="s">
        <v>348</v>
      </c>
      <c r="E12" s="106"/>
      <c r="F12" s="317" t="s">
        <v>349</v>
      </c>
      <c r="G12" s="317"/>
      <c r="H12" s="317"/>
      <c r="I12" s="317"/>
      <c r="J12" s="317"/>
      <c r="K12" s="317"/>
      <c r="L12" s="317"/>
      <c r="M12" s="107"/>
      <c r="O12" s="106"/>
      <c r="P12" s="317" t="s">
        <v>351</v>
      </c>
      <c r="Q12" s="317"/>
      <c r="R12" s="317"/>
      <c r="S12" s="317"/>
      <c r="T12" s="317"/>
      <c r="U12" s="317"/>
      <c r="V12" s="317"/>
      <c r="W12" s="107"/>
      <c r="Y12" s="106"/>
      <c r="Z12" s="317" t="s">
        <v>352</v>
      </c>
      <c r="AA12" s="317"/>
      <c r="AB12" s="317"/>
      <c r="AC12" s="317"/>
      <c r="AD12" s="317"/>
      <c r="AE12" s="317"/>
      <c r="AF12" s="317"/>
      <c r="AG12" s="107"/>
    </row>
    <row r="13" spans="1:33" ht="24" customHeight="1" thickBot="1">
      <c r="A13" s="15" t="s">
        <v>98</v>
      </c>
      <c r="D13" s="319"/>
      <c r="E13" s="106"/>
      <c r="F13" s="103" t="s">
        <v>339</v>
      </c>
      <c r="G13" s="103" t="s">
        <v>341</v>
      </c>
      <c r="H13" s="103" t="s">
        <v>342</v>
      </c>
      <c r="I13" s="103" t="s">
        <v>343</v>
      </c>
      <c r="J13" s="103" t="s">
        <v>344</v>
      </c>
      <c r="K13" s="103" t="s">
        <v>345</v>
      </c>
      <c r="L13" s="103" t="s">
        <v>340</v>
      </c>
      <c r="M13" s="107"/>
      <c r="O13" s="106"/>
      <c r="P13" s="103" t="s">
        <v>339</v>
      </c>
      <c r="Q13" s="103" t="s">
        <v>341</v>
      </c>
      <c r="R13" s="103" t="s">
        <v>342</v>
      </c>
      <c r="S13" s="103" t="s">
        <v>343</v>
      </c>
      <c r="T13" s="103" t="s">
        <v>344</v>
      </c>
      <c r="U13" s="103" t="s">
        <v>345</v>
      </c>
      <c r="V13" s="103" t="s">
        <v>340</v>
      </c>
      <c r="W13" s="107"/>
      <c r="Y13" s="106"/>
      <c r="Z13" s="103" t="s">
        <v>339</v>
      </c>
      <c r="AA13" s="103" t="s">
        <v>341</v>
      </c>
      <c r="AB13" s="103" t="s">
        <v>342</v>
      </c>
      <c r="AC13" s="103" t="s">
        <v>343</v>
      </c>
      <c r="AD13" s="103" t="s">
        <v>344</v>
      </c>
      <c r="AE13" s="103" t="s">
        <v>345</v>
      </c>
      <c r="AF13" s="103" t="s">
        <v>340</v>
      </c>
      <c r="AG13" s="107"/>
    </row>
    <row r="14" spans="1:33" ht="24" customHeight="1">
      <c r="A14" s="116" t="s">
        <v>99</v>
      </c>
      <c r="D14" s="319"/>
      <c r="E14" s="106"/>
      <c r="F14" s="101" t="str">
        <f>IF(DayWeekNo($A$2&amp;"0401")=F11,1,IF(DayWeekNo($A$2&amp;"0401")&lt;F11,E14+1,""))</f>
        <v/>
      </c>
      <c r="G14" s="101" t="str">
        <f>IF(DayWeekNo($A$2&amp;"0401")=G11,1,IF(DayWeekNo($A$2&amp;"0401")&lt;G11,F14+1,""))</f>
        <v/>
      </c>
      <c r="H14" s="101" t="str">
        <f>IF(DayWeekNo($A$2&amp;"0401")=H11,1,IF(DayWeekNo($A$2&amp;"0401")&lt;H11,G14+1,""))</f>
        <v/>
      </c>
      <c r="I14" s="101">
        <f>IF(DayWeekNo($A$2&amp;"0401")=I11,1,IF(DayWeekNo($A$2&amp;"0401")&lt;I11,H14+1,""))</f>
        <v>1</v>
      </c>
      <c r="J14" s="101">
        <f>IF(DayWeekNo($A$2&amp;"0401")=J11,1,IF(DayWeekNo($A$2&amp;"0401")&lt;J11,I14+1,""))</f>
        <v>2</v>
      </c>
      <c r="K14" s="101">
        <f>IF(DayWeekNo($A$2&amp;"0401")=K11,1,IF(DayWeekNo($A$2&amp;"0401")&lt;K11,J14+1,""))</f>
        <v>3</v>
      </c>
      <c r="L14" s="101">
        <f>IF(DayWeekNo($A$2&amp;"0401")=L11,1,IF(DayWeekNo($A$2&amp;"0401")&lt;L11,K14+1,""))</f>
        <v>4</v>
      </c>
      <c r="M14" s="105"/>
      <c r="O14" s="106"/>
      <c r="P14" s="101" t="str">
        <f>IF(DayWeekNo($A$2&amp;"0501")=P11,1,IF(DayWeekNo($A$2&amp;"0501")&lt;P11,O14+1,""))</f>
        <v/>
      </c>
      <c r="Q14" s="101" t="str">
        <f>IF(DayWeekNo($A$2&amp;"0501")=Q11,1,IF(DayWeekNo($A$2&amp;"0501")&lt;Q11,P14+1,""))</f>
        <v/>
      </c>
      <c r="R14" s="101" t="str">
        <f>IF(DayWeekNo($A$2&amp;"0501")=R11,1,IF(DayWeekNo($A$2&amp;"0501")&lt;R11,Q14+1,""))</f>
        <v/>
      </c>
      <c r="S14" s="101" t="str">
        <f>IF(DayWeekNo($A$2&amp;"0501")=S11,1,IF(DayWeekNo($A$2&amp;"0501")&lt;S11,R14+1,""))</f>
        <v/>
      </c>
      <c r="T14" s="101" t="str">
        <f>IF(DayWeekNo($A$2&amp;"0501")=T11,1,IF(DayWeekNo($A$2&amp;"0501")&lt;T11,S14+1,""))</f>
        <v/>
      </c>
      <c r="U14" s="101" t="str">
        <f>IF(DayWeekNo($A$2&amp;"0501")=U11,1,IF(DayWeekNo($A$2&amp;"0501")&lt;U11,T14+1,""))</f>
        <v/>
      </c>
      <c r="V14" s="101">
        <f>IF(DayWeekNo($A$2&amp;"0501")=V11,1,IF(DayWeekNo($A$2&amp;"0501")&lt;V11,U14+1,""))</f>
        <v>1</v>
      </c>
      <c r="W14" s="105"/>
      <c r="Y14" s="106"/>
      <c r="Z14" s="101" t="str">
        <f>IF(DayWeekNo($A$2&amp;"0601")=Z11,1,IF(DayWeekNo($A$2&amp;"0601")&lt;Z11,Y14+1,""))</f>
        <v/>
      </c>
      <c r="AA14" s="101" t="str">
        <f>IF(DayWeekNo($A$2&amp;"0601")=AA11,1,IF(DayWeekNo($A$2&amp;"0601")&lt;AA11,Z14+1,""))</f>
        <v/>
      </c>
      <c r="AB14" s="101">
        <f>IF(DayWeekNo($A$2&amp;"0601")=AB11,1,IF(DayWeekNo($A$2&amp;"0601")&lt;AB11,AA14+1,""))</f>
        <v>1</v>
      </c>
      <c r="AC14" s="101">
        <f>IF(DayWeekNo($A$2&amp;"0601")=AC11,1,IF(DayWeekNo($A$2&amp;"0601")&lt;AC11,AB14+1,""))</f>
        <v>2</v>
      </c>
      <c r="AD14" s="101">
        <f>IF(DayWeekNo($A$2&amp;"0601")=AD11,1,IF(DayWeekNo($A$2&amp;"0601")&lt;AD11,AC14+1,""))</f>
        <v>3</v>
      </c>
      <c r="AE14" s="101">
        <f>IF(DayWeekNo($A$2&amp;"0601")=AE11,1,IF(DayWeekNo($A$2&amp;"0601")&lt;AE11,AD14+1,""))</f>
        <v>4</v>
      </c>
      <c r="AF14" s="101">
        <f>IF(DayWeekNo($A$2&amp;"0601")=AF11,1,IF(DayWeekNo($A$2&amp;"0601")&lt;AF11,AE14+1,""))</f>
        <v>5</v>
      </c>
      <c r="AG14" s="105"/>
    </row>
    <row r="15" spans="1:33" ht="24" customHeight="1">
      <c r="A15" s="98" t="s">
        <v>100</v>
      </c>
      <c r="D15" s="319"/>
      <c r="E15" s="106"/>
      <c r="F15" s="101">
        <f>IFERROR(IF(L14+1&lt;=31,L14+1,""),"")</f>
        <v>5</v>
      </c>
      <c r="G15" s="101">
        <f>IFERROR(IF(F15+1&lt;=31,F15+1,""),"")</f>
        <v>6</v>
      </c>
      <c r="H15" s="101">
        <f t="shared" ref="H15:L15" si="18">IFERROR(IF(G15+1&lt;=31,G15+1,""),"")</f>
        <v>7</v>
      </c>
      <c r="I15" s="101">
        <f t="shared" si="18"/>
        <v>8</v>
      </c>
      <c r="J15" s="101">
        <f t="shared" si="18"/>
        <v>9</v>
      </c>
      <c r="K15" s="101">
        <f t="shared" si="18"/>
        <v>10</v>
      </c>
      <c r="L15" s="101">
        <f t="shared" si="18"/>
        <v>11</v>
      </c>
      <c r="M15" s="105"/>
      <c r="O15" s="106"/>
      <c r="P15" s="101">
        <f>IFERROR(IF(V14+1&lt;=31,V14+1,""),"")</f>
        <v>2</v>
      </c>
      <c r="Q15" s="101">
        <f>IFERROR(IF(P15+1&lt;=31,P15+1,""),"")</f>
        <v>3</v>
      </c>
      <c r="R15" s="101">
        <f t="shared" ref="R15:V15" si="19">IFERROR(IF(Q15+1&lt;=31,Q15+1,""),"")</f>
        <v>4</v>
      </c>
      <c r="S15" s="101">
        <f t="shared" si="19"/>
        <v>5</v>
      </c>
      <c r="T15" s="101">
        <f t="shared" si="19"/>
        <v>6</v>
      </c>
      <c r="U15" s="101">
        <f t="shared" si="19"/>
        <v>7</v>
      </c>
      <c r="V15" s="101">
        <f t="shared" si="19"/>
        <v>8</v>
      </c>
      <c r="W15" s="105"/>
      <c r="Y15" s="106"/>
      <c r="Z15" s="101">
        <f>IFERROR(IF(AF14+1&lt;=31,AF14+1,""),"")</f>
        <v>6</v>
      </c>
      <c r="AA15" s="101">
        <f>IFERROR(IF(Z15+1&lt;=31,Z15+1,""),"")</f>
        <v>7</v>
      </c>
      <c r="AB15" s="101">
        <f t="shared" ref="AB15:AF15" si="20">IFERROR(IF(AA15+1&lt;=31,AA15+1,""),"")</f>
        <v>8</v>
      </c>
      <c r="AC15" s="101">
        <f t="shared" si="20"/>
        <v>9</v>
      </c>
      <c r="AD15" s="101">
        <f t="shared" si="20"/>
        <v>10</v>
      </c>
      <c r="AE15" s="101">
        <f t="shared" si="20"/>
        <v>11</v>
      </c>
      <c r="AF15" s="101">
        <f t="shared" si="20"/>
        <v>12</v>
      </c>
      <c r="AG15" s="105"/>
    </row>
    <row r="16" spans="1:33" ht="24" customHeight="1">
      <c r="D16" s="319"/>
      <c r="E16" s="106"/>
      <c r="F16" s="101">
        <f t="shared" ref="F16:F18" si="21">IFERROR(IF(L15+1&lt;=31,L15+1,""),"")</f>
        <v>12</v>
      </c>
      <c r="G16" s="101">
        <f t="shared" ref="G16:L16" si="22">IFERROR(IF(F16+1&lt;=31,F16+1,""),"")</f>
        <v>13</v>
      </c>
      <c r="H16" s="101">
        <f t="shared" si="22"/>
        <v>14</v>
      </c>
      <c r="I16" s="101">
        <f t="shared" si="22"/>
        <v>15</v>
      </c>
      <c r="J16" s="101">
        <f t="shared" si="22"/>
        <v>16</v>
      </c>
      <c r="K16" s="101">
        <f t="shared" si="22"/>
        <v>17</v>
      </c>
      <c r="L16" s="101">
        <f t="shared" si="22"/>
        <v>18</v>
      </c>
      <c r="M16" s="105"/>
      <c r="O16" s="106"/>
      <c r="P16" s="101">
        <f t="shared" ref="P16:P18" si="23">IFERROR(IF(V15+1&lt;=31,V15+1,""),"")</f>
        <v>9</v>
      </c>
      <c r="Q16" s="101">
        <f t="shared" ref="Q16:V16" si="24">IFERROR(IF(P16+1&lt;=31,P16+1,""),"")</f>
        <v>10</v>
      </c>
      <c r="R16" s="101">
        <f t="shared" si="24"/>
        <v>11</v>
      </c>
      <c r="S16" s="101">
        <f t="shared" si="24"/>
        <v>12</v>
      </c>
      <c r="T16" s="101">
        <f t="shared" si="24"/>
        <v>13</v>
      </c>
      <c r="U16" s="101">
        <f t="shared" si="24"/>
        <v>14</v>
      </c>
      <c r="V16" s="101">
        <f t="shared" si="24"/>
        <v>15</v>
      </c>
      <c r="W16" s="105"/>
      <c r="Y16" s="106"/>
      <c r="Z16" s="101">
        <f t="shared" ref="Z16:Z19" si="25">IFERROR(IF(AF15+1&lt;=31,AF15+1,""),"")</f>
        <v>13</v>
      </c>
      <c r="AA16" s="101">
        <f t="shared" ref="AA16:AF16" si="26">IFERROR(IF(Z16+1&lt;=31,Z16+1,""),"")</f>
        <v>14</v>
      </c>
      <c r="AB16" s="101">
        <f t="shared" si="26"/>
        <v>15</v>
      </c>
      <c r="AC16" s="101">
        <f t="shared" si="26"/>
        <v>16</v>
      </c>
      <c r="AD16" s="101">
        <f t="shared" si="26"/>
        <v>17</v>
      </c>
      <c r="AE16" s="101">
        <f t="shared" si="26"/>
        <v>18</v>
      </c>
      <c r="AF16" s="101">
        <f t="shared" si="26"/>
        <v>19</v>
      </c>
      <c r="AG16" s="105"/>
    </row>
    <row r="17" spans="4:33" ht="21">
      <c r="D17" s="319"/>
      <c r="E17" s="106"/>
      <c r="F17" s="101">
        <f t="shared" si="21"/>
        <v>19</v>
      </c>
      <c r="G17" s="101">
        <f t="shared" ref="G17:L17" si="27">IFERROR(IF(F17+1&lt;=31,F17+1,""),"")</f>
        <v>20</v>
      </c>
      <c r="H17" s="101">
        <f t="shared" si="27"/>
        <v>21</v>
      </c>
      <c r="I17" s="101">
        <f t="shared" si="27"/>
        <v>22</v>
      </c>
      <c r="J17" s="101">
        <f t="shared" si="27"/>
        <v>23</v>
      </c>
      <c r="K17" s="101">
        <f t="shared" si="27"/>
        <v>24</v>
      </c>
      <c r="L17" s="101">
        <f t="shared" si="27"/>
        <v>25</v>
      </c>
      <c r="M17" s="105"/>
      <c r="O17" s="106"/>
      <c r="P17" s="101">
        <f t="shared" si="23"/>
        <v>16</v>
      </c>
      <c r="Q17" s="101">
        <f t="shared" ref="Q17:V17" si="28">IFERROR(IF(P17+1&lt;=31,P17+1,""),"")</f>
        <v>17</v>
      </c>
      <c r="R17" s="101">
        <f t="shared" si="28"/>
        <v>18</v>
      </c>
      <c r="S17" s="101">
        <f t="shared" si="28"/>
        <v>19</v>
      </c>
      <c r="T17" s="101">
        <f t="shared" si="28"/>
        <v>20</v>
      </c>
      <c r="U17" s="101">
        <f t="shared" si="28"/>
        <v>21</v>
      </c>
      <c r="V17" s="101">
        <f t="shared" si="28"/>
        <v>22</v>
      </c>
      <c r="W17" s="105"/>
      <c r="Y17" s="106"/>
      <c r="Z17" s="101">
        <f t="shared" si="25"/>
        <v>20</v>
      </c>
      <c r="AA17" s="101">
        <f t="shared" ref="AA17:AF17" si="29">IFERROR(IF(Z17+1&lt;=31,Z17+1,""),"")</f>
        <v>21</v>
      </c>
      <c r="AB17" s="101">
        <f t="shared" si="29"/>
        <v>22</v>
      </c>
      <c r="AC17" s="101">
        <f t="shared" si="29"/>
        <v>23</v>
      </c>
      <c r="AD17" s="101">
        <f t="shared" si="29"/>
        <v>24</v>
      </c>
      <c r="AE17" s="101">
        <f t="shared" si="29"/>
        <v>25</v>
      </c>
      <c r="AF17" s="101">
        <f t="shared" si="29"/>
        <v>26</v>
      </c>
      <c r="AG17" s="105"/>
    </row>
    <row r="18" spans="4:33" ht="21">
      <c r="D18" s="319"/>
      <c r="E18" s="106"/>
      <c r="F18" s="101">
        <f t="shared" si="21"/>
        <v>26</v>
      </c>
      <c r="G18" s="101">
        <f t="shared" ref="G18:L19" si="30">IFERROR(IF(F18+1&lt;=31,F18+1,""),"")</f>
        <v>27</v>
      </c>
      <c r="H18" s="101">
        <f t="shared" si="30"/>
        <v>28</v>
      </c>
      <c r="I18" s="101">
        <f t="shared" si="30"/>
        <v>29</v>
      </c>
      <c r="J18" s="101">
        <f t="shared" si="30"/>
        <v>30</v>
      </c>
      <c r="K18" s="101">
        <f t="shared" si="30"/>
        <v>31</v>
      </c>
      <c r="L18" s="101" t="str">
        <f t="shared" si="30"/>
        <v/>
      </c>
      <c r="M18" s="105"/>
      <c r="O18" s="106"/>
      <c r="P18" s="101">
        <f t="shared" si="23"/>
        <v>23</v>
      </c>
      <c r="Q18" s="101">
        <f t="shared" ref="Q18:V19" si="31">IFERROR(IF(P18+1&lt;=31,P18+1,""),"")</f>
        <v>24</v>
      </c>
      <c r="R18" s="101">
        <f t="shared" si="31"/>
        <v>25</v>
      </c>
      <c r="S18" s="101">
        <f t="shared" si="31"/>
        <v>26</v>
      </c>
      <c r="T18" s="101">
        <f t="shared" si="31"/>
        <v>27</v>
      </c>
      <c r="U18" s="101">
        <f t="shared" si="31"/>
        <v>28</v>
      </c>
      <c r="V18" s="101">
        <f t="shared" si="31"/>
        <v>29</v>
      </c>
      <c r="W18" s="105"/>
      <c r="Y18" s="106"/>
      <c r="Z18" s="101">
        <f t="shared" si="25"/>
        <v>27</v>
      </c>
      <c r="AA18" s="101">
        <f t="shared" ref="AA18:AF18" si="32">IFERROR(IF(Z18+1&lt;=31,Z18+1,""),"")</f>
        <v>28</v>
      </c>
      <c r="AB18" s="101">
        <f t="shared" si="32"/>
        <v>29</v>
      </c>
      <c r="AC18" s="101">
        <f t="shared" si="32"/>
        <v>30</v>
      </c>
      <c r="AD18" s="101">
        <f t="shared" si="32"/>
        <v>31</v>
      </c>
      <c r="AE18" s="101" t="str">
        <f t="shared" si="32"/>
        <v/>
      </c>
      <c r="AF18" s="101" t="str">
        <f t="shared" si="32"/>
        <v/>
      </c>
      <c r="AG18" s="105"/>
    </row>
    <row r="19" spans="4:33" ht="21">
      <c r="D19" s="319"/>
      <c r="E19" s="107"/>
      <c r="F19" s="101" t="str">
        <f t="shared" ref="F19" si="33">IFERROR(IF(L18+1&lt;=31,L18+1,""),"")</f>
        <v/>
      </c>
      <c r="G19" s="101" t="str">
        <f t="shared" si="30"/>
        <v/>
      </c>
      <c r="H19" s="101" t="str">
        <f t="shared" si="30"/>
        <v/>
      </c>
      <c r="I19" s="101" t="str">
        <f t="shared" si="30"/>
        <v/>
      </c>
      <c r="J19" s="101" t="str">
        <f t="shared" si="30"/>
        <v/>
      </c>
      <c r="K19" s="101" t="str">
        <f t="shared" si="30"/>
        <v/>
      </c>
      <c r="L19" s="101" t="str">
        <f t="shared" si="30"/>
        <v/>
      </c>
      <c r="O19" s="107"/>
      <c r="P19" s="101">
        <f t="shared" ref="P19" si="34">IFERROR(IF(V18+1&lt;=31,V18+1,""),"")</f>
        <v>30</v>
      </c>
      <c r="Q19" s="101">
        <f t="shared" si="31"/>
        <v>31</v>
      </c>
      <c r="R19" s="101" t="str">
        <f t="shared" si="31"/>
        <v/>
      </c>
      <c r="S19" s="101" t="str">
        <f t="shared" si="31"/>
        <v/>
      </c>
      <c r="T19" s="101" t="str">
        <f t="shared" si="31"/>
        <v/>
      </c>
      <c r="U19" s="101" t="str">
        <f t="shared" si="31"/>
        <v/>
      </c>
      <c r="V19" s="101" t="str">
        <f t="shared" si="31"/>
        <v/>
      </c>
      <c r="Y19" s="107"/>
      <c r="Z19" s="101" t="str">
        <f t="shared" si="25"/>
        <v/>
      </c>
      <c r="AA19" s="101" t="str">
        <f t="shared" ref="AA19:AF19" si="35">IFERROR(IF(Z19+1&lt;=31,Z19+1,""),"")</f>
        <v/>
      </c>
      <c r="AB19" s="101" t="str">
        <f t="shared" si="35"/>
        <v/>
      </c>
      <c r="AC19" s="101" t="str">
        <f t="shared" si="35"/>
        <v/>
      </c>
      <c r="AD19" s="101" t="str">
        <f t="shared" si="35"/>
        <v/>
      </c>
      <c r="AE19" s="101" t="str">
        <f t="shared" si="35"/>
        <v/>
      </c>
      <c r="AF19" s="101" t="str">
        <f t="shared" si="35"/>
        <v/>
      </c>
    </row>
    <row r="20" spans="4:33" ht="21">
      <c r="D20" s="111"/>
      <c r="E20" s="111"/>
      <c r="F20" s="111">
        <v>0</v>
      </c>
      <c r="G20" s="111">
        <v>1</v>
      </c>
      <c r="H20" s="111">
        <v>2</v>
      </c>
      <c r="I20" s="111">
        <v>3</v>
      </c>
      <c r="J20" s="111">
        <v>4</v>
      </c>
      <c r="K20" s="111">
        <v>5</v>
      </c>
      <c r="L20" s="111">
        <v>6</v>
      </c>
      <c r="M20" s="112"/>
      <c r="N20" s="112"/>
      <c r="O20" s="111"/>
      <c r="P20" s="111">
        <v>0</v>
      </c>
      <c r="Q20" s="111">
        <v>1</v>
      </c>
      <c r="R20" s="111">
        <v>2</v>
      </c>
      <c r="S20" s="111">
        <v>3</v>
      </c>
      <c r="T20" s="111">
        <v>4</v>
      </c>
      <c r="U20" s="111">
        <v>5</v>
      </c>
      <c r="V20" s="111">
        <v>6</v>
      </c>
      <c r="W20" s="112"/>
      <c r="X20" s="112"/>
      <c r="Y20" s="111"/>
      <c r="Z20" s="111">
        <v>0</v>
      </c>
      <c r="AA20" s="111">
        <v>1</v>
      </c>
      <c r="AB20" s="111">
        <v>2</v>
      </c>
      <c r="AC20" s="111">
        <v>3</v>
      </c>
      <c r="AD20" s="111">
        <v>4</v>
      </c>
      <c r="AE20" s="111">
        <v>5</v>
      </c>
      <c r="AF20" s="111">
        <v>6</v>
      </c>
      <c r="AG20" s="112"/>
    </row>
    <row r="21" spans="4:33" ht="25.5">
      <c r="D21" s="324" t="s">
        <v>353</v>
      </c>
      <c r="E21" s="108"/>
      <c r="F21" s="321" t="s">
        <v>354</v>
      </c>
      <c r="G21" s="321"/>
      <c r="H21" s="321"/>
      <c r="I21" s="321"/>
      <c r="J21" s="321"/>
      <c r="K21" s="321"/>
      <c r="L21" s="321"/>
      <c r="M21" s="110"/>
      <c r="O21" s="108"/>
      <c r="P21" s="321" t="s">
        <v>355</v>
      </c>
      <c r="Q21" s="321"/>
      <c r="R21" s="321"/>
      <c r="S21" s="321"/>
      <c r="T21" s="321"/>
      <c r="U21" s="321"/>
      <c r="V21" s="321"/>
      <c r="W21" s="110"/>
      <c r="Y21" s="108"/>
      <c r="Z21" s="321" t="s">
        <v>355</v>
      </c>
      <c r="AA21" s="321"/>
      <c r="AB21" s="321"/>
      <c r="AC21" s="321"/>
      <c r="AD21" s="321"/>
      <c r="AE21" s="321"/>
      <c r="AF21" s="321"/>
      <c r="AG21" s="110"/>
    </row>
    <row r="22" spans="4:33" ht="21.75" thickBot="1">
      <c r="D22" s="324"/>
      <c r="E22" s="108"/>
      <c r="F22" s="103" t="s">
        <v>339</v>
      </c>
      <c r="G22" s="103" t="s">
        <v>341</v>
      </c>
      <c r="H22" s="103" t="s">
        <v>342</v>
      </c>
      <c r="I22" s="103" t="s">
        <v>343</v>
      </c>
      <c r="J22" s="103" t="s">
        <v>344</v>
      </c>
      <c r="K22" s="103" t="s">
        <v>345</v>
      </c>
      <c r="L22" s="103" t="s">
        <v>340</v>
      </c>
      <c r="M22" s="110"/>
      <c r="O22" s="108"/>
      <c r="P22" s="103" t="s">
        <v>339</v>
      </c>
      <c r="Q22" s="103" t="s">
        <v>341</v>
      </c>
      <c r="R22" s="103" t="s">
        <v>342</v>
      </c>
      <c r="S22" s="103" t="s">
        <v>343</v>
      </c>
      <c r="T22" s="103" t="s">
        <v>344</v>
      </c>
      <c r="U22" s="103" t="s">
        <v>345</v>
      </c>
      <c r="V22" s="103" t="s">
        <v>340</v>
      </c>
      <c r="W22" s="110"/>
      <c r="Y22" s="108"/>
      <c r="Z22" s="103" t="s">
        <v>339</v>
      </c>
      <c r="AA22" s="103" t="s">
        <v>341</v>
      </c>
      <c r="AB22" s="103" t="s">
        <v>342</v>
      </c>
      <c r="AC22" s="103" t="s">
        <v>343</v>
      </c>
      <c r="AD22" s="103" t="s">
        <v>344</v>
      </c>
      <c r="AE22" s="103" t="s">
        <v>345</v>
      </c>
      <c r="AF22" s="103" t="s">
        <v>340</v>
      </c>
      <c r="AG22" s="110"/>
    </row>
    <row r="23" spans="4:33" ht="21">
      <c r="D23" s="324"/>
      <c r="E23" s="108"/>
      <c r="F23" s="101" t="str">
        <f>IF(DayWeekNo($A$2&amp;"0701")=F20,1,IF(DayWeekNo($A$2&amp;"0701")&lt;F20,E23+1,""))</f>
        <v/>
      </c>
      <c r="G23" s="101" t="str">
        <f>IF(DayWeekNo($A$2&amp;"0701")=G20,1,IF(DayWeekNo($A$2&amp;"0701")&lt;G20,F23+1,""))</f>
        <v/>
      </c>
      <c r="H23" s="101" t="str">
        <f>IF(DayWeekNo($A$2&amp;"0701")=H20,1,IF(DayWeekNo($A$2&amp;"0701")&lt;H20,G23+1,""))</f>
        <v/>
      </c>
      <c r="I23" s="101" t="str">
        <f>IF(DayWeekNo($A$2&amp;"0701")=I20,1,IF(DayWeekNo($A$2&amp;"0701")&lt;I20,H23+1,""))</f>
        <v/>
      </c>
      <c r="J23" s="101" t="str">
        <f>IF(DayWeekNo($A$2&amp;"0701")=J20,1,IF(DayWeekNo($A$2&amp;"0701")&lt;J20,I23+1,""))</f>
        <v/>
      </c>
      <c r="K23" s="101">
        <f>IF(DayWeekNo($A$2&amp;"0701")=K20,1,IF(DayWeekNo($A$2&amp;"0701")&lt;K20,J23+1,""))</f>
        <v>1</v>
      </c>
      <c r="L23" s="101">
        <f>IF(DayWeekNo($A$2&amp;"0701")=L20,1,IF(DayWeekNo($A$2&amp;"0701")&lt;L20,K23+1,""))</f>
        <v>2</v>
      </c>
      <c r="M23" s="105"/>
      <c r="O23" s="108"/>
      <c r="P23" s="101">
        <f>IF(DayWeekNo($A$2&amp;"0801")=P20,1,IF(DayWeekNo($A$2&amp;"0801")&lt;P20,O23+1,""))</f>
        <v>1</v>
      </c>
      <c r="Q23" s="101">
        <f>IF(DayWeekNo($A$2&amp;"0801")=Q20,1,IF(DayWeekNo($A$2&amp;"0801")&lt;Q20,P23+1,""))</f>
        <v>2</v>
      </c>
      <c r="R23" s="101">
        <f>IF(DayWeekNo($A$2&amp;"0801")=R20,1,IF(DayWeekNo($A$2&amp;"0801")&lt;R20,Q23+1,""))</f>
        <v>3</v>
      </c>
      <c r="S23" s="101">
        <f>IF(DayWeekNo($A$2&amp;"0801")=S20,1,IF(DayWeekNo($A$2&amp;"0801")&lt;S20,R23+1,""))</f>
        <v>4</v>
      </c>
      <c r="T23" s="101">
        <f>IF(DayWeekNo($A$2&amp;"0801")=T20,1,IF(DayWeekNo($A$2&amp;"0801")&lt;T20,S23+1,""))</f>
        <v>5</v>
      </c>
      <c r="U23" s="101">
        <f>IF(DayWeekNo($A$2&amp;"0801")=U20,1,IF(DayWeekNo($A$2&amp;"0801")&lt;U20,T23+1,""))</f>
        <v>6</v>
      </c>
      <c r="V23" s="101">
        <f>IF(DayWeekNo($A$2&amp;"0801")=V20,1,IF(DayWeekNo($A$2&amp;"0801")&lt;V20,U23+1,""))</f>
        <v>7</v>
      </c>
      <c r="W23" s="105"/>
      <c r="Y23" s="108"/>
      <c r="Z23" s="101" t="str">
        <f>IF(DayWeekNo($A$2&amp;"0901")=Z20,1,IF(DayWeekNo($A$2&amp;"0901")&lt;Z20,Y23+1,""))</f>
        <v/>
      </c>
      <c r="AA23" s="101" t="str">
        <f>IF(DayWeekNo($A$2&amp;"0901")=AA20,1,IF(DayWeekNo($A$2&amp;"0901")&lt;AA20,Z23+1,""))</f>
        <v/>
      </c>
      <c r="AB23" s="101">
        <f>IF(DayWeekNo($A$2&amp;"0901")=AB20,1,IF(DayWeekNo($A$2&amp;"0901")&lt;AB20,AA23+1,""))</f>
        <v>1</v>
      </c>
      <c r="AC23" s="101">
        <f>IF(DayWeekNo($A$2&amp;"0901")=AC20,1,IF(DayWeekNo($A$2&amp;"0901")&lt;AC20,AB23+1,""))</f>
        <v>2</v>
      </c>
      <c r="AD23" s="101">
        <f>IF(DayWeekNo($A$2&amp;"0901")=AD20,1,IF(DayWeekNo($A$2&amp;"0901")&lt;AD20,AC23+1,""))</f>
        <v>3</v>
      </c>
      <c r="AE23" s="101">
        <f>IF(DayWeekNo($A$2&amp;"0901")=AE20,1,IF(DayWeekNo($A$2&amp;"0901")&lt;AE20,AD23+1,""))</f>
        <v>4</v>
      </c>
      <c r="AF23" s="101">
        <f>IF(DayWeekNo($A$2&amp;"0901")=AF20,1,IF(DayWeekNo($A$2&amp;"0901")&lt;AF20,AE23+1,""))</f>
        <v>5</v>
      </c>
      <c r="AG23" s="105"/>
    </row>
    <row r="24" spans="4:33" ht="21">
      <c r="D24" s="324"/>
      <c r="E24" s="108"/>
      <c r="F24" s="101">
        <f>IFERROR(IF(L23+1&lt;=30,L23+1,""),"")</f>
        <v>3</v>
      </c>
      <c r="G24" s="101">
        <f>IFERROR(IF(F24+1&lt;=30,F24+1,""),"")</f>
        <v>4</v>
      </c>
      <c r="H24" s="101">
        <f t="shared" ref="H24:L24" si="36">IFERROR(IF(G24+1&lt;=30,G24+1,""),"")</f>
        <v>5</v>
      </c>
      <c r="I24" s="101">
        <f t="shared" si="36"/>
        <v>6</v>
      </c>
      <c r="J24" s="101">
        <f t="shared" si="36"/>
        <v>7</v>
      </c>
      <c r="K24" s="101">
        <f t="shared" si="36"/>
        <v>8</v>
      </c>
      <c r="L24" s="101">
        <f t="shared" si="36"/>
        <v>9</v>
      </c>
      <c r="M24" s="105"/>
      <c r="O24" s="108"/>
      <c r="P24" s="101">
        <f>IFERROR(IF(V23+1&lt;=30,V23+1,""),"")</f>
        <v>8</v>
      </c>
      <c r="Q24" s="101">
        <f>IFERROR(IF(P24+1&lt;=30,P24+1,""),"")</f>
        <v>9</v>
      </c>
      <c r="R24" s="101">
        <f t="shared" ref="R24:V24" si="37">IFERROR(IF(Q24+1&lt;=30,Q24+1,""),"")</f>
        <v>10</v>
      </c>
      <c r="S24" s="101">
        <f t="shared" si="37"/>
        <v>11</v>
      </c>
      <c r="T24" s="101">
        <f t="shared" si="37"/>
        <v>12</v>
      </c>
      <c r="U24" s="101">
        <f t="shared" si="37"/>
        <v>13</v>
      </c>
      <c r="V24" s="101">
        <f t="shared" si="37"/>
        <v>14</v>
      </c>
      <c r="W24" s="105"/>
      <c r="Y24" s="108"/>
      <c r="Z24" s="101">
        <f>IFERROR(IF(AF23+1&lt;=30,AF23+1,""),"")</f>
        <v>6</v>
      </c>
      <c r="AA24" s="101">
        <f>IFERROR(IF(Z24+1&lt;=30,Z24+1,""),"")</f>
        <v>7</v>
      </c>
      <c r="AB24" s="101">
        <f t="shared" ref="AB24:AF24" si="38">IFERROR(IF(AA24+1&lt;=30,AA24+1,""),"")</f>
        <v>8</v>
      </c>
      <c r="AC24" s="101">
        <f t="shared" si="38"/>
        <v>9</v>
      </c>
      <c r="AD24" s="101">
        <f t="shared" si="38"/>
        <v>10</v>
      </c>
      <c r="AE24" s="101">
        <f t="shared" si="38"/>
        <v>11</v>
      </c>
      <c r="AF24" s="101">
        <f t="shared" si="38"/>
        <v>12</v>
      </c>
      <c r="AG24" s="105"/>
    </row>
    <row r="25" spans="4:33" ht="21">
      <c r="D25" s="324"/>
      <c r="E25" s="108"/>
      <c r="F25" s="101">
        <f t="shared" ref="F25:F28" si="39">IFERROR(IF(L24+1&lt;=30,L24+1,""),"")</f>
        <v>10</v>
      </c>
      <c r="G25" s="101">
        <f t="shared" ref="G25:L25" si="40">IFERROR(IF(F25+1&lt;=30,F25+1,""),"")</f>
        <v>11</v>
      </c>
      <c r="H25" s="101">
        <f t="shared" si="40"/>
        <v>12</v>
      </c>
      <c r="I25" s="101">
        <f t="shared" si="40"/>
        <v>13</v>
      </c>
      <c r="J25" s="101">
        <f t="shared" si="40"/>
        <v>14</v>
      </c>
      <c r="K25" s="101">
        <f t="shared" si="40"/>
        <v>15</v>
      </c>
      <c r="L25" s="101">
        <f t="shared" si="40"/>
        <v>16</v>
      </c>
      <c r="M25" s="105"/>
      <c r="O25" s="108"/>
      <c r="P25" s="101">
        <f t="shared" ref="P25:P28" si="41">IFERROR(IF(V24+1&lt;=30,V24+1,""),"")</f>
        <v>15</v>
      </c>
      <c r="Q25" s="101">
        <f t="shared" ref="Q25:V25" si="42">IFERROR(IF(P25+1&lt;=30,P25+1,""),"")</f>
        <v>16</v>
      </c>
      <c r="R25" s="101">
        <f t="shared" si="42"/>
        <v>17</v>
      </c>
      <c r="S25" s="101">
        <f t="shared" si="42"/>
        <v>18</v>
      </c>
      <c r="T25" s="101">
        <f t="shared" si="42"/>
        <v>19</v>
      </c>
      <c r="U25" s="101">
        <f t="shared" si="42"/>
        <v>20</v>
      </c>
      <c r="V25" s="101">
        <f t="shared" si="42"/>
        <v>21</v>
      </c>
      <c r="W25" s="105"/>
      <c r="Y25" s="108"/>
      <c r="Z25" s="101">
        <f t="shared" ref="Z25:Z28" si="43">IFERROR(IF(AF24+1&lt;=30,AF24+1,""),"")</f>
        <v>13</v>
      </c>
      <c r="AA25" s="101">
        <f t="shared" ref="AA25:AF25" si="44">IFERROR(IF(Z25+1&lt;=30,Z25+1,""),"")</f>
        <v>14</v>
      </c>
      <c r="AB25" s="101">
        <f t="shared" si="44"/>
        <v>15</v>
      </c>
      <c r="AC25" s="101">
        <f t="shared" si="44"/>
        <v>16</v>
      </c>
      <c r="AD25" s="101">
        <f t="shared" si="44"/>
        <v>17</v>
      </c>
      <c r="AE25" s="101">
        <f t="shared" si="44"/>
        <v>18</v>
      </c>
      <c r="AF25" s="101">
        <f t="shared" si="44"/>
        <v>19</v>
      </c>
      <c r="AG25" s="105"/>
    </row>
    <row r="26" spans="4:33" ht="21">
      <c r="D26" s="324"/>
      <c r="E26" s="108"/>
      <c r="F26" s="101">
        <f t="shared" si="39"/>
        <v>17</v>
      </c>
      <c r="G26" s="101">
        <f t="shared" ref="G26:L26" si="45">IFERROR(IF(F26+1&lt;=30,F26+1,""),"")</f>
        <v>18</v>
      </c>
      <c r="H26" s="101">
        <f t="shared" si="45"/>
        <v>19</v>
      </c>
      <c r="I26" s="101">
        <f t="shared" si="45"/>
        <v>20</v>
      </c>
      <c r="J26" s="101">
        <f t="shared" si="45"/>
        <v>21</v>
      </c>
      <c r="K26" s="101">
        <f t="shared" si="45"/>
        <v>22</v>
      </c>
      <c r="L26" s="101">
        <f t="shared" si="45"/>
        <v>23</v>
      </c>
      <c r="M26" s="105"/>
      <c r="O26" s="108"/>
      <c r="P26" s="101">
        <f t="shared" si="41"/>
        <v>22</v>
      </c>
      <c r="Q26" s="101">
        <f t="shared" ref="Q26:V26" si="46">IFERROR(IF(P26+1&lt;=30,P26+1,""),"")</f>
        <v>23</v>
      </c>
      <c r="R26" s="101">
        <f t="shared" si="46"/>
        <v>24</v>
      </c>
      <c r="S26" s="101">
        <f t="shared" si="46"/>
        <v>25</v>
      </c>
      <c r="T26" s="101">
        <f t="shared" si="46"/>
        <v>26</v>
      </c>
      <c r="U26" s="101">
        <f t="shared" si="46"/>
        <v>27</v>
      </c>
      <c r="V26" s="101">
        <f t="shared" si="46"/>
        <v>28</v>
      </c>
      <c r="W26" s="105"/>
      <c r="Y26" s="108"/>
      <c r="Z26" s="101">
        <f t="shared" si="43"/>
        <v>20</v>
      </c>
      <c r="AA26" s="101">
        <f t="shared" ref="AA26:AF26" si="47">IFERROR(IF(Z26+1&lt;=30,Z26+1,""),"")</f>
        <v>21</v>
      </c>
      <c r="AB26" s="101">
        <f t="shared" si="47"/>
        <v>22</v>
      </c>
      <c r="AC26" s="101">
        <f t="shared" si="47"/>
        <v>23</v>
      </c>
      <c r="AD26" s="101">
        <f t="shared" si="47"/>
        <v>24</v>
      </c>
      <c r="AE26" s="101">
        <f t="shared" si="47"/>
        <v>25</v>
      </c>
      <c r="AF26" s="101">
        <f t="shared" si="47"/>
        <v>26</v>
      </c>
      <c r="AG26" s="105"/>
    </row>
    <row r="27" spans="4:33" ht="21">
      <c r="D27" s="324"/>
      <c r="E27" s="108"/>
      <c r="F27" s="101">
        <f t="shared" si="39"/>
        <v>24</v>
      </c>
      <c r="G27" s="101">
        <f t="shared" ref="G27:L27" si="48">IFERROR(IF(F27+1&lt;=30,F27+1,""),"")</f>
        <v>25</v>
      </c>
      <c r="H27" s="101">
        <f t="shared" si="48"/>
        <v>26</v>
      </c>
      <c r="I27" s="101">
        <f t="shared" si="48"/>
        <v>27</v>
      </c>
      <c r="J27" s="101">
        <f t="shared" si="48"/>
        <v>28</v>
      </c>
      <c r="K27" s="101">
        <f t="shared" si="48"/>
        <v>29</v>
      </c>
      <c r="L27" s="101">
        <f t="shared" si="48"/>
        <v>30</v>
      </c>
      <c r="M27" s="105"/>
      <c r="O27" s="108"/>
      <c r="P27" s="101">
        <f t="shared" si="41"/>
        <v>29</v>
      </c>
      <c r="Q27" s="101">
        <f t="shared" ref="Q27:V27" si="49">IFERROR(IF(P27+1&lt;=30,P27+1,""),"")</f>
        <v>30</v>
      </c>
      <c r="R27" s="101" t="str">
        <f t="shared" si="49"/>
        <v/>
      </c>
      <c r="S27" s="101" t="str">
        <f t="shared" si="49"/>
        <v/>
      </c>
      <c r="T27" s="101" t="str">
        <f t="shared" si="49"/>
        <v/>
      </c>
      <c r="U27" s="101" t="str">
        <f t="shared" si="49"/>
        <v/>
      </c>
      <c r="V27" s="101" t="str">
        <f t="shared" si="49"/>
        <v/>
      </c>
      <c r="W27" s="105"/>
      <c r="Y27" s="108"/>
      <c r="Z27" s="101">
        <f t="shared" si="43"/>
        <v>27</v>
      </c>
      <c r="AA27" s="101">
        <f t="shared" ref="AA27:AF27" si="50">IFERROR(IF(Z27+1&lt;=30,Z27+1,""),"")</f>
        <v>28</v>
      </c>
      <c r="AB27" s="101">
        <f t="shared" si="50"/>
        <v>29</v>
      </c>
      <c r="AC27" s="101">
        <f t="shared" si="50"/>
        <v>30</v>
      </c>
      <c r="AD27" s="101" t="str">
        <f t="shared" si="50"/>
        <v/>
      </c>
      <c r="AE27" s="101" t="str">
        <f t="shared" si="50"/>
        <v/>
      </c>
      <c r="AF27" s="101" t="str">
        <f t="shared" si="50"/>
        <v/>
      </c>
      <c r="AG27" s="105"/>
    </row>
    <row r="28" spans="4:33" ht="21">
      <c r="D28" s="324"/>
      <c r="E28" s="109"/>
      <c r="F28" s="101" t="str">
        <f t="shared" si="39"/>
        <v/>
      </c>
      <c r="G28" s="101" t="str">
        <f t="shared" ref="G28:L28" si="51">IFERROR(IF(F28+1&lt;=30,F28+1,""),"")</f>
        <v/>
      </c>
      <c r="H28" s="101" t="str">
        <f t="shared" si="51"/>
        <v/>
      </c>
      <c r="I28" s="101" t="str">
        <f t="shared" si="51"/>
        <v/>
      </c>
      <c r="J28" s="101" t="str">
        <f t="shared" si="51"/>
        <v/>
      </c>
      <c r="K28" s="101" t="str">
        <f t="shared" si="51"/>
        <v/>
      </c>
      <c r="L28" s="101" t="str">
        <f t="shared" si="51"/>
        <v/>
      </c>
      <c r="O28" s="109"/>
      <c r="P28" s="101" t="str">
        <f t="shared" si="41"/>
        <v/>
      </c>
      <c r="Q28" s="101" t="str">
        <f t="shared" ref="Q28:V28" si="52">IFERROR(IF(P28+1&lt;=30,P28+1,""),"")</f>
        <v/>
      </c>
      <c r="R28" s="101" t="str">
        <f t="shared" si="52"/>
        <v/>
      </c>
      <c r="S28" s="101" t="str">
        <f t="shared" si="52"/>
        <v/>
      </c>
      <c r="T28" s="101" t="str">
        <f t="shared" si="52"/>
        <v/>
      </c>
      <c r="U28" s="101" t="str">
        <f t="shared" si="52"/>
        <v/>
      </c>
      <c r="V28" s="101" t="str">
        <f t="shared" si="52"/>
        <v/>
      </c>
      <c r="Y28" s="109"/>
      <c r="Z28" s="101" t="str">
        <f t="shared" si="43"/>
        <v/>
      </c>
      <c r="AA28" s="101" t="str">
        <f t="shared" ref="AA28:AF28" si="53">IFERROR(IF(Z28+1&lt;=30,Z28+1,""),"")</f>
        <v/>
      </c>
      <c r="AB28" s="101" t="str">
        <f t="shared" si="53"/>
        <v/>
      </c>
      <c r="AC28" s="101" t="str">
        <f t="shared" si="53"/>
        <v/>
      </c>
      <c r="AD28" s="101" t="str">
        <f t="shared" si="53"/>
        <v/>
      </c>
      <c r="AE28" s="101" t="str">
        <f t="shared" si="53"/>
        <v/>
      </c>
      <c r="AF28" s="101" t="str">
        <f t="shared" si="53"/>
        <v/>
      </c>
    </row>
    <row r="29" spans="4:33" ht="21">
      <c r="D29" s="111"/>
      <c r="E29" s="111"/>
      <c r="F29" s="111">
        <v>0</v>
      </c>
      <c r="G29" s="111">
        <v>1</v>
      </c>
      <c r="H29" s="111">
        <v>2</v>
      </c>
      <c r="I29" s="111">
        <v>3</v>
      </c>
      <c r="J29" s="111">
        <v>4</v>
      </c>
      <c r="K29" s="111">
        <v>5</v>
      </c>
      <c r="L29" s="111">
        <v>6</v>
      </c>
      <c r="M29" s="112"/>
      <c r="N29" s="112"/>
      <c r="O29" s="111"/>
      <c r="P29" s="111">
        <v>0</v>
      </c>
      <c r="Q29" s="111">
        <v>1</v>
      </c>
      <c r="R29" s="111">
        <v>2</v>
      </c>
      <c r="S29" s="111">
        <v>3</v>
      </c>
      <c r="T29" s="111">
        <v>4</v>
      </c>
      <c r="U29" s="111">
        <v>5</v>
      </c>
      <c r="V29" s="111">
        <v>6</v>
      </c>
      <c r="W29" s="112"/>
      <c r="X29" s="112"/>
      <c r="Y29" s="111"/>
      <c r="Z29" s="111">
        <v>0</v>
      </c>
      <c r="AA29" s="111">
        <v>1</v>
      </c>
      <c r="AB29" s="111">
        <v>2</v>
      </c>
      <c r="AC29" s="111">
        <v>3</v>
      </c>
      <c r="AD29" s="111">
        <v>4</v>
      </c>
      <c r="AE29" s="111">
        <v>5</v>
      </c>
      <c r="AF29" s="111">
        <v>6</v>
      </c>
      <c r="AG29" s="112"/>
    </row>
    <row r="30" spans="4:33" ht="25.5">
      <c r="D30" s="322" t="s">
        <v>356</v>
      </c>
      <c r="E30" s="113"/>
      <c r="F30" s="323" t="s">
        <v>357</v>
      </c>
      <c r="G30" s="323"/>
      <c r="H30" s="323"/>
      <c r="I30" s="323"/>
      <c r="J30" s="323"/>
      <c r="K30" s="323"/>
      <c r="L30" s="323"/>
      <c r="M30" s="115"/>
      <c r="O30" s="113"/>
      <c r="P30" s="323" t="s">
        <v>358</v>
      </c>
      <c r="Q30" s="323"/>
      <c r="R30" s="323"/>
      <c r="S30" s="323"/>
      <c r="T30" s="323"/>
      <c r="U30" s="323"/>
      <c r="V30" s="323"/>
      <c r="W30" s="115"/>
      <c r="Y30" s="113"/>
      <c r="Z30" s="323" t="s">
        <v>359</v>
      </c>
      <c r="AA30" s="323"/>
      <c r="AB30" s="323"/>
      <c r="AC30" s="323"/>
      <c r="AD30" s="323"/>
      <c r="AE30" s="323"/>
      <c r="AF30" s="323"/>
      <c r="AG30" s="115"/>
    </row>
    <row r="31" spans="4:33" ht="21.75" thickBot="1">
      <c r="D31" s="322"/>
      <c r="E31" s="113"/>
      <c r="F31" s="103" t="s">
        <v>339</v>
      </c>
      <c r="G31" s="103" t="s">
        <v>341</v>
      </c>
      <c r="H31" s="103" t="s">
        <v>342</v>
      </c>
      <c r="I31" s="103" t="s">
        <v>343</v>
      </c>
      <c r="J31" s="103" t="s">
        <v>344</v>
      </c>
      <c r="K31" s="103" t="s">
        <v>345</v>
      </c>
      <c r="L31" s="103" t="s">
        <v>340</v>
      </c>
      <c r="M31" s="115"/>
      <c r="O31" s="113"/>
      <c r="P31" s="103" t="s">
        <v>339</v>
      </c>
      <c r="Q31" s="103" t="s">
        <v>341</v>
      </c>
      <c r="R31" s="103" t="s">
        <v>342</v>
      </c>
      <c r="S31" s="103" t="s">
        <v>343</v>
      </c>
      <c r="T31" s="103" t="s">
        <v>344</v>
      </c>
      <c r="U31" s="103" t="s">
        <v>345</v>
      </c>
      <c r="V31" s="103" t="s">
        <v>340</v>
      </c>
      <c r="W31" s="115"/>
      <c r="Y31" s="113"/>
      <c r="Z31" s="103" t="s">
        <v>339</v>
      </c>
      <c r="AA31" s="103" t="s">
        <v>341</v>
      </c>
      <c r="AB31" s="103" t="s">
        <v>342</v>
      </c>
      <c r="AC31" s="103" t="s">
        <v>343</v>
      </c>
      <c r="AD31" s="103" t="s">
        <v>344</v>
      </c>
      <c r="AE31" s="103" t="s">
        <v>345</v>
      </c>
      <c r="AF31" s="103" t="s">
        <v>340</v>
      </c>
      <c r="AG31" s="115"/>
    </row>
    <row r="32" spans="4:33" ht="21">
      <c r="D32" s="322"/>
      <c r="E32" s="113"/>
      <c r="F32" s="101" t="str">
        <f>IF(DayWeekNo($A$2&amp;"1001")=F29,1,IF(DayWeekNo($A$2&amp;"1001")&lt;F29,E32+1,""))</f>
        <v/>
      </c>
      <c r="G32" s="101" t="str">
        <f>IF(DayWeekNo($A$2&amp;"1001")=G29,1,IF(DayWeekNo($A$2&amp;"1001")&lt;G29,F32+1,""))</f>
        <v/>
      </c>
      <c r="H32" s="101" t="str">
        <f>IF(DayWeekNo($A$2&amp;"1001")=H29,1,IF(DayWeekNo($A$2&amp;"1001")&lt;H29,G32+1,""))</f>
        <v/>
      </c>
      <c r="I32" s="101" t="str">
        <f>IF(DayWeekNo($A$2&amp;"1001")=I29,1,IF(DayWeekNo($A$2&amp;"1001")&lt;I29,H32+1,""))</f>
        <v/>
      </c>
      <c r="J32" s="101">
        <f>IF(DayWeekNo($A$2&amp;"1001")=J29,1,IF(DayWeekNo($A$2&amp;"1001")&lt;J29,I32+1,""))</f>
        <v>1</v>
      </c>
      <c r="K32" s="101">
        <f>IF(DayWeekNo($A$2&amp;"1001")=K29,1,IF(DayWeekNo($A$2&amp;"1001")&lt;K29,J32+1,""))</f>
        <v>2</v>
      </c>
      <c r="L32" s="101">
        <f>IF(DayWeekNo($A$2&amp;"1001")=L29,1,IF(DayWeekNo($A$2&amp;"1001")&lt;L29,K32+1,""))</f>
        <v>3</v>
      </c>
      <c r="M32" s="105"/>
      <c r="O32" s="113"/>
      <c r="P32" s="101" t="str">
        <f>IF(DayWeekNo($A$2&amp;"1101")=P29,1,IF(DayWeekNo($A$2&amp;"1101")&lt;P29,O32+1,""))</f>
        <v/>
      </c>
      <c r="Q32" s="101" t="str">
        <f>IF(DayWeekNo($A$2&amp;"1101")=Q29,1,IF(DayWeekNo($A$2&amp;"1101")&lt;Q29,P32+1,""))</f>
        <v/>
      </c>
      <c r="R32" s="101" t="str">
        <f>IF(DayWeekNo($A$2&amp;"1101")=R29,1,IF(DayWeekNo($A$2&amp;"1101")&lt;R29,Q32+1,""))</f>
        <v/>
      </c>
      <c r="S32" s="101" t="str">
        <f>IF(DayWeekNo($A$2&amp;"1101")=S29,1,IF(DayWeekNo($A$2&amp;"1101")&lt;S29,R32+1,""))</f>
        <v/>
      </c>
      <c r="T32" s="101" t="str">
        <f>IF(DayWeekNo($A$2&amp;"1101")=T29,1,IF(DayWeekNo($A$2&amp;"1101")&lt;T29,S32+1,""))</f>
        <v/>
      </c>
      <c r="U32" s="101" t="str">
        <f>IF(DayWeekNo($A$2&amp;"1101")=U29,1,IF(DayWeekNo($A$2&amp;"1101")&lt;U29,T32+1,""))</f>
        <v/>
      </c>
      <c r="V32" s="101">
        <f>IF(DayWeekNo($A$2&amp;"1101")=V29,1,IF(DayWeekNo($A$2&amp;"1101")&lt;V29,U32+1,""))</f>
        <v>1</v>
      </c>
      <c r="W32" s="105"/>
      <c r="Y32" s="113"/>
      <c r="Z32" s="101" t="str">
        <f>IF(DayWeekNo($A$2&amp;"1201")=Z29,1,IF(DayWeekNo($A$2&amp;"1201")&lt;Z29,Y32+1,""))</f>
        <v/>
      </c>
      <c r="AA32" s="101">
        <f>IF(DayWeekNo($A$2&amp;"1201")=AA29,1,IF(DayWeekNo($A$2&amp;"1201")&lt;AA29,Z32+1,""))</f>
        <v>1</v>
      </c>
      <c r="AB32" s="101">
        <f>IF(DayWeekNo($A$2&amp;"1201")=AB29,1,IF(DayWeekNo($A$2&amp;"1201")&lt;AB29,AA32+1,""))</f>
        <v>2</v>
      </c>
      <c r="AC32" s="101">
        <f>IF(DayWeekNo($A$2&amp;"1201")=AC29,1,IF(DayWeekNo($A$2&amp;"1201")&lt;AC29,AB32+1,""))</f>
        <v>3</v>
      </c>
      <c r="AD32" s="101">
        <f>IF(DayWeekNo($A$2&amp;"1201")=AD29,1,IF(DayWeekNo($A$2&amp;"1201")&lt;AD29,AC32+1,""))</f>
        <v>4</v>
      </c>
      <c r="AE32" s="101">
        <f>IF(DayWeekNo($A$2&amp;"1201")=AE29,1,IF(DayWeekNo($A$2&amp;"1201")&lt;AE29,AD32+1,""))</f>
        <v>5</v>
      </c>
      <c r="AF32" s="101">
        <f>IF(DayWeekNo($A$2&amp;"1201")=AF29,1,IF(DayWeekNo($A$2&amp;"1201")&lt;AF29,AE32+1,""))</f>
        <v>6</v>
      </c>
      <c r="AG32" s="105"/>
    </row>
    <row r="33" spans="4:33" ht="21">
      <c r="D33" s="322"/>
      <c r="E33" s="113"/>
      <c r="F33" s="101">
        <f>IFERROR(IF(L32+1&lt;=30,L32+1,""),"")</f>
        <v>4</v>
      </c>
      <c r="G33" s="101">
        <f>IFERROR(IF(F33+1&lt;=30,F33+1,""),"")</f>
        <v>5</v>
      </c>
      <c r="H33" s="101">
        <f t="shared" ref="H33:L33" si="54">IFERROR(IF(G33+1&lt;=30,G33+1,""),"")</f>
        <v>6</v>
      </c>
      <c r="I33" s="101">
        <f t="shared" si="54"/>
        <v>7</v>
      </c>
      <c r="J33" s="101">
        <f t="shared" si="54"/>
        <v>8</v>
      </c>
      <c r="K33" s="101">
        <f t="shared" si="54"/>
        <v>9</v>
      </c>
      <c r="L33" s="101">
        <f t="shared" si="54"/>
        <v>10</v>
      </c>
      <c r="M33" s="105"/>
      <c r="O33" s="113"/>
      <c r="P33" s="101">
        <f>IFERROR(IF(V32+1&lt;=30,V32+1,""),"")</f>
        <v>2</v>
      </c>
      <c r="Q33" s="101">
        <f>IFERROR(IF(P33+1&lt;=30,P33+1,""),"")</f>
        <v>3</v>
      </c>
      <c r="R33" s="101">
        <f t="shared" ref="R33:V33" si="55">IFERROR(IF(Q33+1&lt;=30,Q33+1,""),"")</f>
        <v>4</v>
      </c>
      <c r="S33" s="101">
        <f t="shared" si="55"/>
        <v>5</v>
      </c>
      <c r="T33" s="101">
        <f t="shared" si="55"/>
        <v>6</v>
      </c>
      <c r="U33" s="101">
        <f t="shared" si="55"/>
        <v>7</v>
      </c>
      <c r="V33" s="101">
        <f t="shared" si="55"/>
        <v>8</v>
      </c>
      <c r="W33" s="105"/>
      <c r="Y33" s="113"/>
      <c r="Z33" s="101">
        <f>IFERROR(IF(AF32+1&lt;=29,AF32+1,""),"")</f>
        <v>7</v>
      </c>
      <c r="AA33" s="101">
        <f>IFERROR(IF(Z33+1&lt;=29,Z33+1,""),"")</f>
        <v>8</v>
      </c>
      <c r="AB33" s="101">
        <f t="shared" ref="AB33:AF33" si="56">IFERROR(IF(AA33+1&lt;=29,AA33+1,""),"")</f>
        <v>9</v>
      </c>
      <c r="AC33" s="101">
        <f t="shared" si="56"/>
        <v>10</v>
      </c>
      <c r="AD33" s="101">
        <f t="shared" si="56"/>
        <v>11</v>
      </c>
      <c r="AE33" s="101">
        <f t="shared" si="56"/>
        <v>12</v>
      </c>
      <c r="AF33" s="101">
        <f t="shared" si="56"/>
        <v>13</v>
      </c>
      <c r="AG33" s="105"/>
    </row>
    <row r="34" spans="4:33" ht="21">
      <c r="D34" s="322"/>
      <c r="E34" s="113"/>
      <c r="F34" s="101">
        <f t="shared" ref="F34:F37" si="57">IFERROR(IF(L33+1&lt;=30,L33+1,""),"")</f>
        <v>11</v>
      </c>
      <c r="G34" s="101">
        <f t="shared" ref="G34:L34" si="58">IFERROR(IF(F34+1&lt;=30,F34+1,""),"")</f>
        <v>12</v>
      </c>
      <c r="H34" s="101">
        <f t="shared" si="58"/>
        <v>13</v>
      </c>
      <c r="I34" s="101">
        <f t="shared" si="58"/>
        <v>14</v>
      </c>
      <c r="J34" s="101">
        <f t="shared" si="58"/>
        <v>15</v>
      </c>
      <c r="K34" s="101">
        <f t="shared" si="58"/>
        <v>16</v>
      </c>
      <c r="L34" s="101">
        <f t="shared" si="58"/>
        <v>17</v>
      </c>
      <c r="M34" s="105"/>
      <c r="O34" s="113"/>
      <c r="P34" s="101">
        <f t="shared" ref="P34:P37" si="59">IFERROR(IF(V33+1&lt;=30,V33+1,""),"")</f>
        <v>9</v>
      </c>
      <c r="Q34" s="101">
        <f t="shared" ref="Q34:V34" si="60">IFERROR(IF(P34+1&lt;=30,P34+1,""),"")</f>
        <v>10</v>
      </c>
      <c r="R34" s="101">
        <f t="shared" si="60"/>
        <v>11</v>
      </c>
      <c r="S34" s="101">
        <f t="shared" si="60"/>
        <v>12</v>
      </c>
      <c r="T34" s="101">
        <f t="shared" si="60"/>
        <v>13</v>
      </c>
      <c r="U34" s="101">
        <f t="shared" si="60"/>
        <v>14</v>
      </c>
      <c r="V34" s="101">
        <f t="shared" si="60"/>
        <v>15</v>
      </c>
      <c r="W34" s="105"/>
      <c r="Y34" s="113"/>
      <c r="Z34" s="101">
        <f t="shared" ref="Z34:Z36" si="61">IFERROR(IF(AF33+1&lt;=29,AF33+1,""),"")</f>
        <v>14</v>
      </c>
      <c r="AA34" s="101">
        <f t="shared" ref="AA34:AF34" si="62">IFERROR(IF(Z34+1&lt;=29,Z34+1,""),"")</f>
        <v>15</v>
      </c>
      <c r="AB34" s="101">
        <f t="shared" si="62"/>
        <v>16</v>
      </c>
      <c r="AC34" s="101">
        <f t="shared" si="62"/>
        <v>17</v>
      </c>
      <c r="AD34" s="101">
        <f t="shared" si="62"/>
        <v>18</v>
      </c>
      <c r="AE34" s="101">
        <f t="shared" si="62"/>
        <v>19</v>
      </c>
      <c r="AF34" s="101">
        <f t="shared" si="62"/>
        <v>20</v>
      </c>
      <c r="AG34" s="105"/>
    </row>
    <row r="35" spans="4:33" ht="21">
      <c r="D35" s="322"/>
      <c r="E35" s="113"/>
      <c r="F35" s="101">
        <f t="shared" si="57"/>
        <v>18</v>
      </c>
      <c r="G35" s="101">
        <f t="shared" ref="G35:L35" si="63">IFERROR(IF(F35+1&lt;=30,F35+1,""),"")</f>
        <v>19</v>
      </c>
      <c r="H35" s="101">
        <f t="shared" si="63"/>
        <v>20</v>
      </c>
      <c r="I35" s="101">
        <f t="shared" si="63"/>
        <v>21</v>
      </c>
      <c r="J35" s="101">
        <f t="shared" si="63"/>
        <v>22</v>
      </c>
      <c r="K35" s="101">
        <f t="shared" si="63"/>
        <v>23</v>
      </c>
      <c r="L35" s="101">
        <f t="shared" si="63"/>
        <v>24</v>
      </c>
      <c r="M35" s="105"/>
      <c r="O35" s="113"/>
      <c r="P35" s="101">
        <f t="shared" si="59"/>
        <v>16</v>
      </c>
      <c r="Q35" s="101">
        <f t="shared" ref="Q35:V35" si="64">IFERROR(IF(P35+1&lt;=30,P35+1,""),"")</f>
        <v>17</v>
      </c>
      <c r="R35" s="101">
        <f t="shared" si="64"/>
        <v>18</v>
      </c>
      <c r="S35" s="101">
        <f t="shared" si="64"/>
        <v>19</v>
      </c>
      <c r="T35" s="101">
        <f t="shared" si="64"/>
        <v>20</v>
      </c>
      <c r="U35" s="101">
        <f t="shared" si="64"/>
        <v>21</v>
      </c>
      <c r="V35" s="101">
        <f t="shared" si="64"/>
        <v>22</v>
      </c>
      <c r="W35" s="105"/>
      <c r="Y35" s="113"/>
      <c r="Z35" s="101">
        <f t="shared" si="61"/>
        <v>21</v>
      </c>
      <c r="AA35" s="101">
        <f t="shared" ref="AA35:AF35" si="65">IFERROR(IF(Z35+1&lt;=29,Z35+1,""),"")</f>
        <v>22</v>
      </c>
      <c r="AB35" s="101">
        <f t="shared" si="65"/>
        <v>23</v>
      </c>
      <c r="AC35" s="101">
        <f t="shared" si="65"/>
        <v>24</v>
      </c>
      <c r="AD35" s="101">
        <f t="shared" si="65"/>
        <v>25</v>
      </c>
      <c r="AE35" s="101">
        <f t="shared" si="65"/>
        <v>26</v>
      </c>
      <c r="AF35" s="101">
        <f t="shared" si="65"/>
        <v>27</v>
      </c>
      <c r="AG35" s="105"/>
    </row>
    <row r="36" spans="4:33" ht="21">
      <c r="D36" s="322"/>
      <c r="E36" s="113"/>
      <c r="F36" s="101">
        <f t="shared" si="57"/>
        <v>25</v>
      </c>
      <c r="G36" s="101">
        <f t="shared" ref="G36:L36" si="66">IFERROR(IF(F36+1&lt;=30,F36+1,""),"")</f>
        <v>26</v>
      </c>
      <c r="H36" s="101">
        <f t="shared" si="66"/>
        <v>27</v>
      </c>
      <c r="I36" s="101">
        <f t="shared" si="66"/>
        <v>28</v>
      </c>
      <c r="J36" s="101">
        <f t="shared" si="66"/>
        <v>29</v>
      </c>
      <c r="K36" s="101">
        <f t="shared" si="66"/>
        <v>30</v>
      </c>
      <c r="L36" s="101" t="str">
        <f t="shared" si="66"/>
        <v/>
      </c>
      <c r="M36" s="105"/>
      <c r="O36" s="113"/>
      <c r="P36" s="101">
        <f t="shared" si="59"/>
        <v>23</v>
      </c>
      <c r="Q36" s="101">
        <f t="shared" ref="Q36:V36" si="67">IFERROR(IF(P36+1&lt;=30,P36+1,""),"")</f>
        <v>24</v>
      </c>
      <c r="R36" s="101">
        <f t="shared" si="67"/>
        <v>25</v>
      </c>
      <c r="S36" s="101">
        <f t="shared" si="67"/>
        <v>26</v>
      </c>
      <c r="T36" s="101">
        <f t="shared" si="67"/>
        <v>27</v>
      </c>
      <c r="U36" s="101">
        <f t="shared" si="67"/>
        <v>28</v>
      </c>
      <c r="V36" s="101">
        <f t="shared" si="67"/>
        <v>29</v>
      </c>
      <c r="W36" s="105"/>
      <c r="Y36" s="113"/>
      <c r="Z36" s="101">
        <f t="shared" si="61"/>
        <v>28</v>
      </c>
      <c r="AA36" s="101">
        <f t="shared" ref="AA36:AF36" si="68">IFERROR(IF(Z36+1&lt;=29,Z36+1,""),"")</f>
        <v>29</v>
      </c>
      <c r="AB36" s="101" t="str">
        <f t="shared" si="68"/>
        <v/>
      </c>
      <c r="AC36" s="101" t="str">
        <f t="shared" si="68"/>
        <v/>
      </c>
      <c r="AD36" s="101" t="str">
        <f t="shared" si="68"/>
        <v/>
      </c>
      <c r="AE36" s="101" t="str">
        <f t="shared" si="68"/>
        <v/>
      </c>
      <c r="AF36" s="101" t="str">
        <f t="shared" si="68"/>
        <v/>
      </c>
      <c r="AG36" s="105"/>
    </row>
    <row r="37" spans="4:33" ht="21">
      <c r="D37" s="322"/>
      <c r="E37" s="114"/>
      <c r="F37" s="101" t="str">
        <f t="shared" si="57"/>
        <v/>
      </c>
      <c r="G37" s="101" t="str">
        <f t="shared" ref="G37:L37" si="69">IFERROR(IF(F37+1&lt;=30,F37+1,""),"")</f>
        <v/>
      </c>
      <c r="H37" s="101" t="str">
        <f t="shared" si="69"/>
        <v/>
      </c>
      <c r="I37" s="101" t="str">
        <f t="shared" si="69"/>
        <v/>
      </c>
      <c r="J37" s="101" t="str">
        <f t="shared" si="69"/>
        <v/>
      </c>
      <c r="K37" s="101" t="str">
        <f t="shared" si="69"/>
        <v/>
      </c>
      <c r="L37" s="101" t="str">
        <f t="shared" si="69"/>
        <v/>
      </c>
      <c r="O37" s="114"/>
      <c r="P37" s="101">
        <f t="shared" si="59"/>
        <v>30</v>
      </c>
      <c r="Q37" s="101" t="str">
        <f t="shared" ref="Q37:V37" si="70">IFERROR(IF(P37+1&lt;=30,P37+1,""),"")</f>
        <v/>
      </c>
      <c r="R37" s="101" t="str">
        <f t="shared" si="70"/>
        <v/>
      </c>
      <c r="S37" s="101" t="str">
        <f t="shared" si="70"/>
        <v/>
      </c>
      <c r="T37" s="101" t="str">
        <f t="shared" si="70"/>
        <v/>
      </c>
      <c r="U37" s="101" t="str">
        <f t="shared" si="70"/>
        <v/>
      </c>
      <c r="V37" s="101" t="str">
        <f t="shared" si="70"/>
        <v/>
      </c>
      <c r="Y37" s="114"/>
      <c r="Z37" s="101" t="str">
        <f>IFERROR(IF(AF36+1&lt;=29,AF36+1,""),"")</f>
        <v/>
      </c>
      <c r="AA37" s="101" t="str">
        <f t="shared" ref="AA37:AF37" si="71">IFERROR(IF(Z37+1&lt;=29,Z37+1,""),"")</f>
        <v/>
      </c>
      <c r="AB37" s="101" t="str">
        <f t="shared" si="71"/>
        <v/>
      </c>
      <c r="AC37" s="101" t="str">
        <f t="shared" si="71"/>
        <v/>
      </c>
      <c r="AD37" s="101" t="str">
        <f t="shared" si="71"/>
        <v/>
      </c>
      <c r="AE37" s="101" t="str">
        <f t="shared" si="71"/>
        <v/>
      </c>
      <c r="AF37" s="101" t="str">
        <f t="shared" si="71"/>
        <v/>
      </c>
    </row>
  </sheetData>
  <mergeCells count="16">
    <mergeCell ref="Z21:AF21"/>
    <mergeCell ref="D30:D37"/>
    <mergeCell ref="F30:L30"/>
    <mergeCell ref="P30:V30"/>
    <mergeCell ref="Z30:AF30"/>
    <mergeCell ref="D21:D28"/>
    <mergeCell ref="F21:L21"/>
    <mergeCell ref="P21:V21"/>
    <mergeCell ref="F12:L12"/>
    <mergeCell ref="Z3:AF3"/>
    <mergeCell ref="P12:V12"/>
    <mergeCell ref="D12:D19"/>
    <mergeCell ref="Z12:AF12"/>
    <mergeCell ref="F3:L3"/>
    <mergeCell ref="D3:D10"/>
    <mergeCell ref="P3:V3"/>
  </mergeCells>
  <conditionalFormatting sqref="F5:L10">
    <cfRule type="expression" dxfId="70" priority="1">
      <formula>COUNTIF(INDIRECT("HolidayTable[Date]"),($A$2 &amp; "01" &amp; REPT("0",(2 - LEN(F5))) &amp; F5))=1</formula>
    </cfRule>
  </conditionalFormatting>
  <hyperlinks>
    <hyperlink ref="A4" location="فهرست!A1" display="فهرست" xr:uid="{00000000-0004-0000-0800-000000000000}"/>
    <hyperlink ref="A6" location="'مدیریت وام و اقساط'!A1" display="وام و اقساط" xr:uid="{00000000-0004-0000-0800-000001000000}"/>
    <hyperlink ref="A7" location="'مدیریت چک‌ها'!A1" display="چک‌ها" xr:uid="{00000000-0004-0000-0800-000002000000}"/>
    <hyperlink ref="A8" location="'مدیریت بدهی‌ها-طلب‌ها'!A1" display="بدهی‌ها و طلب‌ها" xr:uid="{00000000-0004-0000-0800-000003000000}"/>
    <hyperlink ref="A9" location="'برنامه ریزی پرداخت‌ها'!A1" display="برنامه ریزی" xr:uid="{00000000-0004-0000-0800-000004000000}"/>
    <hyperlink ref="A10" location="تقویم!A1" display="تقویم" xr:uid="{00000000-0004-0000-0800-000005000000}"/>
    <hyperlink ref="A11" location="'بودجه بندی'!A1" display="بودجه بندی" xr:uid="{00000000-0004-0000-0800-000006000000}"/>
    <hyperlink ref="A12" location="'گزارش فعالیت‌های ماه جاری'!A1" display="ماه جاری" xr:uid="{00000000-0004-0000-0800-000007000000}"/>
    <hyperlink ref="A13" location="'جست و جو'!A1" display="جست و جو" xr:uid="{00000000-0004-0000-0800-000008000000}"/>
    <hyperlink ref="A5" location="تراکنش‌ها!A1" display="تراکنش‌ها" xr:uid="{00000000-0004-0000-0800-000009000000}"/>
    <hyperlink ref="A15" location="راهنما!A1" display="راهنما" xr:uid="{00000000-0004-0000-0800-00000A000000}"/>
    <hyperlink ref="A14" location="'تنظیمات دفترچه'!A1" display="تنظیمات دفترچه" xr:uid="{00000000-0004-0000-0800-00000B000000}"/>
  </hyperlinks>
  <pageMargins left="0.7" right="0.7" top="0.75" bottom="0.75" header="0.3" footer="0.3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">
    <tabColor theme="4"/>
  </sheetPr>
  <dimension ref="B13:J43"/>
  <sheetViews>
    <sheetView rightToLeft="1" topLeftCell="A13" workbookViewId="0"/>
  </sheetViews>
  <sheetFormatPr defaultRowHeight="15"/>
  <cols>
    <col min="7" max="7" width="11.28515625" bestFit="1" customWidth="1"/>
  </cols>
  <sheetData>
    <row r="13" spans="2:2">
      <c r="B13" t="s">
        <v>61</v>
      </c>
    </row>
    <row r="14" spans="2:2">
      <c r="B14" t="s">
        <v>60</v>
      </c>
    </row>
    <row r="15" spans="2:2">
      <c r="B15" t="s">
        <v>62</v>
      </c>
    </row>
    <row r="20" spans="2:10">
      <c r="B20" t="s">
        <v>63</v>
      </c>
    </row>
    <row r="21" spans="2:10">
      <c r="B21" t="s">
        <v>64</v>
      </c>
    </row>
    <row r="22" spans="2:10">
      <c r="B22" t="s">
        <v>65</v>
      </c>
    </row>
    <row r="24" spans="2:10">
      <c r="B24" t="s">
        <v>66</v>
      </c>
    </row>
    <row r="25" spans="2:10">
      <c r="B25" t="s">
        <v>67</v>
      </c>
    </row>
    <row r="28" spans="2:10">
      <c r="B28" t="s">
        <v>68</v>
      </c>
      <c r="J28" t="s">
        <v>82</v>
      </c>
    </row>
    <row r="29" spans="2:10">
      <c r="J29" t="s">
        <v>83</v>
      </c>
    </row>
    <row r="31" spans="2:10">
      <c r="B31" t="s">
        <v>69</v>
      </c>
    </row>
    <row r="32" spans="2:10">
      <c r="B32" t="s">
        <v>70</v>
      </c>
    </row>
    <row r="33" spans="2:7">
      <c r="B33" t="s">
        <v>71</v>
      </c>
    </row>
    <row r="34" spans="2:7">
      <c r="B34" t="s">
        <v>72</v>
      </c>
    </row>
    <row r="35" spans="2:7">
      <c r="B35" t="s">
        <v>73</v>
      </c>
    </row>
    <row r="36" spans="2:7">
      <c r="G36" t="s">
        <v>79</v>
      </c>
    </row>
    <row r="37" spans="2:7">
      <c r="B37" t="s">
        <v>74</v>
      </c>
      <c r="G37" t="s">
        <v>80</v>
      </c>
    </row>
    <row r="38" spans="2:7">
      <c r="B38" t="s">
        <v>75</v>
      </c>
      <c r="G38" s="1">
        <v>323423423</v>
      </c>
    </row>
    <row r="39" spans="2:7">
      <c r="B39" t="s">
        <v>76</v>
      </c>
    </row>
    <row r="40" spans="2:7">
      <c r="B40" t="s">
        <v>77</v>
      </c>
      <c r="G40" t="s">
        <v>81</v>
      </c>
    </row>
    <row r="41" spans="2:7">
      <c r="B41" t="s">
        <v>78</v>
      </c>
    </row>
    <row r="42" spans="2:7">
      <c r="B42" t="s">
        <v>72</v>
      </c>
    </row>
    <row r="43" spans="2:7">
      <c r="B43" t="s">
        <v>73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3">
    <tabColor theme="4"/>
  </sheetPr>
  <dimension ref="A1"/>
  <sheetViews>
    <sheetView rightToLeft="1" workbookViewId="0"/>
  </sheetViews>
  <sheetFormatPr defaultRowHeight="15"/>
  <sheetData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4">
    <tabColor theme="4"/>
  </sheetPr>
  <dimension ref="A1"/>
  <sheetViews>
    <sheetView rightToLeft="1" workbookViewId="0"/>
  </sheetViews>
  <sheetFormatPr defaultRowHeight="15"/>
  <sheetData>
    <row r="1" spans="1:1">
      <c r="A1" t="s">
        <v>11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5">
    <tabColor theme="4"/>
  </sheetPr>
  <dimension ref="A1"/>
  <sheetViews>
    <sheetView rightToLeft="1" workbookViewId="0">
      <selection activeCell="B26" sqref="B26"/>
    </sheetView>
  </sheetViews>
  <sheetFormatPr defaultRowHeight="15"/>
  <sheetData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8710D5-3DC9-491F-8E7A-B5D70B232DEF}">
  <sheetPr codeName="Sheet20">
    <tabColor rgb="FF00B0F0"/>
  </sheetPr>
  <dimension ref="A1:K87"/>
  <sheetViews>
    <sheetView rightToLeft="1" topLeftCell="A22" zoomScaleNormal="100" workbookViewId="0">
      <selection activeCell="F4" sqref="F4"/>
    </sheetView>
  </sheetViews>
  <sheetFormatPr defaultRowHeight="15"/>
  <cols>
    <col min="1" max="1" width="29.7109375" style="187" customWidth="1"/>
    <col min="2" max="2" width="0.7109375" style="267" customWidth="1"/>
    <col min="3" max="3" width="4.5703125" style="266" customWidth="1"/>
    <col min="4" max="4" width="30" style="200" customWidth="1"/>
    <col min="5" max="5" width="36.5703125" style="200" customWidth="1"/>
    <col min="6" max="6" width="9.140625" style="200" customWidth="1"/>
    <col min="7" max="7" width="18.28515625" style="200" customWidth="1"/>
    <col min="8" max="8" width="23.5703125" style="200" customWidth="1"/>
    <col min="9" max="9" width="36.5703125" style="200" customWidth="1"/>
    <col min="10" max="11" width="18.28515625" style="200" customWidth="1"/>
    <col min="12" max="12" width="29.85546875" style="266" customWidth="1"/>
    <col min="13" max="13" width="36.7109375" style="266" customWidth="1"/>
    <col min="14" max="14" width="18.42578125" style="266" customWidth="1"/>
    <col min="15" max="15" width="23.5703125" style="266" customWidth="1"/>
    <col min="16" max="16" width="36.7109375" style="266" customWidth="1"/>
    <col min="17" max="17" width="18.42578125" style="266" customWidth="1"/>
    <col min="18" max="16384" width="9.140625" style="266"/>
  </cols>
  <sheetData>
    <row r="1" spans="1:11" ht="15.75">
      <c r="A1" s="265" t="s">
        <v>1060</v>
      </c>
      <c r="B1" s="187"/>
      <c r="D1" s="201" t="s">
        <v>998</v>
      </c>
      <c r="E1" s="271" t="s">
        <v>1061</v>
      </c>
      <c r="F1" s="271"/>
      <c r="G1" s="270"/>
      <c r="H1" s="272"/>
      <c r="I1" s="272"/>
      <c r="J1" s="272"/>
      <c r="K1" s="272"/>
    </row>
    <row r="2" spans="1:11" ht="30">
      <c r="B2" s="187"/>
      <c r="D2" s="202" t="s">
        <v>983</v>
      </c>
      <c r="E2" s="202" t="s">
        <v>17</v>
      </c>
      <c r="F2" s="202" t="s">
        <v>1084</v>
      </c>
      <c r="G2" s="203" t="s">
        <v>1091</v>
      </c>
      <c r="H2" s="202" t="s">
        <v>1008</v>
      </c>
      <c r="I2" s="202" t="s">
        <v>1119</v>
      </c>
      <c r="J2" s="202" t="s">
        <v>1001</v>
      </c>
      <c r="K2" s="202" t="s">
        <v>996</v>
      </c>
    </row>
    <row r="3" spans="1:11" ht="18.75">
      <c r="A3" s="9" t="s">
        <v>8</v>
      </c>
      <c r="B3" s="187"/>
      <c r="D3" s="204" t="s">
        <v>989</v>
      </c>
      <c r="E3" s="204" t="s">
        <v>999</v>
      </c>
      <c r="F3" s="204" t="s">
        <v>1086</v>
      </c>
      <c r="G3" s="205">
        <v>50000000</v>
      </c>
      <c r="H3" s="204" t="s">
        <v>1055</v>
      </c>
      <c r="I3" s="204"/>
      <c r="J3" s="204" t="s">
        <v>1056</v>
      </c>
      <c r="K3" s="206" t="s">
        <v>1050</v>
      </c>
    </row>
    <row r="4" spans="1:11" ht="19.5" thickBot="1">
      <c r="A4" s="197" t="s">
        <v>115</v>
      </c>
      <c r="B4" s="187"/>
      <c r="D4" s="207" t="s">
        <v>989</v>
      </c>
      <c r="E4" s="207" t="s">
        <v>1020</v>
      </c>
      <c r="F4" s="207" t="s">
        <v>1089</v>
      </c>
      <c r="G4" s="208"/>
      <c r="H4" s="207" t="s">
        <v>1055</v>
      </c>
      <c r="I4" s="207"/>
      <c r="J4" s="207"/>
      <c r="K4" s="209"/>
    </row>
    <row r="5" spans="1:11" ht="18.75">
      <c r="A5" s="10" t="s">
        <v>102</v>
      </c>
      <c r="B5" s="187"/>
      <c r="D5" s="210" t="s">
        <v>984</v>
      </c>
      <c r="E5" s="210" t="s">
        <v>1018</v>
      </c>
      <c r="F5" s="210"/>
      <c r="G5" s="211"/>
      <c r="H5" s="212" t="s">
        <v>1010</v>
      </c>
      <c r="I5" s="210" t="s">
        <v>1019</v>
      </c>
      <c r="J5" s="213" t="s">
        <v>1058</v>
      </c>
      <c r="K5" s="214"/>
    </row>
    <row r="6" spans="1:11" ht="19.5" thickBot="1">
      <c r="A6" s="11" t="s">
        <v>103</v>
      </c>
      <c r="B6" s="187"/>
      <c r="D6" s="215" t="s">
        <v>984</v>
      </c>
      <c r="E6" s="216" t="s">
        <v>1017</v>
      </c>
      <c r="F6" s="216"/>
      <c r="G6" s="217"/>
      <c r="H6" s="216" t="s">
        <v>1010</v>
      </c>
      <c r="I6" s="216"/>
      <c r="J6" s="216"/>
      <c r="K6" s="216"/>
    </row>
    <row r="7" spans="1:11" ht="19.5" thickBot="1">
      <c r="A7" s="33" t="s">
        <v>104</v>
      </c>
      <c r="B7" s="187"/>
      <c r="D7" s="218" t="s">
        <v>990</v>
      </c>
      <c r="E7" s="219" t="s">
        <v>1011</v>
      </c>
      <c r="F7" s="215" t="s">
        <v>1088</v>
      </c>
      <c r="G7" s="208"/>
      <c r="H7" s="207" t="s">
        <v>1055</v>
      </c>
      <c r="I7" s="218"/>
      <c r="J7" s="220"/>
      <c r="K7" s="221"/>
    </row>
    <row r="8" spans="1:11" ht="19.5" thickBot="1">
      <c r="A8" s="198" t="s">
        <v>110</v>
      </c>
      <c r="B8" s="187"/>
      <c r="D8" s="219" t="s">
        <v>991</v>
      </c>
      <c r="E8" s="219" t="s">
        <v>1012</v>
      </c>
      <c r="F8" s="223" t="s">
        <v>1088</v>
      </c>
      <c r="G8" s="222"/>
      <c r="H8" s="223" t="s">
        <v>1055</v>
      </c>
      <c r="I8" s="219"/>
      <c r="J8" s="224"/>
      <c r="K8" s="224"/>
    </row>
    <row r="9" spans="1:11" ht="18.75">
      <c r="A9" s="13" t="s">
        <v>89</v>
      </c>
      <c r="B9" s="187"/>
      <c r="D9" s="225" t="s">
        <v>993</v>
      </c>
      <c r="E9" s="225" t="s">
        <v>1013</v>
      </c>
      <c r="F9" s="210"/>
      <c r="G9" s="226"/>
      <c r="H9" s="210" t="s">
        <v>1014</v>
      </c>
      <c r="I9" s="225"/>
      <c r="J9" s="213" t="s">
        <v>1057</v>
      </c>
      <c r="K9" s="227"/>
    </row>
    <row r="10" spans="1:11" ht="19.5" thickBot="1">
      <c r="A10" s="199" t="s">
        <v>7</v>
      </c>
      <c r="B10" s="187"/>
      <c r="D10" s="228" t="s">
        <v>993</v>
      </c>
      <c r="E10" s="228" t="s">
        <v>1032</v>
      </c>
      <c r="F10" s="294"/>
      <c r="G10" s="205"/>
      <c r="H10" s="215" t="s">
        <v>1055</v>
      </c>
      <c r="I10" s="228"/>
      <c r="J10" s="215"/>
      <c r="K10" s="229"/>
    </row>
    <row r="11" spans="1:11" ht="19.5" thickBot="1">
      <c r="A11" s="14" t="s">
        <v>105</v>
      </c>
      <c r="B11" s="187"/>
      <c r="D11" s="230" t="s">
        <v>992</v>
      </c>
      <c r="E11" s="230" t="s">
        <v>1034</v>
      </c>
      <c r="F11" s="295"/>
      <c r="G11" s="222"/>
      <c r="H11" s="223" t="s">
        <v>1055</v>
      </c>
      <c r="I11" s="230"/>
      <c r="J11" s="223"/>
      <c r="K11" s="231"/>
    </row>
    <row r="12" spans="1:11" ht="18.75">
      <c r="A12" s="15" t="s">
        <v>98</v>
      </c>
      <c r="B12" s="187"/>
      <c r="D12" s="225" t="s">
        <v>994</v>
      </c>
      <c r="E12" s="225" t="s">
        <v>1021</v>
      </c>
      <c r="F12" s="210"/>
      <c r="G12" s="226"/>
      <c r="H12" s="232" t="s">
        <v>1055</v>
      </c>
      <c r="I12" s="225"/>
      <c r="J12" s="213"/>
      <c r="K12" s="227"/>
    </row>
    <row r="13" spans="1:11" ht="15.75" thickBot="1">
      <c r="B13" s="187"/>
      <c r="D13" s="228" t="s">
        <v>994</v>
      </c>
      <c r="E13" s="228" t="s">
        <v>1015</v>
      </c>
      <c r="F13" s="233"/>
      <c r="G13" s="217"/>
      <c r="H13" s="233" t="s">
        <v>1016</v>
      </c>
      <c r="I13" s="228"/>
      <c r="J13" s="215" t="s">
        <v>1005</v>
      </c>
      <c r="K13" s="229"/>
    </row>
    <row r="14" spans="1:11" ht="30">
      <c r="A14" s="136" t="s">
        <v>1007</v>
      </c>
      <c r="D14" s="225" t="s">
        <v>1025</v>
      </c>
      <c r="E14" s="225" t="s">
        <v>1023</v>
      </c>
      <c r="F14" s="210"/>
      <c r="G14" s="211"/>
      <c r="H14" s="232" t="s">
        <v>1055</v>
      </c>
      <c r="I14" s="225"/>
      <c r="J14" s="213"/>
      <c r="K14" s="227"/>
    </row>
    <row r="15" spans="1:11" ht="15.75" thickBot="1">
      <c r="A15" s="136" t="s">
        <v>989</v>
      </c>
      <c r="D15" s="228" t="s">
        <v>1025</v>
      </c>
      <c r="E15" s="228" t="s">
        <v>1022</v>
      </c>
      <c r="F15" s="233"/>
      <c r="G15" s="217"/>
      <c r="H15" s="234" t="s">
        <v>1055</v>
      </c>
      <c r="I15" s="228"/>
      <c r="J15" s="215"/>
      <c r="K15" s="229"/>
    </row>
    <row r="16" spans="1:11" ht="30.75" thickBot="1">
      <c r="A16" s="136" t="s">
        <v>984</v>
      </c>
      <c r="D16" s="230" t="s">
        <v>1027</v>
      </c>
      <c r="E16" s="230" t="s">
        <v>1024</v>
      </c>
      <c r="F16" s="295"/>
      <c r="G16" s="235"/>
      <c r="H16" s="236" t="s">
        <v>1055</v>
      </c>
      <c r="I16" s="230" t="s">
        <v>1029</v>
      </c>
      <c r="J16" s="215" t="s">
        <v>123</v>
      </c>
      <c r="K16" s="231"/>
    </row>
    <row r="17" spans="1:11" ht="15.75" thickBot="1">
      <c r="A17" s="136" t="s">
        <v>990</v>
      </c>
      <c r="D17" s="230" t="s">
        <v>1000</v>
      </c>
      <c r="E17" s="230" t="s">
        <v>1030</v>
      </c>
      <c r="F17" s="295"/>
      <c r="G17" s="235"/>
      <c r="H17" s="237" t="s">
        <v>1055</v>
      </c>
      <c r="I17" s="230"/>
      <c r="J17" s="215"/>
      <c r="K17" s="231"/>
    </row>
    <row r="18" spans="1:11" ht="15.75" thickBot="1">
      <c r="A18" s="136" t="s">
        <v>991</v>
      </c>
      <c r="D18" s="238"/>
      <c r="E18" s="238"/>
      <c r="F18" s="238"/>
      <c r="G18" s="239"/>
      <c r="H18" s="238"/>
      <c r="I18" s="238"/>
      <c r="J18" s="238"/>
      <c r="K18" s="238"/>
    </row>
    <row r="19" spans="1:11" ht="16.5" thickTop="1" thickBot="1">
      <c r="A19" s="136" t="s">
        <v>993</v>
      </c>
      <c r="D19" s="240" t="s">
        <v>985</v>
      </c>
      <c r="E19" s="240" t="s">
        <v>1031</v>
      </c>
      <c r="F19" s="240"/>
      <c r="G19" s="241">
        <v>-45000000</v>
      </c>
      <c r="H19" s="240" t="s">
        <v>1036</v>
      </c>
      <c r="I19" s="240"/>
      <c r="J19" s="240" t="s">
        <v>1003</v>
      </c>
      <c r="K19" s="242"/>
    </row>
    <row r="20" spans="1:11" ht="15.75" thickBot="1">
      <c r="A20" s="136" t="s">
        <v>992</v>
      </c>
      <c r="D20" s="243" t="s">
        <v>987</v>
      </c>
      <c r="E20" s="243" t="s">
        <v>1035</v>
      </c>
      <c r="F20" s="243"/>
      <c r="G20" s="244"/>
      <c r="H20" s="245" t="s">
        <v>1037</v>
      </c>
      <c r="I20" s="215"/>
      <c r="J20" s="215"/>
      <c r="K20" s="221"/>
    </row>
    <row r="21" spans="1:11" ht="30.75" thickBot="1">
      <c r="A21" s="136" t="s">
        <v>994</v>
      </c>
      <c r="D21" s="219" t="s">
        <v>1026</v>
      </c>
      <c r="E21" s="219" t="s">
        <v>1038</v>
      </c>
      <c r="F21" s="223"/>
      <c r="G21" s="246"/>
      <c r="H21" s="219" t="s">
        <v>1037</v>
      </c>
      <c r="I21" s="219"/>
      <c r="J21" s="219" t="s">
        <v>123</v>
      </c>
      <c r="K21" s="247"/>
    </row>
    <row r="22" spans="1:11" ht="45.75" thickBot="1">
      <c r="A22" s="136" t="s">
        <v>1025</v>
      </c>
      <c r="D22" s="243" t="s">
        <v>1028</v>
      </c>
      <c r="E22" s="243" t="s">
        <v>1039</v>
      </c>
      <c r="F22" s="215"/>
      <c r="G22" s="217"/>
      <c r="H22" s="219" t="s">
        <v>1037</v>
      </c>
      <c r="I22" s="215" t="s">
        <v>1040</v>
      </c>
      <c r="J22" s="215"/>
      <c r="K22" s="215"/>
    </row>
    <row r="23" spans="1:11">
      <c r="A23" s="136" t="s">
        <v>1027</v>
      </c>
      <c r="D23" s="248" t="s">
        <v>988</v>
      </c>
      <c r="E23" s="248" t="s">
        <v>1042</v>
      </c>
      <c r="F23" s="213"/>
      <c r="G23" s="211"/>
      <c r="H23" s="218" t="s">
        <v>1043</v>
      </c>
      <c r="I23" s="213"/>
      <c r="J23" s="213" t="s">
        <v>1004</v>
      </c>
      <c r="K23" s="213"/>
    </row>
    <row r="24" spans="1:11" ht="30.75" thickBot="1">
      <c r="A24" s="268" t="s">
        <v>1000</v>
      </c>
      <c r="D24" s="243" t="s">
        <v>988</v>
      </c>
      <c r="E24" s="220" t="s">
        <v>1041</v>
      </c>
      <c r="F24" s="296"/>
      <c r="G24" s="249"/>
      <c r="H24" s="250" t="s">
        <v>1043</v>
      </c>
      <c r="I24" s="243"/>
      <c r="J24" s="243"/>
      <c r="K24" s="221"/>
    </row>
    <row r="25" spans="1:11" ht="16.5" thickTop="1" thickBot="1">
      <c r="A25" s="136" t="s">
        <v>985</v>
      </c>
      <c r="D25" s="219" t="s">
        <v>995</v>
      </c>
      <c r="E25" s="219" t="s">
        <v>1042</v>
      </c>
      <c r="F25" s="219"/>
      <c r="G25" s="251"/>
      <c r="H25" s="219" t="s">
        <v>1043</v>
      </c>
      <c r="I25" s="219"/>
      <c r="J25" s="219"/>
      <c r="K25" s="219"/>
    </row>
    <row r="26" spans="1:11" ht="15.75" thickBot="1">
      <c r="A26" s="136" t="s">
        <v>987</v>
      </c>
      <c r="D26" s="252" t="s">
        <v>1009</v>
      </c>
      <c r="E26" s="253" t="s">
        <v>1044</v>
      </c>
      <c r="F26" s="253"/>
      <c r="G26" s="254"/>
      <c r="H26" s="253" t="s">
        <v>1045</v>
      </c>
      <c r="I26" s="253"/>
      <c r="J26" s="253"/>
      <c r="K26" s="255"/>
    </row>
    <row r="27" spans="1:11" ht="16.5" thickTop="1" thickBot="1">
      <c r="A27" s="136" t="s">
        <v>1026</v>
      </c>
      <c r="D27" s="256" t="s">
        <v>986</v>
      </c>
      <c r="E27" s="256" t="s">
        <v>1047</v>
      </c>
      <c r="F27" s="256"/>
      <c r="G27" s="257"/>
      <c r="H27" s="256" t="s">
        <v>1049</v>
      </c>
      <c r="I27" s="256" t="s">
        <v>1048</v>
      </c>
      <c r="J27" s="256"/>
      <c r="K27" s="258"/>
    </row>
    <row r="28" spans="1:11" ht="15.75" thickBot="1">
      <c r="A28" s="136" t="s">
        <v>1028</v>
      </c>
      <c r="D28" s="215" t="s">
        <v>986</v>
      </c>
      <c r="E28" s="215" t="s">
        <v>1051</v>
      </c>
      <c r="F28" s="215"/>
      <c r="G28" s="217"/>
      <c r="H28" s="215" t="s">
        <v>1049</v>
      </c>
      <c r="I28" s="215" t="s">
        <v>1052</v>
      </c>
      <c r="J28" s="215"/>
      <c r="K28" s="259"/>
    </row>
    <row r="29" spans="1:11" ht="15.75" thickBot="1">
      <c r="A29" s="136" t="s">
        <v>988</v>
      </c>
      <c r="D29" s="260" t="s">
        <v>986</v>
      </c>
      <c r="E29" s="260" t="s">
        <v>1053</v>
      </c>
      <c r="F29" s="260"/>
      <c r="G29" s="261"/>
      <c r="H29" s="260" t="s">
        <v>1054</v>
      </c>
      <c r="I29" s="260"/>
      <c r="J29" s="260" t="s">
        <v>1006</v>
      </c>
      <c r="K29" s="260"/>
    </row>
    <row r="30" spans="1:11" ht="16.5" thickTop="1" thickBot="1">
      <c r="A30" s="136" t="s">
        <v>995</v>
      </c>
      <c r="D30" s="253" t="s">
        <v>986</v>
      </c>
      <c r="E30" s="253" t="s">
        <v>1033</v>
      </c>
      <c r="F30" s="253"/>
      <c r="G30" s="254">
        <v>-5000000</v>
      </c>
      <c r="H30" s="253"/>
      <c r="I30" s="253" t="s">
        <v>1046</v>
      </c>
      <c r="J30" s="253"/>
      <c r="K30" s="253"/>
    </row>
    <row r="31" spans="1:11" ht="15.75" thickTop="1">
      <c r="A31" s="141" t="s">
        <v>1009</v>
      </c>
      <c r="D31" s="263"/>
      <c r="E31" s="262" t="s">
        <v>997</v>
      </c>
      <c r="F31" s="262"/>
      <c r="G31" s="264">
        <f>SUBTOTAL(109,BudgetTable[مبلغ بودجه (ریال)])</f>
        <v>0</v>
      </c>
      <c r="H31" s="262"/>
      <c r="I31" s="262"/>
      <c r="J31" s="262"/>
      <c r="K31" s="263"/>
    </row>
    <row r="32" spans="1:11">
      <c r="A32" s="136" t="s">
        <v>986</v>
      </c>
    </row>
    <row r="34" spans="1:1">
      <c r="A34" s="136" t="s">
        <v>1002</v>
      </c>
    </row>
    <row r="35" spans="1:1">
      <c r="A35" s="136" t="s">
        <v>123</v>
      </c>
    </row>
    <row r="36" spans="1:1">
      <c r="A36" s="269" t="s">
        <v>1058</v>
      </c>
    </row>
    <row r="37" spans="1:1">
      <c r="A37" s="136" t="s">
        <v>1056</v>
      </c>
    </row>
    <row r="38" spans="1:1">
      <c r="A38" s="136" t="s">
        <v>1003</v>
      </c>
    </row>
    <row r="39" spans="1:1">
      <c r="A39" s="136" t="s">
        <v>1004</v>
      </c>
    </row>
    <row r="40" spans="1:1">
      <c r="A40" s="136" t="s">
        <v>1057</v>
      </c>
    </row>
    <row r="41" spans="1:1">
      <c r="A41" s="136" t="s">
        <v>1005</v>
      </c>
    </row>
    <row r="42" spans="1:1">
      <c r="A42" s="136" t="s">
        <v>1006</v>
      </c>
    </row>
    <row r="44" spans="1:1">
      <c r="A44" s="67" t="s">
        <v>1085</v>
      </c>
    </row>
    <row r="45" spans="1:1">
      <c r="A45" s="67" t="s">
        <v>1086</v>
      </c>
    </row>
    <row r="46" spans="1:1">
      <c r="A46" s="67" t="s">
        <v>1087</v>
      </c>
    </row>
    <row r="47" spans="1:1">
      <c r="A47" s="67" t="s">
        <v>1088</v>
      </c>
    </row>
    <row r="48" spans="1:1">
      <c r="A48" s="67" t="s">
        <v>1089</v>
      </c>
    </row>
    <row r="49" spans="1:1">
      <c r="A49" s="67" t="s">
        <v>1090</v>
      </c>
    </row>
    <row r="87" spans="1:1">
      <c r="A87" s="187" t="s">
        <v>123</v>
      </c>
    </row>
  </sheetData>
  <conditionalFormatting sqref="D3:K30">
    <cfRule type="expression" dxfId="69" priority="1">
      <formula xml:space="preserve"> "پرداخت شد" = $J3</formula>
    </cfRule>
    <cfRule type="expression" dxfId="68" priority="2">
      <formula xml:space="preserve"> "صادر شد" = $J3</formula>
    </cfRule>
    <cfRule type="expression" dxfId="67" priority="3">
      <formula xml:space="preserve"> "خریداری شد" = $J3</formula>
    </cfRule>
    <cfRule type="expression" dxfId="66" priority="4">
      <formula xml:space="preserve"> "دریافت شد" = $J3</formula>
    </cfRule>
    <cfRule type="expression" dxfId="65" priority="5">
      <formula xml:space="preserve"> "باطل شد" = $J3</formula>
    </cfRule>
    <cfRule type="expression" dxfId="64" priority="14">
      <formula xml:space="preserve"> "به فروش رسید" = $J3</formula>
    </cfRule>
    <cfRule type="expression" dxfId="63" priority="15">
      <formula xml:space="preserve"> "----------" = $J3</formula>
    </cfRule>
    <cfRule type="expression" dxfId="62" priority="16">
      <formula xml:space="preserve"> "-" = $J3</formula>
    </cfRule>
    <cfRule type="expression" dxfId="61" priority="17">
      <formula xml:space="preserve"> "S" = $F3</formula>
    </cfRule>
    <cfRule type="expression" dxfId="60" priority="18">
      <formula xml:space="preserve"> "A" = $F3</formula>
    </cfRule>
    <cfRule type="expression" dxfId="59" priority="19">
      <formula xml:space="preserve"> "B" = $F3</formula>
    </cfRule>
    <cfRule type="expression" dxfId="58" priority="20">
      <formula xml:space="preserve"> "C" = $F3</formula>
    </cfRule>
    <cfRule type="expression" dxfId="57" priority="21">
      <formula xml:space="preserve"> "D" = $F3</formula>
    </cfRule>
  </conditionalFormatting>
  <dataValidations count="3">
    <dataValidation type="list" allowBlank="1" showInputMessage="1" showErrorMessage="1" sqref="J3:J30" xr:uid="{2401327C-5D6C-49CD-90E8-C2C36E90CFE1}">
      <formula1>$A$35:$A$42</formula1>
    </dataValidation>
    <dataValidation type="list" allowBlank="1" showInputMessage="1" showErrorMessage="1" sqref="D3:D30" xr:uid="{98D912E9-A278-4054-AD6F-DCB48BD2E3FE}">
      <formula1>$A$15:$A$32</formula1>
    </dataValidation>
    <dataValidation type="list" allowBlank="1" showInputMessage="1" showErrorMessage="1" sqref="F3:F30" xr:uid="{EAF26F24-1C37-4DD8-8D8B-F6998C6B17A0}">
      <formula1>$A$45:$A$49</formula1>
    </dataValidation>
  </dataValidations>
  <hyperlinks>
    <hyperlink ref="A3" location="فهرست!A1" display="فهرست" xr:uid="{187EA6C5-AE66-4BC1-BDF0-2D2A25BD447F}"/>
    <hyperlink ref="A5" location="'مدیریت وام و اقساط'!A1" display="وام و اقساط" xr:uid="{27E7669D-935D-413A-ACFA-8DD3351D1F29}"/>
    <hyperlink ref="A6" location="'مدیریت چک‌ها'!A1" display="چک‌ها" xr:uid="{C24AD195-279F-4311-8E65-02A8E500B1B1}"/>
    <hyperlink ref="A7" location="'مدیریت بدهی‌ها-طلب‌ها'!A1" display="بدهی‌ها و طلب‌ها" xr:uid="{1D1B721C-0A17-496E-973A-83A1DFD9DF4B}"/>
    <hyperlink ref="A8" location="'برنامه ریزی پرداخت‌ها'!A1" display="برنامه ریزی" xr:uid="{0C796A91-9930-401B-89E8-7ED4DC992A93}"/>
    <hyperlink ref="A9" location="تقویم!A1" display="تقویم" xr:uid="{14C50D90-92FF-4E28-92B4-E34739F23AD8}"/>
    <hyperlink ref="A10" location="'تنظیمات حساب'!A1" display="تنظیمات حساب" xr:uid="{D30EB5A8-9D3D-4E76-87E8-A3FA39CC14E8}"/>
    <hyperlink ref="A11" location="'گزارش فعالیت‌های ماه جاری'!A1" display="ماه جاری" xr:uid="{3CDFCEE1-F9AE-4050-A87A-7DFF788D9EF2}"/>
    <hyperlink ref="A12" location="'جست و جو'!A1" display="جست و جو" xr:uid="{3B34CFF8-8E82-476C-9235-8B9CBCE78A8B}"/>
    <hyperlink ref="A4" location="تراکنش‌ها!A1" display="تراکنش‌ها" xr:uid="{37FE43BD-64AE-4072-BD06-7A9A3AEA5393}"/>
    <hyperlink ref="K3" r:id="rId1" xr:uid="{26089A42-4AC1-4FE7-8261-4D386B07371B}"/>
  </hyperlinks>
  <pageMargins left="0.7" right="0.7" top="0.75" bottom="0.75" header="0.3" footer="0.3"/>
  <pageSetup orientation="portrait" r:id="rId2"/>
  <tableParts count="4">
    <tablePart r:id="rId3"/>
    <tablePart r:id="rId4"/>
    <tablePart r:id="rId5"/>
    <tablePart r:id="rId6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BBD07B-C52A-4492-BCA8-AC51EC170087}">
  <sheetPr>
    <tabColor theme="3" tint="0.39997558519241921"/>
  </sheetPr>
  <dimension ref="A1:AX2110"/>
  <sheetViews>
    <sheetView rightToLeft="1" zoomScaleNormal="100" workbookViewId="0">
      <selection activeCell="A3" sqref="A3"/>
    </sheetView>
  </sheetViews>
  <sheetFormatPr defaultRowHeight="15"/>
  <cols>
    <col min="1" max="1" width="29.85546875" style="187" customWidth="1"/>
    <col min="2" max="2" width="0.7109375" style="267" customWidth="1"/>
    <col min="3" max="3" width="4.5703125" style="266" customWidth="1"/>
    <col min="4" max="4" width="6.85546875" style="284" customWidth="1"/>
    <col min="5" max="5" width="18.28515625" style="285" customWidth="1"/>
    <col min="6" max="6" width="36.5703125" style="285" customWidth="1"/>
    <col min="7" max="8" width="18.28515625" style="286" customWidth="1"/>
    <col min="9" max="10" width="18.28515625" style="285" customWidth="1"/>
    <col min="11" max="11" width="36.5703125" style="285" customWidth="1"/>
    <col min="12" max="12" width="4.5703125" style="273" customWidth="1"/>
    <col min="13" max="13" width="30" style="273" customWidth="1"/>
    <col min="14" max="14" width="36.5703125" style="273" customWidth="1"/>
    <col min="15" max="15" width="9.140625" style="274" customWidth="1"/>
    <col min="16" max="16" width="18.28515625" style="274" customWidth="1"/>
    <col min="17" max="17" width="23.5703125" style="274" customWidth="1"/>
    <col min="18" max="18" width="36.5703125" style="274" customWidth="1"/>
    <col min="19" max="20" width="18.28515625" style="274" customWidth="1"/>
    <col min="21" max="21" width="4.5703125" style="274" customWidth="1"/>
    <col min="22" max="35" width="18.28515625" style="274" customWidth="1"/>
    <col min="36" max="16384" width="9.140625" style="274"/>
  </cols>
  <sheetData>
    <row r="1" spans="1:50" ht="15.75">
      <c r="A1" s="265" t="s">
        <v>1059</v>
      </c>
      <c r="B1" s="187"/>
      <c r="D1" s="275" t="s">
        <v>1</v>
      </c>
      <c r="E1" s="276" t="s">
        <v>0</v>
      </c>
      <c r="F1" s="276" t="s">
        <v>1063</v>
      </c>
      <c r="G1" s="277" t="s">
        <v>2</v>
      </c>
      <c r="H1" s="277" t="s">
        <v>6</v>
      </c>
      <c r="I1" s="276" t="s">
        <v>5</v>
      </c>
      <c r="J1" s="276" t="s">
        <v>1064</v>
      </c>
      <c r="K1" s="276" t="s">
        <v>1119</v>
      </c>
      <c r="M1" s="297" t="s">
        <v>1096</v>
      </c>
      <c r="N1" s="297"/>
      <c r="O1" s="376"/>
      <c r="P1" s="376"/>
      <c r="Q1" s="376"/>
      <c r="R1" s="376"/>
      <c r="S1" s="376"/>
      <c r="T1" s="376"/>
      <c r="AW1" s="273"/>
      <c r="AX1" s="273"/>
    </row>
    <row r="2" spans="1:50" ht="30">
      <c r="B2" s="187"/>
      <c r="D2" s="278">
        <v>1</v>
      </c>
      <c r="E2" s="279" t="s">
        <v>1074</v>
      </c>
      <c r="F2" s="279" t="s">
        <v>1078</v>
      </c>
      <c r="G2" s="280">
        <v>6000000</v>
      </c>
      <c r="H2" s="280"/>
      <c r="I2" s="279" t="s">
        <v>1080</v>
      </c>
      <c r="J2" s="279"/>
      <c r="K2" s="279"/>
      <c r="M2" s="202" t="s">
        <v>983</v>
      </c>
      <c r="N2" s="202" t="s">
        <v>17</v>
      </c>
      <c r="O2" s="202" t="s">
        <v>1084</v>
      </c>
      <c r="P2" s="203" t="s">
        <v>1091</v>
      </c>
      <c r="Q2" s="202" t="s">
        <v>1008</v>
      </c>
      <c r="R2" s="202" t="s">
        <v>1119</v>
      </c>
      <c r="S2" s="202" t="s">
        <v>1001</v>
      </c>
      <c r="T2" s="202" t="s">
        <v>996</v>
      </c>
      <c r="AW2" s="273"/>
      <c r="AX2" s="273"/>
    </row>
    <row r="3" spans="1:50" ht="18.75">
      <c r="A3" s="9" t="s">
        <v>8</v>
      </c>
      <c r="B3" s="187"/>
      <c r="D3" s="278">
        <v>2</v>
      </c>
      <c r="E3" s="279" t="s">
        <v>1074</v>
      </c>
      <c r="F3" s="279" t="s">
        <v>1079</v>
      </c>
      <c r="G3" s="280">
        <v>6000000</v>
      </c>
      <c r="H3" s="280"/>
      <c r="I3" s="279" t="s">
        <v>1080</v>
      </c>
      <c r="J3" s="279"/>
      <c r="K3" s="279"/>
      <c r="M3" s="204" t="s">
        <v>1093</v>
      </c>
      <c r="N3" s="204" t="s">
        <v>1097</v>
      </c>
      <c r="O3" s="204" t="s">
        <v>1086</v>
      </c>
      <c r="P3" s="205">
        <v>4000000</v>
      </c>
      <c r="Q3" s="204" t="s">
        <v>1055</v>
      </c>
      <c r="R3" s="204"/>
      <c r="S3" s="204" t="s">
        <v>1056</v>
      </c>
      <c r="T3" s="300" t="s">
        <v>1095</v>
      </c>
      <c r="AW3" s="273"/>
      <c r="AX3" s="273"/>
    </row>
    <row r="4" spans="1:50" ht="18.75">
      <c r="A4" s="197" t="s">
        <v>115</v>
      </c>
      <c r="B4" s="187"/>
      <c r="D4" s="278">
        <v>3</v>
      </c>
      <c r="E4" s="279" t="s">
        <v>1074</v>
      </c>
      <c r="F4" s="279" t="s">
        <v>1075</v>
      </c>
      <c r="G4" s="280">
        <v>-10000000</v>
      </c>
      <c r="H4" s="280"/>
      <c r="I4" s="279" t="s">
        <v>1072</v>
      </c>
      <c r="J4" s="279"/>
      <c r="K4" s="279"/>
      <c r="M4" s="204" t="s">
        <v>1093</v>
      </c>
      <c r="N4" s="204" t="s">
        <v>1097</v>
      </c>
      <c r="O4" s="204" t="s">
        <v>1086</v>
      </c>
      <c r="P4" s="205">
        <v>4000000</v>
      </c>
      <c r="Q4" s="204" t="s">
        <v>1099</v>
      </c>
      <c r="R4" s="294"/>
      <c r="S4" s="302" t="s">
        <v>123</v>
      </c>
      <c r="T4" s="301"/>
      <c r="AW4" s="273"/>
      <c r="AX4" s="273"/>
    </row>
    <row r="5" spans="1:50" ht="15.75" thickBot="1">
      <c r="A5" s="289"/>
      <c r="B5" s="187"/>
      <c r="D5" s="278">
        <v>4</v>
      </c>
      <c r="E5" s="279" t="s">
        <v>1074</v>
      </c>
      <c r="F5" s="279" t="s">
        <v>1076</v>
      </c>
      <c r="G5" s="280">
        <v>-1000000</v>
      </c>
      <c r="H5" s="280"/>
      <c r="I5" s="279" t="s">
        <v>1071</v>
      </c>
      <c r="J5" s="279"/>
      <c r="K5" s="279"/>
      <c r="M5" s="215" t="s">
        <v>1093</v>
      </c>
      <c r="N5" s="215" t="s">
        <v>1097</v>
      </c>
      <c r="O5" s="215" t="s">
        <v>1086</v>
      </c>
      <c r="P5" s="217">
        <v>4000000</v>
      </c>
      <c r="Q5" s="215" t="s">
        <v>1100</v>
      </c>
      <c r="R5" s="233"/>
      <c r="S5" s="207"/>
      <c r="T5" s="259"/>
      <c r="AW5" s="273"/>
      <c r="AX5" s="273"/>
    </row>
    <row r="6" spans="1:50" ht="16.5" thickBot="1">
      <c r="A6" s="290" t="s">
        <v>1062</v>
      </c>
      <c r="B6" s="187"/>
      <c r="D6" s="278">
        <v>5</v>
      </c>
      <c r="E6" s="279" t="s">
        <v>1074</v>
      </c>
      <c r="F6" s="279" t="s">
        <v>1077</v>
      </c>
      <c r="G6" s="280">
        <v>-1000000</v>
      </c>
      <c r="H6" s="280"/>
      <c r="I6" s="279" t="s">
        <v>1072</v>
      </c>
      <c r="J6" s="279"/>
      <c r="K6" s="279"/>
      <c r="M6" s="215" t="s">
        <v>984</v>
      </c>
      <c r="N6" s="215" t="s">
        <v>1101</v>
      </c>
      <c r="O6" s="215" t="s">
        <v>1090</v>
      </c>
      <c r="P6" s="217"/>
      <c r="Q6" s="215" t="s">
        <v>1010</v>
      </c>
      <c r="R6" s="215"/>
      <c r="S6" s="215" t="s">
        <v>1058</v>
      </c>
      <c r="T6" s="259"/>
      <c r="AW6" s="273"/>
      <c r="AX6" s="273"/>
    </row>
    <row r="7" spans="1:50" ht="16.5" thickBot="1">
      <c r="A7" s="315">
        <f>CommonBillTable[[#Totals],[مبلغ (ریال)]]</f>
        <v>0</v>
      </c>
      <c r="B7" s="187"/>
      <c r="D7" s="278" t="s">
        <v>145</v>
      </c>
      <c r="E7" s="282"/>
      <c r="F7" s="282"/>
      <c r="G7" s="280">
        <f>SUBTOTAL(109,CommonBillTable[مبلغ (ریال)])</f>
        <v>0</v>
      </c>
      <c r="H7" s="283"/>
      <c r="I7" s="282"/>
      <c r="J7" s="282"/>
      <c r="K7" s="282"/>
      <c r="M7" s="238"/>
      <c r="N7" s="238"/>
      <c r="O7" s="238"/>
      <c r="P7" s="239"/>
      <c r="Q7" s="238"/>
      <c r="R7" s="238"/>
      <c r="S7" s="238"/>
      <c r="T7" s="238"/>
      <c r="AW7" s="273"/>
      <c r="AX7" s="273"/>
    </row>
    <row r="8" spans="1:50" ht="15.75" thickTop="1">
      <c r="A8" s="124"/>
      <c r="B8" s="187"/>
      <c r="M8" s="303" t="s">
        <v>225</v>
      </c>
      <c r="N8" s="303" t="s">
        <v>1098</v>
      </c>
      <c r="O8" s="303" t="s">
        <v>1086</v>
      </c>
      <c r="P8" s="304">
        <v>-7000000</v>
      </c>
      <c r="Q8" s="303" t="s">
        <v>1036</v>
      </c>
      <c r="R8" s="303"/>
      <c r="S8" s="303"/>
      <c r="T8" s="305"/>
      <c r="AW8" s="273"/>
      <c r="AX8" s="273"/>
    </row>
    <row r="9" spans="1:50">
      <c r="A9" s="124"/>
      <c r="B9" s="187"/>
      <c r="K9" s="298"/>
      <c r="M9" s="309" t="s">
        <v>985</v>
      </c>
      <c r="N9" s="309" t="s">
        <v>1076</v>
      </c>
      <c r="O9" s="302" t="s">
        <v>1089</v>
      </c>
      <c r="P9" s="310"/>
      <c r="Q9" s="204" t="s">
        <v>1036</v>
      </c>
      <c r="R9" s="309"/>
      <c r="S9" s="302"/>
      <c r="T9" s="306"/>
      <c r="AW9" s="273"/>
      <c r="AX9" s="273"/>
    </row>
    <row r="10" spans="1:50">
      <c r="A10" s="124"/>
      <c r="B10" s="187"/>
      <c r="K10" s="298"/>
      <c r="M10" s="309" t="s">
        <v>985</v>
      </c>
      <c r="N10" s="309" t="s">
        <v>1102</v>
      </c>
      <c r="O10" s="302" t="s">
        <v>1089</v>
      </c>
      <c r="P10" s="310"/>
      <c r="Q10" s="204" t="s">
        <v>1036</v>
      </c>
      <c r="R10" s="309"/>
      <c r="S10" s="302"/>
      <c r="T10" s="306"/>
      <c r="AW10" s="273"/>
      <c r="AX10" s="273"/>
    </row>
    <row r="11" spans="1:50">
      <c r="A11" s="287" t="s">
        <v>1066</v>
      </c>
      <c r="B11" s="187"/>
      <c r="K11" s="298"/>
      <c r="M11" s="204" t="s">
        <v>985</v>
      </c>
      <c r="N11" s="204" t="s">
        <v>1077</v>
      </c>
      <c r="O11" s="204" t="s">
        <v>1089</v>
      </c>
      <c r="P11" s="205"/>
      <c r="Q11" s="204" t="s">
        <v>1036</v>
      </c>
      <c r="R11" s="204"/>
      <c r="S11" s="204"/>
      <c r="T11" s="206"/>
      <c r="AW11" s="273"/>
      <c r="AX11" s="273"/>
    </row>
    <row r="12" spans="1:50">
      <c r="A12" s="281" t="s">
        <v>1067</v>
      </c>
      <c r="B12" s="187"/>
      <c r="K12" s="298"/>
      <c r="M12" s="294" t="s">
        <v>985</v>
      </c>
      <c r="N12" s="294" t="s">
        <v>1103</v>
      </c>
      <c r="O12" s="302" t="s">
        <v>1087</v>
      </c>
      <c r="P12" s="310"/>
      <c r="Q12" s="204" t="s">
        <v>1036</v>
      </c>
      <c r="R12" s="309"/>
      <c r="S12" s="302"/>
      <c r="T12" s="311"/>
      <c r="AW12" s="273"/>
      <c r="AX12" s="273"/>
    </row>
    <row r="13" spans="1:50" ht="15.75" thickBot="1">
      <c r="A13" s="281" t="s">
        <v>1068</v>
      </c>
      <c r="B13" s="187"/>
      <c r="K13" s="298"/>
      <c r="M13" s="233" t="s">
        <v>985</v>
      </c>
      <c r="N13" s="233" t="s">
        <v>1104</v>
      </c>
      <c r="O13" s="215" t="s">
        <v>1088</v>
      </c>
      <c r="P13" s="312"/>
      <c r="Q13" s="215" t="s">
        <v>1036</v>
      </c>
      <c r="R13" s="313"/>
      <c r="S13" s="215"/>
      <c r="T13" s="259"/>
      <c r="AW13" s="273"/>
      <c r="AX13" s="273"/>
    </row>
    <row r="14" spans="1:50" ht="15.75" thickBot="1">
      <c r="A14" s="281" t="s">
        <v>1092</v>
      </c>
      <c r="K14" s="298"/>
      <c r="M14" s="295" t="s">
        <v>987</v>
      </c>
      <c r="N14" s="295" t="s">
        <v>1109</v>
      </c>
      <c r="O14" s="223" t="s">
        <v>1087</v>
      </c>
      <c r="P14" s="235"/>
      <c r="Q14" s="223" t="s">
        <v>1036</v>
      </c>
      <c r="R14" s="295"/>
      <c r="S14" s="223"/>
      <c r="T14" s="314"/>
      <c r="AW14" s="273"/>
      <c r="AX14" s="273"/>
    </row>
    <row r="15" spans="1:50">
      <c r="A15" s="291"/>
      <c r="K15" s="298"/>
      <c r="M15" s="294" t="s">
        <v>986</v>
      </c>
      <c r="N15" s="294" t="s">
        <v>1107</v>
      </c>
      <c r="O15" s="204"/>
      <c r="P15" s="308"/>
      <c r="Q15" s="307" t="s">
        <v>1054</v>
      </c>
      <c r="R15" s="307"/>
      <c r="S15" s="204"/>
      <c r="T15" s="311"/>
      <c r="AW15" s="273"/>
      <c r="AX15" s="273"/>
    </row>
    <row r="16" spans="1:50">
      <c r="A16" s="67" t="s">
        <v>1094</v>
      </c>
      <c r="K16" s="298"/>
      <c r="M16" s="294" t="s">
        <v>986</v>
      </c>
      <c r="N16" s="294" t="s">
        <v>1108</v>
      </c>
      <c r="O16" s="302"/>
      <c r="P16" s="310"/>
      <c r="Q16" s="309" t="s">
        <v>1036</v>
      </c>
      <c r="R16" s="309"/>
      <c r="S16" s="302"/>
      <c r="T16" s="311"/>
      <c r="AW16" s="273"/>
      <c r="AX16" s="273"/>
    </row>
    <row r="17" spans="1:50" ht="15.75" thickBot="1">
      <c r="A17" s="67" t="s">
        <v>1093</v>
      </c>
      <c r="K17" s="298"/>
      <c r="M17" s="253" t="s">
        <v>1009</v>
      </c>
      <c r="N17" s="253" t="s">
        <v>1105</v>
      </c>
      <c r="O17" s="253" t="s">
        <v>1090</v>
      </c>
      <c r="P17" s="254"/>
      <c r="Q17" s="253" t="s">
        <v>1106</v>
      </c>
      <c r="R17" s="253"/>
      <c r="S17" s="253"/>
      <c r="T17" s="253" t="s">
        <v>123</v>
      </c>
      <c r="AW17" s="273"/>
      <c r="AX17" s="273"/>
    </row>
    <row r="18" spans="1:50" ht="16.5" thickTop="1" thickBot="1">
      <c r="A18" s="299" t="s">
        <v>984</v>
      </c>
      <c r="K18" s="298"/>
      <c r="M18" s="263"/>
      <c r="N18" s="262" t="s">
        <v>997</v>
      </c>
      <c r="O18" s="262"/>
      <c r="P18" s="264">
        <f>SUBTOTAL(109,CommonEnvironmentBudgetTable140010[مبلغ بودجه (ریال)])</f>
        <v>5000000</v>
      </c>
      <c r="Q18" s="262"/>
      <c r="R18" s="262"/>
      <c r="S18" s="262"/>
      <c r="T18" s="263"/>
      <c r="AW18" s="273"/>
      <c r="AX18" s="273"/>
    </row>
    <row r="19" spans="1:50" ht="15.75" thickTop="1">
      <c r="A19" s="67" t="s">
        <v>225</v>
      </c>
      <c r="K19" s="298"/>
      <c r="AW19" s="273"/>
      <c r="AX19" s="273"/>
    </row>
    <row r="20" spans="1:50">
      <c r="A20" s="67" t="s">
        <v>985</v>
      </c>
      <c r="K20" s="298"/>
      <c r="AW20" s="273"/>
      <c r="AX20" s="273"/>
    </row>
    <row r="21" spans="1:50">
      <c r="A21" s="67" t="s">
        <v>987</v>
      </c>
      <c r="K21" s="298"/>
      <c r="AW21" s="273"/>
      <c r="AX21" s="273"/>
    </row>
    <row r="22" spans="1:50">
      <c r="A22" s="67" t="s">
        <v>986</v>
      </c>
      <c r="K22" s="298"/>
      <c r="AW22" s="273"/>
      <c r="AX22" s="273"/>
    </row>
    <row r="23" spans="1:50">
      <c r="A23" s="67" t="s">
        <v>1009</v>
      </c>
      <c r="K23" s="298"/>
      <c r="AW23" s="273"/>
      <c r="AX23" s="273"/>
    </row>
    <row r="24" spans="1:50">
      <c r="K24" s="298"/>
      <c r="AW24" s="273"/>
      <c r="AX24" s="273"/>
    </row>
    <row r="25" spans="1:50">
      <c r="A25" s="67" t="s">
        <v>1085</v>
      </c>
      <c r="K25" s="298"/>
      <c r="AW25" s="273"/>
      <c r="AX25" s="273"/>
    </row>
    <row r="26" spans="1:50">
      <c r="A26" s="67" t="s">
        <v>1086</v>
      </c>
      <c r="K26" s="298"/>
      <c r="AW26" s="273"/>
      <c r="AX26" s="273"/>
    </row>
    <row r="27" spans="1:50">
      <c r="A27" s="67" t="s">
        <v>1087</v>
      </c>
      <c r="K27" s="298"/>
      <c r="AW27" s="273"/>
      <c r="AX27" s="273"/>
    </row>
    <row r="28" spans="1:50">
      <c r="A28" s="67" t="s">
        <v>1088</v>
      </c>
      <c r="AW28" s="273"/>
      <c r="AX28" s="273"/>
    </row>
    <row r="29" spans="1:50">
      <c r="A29" s="67" t="s">
        <v>1089</v>
      </c>
      <c r="AW29" s="273"/>
      <c r="AX29" s="273"/>
    </row>
    <row r="30" spans="1:50">
      <c r="A30" s="67" t="s">
        <v>1090</v>
      </c>
      <c r="AW30" s="273"/>
      <c r="AX30" s="273"/>
    </row>
    <row r="31" spans="1:50">
      <c r="AW31" s="273"/>
      <c r="AX31" s="273"/>
    </row>
    <row r="32" spans="1:50">
      <c r="A32" s="136" t="s">
        <v>1002</v>
      </c>
      <c r="AW32" s="273"/>
      <c r="AX32" s="273"/>
    </row>
    <row r="33" spans="1:50">
      <c r="A33" s="136" t="s">
        <v>123</v>
      </c>
      <c r="AW33" s="273"/>
      <c r="AX33" s="273"/>
    </row>
    <row r="34" spans="1:50">
      <c r="A34" s="269" t="s">
        <v>1058</v>
      </c>
      <c r="AW34" s="273"/>
      <c r="AX34" s="273"/>
    </row>
    <row r="35" spans="1:50">
      <c r="A35" s="136" t="s">
        <v>1056</v>
      </c>
      <c r="AW35" s="273"/>
      <c r="AX35" s="273"/>
    </row>
    <row r="36" spans="1:50">
      <c r="A36" s="136" t="s">
        <v>1003</v>
      </c>
      <c r="AW36" s="273"/>
      <c r="AX36" s="273"/>
    </row>
    <row r="37" spans="1:50">
      <c r="A37" s="136" t="s">
        <v>1006</v>
      </c>
      <c r="AW37" s="273"/>
      <c r="AX37" s="273"/>
    </row>
    <row r="38" spans="1:50">
      <c r="AW38" s="273"/>
      <c r="AX38" s="273"/>
    </row>
    <row r="39" spans="1:50">
      <c r="A39" s="287" t="s">
        <v>1065</v>
      </c>
      <c r="AW39" s="273"/>
      <c r="AX39" s="273"/>
    </row>
    <row r="40" spans="1:50" ht="15.75" thickBot="1">
      <c r="A40" s="292" t="s">
        <v>1080</v>
      </c>
      <c r="AW40" s="273"/>
      <c r="AX40" s="273"/>
    </row>
    <row r="41" spans="1:50" ht="15.75" thickTop="1">
      <c r="A41" s="281" t="s">
        <v>1069</v>
      </c>
      <c r="AW41" s="273"/>
      <c r="AX41" s="273"/>
    </row>
    <row r="42" spans="1:50">
      <c r="A42" s="281" t="s">
        <v>1070</v>
      </c>
      <c r="AW42" s="273"/>
      <c r="AX42" s="273"/>
    </row>
    <row r="43" spans="1:50">
      <c r="A43" s="281" t="s">
        <v>1071</v>
      </c>
      <c r="AW43" s="273"/>
      <c r="AX43" s="273"/>
    </row>
    <row r="44" spans="1:50">
      <c r="A44" s="281" t="s">
        <v>1072</v>
      </c>
      <c r="AW44" s="273"/>
      <c r="AX44" s="273"/>
    </row>
    <row r="45" spans="1:50">
      <c r="A45" s="281" t="s">
        <v>1073</v>
      </c>
      <c r="AW45" s="273"/>
      <c r="AX45" s="273"/>
    </row>
    <row r="46" spans="1:50">
      <c r="A46" s="281" t="s">
        <v>1083</v>
      </c>
      <c r="AW46" s="273"/>
      <c r="AX46" s="273"/>
    </row>
    <row r="47" spans="1:50">
      <c r="A47" s="281" t="s">
        <v>1082</v>
      </c>
      <c r="AW47" s="273"/>
      <c r="AX47" s="273"/>
    </row>
    <row r="48" spans="1:50">
      <c r="A48" s="281" t="s">
        <v>1081</v>
      </c>
      <c r="AW48" s="273"/>
      <c r="AX48" s="273"/>
    </row>
    <row r="49" spans="1:50">
      <c r="AW49" s="273"/>
      <c r="AX49" s="273"/>
    </row>
    <row r="50" spans="1:50">
      <c r="AW50" s="273"/>
      <c r="AX50" s="273"/>
    </row>
    <row r="51" spans="1:50">
      <c r="AW51" s="273"/>
      <c r="AX51" s="273"/>
    </row>
    <row r="52" spans="1:50">
      <c r="AW52" s="273"/>
      <c r="AX52" s="273"/>
    </row>
    <row r="53" spans="1:50">
      <c r="AW53" s="273"/>
      <c r="AX53" s="273"/>
    </row>
    <row r="54" spans="1:50">
      <c r="AW54" s="273"/>
      <c r="AX54" s="273"/>
    </row>
    <row r="55" spans="1:50">
      <c r="AW55" s="273"/>
      <c r="AX55" s="273"/>
    </row>
    <row r="56" spans="1:50">
      <c r="AW56" s="273"/>
      <c r="AX56" s="273"/>
    </row>
    <row r="57" spans="1:50">
      <c r="A57" s="288"/>
      <c r="AW57" s="273"/>
      <c r="AX57" s="273"/>
    </row>
    <row r="58" spans="1:50">
      <c r="A58" s="288"/>
      <c r="AW58" s="273"/>
      <c r="AX58" s="273"/>
    </row>
    <row r="59" spans="1:50">
      <c r="A59" s="288"/>
      <c r="AW59" s="273"/>
      <c r="AX59" s="273"/>
    </row>
    <row r="60" spans="1:50">
      <c r="A60" s="288"/>
      <c r="AW60" s="273"/>
      <c r="AX60" s="273"/>
    </row>
    <row r="61" spans="1:50">
      <c r="A61" s="288"/>
      <c r="AW61" s="273"/>
      <c r="AX61" s="273"/>
    </row>
    <row r="62" spans="1:50">
      <c r="A62" s="288"/>
      <c r="AW62" s="273"/>
      <c r="AX62" s="273"/>
    </row>
    <row r="63" spans="1:50">
      <c r="A63" s="288"/>
      <c r="AW63" s="273"/>
      <c r="AX63" s="273"/>
    </row>
    <row r="64" spans="1:50">
      <c r="A64" s="288"/>
      <c r="AW64" s="273"/>
      <c r="AX64" s="273"/>
    </row>
    <row r="65" spans="1:50">
      <c r="A65" s="288"/>
      <c r="AW65" s="273"/>
      <c r="AX65" s="273"/>
    </row>
    <row r="66" spans="1:50">
      <c r="A66" s="288"/>
      <c r="AW66" s="273"/>
      <c r="AX66" s="273"/>
    </row>
    <row r="67" spans="1:50">
      <c r="A67" s="288"/>
      <c r="AW67" s="273"/>
      <c r="AX67" s="273"/>
    </row>
    <row r="68" spans="1:50">
      <c r="A68" s="288"/>
      <c r="AW68" s="273"/>
      <c r="AX68" s="273"/>
    </row>
    <row r="69" spans="1:50">
      <c r="A69" s="288"/>
      <c r="AW69" s="273"/>
      <c r="AX69" s="273"/>
    </row>
    <row r="70" spans="1:50">
      <c r="A70" s="288"/>
      <c r="AW70" s="273"/>
      <c r="AX70" s="273"/>
    </row>
    <row r="71" spans="1:50">
      <c r="A71" s="288"/>
      <c r="AW71" s="273"/>
      <c r="AX71" s="273"/>
    </row>
    <row r="72" spans="1:50">
      <c r="A72" s="288"/>
      <c r="AW72" s="273"/>
      <c r="AX72" s="273"/>
    </row>
    <row r="73" spans="1:50">
      <c r="A73" s="288"/>
      <c r="AW73" s="273"/>
      <c r="AX73" s="273"/>
    </row>
    <row r="74" spans="1:50">
      <c r="A74" s="288"/>
      <c r="AW74" s="273"/>
      <c r="AX74" s="273"/>
    </row>
    <row r="75" spans="1:50">
      <c r="A75" s="288"/>
      <c r="AW75" s="273"/>
      <c r="AX75" s="273"/>
    </row>
    <row r="76" spans="1:50">
      <c r="A76" s="288"/>
      <c r="AW76" s="273"/>
      <c r="AX76" s="273"/>
    </row>
    <row r="77" spans="1:50">
      <c r="A77" s="288"/>
      <c r="AW77" s="273"/>
      <c r="AX77" s="273"/>
    </row>
    <row r="78" spans="1:50">
      <c r="A78" s="288"/>
      <c r="AW78" s="273"/>
      <c r="AX78" s="273"/>
    </row>
    <row r="79" spans="1:50">
      <c r="A79" s="288"/>
      <c r="AW79" s="273"/>
      <c r="AX79" s="273"/>
    </row>
    <row r="80" spans="1:50">
      <c r="A80" s="288"/>
      <c r="AW80" s="273"/>
      <c r="AX80" s="273"/>
    </row>
    <row r="81" spans="1:50">
      <c r="A81" s="288"/>
      <c r="AW81" s="273"/>
      <c r="AX81" s="273"/>
    </row>
    <row r="82" spans="1:50">
      <c r="A82" s="288"/>
      <c r="AW82" s="273"/>
      <c r="AX82" s="273"/>
    </row>
    <row r="83" spans="1:50">
      <c r="A83" s="288"/>
      <c r="AW83" s="273"/>
      <c r="AX83" s="273"/>
    </row>
    <row r="84" spans="1:50">
      <c r="A84" s="288"/>
      <c r="AW84" s="273"/>
      <c r="AX84" s="273"/>
    </row>
    <row r="85" spans="1:50">
      <c r="A85" s="288" t="s">
        <v>123</v>
      </c>
      <c r="AW85" s="273"/>
      <c r="AX85" s="273"/>
    </row>
    <row r="86" spans="1:50">
      <c r="AW86" s="273"/>
      <c r="AX86" s="273"/>
    </row>
    <row r="87" spans="1:50">
      <c r="AW87" s="273"/>
      <c r="AX87" s="273"/>
    </row>
    <row r="88" spans="1:50">
      <c r="AW88" s="273"/>
      <c r="AX88" s="273"/>
    </row>
    <row r="89" spans="1:50">
      <c r="AW89" s="273"/>
      <c r="AX89" s="273"/>
    </row>
    <row r="90" spans="1:50">
      <c r="AW90" s="273"/>
      <c r="AX90" s="273"/>
    </row>
    <row r="91" spans="1:50">
      <c r="AW91" s="273"/>
      <c r="AX91" s="273"/>
    </row>
    <row r="92" spans="1:50">
      <c r="AW92" s="273"/>
      <c r="AX92" s="273"/>
    </row>
    <row r="93" spans="1:50">
      <c r="AW93" s="273"/>
      <c r="AX93" s="273"/>
    </row>
    <row r="94" spans="1:50">
      <c r="AW94" s="273"/>
      <c r="AX94" s="273"/>
    </row>
    <row r="95" spans="1:50">
      <c r="AW95" s="273"/>
      <c r="AX95" s="273"/>
    </row>
    <row r="96" spans="1:50">
      <c r="AW96" s="273"/>
      <c r="AX96" s="273"/>
    </row>
    <row r="97" spans="49:50">
      <c r="AW97" s="273"/>
      <c r="AX97" s="273"/>
    </row>
    <row r="98" spans="49:50">
      <c r="AW98" s="273"/>
      <c r="AX98" s="273"/>
    </row>
    <row r="99" spans="49:50">
      <c r="AW99" s="273"/>
      <c r="AX99" s="273"/>
    </row>
    <row r="100" spans="49:50">
      <c r="AW100" s="273"/>
      <c r="AX100" s="273"/>
    </row>
    <row r="101" spans="49:50">
      <c r="AW101" s="273"/>
      <c r="AX101" s="273"/>
    </row>
    <row r="102" spans="49:50">
      <c r="AW102" s="273"/>
      <c r="AX102" s="273"/>
    </row>
    <row r="103" spans="49:50">
      <c r="AW103" s="273"/>
      <c r="AX103" s="273"/>
    </row>
    <row r="104" spans="49:50">
      <c r="AW104" s="273"/>
      <c r="AX104" s="273"/>
    </row>
    <row r="105" spans="49:50">
      <c r="AW105" s="273"/>
      <c r="AX105" s="273"/>
    </row>
    <row r="106" spans="49:50">
      <c r="AW106" s="273"/>
      <c r="AX106" s="273"/>
    </row>
    <row r="107" spans="49:50">
      <c r="AW107" s="273"/>
      <c r="AX107" s="273"/>
    </row>
    <row r="108" spans="49:50">
      <c r="AW108" s="273"/>
      <c r="AX108" s="273"/>
    </row>
    <row r="109" spans="49:50">
      <c r="AW109" s="273"/>
      <c r="AX109" s="273"/>
    </row>
    <row r="110" spans="49:50">
      <c r="AW110" s="273"/>
      <c r="AX110" s="273"/>
    </row>
    <row r="111" spans="49:50">
      <c r="AW111" s="273"/>
      <c r="AX111" s="273"/>
    </row>
    <row r="112" spans="49:50">
      <c r="AW112" s="273"/>
      <c r="AX112" s="273"/>
    </row>
    <row r="113" spans="49:50">
      <c r="AW113" s="273"/>
      <c r="AX113" s="273"/>
    </row>
    <row r="114" spans="49:50">
      <c r="AW114" s="273"/>
      <c r="AX114" s="273"/>
    </row>
    <row r="115" spans="49:50">
      <c r="AW115" s="273"/>
      <c r="AX115" s="273"/>
    </row>
    <row r="116" spans="49:50">
      <c r="AW116" s="273"/>
      <c r="AX116" s="273"/>
    </row>
    <row r="117" spans="49:50">
      <c r="AW117" s="273"/>
      <c r="AX117" s="273"/>
    </row>
    <row r="118" spans="49:50">
      <c r="AW118" s="273"/>
      <c r="AX118" s="273"/>
    </row>
    <row r="119" spans="49:50">
      <c r="AW119" s="273"/>
      <c r="AX119" s="273"/>
    </row>
    <row r="120" spans="49:50">
      <c r="AW120" s="273"/>
      <c r="AX120" s="273"/>
    </row>
    <row r="121" spans="49:50">
      <c r="AW121" s="273"/>
      <c r="AX121" s="273"/>
    </row>
    <row r="122" spans="49:50">
      <c r="AW122" s="273"/>
      <c r="AX122" s="273"/>
    </row>
    <row r="123" spans="49:50">
      <c r="AW123" s="273"/>
      <c r="AX123" s="273"/>
    </row>
    <row r="124" spans="49:50">
      <c r="AW124" s="273"/>
      <c r="AX124" s="273"/>
    </row>
    <row r="125" spans="49:50">
      <c r="AW125" s="273"/>
      <c r="AX125" s="273"/>
    </row>
    <row r="126" spans="49:50">
      <c r="AW126" s="273"/>
      <c r="AX126" s="273"/>
    </row>
    <row r="127" spans="49:50">
      <c r="AW127" s="273"/>
      <c r="AX127" s="273"/>
    </row>
    <row r="128" spans="49:50">
      <c r="AW128" s="273"/>
      <c r="AX128" s="273"/>
    </row>
    <row r="129" spans="49:50">
      <c r="AW129" s="273"/>
      <c r="AX129" s="273"/>
    </row>
    <row r="130" spans="49:50">
      <c r="AW130" s="273"/>
      <c r="AX130" s="273"/>
    </row>
    <row r="131" spans="49:50">
      <c r="AW131" s="273"/>
      <c r="AX131" s="273"/>
    </row>
    <row r="132" spans="49:50">
      <c r="AW132" s="273"/>
      <c r="AX132" s="273"/>
    </row>
    <row r="133" spans="49:50">
      <c r="AW133" s="273"/>
      <c r="AX133" s="273"/>
    </row>
    <row r="134" spans="49:50">
      <c r="AW134" s="273"/>
      <c r="AX134" s="273"/>
    </row>
    <row r="135" spans="49:50">
      <c r="AW135" s="273"/>
      <c r="AX135" s="273"/>
    </row>
    <row r="136" spans="49:50">
      <c r="AW136" s="273"/>
      <c r="AX136" s="273"/>
    </row>
    <row r="137" spans="49:50">
      <c r="AW137" s="273"/>
      <c r="AX137" s="273"/>
    </row>
    <row r="138" spans="49:50">
      <c r="AW138" s="273"/>
      <c r="AX138" s="273"/>
    </row>
    <row r="139" spans="49:50">
      <c r="AW139" s="273"/>
      <c r="AX139" s="273"/>
    </row>
    <row r="140" spans="49:50">
      <c r="AW140" s="273"/>
      <c r="AX140" s="273"/>
    </row>
    <row r="141" spans="49:50">
      <c r="AW141" s="273"/>
      <c r="AX141" s="273"/>
    </row>
    <row r="142" spans="49:50">
      <c r="AW142" s="273"/>
      <c r="AX142" s="273"/>
    </row>
    <row r="143" spans="49:50">
      <c r="AW143" s="273"/>
      <c r="AX143" s="273"/>
    </row>
    <row r="144" spans="49:50">
      <c r="AW144" s="273"/>
      <c r="AX144" s="273"/>
    </row>
    <row r="145" spans="49:50">
      <c r="AW145" s="273"/>
      <c r="AX145" s="273"/>
    </row>
    <row r="146" spans="49:50">
      <c r="AW146" s="273"/>
      <c r="AX146" s="273"/>
    </row>
    <row r="147" spans="49:50">
      <c r="AW147" s="273"/>
      <c r="AX147" s="273"/>
    </row>
    <row r="148" spans="49:50">
      <c r="AW148" s="273"/>
      <c r="AX148" s="273"/>
    </row>
    <row r="149" spans="49:50">
      <c r="AW149" s="273"/>
      <c r="AX149" s="273"/>
    </row>
    <row r="150" spans="49:50">
      <c r="AW150" s="273"/>
      <c r="AX150" s="273"/>
    </row>
    <row r="151" spans="49:50">
      <c r="AW151" s="273"/>
      <c r="AX151" s="273"/>
    </row>
    <row r="152" spans="49:50">
      <c r="AW152" s="273"/>
      <c r="AX152" s="273"/>
    </row>
    <row r="153" spans="49:50">
      <c r="AW153" s="273"/>
      <c r="AX153" s="273"/>
    </row>
    <row r="154" spans="49:50">
      <c r="AW154" s="273"/>
      <c r="AX154" s="273"/>
    </row>
    <row r="155" spans="49:50">
      <c r="AW155" s="273"/>
      <c r="AX155" s="273"/>
    </row>
    <row r="156" spans="49:50">
      <c r="AW156" s="273"/>
      <c r="AX156" s="273"/>
    </row>
    <row r="157" spans="49:50">
      <c r="AW157" s="273"/>
      <c r="AX157" s="273"/>
    </row>
    <row r="158" spans="49:50">
      <c r="AW158" s="273"/>
      <c r="AX158" s="273"/>
    </row>
    <row r="159" spans="49:50">
      <c r="AW159" s="273"/>
      <c r="AX159" s="273"/>
    </row>
    <row r="160" spans="49:50">
      <c r="AW160" s="273"/>
      <c r="AX160" s="273"/>
    </row>
    <row r="161" spans="49:50">
      <c r="AW161" s="273"/>
      <c r="AX161" s="273"/>
    </row>
    <row r="162" spans="49:50">
      <c r="AW162" s="273"/>
      <c r="AX162" s="273"/>
    </row>
    <row r="163" spans="49:50">
      <c r="AW163" s="273"/>
      <c r="AX163" s="273"/>
    </row>
    <row r="164" spans="49:50">
      <c r="AW164" s="273"/>
      <c r="AX164" s="273"/>
    </row>
    <row r="165" spans="49:50">
      <c r="AW165" s="273"/>
      <c r="AX165" s="273"/>
    </row>
    <row r="166" spans="49:50">
      <c r="AW166" s="273"/>
      <c r="AX166" s="273"/>
    </row>
    <row r="167" spans="49:50">
      <c r="AW167" s="273"/>
      <c r="AX167" s="273"/>
    </row>
    <row r="168" spans="49:50">
      <c r="AW168" s="273"/>
      <c r="AX168" s="273"/>
    </row>
    <row r="169" spans="49:50">
      <c r="AW169" s="273"/>
      <c r="AX169" s="273"/>
    </row>
    <row r="170" spans="49:50">
      <c r="AW170" s="273"/>
      <c r="AX170" s="273"/>
    </row>
    <row r="171" spans="49:50">
      <c r="AW171" s="273"/>
      <c r="AX171" s="273"/>
    </row>
    <row r="172" spans="49:50">
      <c r="AW172" s="273"/>
      <c r="AX172" s="273"/>
    </row>
    <row r="173" spans="49:50">
      <c r="AW173" s="273"/>
      <c r="AX173" s="273"/>
    </row>
    <row r="174" spans="49:50">
      <c r="AW174" s="273"/>
      <c r="AX174" s="273"/>
    </row>
    <row r="175" spans="49:50">
      <c r="AW175" s="273"/>
      <c r="AX175" s="273"/>
    </row>
    <row r="176" spans="49:50">
      <c r="AW176" s="273"/>
      <c r="AX176" s="273"/>
    </row>
    <row r="177" spans="49:50">
      <c r="AW177" s="273"/>
      <c r="AX177" s="273"/>
    </row>
    <row r="178" spans="49:50">
      <c r="AW178" s="273"/>
      <c r="AX178" s="273"/>
    </row>
    <row r="179" spans="49:50">
      <c r="AW179" s="273"/>
      <c r="AX179" s="273"/>
    </row>
    <row r="180" spans="49:50">
      <c r="AW180" s="273"/>
      <c r="AX180" s="273"/>
    </row>
    <row r="181" spans="49:50">
      <c r="AW181" s="273"/>
      <c r="AX181" s="273"/>
    </row>
    <row r="182" spans="49:50">
      <c r="AW182" s="273"/>
      <c r="AX182" s="273"/>
    </row>
    <row r="183" spans="49:50">
      <c r="AW183" s="273"/>
      <c r="AX183" s="273"/>
    </row>
    <row r="184" spans="49:50">
      <c r="AW184" s="273"/>
      <c r="AX184" s="273"/>
    </row>
    <row r="185" spans="49:50">
      <c r="AW185" s="273"/>
      <c r="AX185" s="273"/>
    </row>
    <row r="186" spans="49:50">
      <c r="AW186" s="273"/>
      <c r="AX186" s="273"/>
    </row>
    <row r="187" spans="49:50">
      <c r="AW187" s="273"/>
      <c r="AX187" s="273"/>
    </row>
    <row r="188" spans="49:50">
      <c r="AW188" s="273"/>
      <c r="AX188" s="273"/>
    </row>
    <row r="189" spans="49:50">
      <c r="AW189" s="273"/>
      <c r="AX189" s="273"/>
    </row>
    <row r="190" spans="49:50">
      <c r="AW190" s="273"/>
      <c r="AX190" s="273"/>
    </row>
    <row r="191" spans="49:50">
      <c r="AW191" s="273"/>
      <c r="AX191" s="273"/>
    </row>
    <row r="192" spans="49:50">
      <c r="AW192" s="273"/>
      <c r="AX192" s="273"/>
    </row>
    <row r="193" spans="49:50">
      <c r="AW193" s="273"/>
      <c r="AX193" s="273"/>
    </row>
    <row r="194" spans="49:50">
      <c r="AW194" s="273"/>
      <c r="AX194" s="273"/>
    </row>
    <row r="195" spans="49:50">
      <c r="AW195" s="273"/>
      <c r="AX195" s="273"/>
    </row>
    <row r="196" spans="49:50">
      <c r="AW196" s="273"/>
      <c r="AX196" s="273"/>
    </row>
    <row r="197" spans="49:50">
      <c r="AW197" s="273"/>
      <c r="AX197" s="273"/>
    </row>
    <row r="198" spans="49:50">
      <c r="AW198" s="273"/>
      <c r="AX198" s="273"/>
    </row>
    <row r="199" spans="49:50">
      <c r="AW199" s="273"/>
      <c r="AX199" s="273"/>
    </row>
    <row r="200" spans="49:50">
      <c r="AW200" s="273"/>
      <c r="AX200" s="273"/>
    </row>
    <row r="201" spans="49:50">
      <c r="AW201" s="273"/>
      <c r="AX201" s="273"/>
    </row>
    <row r="202" spans="49:50">
      <c r="AW202" s="273"/>
      <c r="AX202" s="273"/>
    </row>
    <row r="203" spans="49:50">
      <c r="AW203" s="273"/>
      <c r="AX203" s="273"/>
    </row>
    <row r="204" spans="49:50">
      <c r="AW204" s="273"/>
      <c r="AX204" s="273"/>
    </row>
    <row r="205" spans="49:50">
      <c r="AW205" s="273"/>
      <c r="AX205" s="273"/>
    </row>
    <row r="206" spans="49:50">
      <c r="AW206" s="273"/>
      <c r="AX206" s="273"/>
    </row>
    <row r="207" spans="49:50">
      <c r="AW207" s="273"/>
      <c r="AX207" s="273"/>
    </row>
    <row r="208" spans="49:50">
      <c r="AW208" s="273"/>
      <c r="AX208" s="273"/>
    </row>
    <row r="209" spans="49:50">
      <c r="AW209" s="273"/>
      <c r="AX209" s="273"/>
    </row>
    <row r="210" spans="49:50">
      <c r="AW210" s="273"/>
      <c r="AX210" s="273"/>
    </row>
    <row r="211" spans="49:50">
      <c r="AW211" s="273"/>
      <c r="AX211" s="273"/>
    </row>
    <row r="212" spans="49:50">
      <c r="AW212" s="273"/>
      <c r="AX212" s="273"/>
    </row>
    <row r="213" spans="49:50">
      <c r="AW213" s="273"/>
      <c r="AX213" s="273"/>
    </row>
    <row r="214" spans="49:50">
      <c r="AW214" s="273"/>
      <c r="AX214" s="273"/>
    </row>
    <row r="215" spans="49:50">
      <c r="AW215" s="273"/>
      <c r="AX215" s="273"/>
    </row>
    <row r="216" spans="49:50">
      <c r="AW216" s="273"/>
      <c r="AX216" s="273"/>
    </row>
    <row r="217" spans="49:50">
      <c r="AW217" s="273"/>
      <c r="AX217" s="273"/>
    </row>
    <row r="218" spans="49:50">
      <c r="AW218" s="273"/>
      <c r="AX218" s="273"/>
    </row>
    <row r="219" spans="49:50">
      <c r="AW219" s="273"/>
      <c r="AX219" s="273"/>
    </row>
    <row r="220" spans="49:50">
      <c r="AW220" s="273"/>
      <c r="AX220" s="273"/>
    </row>
    <row r="221" spans="49:50">
      <c r="AW221" s="273"/>
      <c r="AX221" s="273"/>
    </row>
    <row r="222" spans="49:50">
      <c r="AW222" s="273"/>
      <c r="AX222" s="273"/>
    </row>
    <row r="223" spans="49:50">
      <c r="AW223" s="273"/>
      <c r="AX223" s="273"/>
    </row>
    <row r="224" spans="49:50">
      <c r="AW224" s="273"/>
      <c r="AX224" s="273"/>
    </row>
    <row r="225" spans="49:50">
      <c r="AW225" s="273"/>
      <c r="AX225" s="273"/>
    </row>
    <row r="226" spans="49:50">
      <c r="AW226" s="273"/>
      <c r="AX226" s="273"/>
    </row>
    <row r="227" spans="49:50">
      <c r="AW227" s="273"/>
      <c r="AX227" s="273"/>
    </row>
    <row r="228" spans="49:50">
      <c r="AW228" s="273"/>
      <c r="AX228" s="273"/>
    </row>
    <row r="229" spans="49:50">
      <c r="AW229" s="273"/>
      <c r="AX229" s="273"/>
    </row>
    <row r="230" spans="49:50">
      <c r="AW230" s="273"/>
      <c r="AX230" s="273"/>
    </row>
    <row r="231" spans="49:50">
      <c r="AW231" s="273"/>
      <c r="AX231" s="273"/>
    </row>
    <row r="232" spans="49:50">
      <c r="AW232" s="273"/>
      <c r="AX232" s="273"/>
    </row>
    <row r="233" spans="49:50">
      <c r="AW233" s="273"/>
      <c r="AX233" s="273"/>
    </row>
    <row r="234" spans="49:50">
      <c r="AW234" s="273"/>
      <c r="AX234" s="273"/>
    </row>
    <row r="235" spans="49:50">
      <c r="AW235" s="273"/>
      <c r="AX235" s="273"/>
    </row>
    <row r="236" spans="49:50">
      <c r="AW236" s="273"/>
      <c r="AX236" s="273"/>
    </row>
    <row r="237" spans="49:50">
      <c r="AW237" s="273"/>
      <c r="AX237" s="273"/>
    </row>
    <row r="238" spans="49:50">
      <c r="AW238" s="273"/>
      <c r="AX238" s="273"/>
    </row>
    <row r="239" spans="49:50">
      <c r="AW239" s="273"/>
      <c r="AX239" s="273"/>
    </row>
    <row r="240" spans="49:50">
      <c r="AW240" s="273"/>
      <c r="AX240" s="273"/>
    </row>
    <row r="241" spans="49:50">
      <c r="AW241" s="273"/>
      <c r="AX241" s="273"/>
    </row>
    <row r="242" spans="49:50">
      <c r="AW242" s="273"/>
      <c r="AX242" s="273"/>
    </row>
    <row r="243" spans="49:50">
      <c r="AW243" s="273"/>
      <c r="AX243" s="273"/>
    </row>
    <row r="244" spans="49:50">
      <c r="AW244" s="273"/>
      <c r="AX244" s="273"/>
    </row>
    <row r="245" spans="49:50">
      <c r="AW245" s="273"/>
      <c r="AX245" s="273"/>
    </row>
    <row r="246" spans="49:50">
      <c r="AW246" s="273"/>
      <c r="AX246" s="273"/>
    </row>
    <row r="247" spans="49:50">
      <c r="AW247" s="273"/>
      <c r="AX247" s="273"/>
    </row>
    <row r="248" spans="49:50">
      <c r="AW248" s="273"/>
      <c r="AX248" s="273"/>
    </row>
    <row r="249" spans="49:50">
      <c r="AW249" s="273"/>
      <c r="AX249" s="273"/>
    </row>
    <row r="250" spans="49:50">
      <c r="AW250" s="273"/>
      <c r="AX250" s="273"/>
    </row>
    <row r="251" spans="49:50">
      <c r="AW251" s="273"/>
      <c r="AX251" s="273"/>
    </row>
    <row r="252" spans="49:50">
      <c r="AW252" s="273"/>
      <c r="AX252" s="273"/>
    </row>
    <row r="253" spans="49:50">
      <c r="AW253" s="273"/>
      <c r="AX253" s="273"/>
    </row>
    <row r="254" spans="49:50">
      <c r="AW254" s="273"/>
      <c r="AX254" s="273"/>
    </row>
    <row r="255" spans="49:50">
      <c r="AW255" s="273"/>
      <c r="AX255" s="273"/>
    </row>
    <row r="256" spans="49:50">
      <c r="AW256" s="273"/>
      <c r="AX256" s="273"/>
    </row>
    <row r="257" spans="49:50">
      <c r="AW257" s="273"/>
      <c r="AX257" s="273"/>
    </row>
    <row r="258" spans="49:50">
      <c r="AW258" s="273"/>
      <c r="AX258" s="273"/>
    </row>
    <row r="259" spans="49:50">
      <c r="AW259" s="273"/>
      <c r="AX259" s="273"/>
    </row>
    <row r="260" spans="49:50">
      <c r="AW260" s="273"/>
      <c r="AX260" s="273"/>
    </row>
    <row r="261" spans="49:50">
      <c r="AW261" s="273"/>
      <c r="AX261" s="273"/>
    </row>
    <row r="262" spans="49:50">
      <c r="AW262" s="273"/>
      <c r="AX262" s="273"/>
    </row>
    <row r="263" spans="49:50">
      <c r="AW263" s="273"/>
      <c r="AX263" s="273"/>
    </row>
    <row r="264" spans="49:50">
      <c r="AW264" s="273"/>
      <c r="AX264" s="273"/>
    </row>
    <row r="265" spans="49:50">
      <c r="AW265" s="273"/>
      <c r="AX265" s="273"/>
    </row>
    <row r="266" spans="49:50">
      <c r="AW266" s="273"/>
      <c r="AX266" s="273"/>
    </row>
    <row r="267" spans="49:50">
      <c r="AW267" s="273"/>
      <c r="AX267" s="273"/>
    </row>
    <row r="268" spans="49:50">
      <c r="AW268" s="273"/>
      <c r="AX268" s="273"/>
    </row>
    <row r="269" spans="49:50">
      <c r="AW269" s="273"/>
      <c r="AX269" s="273"/>
    </row>
    <row r="270" spans="49:50">
      <c r="AW270" s="273"/>
      <c r="AX270" s="273"/>
    </row>
    <row r="271" spans="49:50">
      <c r="AW271" s="273"/>
      <c r="AX271" s="273"/>
    </row>
    <row r="272" spans="49:50">
      <c r="AW272" s="273"/>
      <c r="AX272" s="273"/>
    </row>
    <row r="273" spans="49:50">
      <c r="AW273" s="273"/>
      <c r="AX273" s="273"/>
    </row>
    <row r="274" spans="49:50">
      <c r="AW274" s="273"/>
      <c r="AX274" s="273"/>
    </row>
    <row r="275" spans="49:50">
      <c r="AW275" s="273"/>
      <c r="AX275" s="273"/>
    </row>
    <row r="276" spans="49:50">
      <c r="AW276" s="273"/>
      <c r="AX276" s="273"/>
    </row>
    <row r="277" spans="49:50">
      <c r="AW277" s="273"/>
      <c r="AX277" s="273"/>
    </row>
    <row r="278" spans="49:50">
      <c r="AW278" s="273"/>
      <c r="AX278" s="273"/>
    </row>
    <row r="279" spans="49:50">
      <c r="AW279" s="273"/>
      <c r="AX279" s="273"/>
    </row>
    <row r="280" spans="49:50">
      <c r="AW280" s="273"/>
      <c r="AX280" s="273"/>
    </row>
    <row r="281" spans="49:50">
      <c r="AW281" s="273"/>
      <c r="AX281" s="273"/>
    </row>
    <row r="282" spans="49:50">
      <c r="AW282" s="273"/>
      <c r="AX282" s="273"/>
    </row>
    <row r="283" spans="49:50">
      <c r="AW283" s="273"/>
      <c r="AX283" s="273"/>
    </row>
    <row r="284" spans="49:50">
      <c r="AW284" s="273"/>
      <c r="AX284" s="273"/>
    </row>
    <row r="285" spans="49:50">
      <c r="AW285" s="273"/>
      <c r="AX285" s="273"/>
    </row>
    <row r="286" spans="49:50">
      <c r="AW286" s="273"/>
      <c r="AX286" s="273"/>
    </row>
    <row r="287" spans="49:50">
      <c r="AW287" s="273"/>
      <c r="AX287" s="273"/>
    </row>
    <row r="288" spans="49:50">
      <c r="AW288" s="273"/>
      <c r="AX288" s="273"/>
    </row>
    <row r="289" spans="49:50">
      <c r="AW289" s="273"/>
      <c r="AX289" s="273"/>
    </row>
    <row r="290" spans="49:50">
      <c r="AW290" s="273"/>
      <c r="AX290" s="273"/>
    </row>
    <row r="291" spans="49:50">
      <c r="AW291" s="273"/>
      <c r="AX291" s="273"/>
    </row>
    <row r="292" spans="49:50">
      <c r="AW292" s="273"/>
      <c r="AX292" s="273"/>
    </row>
    <row r="293" spans="49:50">
      <c r="AW293" s="273"/>
      <c r="AX293" s="273"/>
    </row>
    <row r="294" spans="49:50">
      <c r="AW294" s="273"/>
      <c r="AX294" s="273"/>
    </row>
    <row r="295" spans="49:50">
      <c r="AW295" s="273"/>
      <c r="AX295" s="273"/>
    </row>
    <row r="296" spans="49:50">
      <c r="AW296" s="273"/>
      <c r="AX296" s="273"/>
    </row>
    <row r="297" spans="49:50">
      <c r="AW297" s="273"/>
      <c r="AX297" s="273"/>
    </row>
    <row r="298" spans="49:50">
      <c r="AW298" s="273"/>
      <c r="AX298" s="273"/>
    </row>
    <row r="299" spans="49:50">
      <c r="AW299" s="273"/>
      <c r="AX299" s="273"/>
    </row>
    <row r="300" spans="49:50">
      <c r="AW300" s="273"/>
      <c r="AX300" s="273"/>
    </row>
    <row r="301" spans="49:50">
      <c r="AW301" s="273"/>
      <c r="AX301" s="273"/>
    </row>
    <row r="302" spans="49:50">
      <c r="AW302" s="273"/>
      <c r="AX302" s="273"/>
    </row>
    <row r="303" spans="49:50">
      <c r="AW303" s="273"/>
      <c r="AX303" s="273"/>
    </row>
    <row r="304" spans="49:50">
      <c r="AW304" s="273"/>
      <c r="AX304" s="273"/>
    </row>
    <row r="305" spans="49:50">
      <c r="AW305" s="273"/>
      <c r="AX305" s="273"/>
    </row>
    <row r="306" spans="49:50">
      <c r="AW306" s="273"/>
      <c r="AX306" s="273"/>
    </row>
    <row r="307" spans="49:50">
      <c r="AW307" s="273"/>
      <c r="AX307" s="273"/>
    </row>
    <row r="308" spans="49:50">
      <c r="AW308" s="273"/>
      <c r="AX308" s="273"/>
    </row>
    <row r="309" spans="49:50">
      <c r="AW309" s="273"/>
      <c r="AX309" s="273"/>
    </row>
    <row r="310" spans="49:50">
      <c r="AW310" s="273"/>
      <c r="AX310" s="273"/>
    </row>
    <row r="311" spans="49:50">
      <c r="AW311" s="273"/>
      <c r="AX311" s="273"/>
    </row>
    <row r="312" spans="49:50">
      <c r="AW312" s="273"/>
      <c r="AX312" s="273"/>
    </row>
    <row r="313" spans="49:50">
      <c r="AW313" s="273"/>
      <c r="AX313" s="273"/>
    </row>
    <row r="314" spans="49:50">
      <c r="AW314" s="273"/>
      <c r="AX314" s="273"/>
    </row>
    <row r="315" spans="49:50">
      <c r="AW315" s="273"/>
      <c r="AX315" s="273"/>
    </row>
    <row r="316" spans="49:50">
      <c r="AW316" s="273"/>
      <c r="AX316" s="273"/>
    </row>
    <row r="317" spans="49:50">
      <c r="AW317" s="273"/>
      <c r="AX317" s="273"/>
    </row>
    <row r="318" spans="49:50">
      <c r="AW318" s="273"/>
      <c r="AX318" s="273"/>
    </row>
    <row r="319" spans="49:50">
      <c r="AW319" s="273"/>
      <c r="AX319" s="273"/>
    </row>
    <row r="320" spans="49:50">
      <c r="AW320" s="273"/>
      <c r="AX320" s="273"/>
    </row>
    <row r="321" spans="49:50">
      <c r="AW321" s="273"/>
      <c r="AX321" s="273"/>
    </row>
    <row r="322" spans="49:50">
      <c r="AW322" s="273"/>
      <c r="AX322" s="273"/>
    </row>
    <row r="323" spans="49:50">
      <c r="AW323" s="273"/>
      <c r="AX323" s="273"/>
    </row>
    <row r="324" spans="49:50">
      <c r="AW324" s="273"/>
      <c r="AX324" s="273"/>
    </row>
    <row r="325" spans="49:50">
      <c r="AW325" s="273"/>
      <c r="AX325" s="273"/>
    </row>
    <row r="326" spans="49:50">
      <c r="AW326" s="273"/>
      <c r="AX326" s="273"/>
    </row>
    <row r="327" spans="49:50">
      <c r="AW327" s="273"/>
      <c r="AX327" s="273"/>
    </row>
    <row r="328" spans="49:50">
      <c r="AW328" s="273"/>
      <c r="AX328" s="273"/>
    </row>
    <row r="329" spans="49:50">
      <c r="AW329" s="273"/>
      <c r="AX329" s="273"/>
    </row>
    <row r="330" spans="49:50">
      <c r="AW330" s="273"/>
      <c r="AX330" s="273"/>
    </row>
    <row r="331" spans="49:50">
      <c r="AW331" s="273"/>
      <c r="AX331" s="273"/>
    </row>
    <row r="332" spans="49:50">
      <c r="AW332" s="273"/>
      <c r="AX332" s="273"/>
    </row>
    <row r="333" spans="49:50">
      <c r="AW333" s="273"/>
      <c r="AX333" s="273"/>
    </row>
    <row r="334" spans="49:50">
      <c r="AW334" s="273"/>
      <c r="AX334" s="273"/>
    </row>
    <row r="335" spans="49:50">
      <c r="AW335" s="273"/>
      <c r="AX335" s="273"/>
    </row>
    <row r="336" spans="49:50">
      <c r="AW336" s="273"/>
      <c r="AX336" s="273"/>
    </row>
    <row r="337" spans="49:50">
      <c r="AW337" s="273"/>
      <c r="AX337" s="273"/>
    </row>
    <row r="338" spans="49:50">
      <c r="AW338" s="273"/>
      <c r="AX338" s="273"/>
    </row>
    <row r="339" spans="49:50">
      <c r="AW339" s="273"/>
      <c r="AX339" s="273"/>
    </row>
    <row r="340" spans="49:50">
      <c r="AW340" s="273"/>
      <c r="AX340" s="273"/>
    </row>
    <row r="341" spans="49:50">
      <c r="AW341" s="273"/>
      <c r="AX341" s="273"/>
    </row>
    <row r="342" spans="49:50">
      <c r="AW342" s="273"/>
      <c r="AX342" s="273"/>
    </row>
    <row r="343" spans="49:50">
      <c r="AW343" s="273"/>
      <c r="AX343" s="273"/>
    </row>
    <row r="344" spans="49:50">
      <c r="AW344" s="273"/>
      <c r="AX344" s="273"/>
    </row>
    <row r="345" spans="49:50">
      <c r="AW345" s="273"/>
      <c r="AX345" s="273"/>
    </row>
    <row r="346" spans="49:50">
      <c r="AW346" s="273"/>
      <c r="AX346" s="273"/>
    </row>
    <row r="347" spans="49:50">
      <c r="AW347" s="273"/>
      <c r="AX347" s="273"/>
    </row>
    <row r="348" spans="49:50">
      <c r="AW348" s="273"/>
      <c r="AX348" s="273"/>
    </row>
    <row r="349" spans="49:50">
      <c r="AW349" s="273"/>
      <c r="AX349" s="273"/>
    </row>
    <row r="350" spans="49:50">
      <c r="AW350" s="273"/>
      <c r="AX350" s="273"/>
    </row>
    <row r="351" spans="49:50">
      <c r="AW351" s="273"/>
      <c r="AX351" s="273"/>
    </row>
    <row r="352" spans="49:50">
      <c r="AW352" s="273"/>
      <c r="AX352" s="273"/>
    </row>
    <row r="353" spans="49:50">
      <c r="AW353" s="273"/>
      <c r="AX353" s="273"/>
    </row>
    <row r="354" spans="49:50">
      <c r="AW354" s="273"/>
      <c r="AX354" s="273"/>
    </row>
    <row r="355" spans="49:50">
      <c r="AW355" s="273"/>
      <c r="AX355" s="273"/>
    </row>
    <row r="356" spans="49:50">
      <c r="AW356" s="273"/>
      <c r="AX356" s="273"/>
    </row>
    <row r="357" spans="49:50">
      <c r="AW357" s="273"/>
      <c r="AX357" s="273"/>
    </row>
    <row r="358" spans="49:50">
      <c r="AW358" s="273"/>
      <c r="AX358" s="273"/>
    </row>
    <row r="359" spans="49:50">
      <c r="AW359" s="273"/>
      <c r="AX359" s="273"/>
    </row>
    <row r="360" spans="49:50">
      <c r="AW360" s="273"/>
      <c r="AX360" s="273"/>
    </row>
    <row r="361" spans="49:50">
      <c r="AW361" s="273"/>
      <c r="AX361" s="273"/>
    </row>
    <row r="362" spans="49:50">
      <c r="AW362" s="273"/>
      <c r="AX362" s="273"/>
    </row>
    <row r="363" spans="49:50">
      <c r="AW363" s="273"/>
      <c r="AX363" s="273"/>
    </row>
    <row r="364" spans="49:50">
      <c r="AW364" s="273"/>
      <c r="AX364" s="273"/>
    </row>
    <row r="365" spans="49:50">
      <c r="AW365" s="273"/>
      <c r="AX365" s="273"/>
    </row>
    <row r="366" spans="49:50">
      <c r="AW366" s="273"/>
      <c r="AX366" s="273"/>
    </row>
    <row r="367" spans="49:50">
      <c r="AW367" s="273"/>
      <c r="AX367" s="273"/>
    </row>
    <row r="368" spans="49:50">
      <c r="AW368" s="273"/>
      <c r="AX368" s="273"/>
    </row>
    <row r="369" spans="49:50">
      <c r="AW369" s="273"/>
      <c r="AX369" s="273"/>
    </row>
    <row r="370" spans="49:50">
      <c r="AW370" s="273"/>
      <c r="AX370" s="273"/>
    </row>
    <row r="371" spans="49:50">
      <c r="AW371" s="273"/>
      <c r="AX371" s="273"/>
    </row>
    <row r="372" spans="49:50">
      <c r="AW372" s="273"/>
      <c r="AX372" s="273"/>
    </row>
    <row r="373" spans="49:50">
      <c r="AW373" s="273"/>
      <c r="AX373" s="273"/>
    </row>
    <row r="374" spans="49:50">
      <c r="AW374" s="273"/>
      <c r="AX374" s="273"/>
    </row>
    <row r="375" spans="49:50">
      <c r="AW375" s="273"/>
      <c r="AX375" s="273"/>
    </row>
    <row r="376" spans="49:50">
      <c r="AW376" s="273"/>
      <c r="AX376" s="273"/>
    </row>
    <row r="377" spans="49:50">
      <c r="AW377" s="273"/>
      <c r="AX377" s="273"/>
    </row>
    <row r="378" spans="49:50">
      <c r="AW378" s="273"/>
      <c r="AX378" s="273"/>
    </row>
    <row r="379" spans="49:50">
      <c r="AW379" s="273"/>
      <c r="AX379" s="273"/>
    </row>
    <row r="380" spans="49:50">
      <c r="AW380" s="273"/>
      <c r="AX380" s="273"/>
    </row>
    <row r="381" spans="49:50">
      <c r="AW381" s="273"/>
      <c r="AX381" s="273"/>
    </row>
    <row r="382" spans="49:50">
      <c r="AW382" s="273"/>
      <c r="AX382" s="273"/>
    </row>
    <row r="383" spans="49:50">
      <c r="AW383" s="273"/>
      <c r="AX383" s="273"/>
    </row>
    <row r="384" spans="49:50">
      <c r="AW384" s="273"/>
      <c r="AX384" s="273"/>
    </row>
    <row r="385" spans="49:50">
      <c r="AW385" s="273"/>
      <c r="AX385" s="273"/>
    </row>
    <row r="386" spans="49:50">
      <c r="AW386" s="273"/>
      <c r="AX386" s="273"/>
    </row>
    <row r="387" spans="49:50">
      <c r="AW387" s="273"/>
      <c r="AX387" s="273"/>
    </row>
    <row r="388" spans="49:50">
      <c r="AW388" s="273"/>
      <c r="AX388" s="273"/>
    </row>
    <row r="389" spans="49:50">
      <c r="AW389" s="273"/>
      <c r="AX389" s="273"/>
    </row>
    <row r="390" spans="49:50">
      <c r="AW390" s="273"/>
      <c r="AX390" s="273"/>
    </row>
    <row r="391" spans="49:50">
      <c r="AW391" s="273"/>
      <c r="AX391" s="273"/>
    </row>
    <row r="392" spans="49:50">
      <c r="AW392" s="273"/>
      <c r="AX392" s="273"/>
    </row>
    <row r="393" spans="49:50">
      <c r="AW393" s="273"/>
      <c r="AX393" s="273"/>
    </row>
    <row r="394" spans="49:50">
      <c r="AW394" s="273"/>
      <c r="AX394" s="273"/>
    </row>
    <row r="395" spans="49:50">
      <c r="AW395" s="273"/>
      <c r="AX395" s="273"/>
    </row>
    <row r="396" spans="49:50">
      <c r="AW396" s="273"/>
      <c r="AX396" s="273"/>
    </row>
    <row r="397" spans="49:50">
      <c r="AW397" s="273"/>
      <c r="AX397" s="273"/>
    </row>
    <row r="398" spans="49:50">
      <c r="AW398" s="273"/>
      <c r="AX398" s="273"/>
    </row>
    <row r="399" spans="49:50">
      <c r="AW399" s="273"/>
      <c r="AX399" s="273"/>
    </row>
    <row r="400" spans="49:50">
      <c r="AW400" s="273"/>
      <c r="AX400" s="273"/>
    </row>
    <row r="401" spans="49:50">
      <c r="AW401" s="273"/>
      <c r="AX401" s="273"/>
    </row>
    <row r="402" spans="49:50">
      <c r="AW402" s="273"/>
      <c r="AX402" s="273"/>
    </row>
    <row r="403" spans="49:50">
      <c r="AW403" s="273"/>
      <c r="AX403" s="273"/>
    </row>
    <row r="404" spans="49:50">
      <c r="AW404" s="273"/>
      <c r="AX404" s="273"/>
    </row>
    <row r="405" spans="49:50">
      <c r="AW405" s="273"/>
      <c r="AX405" s="273"/>
    </row>
    <row r="406" spans="49:50">
      <c r="AW406" s="273"/>
      <c r="AX406" s="273"/>
    </row>
    <row r="407" spans="49:50">
      <c r="AW407" s="273"/>
      <c r="AX407" s="273"/>
    </row>
    <row r="408" spans="49:50">
      <c r="AW408" s="273"/>
      <c r="AX408" s="273"/>
    </row>
    <row r="409" spans="49:50">
      <c r="AW409" s="273"/>
      <c r="AX409" s="273"/>
    </row>
    <row r="410" spans="49:50">
      <c r="AW410" s="273"/>
      <c r="AX410" s="273"/>
    </row>
    <row r="411" spans="49:50">
      <c r="AW411" s="273"/>
      <c r="AX411" s="273"/>
    </row>
    <row r="412" spans="49:50">
      <c r="AW412" s="273"/>
      <c r="AX412" s="273"/>
    </row>
    <row r="413" spans="49:50">
      <c r="AW413" s="273"/>
      <c r="AX413" s="273"/>
    </row>
    <row r="414" spans="49:50">
      <c r="AW414" s="273"/>
      <c r="AX414" s="273"/>
    </row>
    <row r="415" spans="49:50">
      <c r="AW415" s="273"/>
      <c r="AX415" s="273"/>
    </row>
    <row r="416" spans="49:50">
      <c r="AW416" s="273"/>
      <c r="AX416" s="273"/>
    </row>
    <row r="417" spans="49:50">
      <c r="AW417" s="273"/>
      <c r="AX417" s="273"/>
    </row>
    <row r="418" spans="49:50">
      <c r="AW418" s="273"/>
      <c r="AX418" s="273"/>
    </row>
    <row r="419" spans="49:50">
      <c r="AW419" s="273"/>
      <c r="AX419" s="273"/>
    </row>
    <row r="420" spans="49:50">
      <c r="AW420" s="273"/>
      <c r="AX420" s="273"/>
    </row>
    <row r="421" spans="49:50">
      <c r="AW421" s="273"/>
      <c r="AX421" s="273"/>
    </row>
    <row r="422" spans="49:50">
      <c r="AW422" s="273"/>
      <c r="AX422" s="273"/>
    </row>
    <row r="423" spans="49:50">
      <c r="AW423" s="273"/>
      <c r="AX423" s="273"/>
    </row>
    <row r="424" spans="49:50">
      <c r="AW424" s="273"/>
      <c r="AX424" s="273"/>
    </row>
    <row r="425" spans="49:50">
      <c r="AW425" s="273"/>
      <c r="AX425" s="273"/>
    </row>
    <row r="426" spans="49:50">
      <c r="AW426" s="273"/>
      <c r="AX426" s="273"/>
    </row>
    <row r="427" spans="49:50">
      <c r="AW427" s="273"/>
      <c r="AX427" s="273"/>
    </row>
    <row r="428" spans="49:50">
      <c r="AW428" s="273"/>
      <c r="AX428" s="273"/>
    </row>
    <row r="429" spans="49:50">
      <c r="AW429" s="273"/>
      <c r="AX429" s="273"/>
    </row>
    <row r="430" spans="49:50">
      <c r="AW430" s="273"/>
      <c r="AX430" s="273"/>
    </row>
    <row r="431" spans="49:50">
      <c r="AW431" s="273"/>
      <c r="AX431" s="273"/>
    </row>
    <row r="432" spans="49:50">
      <c r="AW432" s="273"/>
      <c r="AX432" s="273"/>
    </row>
    <row r="433" spans="49:50">
      <c r="AW433" s="273"/>
      <c r="AX433" s="273"/>
    </row>
    <row r="434" spans="49:50">
      <c r="AW434" s="273"/>
      <c r="AX434" s="273"/>
    </row>
    <row r="435" spans="49:50">
      <c r="AW435" s="273"/>
      <c r="AX435" s="273"/>
    </row>
    <row r="436" spans="49:50">
      <c r="AW436" s="273"/>
      <c r="AX436" s="273"/>
    </row>
    <row r="437" spans="49:50">
      <c r="AW437" s="273"/>
      <c r="AX437" s="273"/>
    </row>
    <row r="438" spans="49:50">
      <c r="AW438" s="273"/>
      <c r="AX438" s="273"/>
    </row>
    <row r="439" spans="49:50">
      <c r="AW439" s="273"/>
      <c r="AX439" s="273"/>
    </row>
    <row r="440" spans="49:50">
      <c r="AW440" s="273"/>
      <c r="AX440" s="273"/>
    </row>
    <row r="441" spans="49:50">
      <c r="AW441" s="273"/>
      <c r="AX441" s="273"/>
    </row>
    <row r="442" spans="49:50">
      <c r="AW442" s="273"/>
      <c r="AX442" s="273"/>
    </row>
    <row r="443" spans="49:50">
      <c r="AW443" s="273"/>
      <c r="AX443" s="273"/>
    </row>
    <row r="444" spans="49:50">
      <c r="AW444" s="273"/>
      <c r="AX444" s="273"/>
    </row>
    <row r="445" spans="49:50">
      <c r="AW445" s="273"/>
      <c r="AX445" s="273"/>
    </row>
    <row r="446" spans="49:50">
      <c r="AW446" s="273"/>
      <c r="AX446" s="273"/>
    </row>
    <row r="447" spans="49:50">
      <c r="AW447" s="273"/>
      <c r="AX447" s="273"/>
    </row>
    <row r="448" spans="49:50">
      <c r="AW448" s="273"/>
      <c r="AX448" s="273"/>
    </row>
    <row r="449" spans="49:50">
      <c r="AW449" s="273"/>
      <c r="AX449" s="273"/>
    </row>
    <row r="450" spans="49:50">
      <c r="AW450" s="273"/>
      <c r="AX450" s="273"/>
    </row>
    <row r="451" spans="49:50">
      <c r="AW451" s="273"/>
      <c r="AX451" s="273"/>
    </row>
    <row r="452" spans="49:50">
      <c r="AW452" s="273"/>
      <c r="AX452" s="273"/>
    </row>
    <row r="453" spans="49:50">
      <c r="AW453" s="273"/>
      <c r="AX453" s="273"/>
    </row>
    <row r="454" spans="49:50">
      <c r="AW454" s="273"/>
      <c r="AX454" s="273"/>
    </row>
    <row r="455" spans="49:50">
      <c r="AW455" s="273"/>
      <c r="AX455" s="273"/>
    </row>
    <row r="456" spans="49:50">
      <c r="AW456" s="273"/>
      <c r="AX456" s="273"/>
    </row>
    <row r="457" spans="49:50">
      <c r="AW457" s="273"/>
      <c r="AX457" s="273"/>
    </row>
    <row r="458" spans="49:50">
      <c r="AW458" s="273"/>
      <c r="AX458" s="273"/>
    </row>
    <row r="459" spans="49:50">
      <c r="AW459" s="273"/>
      <c r="AX459" s="273"/>
    </row>
    <row r="460" spans="49:50">
      <c r="AW460" s="273"/>
      <c r="AX460" s="273"/>
    </row>
    <row r="461" spans="49:50">
      <c r="AW461" s="273"/>
      <c r="AX461" s="273"/>
    </row>
    <row r="462" spans="49:50">
      <c r="AW462" s="273"/>
      <c r="AX462" s="273"/>
    </row>
    <row r="463" spans="49:50">
      <c r="AW463" s="273"/>
      <c r="AX463" s="273"/>
    </row>
    <row r="464" spans="49:50">
      <c r="AW464" s="273"/>
      <c r="AX464" s="273"/>
    </row>
    <row r="465" spans="49:50">
      <c r="AW465" s="273"/>
      <c r="AX465" s="273"/>
    </row>
    <row r="466" spans="49:50">
      <c r="AW466" s="273"/>
      <c r="AX466" s="273"/>
    </row>
    <row r="467" spans="49:50">
      <c r="AW467" s="273"/>
      <c r="AX467" s="273"/>
    </row>
    <row r="468" spans="49:50">
      <c r="AW468" s="273"/>
      <c r="AX468" s="273"/>
    </row>
    <row r="469" spans="49:50">
      <c r="AW469" s="273"/>
      <c r="AX469" s="273"/>
    </row>
    <row r="470" spans="49:50">
      <c r="AW470" s="273"/>
      <c r="AX470" s="273"/>
    </row>
    <row r="471" spans="49:50">
      <c r="AW471" s="273"/>
      <c r="AX471" s="273"/>
    </row>
    <row r="472" spans="49:50">
      <c r="AW472" s="273"/>
      <c r="AX472" s="273"/>
    </row>
    <row r="473" spans="49:50">
      <c r="AW473" s="273"/>
      <c r="AX473" s="273"/>
    </row>
    <row r="474" spans="49:50">
      <c r="AW474" s="273"/>
      <c r="AX474" s="273"/>
    </row>
    <row r="475" spans="49:50">
      <c r="AW475" s="273"/>
      <c r="AX475" s="273"/>
    </row>
    <row r="476" spans="49:50">
      <c r="AW476" s="273"/>
      <c r="AX476" s="273"/>
    </row>
    <row r="477" spans="49:50">
      <c r="AW477" s="273"/>
      <c r="AX477" s="273"/>
    </row>
    <row r="478" spans="49:50">
      <c r="AW478" s="273"/>
      <c r="AX478" s="273"/>
    </row>
    <row r="479" spans="49:50">
      <c r="AW479" s="273"/>
      <c r="AX479" s="273"/>
    </row>
    <row r="480" spans="49:50">
      <c r="AW480" s="273"/>
      <c r="AX480" s="273"/>
    </row>
    <row r="481" spans="49:50">
      <c r="AW481" s="273"/>
      <c r="AX481" s="273"/>
    </row>
    <row r="482" spans="49:50">
      <c r="AW482" s="273"/>
      <c r="AX482" s="273"/>
    </row>
    <row r="483" spans="49:50">
      <c r="AW483" s="273"/>
      <c r="AX483" s="273"/>
    </row>
    <row r="484" spans="49:50">
      <c r="AW484" s="273"/>
      <c r="AX484" s="273"/>
    </row>
    <row r="485" spans="49:50">
      <c r="AW485" s="273"/>
      <c r="AX485" s="273"/>
    </row>
    <row r="486" spans="49:50">
      <c r="AW486" s="273"/>
      <c r="AX486" s="273"/>
    </row>
    <row r="487" spans="49:50">
      <c r="AW487" s="273"/>
      <c r="AX487" s="273"/>
    </row>
    <row r="488" spans="49:50">
      <c r="AW488" s="273"/>
      <c r="AX488" s="273"/>
    </row>
    <row r="489" spans="49:50">
      <c r="AW489" s="273"/>
      <c r="AX489" s="273"/>
    </row>
    <row r="490" spans="49:50">
      <c r="AW490" s="273"/>
      <c r="AX490" s="273"/>
    </row>
    <row r="491" spans="49:50">
      <c r="AW491" s="273"/>
      <c r="AX491" s="273"/>
    </row>
    <row r="492" spans="49:50">
      <c r="AW492" s="273"/>
      <c r="AX492" s="273"/>
    </row>
    <row r="493" spans="49:50">
      <c r="AW493" s="273"/>
      <c r="AX493" s="273"/>
    </row>
    <row r="494" spans="49:50">
      <c r="AW494" s="273"/>
      <c r="AX494" s="273"/>
    </row>
    <row r="495" spans="49:50">
      <c r="AW495" s="273"/>
      <c r="AX495" s="273"/>
    </row>
    <row r="496" spans="49:50">
      <c r="AW496" s="273"/>
      <c r="AX496" s="273"/>
    </row>
    <row r="497" spans="49:50">
      <c r="AW497" s="273"/>
      <c r="AX497" s="273"/>
    </row>
    <row r="498" spans="49:50">
      <c r="AW498" s="273"/>
      <c r="AX498" s="273"/>
    </row>
    <row r="499" spans="49:50">
      <c r="AW499" s="273"/>
      <c r="AX499" s="273"/>
    </row>
    <row r="500" spans="49:50">
      <c r="AW500" s="273"/>
      <c r="AX500" s="273"/>
    </row>
    <row r="501" spans="49:50">
      <c r="AW501" s="273"/>
      <c r="AX501" s="273"/>
    </row>
    <row r="502" spans="49:50">
      <c r="AW502" s="273"/>
      <c r="AX502" s="273"/>
    </row>
    <row r="503" spans="49:50">
      <c r="AW503" s="273"/>
      <c r="AX503" s="273"/>
    </row>
    <row r="504" spans="49:50">
      <c r="AW504" s="273"/>
      <c r="AX504" s="273"/>
    </row>
    <row r="505" spans="49:50">
      <c r="AW505" s="273"/>
      <c r="AX505" s="273"/>
    </row>
    <row r="506" spans="49:50">
      <c r="AW506" s="273"/>
      <c r="AX506" s="273"/>
    </row>
    <row r="507" spans="49:50">
      <c r="AW507" s="273"/>
      <c r="AX507" s="273"/>
    </row>
    <row r="508" spans="49:50">
      <c r="AW508" s="273"/>
      <c r="AX508" s="273"/>
    </row>
    <row r="509" spans="49:50">
      <c r="AW509" s="273"/>
      <c r="AX509" s="273"/>
    </row>
    <row r="510" spans="49:50">
      <c r="AW510" s="273"/>
      <c r="AX510" s="273"/>
    </row>
    <row r="511" spans="49:50">
      <c r="AW511" s="273"/>
      <c r="AX511" s="273"/>
    </row>
    <row r="512" spans="49:50">
      <c r="AW512" s="273"/>
      <c r="AX512" s="273"/>
    </row>
    <row r="513" spans="49:50">
      <c r="AW513" s="273"/>
      <c r="AX513" s="273"/>
    </row>
    <row r="514" spans="49:50">
      <c r="AW514" s="273"/>
      <c r="AX514" s="273"/>
    </row>
    <row r="515" spans="49:50">
      <c r="AW515" s="273"/>
      <c r="AX515" s="273"/>
    </row>
    <row r="516" spans="49:50">
      <c r="AW516" s="273"/>
      <c r="AX516" s="273"/>
    </row>
    <row r="517" spans="49:50">
      <c r="AW517" s="273"/>
      <c r="AX517" s="273"/>
    </row>
    <row r="518" spans="49:50">
      <c r="AW518" s="273"/>
      <c r="AX518" s="273"/>
    </row>
    <row r="519" spans="49:50">
      <c r="AW519" s="273"/>
      <c r="AX519" s="273"/>
    </row>
    <row r="520" spans="49:50">
      <c r="AW520" s="273"/>
      <c r="AX520" s="273"/>
    </row>
    <row r="521" spans="49:50">
      <c r="AW521" s="273"/>
      <c r="AX521" s="273"/>
    </row>
    <row r="522" spans="49:50">
      <c r="AW522" s="273"/>
      <c r="AX522" s="273"/>
    </row>
    <row r="523" spans="49:50">
      <c r="AW523" s="273"/>
      <c r="AX523" s="273"/>
    </row>
    <row r="524" spans="49:50">
      <c r="AW524" s="273"/>
      <c r="AX524" s="273"/>
    </row>
    <row r="525" spans="49:50">
      <c r="AW525" s="273"/>
      <c r="AX525" s="273"/>
    </row>
    <row r="526" spans="49:50">
      <c r="AW526" s="273"/>
      <c r="AX526" s="273"/>
    </row>
    <row r="527" spans="49:50">
      <c r="AW527" s="273"/>
      <c r="AX527" s="273"/>
    </row>
    <row r="528" spans="49:50">
      <c r="AW528" s="273"/>
      <c r="AX528" s="273"/>
    </row>
    <row r="529" spans="49:50">
      <c r="AW529" s="273"/>
      <c r="AX529" s="273"/>
    </row>
    <row r="530" spans="49:50">
      <c r="AW530" s="273"/>
      <c r="AX530" s="273"/>
    </row>
    <row r="531" spans="49:50">
      <c r="AW531" s="273"/>
      <c r="AX531" s="273"/>
    </row>
    <row r="532" spans="49:50">
      <c r="AW532" s="273"/>
      <c r="AX532" s="273"/>
    </row>
    <row r="533" spans="49:50">
      <c r="AW533" s="273"/>
      <c r="AX533" s="273"/>
    </row>
    <row r="534" spans="49:50">
      <c r="AW534" s="273"/>
      <c r="AX534" s="273"/>
    </row>
    <row r="535" spans="49:50">
      <c r="AW535" s="273"/>
      <c r="AX535" s="273"/>
    </row>
    <row r="536" spans="49:50">
      <c r="AW536" s="273"/>
      <c r="AX536" s="273"/>
    </row>
    <row r="537" spans="49:50">
      <c r="AW537" s="273"/>
      <c r="AX537" s="273"/>
    </row>
    <row r="538" spans="49:50">
      <c r="AW538" s="273"/>
      <c r="AX538" s="273"/>
    </row>
    <row r="539" spans="49:50">
      <c r="AW539" s="273"/>
      <c r="AX539" s="273"/>
    </row>
    <row r="540" spans="49:50">
      <c r="AW540" s="273"/>
      <c r="AX540" s="273"/>
    </row>
    <row r="541" spans="49:50">
      <c r="AW541" s="273"/>
      <c r="AX541" s="273"/>
    </row>
    <row r="542" spans="49:50">
      <c r="AW542" s="273"/>
      <c r="AX542" s="273"/>
    </row>
    <row r="543" spans="49:50">
      <c r="AW543" s="273"/>
      <c r="AX543" s="273"/>
    </row>
    <row r="544" spans="49:50">
      <c r="AW544" s="273"/>
      <c r="AX544" s="273"/>
    </row>
    <row r="545" spans="49:50">
      <c r="AW545" s="273"/>
      <c r="AX545" s="273"/>
    </row>
    <row r="546" spans="49:50">
      <c r="AW546" s="273"/>
      <c r="AX546" s="273"/>
    </row>
    <row r="547" spans="49:50">
      <c r="AW547" s="273"/>
      <c r="AX547" s="273"/>
    </row>
    <row r="548" spans="49:50">
      <c r="AW548" s="273"/>
      <c r="AX548" s="273"/>
    </row>
    <row r="549" spans="49:50">
      <c r="AW549" s="273"/>
      <c r="AX549" s="273"/>
    </row>
    <row r="550" spans="49:50">
      <c r="AW550" s="273"/>
      <c r="AX550" s="273"/>
    </row>
    <row r="551" spans="49:50">
      <c r="AW551" s="273"/>
      <c r="AX551" s="273"/>
    </row>
    <row r="552" spans="49:50">
      <c r="AW552" s="273"/>
      <c r="AX552" s="273"/>
    </row>
    <row r="553" spans="49:50">
      <c r="AW553" s="273"/>
      <c r="AX553" s="273"/>
    </row>
    <row r="554" spans="49:50">
      <c r="AW554" s="273"/>
      <c r="AX554" s="273"/>
    </row>
    <row r="555" spans="49:50">
      <c r="AW555" s="273"/>
      <c r="AX555" s="273"/>
    </row>
    <row r="556" spans="49:50">
      <c r="AW556" s="273"/>
      <c r="AX556" s="273"/>
    </row>
    <row r="557" spans="49:50">
      <c r="AW557" s="273"/>
      <c r="AX557" s="273"/>
    </row>
    <row r="558" spans="49:50">
      <c r="AW558" s="273"/>
      <c r="AX558" s="273"/>
    </row>
    <row r="559" spans="49:50">
      <c r="AW559" s="273"/>
      <c r="AX559" s="273"/>
    </row>
    <row r="560" spans="49:50">
      <c r="AW560" s="273"/>
      <c r="AX560" s="273"/>
    </row>
    <row r="561" spans="49:50">
      <c r="AW561" s="273"/>
      <c r="AX561" s="273"/>
    </row>
    <row r="562" spans="49:50">
      <c r="AW562" s="273"/>
      <c r="AX562" s="273"/>
    </row>
    <row r="563" spans="49:50">
      <c r="AW563" s="273"/>
      <c r="AX563" s="273"/>
    </row>
    <row r="564" spans="49:50">
      <c r="AW564" s="273"/>
      <c r="AX564" s="273"/>
    </row>
    <row r="565" spans="49:50">
      <c r="AW565" s="273"/>
      <c r="AX565" s="273"/>
    </row>
    <row r="566" spans="49:50">
      <c r="AW566" s="273"/>
      <c r="AX566" s="273"/>
    </row>
    <row r="567" spans="49:50">
      <c r="AW567" s="273"/>
      <c r="AX567" s="273"/>
    </row>
    <row r="568" spans="49:50">
      <c r="AW568" s="273"/>
      <c r="AX568" s="273"/>
    </row>
    <row r="569" spans="49:50">
      <c r="AW569" s="273"/>
      <c r="AX569" s="273"/>
    </row>
    <row r="570" spans="49:50">
      <c r="AW570" s="273"/>
      <c r="AX570" s="273"/>
    </row>
    <row r="571" spans="49:50">
      <c r="AW571" s="273"/>
      <c r="AX571" s="273"/>
    </row>
    <row r="572" spans="49:50">
      <c r="AW572" s="273"/>
      <c r="AX572" s="273"/>
    </row>
    <row r="573" spans="49:50">
      <c r="AW573" s="273"/>
      <c r="AX573" s="273"/>
    </row>
    <row r="574" spans="49:50">
      <c r="AW574" s="273"/>
      <c r="AX574" s="273"/>
    </row>
    <row r="575" spans="49:50">
      <c r="AW575" s="273"/>
      <c r="AX575" s="273"/>
    </row>
    <row r="576" spans="49:50">
      <c r="AW576" s="273"/>
      <c r="AX576" s="273"/>
    </row>
    <row r="577" spans="49:50">
      <c r="AW577" s="273"/>
      <c r="AX577" s="273"/>
    </row>
    <row r="578" spans="49:50">
      <c r="AW578" s="273"/>
      <c r="AX578" s="273"/>
    </row>
    <row r="579" spans="49:50">
      <c r="AW579" s="273"/>
      <c r="AX579" s="273"/>
    </row>
    <row r="580" spans="49:50">
      <c r="AW580" s="273"/>
      <c r="AX580" s="273"/>
    </row>
    <row r="581" spans="49:50">
      <c r="AW581" s="273"/>
      <c r="AX581" s="273"/>
    </row>
    <row r="582" spans="49:50">
      <c r="AW582" s="273"/>
      <c r="AX582" s="273"/>
    </row>
    <row r="583" spans="49:50">
      <c r="AW583" s="273"/>
      <c r="AX583" s="273"/>
    </row>
    <row r="584" spans="49:50">
      <c r="AW584" s="273"/>
      <c r="AX584" s="273"/>
    </row>
    <row r="585" spans="49:50">
      <c r="AW585" s="273"/>
      <c r="AX585" s="273"/>
    </row>
    <row r="586" spans="49:50">
      <c r="AW586" s="273"/>
      <c r="AX586" s="273"/>
    </row>
    <row r="587" spans="49:50">
      <c r="AW587" s="273"/>
      <c r="AX587" s="273"/>
    </row>
    <row r="588" spans="49:50">
      <c r="AW588" s="273"/>
      <c r="AX588" s="273"/>
    </row>
    <row r="589" spans="49:50">
      <c r="AW589" s="273"/>
      <c r="AX589" s="273"/>
    </row>
    <row r="590" spans="49:50">
      <c r="AW590" s="273"/>
      <c r="AX590" s="273"/>
    </row>
    <row r="591" spans="49:50">
      <c r="AW591" s="273"/>
      <c r="AX591" s="273"/>
    </row>
    <row r="592" spans="49:50">
      <c r="AW592" s="273"/>
      <c r="AX592" s="273"/>
    </row>
    <row r="593" spans="49:50">
      <c r="AW593" s="273"/>
      <c r="AX593" s="273"/>
    </row>
    <row r="594" spans="49:50">
      <c r="AW594" s="273"/>
      <c r="AX594" s="273"/>
    </row>
    <row r="595" spans="49:50">
      <c r="AW595" s="273"/>
      <c r="AX595" s="273"/>
    </row>
    <row r="596" spans="49:50">
      <c r="AW596" s="273"/>
      <c r="AX596" s="273"/>
    </row>
    <row r="597" spans="49:50">
      <c r="AW597" s="273"/>
      <c r="AX597" s="273"/>
    </row>
    <row r="598" spans="49:50">
      <c r="AW598" s="273"/>
      <c r="AX598" s="273"/>
    </row>
    <row r="599" spans="49:50">
      <c r="AW599" s="273"/>
      <c r="AX599" s="273"/>
    </row>
    <row r="600" spans="49:50">
      <c r="AW600" s="273"/>
      <c r="AX600" s="273"/>
    </row>
    <row r="601" spans="49:50">
      <c r="AW601" s="273"/>
      <c r="AX601" s="273"/>
    </row>
    <row r="602" spans="49:50">
      <c r="AW602" s="273"/>
      <c r="AX602" s="273"/>
    </row>
    <row r="603" spans="49:50">
      <c r="AW603" s="273"/>
      <c r="AX603" s="273"/>
    </row>
    <row r="604" spans="49:50">
      <c r="AW604" s="273"/>
      <c r="AX604" s="273"/>
    </row>
    <row r="605" spans="49:50">
      <c r="AW605" s="273"/>
      <c r="AX605" s="273"/>
    </row>
    <row r="606" spans="49:50">
      <c r="AW606" s="273"/>
      <c r="AX606" s="273"/>
    </row>
    <row r="607" spans="49:50">
      <c r="AW607" s="273"/>
      <c r="AX607" s="273"/>
    </row>
    <row r="608" spans="49:50">
      <c r="AW608" s="273"/>
      <c r="AX608" s="273"/>
    </row>
    <row r="609" spans="49:50">
      <c r="AW609" s="273"/>
      <c r="AX609" s="273"/>
    </row>
    <row r="610" spans="49:50">
      <c r="AW610" s="273"/>
      <c r="AX610" s="273"/>
    </row>
    <row r="611" spans="49:50">
      <c r="AW611" s="273"/>
      <c r="AX611" s="273"/>
    </row>
    <row r="612" spans="49:50">
      <c r="AW612" s="273"/>
      <c r="AX612" s="273"/>
    </row>
    <row r="613" spans="49:50">
      <c r="AW613" s="273"/>
      <c r="AX613" s="273"/>
    </row>
    <row r="614" spans="49:50">
      <c r="AW614" s="273"/>
      <c r="AX614" s="273"/>
    </row>
    <row r="615" spans="49:50">
      <c r="AW615" s="273"/>
      <c r="AX615" s="273"/>
    </row>
    <row r="616" spans="49:50">
      <c r="AW616" s="273"/>
      <c r="AX616" s="273"/>
    </row>
    <row r="617" spans="49:50">
      <c r="AW617" s="273"/>
      <c r="AX617" s="273"/>
    </row>
    <row r="618" spans="49:50">
      <c r="AW618" s="273"/>
      <c r="AX618" s="273"/>
    </row>
    <row r="619" spans="49:50">
      <c r="AW619" s="273"/>
      <c r="AX619" s="273"/>
    </row>
    <row r="620" spans="49:50">
      <c r="AW620" s="273"/>
      <c r="AX620" s="273"/>
    </row>
    <row r="621" spans="49:50">
      <c r="AW621" s="273"/>
      <c r="AX621" s="273"/>
    </row>
    <row r="622" spans="49:50">
      <c r="AW622" s="273"/>
      <c r="AX622" s="273"/>
    </row>
    <row r="623" spans="49:50">
      <c r="AW623" s="273"/>
      <c r="AX623" s="273"/>
    </row>
    <row r="624" spans="49:50">
      <c r="AW624" s="273"/>
      <c r="AX624" s="273"/>
    </row>
    <row r="625" spans="49:50">
      <c r="AW625" s="273"/>
      <c r="AX625" s="273"/>
    </row>
    <row r="626" spans="49:50">
      <c r="AW626" s="273"/>
      <c r="AX626" s="273"/>
    </row>
    <row r="627" spans="49:50">
      <c r="AW627" s="273"/>
      <c r="AX627" s="273"/>
    </row>
    <row r="628" spans="49:50">
      <c r="AW628" s="273"/>
      <c r="AX628" s="273"/>
    </row>
    <row r="629" spans="49:50">
      <c r="AW629" s="273"/>
      <c r="AX629" s="273"/>
    </row>
    <row r="630" spans="49:50">
      <c r="AW630" s="273"/>
      <c r="AX630" s="273"/>
    </row>
    <row r="631" spans="49:50">
      <c r="AW631" s="273"/>
      <c r="AX631" s="273"/>
    </row>
    <row r="632" spans="49:50">
      <c r="AW632" s="273"/>
      <c r="AX632" s="273"/>
    </row>
    <row r="633" spans="49:50">
      <c r="AW633" s="273"/>
      <c r="AX633" s="273"/>
    </row>
    <row r="634" spans="49:50">
      <c r="AW634" s="273"/>
      <c r="AX634" s="273"/>
    </row>
    <row r="635" spans="49:50">
      <c r="AW635" s="273"/>
      <c r="AX635" s="273"/>
    </row>
    <row r="636" spans="49:50">
      <c r="AW636" s="273"/>
      <c r="AX636" s="273"/>
    </row>
    <row r="637" spans="49:50">
      <c r="AW637" s="273"/>
      <c r="AX637" s="273"/>
    </row>
    <row r="638" spans="49:50">
      <c r="AW638" s="273"/>
      <c r="AX638" s="273"/>
    </row>
    <row r="639" spans="49:50">
      <c r="AW639" s="273"/>
      <c r="AX639" s="273"/>
    </row>
    <row r="640" spans="49:50">
      <c r="AW640" s="273"/>
      <c r="AX640" s="273"/>
    </row>
    <row r="641" spans="49:50">
      <c r="AW641" s="273"/>
      <c r="AX641" s="273"/>
    </row>
    <row r="642" spans="49:50">
      <c r="AW642" s="273"/>
      <c r="AX642" s="273"/>
    </row>
    <row r="643" spans="49:50">
      <c r="AW643" s="273"/>
      <c r="AX643" s="273"/>
    </row>
    <row r="644" spans="49:50">
      <c r="AW644" s="273"/>
      <c r="AX644" s="273"/>
    </row>
    <row r="645" spans="49:50">
      <c r="AW645" s="273"/>
      <c r="AX645" s="273"/>
    </row>
    <row r="646" spans="49:50">
      <c r="AW646" s="273"/>
      <c r="AX646" s="273"/>
    </row>
    <row r="647" spans="49:50">
      <c r="AW647" s="273"/>
      <c r="AX647" s="273"/>
    </row>
    <row r="648" spans="49:50">
      <c r="AW648" s="273"/>
      <c r="AX648" s="273"/>
    </row>
    <row r="649" spans="49:50">
      <c r="AW649" s="273"/>
      <c r="AX649" s="273"/>
    </row>
    <row r="650" spans="49:50">
      <c r="AW650" s="273"/>
      <c r="AX650" s="273"/>
    </row>
    <row r="651" spans="49:50">
      <c r="AW651" s="273"/>
      <c r="AX651" s="273"/>
    </row>
    <row r="652" spans="49:50">
      <c r="AW652" s="273"/>
      <c r="AX652" s="273"/>
    </row>
    <row r="653" spans="49:50">
      <c r="AW653" s="273"/>
      <c r="AX653" s="273"/>
    </row>
    <row r="654" spans="49:50">
      <c r="AW654" s="273"/>
      <c r="AX654" s="273"/>
    </row>
    <row r="655" spans="49:50">
      <c r="AW655" s="273"/>
      <c r="AX655" s="273"/>
    </row>
    <row r="656" spans="49:50">
      <c r="AW656" s="273"/>
      <c r="AX656" s="273"/>
    </row>
    <row r="657" spans="49:50">
      <c r="AW657" s="273"/>
      <c r="AX657" s="273"/>
    </row>
    <row r="658" spans="49:50">
      <c r="AW658" s="273"/>
      <c r="AX658" s="273"/>
    </row>
    <row r="659" spans="49:50">
      <c r="AW659" s="273"/>
      <c r="AX659" s="273"/>
    </row>
    <row r="660" spans="49:50">
      <c r="AW660" s="273"/>
      <c r="AX660" s="273"/>
    </row>
    <row r="661" spans="49:50">
      <c r="AW661" s="273"/>
      <c r="AX661" s="273"/>
    </row>
    <row r="662" spans="49:50">
      <c r="AW662" s="273"/>
      <c r="AX662" s="273"/>
    </row>
    <row r="663" spans="49:50">
      <c r="AW663" s="273"/>
      <c r="AX663" s="273"/>
    </row>
    <row r="664" spans="49:50">
      <c r="AW664" s="273"/>
      <c r="AX664" s="273"/>
    </row>
    <row r="665" spans="49:50">
      <c r="AW665" s="273"/>
      <c r="AX665" s="273"/>
    </row>
    <row r="666" spans="49:50">
      <c r="AW666" s="273"/>
      <c r="AX666" s="273"/>
    </row>
    <row r="667" spans="49:50">
      <c r="AW667" s="273"/>
      <c r="AX667" s="273"/>
    </row>
    <row r="668" spans="49:50">
      <c r="AW668" s="273"/>
      <c r="AX668" s="273"/>
    </row>
    <row r="669" spans="49:50">
      <c r="AW669" s="273"/>
      <c r="AX669" s="273"/>
    </row>
    <row r="670" spans="49:50">
      <c r="AW670" s="273"/>
      <c r="AX670" s="273"/>
    </row>
    <row r="671" spans="49:50">
      <c r="AW671" s="273"/>
      <c r="AX671" s="273"/>
    </row>
    <row r="672" spans="49:50">
      <c r="AW672" s="273"/>
      <c r="AX672" s="273"/>
    </row>
    <row r="673" spans="49:50">
      <c r="AW673" s="273"/>
      <c r="AX673" s="273"/>
    </row>
    <row r="674" spans="49:50">
      <c r="AW674" s="273"/>
      <c r="AX674" s="273"/>
    </row>
    <row r="675" spans="49:50">
      <c r="AW675" s="273"/>
      <c r="AX675" s="273"/>
    </row>
    <row r="676" spans="49:50">
      <c r="AW676" s="273"/>
      <c r="AX676" s="273"/>
    </row>
    <row r="677" spans="49:50">
      <c r="AW677" s="273"/>
      <c r="AX677" s="273"/>
    </row>
    <row r="678" spans="49:50">
      <c r="AW678" s="273"/>
      <c r="AX678" s="273"/>
    </row>
    <row r="679" spans="49:50">
      <c r="AW679" s="273"/>
      <c r="AX679" s="273"/>
    </row>
    <row r="680" spans="49:50">
      <c r="AW680" s="273"/>
      <c r="AX680" s="273"/>
    </row>
    <row r="681" spans="49:50">
      <c r="AW681" s="273"/>
      <c r="AX681" s="273"/>
    </row>
    <row r="682" spans="49:50">
      <c r="AW682" s="273"/>
      <c r="AX682" s="273"/>
    </row>
    <row r="683" spans="49:50">
      <c r="AW683" s="273"/>
      <c r="AX683" s="273"/>
    </row>
    <row r="684" spans="49:50">
      <c r="AW684" s="273"/>
      <c r="AX684" s="273"/>
    </row>
    <row r="685" spans="49:50">
      <c r="AW685" s="273"/>
      <c r="AX685" s="273"/>
    </row>
    <row r="686" spans="49:50">
      <c r="AW686" s="273"/>
      <c r="AX686" s="273"/>
    </row>
    <row r="687" spans="49:50">
      <c r="AW687" s="273"/>
      <c r="AX687" s="273"/>
    </row>
    <row r="688" spans="49:50">
      <c r="AW688" s="273"/>
      <c r="AX688" s="273"/>
    </row>
    <row r="689" spans="49:50">
      <c r="AW689" s="273"/>
      <c r="AX689" s="273"/>
    </row>
    <row r="690" spans="49:50">
      <c r="AW690" s="273"/>
      <c r="AX690" s="273"/>
    </row>
    <row r="691" spans="49:50">
      <c r="AW691" s="273"/>
      <c r="AX691" s="273"/>
    </row>
    <row r="692" spans="49:50">
      <c r="AW692" s="273"/>
      <c r="AX692" s="273"/>
    </row>
    <row r="693" spans="49:50">
      <c r="AW693" s="273"/>
      <c r="AX693" s="273"/>
    </row>
    <row r="694" spans="49:50">
      <c r="AW694" s="273"/>
      <c r="AX694" s="273"/>
    </row>
    <row r="695" spans="49:50">
      <c r="AW695" s="273"/>
      <c r="AX695" s="273"/>
    </row>
    <row r="696" spans="49:50">
      <c r="AW696" s="273"/>
      <c r="AX696" s="273"/>
    </row>
    <row r="697" spans="49:50">
      <c r="AW697" s="273"/>
      <c r="AX697" s="273"/>
    </row>
    <row r="698" spans="49:50">
      <c r="AW698" s="273"/>
      <c r="AX698" s="273"/>
    </row>
    <row r="699" spans="49:50">
      <c r="AW699" s="273"/>
      <c r="AX699" s="273"/>
    </row>
    <row r="700" spans="49:50">
      <c r="AW700" s="273"/>
      <c r="AX700" s="273"/>
    </row>
    <row r="701" spans="49:50">
      <c r="AW701" s="273"/>
      <c r="AX701" s="273"/>
    </row>
    <row r="702" spans="49:50">
      <c r="AW702" s="273"/>
      <c r="AX702" s="273"/>
    </row>
    <row r="703" spans="49:50">
      <c r="AW703" s="273"/>
      <c r="AX703" s="273"/>
    </row>
    <row r="704" spans="49:50">
      <c r="AW704" s="273"/>
      <c r="AX704" s="273"/>
    </row>
    <row r="705" spans="49:50">
      <c r="AW705" s="273"/>
      <c r="AX705" s="273"/>
    </row>
    <row r="706" spans="49:50">
      <c r="AW706" s="273"/>
      <c r="AX706" s="273"/>
    </row>
    <row r="707" spans="49:50">
      <c r="AW707" s="273"/>
      <c r="AX707" s="273"/>
    </row>
    <row r="708" spans="49:50">
      <c r="AW708" s="273"/>
      <c r="AX708" s="273"/>
    </row>
    <row r="709" spans="49:50">
      <c r="AW709" s="273"/>
      <c r="AX709" s="273"/>
    </row>
    <row r="710" spans="49:50">
      <c r="AW710" s="273"/>
      <c r="AX710" s="273"/>
    </row>
    <row r="711" spans="49:50">
      <c r="AW711" s="273"/>
      <c r="AX711" s="273"/>
    </row>
    <row r="712" spans="49:50">
      <c r="AW712" s="273"/>
      <c r="AX712" s="273"/>
    </row>
    <row r="713" spans="49:50">
      <c r="AW713" s="273"/>
      <c r="AX713" s="273"/>
    </row>
    <row r="714" spans="49:50">
      <c r="AW714" s="273"/>
      <c r="AX714" s="273"/>
    </row>
    <row r="715" spans="49:50">
      <c r="AW715" s="273"/>
      <c r="AX715" s="273"/>
    </row>
    <row r="716" spans="49:50">
      <c r="AW716" s="273"/>
      <c r="AX716" s="273"/>
    </row>
    <row r="717" spans="49:50">
      <c r="AW717" s="273"/>
      <c r="AX717" s="273"/>
    </row>
    <row r="718" spans="49:50">
      <c r="AW718" s="273"/>
      <c r="AX718" s="273"/>
    </row>
    <row r="719" spans="49:50">
      <c r="AW719" s="273"/>
      <c r="AX719" s="273"/>
    </row>
    <row r="720" spans="49:50">
      <c r="AW720" s="273"/>
      <c r="AX720" s="273"/>
    </row>
    <row r="721" spans="49:50">
      <c r="AW721" s="273"/>
      <c r="AX721" s="273"/>
    </row>
    <row r="722" spans="49:50">
      <c r="AW722" s="273"/>
      <c r="AX722" s="273"/>
    </row>
    <row r="723" spans="49:50">
      <c r="AW723" s="273"/>
      <c r="AX723" s="273"/>
    </row>
    <row r="724" spans="49:50">
      <c r="AW724" s="273"/>
      <c r="AX724" s="273"/>
    </row>
    <row r="725" spans="49:50">
      <c r="AW725" s="273"/>
      <c r="AX725" s="273"/>
    </row>
    <row r="726" spans="49:50">
      <c r="AW726" s="273"/>
      <c r="AX726" s="273"/>
    </row>
    <row r="727" spans="49:50">
      <c r="AW727" s="273"/>
      <c r="AX727" s="273"/>
    </row>
    <row r="728" spans="49:50">
      <c r="AW728" s="273"/>
      <c r="AX728" s="273"/>
    </row>
    <row r="729" spans="49:50">
      <c r="AW729" s="273"/>
      <c r="AX729" s="273"/>
    </row>
    <row r="730" spans="49:50">
      <c r="AW730" s="273"/>
      <c r="AX730" s="273"/>
    </row>
    <row r="731" spans="49:50">
      <c r="AW731" s="273"/>
      <c r="AX731" s="273"/>
    </row>
    <row r="732" spans="49:50">
      <c r="AW732" s="273"/>
      <c r="AX732" s="273"/>
    </row>
    <row r="733" spans="49:50">
      <c r="AW733" s="273"/>
      <c r="AX733" s="273"/>
    </row>
    <row r="734" spans="49:50">
      <c r="AW734" s="273"/>
      <c r="AX734" s="273"/>
    </row>
    <row r="735" spans="49:50">
      <c r="AW735" s="273"/>
      <c r="AX735" s="273"/>
    </row>
    <row r="736" spans="49:50">
      <c r="AW736" s="273"/>
      <c r="AX736" s="273"/>
    </row>
    <row r="737" spans="49:50">
      <c r="AW737" s="273"/>
      <c r="AX737" s="273"/>
    </row>
    <row r="738" spans="49:50">
      <c r="AW738" s="273"/>
      <c r="AX738" s="273"/>
    </row>
    <row r="739" spans="49:50">
      <c r="AW739" s="273"/>
      <c r="AX739" s="273"/>
    </row>
    <row r="740" spans="49:50">
      <c r="AW740" s="273"/>
      <c r="AX740" s="273"/>
    </row>
    <row r="741" spans="49:50">
      <c r="AW741" s="273"/>
      <c r="AX741" s="273"/>
    </row>
    <row r="742" spans="49:50">
      <c r="AW742" s="273"/>
      <c r="AX742" s="273"/>
    </row>
    <row r="743" spans="49:50">
      <c r="AW743" s="273"/>
      <c r="AX743" s="273"/>
    </row>
    <row r="744" spans="49:50">
      <c r="AW744" s="273"/>
      <c r="AX744" s="273"/>
    </row>
    <row r="745" spans="49:50">
      <c r="AW745" s="273"/>
      <c r="AX745" s="273"/>
    </row>
    <row r="746" spans="49:50">
      <c r="AW746" s="273"/>
      <c r="AX746" s="273"/>
    </row>
    <row r="747" spans="49:50">
      <c r="AW747" s="273"/>
      <c r="AX747" s="273"/>
    </row>
    <row r="748" spans="49:50">
      <c r="AW748" s="273"/>
      <c r="AX748" s="273"/>
    </row>
    <row r="749" spans="49:50">
      <c r="AW749" s="273"/>
      <c r="AX749" s="273"/>
    </row>
    <row r="750" spans="49:50">
      <c r="AW750" s="273"/>
      <c r="AX750" s="273"/>
    </row>
    <row r="751" spans="49:50">
      <c r="AW751" s="273"/>
      <c r="AX751" s="273"/>
    </row>
    <row r="752" spans="49:50">
      <c r="AW752" s="273"/>
      <c r="AX752" s="273"/>
    </row>
    <row r="753" spans="49:50">
      <c r="AW753" s="273"/>
      <c r="AX753" s="273"/>
    </row>
    <row r="754" spans="49:50">
      <c r="AW754" s="273"/>
      <c r="AX754" s="273"/>
    </row>
    <row r="755" spans="49:50">
      <c r="AW755" s="273"/>
      <c r="AX755" s="273"/>
    </row>
    <row r="756" spans="49:50">
      <c r="AW756" s="273"/>
      <c r="AX756" s="273"/>
    </row>
    <row r="757" spans="49:50">
      <c r="AW757" s="273"/>
      <c r="AX757" s="273"/>
    </row>
    <row r="758" spans="49:50">
      <c r="AW758" s="273"/>
      <c r="AX758" s="273"/>
    </row>
    <row r="759" spans="49:50">
      <c r="AW759" s="273"/>
      <c r="AX759" s="273"/>
    </row>
    <row r="760" spans="49:50">
      <c r="AW760" s="273"/>
      <c r="AX760" s="273"/>
    </row>
    <row r="761" spans="49:50">
      <c r="AW761" s="273"/>
      <c r="AX761" s="273"/>
    </row>
    <row r="762" spans="49:50">
      <c r="AW762" s="273"/>
      <c r="AX762" s="273"/>
    </row>
    <row r="763" spans="49:50">
      <c r="AW763" s="273"/>
      <c r="AX763" s="273"/>
    </row>
    <row r="764" spans="49:50">
      <c r="AW764" s="273"/>
      <c r="AX764" s="273"/>
    </row>
    <row r="765" spans="49:50">
      <c r="AW765" s="273"/>
      <c r="AX765" s="273"/>
    </row>
    <row r="766" spans="49:50">
      <c r="AW766" s="273"/>
      <c r="AX766" s="273"/>
    </row>
    <row r="767" spans="49:50">
      <c r="AW767" s="273"/>
      <c r="AX767" s="273"/>
    </row>
    <row r="768" spans="49:50">
      <c r="AW768" s="273"/>
      <c r="AX768" s="273"/>
    </row>
    <row r="769" spans="49:50">
      <c r="AW769" s="273"/>
      <c r="AX769" s="273"/>
    </row>
    <row r="770" spans="49:50">
      <c r="AW770" s="273"/>
      <c r="AX770" s="273"/>
    </row>
    <row r="771" spans="49:50">
      <c r="AW771" s="273"/>
      <c r="AX771" s="273"/>
    </row>
    <row r="772" spans="49:50">
      <c r="AW772" s="273"/>
      <c r="AX772" s="273"/>
    </row>
    <row r="773" spans="49:50">
      <c r="AW773" s="273"/>
      <c r="AX773" s="273"/>
    </row>
    <row r="774" spans="49:50">
      <c r="AW774" s="273"/>
      <c r="AX774" s="273"/>
    </row>
    <row r="775" spans="49:50">
      <c r="AW775" s="273"/>
      <c r="AX775" s="273"/>
    </row>
    <row r="776" spans="49:50">
      <c r="AW776" s="273"/>
      <c r="AX776" s="273"/>
    </row>
    <row r="777" spans="49:50">
      <c r="AW777" s="273"/>
      <c r="AX777" s="273"/>
    </row>
    <row r="778" spans="49:50">
      <c r="AW778" s="273"/>
      <c r="AX778" s="273"/>
    </row>
    <row r="779" spans="49:50">
      <c r="AW779" s="273"/>
      <c r="AX779" s="273"/>
    </row>
    <row r="780" spans="49:50">
      <c r="AW780" s="273"/>
      <c r="AX780" s="273"/>
    </row>
    <row r="781" spans="49:50">
      <c r="AW781" s="273"/>
      <c r="AX781" s="273"/>
    </row>
    <row r="782" spans="49:50">
      <c r="AW782" s="273"/>
      <c r="AX782" s="273"/>
    </row>
    <row r="783" spans="49:50">
      <c r="AW783" s="273"/>
      <c r="AX783" s="273"/>
    </row>
    <row r="784" spans="49:50">
      <c r="AW784" s="273"/>
      <c r="AX784" s="273"/>
    </row>
    <row r="785" spans="49:50">
      <c r="AW785" s="273"/>
      <c r="AX785" s="273"/>
    </row>
    <row r="786" spans="49:50">
      <c r="AW786" s="273"/>
      <c r="AX786" s="273"/>
    </row>
    <row r="787" spans="49:50">
      <c r="AW787" s="273"/>
      <c r="AX787" s="273"/>
    </row>
    <row r="788" spans="49:50">
      <c r="AW788" s="273"/>
      <c r="AX788" s="273"/>
    </row>
    <row r="789" spans="49:50">
      <c r="AW789" s="273"/>
      <c r="AX789" s="273"/>
    </row>
    <row r="790" spans="49:50">
      <c r="AW790" s="273"/>
      <c r="AX790" s="273"/>
    </row>
    <row r="791" spans="49:50">
      <c r="AW791" s="273"/>
      <c r="AX791" s="273"/>
    </row>
    <row r="792" spans="49:50">
      <c r="AW792" s="273"/>
      <c r="AX792" s="273"/>
    </row>
    <row r="793" spans="49:50">
      <c r="AW793" s="273"/>
      <c r="AX793" s="273"/>
    </row>
    <row r="794" spans="49:50">
      <c r="AW794" s="273"/>
      <c r="AX794" s="273"/>
    </row>
    <row r="795" spans="49:50">
      <c r="AW795" s="273"/>
      <c r="AX795" s="273"/>
    </row>
    <row r="796" spans="49:50">
      <c r="AW796" s="273"/>
      <c r="AX796" s="273"/>
    </row>
    <row r="797" spans="49:50">
      <c r="AW797" s="273"/>
      <c r="AX797" s="273"/>
    </row>
    <row r="798" spans="49:50">
      <c r="AW798" s="273"/>
      <c r="AX798" s="273"/>
    </row>
    <row r="799" spans="49:50">
      <c r="AW799" s="273"/>
      <c r="AX799" s="273"/>
    </row>
    <row r="800" spans="49:50">
      <c r="AW800" s="273"/>
      <c r="AX800" s="273"/>
    </row>
    <row r="801" spans="49:50">
      <c r="AW801" s="273"/>
      <c r="AX801" s="273"/>
    </row>
    <row r="802" spans="49:50">
      <c r="AW802" s="273"/>
      <c r="AX802" s="273"/>
    </row>
    <row r="803" spans="49:50">
      <c r="AW803" s="273"/>
      <c r="AX803" s="273"/>
    </row>
    <row r="804" spans="49:50">
      <c r="AW804" s="273"/>
      <c r="AX804" s="273"/>
    </row>
    <row r="805" spans="49:50">
      <c r="AW805" s="273"/>
      <c r="AX805" s="273"/>
    </row>
    <row r="806" spans="49:50">
      <c r="AW806" s="273"/>
      <c r="AX806" s="273"/>
    </row>
    <row r="807" spans="49:50">
      <c r="AW807" s="273"/>
      <c r="AX807" s="273"/>
    </row>
    <row r="808" spans="49:50">
      <c r="AW808" s="273"/>
      <c r="AX808" s="273"/>
    </row>
    <row r="809" spans="49:50">
      <c r="AW809" s="273"/>
      <c r="AX809" s="273"/>
    </row>
    <row r="810" spans="49:50">
      <c r="AW810" s="273"/>
      <c r="AX810" s="273"/>
    </row>
    <row r="811" spans="49:50">
      <c r="AW811" s="273"/>
      <c r="AX811" s="273"/>
    </row>
    <row r="812" spans="49:50">
      <c r="AW812" s="273"/>
      <c r="AX812" s="273"/>
    </row>
    <row r="813" spans="49:50">
      <c r="AW813" s="273"/>
      <c r="AX813" s="273"/>
    </row>
    <row r="814" spans="49:50">
      <c r="AW814" s="273"/>
      <c r="AX814" s="273"/>
    </row>
    <row r="815" spans="49:50">
      <c r="AW815" s="273"/>
      <c r="AX815" s="273"/>
    </row>
    <row r="816" spans="49:50">
      <c r="AW816" s="273"/>
      <c r="AX816" s="273"/>
    </row>
    <row r="817" spans="49:50">
      <c r="AW817" s="273"/>
      <c r="AX817" s="273"/>
    </row>
    <row r="818" spans="49:50">
      <c r="AW818" s="273"/>
      <c r="AX818" s="273"/>
    </row>
    <row r="819" spans="49:50">
      <c r="AW819" s="273"/>
      <c r="AX819" s="273"/>
    </row>
    <row r="820" spans="49:50">
      <c r="AW820" s="273"/>
      <c r="AX820" s="273"/>
    </row>
    <row r="821" spans="49:50">
      <c r="AW821" s="273"/>
      <c r="AX821" s="273"/>
    </row>
    <row r="822" spans="49:50">
      <c r="AW822" s="273"/>
      <c r="AX822" s="273"/>
    </row>
    <row r="823" spans="49:50">
      <c r="AW823" s="273"/>
      <c r="AX823" s="273"/>
    </row>
    <row r="824" spans="49:50">
      <c r="AW824" s="273"/>
      <c r="AX824" s="273"/>
    </row>
    <row r="825" spans="49:50">
      <c r="AW825" s="273"/>
      <c r="AX825" s="273"/>
    </row>
    <row r="826" spans="49:50">
      <c r="AW826" s="273"/>
      <c r="AX826" s="273"/>
    </row>
    <row r="827" spans="49:50">
      <c r="AW827" s="273"/>
      <c r="AX827" s="273"/>
    </row>
    <row r="828" spans="49:50">
      <c r="AW828" s="273"/>
      <c r="AX828" s="273"/>
    </row>
    <row r="829" spans="49:50">
      <c r="AW829" s="273"/>
      <c r="AX829" s="273"/>
    </row>
    <row r="830" spans="49:50">
      <c r="AW830" s="273"/>
      <c r="AX830" s="273"/>
    </row>
    <row r="831" spans="49:50">
      <c r="AW831" s="273"/>
      <c r="AX831" s="273"/>
    </row>
    <row r="832" spans="49:50">
      <c r="AW832" s="273"/>
      <c r="AX832" s="273"/>
    </row>
    <row r="833" spans="49:50">
      <c r="AW833" s="273"/>
      <c r="AX833" s="273"/>
    </row>
    <row r="834" spans="49:50">
      <c r="AW834" s="273"/>
      <c r="AX834" s="273"/>
    </row>
    <row r="835" spans="49:50">
      <c r="AW835" s="273"/>
      <c r="AX835" s="273"/>
    </row>
    <row r="836" spans="49:50">
      <c r="AW836" s="273"/>
      <c r="AX836" s="273"/>
    </row>
    <row r="837" spans="49:50">
      <c r="AW837" s="273"/>
      <c r="AX837" s="273"/>
    </row>
    <row r="838" spans="49:50">
      <c r="AW838" s="273"/>
      <c r="AX838" s="273"/>
    </row>
    <row r="839" spans="49:50">
      <c r="AW839" s="273"/>
      <c r="AX839" s="273"/>
    </row>
    <row r="840" spans="49:50">
      <c r="AW840" s="273"/>
      <c r="AX840" s="273"/>
    </row>
    <row r="841" spans="49:50">
      <c r="AW841" s="273"/>
      <c r="AX841" s="273"/>
    </row>
    <row r="842" spans="49:50">
      <c r="AW842" s="273"/>
      <c r="AX842" s="273"/>
    </row>
    <row r="843" spans="49:50">
      <c r="AW843" s="273"/>
      <c r="AX843" s="273"/>
    </row>
    <row r="844" spans="49:50">
      <c r="AW844" s="273"/>
      <c r="AX844" s="273"/>
    </row>
    <row r="845" spans="49:50">
      <c r="AW845" s="273"/>
      <c r="AX845" s="273"/>
    </row>
    <row r="846" spans="49:50">
      <c r="AW846" s="273"/>
      <c r="AX846" s="273"/>
    </row>
    <row r="847" spans="49:50">
      <c r="AW847" s="273"/>
      <c r="AX847" s="273"/>
    </row>
    <row r="848" spans="49:50">
      <c r="AW848" s="273"/>
      <c r="AX848" s="273"/>
    </row>
    <row r="849" spans="49:50">
      <c r="AW849" s="273"/>
      <c r="AX849" s="273"/>
    </row>
    <row r="850" spans="49:50">
      <c r="AW850" s="273"/>
      <c r="AX850" s="273"/>
    </row>
    <row r="851" spans="49:50">
      <c r="AW851" s="273"/>
      <c r="AX851" s="273"/>
    </row>
    <row r="852" spans="49:50">
      <c r="AW852" s="273"/>
      <c r="AX852" s="273"/>
    </row>
    <row r="853" spans="49:50">
      <c r="AW853" s="273"/>
      <c r="AX853" s="273"/>
    </row>
    <row r="854" spans="49:50">
      <c r="AW854" s="273"/>
      <c r="AX854" s="273"/>
    </row>
    <row r="855" spans="49:50">
      <c r="AW855" s="273"/>
      <c r="AX855" s="273"/>
    </row>
    <row r="856" spans="49:50">
      <c r="AW856" s="273"/>
      <c r="AX856" s="273"/>
    </row>
    <row r="857" spans="49:50">
      <c r="AW857" s="273"/>
      <c r="AX857" s="273"/>
    </row>
    <row r="858" spans="49:50">
      <c r="AW858" s="273"/>
      <c r="AX858" s="273"/>
    </row>
    <row r="859" spans="49:50">
      <c r="AW859" s="273"/>
      <c r="AX859" s="273"/>
    </row>
    <row r="860" spans="49:50">
      <c r="AW860" s="273"/>
      <c r="AX860" s="273"/>
    </row>
    <row r="861" spans="49:50">
      <c r="AW861" s="273"/>
      <c r="AX861" s="273"/>
    </row>
    <row r="862" spans="49:50">
      <c r="AW862" s="273"/>
      <c r="AX862" s="273"/>
    </row>
    <row r="863" spans="49:50">
      <c r="AW863" s="273"/>
      <c r="AX863" s="273"/>
    </row>
    <row r="864" spans="49:50">
      <c r="AW864" s="273"/>
      <c r="AX864" s="273"/>
    </row>
    <row r="865" spans="49:50">
      <c r="AW865" s="273"/>
      <c r="AX865" s="273"/>
    </row>
    <row r="866" spans="49:50">
      <c r="AW866" s="273"/>
      <c r="AX866" s="273"/>
    </row>
    <row r="867" spans="49:50">
      <c r="AW867" s="273"/>
      <c r="AX867" s="273"/>
    </row>
    <row r="868" spans="49:50">
      <c r="AW868" s="273"/>
      <c r="AX868" s="273"/>
    </row>
    <row r="869" spans="49:50">
      <c r="AW869" s="273"/>
      <c r="AX869" s="273"/>
    </row>
    <row r="870" spans="49:50">
      <c r="AW870" s="273"/>
      <c r="AX870" s="273"/>
    </row>
    <row r="871" spans="49:50">
      <c r="AW871" s="273"/>
      <c r="AX871" s="273"/>
    </row>
    <row r="872" spans="49:50">
      <c r="AW872" s="273"/>
      <c r="AX872" s="273"/>
    </row>
    <row r="873" spans="49:50">
      <c r="AW873" s="273"/>
      <c r="AX873" s="273"/>
    </row>
    <row r="874" spans="49:50">
      <c r="AW874" s="273"/>
      <c r="AX874" s="273"/>
    </row>
    <row r="875" spans="49:50">
      <c r="AW875" s="273"/>
      <c r="AX875" s="273"/>
    </row>
    <row r="876" spans="49:50">
      <c r="AW876" s="273"/>
      <c r="AX876" s="273"/>
    </row>
    <row r="877" spans="49:50">
      <c r="AW877" s="273"/>
      <c r="AX877" s="273"/>
    </row>
    <row r="878" spans="49:50">
      <c r="AW878" s="273"/>
      <c r="AX878" s="273"/>
    </row>
    <row r="879" spans="49:50">
      <c r="AW879" s="273"/>
      <c r="AX879" s="273"/>
    </row>
    <row r="880" spans="49:50">
      <c r="AW880" s="273"/>
      <c r="AX880" s="273"/>
    </row>
    <row r="881" spans="49:50">
      <c r="AW881" s="273"/>
      <c r="AX881" s="273"/>
    </row>
    <row r="882" spans="49:50">
      <c r="AW882" s="273"/>
      <c r="AX882" s="273"/>
    </row>
    <row r="883" spans="49:50">
      <c r="AW883" s="273"/>
      <c r="AX883" s="273"/>
    </row>
    <row r="884" spans="49:50">
      <c r="AW884" s="273"/>
      <c r="AX884" s="273"/>
    </row>
    <row r="885" spans="49:50">
      <c r="AW885" s="273"/>
      <c r="AX885" s="273"/>
    </row>
    <row r="886" spans="49:50">
      <c r="AW886" s="273"/>
      <c r="AX886" s="273"/>
    </row>
    <row r="887" spans="49:50">
      <c r="AW887" s="273"/>
      <c r="AX887" s="273"/>
    </row>
    <row r="888" spans="49:50">
      <c r="AW888" s="273"/>
      <c r="AX888" s="273"/>
    </row>
    <row r="889" spans="49:50">
      <c r="AW889" s="273"/>
      <c r="AX889" s="273"/>
    </row>
    <row r="890" spans="49:50">
      <c r="AW890" s="273"/>
      <c r="AX890" s="273"/>
    </row>
    <row r="891" spans="49:50">
      <c r="AW891" s="273"/>
      <c r="AX891" s="273"/>
    </row>
    <row r="892" spans="49:50">
      <c r="AW892" s="273"/>
      <c r="AX892" s="273"/>
    </row>
    <row r="893" spans="49:50">
      <c r="AW893" s="273"/>
      <c r="AX893" s="273"/>
    </row>
    <row r="894" spans="49:50">
      <c r="AW894" s="273"/>
      <c r="AX894" s="273"/>
    </row>
    <row r="895" spans="49:50">
      <c r="AW895" s="273"/>
      <c r="AX895" s="273"/>
    </row>
    <row r="896" spans="49:50">
      <c r="AW896" s="273"/>
      <c r="AX896" s="273"/>
    </row>
    <row r="897" spans="49:50">
      <c r="AW897" s="273"/>
      <c r="AX897" s="273"/>
    </row>
    <row r="898" spans="49:50">
      <c r="AW898" s="273"/>
      <c r="AX898" s="273"/>
    </row>
    <row r="899" spans="49:50">
      <c r="AW899" s="273"/>
      <c r="AX899" s="273"/>
    </row>
    <row r="900" spans="49:50">
      <c r="AW900" s="273"/>
      <c r="AX900" s="273"/>
    </row>
    <row r="901" spans="49:50">
      <c r="AW901" s="273"/>
      <c r="AX901" s="273"/>
    </row>
    <row r="902" spans="49:50">
      <c r="AW902" s="273"/>
      <c r="AX902" s="273"/>
    </row>
    <row r="903" spans="49:50">
      <c r="AW903" s="273"/>
      <c r="AX903" s="273"/>
    </row>
    <row r="904" spans="49:50">
      <c r="AW904" s="273"/>
      <c r="AX904" s="273"/>
    </row>
    <row r="905" spans="49:50">
      <c r="AW905" s="273"/>
      <c r="AX905" s="273"/>
    </row>
    <row r="906" spans="49:50">
      <c r="AW906" s="273"/>
      <c r="AX906" s="273"/>
    </row>
    <row r="907" spans="49:50">
      <c r="AW907" s="273"/>
      <c r="AX907" s="273"/>
    </row>
    <row r="908" spans="49:50">
      <c r="AW908" s="273"/>
      <c r="AX908" s="273"/>
    </row>
    <row r="909" spans="49:50">
      <c r="AW909" s="273"/>
      <c r="AX909" s="273"/>
    </row>
    <row r="910" spans="49:50">
      <c r="AW910" s="273"/>
      <c r="AX910" s="273"/>
    </row>
    <row r="911" spans="49:50">
      <c r="AW911" s="273"/>
      <c r="AX911" s="273"/>
    </row>
    <row r="912" spans="49:50">
      <c r="AW912" s="273"/>
      <c r="AX912" s="273"/>
    </row>
    <row r="913" spans="49:50">
      <c r="AW913" s="273"/>
      <c r="AX913" s="273"/>
    </row>
    <row r="914" spans="49:50">
      <c r="AW914" s="273"/>
      <c r="AX914" s="273"/>
    </row>
    <row r="915" spans="49:50">
      <c r="AW915" s="273"/>
      <c r="AX915" s="273"/>
    </row>
    <row r="916" spans="49:50">
      <c r="AW916" s="273"/>
      <c r="AX916" s="273"/>
    </row>
    <row r="917" spans="49:50">
      <c r="AW917" s="273"/>
      <c r="AX917" s="273"/>
    </row>
    <row r="918" spans="49:50">
      <c r="AW918" s="273"/>
      <c r="AX918" s="273"/>
    </row>
    <row r="919" spans="49:50">
      <c r="AW919" s="273"/>
      <c r="AX919" s="273"/>
    </row>
    <row r="920" spans="49:50">
      <c r="AW920" s="273"/>
      <c r="AX920" s="273"/>
    </row>
    <row r="921" spans="49:50">
      <c r="AW921" s="273"/>
      <c r="AX921" s="273"/>
    </row>
    <row r="922" spans="49:50">
      <c r="AW922" s="273"/>
      <c r="AX922" s="273"/>
    </row>
    <row r="923" spans="49:50">
      <c r="AW923" s="273"/>
      <c r="AX923" s="273"/>
    </row>
    <row r="924" spans="49:50">
      <c r="AW924" s="273"/>
      <c r="AX924" s="273"/>
    </row>
    <row r="925" spans="49:50">
      <c r="AW925" s="273"/>
      <c r="AX925" s="273"/>
    </row>
    <row r="926" spans="49:50">
      <c r="AW926" s="273"/>
      <c r="AX926" s="273"/>
    </row>
    <row r="927" spans="49:50">
      <c r="AW927" s="273"/>
      <c r="AX927" s="273"/>
    </row>
    <row r="928" spans="49:50">
      <c r="AW928" s="273"/>
      <c r="AX928" s="273"/>
    </row>
    <row r="929" spans="49:50">
      <c r="AW929" s="273"/>
      <c r="AX929" s="273"/>
    </row>
    <row r="930" spans="49:50">
      <c r="AW930" s="273"/>
      <c r="AX930" s="273"/>
    </row>
    <row r="931" spans="49:50">
      <c r="AW931" s="273"/>
      <c r="AX931" s="273"/>
    </row>
    <row r="932" spans="49:50">
      <c r="AW932" s="273"/>
      <c r="AX932" s="273"/>
    </row>
    <row r="933" spans="49:50">
      <c r="AW933" s="273"/>
      <c r="AX933" s="273"/>
    </row>
    <row r="934" spans="49:50">
      <c r="AW934" s="273"/>
      <c r="AX934" s="273"/>
    </row>
    <row r="935" spans="49:50">
      <c r="AW935" s="273"/>
      <c r="AX935" s="273"/>
    </row>
    <row r="936" spans="49:50">
      <c r="AW936" s="273"/>
      <c r="AX936" s="273"/>
    </row>
    <row r="937" spans="49:50">
      <c r="AW937" s="273"/>
      <c r="AX937" s="273"/>
    </row>
    <row r="938" spans="49:50">
      <c r="AW938" s="273"/>
      <c r="AX938" s="273"/>
    </row>
    <row r="939" spans="49:50">
      <c r="AW939" s="273"/>
      <c r="AX939" s="273"/>
    </row>
    <row r="940" spans="49:50">
      <c r="AW940" s="273"/>
      <c r="AX940" s="273"/>
    </row>
    <row r="941" spans="49:50">
      <c r="AW941" s="273"/>
      <c r="AX941" s="273"/>
    </row>
    <row r="942" spans="49:50">
      <c r="AW942" s="273"/>
      <c r="AX942" s="273"/>
    </row>
    <row r="943" spans="49:50">
      <c r="AW943" s="273"/>
      <c r="AX943" s="273"/>
    </row>
    <row r="944" spans="49:50">
      <c r="AW944" s="273"/>
      <c r="AX944" s="273"/>
    </row>
    <row r="945" spans="49:50">
      <c r="AW945" s="273"/>
      <c r="AX945" s="273"/>
    </row>
    <row r="946" spans="49:50">
      <c r="AW946" s="273"/>
      <c r="AX946" s="273"/>
    </row>
    <row r="947" spans="49:50">
      <c r="AW947" s="273"/>
      <c r="AX947" s="273"/>
    </row>
    <row r="948" spans="49:50">
      <c r="AW948" s="273"/>
      <c r="AX948" s="273"/>
    </row>
    <row r="949" spans="49:50">
      <c r="AW949" s="273"/>
      <c r="AX949" s="273"/>
    </row>
    <row r="950" spans="49:50">
      <c r="AW950" s="273"/>
      <c r="AX950" s="273"/>
    </row>
    <row r="951" spans="49:50">
      <c r="AW951" s="273"/>
      <c r="AX951" s="273"/>
    </row>
    <row r="952" spans="49:50">
      <c r="AW952" s="273"/>
      <c r="AX952" s="273"/>
    </row>
    <row r="953" spans="49:50">
      <c r="AW953" s="273"/>
      <c r="AX953" s="273"/>
    </row>
    <row r="954" spans="49:50">
      <c r="AW954" s="273"/>
      <c r="AX954" s="273"/>
    </row>
    <row r="955" spans="49:50">
      <c r="AW955" s="273"/>
      <c r="AX955" s="273"/>
    </row>
    <row r="956" spans="49:50">
      <c r="AW956" s="273"/>
      <c r="AX956" s="273"/>
    </row>
    <row r="957" spans="49:50">
      <c r="AW957" s="273"/>
      <c r="AX957" s="273"/>
    </row>
    <row r="958" spans="49:50">
      <c r="AW958" s="273"/>
      <c r="AX958" s="273"/>
    </row>
    <row r="959" spans="49:50">
      <c r="AW959" s="273"/>
      <c r="AX959" s="273"/>
    </row>
    <row r="960" spans="49:50">
      <c r="AW960" s="273"/>
      <c r="AX960" s="273"/>
    </row>
    <row r="961" spans="49:50">
      <c r="AW961" s="273"/>
      <c r="AX961" s="273"/>
    </row>
    <row r="962" spans="49:50">
      <c r="AW962" s="273"/>
      <c r="AX962" s="273"/>
    </row>
    <row r="963" spans="49:50">
      <c r="AW963" s="273"/>
      <c r="AX963" s="273"/>
    </row>
    <row r="964" spans="49:50">
      <c r="AW964" s="273"/>
      <c r="AX964" s="273"/>
    </row>
    <row r="965" spans="49:50">
      <c r="AW965" s="273"/>
      <c r="AX965" s="273"/>
    </row>
    <row r="966" spans="49:50">
      <c r="AW966" s="273"/>
      <c r="AX966" s="273"/>
    </row>
    <row r="967" spans="49:50">
      <c r="AW967" s="273"/>
      <c r="AX967" s="273"/>
    </row>
    <row r="968" spans="49:50">
      <c r="AW968" s="273"/>
      <c r="AX968" s="273"/>
    </row>
    <row r="969" spans="49:50">
      <c r="AW969" s="273"/>
      <c r="AX969" s="273"/>
    </row>
    <row r="970" spans="49:50">
      <c r="AW970" s="273"/>
      <c r="AX970" s="273"/>
    </row>
    <row r="971" spans="49:50">
      <c r="AW971" s="273"/>
      <c r="AX971" s="273"/>
    </row>
    <row r="972" spans="49:50">
      <c r="AW972" s="273"/>
      <c r="AX972" s="273"/>
    </row>
    <row r="973" spans="49:50">
      <c r="AW973" s="273"/>
      <c r="AX973" s="273"/>
    </row>
    <row r="974" spans="49:50">
      <c r="AW974" s="273"/>
      <c r="AX974" s="273"/>
    </row>
    <row r="975" spans="49:50">
      <c r="AW975" s="273"/>
      <c r="AX975" s="273"/>
    </row>
    <row r="976" spans="49:50">
      <c r="AW976" s="273"/>
      <c r="AX976" s="273"/>
    </row>
    <row r="977" spans="49:50">
      <c r="AW977" s="273"/>
      <c r="AX977" s="273"/>
    </row>
    <row r="978" spans="49:50">
      <c r="AW978" s="273"/>
      <c r="AX978" s="273"/>
    </row>
    <row r="979" spans="49:50">
      <c r="AW979" s="273"/>
      <c r="AX979" s="273"/>
    </row>
    <row r="980" spans="49:50">
      <c r="AW980" s="273"/>
      <c r="AX980" s="273"/>
    </row>
    <row r="981" spans="49:50">
      <c r="AW981" s="273"/>
      <c r="AX981" s="273"/>
    </row>
    <row r="982" spans="49:50">
      <c r="AW982" s="273"/>
      <c r="AX982" s="273"/>
    </row>
    <row r="983" spans="49:50">
      <c r="AW983" s="273"/>
      <c r="AX983" s="273"/>
    </row>
    <row r="984" spans="49:50">
      <c r="AW984" s="273"/>
      <c r="AX984" s="273"/>
    </row>
    <row r="985" spans="49:50">
      <c r="AW985" s="273"/>
      <c r="AX985" s="273"/>
    </row>
    <row r="986" spans="49:50">
      <c r="AW986" s="273"/>
      <c r="AX986" s="273"/>
    </row>
    <row r="987" spans="49:50">
      <c r="AW987" s="273"/>
      <c r="AX987" s="273"/>
    </row>
    <row r="988" spans="49:50">
      <c r="AW988" s="273"/>
      <c r="AX988" s="273"/>
    </row>
    <row r="989" spans="49:50">
      <c r="AW989" s="273"/>
      <c r="AX989" s="273"/>
    </row>
    <row r="990" spans="49:50">
      <c r="AW990" s="273"/>
      <c r="AX990" s="273"/>
    </row>
    <row r="991" spans="49:50">
      <c r="AW991" s="273"/>
      <c r="AX991" s="273"/>
    </row>
    <row r="992" spans="49:50">
      <c r="AW992" s="273"/>
      <c r="AX992" s="273"/>
    </row>
    <row r="993" spans="49:50">
      <c r="AW993" s="273"/>
      <c r="AX993" s="273"/>
    </row>
    <row r="994" spans="49:50">
      <c r="AW994" s="273"/>
      <c r="AX994" s="273"/>
    </row>
    <row r="995" spans="49:50">
      <c r="AW995" s="273"/>
      <c r="AX995" s="273"/>
    </row>
    <row r="996" spans="49:50">
      <c r="AW996" s="273"/>
      <c r="AX996" s="273"/>
    </row>
    <row r="997" spans="49:50">
      <c r="AW997" s="273"/>
      <c r="AX997" s="273"/>
    </row>
    <row r="998" spans="49:50">
      <c r="AW998" s="273"/>
      <c r="AX998" s="273"/>
    </row>
    <row r="999" spans="49:50">
      <c r="AW999" s="273"/>
      <c r="AX999" s="273"/>
    </row>
    <row r="1000" spans="49:50">
      <c r="AW1000" s="273"/>
      <c r="AX1000" s="273"/>
    </row>
    <row r="1001" spans="49:50">
      <c r="AW1001" s="273"/>
      <c r="AX1001" s="273"/>
    </row>
    <row r="1002" spans="49:50">
      <c r="AW1002" s="273"/>
      <c r="AX1002" s="273"/>
    </row>
    <row r="1003" spans="49:50">
      <c r="AW1003" s="273"/>
      <c r="AX1003" s="273"/>
    </row>
    <row r="1004" spans="49:50">
      <c r="AW1004" s="273"/>
      <c r="AX1004" s="273"/>
    </row>
    <row r="1005" spans="49:50">
      <c r="AW1005" s="273"/>
      <c r="AX1005" s="273"/>
    </row>
    <row r="1006" spans="49:50">
      <c r="AW1006" s="273"/>
      <c r="AX1006" s="273"/>
    </row>
    <row r="1007" spans="49:50">
      <c r="AW1007" s="273"/>
      <c r="AX1007" s="273"/>
    </row>
    <row r="1008" spans="49:50">
      <c r="AW1008" s="273"/>
      <c r="AX1008" s="273"/>
    </row>
    <row r="1009" spans="49:50">
      <c r="AW1009" s="273"/>
      <c r="AX1009" s="273"/>
    </row>
    <row r="1010" spans="49:50">
      <c r="AW1010" s="273"/>
      <c r="AX1010" s="273"/>
    </row>
    <row r="1011" spans="49:50">
      <c r="AW1011" s="273"/>
      <c r="AX1011" s="273"/>
    </row>
    <row r="1012" spans="49:50">
      <c r="AW1012" s="273"/>
      <c r="AX1012" s="273"/>
    </row>
    <row r="1013" spans="49:50">
      <c r="AW1013" s="273"/>
      <c r="AX1013" s="273"/>
    </row>
    <row r="1014" spans="49:50">
      <c r="AW1014" s="273"/>
      <c r="AX1014" s="273"/>
    </row>
    <row r="1015" spans="49:50">
      <c r="AW1015" s="273"/>
      <c r="AX1015" s="273"/>
    </row>
    <row r="1016" spans="49:50">
      <c r="AW1016" s="273"/>
      <c r="AX1016" s="273"/>
    </row>
    <row r="1017" spans="49:50">
      <c r="AW1017" s="273"/>
      <c r="AX1017" s="273"/>
    </row>
    <row r="1018" spans="49:50">
      <c r="AW1018" s="273"/>
      <c r="AX1018" s="273"/>
    </row>
    <row r="1019" spans="49:50">
      <c r="AW1019" s="273"/>
      <c r="AX1019" s="273"/>
    </row>
    <row r="1020" spans="49:50">
      <c r="AW1020" s="273"/>
      <c r="AX1020" s="273"/>
    </row>
    <row r="1021" spans="49:50">
      <c r="AW1021" s="273"/>
      <c r="AX1021" s="273"/>
    </row>
    <row r="1022" spans="49:50">
      <c r="AW1022" s="273"/>
      <c r="AX1022" s="273"/>
    </row>
    <row r="1023" spans="49:50">
      <c r="AW1023" s="273"/>
      <c r="AX1023" s="273"/>
    </row>
    <row r="1024" spans="49:50">
      <c r="AW1024" s="273"/>
      <c r="AX1024" s="273"/>
    </row>
    <row r="1025" spans="49:50">
      <c r="AW1025" s="273"/>
      <c r="AX1025" s="273"/>
    </row>
    <row r="1026" spans="49:50">
      <c r="AW1026" s="273"/>
      <c r="AX1026" s="273"/>
    </row>
    <row r="1027" spans="49:50">
      <c r="AW1027" s="273"/>
      <c r="AX1027" s="273"/>
    </row>
    <row r="1028" spans="49:50">
      <c r="AW1028" s="273"/>
      <c r="AX1028" s="273"/>
    </row>
    <row r="1029" spans="49:50">
      <c r="AW1029" s="273"/>
      <c r="AX1029" s="273"/>
    </row>
    <row r="1030" spans="49:50">
      <c r="AW1030" s="273"/>
      <c r="AX1030" s="273"/>
    </row>
    <row r="1031" spans="49:50">
      <c r="AW1031" s="273"/>
      <c r="AX1031" s="273"/>
    </row>
    <row r="1032" spans="49:50">
      <c r="AW1032" s="273"/>
      <c r="AX1032" s="273"/>
    </row>
    <row r="1033" spans="49:50">
      <c r="AW1033" s="273"/>
      <c r="AX1033" s="273"/>
    </row>
    <row r="1034" spans="49:50">
      <c r="AW1034" s="273"/>
      <c r="AX1034" s="273"/>
    </row>
    <row r="1035" spans="49:50">
      <c r="AW1035" s="273"/>
      <c r="AX1035" s="273"/>
    </row>
    <row r="1036" spans="49:50">
      <c r="AW1036" s="273"/>
      <c r="AX1036" s="273"/>
    </row>
    <row r="1037" spans="49:50">
      <c r="AW1037" s="273"/>
      <c r="AX1037" s="273"/>
    </row>
    <row r="1038" spans="49:50">
      <c r="AW1038" s="273"/>
      <c r="AX1038" s="273"/>
    </row>
    <row r="1039" spans="49:50">
      <c r="AW1039" s="273"/>
      <c r="AX1039" s="273"/>
    </row>
    <row r="1040" spans="49:50">
      <c r="AW1040" s="273"/>
      <c r="AX1040" s="273"/>
    </row>
    <row r="1041" spans="49:50">
      <c r="AW1041" s="273"/>
      <c r="AX1041" s="273"/>
    </row>
    <row r="1042" spans="49:50">
      <c r="AW1042" s="273"/>
      <c r="AX1042" s="273"/>
    </row>
    <row r="1043" spans="49:50">
      <c r="AW1043" s="273"/>
      <c r="AX1043" s="273"/>
    </row>
    <row r="1044" spans="49:50">
      <c r="AW1044" s="273"/>
      <c r="AX1044" s="273"/>
    </row>
    <row r="1045" spans="49:50">
      <c r="AW1045" s="273"/>
      <c r="AX1045" s="273"/>
    </row>
    <row r="1046" spans="49:50">
      <c r="AW1046" s="273"/>
      <c r="AX1046" s="273"/>
    </row>
    <row r="1047" spans="49:50">
      <c r="AW1047" s="273"/>
      <c r="AX1047" s="273"/>
    </row>
    <row r="1048" spans="49:50">
      <c r="AW1048" s="273"/>
      <c r="AX1048" s="273"/>
    </row>
    <row r="1049" spans="49:50">
      <c r="AW1049" s="273"/>
      <c r="AX1049" s="273"/>
    </row>
    <row r="1050" spans="49:50">
      <c r="AW1050" s="273"/>
      <c r="AX1050" s="273"/>
    </row>
    <row r="1051" spans="49:50">
      <c r="AW1051" s="273"/>
      <c r="AX1051" s="273"/>
    </row>
    <row r="1052" spans="49:50">
      <c r="AW1052" s="273"/>
      <c r="AX1052" s="273"/>
    </row>
    <row r="1053" spans="49:50">
      <c r="AW1053" s="273"/>
      <c r="AX1053" s="273"/>
    </row>
    <row r="1054" spans="49:50">
      <c r="AW1054" s="273"/>
      <c r="AX1054" s="273"/>
    </row>
    <row r="1055" spans="49:50">
      <c r="AW1055" s="273"/>
      <c r="AX1055" s="273"/>
    </row>
    <row r="1056" spans="49:50">
      <c r="AW1056" s="273"/>
      <c r="AX1056" s="273"/>
    </row>
    <row r="1057" spans="49:50">
      <c r="AW1057" s="273"/>
      <c r="AX1057" s="273"/>
    </row>
    <row r="1058" spans="49:50">
      <c r="AW1058" s="273"/>
      <c r="AX1058" s="273"/>
    </row>
    <row r="1059" spans="49:50">
      <c r="AW1059" s="273"/>
      <c r="AX1059" s="273"/>
    </row>
    <row r="1060" spans="49:50">
      <c r="AW1060" s="273"/>
      <c r="AX1060" s="273"/>
    </row>
    <row r="1061" spans="49:50">
      <c r="AW1061" s="273"/>
      <c r="AX1061" s="273"/>
    </row>
    <row r="1062" spans="49:50">
      <c r="AW1062" s="273"/>
      <c r="AX1062" s="273"/>
    </row>
    <row r="1063" spans="49:50">
      <c r="AW1063" s="273"/>
      <c r="AX1063" s="273"/>
    </row>
    <row r="1064" spans="49:50">
      <c r="AW1064" s="273"/>
      <c r="AX1064" s="273"/>
    </row>
    <row r="1065" spans="49:50">
      <c r="AW1065" s="273"/>
      <c r="AX1065" s="273"/>
    </row>
    <row r="1066" spans="49:50">
      <c r="AW1066" s="273"/>
      <c r="AX1066" s="273"/>
    </row>
    <row r="1067" spans="49:50">
      <c r="AW1067" s="273"/>
      <c r="AX1067" s="273"/>
    </row>
    <row r="1068" spans="49:50">
      <c r="AW1068" s="273"/>
      <c r="AX1068" s="273"/>
    </row>
    <row r="1069" spans="49:50">
      <c r="AW1069" s="273"/>
      <c r="AX1069" s="273"/>
    </row>
    <row r="1070" spans="49:50">
      <c r="AW1070" s="273"/>
      <c r="AX1070" s="273"/>
    </row>
    <row r="1071" spans="49:50">
      <c r="AW1071" s="273"/>
      <c r="AX1071" s="273"/>
    </row>
    <row r="1072" spans="49:50">
      <c r="AW1072" s="273"/>
      <c r="AX1072" s="273"/>
    </row>
    <row r="1073" spans="49:50">
      <c r="AW1073" s="273"/>
      <c r="AX1073" s="273"/>
    </row>
    <row r="1074" spans="49:50">
      <c r="AW1074" s="273"/>
      <c r="AX1074" s="273"/>
    </row>
    <row r="1075" spans="49:50">
      <c r="AW1075" s="273"/>
      <c r="AX1075" s="273"/>
    </row>
    <row r="1076" spans="49:50">
      <c r="AW1076" s="273"/>
      <c r="AX1076" s="273"/>
    </row>
    <row r="1077" spans="49:50">
      <c r="AW1077" s="273"/>
      <c r="AX1077" s="273"/>
    </row>
    <row r="1078" spans="49:50">
      <c r="AW1078" s="273"/>
      <c r="AX1078" s="273"/>
    </row>
    <row r="1079" spans="49:50">
      <c r="AW1079" s="273"/>
      <c r="AX1079" s="273"/>
    </row>
    <row r="1080" spans="49:50">
      <c r="AW1080" s="273"/>
      <c r="AX1080" s="273"/>
    </row>
    <row r="1081" spans="49:50">
      <c r="AW1081" s="273"/>
      <c r="AX1081" s="273"/>
    </row>
    <row r="1082" spans="49:50">
      <c r="AW1082" s="273"/>
      <c r="AX1082" s="273"/>
    </row>
    <row r="1083" spans="49:50">
      <c r="AW1083" s="273"/>
      <c r="AX1083" s="273"/>
    </row>
    <row r="1084" spans="49:50">
      <c r="AW1084" s="273"/>
      <c r="AX1084" s="273"/>
    </row>
    <row r="1085" spans="49:50">
      <c r="AW1085" s="273"/>
      <c r="AX1085" s="273"/>
    </row>
    <row r="1086" spans="49:50">
      <c r="AW1086" s="273"/>
      <c r="AX1086" s="273"/>
    </row>
    <row r="1087" spans="49:50">
      <c r="AW1087" s="273"/>
      <c r="AX1087" s="273"/>
    </row>
    <row r="1088" spans="49:50">
      <c r="AW1088" s="273"/>
      <c r="AX1088" s="273"/>
    </row>
    <row r="1089" spans="49:50">
      <c r="AW1089" s="273"/>
      <c r="AX1089" s="273"/>
    </row>
    <row r="1090" spans="49:50">
      <c r="AW1090" s="273"/>
      <c r="AX1090" s="273"/>
    </row>
    <row r="1091" spans="49:50">
      <c r="AW1091" s="273"/>
      <c r="AX1091" s="273"/>
    </row>
    <row r="1092" spans="49:50">
      <c r="AW1092" s="273"/>
      <c r="AX1092" s="273"/>
    </row>
    <row r="1093" spans="49:50">
      <c r="AW1093" s="273"/>
      <c r="AX1093" s="273"/>
    </row>
    <row r="1094" spans="49:50">
      <c r="AW1094" s="273"/>
      <c r="AX1094" s="273"/>
    </row>
    <row r="1095" spans="49:50">
      <c r="AW1095" s="273"/>
      <c r="AX1095" s="273"/>
    </row>
    <row r="1096" spans="49:50">
      <c r="AW1096" s="273"/>
      <c r="AX1096" s="273"/>
    </row>
    <row r="1097" spans="49:50">
      <c r="AW1097" s="273"/>
      <c r="AX1097" s="273"/>
    </row>
    <row r="1098" spans="49:50">
      <c r="AW1098" s="273"/>
      <c r="AX1098" s="273"/>
    </row>
    <row r="1099" spans="49:50">
      <c r="AW1099" s="273"/>
      <c r="AX1099" s="273"/>
    </row>
    <row r="1100" spans="49:50">
      <c r="AW1100" s="273"/>
      <c r="AX1100" s="273"/>
    </row>
    <row r="1101" spans="49:50">
      <c r="AW1101" s="273"/>
      <c r="AX1101" s="273"/>
    </row>
    <row r="1102" spans="49:50">
      <c r="AW1102" s="273"/>
      <c r="AX1102" s="273"/>
    </row>
    <row r="1103" spans="49:50">
      <c r="AW1103" s="273"/>
      <c r="AX1103" s="273"/>
    </row>
    <row r="1104" spans="49:50">
      <c r="AW1104" s="273"/>
      <c r="AX1104" s="273"/>
    </row>
    <row r="1105" spans="49:50">
      <c r="AW1105" s="273"/>
      <c r="AX1105" s="273"/>
    </row>
    <row r="1106" spans="49:50">
      <c r="AW1106" s="273"/>
      <c r="AX1106" s="273"/>
    </row>
    <row r="1107" spans="49:50">
      <c r="AW1107" s="273"/>
      <c r="AX1107" s="273"/>
    </row>
    <row r="1108" spans="49:50">
      <c r="AW1108" s="273"/>
      <c r="AX1108" s="273"/>
    </row>
    <row r="1109" spans="49:50">
      <c r="AW1109" s="273"/>
      <c r="AX1109" s="273"/>
    </row>
    <row r="1110" spans="49:50">
      <c r="AW1110" s="273"/>
      <c r="AX1110" s="273"/>
    </row>
    <row r="1111" spans="49:50">
      <c r="AW1111" s="273"/>
      <c r="AX1111" s="273"/>
    </row>
    <row r="1112" spans="49:50">
      <c r="AW1112" s="273"/>
      <c r="AX1112" s="273"/>
    </row>
    <row r="1113" spans="49:50">
      <c r="AW1113" s="273"/>
      <c r="AX1113" s="273"/>
    </row>
    <row r="1114" spans="49:50">
      <c r="AW1114" s="273"/>
      <c r="AX1114" s="273"/>
    </row>
    <row r="1115" spans="49:50">
      <c r="AW1115" s="273"/>
      <c r="AX1115" s="273"/>
    </row>
    <row r="1116" spans="49:50">
      <c r="AW1116" s="273"/>
      <c r="AX1116" s="273"/>
    </row>
    <row r="1117" spans="49:50">
      <c r="AW1117" s="273"/>
      <c r="AX1117" s="273"/>
    </row>
    <row r="1118" spans="49:50">
      <c r="AW1118" s="273"/>
      <c r="AX1118" s="273"/>
    </row>
    <row r="1119" spans="49:50">
      <c r="AW1119" s="273"/>
      <c r="AX1119" s="273"/>
    </row>
    <row r="1120" spans="49:50">
      <c r="AW1120" s="273"/>
      <c r="AX1120" s="273"/>
    </row>
    <row r="1121" spans="49:50">
      <c r="AW1121" s="273"/>
      <c r="AX1121" s="273"/>
    </row>
    <row r="1122" spans="49:50">
      <c r="AW1122" s="273"/>
      <c r="AX1122" s="273"/>
    </row>
    <row r="1123" spans="49:50">
      <c r="AW1123" s="273"/>
      <c r="AX1123" s="273"/>
    </row>
    <row r="1124" spans="49:50">
      <c r="AW1124" s="273"/>
      <c r="AX1124" s="273"/>
    </row>
    <row r="1125" spans="49:50">
      <c r="AW1125" s="273"/>
      <c r="AX1125" s="273"/>
    </row>
    <row r="1126" spans="49:50">
      <c r="AW1126" s="273"/>
      <c r="AX1126" s="273"/>
    </row>
    <row r="1127" spans="49:50">
      <c r="AW1127" s="273"/>
      <c r="AX1127" s="273"/>
    </row>
    <row r="1128" spans="49:50">
      <c r="AW1128" s="273"/>
      <c r="AX1128" s="273"/>
    </row>
    <row r="1129" spans="49:50">
      <c r="AW1129" s="273"/>
      <c r="AX1129" s="273"/>
    </row>
    <row r="1130" spans="49:50">
      <c r="AW1130" s="273"/>
      <c r="AX1130" s="273"/>
    </row>
    <row r="1131" spans="49:50">
      <c r="AW1131" s="273"/>
      <c r="AX1131" s="273"/>
    </row>
    <row r="1132" spans="49:50">
      <c r="AW1132" s="273"/>
      <c r="AX1132" s="273"/>
    </row>
    <row r="1133" spans="49:50">
      <c r="AW1133" s="273"/>
      <c r="AX1133" s="273"/>
    </row>
    <row r="1134" spans="49:50">
      <c r="AW1134" s="273"/>
      <c r="AX1134" s="273"/>
    </row>
    <row r="1135" spans="49:50">
      <c r="AW1135" s="273"/>
      <c r="AX1135" s="273"/>
    </row>
    <row r="1136" spans="49:50">
      <c r="AW1136" s="273"/>
      <c r="AX1136" s="273"/>
    </row>
    <row r="1137" spans="49:50">
      <c r="AW1137" s="273"/>
      <c r="AX1137" s="273"/>
    </row>
    <row r="1138" spans="49:50">
      <c r="AW1138" s="273"/>
      <c r="AX1138" s="273"/>
    </row>
    <row r="1139" spans="49:50">
      <c r="AW1139" s="273"/>
      <c r="AX1139" s="273"/>
    </row>
    <row r="1140" spans="49:50">
      <c r="AW1140" s="273"/>
      <c r="AX1140" s="273"/>
    </row>
    <row r="1141" spans="49:50">
      <c r="AW1141" s="273"/>
      <c r="AX1141" s="273"/>
    </row>
    <row r="1142" spans="49:50">
      <c r="AW1142" s="273"/>
      <c r="AX1142" s="273"/>
    </row>
    <row r="1143" spans="49:50">
      <c r="AW1143" s="273"/>
      <c r="AX1143" s="273"/>
    </row>
    <row r="1144" spans="49:50">
      <c r="AW1144" s="273"/>
      <c r="AX1144" s="273"/>
    </row>
    <row r="1145" spans="49:50">
      <c r="AW1145" s="273"/>
      <c r="AX1145" s="273"/>
    </row>
    <row r="1146" spans="49:50">
      <c r="AW1146" s="273"/>
      <c r="AX1146" s="273"/>
    </row>
    <row r="1147" spans="49:50">
      <c r="AW1147" s="273"/>
      <c r="AX1147" s="273"/>
    </row>
    <row r="1148" spans="49:50">
      <c r="AW1148" s="273"/>
      <c r="AX1148" s="273"/>
    </row>
    <row r="1149" spans="49:50">
      <c r="AW1149" s="273"/>
      <c r="AX1149" s="273"/>
    </row>
    <row r="1150" spans="49:50">
      <c r="AW1150" s="273"/>
      <c r="AX1150" s="273"/>
    </row>
    <row r="1151" spans="49:50">
      <c r="AW1151" s="273"/>
      <c r="AX1151" s="273"/>
    </row>
    <row r="1152" spans="49:50">
      <c r="AW1152" s="273"/>
      <c r="AX1152" s="273"/>
    </row>
    <row r="1153" spans="49:50">
      <c r="AW1153" s="273"/>
      <c r="AX1153" s="273"/>
    </row>
    <row r="1154" spans="49:50">
      <c r="AW1154" s="273"/>
      <c r="AX1154" s="273"/>
    </row>
    <row r="1155" spans="49:50">
      <c r="AW1155" s="273"/>
      <c r="AX1155" s="273"/>
    </row>
    <row r="1156" spans="49:50">
      <c r="AW1156" s="273"/>
      <c r="AX1156" s="273"/>
    </row>
    <row r="1157" spans="49:50">
      <c r="AW1157" s="273"/>
      <c r="AX1157" s="273"/>
    </row>
    <row r="1158" spans="49:50">
      <c r="AW1158" s="273"/>
      <c r="AX1158" s="273"/>
    </row>
    <row r="1159" spans="49:50">
      <c r="AW1159" s="273"/>
      <c r="AX1159" s="273"/>
    </row>
    <row r="1160" spans="49:50">
      <c r="AW1160" s="273"/>
      <c r="AX1160" s="273"/>
    </row>
    <row r="1161" spans="49:50">
      <c r="AW1161" s="273"/>
      <c r="AX1161" s="273"/>
    </row>
    <row r="1162" spans="49:50">
      <c r="AW1162" s="273"/>
      <c r="AX1162" s="273"/>
    </row>
    <row r="1163" spans="49:50">
      <c r="AW1163" s="273"/>
      <c r="AX1163" s="273"/>
    </row>
    <row r="1164" spans="49:50">
      <c r="AW1164" s="273"/>
      <c r="AX1164" s="273"/>
    </row>
    <row r="1165" spans="49:50">
      <c r="AW1165" s="273"/>
      <c r="AX1165" s="273"/>
    </row>
    <row r="1166" spans="49:50">
      <c r="AW1166" s="273"/>
      <c r="AX1166" s="273"/>
    </row>
    <row r="1167" spans="49:50">
      <c r="AW1167" s="273"/>
      <c r="AX1167" s="273"/>
    </row>
    <row r="1168" spans="49:50">
      <c r="AW1168" s="273"/>
      <c r="AX1168" s="273"/>
    </row>
    <row r="1169" spans="49:50">
      <c r="AW1169" s="273"/>
      <c r="AX1169" s="273"/>
    </row>
    <row r="1170" spans="49:50">
      <c r="AW1170" s="273"/>
      <c r="AX1170" s="273"/>
    </row>
    <row r="1171" spans="49:50">
      <c r="AW1171" s="273"/>
      <c r="AX1171" s="273"/>
    </row>
    <row r="1172" spans="49:50">
      <c r="AW1172" s="273"/>
      <c r="AX1172" s="273"/>
    </row>
    <row r="1173" spans="49:50">
      <c r="AW1173" s="273"/>
      <c r="AX1173" s="273"/>
    </row>
    <row r="1174" spans="49:50">
      <c r="AW1174" s="273"/>
      <c r="AX1174" s="273"/>
    </row>
    <row r="1175" spans="49:50">
      <c r="AW1175" s="273"/>
      <c r="AX1175" s="273"/>
    </row>
    <row r="1176" spans="49:50">
      <c r="AW1176" s="273"/>
      <c r="AX1176" s="273"/>
    </row>
    <row r="1177" spans="49:50">
      <c r="AW1177" s="273"/>
      <c r="AX1177" s="273"/>
    </row>
    <row r="1178" spans="49:50">
      <c r="AW1178" s="273"/>
      <c r="AX1178" s="273"/>
    </row>
    <row r="1179" spans="49:50">
      <c r="AW1179" s="273"/>
      <c r="AX1179" s="273"/>
    </row>
    <row r="1180" spans="49:50">
      <c r="AW1180" s="273"/>
      <c r="AX1180" s="273"/>
    </row>
    <row r="1181" spans="49:50">
      <c r="AW1181" s="273"/>
      <c r="AX1181" s="273"/>
    </row>
    <row r="1182" spans="49:50">
      <c r="AW1182" s="273"/>
      <c r="AX1182" s="273"/>
    </row>
    <row r="1183" spans="49:50">
      <c r="AW1183" s="273"/>
      <c r="AX1183" s="273"/>
    </row>
    <row r="1184" spans="49:50">
      <c r="AW1184" s="273"/>
      <c r="AX1184" s="273"/>
    </row>
    <row r="1185" spans="49:50">
      <c r="AW1185" s="273"/>
      <c r="AX1185" s="273"/>
    </row>
    <row r="1186" spans="49:50">
      <c r="AW1186" s="273"/>
      <c r="AX1186" s="273"/>
    </row>
    <row r="1187" spans="49:50">
      <c r="AW1187" s="273"/>
      <c r="AX1187" s="273"/>
    </row>
    <row r="1188" spans="49:50">
      <c r="AW1188" s="273"/>
      <c r="AX1188" s="273"/>
    </row>
    <row r="1189" spans="49:50">
      <c r="AW1189" s="273"/>
      <c r="AX1189" s="273"/>
    </row>
    <row r="1190" spans="49:50">
      <c r="AW1190" s="273"/>
      <c r="AX1190" s="273"/>
    </row>
    <row r="1191" spans="49:50">
      <c r="AW1191" s="273"/>
      <c r="AX1191" s="273"/>
    </row>
    <row r="1192" spans="49:50">
      <c r="AW1192" s="273"/>
      <c r="AX1192" s="273"/>
    </row>
    <row r="1193" spans="49:50">
      <c r="AW1193" s="273"/>
      <c r="AX1193" s="273"/>
    </row>
    <row r="1194" spans="49:50">
      <c r="AW1194" s="273"/>
      <c r="AX1194" s="273"/>
    </row>
    <row r="1195" spans="49:50">
      <c r="AW1195" s="273"/>
      <c r="AX1195" s="273"/>
    </row>
    <row r="1196" spans="49:50">
      <c r="AW1196" s="273"/>
      <c r="AX1196" s="273"/>
    </row>
    <row r="1197" spans="49:50">
      <c r="AW1197" s="273"/>
      <c r="AX1197" s="273"/>
    </row>
    <row r="1198" spans="49:50">
      <c r="AW1198" s="273"/>
      <c r="AX1198" s="273"/>
    </row>
    <row r="1199" spans="49:50">
      <c r="AW1199" s="273"/>
      <c r="AX1199" s="273"/>
    </row>
    <row r="1200" spans="49:50">
      <c r="AW1200" s="273"/>
      <c r="AX1200" s="273"/>
    </row>
    <row r="1201" spans="49:50">
      <c r="AW1201" s="273"/>
      <c r="AX1201" s="273"/>
    </row>
    <row r="1202" spans="49:50">
      <c r="AW1202" s="273"/>
      <c r="AX1202" s="273"/>
    </row>
    <row r="1203" spans="49:50">
      <c r="AW1203" s="273"/>
      <c r="AX1203" s="273"/>
    </row>
    <row r="1204" spans="49:50">
      <c r="AW1204" s="273"/>
      <c r="AX1204" s="273"/>
    </row>
    <row r="1205" spans="49:50">
      <c r="AW1205" s="273"/>
      <c r="AX1205" s="273"/>
    </row>
    <row r="1206" spans="49:50">
      <c r="AW1206" s="273"/>
      <c r="AX1206" s="273"/>
    </row>
    <row r="1207" spans="49:50">
      <c r="AW1207" s="273"/>
      <c r="AX1207" s="273"/>
    </row>
    <row r="1208" spans="49:50">
      <c r="AW1208" s="273"/>
      <c r="AX1208" s="273"/>
    </row>
    <row r="1209" spans="49:50">
      <c r="AW1209" s="273"/>
      <c r="AX1209" s="273"/>
    </row>
    <row r="1210" spans="49:50">
      <c r="AW1210" s="273"/>
      <c r="AX1210" s="273"/>
    </row>
    <row r="1211" spans="49:50">
      <c r="AW1211" s="273"/>
      <c r="AX1211" s="273"/>
    </row>
    <row r="1212" spans="49:50">
      <c r="AW1212" s="273"/>
      <c r="AX1212" s="273"/>
    </row>
    <row r="1213" spans="49:50">
      <c r="AW1213" s="273"/>
      <c r="AX1213" s="273"/>
    </row>
    <row r="1214" spans="49:50">
      <c r="AW1214" s="273"/>
      <c r="AX1214" s="273"/>
    </row>
    <row r="1215" spans="49:50">
      <c r="AW1215" s="273"/>
      <c r="AX1215" s="273"/>
    </row>
    <row r="1216" spans="49:50">
      <c r="AW1216" s="273"/>
      <c r="AX1216" s="273"/>
    </row>
    <row r="1217" spans="49:50">
      <c r="AW1217" s="273"/>
      <c r="AX1217" s="273"/>
    </row>
    <row r="1218" spans="49:50">
      <c r="AW1218" s="273"/>
      <c r="AX1218" s="273"/>
    </row>
    <row r="1219" spans="49:50">
      <c r="AW1219" s="273"/>
      <c r="AX1219" s="273"/>
    </row>
    <row r="1220" spans="49:50">
      <c r="AW1220" s="273"/>
      <c r="AX1220" s="273"/>
    </row>
    <row r="1221" spans="49:50">
      <c r="AW1221" s="273"/>
      <c r="AX1221" s="273"/>
    </row>
    <row r="1222" spans="49:50">
      <c r="AW1222" s="273"/>
      <c r="AX1222" s="273"/>
    </row>
    <row r="1223" spans="49:50">
      <c r="AW1223" s="273"/>
      <c r="AX1223" s="273"/>
    </row>
    <row r="1224" spans="49:50">
      <c r="AW1224" s="273"/>
      <c r="AX1224" s="273"/>
    </row>
    <row r="1225" spans="49:50">
      <c r="AW1225" s="273"/>
      <c r="AX1225" s="273"/>
    </row>
    <row r="1226" spans="49:50">
      <c r="AW1226" s="273"/>
      <c r="AX1226" s="273"/>
    </row>
    <row r="1227" spans="49:50">
      <c r="AW1227" s="273"/>
      <c r="AX1227" s="273"/>
    </row>
    <row r="1228" spans="49:50">
      <c r="AW1228" s="273"/>
      <c r="AX1228" s="273"/>
    </row>
    <row r="1229" spans="49:50">
      <c r="AW1229" s="273"/>
      <c r="AX1229" s="273"/>
    </row>
    <row r="1230" spans="49:50">
      <c r="AW1230" s="273"/>
      <c r="AX1230" s="273"/>
    </row>
    <row r="1231" spans="49:50">
      <c r="AW1231" s="273"/>
      <c r="AX1231" s="273"/>
    </row>
    <row r="1232" spans="49:50">
      <c r="AW1232" s="273"/>
      <c r="AX1232" s="273"/>
    </row>
    <row r="1233" spans="49:50">
      <c r="AW1233" s="273"/>
      <c r="AX1233" s="273"/>
    </row>
    <row r="1234" spans="49:50">
      <c r="AW1234" s="273"/>
      <c r="AX1234" s="273"/>
    </row>
    <row r="1235" spans="49:50">
      <c r="AW1235" s="273"/>
      <c r="AX1235" s="273"/>
    </row>
    <row r="1236" spans="49:50">
      <c r="AW1236" s="273"/>
      <c r="AX1236" s="273"/>
    </row>
    <row r="1237" spans="49:50">
      <c r="AW1237" s="273"/>
      <c r="AX1237" s="273"/>
    </row>
    <row r="1238" spans="49:50">
      <c r="AW1238" s="273"/>
      <c r="AX1238" s="273"/>
    </row>
    <row r="1239" spans="49:50">
      <c r="AW1239" s="273"/>
      <c r="AX1239" s="273"/>
    </row>
    <row r="1240" spans="49:50">
      <c r="AW1240" s="273"/>
      <c r="AX1240" s="273"/>
    </row>
    <row r="1241" spans="49:50">
      <c r="AW1241" s="273"/>
      <c r="AX1241" s="273"/>
    </row>
    <row r="1242" spans="49:50">
      <c r="AW1242" s="273"/>
      <c r="AX1242" s="273"/>
    </row>
    <row r="1243" spans="49:50">
      <c r="AW1243" s="273"/>
      <c r="AX1243" s="273"/>
    </row>
    <row r="1244" spans="49:50">
      <c r="AW1244" s="273"/>
      <c r="AX1244" s="273"/>
    </row>
    <row r="1245" spans="49:50">
      <c r="AW1245" s="273"/>
      <c r="AX1245" s="273"/>
    </row>
    <row r="1246" spans="49:50">
      <c r="AW1246" s="273"/>
      <c r="AX1246" s="273"/>
    </row>
    <row r="1247" spans="49:50">
      <c r="AW1247" s="273"/>
      <c r="AX1247" s="273"/>
    </row>
    <row r="1248" spans="49:50">
      <c r="AW1248" s="273"/>
      <c r="AX1248" s="273"/>
    </row>
    <row r="1249" spans="49:50">
      <c r="AW1249" s="273"/>
      <c r="AX1249" s="273"/>
    </row>
    <row r="1250" spans="49:50">
      <c r="AW1250" s="273"/>
      <c r="AX1250" s="273"/>
    </row>
    <row r="1251" spans="49:50">
      <c r="AW1251" s="273"/>
      <c r="AX1251" s="273"/>
    </row>
    <row r="1252" spans="49:50">
      <c r="AW1252" s="273"/>
      <c r="AX1252" s="273"/>
    </row>
    <row r="1253" spans="49:50">
      <c r="AW1253" s="273"/>
      <c r="AX1253" s="273"/>
    </row>
    <row r="1254" spans="49:50">
      <c r="AW1254" s="273"/>
      <c r="AX1254" s="273"/>
    </row>
    <row r="1255" spans="49:50">
      <c r="AW1255" s="273"/>
      <c r="AX1255" s="273"/>
    </row>
    <row r="1256" spans="49:50">
      <c r="AW1256" s="273"/>
      <c r="AX1256" s="273"/>
    </row>
    <row r="1257" spans="49:50">
      <c r="AW1257" s="273"/>
      <c r="AX1257" s="273"/>
    </row>
    <row r="1258" spans="49:50">
      <c r="AW1258" s="273"/>
      <c r="AX1258" s="273"/>
    </row>
    <row r="1259" spans="49:50">
      <c r="AW1259" s="273"/>
      <c r="AX1259" s="273"/>
    </row>
    <row r="1260" spans="49:50">
      <c r="AW1260" s="273"/>
      <c r="AX1260" s="273"/>
    </row>
    <row r="1261" spans="49:50">
      <c r="AW1261" s="273"/>
      <c r="AX1261" s="273"/>
    </row>
    <row r="1262" spans="49:50">
      <c r="AW1262" s="273"/>
      <c r="AX1262" s="273"/>
    </row>
    <row r="1263" spans="49:50">
      <c r="AW1263" s="273"/>
      <c r="AX1263" s="273"/>
    </row>
    <row r="1264" spans="49:50">
      <c r="AW1264" s="273"/>
      <c r="AX1264" s="273"/>
    </row>
    <row r="1265" spans="49:50">
      <c r="AW1265" s="273"/>
      <c r="AX1265" s="273"/>
    </row>
    <row r="1266" spans="49:50">
      <c r="AW1266" s="273"/>
      <c r="AX1266" s="273"/>
    </row>
    <row r="1267" spans="49:50">
      <c r="AW1267" s="273"/>
      <c r="AX1267" s="273"/>
    </row>
    <row r="1268" spans="49:50">
      <c r="AW1268" s="273"/>
      <c r="AX1268" s="273"/>
    </row>
    <row r="1269" spans="49:50">
      <c r="AW1269" s="273"/>
      <c r="AX1269" s="273"/>
    </row>
    <row r="1270" spans="49:50">
      <c r="AW1270" s="273"/>
      <c r="AX1270" s="273"/>
    </row>
    <row r="1271" spans="49:50">
      <c r="AW1271" s="273"/>
      <c r="AX1271" s="273"/>
    </row>
    <row r="1272" spans="49:50">
      <c r="AW1272" s="273"/>
      <c r="AX1272" s="273"/>
    </row>
    <row r="1273" spans="49:50">
      <c r="AW1273" s="273"/>
      <c r="AX1273" s="273"/>
    </row>
    <row r="1274" spans="49:50">
      <c r="AW1274" s="273"/>
      <c r="AX1274" s="273"/>
    </row>
    <row r="1275" spans="49:50">
      <c r="AW1275" s="273"/>
      <c r="AX1275" s="273"/>
    </row>
    <row r="1276" spans="49:50">
      <c r="AW1276" s="273"/>
      <c r="AX1276" s="273"/>
    </row>
    <row r="1277" spans="49:50">
      <c r="AW1277" s="273"/>
      <c r="AX1277" s="273"/>
    </row>
    <row r="1278" spans="49:50">
      <c r="AW1278" s="273"/>
      <c r="AX1278" s="273"/>
    </row>
    <row r="1279" spans="49:50">
      <c r="AW1279" s="273"/>
      <c r="AX1279" s="273"/>
    </row>
    <row r="1280" spans="49:50">
      <c r="AW1280" s="273"/>
      <c r="AX1280" s="273"/>
    </row>
    <row r="1281" spans="49:50">
      <c r="AW1281" s="273"/>
      <c r="AX1281" s="273"/>
    </row>
    <row r="1282" spans="49:50">
      <c r="AW1282" s="273"/>
      <c r="AX1282" s="273"/>
    </row>
    <row r="1283" spans="49:50">
      <c r="AW1283" s="273"/>
      <c r="AX1283" s="273"/>
    </row>
    <row r="1284" spans="49:50">
      <c r="AW1284" s="273"/>
      <c r="AX1284" s="273"/>
    </row>
    <row r="1285" spans="49:50">
      <c r="AW1285" s="273"/>
      <c r="AX1285" s="273"/>
    </row>
    <row r="1286" spans="49:50">
      <c r="AW1286" s="273"/>
      <c r="AX1286" s="273"/>
    </row>
    <row r="1287" spans="49:50">
      <c r="AW1287" s="273"/>
      <c r="AX1287" s="273"/>
    </row>
    <row r="1288" spans="49:50">
      <c r="AW1288" s="273"/>
      <c r="AX1288" s="273"/>
    </row>
    <row r="1289" spans="49:50">
      <c r="AW1289" s="273"/>
      <c r="AX1289" s="273"/>
    </row>
    <row r="1290" spans="49:50">
      <c r="AW1290" s="273"/>
      <c r="AX1290" s="273"/>
    </row>
    <row r="1291" spans="49:50">
      <c r="AW1291" s="273"/>
      <c r="AX1291" s="273"/>
    </row>
    <row r="1292" spans="49:50">
      <c r="AW1292" s="273"/>
      <c r="AX1292" s="273"/>
    </row>
    <row r="1293" spans="49:50">
      <c r="AW1293" s="273"/>
      <c r="AX1293" s="273"/>
    </row>
    <row r="1294" spans="49:50">
      <c r="AW1294" s="273"/>
      <c r="AX1294" s="273"/>
    </row>
    <row r="1295" spans="49:50">
      <c r="AW1295" s="273"/>
      <c r="AX1295" s="273"/>
    </row>
    <row r="1296" spans="49:50">
      <c r="AW1296" s="273"/>
      <c r="AX1296" s="273"/>
    </row>
    <row r="1297" spans="49:50">
      <c r="AW1297" s="273"/>
      <c r="AX1297" s="273"/>
    </row>
    <row r="1298" spans="49:50">
      <c r="AW1298" s="273"/>
      <c r="AX1298" s="273"/>
    </row>
    <row r="1299" spans="49:50">
      <c r="AW1299" s="273"/>
      <c r="AX1299" s="273"/>
    </row>
    <row r="1300" spans="49:50">
      <c r="AW1300" s="273"/>
      <c r="AX1300" s="273"/>
    </row>
    <row r="1301" spans="49:50">
      <c r="AW1301" s="273"/>
      <c r="AX1301" s="273"/>
    </row>
    <row r="1302" spans="49:50">
      <c r="AW1302" s="273"/>
      <c r="AX1302" s="273"/>
    </row>
    <row r="1303" spans="49:50">
      <c r="AW1303" s="273"/>
      <c r="AX1303" s="273"/>
    </row>
    <row r="1304" spans="49:50">
      <c r="AW1304" s="273"/>
      <c r="AX1304" s="273"/>
    </row>
    <row r="1305" spans="49:50">
      <c r="AW1305" s="273"/>
      <c r="AX1305" s="273"/>
    </row>
    <row r="1306" spans="49:50">
      <c r="AW1306" s="273"/>
      <c r="AX1306" s="273"/>
    </row>
    <row r="1307" spans="49:50">
      <c r="AW1307" s="273"/>
      <c r="AX1307" s="273"/>
    </row>
    <row r="1308" spans="49:50">
      <c r="AW1308" s="273"/>
      <c r="AX1308" s="273"/>
    </row>
    <row r="1309" spans="49:50">
      <c r="AW1309" s="273"/>
      <c r="AX1309" s="273"/>
    </row>
    <row r="1310" spans="49:50">
      <c r="AW1310" s="273"/>
      <c r="AX1310" s="273"/>
    </row>
    <row r="1311" spans="49:50">
      <c r="AW1311" s="273"/>
      <c r="AX1311" s="273"/>
    </row>
    <row r="1312" spans="49:50">
      <c r="AW1312" s="273"/>
      <c r="AX1312" s="273"/>
    </row>
    <row r="1313" spans="49:50">
      <c r="AW1313" s="273"/>
      <c r="AX1313" s="273"/>
    </row>
    <row r="1314" spans="49:50">
      <c r="AW1314" s="273"/>
      <c r="AX1314" s="273"/>
    </row>
    <row r="1315" spans="49:50">
      <c r="AW1315" s="273"/>
      <c r="AX1315" s="273"/>
    </row>
    <row r="1316" spans="49:50">
      <c r="AW1316" s="273"/>
      <c r="AX1316" s="273"/>
    </row>
    <row r="1317" spans="49:50">
      <c r="AW1317" s="273"/>
      <c r="AX1317" s="273"/>
    </row>
    <row r="1318" spans="49:50">
      <c r="AW1318" s="273"/>
      <c r="AX1318" s="273"/>
    </row>
    <row r="1319" spans="49:50">
      <c r="AW1319" s="273"/>
      <c r="AX1319" s="273"/>
    </row>
    <row r="1320" spans="49:50">
      <c r="AW1320" s="273"/>
      <c r="AX1320" s="273"/>
    </row>
    <row r="1321" spans="49:50">
      <c r="AW1321" s="273"/>
      <c r="AX1321" s="273"/>
    </row>
    <row r="1322" spans="49:50">
      <c r="AW1322" s="273"/>
      <c r="AX1322" s="273"/>
    </row>
    <row r="1323" spans="49:50">
      <c r="AW1323" s="273"/>
      <c r="AX1323" s="273"/>
    </row>
    <row r="1324" spans="49:50">
      <c r="AW1324" s="273"/>
      <c r="AX1324" s="273"/>
    </row>
    <row r="1325" spans="49:50">
      <c r="AW1325" s="273"/>
      <c r="AX1325" s="273"/>
    </row>
    <row r="1326" spans="49:50">
      <c r="AW1326" s="273"/>
      <c r="AX1326" s="273"/>
    </row>
    <row r="1327" spans="49:50">
      <c r="AW1327" s="273"/>
      <c r="AX1327" s="273"/>
    </row>
    <row r="1328" spans="49:50">
      <c r="AW1328" s="273"/>
      <c r="AX1328" s="273"/>
    </row>
    <row r="1329" spans="49:50">
      <c r="AW1329" s="273"/>
      <c r="AX1329" s="273"/>
    </row>
    <row r="1330" spans="49:50">
      <c r="AW1330" s="273"/>
      <c r="AX1330" s="273"/>
    </row>
    <row r="1331" spans="49:50">
      <c r="AW1331" s="273"/>
      <c r="AX1331" s="273"/>
    </row>
    <row r="1332" spans="49:50">
      <c r="AW1332" s="273"/>
      <c r="AX1332" s="273"/>
    </row>
    <row r="1333" spans="49:50">
      <c r="AW1333" s="273"/>
      <c r="AX1333" s="273"/>
    </row>
    <row r="1334" spans="49:50">
      <c r="AW1334" s="273"/>
      <c r="AX1334" s="273"/>
    </row>
    <row r="1335" spans="49:50">
      <c r="AW1335" s="273"/>
      <c r="AX1335" s="273"/>
    </row>
    <row r="1336" spans="49:50">
      <c r="AW1336" s="273"/>
      <c r="AX1336" s="273"/>
    </row>
    <row r="1337" spans="49:50">
      <c r="AW1337" s="273"/>
      <c r="AX1337" s="273"/>
    </row>
    <row r="1338" spans="49:50">
      <c r="AW1338" s="273"/>
      <c r="AX1338" s="273"/>
    </row>
    <row r="1339" spans="49:50">
      <c r="AW1339" s="273"/>
      <c r="AX1339" s="273"/>
    </row>
    <row r="1340" spans="49:50">
      <c r="AW1340" s="273"/>
      <c r="AX1340" s="273"/>
    </row>
    <row r="1341" spans="49:50">
      <c r="AW1341" s="273"/>
      <c r="AX1341" s="273"/>
    </row>
    <row r="1342" spans="49:50">
      <c r="AW1342" s="273"/>
      <c r="AX1342" s="273"/>
    </row>
    <row r="1343" spans="49:50">
      <c r="AW1343" s="273"/>
      <c r="AX1343" s="273"/>
    </row>
    <row r="1344" spans="49:50">
      <c r="AW1344" s="273"/>
      <c r="AX1344" s="273"/>
    </row>
    <row r="1345" spans="49:50">
      <c r="AW1345" s="273"/>
      <c r="AX1345" s="273"/>
    </row>
    <row r="1346" spans="49:50">
      <c r="AW1346" s="273"/>
      <c r="AX1346" s="273"/>
    </row>
    <row r="1347" spans="49:50">
      <c r="AW1347" s="273"/>
      <c r="AX1347" s="273"/>
    </row>
    <row r="1348" spans="49:50">
      <c r="AW1348" s="273"/>
      <c r="AX1348" s="273"/>
    </row>
    <row r="1349" spans="49:50">
      <c r="AW1349" s="273"/>
      <c r="AX1349" s="273"/>
    </row>
    <row r="1350" spans="49:50">
      <c r="AW1350" s="273"/>
      <c r="AX1350" s="273"/>
    </row>
    <row r="1351" spans="49:50">
      <c r="AW1351" s="273"/>
      <c r="AX1351" s="273"/>
    </row>
    <row r="1352" spans="49:50">
      <c r="AW1352" s="273"/>
      <c r="AX1352" s="273"/>
    </row>
    <row r="1353" spans="49:50">
      <c r="AW1353" s="273"/>
      <c r="AX1353" s="273"/>
    </row>
    <row r="1354" spans="49:50">
      <c r="AW1354" s="273"/>
      <c r="AX1354" s="273"/>
    </row>
    <row r="1355" spans="49:50">
      <c r="AW1355" s="273"/>
      <c r="AX1355" s="273"/>
    </row>
    <row r="1356" spans="49:50">
      <c r="AW1356" s="273"/>
      <c r="AX1356" s="273"/>
    </row>
    <row r="1357" spans="49:50">
      <c r="AW1357" s="273"/>
      <c r="AX1357" s="273"/>
    </row>
    <row r="1358" spans="49:50">
      <c r="AW1358" s="273"/>
      <c r="AX1358" s="273"/>
    </row>
    <row r="1359" spans="49:50">
      <c r="AW1359" s="273"/>
      <c r="AX1359" s="273"/>
    </row>
    <row r="1360" spans="49:50">
      <c r="AW1360" s="273"/>
      <c r="AX1360" s="273"/>
    </row>
    <row r="1361" spans="49:50">
      <c r="AW1361" s="273"/>
      <c r="AX1361" s="273"/>
    </row>
    <row r="1362" spans="49:50">
      <c r="AW1362" s="273"/>
      <c r="AX1362" s="273"/>
    </row>
    <row r="1363" spans="49:50">
      <c r="AW1363" s="273"/>
      <c r="AX1363" s="273"/>
    </row>
    <row r="1364" spans="49:50">
      <c r="AW1364" s="273"/>
      <c r="AX1364" s="273"/>
    </row>
    <row r="1365" spans="49:50">
      <c r="AW1365" s="273"/>
      <c r="AX1365" s="273"/>
    </row>
    <row r="1366" spans="49:50">
      <c r="AW1366" s="273"/>
      <c r="AX1366" s="273"/>
    </row>
    <row r="1367" spans="49:50">
      <c r="AW1367" s="273"/>
      <c r="AX1367" s="273"/>
    </row>
    <row r="1368" spans="49:50">
      <c r="AW1368" s="273"/>
      <c r="AX1368" s="273"/>
    </row>
    <row r="1369" spans="49:50">
      <c r="AW1369" s="273"/>
      <c r="AX1369" s="273"/>
    </row>
    <row r="1370" spans="49:50">
      <c r="AW1370" s="273"/>
      <c r="AX1370" s="273"/>
    </row>
    <row r="1371" spans="49:50">
      <c r="AW1371" s="273"/>
      <c r="AX1371" s="273"/>
    </row>
    <row r="1372" spans="49:50">
      <c r="AW1372" s="273"/>
      <c r="AX1372" s="273"/>
    </row>
    <row r="1373" spans="49:50">
      <c r="AW1373" s="273"/>
      <c r="AX1373" s="273"/>
    </row>
    <row r="1374" spans="49:50">
      <c r="AW1374" s="273"/>
      <c r="AX1374" s="273"/>
    </row>
    <row r="1375" spans="49:50">
      <c r="AW1375" s="273"/>
      <c r="AX1375" s="273"/>
    </row>
    <row r="1376" spans="49:50">
      <c r="AW1376" s="273"/>
      <c r="AX1376" s="273"/>
    </row>
    <row r="1377" spans="49:50">
      <c r="AW1377" s="273"/>
      <c r="AX1377" s="273"/>
    </row>
    <row r="1378" spans="49:50">
      <c r="AW1378" s="273"/>
      <c r="AX1378" s="273"/>
    </row>
    <row r="1379" spans="49:50">
      <c r="AW1379" s="273"/>
      <c r="AX1379" s="273"/>
    </row>
    <row r="1380" spans="49:50">
      <c r="AW1380" s="273"/>
      <c r="AX1380" s="273"/>
    </row>
    <row r="1381" spans="49:50">
      <c r="AW1381" s="273"/>
      <c r="AX1381" s="273"/>
    </row>
    <row r="1382" spans="49:50">
      <c r="AW1382" s="273"/>
      <c r="AX1382" s="273"/>
    </row>
    <row r="1383" spans="49:50">
      <c r="AW1383" s="273"/>
      <c r="AX1383" s="273"/>
    </row>
    <row r="1384" spans="49:50">
      <c r="AW1384" s="273"/>
      <c r="AX1384" s="273"/>
    </row>
    <row r="1385" spans="49:50">
      <c r="AW1385" s="273"/>
      <c r="AX1385" s="273"/>
    </row>
    <row r="1386" spans="49:50">
      <c r="AW1386" s="273"/>
      <c r="AX1386" s="273"/>
    </row>
    <row r="1387" spans="49:50">
      <c r="AW1387" s="273"/>
      <c r="AX1387" s="273"/>
    </row>
    <row r="1388" spans="49:50">
      <c r="AW1388" s="273"/>
      <c r="AX1388" s="273"/>
    </row>
    <row r="1389" spans="49:50">
      <c r="AW1389" s="273"/>
      <c r="AX1389" s="273"/>
    </row>
    <row r="1390" spans="49:50">
      <c r="AW1390" s="273"/>
      <c r="AX1390" s="273"/>
    </row>
    <row r="1391" spans="49:50">
      <c r="AW1391" s="273"/>
      <c r="AX1391" s="273"/>
    </row>
    <row r="1392" spans="49:50">
      <c r="AW1392" s="273"/>
      <c r="AX1392" s="273"/>
    </row>
    <row r="1393" spans="49:50">
      <c r="AW1393" s="273"/>
      <c r="AX1393" s="273"/>
    </row>
    <row r="1394" spans="49:50">
      <c r="AW1394" s="273"/>
      <c r="AX1394" s="273"/>
    </row>
    <row r="1395" spans="49:50">
      <c r="AW1395" s="273"/>
      <c r="AX1395" s="273"/>
    </row>
    <row r="1396" spans="49:50">
      <c r="AW1396" s="273"/>
      <c r="AX1396" s="273"/>
    </row>
    <row r="1397" spans="49:50">
      <c r="AW1397" s="273"/>
      <c r="AX1397" s="273"/>
    </row>
    <row r="1398" spans="49:50">
      <c r="AW1398" s="273"/>
      <c r="AX1398" s="273"/>
    </row>
    <row r="1399" spans="49:50">
      <c r="AW1399" s="273"/>
      <c r="AX1399" s="273"/>
    </row>
    <row r="1400" spans="49:50">
      <c r="AW1400" s="273"/>
      <c r="AX1400" s="273"/>
    </row>
    <row r="1401" spans="49:50">
      <c r="AW1401" s="273"/>
      <c r="AX1401" s="273"/>
    </row>
    <row r="1402" spans="49:50">
      <c r="AW1402" s="273"/>
      <c r="AX1402" s="273"/>
    </row>
    <row r="1403" spans="49:50">
      <c r="AW1403" s="273"/>
      <c r="AX1403" s="273"/>
    </row>
    <row r="1404" spans="49:50">
      <c r="AW1404" s="273"/>
      <c r="AX1404" s="273"/>
    </row>
    <row r="1405" spans="49:50">
      <c r="AW1405" s="273"/>
      <c r="AX1405" s="273"/>
    </row>
    <row r="1406" spans="49:50">
      <c r="AW1406" s="273"/>
      <c r="AX1406" s="273"/>
    </row>
    <row r="1407" spans="49:50">
      <c r="AW1407" s="273"/>
      <c r="AX1407" s="273"/>
    </row>
    <row r="1408" spans="49:50">
      <c r="AW1408" s="273"/>
      <c r="AX1408" s="273"/>
    </row>
    <row r="1409" spans="49:50">
      <c r="AW1409" s="273"/>
      <c r="AX1409" s="273"/>
    </row>
    <row r="1410" spans="49:50">
      <c r="AW1410" s="273"/>
      <c r="AX1410" s="273"/>
    </row>
    <row r="1411" spans="49:50">
      <c r="AW1411" s="273"/>
      <c r="AX1411" s="273"/>
    </row>
    <row r="1412" spans="49:50">
      <c r="AW1412" s="273"/>
      <c r="AX1412" s="273"/>
    </row>
    <row r="1413" spans="49:50">
      <c r="AW1413" s="273"/>
      <c r="AX1413" s="273"/>
    </row>
    <row r="1414" spans="49:50">
      <c r="AW1414" s="273"/>
      <c r="AX1414" s="273"/>
    </row>
    <row r="1415" spans="49:50">
      <c r="AW1415" s="273"/>
      <c r="AX1415" s="273"/>
    </row>
    <row r="1416" spans="49:50">
      <c r="AW1416" s="273"/>
      <c r="AX1416" s="273"/>
    </row>
    <row r="1417" spans="49:50">
      <c r="AW1417" s="273"/>
      <c r="AX1417" s="273"/>
    </row>
    <row r="1418" spans="49:50">
      <c r="AW1418" s="273"/>
      <c r="AX1418" s="273"/>
    </row>
    <row r="1419" spans="49:50">
      <c r="AW1419" s="273"/>
      <c r="AX1419" s="273"/>
    </row>
    <row r="1420" spans="49:50">
      <c r="AW1420" s="273"/>
      <c r="AX1420" s="273"/>
    </row>
    <row r="1421" spans="49:50">
      <c r="AW1421" s="273"/>
      <c r="AX1421" s="273"/>
    </row>
    <row r="1422" spans="49:50">
      <c r="AW1422" s="273"/>
      <c r="AX1422" s="273"/>
    </row>
    <row r="1423" spans="49:50">
      <c r="AW1423" s="273"/>
      <c r="AX1423" s="273"/>
    </row>
    <row r="1424" spans="49:50">
      <c r="AW1424" s="273"/>
      <c r="AX1424" s="273"/>
    </row>
    <row r="1425" spans="49:50">
      <c r="AW1425" s="273"/>
      <c r="AX1425" s="273"/>
    </row>
    <row r="1426" spans="49:50">
      <c r="AW1426" s="273"/>
      <c r="AX1426" s="273"/>
    </row>
    <row r="1427" spans="49:50">
      <c r="AW1427" s="273"/>
      <c r="AX1427" s="273"/>
    </row>
    <row r="1428" spans="49:50">
      <c r="AW1428" s="273"/>
      <c r="AX1428" s="273"/>
    </row>
    <row r="1429" spans="49:50">
      <c r="AW1429" s="273"/>
      <c r="AX1429" s="273"/>
    </row>
    <row r="1430" spans="49:50">
      <c r="AW1430" s="273"/>
      <c r="AX1430" s="273"/>
    </row>
    <row r="1431" spans="49:50">
      <c r="AW1431" s="273"/>
      <c r="AX1431" s="273"/>
    </row>
    <row r="1432" spans="49:50">
      <c r="AW1432" s="273"/>
      <c r="AX1432" s="273"/>
    </row>
    <row r="1433" spans="49:50">
      <c r="AW1433" s="273"/>
      <c r="AX1433" s="273"/>
    </row>
    <row r="1434" spans="49:50">
      <c r="AW1434" s="273"/>
      <c r="AX1434" s="273"/>
    </row>
    <row r="1435" spans="49:50">
      <c r="AW1435" s="273"/>
      <c r="AX1435" s="273"/>
    </row>
    <row r="1436" spans="49:50">
      <c r="AW1436" s="273"/>
      <c r="AX1436" s="273"/>
    </row>
    <row r="1437" spans="49:50">
      <c r="AW1437" s="273"/>
      <c r="AX1437" s="273"/>
    </row>
    <row r="1438" spans="49:50">
      <c r="AW1438" s="273"/>
      <c r="AX1438" s="273"/>
    </row>
    <row r="1439" spans="49:50">
      <c r="AW1439" s="273"/>
      <c r="AX1439" s="273"/>
    </row>
    <row r="1440" spans="49:50">
      <c r="AW1440" s="273"/>
      <c r="AX1440" s="273"/>
    </row>
    <row r="1441" spans="49:50">
      <c r="AW1441" s="273"/>
      <c r="AX1441" s="273"/>
    </row>
    <row r="1442" spans="49:50">
      <c r="AW1442" s="273"/>
      <c r="AX1442" s="273"/>
    </row>
    <row r="1443" spans="49:50">
      <c r="AW1443" s="273"/>
      <c r="AX1443" s="273"/>
    </row>
    <row r="1444" spans="49:50">
      <c r="AW1444" s="273"/>
      <c r="AX1444" s="273"/>
    </row>
    <row r="1445" spans="49:50">
      <c r="AW1445" s="273"/>
      <c r="AX1445" s="273"/>
    </row>
    <row r="1446" spans="49:50">
      <c r="AW1446" s="273"/>
      <c r="AX1446" s="273"/>
    </row>
    <row r="1447" spans="49:50">
      <c r="AW1447" s="273"/>
      <c r="AX1447" s="273"/>
    </row>
    <row r="1448" spans="49:50">
      <c r="AW1448" s="273"/>
      <c r="AX1448" s="273"/>
    </row>
    <row r="1449" spans="49:50">
      <c r="AW1449" s="273"/>
      <c r="AX1449" s="273"/>
    </row>
    <row r="1450" spans="49:50">
      <c r="AW1450" s="273"/>
      <c r="AX1450" s="273"/>
    </row>
    <row r="1451" spans="49:50">
      <c r="AW1451" s="273"/>
      <c r="AX1451" s="273"/>
    </row>
    <row r="1452" spans="49:50">
      <c r="AW1452" s="273"/>
      <c r="AX1452" s="273"/>
    </row>
    <row r="1453" spans="49:50">
      <c r="AW1453" s="273"/>
      <c r="AX1453" s="273"/>
    </row>
    <row r="1454" spans="49:50">
      <c r="AW1454" s="273"/>
      <c r="AX1454" s="273"/>
    </row>
    <row r="1455" spans="49:50">
      <c r="AW1455" s="273"/>
      <c r="AX1455" s="273"/>
    </row>
    <row r="1456" spans="49:50">
      <c r="AW1456" s="273"/>
      <c r="AX1456" s="273"/>
    </row>
    <row r="1457" spans="49:50">
      <c r="AW1457" s="273"/>
      <c r="AX1457" s="273"/>
    </row>
    <row r="1458" spans="49:50">
      <c r="AW1458" s="273"/>
      <c r="AX1458" s="273"/>
    </row>
    <row r="1459" spans="49:50">
      <c r="AW1459" s="273"/>
      <c r="AX1459" s="273"/>
    </row>
    <row r="1460" spans="49:50">
      <c r="AW1460" s="273"/>
      <c r="AX1460" s="273"/>
    </row>
    <row r="1461" spans="49:50">
      <c r="AW1461" s="273"/>
      <c r="AX1461" s="273"/>
    </row>
    <row r="1462" spans="49:50">
      <c r="AW1462" s="273"/>
      <c r="AX1462" s="273"/>
    </row>
    <row r="1463" spans="49:50">
      <c r="AW1463" s="273"/>
      <c r="AX1463" s="273"/>
    </row>
    <row r="1464" spans="49:50">
      <c r="AW1464" s="273"/>
      <c r="AX1464" s="273"/>
    </row>
    <row r="1465" spans="49:50">
      <c r="AW1465" s="273"/>
      <c r="AX1465" s="273"/>
    </row>
    <row r="1466" spans="49:50">
      <c r="AW1466" s="273"/>
      <c r="AX1466" s="273"/>
    </row>
    <row r="1467" spans="49:50">
      <c r="AW1467" s="273"/>
      <c r="AX1467" s="273"/>
    </row>
    <row r="1468" spans="49:50">
      <c r="AW1468" s="273"/>
      <c r="AX1468" s="273"/>
    </row>
    <row r="1469" spans="49:50">
      <c r="AW1469" s="273"/>
      <c r="AX1469" s="273"/>
    </row>
    <row r="1470" spans="49:50">
      <c r="AW1470" s="273"/>
      <c r="AX1470" s="273"/>
    </row>
    <row r="1471" spans="49:50">
      <c r="AW1471" s="273"/>
      <c r="AX1471" s="273"/>
    </row>
    <row r="1472" spans="49:50">
      <c r="AW1472" s="273"/>
      <c r="AX1472" s="273"/>
    </row>
    <row r="1473" spans="49:50">
      <c r="AW1473" s="273"/>
      <c r="AX1473" s="273"/>
    </row>
    <row r="1474" spans="49:50">
      <c r="AW1474" s="273"/>
      <c r="AX1474" s="273"/>
    </row>
    <row r="1475" spans="49:50">
      <c r="AW1475" s="273"/>
      <c r="AX1475" s="273"/>
    </row>
    <row r="1476" spans="49:50">
      <c r="AW1476" s="273"/>
      <c r="AX1476" s="273"/>
    </row>
    <row r="1477" spans="49:50">
      <c r="AW1477" s="273"/>
      <c r="AX1477" s="273"/>
    </row>
    <row r="1478" spans="49:50">
      <c r="AW1478" s="273"/>
      <c r="AX1478" s="273"/>
    </row>
    <row r="1479" spans="49:50">
      <c r="AW1479" s="273"/>
      <c r="AX1479" s="273"/>
    </row>
    <row r="1480" spans="49:50">
      <c r="AW1480" s="273"/>
      <c r="AX1480" s="273"/>
    </row>
    <row r="1481" spans="49:50">
      <c r="AW1481" s="273"/>
      <c r="AX1481" s="273"/>
    </row>
    <row r="1482" spans="49:50">
      <c r="AW1482" s="273"/>
      <c r="AX1482" s="273"/>
    </row>
    <row r="1483" spans="49:50">
      <c r="AW1483" s="273"/>
      <c r="AX1483" s="273"/>
    </row>
    <row r="1484" spans="49:50">
      <c r="AW1484" s="273"/>
      <c r="AX1484" s="273"/>
    </row>
    <row r="1485" spans="49:50">
      <c r="AW1485" s="273"/>
      <c r="AX1485" s="273"/>
    </row>
    <row r="1486" spans="49:50">
      <c r="AW1486" s="273"/>
      <c r="AX1486" s="273"/>
    </row>
    <row r="1487" spans="49:50">
      <c r="AW1487" s="273"/>
      <c r="AX1487" s="273"/>
    </row>
    <row r="1488" spans="49:50">
      <c r="AW1488" s="273"/>
      <c r="AX1488" s="273"/>
    </row>
    <row r="1489" spans="49:50">
      <c r="AW1489" s="273"/>
      <c r="AX1489" s="273"/>
    </row>
    <row r="1490" spans="49:50">
      <c r="AW1490" s="273"/>
      <c r="AX1490" s="273"/>
    </row>
    <row r="1491" spans="49:50">
      <c r="AW1491" s="273"/>
      <c r="AX1491" s="273"/>
    </row>
    <row r="1492" spans="49:50">
      <c r="AW1492" s="273"/>
      <c r="AX1492" s="273"/>
    </row>
    <row r="1493" spans="49:50">
      <c r="AW1493" s="273"/>
      <c r="AX1493" s="273"/>
    </row>
    <row r="1494" spans="49:50">
      <c r="AW1494" s="273"/>
      <c r="AX1494" s="273"/>
    </row>
    <row r="1495" spans="49:50">
      <c r="AW1495" s="273"/>
      <c r="AX1495" s="273"/>
    </row>
    <row r="1496" spans="49:50">
      <c r="AW1496" s="273"/>
      <c r="AX1496" s="273"/>
    </row>
    <row r="1497" spans="49:50">
      <c r="AW1497" s="273"/>
      <c r="AX1497" s="273"/>
    </row>
    <row r="1498" spans="49:50">
      <c r="AW1498" s="273"/>
      <c r="AX1498" s="273"/>
    </row>
    <row r="1499" spans="49:50">
      <c r="AW1499" s="273"/>
      <c r="AX1499" s="273"/>
    </row>
    <row r="1500" spans="49:50">
      <c r="AW1500" s="273"/>
      <c r="AX1500" s="273"/>
    </row>
    <row r="1501" spans="49:50">
      <c r="AW1501" s="273"/>
      <c r="AX1501" s="273"/>
    </row>
    <row r="1502" spans="49:50">
      <c r="AW1502" s="273"/>
      <c r="AX1502" s="273"/>
    </row>
    <row r="1503" spans="49:50">
      <c r="AW1503" s="273"/>
      <c r="AX1503" s="273"/>
    </row>
    <row r="1504" spans="49:50">
      <c r="AW1504" s="273"/>
      <c r="AX1504" s="273"/>
    </row>
    <row r="1505" spans="49:50">
      <c r="AW1505" s="273"/>
      <c r="AX1505" s="273"/>
    </row>
    <row r="1506" spans="49:50">
      <c r="AW1506" s="273"/>
      <c r="AX1506" s="273"/>
    </row>
    <row r="1507" spans="49:50">
      <c r="AW1507" s="273"/>
      <c r="AX1507" s="273"/>
    </row>
    <row r="1508" spans="49:50">
      <c r="AW1508" s="273"/>
      <c r="AX1508" s="273"/>
    </row>
    <row r="1509" spans="49:50">
      <c r="AW1509" s="273"/>
      <c r="AX1509" s="273"/>
    </row>
    <row r="1510" spans="49:50">
      <c r="AW1510" s="273"/>
      <c r="AX1510" s="273"/>
    </row>
    <row r="1511" spans="49:50">
      <c r="AW1511" s="273"/>
      <c r="AX1511" s="273"/>
    </row>
    <row r="1512" spans="49:50">
      <c r="AW1512" s="273"/>
      <c r="AX1512" s="273"/>
    </row>
    <row r="1513" spans="49:50">
      <c r="AW1513" s="273"/>
      <c r="AX1513" s="273"/>
    </row>
    <row r="1514" spans="49:50">
      <c r="AW1514" s="273"/>
      <c r="AX1514" s="273"/>
    </row>
    <row r="1515" spans="49:50">
      <c r="AW1515" s="273"/>
      <c r="AX1515" s="273"/>
    </row>
    <row r="1516" spans="49:50">
      <c r="AW1516" s="273"/>
      <c r="AX1516" s="273"/>
    </row>
    <row r="1517" spans="49:50">
      <c r="AW1517" s="273"/>
      <c r="AX1517" s="273"/>
    </row>
    <row r="1518" spans="49:50">
      <c r="AW1518" s="273"/>
      <c r="AX1518" s="273"/>
    </row>
    <row r="1519" spans="49:50">
      <c r="AW1519" s="273"/>
      <c r="AX1519" s="273"/>
    </row>
    <row r="1520" spans="49:50">
      <c r="AW1520" s="273"/>
      <c r="AX1520" s="273"/>
    </row>
    <row r="1521" spans="49:50">
      <c r="AW1521" s="273"/>
      <c r="AX1521" s="273"/>
    </row>
    <row r="1522" spans="49:50">
      <c r="AW1522" s="273"/>
      <c r="AX1522" s="273"/>
    </row>
    <row r="1523" spans="49:50">
      <c r="AW1523" s="273"/>
      <c r="AX1523" s="273"/>
    </row>
    <row r="1524" spans="49:50">
      <c r="AW1524" s="273"/>
      <c r="AX1524" s="273"/>
    </row>
    <row r="1525" spans="49:50">
      <c r="AW1525" s="273"/>
      <c r="AX1525" s="273"/>
    </row>
    <row r="1526" spans="49:50">
      <c r="AW1526" s="273"/>
      <c r="AX1526" s="273"/>
    </row>
    <row r="1527" spans="49:50">
      <c r="AW1527" s="273"/>
      <c r="AX1527" s="273"/>
    </row>
    <row r="1528" spans="49:50">
      <c r="AW1528" s="273"/>
      <c r="AX1528" s="273"/>
    </row>
    <row r="1529" spans="49:50">
      <c r="AW1529" s="273"/>
      <c r="AX1529" s="273"/>
    </row>
    <row r="1530" spans="49:50">
      <c r="AW1530" s="273"/>
      <c r="AX1530" s="273"/>
    </row>
    <row r="1531" spans="49:50">
      <c r="AW1531" s="273"/>
      <c r="AX1531" s="273"/>
    </row>
    <row r="1532" spans="49:50">
      <c r="AW1532" s="273"/>
      <c r="AX1532" s="273"/>
    </row>
    <row r="1533" spans="49:50">
      <c r="AW1533" s="273"/>
      <c r="AX1533" s="273"/>
    </row>
    <row r="1534" spans="49:50">
      <c r="AW1534" s="273"/>
      <c r="AX1534" s="273"/>
    </row>
    <row r="1535" spans="49:50">
      <c r="AW1535" s="273"/>
      <c r="AX1535" s="273"/>
    </row>
    <row r="1536" spans="49:50">
      <c r="AW1536" s="273"/>
      <c r="AX1536" s="273"/>
    </row>
    <row r="1537" spans="49:50">
      <c r="AW1537" s="273"/>
      <c r="AX1537" s="273"/>
    </row>
    <row r="1538" spans="49:50">
      <c r="AW1538" s="273"/>
      <c r="AX1538" s="273"/>
    </row>
    <row r="1539" spans="49:50">
      <c r="AW1539" s="273"/>
      <c r="AX1539" s="273"/>
    </row>
    <row r="1540" spans="49:50">
      <c r="AW1540" s="273"/>
      <c r="AX1540" s="273"/>
    </row>
    <row r="1541" spans="49:50">
      <c r="AW1541" s="273"/>
      <c r="AX1541" s="273"/>
    </row>
    <row r="1542" spans="49:50">
      <c r="AW1542" s="273"/>
      <c r="AX1542" s="273"/>
    </row>
    <row r="1543" spans="49:50">
      <c r="AW1543" s="273"/>
      <c r="AX1543" s="273"/>
    </row>
    <row r="1544" spans="49:50">
      <c r="AW1544" s="273"/>
      <c r="AX1544" s="273"/>
    </row>
    <row r="1545" spans="49:50">
      <c r="AW1545" s="273"/>
      <c r="AX1545" s="273"/>
    </row>
    <row r="1546" spans="49:50">
      <c r="AW1546" s="273"/>
      <c r="AX1546" s="273"/>
    </row>
    <row r="1547" spans="49:50">
      <c r="AW1547" s="273"/>
      <c r="AX1547" s="273"/>
    </row>
    <row r="1548" spans="49:50">
      <c r="AW1548" s="273"/>
      <c r="AX1548" s="273"/>
    </row>
    <row r="1549" spans="49:50">
      <c r="AW1549" s="273"/>
      <c r="AX1549" s="273"/>
    </row>
    <row r="1550" spans="49:50">
      <c r="AW1550" s="273"/>
      <c r="AX1550" s="273"/>
    </row>
    <row r="1551" spans="49:50">
      <c r="AW1551" s="273"/>
      <c r="AX1551" s="273"/>
    </row>
    <row r="1552" spans="49:50">
      <c r="AW1552" s="273"/>
      <c r="AX1552" s="273"/>
    </row>
    <row r="1553" spans="49:50">
      <c r="AW1553" s="273"/>
      <c r="AX1553" s="273"/>
    </row>
    <row r="1554" spans="49:50">
      <c r="AW1554" s="273"/>
      <c r="AX1554" s="273"/>
    </row>
    <row r="1555" spans="49:50">
      <c r="AW1555" s="273"/>
      <c r="AX1555" s="273"/>
    </row>
    <row r="1556" spans="49:50">
      <c r="AW1556" s="273"/>
      <c r="AX1556" s="273"/>
    </row>
    <row r="1557" spans="49:50">
      <c r="AW1557" s="273"/>
      <c r="AX1557" s="273"/>
    </row>
    <row r="1558" spans="49:50">
      <c r="AW1558" s="273"/>
      <c r="AX1558" s="273"/>
    </row>
    <row r="1559" spans="49:50">
      <c r="AW1559" s="273"/>
      <c r="AX1559" s="273"/>
    </row>
    <row r="1560" spans="49:50">
      <c r="AW1560" s="273"/>
      <c r="AX1560" s="273"/>
    </row>
    <row r="1561" spans="49:50">
      <c r="AW1561" s="273"/>
      <c r="AX1561" s="273"/>
    </row>
    <row r="1562" spans="49:50">
      <c r="AW1562" s="273"/>
      <c r="AX1562" s="273"/>
    </row>
    <row r="1563" spans="49:50">
      <c r="AW1563" s="273"/>
      <c r="AX1563" s="273"/>
    </row>
    <row r="1564" spans="49:50">
      <c r="AW1564" s="273"/>
      <c r="AX1564" s="273"/>
    </row>
    <row r="1565" spans="49:50">
      <c r="AW1565" s="273"/>
      <c r="AX1565" s="273"/>
    </row>
    <row r="1566" spans="49:50">
      <c r="AW1566" s="273"/>
      <c r="AX1566" s="273"/>
    </row>
    <row r="1567" spans="49:50">
      <c r="AW1567" s="273"/>
      <c r="AX1567" s="273"/>
    </row>
    <row r="1568" spans="49:50">
      <c r="AW1568" s="273"/>
      <c r="AX1568" s="273"/>
    </row>
    <row r="1569" spans="49:50">
      <c r="AW1569" s="273"/>
      <c r="AX1569" s="273"/>
    </row>
    <row r="1570" spans="49:50">
      <c r="AW1570" s="273"/>
      <c r="AX1570" s="273"/>
    </row>
    <row r="1571" spans="49:50">
      <c r="AW1571" s="273"/>
      <c r="AX1571" s="273"/>
    </row>
    <row r="1572" spans="49:50">
      <c r="AW1572" s="273"/>
      <c r="AX1572" s="273"/>
    </row>
    <row r="1573" spans="49:50">
      <c r="AW1573" s="273"/>
      <c r="AX1573" s="273"/>
    </row>
    <row r="1574" spans="49:50">
      <c r="AW1574" s="273"/>
      <c r="AX1574" s="273"/>
    </row>
    <row r="1575" spans="49:50">
      <c r="AW1575" s="273"/>
      <c r="AX1575" s="273"/>
    </row>
    <row r="1576" spans="49:50">
      <c r="AW1576" s="273"/>
      <c r="AX1576" s="273"/>
    </row>
    <row r="1577" spans="49:50">
      <c r="AW1577" s="273"/>
      <c r="AX1577" s="273"/>
    </row>
    <row r="1578" spans="49:50">
      <c r="AW1578" s="273"/>
      <c r="AX1578" s="273"/>
    </row>
    <row r="1579" spans="49:50">
      <c r="AW1579" s="273"/>
      <c r="AX1579" s="273"/>
    </row>
    <row r="1580" spans="49:50">
      <c r="AW1580" s="273"/>
      <c r="AX1580" s="273"/>
    </row>
    <row r="1581" spans="49:50">
      <c r="AW1581" s="273"/>
      <c r="AX1581" s="273"/>
    </row>
    <row r="1582" spans="49:50">
      <c r="AW1582" s="273"/>
      <c r="AX1582" s="273"/>
    </row>
    <row r="1583" spans="49:50">
      <c r="AW1583" s="273"/>
      <c r="AX1583" s="273"/>
    </row>
    <row r="1584" spans="49:50">
      <c r="AW1584" s="273"/>
      <c r="AX1584" s="273"/>
    </row>
    <row r="1585" spans="49:50">
      <c r="AW1585" s="273"/>
      <c r="AX1585" s="273"/>
    </row>
    <row r="1586" spans="49:50">
      <c r="AW1586" s="273"/>
      <c r="AX1586" s="273"/>
    </row>
    <row r="1587" spans="49:50">
      <c r="AW1587" s="273"/>
      <c r="AX1587" s="273"/>
    </row>
    <row r="1588" spans="49:50">
      <c r="AW1588" s="273"/>
      <c r="AX1588" s="273"/>
    </row>
    <row r="1589" spans="49:50">
      <c r="AW1589" s="273"/>
      <c r="AX1589" s="273"/>
    </row>
    <row r="1590" spans="49:50">
      <c r="AW1590" s="273"/>
      <c r="AX1590" s="273"/>
    </row>
    <row r="1591" spans="49:50">
      <c r="AW1591" s="273"/>
      <c r="AX1591" s="273"/>
    </row>
    <row r="1592" spans="49:50">
      <c r="AW1592" s="273"/>
      <c r="AX1592" s="273"/>
    </row>
    <row r="1593" spans="49:50">
      <c r="AW1593" s="273"/>
      <c r="AX1593" s="273"/>
    </row>
    <row r="1594" spans="49:50">
      <c r="AW1594" s="273"/>
      <c r="AX1594" s="273"/>
    </row>
    <row r="1595" spans="49:50">
      <c r="AW1595" s="273"/>
      <c r="AX1595" s="273"/>
    </row>
    <row r="1596" spans="49:50">
      <c r="AW1596" s="273"/>
      <c r="AX1596" s="273"/>
    </row>
    <row r="1597" spans="49:50">
      <c r="AW1597" s="273"/>
      <c r="AX1597" s="273"/>
    </row>
    <row r="1598" spans="49:50">
      <c r="AW1598" s="273"/>
      <c r="AX1598" s="273"/>
    </row>
    <row r="1599" spans="49:50">
      <c r="AW1599" s="273"/>
      <c r="AX1599" s="273"/>
    </row>
    <row r="1600" spans="49:50">
      <c r="AW1600" s="273"/>
      <c r="AX1600" s="273"/>
    </row>
    <row r="1601" spans="49:50">
      <c r="AW1601" s="273"/>
      <c r="AX1601" s="273"/>
    </row>
    <row r="1602" spans="49:50">
      <c r="AW1602" s="273"/>
      <c r="AX1602" s="273"/>
    </row>
    <row r="1603" spans="49:50">
      <c r="AW1603" s="273"/>
      <c r="AX1603" s="273"/>
    </row>
    <row r="1604" spans="49:50">
      <c r="AW1604" s="273"/>
      <c r="AX1604" s="273"/>
    </row>
    <row r="1605" spans="49:50">
      <c r="AW1605" s="273"/>
      <c r="AX1605" s="273"/>
    </row>
    <row r="1606" spans="49:50">
      <c r="AW1606" s="273"/>
      <c r="AX1606" s="273"/>
    </row>
    <row r="1607" spans="49:50">
      <c r="AW1607" s="273"/>
      <c r="AX1607" s="273"/>
    </row>
    <row r="1608" spans="49:50">
      <c r="AW1608" s="273"/>
      <c r="AX1608" s="273"/>
    </row>
    <row r="1609" spans="49:50">
      <c r="AW1609" s="273"/>
      <c r="AX1609" s="273"/>
    </row>
    <row r="1610" spans="49:50">
      <c r="AW1610" s="273"/>
      <c r="AX1610" s="273"/>
    </row>
    <row r="1611" spans="49:50">
      <c r="AW1611" s="273"/>
      <c r="AX1611" s="273"/>
    </row>
    <row r="1612" spans="49:50">
      <c r="AW1612" s="273"/>
      <c r="AX1612" s="273"/>
    </row>
    <row r="1613" spans="49:50">
      <c r="AW1613" s="273"/>
      <c r="AX1613" s="273"/>
    </row>
    <row r="1614" spans="49:50">
      <c r="AW1614" s="273"/>
      <c r="AX1614" s="273"/>
    </row>
    <row r="1615" spans="49:50">
      <c r="AW1615" s="273"/>
      <c r="AX1615" s="273"/>
    </row>
    <row r="1616" spans="49:50">
      <c r="AW1616" s="273"/>
      <c r="AX1616" s="273"/>
    </row>
    <row r="1617" spans="49:50">
      <c r="AW1617" s="273"/>
      <c r="AX1617" s="273"/>
    </row>
    <row r="1618" spans="49:50">
      <c r="AW1618" s="273"/>
      <c r="AX1618" s="273"/>
    </row>
    <row r="1619" spans="49:50">
      <c r="AW1619" s="273"/>
      <c r="AX1619" s="273"/>
    </row>
    <row r="1620" spans="49:50">
      <c r="AW1620" s="273"/>
      <c r="AX1620" s="273"/>
    </row>
    <row r="1621" spans="49:50">
      <c r="AW1621" s="273"/>
      <c r="AX1621" s="273"/>
    </row>
    <row r="1622" spans="49:50">
      <c r="AW1622" s="273"/>
      <c r="AX1622" s="273"/>
    </row>
    <row r="1623" spans="49:50">
      <c r="AW1623" s="273"/>
      <c r="AX1623" s="273"/>
    </row>
    <row r="1624" spans="49:50">
      <c r="AW1624" s="273"/>
      <c r="AX1624" s="273"/>
    </row>
    <row r="1625" spans="49:50">
      <c r="AW1625" s="273"/>
      <c r="AX1625" s="273"/>
    </row>
    <row r="1626" spans="49:50">
      <c r="AW1626" s="273"/>
      <c r="AX1626" s="273"/>
    </row>
    <row r="1627" spans="49:50">
      <c r="AW1627" s="273"/>
      <c r="AX1627" s="273"/>
    </row>
    <row r="1628" spans="49:50">
      <c r="AW1628" s="273"/>
      <c r="AX1628" s="273"/>
    </row>
    <row r="1629" spans="49:50">
      <c r="AW1629" s="273"/>
      <c r="AX1629" s="273"/>
    </row>
    <row r="1630" spans="49:50">
      <c r="AW1630" s="273"/>
      <c r="AX1630" s="273"/>
    </row>
    <row r="1631" spans="49:50">
      <c r="AW1631" s="273"/>
      <c r="AX1631" s="273"/>
    </row>
    <row r="1632" spans="49:50">
      <c r="AW1632" s="273"/>
      <c r="AX1632" s="273"/>
    </row>
    <row r="1633" spans="49:50">
      <c r="AW1633" s="273"/>
      <c r="AX1633" s="273"/>
    </row>
    <row r="1634" spans="49:50">
      <c r="AW1634" s="273"/>
      <c r="AX1634" s="273"/>
    </row>
    <row r="1635" spans="49:50">
      <c r="AW1635" s="273"/>
      <c r="AX1635" s="273"/>
    </row>
    <row r="1636" spans="49:50">
      <c r="AW1636" s="273"/>
      <c r="AX1636" s="273"/>
    </row>
    <row r="1637" spans="49:50">
      <c r="AW1637" s="273"/>
      <c r="AX1637" s="273"/>
    </row>
    <row r="1638" spans="49:50">
      <c r="AW1638" s="273"/>
      <c r="AX1638" s="273"/>
    </row>
    <row r="1639" spans="49:50">
      <c r="AW1639" s="273"/>
      <c r="AX1639" s="273"/>
    </row>
    <row r="1640" spans="49:50">
      <c r="AW1640" s="273"/>
      <c r="AX1640" s="273"/>
    </row>
    <row r="1641" spans="49:50">
      <c r="AW1641" s="273"/>
      <c r="AX1641" s="273"/>
    </row>
    <row r="1642" spans="49:50">
      <c r="AW1642" s="273"/>
      <c r="AX1642" s="273"/>
    </row>
    <row r="1643" spans="49:50">
      <c r="AW1643" s="273"/>
      <c r="AX1643" s="273"/>
    </row>
    <row r="1644" spans="49:50">
      <c r="AW1644" s="273"/>
      <c r="AX1644" s="273"/>
    </row>
    <row r="1645" spans="49:50">
      <c r="AW1645" s="273"/>
      <c r="AX1645" s="273"/>
    </row>
    <row r="1646" spans="49:50">
      <c r="AW1646" s="273"/>
      <c r="AX1646" s="273"/>
    </row>
    <row r="1647" spans="49:50">
      <c r="AW1647" s="273"/>
      <c r="AX1647" s="273"/>
    </row>
    <row r="1648" spans="49:50">
      <c r="AW1648" s="273"/>
      <c r="AX1648" s="273"/>
    </row>
    <row r="1649" spans="49:50">
      <c r="AW1649" s="273"/>
      <c r="AX1649" s="273"/>
    </row>
    <row r="1650" spans="49:50">
      <c r="AW1650" s="273"/>
      <c r="AX1650" s="273"/>
    </row>
    <row r="1651" spans="49:50">
      <c r="AW1651" s="273"/>
      <c r="AX1651" s="273"/>
    </row>
    <row r="1652" spans="49:50">
      <c r="AW1652" s="273"/>
      <c r="AX1652" s="273"/>
    </row>
    <row r="1653" spans="49:50">
      <c r="AW1653" s="273"/>
      <c r="AX1653" s="273"/>
    </row>
    <row r="1654" spans="49:50">
      <c r="AW1654" s="273"/>
      <c r="AX1654" s="273"/>
    </row>
    <row r="1655" spans="49:50">
      <c r="AW1655" s="273"/>
      <c r="AX1655" s="273"/>
    </row>
    <row r="1656" spans="49:50">
      <c r="AW1656" s="273"/>
      <c r="AX1656" s="273"/>
    </row>
    <row r="1657" spans="49:50">
      <c r="AW1657" s="273"/>
      <c r="AX1657" s="273"/>
    </row>
    <row r="1658" spans="49:50">
      <c r="AW1658" s="273"/>
      <c r="AX1658" s="273"/>
    </row>
    <row r="1659" spans="49:50">
      <c r="AW1659" s="273"/>
      <c r="AX1659" s="273"/>
    </row>
    <row r="1660" spans="49:50">
      <c r="AW1660" s="273"/>
      <c r="AX1660" s="273"/>
    </row>
    <row r="1661" spans="49:50">
      <c r="AW1661" s="273"/>
      <c r="AX1661" s="273"/>
    </row>
    <row r="1662" spans="49:50">
      <c r="AW1662" s="273"/>
      <c r="AX1662" s="273"/>
    </row>
    <row r="1663" spans="49:50">
      <c r="AW1663" s="273"/>
      <c r="AX1663" s="273"/>
    </row>
    <row r="1664" spans="49:50">
      <c r="AW1664" s="273"/>
      <c r="AX1664" s="273"/>
    </row>
    <row r="1665" spans="49:50">
      <c r="AW1665" s="273"/>
      <c r="AX1665" s="273"/>
    </row>
    <row r="1666" spans="49:50">
      <c r="AW1666" s="273"/>
      <c r="AX1666" s="273"/>
    </row>
    <row r="1667" spans="49:50">
      <c r="AW1667" s="273"/>
      <c r="AX1667" s="273"/>
    </row>
    <row r="1668" spans="49:50">
      <c r="AW1668" s="273"/>
      <c r="AX1668" s="273"/>
    </row>
    <row r="1669" spans="49:50">
      <c r="AW1669" s="273"/>
      <c r="AX1669" s="273"/>
    </row>
    <row r="1670" spans="49:50">
      <c r="AW1670" s="273"/>
      <c r="AX1670" s="273"/>
    </row>
    <row r="1671" spans="49:50">
      <c r="AW1671" s="273"/>
      <c r="AX1671" s="273"/>
    </row>
    <row r="1672" spans="49:50">
      <c r="AW1672" s="273"/>
      <c r="AX1672" s="273"/>
    </row>
    <row r="1673" spans="49:50">
      <c r="AW1673" s="273"/>
      <c r="AX1673" s="273"/>
    </row>
    <row r="1674" spans="49:50">
      <c r="AW1674" s="273"/>
      <c r="AX1674" s="273"/>
    </row>
    <row r="1675" spans="49:50">
      <c r="AW1675" s="273"/>
      <c r="AX1675" s="273"/>
    </row>
    <row r="1676" spans="49:50">
      <c r="AW1676" s="273"/>
      <c r="AX1676" s="273"/>
    </row>
    <row r="1677" spans="49:50">
      <c r="AW1677" s="273"/>
      <c r="AX1677" s="273"/>
    </row>
    <row r="1678" spans="49:50">
      <c r="AW1678" s="273"/>
      <c r="AX1678" s="273"/>
    </row>
    <row r="1679" spans="49:50">
      <c r="AW1679" s="273"/>
      <c r="AX1679" s="273"/>
    </row>
    <row r="1680" spans="49:50">
      <c r="AW1680" s="273"/>
      <c r="AX1680" s="273"/>
    </row>
    <row r="1681" spans="49:50">
      <c r="AW1681" s="273"/>
      <c r="AX1681" s="273"/>
    </row>
    <row r="1682" spans="49:50">
      <c r="AW1682" s="273"/>
      <c r="AX1682" s="273"/>
    </row>
    <row r="1683" spans="49:50">
      <c r="AW1683" s="273"/>
      <c r="AX1683" s="273"/>
    </row>
    <row r="1684" spans="49:50">
      <c r="AW1684" s="273"/>
      <c r="AX1684" s="273"/>
    </row>
    <row r="1685" spans="49:50">
      <c r="AW1685" s="273"/>
      <c r="AX1685" s="273"/>
    </row>
    <row r="1686" spans="49:50">
      <c r="AW1686" s="273"/>
      <c r="AX1686" s="273"/>
    </row>
    <row r="1687" spans="49:50">
      <c r="AW1687" s="273"/>
      <c r="AX1687" s="273"/>
    </row>
    <row r="1688" spans="49:50">
      <c r="AW1688" s="273"/>
      <c r="AX1688" s="273"/>
    </row>
    <row r="1689" spans="49:50">
      <c r="AW1689" s="273"/>
      <c r="AX1689" s="273"/>
    </row>
    <row r="1690" spans="49:50">
      <c r="AW1690" s="273"/>
      <c r="AX1690" s="273"/>
    </row>
    <row r="1691" spans="49:50">
      <c r="AW1691" s="273"/>
      <c r="AX1691" s="273"/>
    </row>
    <row r="1692" spans="49:50">
      <c r="AW1692" s="273"/>
      <c r="AX1692" s="273"/>
    </row>
    <row r="1693" spans="49:50">
      <c r="AW1693" s="273"/>
      <c r="AX1693" s="273"/>
    </row>
    <row r="1694" spans="49:50">
      <c r="AW1694" s="273"/>
      <c r="AX1694" s="273"/>
    </row>
    <row r="1695" spans="49:50">
      <c r="AW1695" s="273"/>
      <c r="AX1695" s="273"/>
    </row>
    <row r="1696" spans="49:50">
      <c r="AW1696" s="273"/>
      <c r="AX1696" s="273"/>
    </row>
    <row r="1697" spans="49:50">
      <c r="AW1697" s="273"/>
      <c r="AX1697" s="273"/>
    </row>
    <row r="1698" spans="49:50">
      <c r="AW1698" s="273"/>
      <c r="AX1698" s="273"/>
    </row>
    <row r="1699" spans="49:50">
      <c r="AW1699" s="273"/>
      <c r="AX1699" s="273"/>
    </row>
    <row r="1700" spans="49:50">
      <c r="AW1700" s="273"/>
      <c r="AX1700" s="273"/>
    </row>
    <row r="1701" spans="49:50">
      <c r="AW1701" s="273"/>
      <c r="AX1701" s="273"/>
    </row>
    <row r="1702" spans="49:50">
      <c r="AW1702" s="273"/>
      <c r="AX1702" s="273"/>
    </row>
    <row r="1703" spans="49:50">
      <c r="AW1703" s="273"/>
      <c r="AX1703" s="273"/>
    </row>
    <row r="1704" spans="49:50">
      <c r="AW1704" s="273"/>
      <c r="AX1704" s="273"/>
    </row>
    <row r="1705" spans="49:50">
      <c r="AW1705" s="273"/>
      <c r="AX1705" s="273"/>
    </row>
    <row r="1706" spans="49:50">
      <c r="AW1706" s="273"/>
      <c r="AX1706" s="273"/>
    </row>
    <row r="1707" spans="49:50">
      <c r="AW1707" s="273"/>
      <c r="AX1707" s="273"/>
    </row>
    <row r="1708" spans="49:50">
      <c r="AW1708" s="273"/>
      <c r="AX1708" s="273"/>
    </row>
    <row r="1709" spans="49:50">
      <c r="AW1709" s="273"/>
      <c r="AX1709" s="273"/>
    </row>
    <row r="1710" spans="49:50">
      <c r="AW1710" s="273"/>
      <c r="AX1710" s="273"/>
    </row>
    <row r="1711" spans="49:50">
      <c r="AW1711" s="273"/>
      <c r="AX1711" s="273"/>
    </row>
    <row r="1712" spans="49:50">
      <c r="AW1712" s="273"/>
      <c r="AX1712" s="273"/>
    </row>
    <row r="1713" spans="49:50">
      <c r="AW1713" s="273"/>
      <c r="AX1713" s="273"/>
    </row>
    <row r="1714" spans="49:50">
      <c r="AW1714" s="273"/>
      <c r="AX1714" s="273"/>
    </row>
    <row r="1715" spans="49:50">
      <c r="AW1715" s="273"/>
      <c r="AX1715" s="273"/>
    </row>
    <row r="1716" spans="49:50">
      <c r="AW1716" s="273"/>
      <c r="AX1716" s="273"/>
    </row>
    <row r="1717" spans="49:50">
      <c r="AW1717" s="273"/>
      <c r="AX1717" s="273"/>
    </row>
    <row r="1718" spans="49:50">
      <c r="AW1718" s="273"/>
      <c r="AX1718" s="273"/>
    </row>
    <row r="1719" spans="49:50">
      <c r="AW1719" s="273"/>
      <c r="AX1719" s="273"/>
    </row>
    <row r="1720" spans="49:50">
      <c r="AW1720" s="273"/>
      <c r="AX1720" s="273"/>
    </row>
    <row r="1721" spans="49:50">
      <c r="AW1721" s="273"/>
      <c r="AX1721" s="273"/>
    </row>
    <row r="1722" spans="49:50">
      <c r="AW1722" s="273"/>
      <c r="AX1722" s="273"/>
    </row>
    <row r="1723" spans="49:50">
      <c r="AW1723" s="273"/>
      <c r="AX1723" s="273"/>
    </row>
    <row r="1724" spans="49:50">
      <c r="AW1724" s="273"/>
      <c r="AX1724" s="273"/>
    </row>
    <row r="1725" spans="49:50">
      <c r="AW1725" s="273"/>
      <c r="AX1725" s="273"/>
    </row>
    <row r="1726" spans="49:50">
      <c r="AW1726" s="273"/>
      <c r="AX1726" s="273"/>
    </row>
    <row r="1727" spans="49:50">
      <c r="AW1727" s="273"/>
      <c r="AX1727" s="273"/>
    </row>
    <row r="1728" spans="49:50">
      <c r="AW1728" s="273"/>
      <c r="AX1728" s="273"/>
    </row>
    <row r="1729" spans="49:50">
      <c r="AW1729" s="273"/>
      <c r="AX1729" s="273"/>
    </row>
    <row r="1730" spans="49:50">
      <c r="AW1730" s="273"/>
      <c r="AX1730" s="273"/>
    </row>
    <row r="1731" spans="49:50">
      <c r="AW1731" s="273"/>
      <c r="AX1731" s="273"/>
    </row>
    <row r="1732" spans="49:50">
      <c r="AW1732" s="273"/>
      <c r="AX1732" s="273"/>
    </row>
    <row r="1733" spans="49:50">
      <c r="AW1733" s="273"/>
      <c r="AX1733" s="273"/>
    </row>
    <row r="1734" spans="49:50">
      <c r="AW1734" s="273"/>
      <c r="AX1734" s="273"/>
    </row>
    <row r="1735" spans="49:50">
      <c r="AW1735" s="273"/>
      <c r="AX1735" s="273"/>
    </row>
    <row r="1736" spans="49:50">
      <c r="AW1736" s="273"/>
      <c r="AX1736" s="273"/>
    </row>
    <row r="1737" spans="49:50">
      <c r="AW1737" s="273"/>
      <c r="AX1737" s="273"/>
    </row>
    <row r="1738" spans="49:50">
      <c r="AW1738" s="273"/>
      <c r="AX1738" s="273"/>
    </row>
    <row r="1739" spans="49:50">
      <c r="AW1739" s="273"/>
      <c r="AX1739" s="273"/>
    </row>
    <row r="1740" spans="49:50">
      <c r="AW1740" s="273"/>
      <c r="AX1740" s="273"/>
    </row>
    <row r="1741" spans="49:50">
      <c r="AW1741" s="273"/>
      <c r="AX1741" s="273"/>
    </row>
    <row r="1742" spans="49:50">
      <c r="AW1742" s="273"/>
      <c r="AX1742" s="273"/>
    </row>
    <row r="1743" spans="49:50">
      <c r="AW1743" s="273"/>
      <c r="AX1743" s="273"/>
    </row>
    <row r="1744" spans="49:50">
      <c r="AW1744" s="273"/>
      <c r="AX1744" s="273"/>
    </row>
    <row r="1745" spans="49:50">
      <c r="AW1745" s="273"/>
      <c r="AX1745" s="273"/>
    </row>
    <row r="1746" spans="49:50">
      <c r="AW1746" s="273"/>
      <c r="AX1746" s="273"/>
    </row>
    <row r="1747" spans="49:50">
      <c r="AW1747" s="273"/>
      <c r="AX1747" s="273"/>
    </row>
    <row r="1748" spans="49:50">
      <c r="AW1748" s="273"/>
      <c r="AX1748" s="273"/>
    </row>
    <row r="1749" spans="49:50">
      <c r="AW1749" s="273"/>
      <c r="AX1749" s="273"/>
    </row>
    <row r="1750" spans="49:50">
      <c r="AW1750" s="273"/>
      <c r="AX1750" s="273"/>
    </row>
    <row r="1751" spans="49:50">
      <c r="AW1751" s="273"/>
      <c r="AX1751" s="273"/>
    </row>
    <row r="1752" spans="49:50">
      <c r="AW1752" s="273"/>
      <c r="AX1752" s="273"/>
    </row>
    <row r="1753" spans="49:50">
      <c r="AW1753" s="273"/>
      <c r="AX1753" s="273"/>
    </row>
    <row r="1754" spans="49:50">
      <c r="AW1754" s="273"/>
      <c r="AX1754" s="273"/>
    </row>
    <row r="1755" spans="49:50">
      <c r="AW1755" s="273"/>
      <c r="AX1755" s="273"/>
    </row>
    <row r="1756" spans="49:50">
      <c r="AW1756" s="273"/>
      <c r="AX1756" s="273"/>
    </row>
    <row r="1757" spans="49:50">
      <c r="AW1757" s="273"/>
      <c r="AX1757" s="273"/>
    </row>
    <row r="1758" spans="49:50">
      <c r="AW1758" s="273"/>
      <c r="AX1758" s="273"/>
    </row>
    <row r="1759" spans="49:50">
      <c r="AW1759" s="273"/>
      <c r="AX1759" s="273"/>
    </row>
    <row r="1760" spans="49:50">
      <c r="AW1760" s="273"/>
      <c r="AX1760" s="273"/>
    </row>
    <row r="1761" spans="49:50">
      <c r="AW1761" s="273"/>
      <c r="AX1761" s="273"/>
    </row>
    <row r="1762" spans="49:50">
      <c r="AW1762" s="273"/>
      <c r="AX1762" s="273"/>
    </row>
    <row r="1763" spans="49:50">
      <c r="AW1763" s="273"/>
      <c r="AX1763" s="273"/>
    </row>
    <row r="1764" spans="49:50">
      <c r="AW1764" s="273"/>
      <c r="AX1764" s="273"/>
    </row>
    <row r="1765" spans="49:50">
      <c r="AW1765" s="273"/>
      <c r="AX1765" s="273"/>
    </row>
    <row r="1766" spans="49:50">
      <c r="AW1766" s="273"/>
      <c r="AX1766" s="273"/>
    </row>
    <row r="1767" spans="49:50">
      <c r="AW1767" s="273"/>
      <c r="AX1767" s="273"/>
    </row>
    <row r="1768" spans="49:50">
      <c r="AW1768" s="273"/>
      <c r="AX1768" s="273"/>
    </row>
    <row r="1769" spans="49:50">
      <c r="AW1769" s="273"/>
      <c r="AX1769" s="273"/>
    </row>
    <row r="1770" spans="49:50">
      <c r="AW1770" s="273"/>
      <c r="AX1770" s="273"/>
    </row>
    <row r="1771" spans="49:50">
      <c r="AW1771" s="273"/>
      <c r="AX1771" s="273"/>
    </row>
    <row r="1772" spans="49:50">
      <c r="AW1772" s="273"/>
      <c r="AX1772" s="273"/>
    </row>
    <row r="1773" spans="49:50">
      <c r="AW1773" s="273"/>
      <c r="AX1773" s="273"/>
    </row>
    <row r="1774" spans="49:50">
      <c r="AW1774" s="273"/>
      <c r="AX1774" s="273"/>
    </row>
    <row r="1775" spans="49:50">
      <c r="AW1775" s="273"/>
      <c r="AX1775" s="273"/>
    </row>
    <row r="1776" spans="49:50">
      <c r="AW1776" s="273"/>
      <c r="AX1776" s="273"/>
    </row>
    <row r="1777" spans="49:50">
      <c r="AW1777" s="273"/>
      <c r="AX1777" s="273"/>
    </row>
    <row r="1778" spans="49:50">
      <c r="AW1778" s="273"/>
      <c r="AX1778" s="273"/>
    </row>
    <row r="1779" spans="49:50">
      <c r="AW1779" s="273"/>
      <c r="AX1779" s="273"/>
    </row>
    <row r="1780" spans="49:50">
      <c r="AW1780" s="273"/>
      <c r="AX1780" s="273"/>
    </row>
    <row r="1781" spans="49:50">
      <c r="AW1781" s="273"/>
      <c r="AX1781" s="273"/>
    </row>
    <row r="1782" spans="49:50">
      <c r="AW1782" s="273"/>
      <c r="AX1782" s="273"/>
    </row>
    <row r="1783" spans="49:50">
      <c r="AW1783" s="273"/>
      <c r="AX1783" s="273"/>
    </row>
    <row r="1784" spans="49:50">
      <c r="AW1784" s="273"/>
      <c r="AX1784" s="273"/>
    </row>
    <row r="1785" spans="49:50">
      <c r="AW1785" s="273"/>
      <c r="AX1785" s="273"/>
    </row>
    <row r="1786" spans="49:50">
      <c r="AW1786" s="273"/>
      <c r="AX1786" s="273"/>
    </row>
    <row r="1787" spans="49:50">
      <c r="AW1787" s="273"/>
      <c r="AX1787" s="273"/>
    </row>
    <row r="1788" spans="49:50">
      <c r="AW1788" s="273"/>
      <c r="AX1788" s="273"/>
    </row>
    <row r="1789" spans="49:50">
      <c r="AW1789" s="273"/>
      <c r="AX1789" s="273"/>
    </row>
    <row r="1790" spans="49:50">
      <c r="AW1790" s="273"/>
      <c r="AX1790" s="273"/>
    </row>
    <row r="1791" spans="49:50">
      <c r="AW1791" s="273"/>
      <c r="AX1791" s="273"/>
    </row>
    <row r="1792" spans="49:50">
      <c r="AW1792" s="273"/>
      <c r="AX1792" s="273"/>
    </row>
    <row r="1793" spans="49:50">
      <c r="AW1793" s="273"/>
      <c r="AX1793" s="273"/>
    </row>
    <row r="1794" spans="49:50">
      <c r="AW1794" s="273"/>
      <c r="AX1794" s="273"/>
    </row>
    <row r="1795" spans="49:50">
      <c r="AW1795" s="273"/>
      <c r="AX1795" s="273"/>
    </row>
    <row r="1796" spans="49:50">
      <c r="AW1796" s="273"/>
      <c r="AX1796" s="273"/>
    </row>
    <row r="1797" spans="49:50">
      <c r="AW1797" s="273"/>
      <c r="AX1797" s="273"/>
    </row>
    <row r="1798" spans="49:50">
      <c r="AW1798" s="273"/>
      <c r="AX1798" s="273"/>
    </row>
    <row r="1799" spans="49:50">
      <c r="AW1799" s="273"/>
      <c r="AX1799" s="273"/>
    </row>
    <row r="1800" spans="49:50">
      <c r="AW1800" s="273"/>
      <c r="AX1800" s="273"/>
    </row>
    <row r="1801" spans="49:50">
      <c r="AW1801" s="273"/>
      <c r="AX1801" s="273"/>
    </row>
    <row r="1802" spans="49:50">
      <c r="AW1802" s="273"/>
      <c r="AX1802" s="273"/>
    </row>
    <row r="1803" spans="49:50">
      <c r="AW1803" s="273"/>
      <c r="AX1803" s="273"/>
    </row>
    <row r="1804" spans="49:50">
      <c r="AW1804" s="273"/>
      <c r="AX1804" s="273"/>
    </row>
    <row r="1805" spans="49:50">
      <c r="AW1805" s="273"/>
      <c r="AX1805" s="273"/>
    </row>
    <row r="1806" spans="49:50">
      <c r="AW1806" s="273"/>
      <c r="AX1806" s="273"/>
    </row>
    <row r="1807" spans="49:50">
      <c r="AW1807" s="273"/>
      <c r="AX1807" s="273"/>
    </row>
    <row r="1808" spans="49:50">
      <c r="AW1808" s="273"/>
      <c r="AX1808" s="273"/>
    </row>
    <row r="1809" spans="49:50">
      <c r="AW1809" s="273"/>
      <c r="AX1809" s="273"/>
    </row>
    <row r="1810" spans="49:50">
      <c r="AW1810" s="273"/>
      <c r="AX1810" s="273"/>
    </row>
    <row r="1811" spans="49:50">
      <c r="AW1811" s="273"/>
      <c r="AX1811" s="273"/>
    </row>
    <row r="1812" spans="49:50">
      <c r="AW1812" s="273"/>
      <c r="AX1812" s="273"/>
    </row>
    <row r="1813" spans="49:50">
      <c r="AW1813" s="273"/>
      <c r="AX1813" s="273"/>
    </row>
    <row r="1814" spans="49:50">
      <c r="AW1814" s="273"/>
      <c r="AX1814" s="273"/>
    </row>
    <row r="1815" spans="49:50">
      <c r="AW1815" s="273"/>
      <c r="AX1815" s="273"/>
    </row>
    <row r="1816" spans="49:50">
      <c r="AW1816" s="273"/>
      <c r="AX1816" s="273"/>
    </row>
    <row r="1817" spans="49:50">
      <c r="AW1817" s="273"/>
      <c r="AX1817" s="273"/>
    </row>
    <row r="1818" spans="49:50">
      <c r="AW1818" s="273"/>
      <c r="AX1818" s="273"/>
    </row>
    <row r="1819" spans="49:50">
      <c r="AW1819" s="273"/>
      <c r="AX1819" s="273"/>
    </row>
    <row r="1820" spans="49:50">
      <c r="AW1820" s="273"/>
      <c r="AX1820" s="273"/>
    </row>
    <row r="1821" spans="49:50">
      <c r="AW1821" s="273"/>
      <c r="AX1821" s="273"/>
    </row>
    <row r="1822" spans="49:50">
      <c r="AW1822" s="273"/>
      <c r="AX1822" s="273"/>
    </row>
    <row r="1823" spans="49:50">
      <c r="AW1823" s="273"/>
      <c r="AX1823" s="273"/>
    </row>
    <row r="1824" spans="49:50">
      <c r="AW1824" s="273"/>
      <c r="AX1824" s="273"/>
    </row>
    <row r="1825" spans="49:50">
      <c r="AW1825" s="273"/>
      <c r="AX1825" s="273"/>
    </row>
    <row r="1826" spans="49:50">
      <c r="AW1826" s="273"/>
      <c r="AX1826" s="273"/>
    </row>
    <row r="1827" spans="49:50">
      <c r="AW1827" s="273"/>
      <c r="AX1827" s="273"/>
    </row>
    <row r="1828" spans="49:50">
      <c r="AW1828" s="273"/>
      <c r="AX1828" s="273"/>
    </row>
    <row r="1829" spans="49:50">
      <c r="AW1829" s="273"/>
      <c r="AX1829" s="273"/>
    </row>
    <row r="1830" spans="49:50">
      <c r="AW1830" s="273"/>
      <c r="AX1830" s="273"/>
    </row>
    <row r="1831" spans="49:50">
      <c r="AW1831" s="273"/>
      <c r="AX1831" s="273"/>
    </row>
    <row r="1832" spans="49:50">
      <c r="AW1832" s="273"/>
      <c r="AX1832" s="273"/>
    </row>
    <row r="1833" spans="49:50">
      <c r="AW1833" s="273"/>
      <c r="AX1833" s="273"/>
    </row>
    <row r="1834" spans="49:50">
      <c r="AW1834" s="273"/>
      <c r="AX1834" s="273"/>
    </row>
    <row r="1835" spans="49:50">
      <c r="AW1835" s="273"/>
      <c r="AX1835" s="273"/>
    </row>
    <row r="1836" spans="49:50">
      <c r="AW1836" s="273"/>
      <c r="AX1836" s="273"/>
    </row>
    <row r="1837" spans="49:50">
      <c r="AW1837" s="273"/>
      <c r="AX1837" s="273"/>
    </row>
    <row r="1838" spans="49:50">
      <c r="AW1838" s="273"/>
      <c r="AX1838" s="273"/>
    </row>
    <row r="1839" spans="49:50">
      <c r="AW1839" s="273"/>
      <c r="AX1839" s="273"/>
    </row>
    <row r="1840" spans="49:50">
      <c r="AW1840" s="273"/>
      <c r="AX1840" s="273"/>
    </row>
    <row r="1841" spans="49:50">
      <c r="AW1841" s="273"/>
      <c r="AX1841" s="273"/>
    </row>
    <row r="1842" spans="49:50">
      <c r="AW1842" s="273"/>
      <c r="AX1842" s="273"/>
    </row>
    <row r="1843" spans="49:50">
      <c r="AW1843" s="273"/>
      <c r="AX1843" s="273"/>
    </row>
    <row r="1844" spans="49:50">
      <c r="AW1844" s="273"/>
      <c r="AX1844" s="273"/>
    </row>
    <row r="1845" spans="49:50">
      <c r="AW1845" s="273"/>
      <c r="AX1845" s="273"/>
    </row>
    <row r="1846" spans="49:50">
      <c r="AW1846" s="273"/>
      <c r="AX1846" s="273"/>
    </row>
    <row r="1847" spans="49:50">
      <c r="AW1847" s="273"/>
      <c r="AX1847" s="273"/>
    </row>
    <row r="1848" spans="49:50">
      <c r="AW1848" s="273"/>
      <c r="AX1848" s="273"/>
    </row>
    <row r="1849" spans="49:50">
      <c r="AW1849" s="273"/>
      <c r="AX1849" s="273"/>
    </row>
    <row r="1850" spans="49:50">
      <c r="AW1850" s="273"/>
      <c r="AX1850" s="273"/>
    </row>
    <row r="1851" spans="49:50">
      <c r="AW1851" s="273"/>
      <c r="AX1851" s="273"/>
    </row>
    <row r="1852" spans="49:50">
      <c r="AW1852" s="273"/>
      <c r="AX1852" s="273"/>
    </row>
    <row r="1853" spans="49:50">
      <c r="AW1853" s="273"/>
      <c r="AX1853" s="273"/>
    </row>
    <row r="1854" spans="49:50">
      <c r="AW1854" s="273"/>
      <c r="AX1854" s="273"/>
    </row>
    <row r="1855" spans="49:50">
      <c r="AW1855" s="273"/>
      <c r="AX1855" s="273"/>
    </row>
    <row r="1856" spans="49:50">
      <c r="AW1856" s="273"/>
      <c r="AX1856" s="273"/>
    </row>
    <row r="1857" spans="49:50">
      <c r="AW1857" s="273"/>
      <c r="AX1857" s="273"/>
    </row>
    <row r="1858" spans="49:50">
      <c r="AW1858" s="273"/>
      <c r="AX1858" s="273"/>
    </row>
    <row r="1859" spans="49:50">
      <c r="AW1859" s="273"/>
      <c r="AX1859" s="273"/>
    </row>
    <row r="1860" spans="49:50">
      <c r="AW1860" s="273"/>
      <c r="AX1860" s="273"/>
    </row>
    <row r="1861" spans="49:50">
      <c r="AW1861" s="273"/>
      <c r="AX1861" s="273"/>
    </row>
    <row r="1862" spans="49:50">
      <c r="AW1862" s="273"/>
      <c r="AX1862" s="273"/>
    </row>
    <row r="1863" spans="49:50">
      <c r="AW1863" s="273"/>
      <c r="AX1863" s="273"/>
    </row>
    <row r="1864" spans="49:50">
      <c r="AW1864" s="273"/>
      <c r="AX1864" s="273"/>
    </row>
    <row r="1865" spans="49:50">
      <c r="AW1865" s="273"/>
      <c r="AX1865" s="273"/>
    </row>
    <row r="1866" spans="49:50">
      <c r="AW1866" s="273"/>
      <c r="AX1866" s="273"/>
    </row>
    <row r="1867" spans="49:50">
      <c r="AW1867" s="273"/>
      <c r="AX1867" s="273"/>
    </row>
    <row r="1868" spans="49:50">
      <c r="AW1868" s="273"/>
      <c r="AX1868" s="273"/>
    </row>
    <row r="1869" spans="49:50">
      <c r="AW1869" s="273"/>
      <c r="AX1869" s="273"/>
    </row>
    <row r="1870" spans="49:50">
      <c r="AW1870" s="273"/>
      <c r="AX1870" s="273"/>
    </row>
    <row r="1871" spans="49:50">
      <c r="AW1871" s="273"/>
      <c r="AX1871" s="273"/>
    </row>
    <row r="1872" spans="49:50">
      <c r="AW1872" s="273"/>
      <c r="AX1872" s="273"/>
    </row>
    <row r="1873" spans="49:50">
      <c r="AW1873" s="273"/>
      <c r="AX1873" s="273"/>
    </row>
    <row r="1874" spans="49:50">
      <c r="AW1874" s="273"/>
      <c r="AX1874" s="273"/>
    </row>
    <row r="1875" spans="49:50">
      <c r="AW1875" s="273"/>
      <c r="AX1875" s="273"/>
    </row>
    <row r="1876" spans="49:50">
      <c r="AW1876" s="273"/>
      <c r="AX1876" s="273"/>
    </row>
    <row r="1877" spans="49:50">
      <c r="AW1877" s="273"/>
      <c r="AX1877" s="273"/>
    </row>
    <row r="1878" spans="49:50">
      <c r="AW1878" s="273"/>
      <c r="AX1878" s="273"/>
    </row>
    <row r="1879" spans="49:50">
      <c r="AW1879" s="273"/>
      <c r="AX1879" s="273"/>
    </row>
    <row r="1880" spans="49:50">
      <c r="AW1880" s="273"/>
      <c r="AX1880" s="273"/>
    </row>
    <row r="1881" spans="49:50">
      <c r="AW1881" s="273"/>
      <c r="AX1881" s="273"/>
    </row>
    <row r="1882" spans="49:50">
      <c r="AW1882" s="273"/>
      <c r="AX1882" s="273"/>
    </row>
    <row r="1883" spans="49:50">
      <c r="AW1883" s="273"/>
      <c r="AX1883" s="273"/>
    </row>
    <row r="1884" spans="49:50">
      <c r="AW1884" s="273"/>
      <c r="AX1884" s="273"/>
    </row>
    <row r="1885" spans="49:50">
      <c r="AW1885" s="273"/>
      <c r="AX1885" s="273"/>
    </row>
    <row r="1886" spans="49:50">
      <c r="AW1886" s="273"/>
      <c r="AX1886" s="273"/>
    </row>
    <row r="1887" spans="49:50">
      <c r="AW1887" s="273"/>
      <c r="AX1887" s="273"/>
    </row>
    <row r="1888" spans="49:50">
      <c r="AW1888" s="273"/>
      <c r="AX1888" s="273"/>
    </row>
    <row r="1889" spans="49:50">
      <c r="AW1889" s="273"/>
      <c r="AX1889" s="273"/>
    </row>
    <row r="1890" spans="49:50">
      <c r="AW1890" s="273"/>
      <c r="AX1890" s="273"/>
    </row>
    <row r="1891" spans="49:50">
      <c r="AW1891" s="273"/>
      <c r="AX1891" s="273"/>
    </row>
    <row r="1892" spans="49:50">
      <c r="AW1892" s="273"/>
      <c r="AX1892" s="273"/>
    </row>
    <row r="1893" spans="49:50">
      <c r="AW1893" s="273"/>
      <c r="AX1893" s="273"/>
    </row>
    <row r="1894" spans="49:50">
      <c r="AW1894" s="273"/>
      <c r="AX1894" s="273"/>
    </row>
    <row r="1895" spans="49:50">
      <c r="AW1895" s="273"/>
      <c r="AX1895" s="273"/>
    </row>
    <row r="1896" spans="49:50">
      <c r="AW1896" s="273"/>
      <c r="AX1896" s="273"/>
    </row>
    <row r="1897" spans="49:50">
      <c r="AW1897" s="273"/>
      <c r="AX1897" s="273"/>
    </row>
    <row r="1898" spans="49:50">
      <c r="AW1898" s="273"/>
      <c r="AX1898" s="273"/>
    </row>
    <row r="1899" spans="49:50">
      <c r="AW1899" s="273"/>
      <c r="AX1899" s="273"/>
    </row>
    <row r="1900" spans="49:50">
      <c r="AW1900" s="273"/>
      <c r="AX1900" s="273"/>
    </row>
    <row r="1901" spans="49:50">
      <c r="AW1901" s="273"/>
      <c r="AX1901" s="273"/>
    </row>
    <row r="1902" spans="49:50">
      <c r="AW1902" s="273"/>
      <c r="AX1902" s="273"/>
    </row>
    <row r="1903" spans="49:50">
      <c r="AW1903" s="273"/>
      <c r="AX1903" s="273"/>
    </row>
    <row r="1904" spans="49:50">
      <c r="AW1904" s="273"/>
      <c r="AX1904" s="273"/>
    </row>
    <row r="1905" spans="49:50">
      <c r="AW1905" s="273"/>
      <c r="AX1905" s="273"/>
    </row>
    <row r="1906" spans="49:50">
      <c r="AW1906" s="273"/>
      <c r="AX1906" s="273"/>
    </row>
    <row r="1907" spans="49:50">
      <c r="AW1907" s="273"/>
      <c r="AX1907" s="273"/>
    </row>
    <row r="1908" spans="49:50">
      <c r="AW1908" s="273"/>
      <c r="AX1908" s="273"/>
    </row>
    <row r="1909" spans="49:50">
      <c r="AW1909" s="273"/>
      <c r="AX1909" s="273"/>
    </row>
    <row r="1910" spans="49:50">
      <c r="AW1910" s="273"/>
      <c r="AX1910" s="273"/>
    </row>
    <row r="1911" spans="49:50">
      <c r="AW1911" s="273"/>
      <c r="AX1911" s="273"/>
    </row>
    <row r="1912" spans="49:50">
      <c r="AW1912" s="273"/>
      <c r="AX1912" s="273"/>
    </row>
    <row r="1913" spans="49:50">
      <c r="AW1913" s="273"/>
      <c r="AX1913" s="273"/>
    </row>
    <row r="1914" spans="49:50">
      <c r="AW1914" s="273"/>
      <c r="AX1914" s="273"/>
    </row>
    <row r="1915" spans="49:50">
      <c r="AW1915" s="273"/>
      <c r="AX1915" s="273"/>
    </row>
    <row r="1916" spans="49:50">
      <c r="AW1916" s="273"/>
      <c r="AX1916" s="273"/>
    </row>
    <row r="1917" spans="49:50">
      <c r="AW1917" s="273"/>
      <c r="AX1917" s="273"/>
    </row>
    <row r="1918" spans="49:50">
      <c r="AW1918" s="273"/>
      <c r="AX1918" s="273"/>
    </row>
    <row r="1919" spans="49:50">
      <c r="AW1919" s="273"/>
      <c r="AX1919" s="273"/>
    </row>
    <row r="1920" spans="49:50">
      <c r="AW1920" s="273"/>
      <c r="AX1920" s="273"/>
    </row>
    <row r="1921" spans="49:50">
      <c r="AW1921" s="273"/>
      <c r="AX1921" s="273"/>
    </row>
    <row r="1922" spans="49:50">
      <c r="AW1922" s="273"/>
      <c r="AX1922" s="273"/>
    </row>
    <row r="1923" spans="49:50">
      <c r="AW1923" s="273"/>
      <c r="AX1923" s="273"/>
    </row>
    <row r="1924" spans="49:50">
      <c r="AW1924" s="273"/>
      <c r="AX1924" s="273"/>
    </row>
    <row r="1925" spans="49:50">
      <c r="AW1925" s="273"/>
      <c r="AX1925" s="273"/>
    </row>
    <row r="1926" spans="49:50">
      <c r="AW1926" s="273"/>
      <c r="AX1926" s="273"/>
    </row>
    <row r="1927" spans="49:50">
      <c r="AW1927" s="273"/>
      <c r="AX1927" s="273"/>
    </row>
    <row r="1928" spans="49:50">
      <c r="AW1928" s="273"/>
      <c r="AX1928" s="273"/>
    </row>
    <row r="1929" spans="49:50">
      <c r="AW1929" s="273"/>
      <c r="AX1929" s="273"/>
    </row>
    <row r="1930" spans="49:50">
      <c r="AW1930" s="273"/>
      <c r="AX1930" s="273"/>
    </row>
    <row r="1931" spans="49:50">
      <c r="AW1931" s="273"/>
      <c r="AX1931" s="273"/>
    </row>
    <row r="1932" spans="49:50">
      <c r="AW1932" s="273"/>
      <c r="AX1932" s="273"/>
    </row>
    <row r="1933" spans="49:50">
      <c r="AW1933" s="273"/>
      <c r="AX1933" s="273"/>
    </row>
    <row r="1934" spans="49:50">
      <c r="AW1934" s="273"/>
      <c r="AX1934" s="273"/>
    </row>
    <row r="1935" spans="49:50">
      <c r="AW1935" s="273"/>
      <c r="AX1935" s="273"/>
    </row>
    <row r="1936" spans="49:50">
      <c r="AW1936" s="273"/>
      <c r="AX1936" s="273"/>
    </row>
    <row r="1937" spans="49:50">
      <c r="AW1937" s="273"/>
      <c r="AX1937" s="273"/>
    </row>
    <row r="1938" spans="49:50">
      <c r="AW1938" s="273"/>
      <c r="AX1938" s="273"/>
    </row>
    <row r="1939" spans="49:50">
      <c r="AW1939" s="273"/>
      <c r="AX1939" s="273"/>
    </row>
    <row r="1940" spans="49:50">
      <c r="AW1940" s="273"/>
      <c r="AX1940" s="273"/>
    </row>
    <row r="1941" spans="49:50">
      <c r="AW1941" s="273"/>
      <c r="AX1941" s="273"/>
    </row>
    <row r="1942" spans="49:50">
      <c r="AW1942" s="273"/>
      <c r="AX1942" s="273"/>
    </row>
    <row r="1943" spans="49:50">
      <c r="AW1943" s="273"/>
      <c r="AX1943" s="273"/>
    </row>
    <row r="1944" spans="49:50">
      <c r="AW1944" s="273"/>
      <c r="AX1944" s="273"/>
    </row>
    <row r="1945" spans="49:50">
      <c r="AW1945" s="273"/>
      <c r="AX1945" s="273"/>
    </row>
    <row r="1946" spans="49:50">
      <c r="AW1946" s="273"/>
      <c r="AX1946" s="273"/>
    </row>
    <row r="1947" spans="49:50">
      <c r="AW1947" s="273"/>
      <c r="AX1947" s="273"/>
    </row>
    <row r="1948" spans="49:50">
      <c r="AW1948" s="273"/>
      <c r="AX1948" s="273"/>
    </row>
    <row r="1949" spans="49:50">
      <c r="AW1949" s="273"/>
      <c r="AX1949" s="273"/>
    </row>
    <row r="1950" spans="49:50">
      <c r="AW1950" s="273"/>
      <c r="AX1950" s="273"/>
    </row>
    <row r="1951" spans="49:50">
      <c r="AW1951" s="273"/>
      <c r="AX1951" s="273"/>
    </row>
    <row r="1952" spans="49:50">
      <c r="AW1952" s="273"/>
      <c r="AX1952" s="273"/>
    </row>
    <row r="1953" spans="49:50">
      <c r="AW1953" s="273"/>
      <c r="AX1953" s="273"/>
    </row>
    <row r="1954" spans="49:50">
      <c r="AW1954" s="273"/>
      <c r="AX1954" s="273"/>
    </row>
    <row r="1955" spans="49:50">
      <c r="AW1955" s="273"/>
      <c r="AX1955" s="273"/>
    </row>
    <row r="1956" spans="49:50">
      <c r="AW1956" s="273"/>
      <c r="AX1956" s="273"/>
    </row>
    <row r="1957" spans="49:50">
      <c r="AW1957" s="273"/>
      <c r="AX1957" s="273"/>
    </row>
    <row r="1958" spans="49:50">
      <c r="AW1958" s="273"/>
      <c r="AX1958" s="273"/>
    </row>
    <row r="1959" spans="49:50">
      <c r="AW1959" s="273"/>
      <c r="AX1959" s="273"/>
    </row>
    <row r="1960" spans="49:50">
      <c r="AW1960" s="273"/>
      <c r="AX1960" s="273"/>
    </row>
    <row r="1961" spans="49:50">
      <c r="AW1961" s="273"/>
      <c r="AX1961" s="273"/>
    </row>
    <row r="1962" spans="49:50">
      <c r="AW1962" s="273"/>
      <c r="AX1962" s="273"/>
    </row>
    <row r="1963" spans="49:50">
      <c r="AW1963" s="273"/>
      <c r="AX1963" s="273"/>
    </row>
    <row r="1964" spans="49:50">
      <c r="AW1964" s="273"/>
      <c r="AX1964" s="273"/>
    </row>
    <row r="1965" spans="49:50">
      <c r="AW1965" s="273"/>
      <c r="AX1965" s="273"/>
    </row>
    <row r="1966" spans="49:50">
      <c r="AW1966" s="273"/>
      <c r="AX1966" s="273"/>
    </row>
    <row r="1967" spans="49:50">
      <c r="AW1967" s="273"/>
      <c r="AX1967" s="273"/>
    </row>
    <row r="1968" spans="49:50">
      <c r="AW1968" s="273"/>
      <c r="AX1968" s="273"/>
    </row>
    <row r="1969" spans="49:50">
      <c r="AW1969" s="273"/>
      <c r="AX1969" s="273"/>
    </row>
    <row r="1970" spans="49:50">
      <c r="AW1970" s="273"/>
      <c r="AX1970" s="273"/>
    </row>
    <row r="1971" spans="49:50">
      <c r="AW1971" s="273"/>
      <c r="AX1971" s="273"/>
    </row>
    <row r="1972" spans="49:50">
      <c r="AW1972" s="273"/>
      <c r="AX1972" s="273"/>
    </row>
    <row r="1973" spans="49:50">
      <c r="AW1973" s="273"/>
      <c r="AX1973" s="273"/>
    </row>
    <row r="1974" spans="49:50">
      <c r="AW1974" s="273"/>
      <c r="AX1974" s="273"/>
    </row>
    <row r="1975" spans="49:50">
      <c r="AW1975" s="273"/>
      <c r="AX1975" s="273"/>
    </row>
    <row r="1976" spans="49:50">
      <c r="AW1976" s="273"/>
      <c r="AX1976" s="273"/>
    </row>
    <row r="1977" spans="49:50">
      <c r="AW1977" s="273"/>
      <c r="AX1977" s="273"/>
    </row>
    <row r="1978" spans="49:50">
      <c r="AW1978" s="273"/>
      <c r="AX1978" s="273"/>
    </row>
    <row r="1979" spans="49:50">
      <c r="AW1979" s="273"/>
      <c r="AX1979" s="273"/>
    </row>
    <row r="1980" spans="49:50">
      <c r="AW1980" s="273"/>
      <c r="AX1980" s="273"/>
    </row>
    <row r="1981" spans="49:50">
      <c r="AW1981" s="273"/>
      <c r="AX1981" s="273"/>
    </row>
    <row r="1982" spans="49:50">
      <c r="AW1982" s="273"/>
      <c r="AX1982" s="273"/>
    </row>
    <row r="1983" spans="49:50">
      <c r="AW1983" s="273"/>
      <c r="AX1983" s="273"/>
    </row>
    <row r="1984" spans="49:50">
      <c r="AW1984" s="273"/>
      <c r="AX1984" s="273"/>
    </row>
    <row r="1985" spans="49:50">
      <c r="AW1985" s="273"/>
      <c r="AX1985" s="273"/>
    </row>
    <row r="1986" spans="49:50">
      <c r="AW1986" s="273"/>
      <c r="AX1986" s="273"/>
    </row>
    <row r="1987" spans="49:50">
      <c r="AW1987" s="273"/>
      <c r="AX1987" s="273"/>
    </row>
    <row r="1988" spans="49:50">
      <c r="AW1988" s="273"/>
      <c r="AX1988" s="273"/>
    </row>
    <row r="1989" spans="49:50">
      <c r="AW1989" s="273"/>
      <c r="AX1989" s="273"/>
    </row>
    <row r="1990" spans="49:50">
      <c r="AW1990" s="273"/>
      <c r="AX1990" s="273"/>
    </row>
    <row r="1991" spans="49:50">
      <c r="AW1991" s="273"/>
      <c r="AX1991" s="273"/>
    </row>
    <row r="1992" spans="49:50">
      <c r="AW1992" s="273"/>
      <c r="AX1992" s="273"/>
    </row>
    <row r="1993" spans="49:50">
      <c r="AW1993" s="273"/>
      <c r="AX1993" s="273"/>
    </row>
    <row r="1994" spans="49:50">
      <c r="AW1994" s="273"/>
      <c r="AX1994" s="273"/>
    </row>
    <row r="1995" spans="49:50">
      <c r="AW1995" s="273"/>
      <c r="AX1995" s="273"/>
    </row>
    <row r="1996" spans="49:50">
      <c r="AW1996" s="273"/>
      <c r="AX1996" s="273"/>
    </row>
    <row r="1997" spans="49:50">
      <c r="AW1997" s="273"/>
      <c r="AX1997" s="273"/>
    </row>
    <row r="1998" spans="49:50">
      <c r="AW1998" s="273"/>
      <c r="AX1998" s="273"/>
    </row>
    <row r="1999" spans="49:50">
      <c r="AW1999" s="273"/>
      <c r="AX1999" s="273"/>
    </row>
    <row r="2000" spans="49:50">
      <c r="AW2000" s="273"/>
      <c r="AX2000" s="273"/>
    </row>
    <row r="2001" spans="49:50">
      <c r="AW2001" s="273"/>
      <c r="AX2001" s="273"/>
    </row>
    <row r="2002" spans="49:50">
      <c r="AW2002" s="273"/>
      <c r="AX2002" s="273"/>
    </row>
    <row r="2003" spans="49:50">
      <c r="AW2003" s="273"/>
      <c r="AX2003" s="273"/>
    </row>
    <row r="2004" spans="49:50">
      <c r="AW2004" s="273"/>
      <c r="AX2004" s="273"/>
    </row>
    <row r="2005" spans="49:50">
      <c r="AW2005" s="273"/>
      <c r="AX2005" s="273"/>
    </row>
    <row r="2006" spans="49:50">
      <c r="AW2006" s="273"/>
      <c r="AX2006" s="273"/>
    </row>
    <row r="2007" spans="49:50">
      <c r="AW2007" s="273"/>
      <c r="AX2007" s="273"/>
    </row>
    <row r="2008" spans="49:50">
      <c r="AW2008" s="273"/>
      <c r="AX2008" s="273"/>
    </row>
    <row r="2009" spans="49:50">
      <c r="AW2009" s="273"/>
      <c r="AX2009" s="273"/>
    </row>
    <row r="2010" spans="49:50">
      <c r="AW2010" s="273"/>
      <c r="AX2010" s="273"/>
    </row>
    <row r="2011" spans="49:50">
      <c r="AW2011" s="273"/>
      <c r="AX2011" s="273"/>
    </row>
    <row r="2012" spans="49:50">
      <c r="AW2012" s="273"/>
      <c r="AX2012" s="273"/>
    </row>
    <row r="2013" spans="49:50">
      <c r="AW2013" s="273"/>
      <c r="AX2013" s="273"/>
    </row>
    <row r="2014" spans="49:50">
      <c r="AW2014" s="273"/>
      <c r="AX2014" s="273"/>
    </row>
    <row r="2015" spans="49:50">
      <c r="AW2015" s="273"/>
      <c r="AX2015" s="273"/>
    </row>
    <row r="2016" spans="49:50">
      <c r="AW2016" s="273"/>
      <c r="AX2016" s="273"/>
    </row>
    <row r="2017" spans="49:50">
      <c r="AW2017" s="273"/>
      <c r="AX2017" s="273"/>
    </row>
    <row r="2018" spans="49:50">
      <c r="AW2018" s="273"/>
      <c r="AX2018" s="273"/>
    </row>
    <row r="2019" spans="49:50">
      <c r="AW2019" s="273"/>
      <c r="AX2019" s="273"/>
    </row>
    <row r="2020" spans="49:50">
      <c r="AW2020" s="273"/>
      <c r="AX2020" s="273"/>
    </row>
    <row r="2021" spans="49:50">
      <c r="AW2021" s="273"/>
      <c r="AX2021" s="273"/>
    </row>
    <row r="2022" spans="49:50">
      <c r="AW2022" s="273"/>
      <c r="AX2022" s="273"/>
    </row>
    <row r="2023" spans="49:50">
      <c r="AW2023" s="273"/>
      <c r="AX2023" s="273"/>
    </row>
    <row r="2024" spans="49:50">
      <c r="AW2024" s="273"/>
      <c r="AX2024" s="273"/>
    </row>
    <row r="2025" spans="49:50">
      <c r="AW2025" s="273"/>
      <c r="AX2025" s="273"/>
    </row>
    <row r="2026" spans="49:50">
      <c r="AW2026" s="273"/>
      <c r="AX2026" s="273"/>
    </row>
    <row r="2027" spans="49:50">
      <c r="AW2027" s="273"/>
      <c r="AX2027" s="273"/>
    </row>
    <row r="2028" spans="49:50">
      <c r="AW2028" s="273"/>
      <c r="AX2028" s="273"/>
    </row>
    <row r="2029" spans="49:50">
      <c r="AW2029" s="273"/>
      <c r="AX2029" s="273"/>
    </row>
    <row r="2030" spans="49:50">
      <c r="AW2030" s="273"/>
      <c r="AX2030" s="273"/>
    </row>
    <row r="2031" spans="49:50">
      <c r="AW2031" s="273"/>
      <c r="AX2031" s="273"/>
    </row>
    <row r="2032" spans="49:50">
      <c r="AW2032" s="273"/>
      <c r="AX2032" s="273"/>
    </row>
    <row r="2033" spans="49:50">
      <c r="AW2033" s="273"/>
      <c r="AX2033" s="273"/>
    </row>
    <row r="2034" spans="49:50">
      <c r="AW2034" s="273"/>
      <c r="AX2034" s="273"/>
    </row>
    <row r="2035" spans="49:50">
      <c r="AW2035" s="273"/>
      <c r="AX2035" s="273"/>
    </row>
    <row r="2036" spans="49:50">
      <c r="AW2036" s="273"/>
      <c r="AX2036" s="273"/>
    </row>
    <row r="2037" spans="49:50">
      <c r="AW2037" s="273"/>
      <c r="AX2037" s="273"/>
    </row>
    <row r="2038" spans="49:50">
      <c r="AW2038" s="273"/>
      <c r="AX2038" s="273"/>
    </row>
    <row r="2039" spans="49:50">
      <c r="AW2039" s="273"/>
      <c r="AX2039" s="273"/>
    </row>
    <row r="2040" spans="49:50">
      <c r="AW2040" s="273"/>
      <c r="AX2040" s="273"/>
    </row>
    <row r="2041" spans="49:50">
      <c r="AW2041" s="273"/>
      <c r="AX2041" s="273"/>
    </row>
    <row r="2042" spans="49:50">
      <c r="AW2042" s="273"/>
      <c r="AX2042" s="273"/>
    </row>
    <row r="2043" spans="49:50">
      <c r="AW2043" s="273"/>
      <c r="AX2043" s="273"/>
    </row>
    <row r="2044" spans="49:50">
      <c r="AW2044" s="273"/>
      <c r="AX2044" s="273"/>
    </row>
    <row r="2045" spans="49:50">
      <c r="AW2045" s="273"/>
      <c r="AX2045" s="273"/>
    </row>
    <row r="2046" spans="49:50">
      <c r="AW2046" s="273"/>
      <c r="AX2046" s="273"/>
    </row>
    <row r="2047" spans="49:50">
      <c r="AW2047" s="273"/>
      <c r="AX2047" s="273"/>
    </row>
    <row r="2048" spans="49:50">
      <c r="AW2048" s="273"/>
      <c r="AX2048" s="273"/>
    </row>
    <row r="2049" spans="49:50">
      <c r="AW2049" s="273"/>
      <c r="AX2049" s="273"/>
    </row>
    <row r="2050" spans="49:50">
      <c r="AW2050" s="273"/>
      <c r="AX2050" s="273"/>
    </row>
    <row r="2051" spans="49:50">
      <c r="AW2051" s="273"/>
      <c r="AX2051" s="273"/>
    </row>
    <row r="2052" spans="49:50">
      <c r="AW2052" s="273"/>
      <c r="AX2052" s="273"/>
    </row>
    <row r="2053" spans="49:50">
      <c r="AW2053" s="273"/>
      <c r="AX2053" s="273"/>
    </row>
    <row r="2054" spans="49:50">
      <c r="AW2054" s="273"/>
      <c r="AX2054" s="273"/>
    </row>
    <row r="2055" spans="49:50">
      <c r="AW2055" s="273"/>
      <c r="AX2055" s="273"/>
    </row>
    <row r="2056" spans="49:50">
      <c r="AW2056" s="273"/>
      <c r="AX2056" s="273"/>
    </row>
    <row r="2057" spans="49:50">
      <c r="AW2057" s="273"/>
      <c r="AX2057" s="273"/>
    </row>
    <row r="2058" spans="49:50">
      <c r="AW2058" s="273"/>
      <c r="AX2058" s="273"/>
    </row>
    <row r="2059" spans="49:50">
      <c r="AW2059" s="273"/>
      <c r="AX2059" s="273"/>
    </row>
    <row r="2060" spans="49:50">
      <c r="AW2060" s="273"/>
      <c r="AX2060" s="273"/>
    </row>
    <row r="2061" spans="49:50">
      <c r="AW2061" s="273"/>
      <c r="AX2061" s="273"/>
    </row>
    <row r="2062" spans="49:50">
      <c r="AW2062" s="273"/>
      <c r="AX2062" s="273"/>
    </row>
    <row r="2063" spans="49:50">
      <c r="AW2063" s="273"/>
      <c r="AX2063" s="273"/>
    </row>
    <row r="2064" spans="49:50">
      <c r="AW2064" s="273"/>
      <c r="AX2064" s="273"/>
    </row>
    <row r="2065" spans="49:50">
      <c r="AW2065" s="273"/>
      <c r="AX2065" s="273"/>
    </row>
    <row r="2066" spans="49:50">
      <c r="AW2066" s="273"/>
      <c r="AX2066" s="273"/>
    </row>
    <row r="2067" spans="49:50">
      <c r="AW2067" s="273"/>
      <c r="AX2067" s="273"/>
    </row>
    <row r="2068" spans="49:50">
      <c r="AW2068" s="273"/>
      <c r="AX2068" s="273"/>
    </row>
    <row r="2069" spans="49:50">
      <c r="AW2069" s="273"/>
      <c r="AX2069" s="273"/>
    </row>
    <row r="2070" spans="49:50">
      <c r="AW2070" s="273"/>
      <c r="AX2070" s="273"/>
    </row>
    <row r="2071" spans="49:50">
      <c r="AW2071" s="273"/>
      <c r="AX2071" s="273"/>
    </row>
    <row r="2072" spans="49:50">
      <c r="AW2072" s="273"/>
      <c r="AX2072" s="273"/>
    </row>
    <row r="2073" spans="49:50">
      <c r="AW2073" s="273"/>
      <c r="AX2073" s="273"/>
    </row>
    <row r="2074" spans="49:50">
      <c r="AW2074" s="273"/>
      <c r="AX2074" s="273"/>
    </row>
    <row r="2075" spans="49:50">
      <c r="AW2075" s="273"/>
      <c r="AX2075" s="273"/>
    </row>
    <row r="2076" spans="49:50">
      <c r="AW2076" s="273"/>
      <c r="AX2076" s="273"/>
    </row>
    <row r="2077" spans="49:50">
      <c r="AW2077" s="273"/>
      <c r="AX2077" s="273"/>
    </row>
    <row r="2078" spans="49:50">
      <c r="AW2078" s="273"/>
      <c r="AX2078" s="273"/>
    </row>
    <row r="2079" spans="49:50">
      <c r="AW2079" s="273"/>
      <c r="AX2079" s="273"/>
    </row>
    <row r="2080" spans="49:50">
      <c r="AW2080" s="273"/>
      <c r="AX2080" s="273"/>
    </row>
    <row r="2081" spans="49:50">
      <c r="AW2081" s="273"/>
      <c r="AX2081" s="273"/>
    </row>
    <row r="2082" spans="49:50">
      <c r="AW2082" s="273"/>
      <c r="AX2082" s="273"/>
    </row>
    <row r="2083" spans="49:50">
      <c r="AW2083" s="273"/>
      <c r="AX2083" s="273"/>
    </row>
    <row r="2084" spans="49:50">
      <c r="AW2084" s="273"/>
      <c r="AX2084" s="273"/>
    </row>
    <row r="2085" spans="49:50">
      <c r="AW2085" s="273"/>
      <c r="AX2085" s="273"/>
    </row>
    <row r="2086" spans="49:50">
      <c r="AW2086" s="273"/>
      <c r="AX2086" s="273"/>
    </row>
    <row r="2087" spans="49:50">
      <c r="AW2087" s="273"/>
      <c r="AX2087" s="273"/>
    </row>
    <row r="2088" spans="49:50">
      <c r="AW2088" s="273"/>
      <c r="AX2088" s="273"/>
    </row>
    <row r="2089" spans="49:50">
      <c r="AW2089" s="273"/>
      <c r="AX2089" s="273"/>
    </row>
    <row r="2090" spans="49:50">
      <c r="AW2090" s="273"/>
      <c r="AX2090" s="273"/>
    </row>
    <row r="2091" spans="49:50">
      <c r="AW2091" s="273"/>
      <c r="AX2091" s="273"/>
    </row>
    <row r="2092" spans="49:50">
      <c r="AW2092" s="273"/>
      <c r="AX2092" s="273"/>
    </row>
    <row r="2093" spans="49:50">
      <c r="AW2093" s="273"/>
      <c r="AX2093" s="273"/>
    </row>
    <row r="2094" spans="49:50">
      <c r="AW2094" s="273"/>
      <c r="AX2094" s="273"/>
    </row>
    <row r="2095" spans="49:50">
      <c r="AW2095" s="273"/>
      <c r="AX2095" s="273"/>
    </row>
    <row r="2096" spans="49:50">
      <c r="AW2096" s="273"/>
      <c r="AX2096" s="273"/>
    </row>
    <row r="2097" spans="49:50">
      <c r="AW2097" s="273"/>
      <c r="AX2097" s="273"/>
    </row>
    <row r="2098" spans="49:50">
      <c r="AW2098" s="273"/>
      <c r="AX2098" s="273"/>
    </row>
    <row r="2099" spans="49:50">
      <c r="AW2099" s="273"/>
      <c r="AX2099" s="273"/>
    </row>
    <row r="2100" spans="49:50">
      <c r="AW2100" s="273"/>
      <c r="AX2100" s="273"/>
    </row>
    <row r="2101" spans="49:50">
      <c r="AW2101" s="273"/>
      <c r="AX2101" s="273"/>
    </row>
    <row r="2102" spans="49:50">
      <c r="AW2102" s="273"/>
      <c r="AX2102" s="273"/>
    </row>
    <row r="2103" spans="49:50">
      <c r="AW2103" s="273"/>
      <c r="AX2103" s="273"/>
    </row>
    <row r="2104" spans="49:50">
      <c r="AW2104" s="273"/>
      <c r="AX2104" s="273"/>
    </row>
    <row r="2105" spans="49:50">
      <c r="AW2105" s="273"/>
      <c r="AX2105" s="273"/>
    </row>
    <row r="2106" spans="49:50">
      <c r="AW2106" s="273"/>
      <c r="AX2106" s="273"/>
    </row>
    <row r="2107" spans="49:50">
      <c r="AW2107" s="273"/>
      <c r="AX2107" s="273"/>
    </row>
    <row r="2108" spans="49:50">
      <c r="AW2108" s="273"/>
      <c r="AX2108" s="273"/>
    </row>
    <row r="2109" spans="49:50">
      <c r="AW2109" s="273"/>
      <c r="AX2109" s="273"/>
    </row>
    <row r="2110" spans="49:50">
      <c r="AW2110" s="273"/>
      <c r="AX2110" s="273"/>
    </row>
  </sheetData>
  <phoneticPr fontId="29" type="noConversion"/>
  <conditionalFormatting sqref="M3:T17">
    <cfRule type="expression" dxfId="56" priority="3">
      <formula xml:space="preserve"> "----------" = $S3</formula>
    </cfRule>
    <cfRule type="expression" dxfId="55" priority="5">
      <formula xml:space="preserve"> "پرداخت شد" = $S3</formula>
    </cfRule>
    <cfRule type="expression" dxfId="54" priority="6">
      <formula xml:space="preserve"> "خریداری شد" = $S3</formula>
    </cfRule>
    <cfRule type="expression" dxfId="53" priority="9">
      <formula xml:space="preserve"> "دریافت شد" = $S3</formula>
    </cfRule>
    <cfRule type="expression" dxfId="52" priority="10">
      <formula xml:space="preserve"> "-" = $S3</formula>
    </cfRule>
    <cfRule type="expression" dxfId="51" priority="11">
      <formula xml:space="preserve"> "S" = $O3</formula>
    </cfRule>
    <cfRule type="expression" dxfId="50" priority="12">
      <formula xml:space="preserve"> "A" = $O3</formula>
    </cfRule>
    <cfRule type="expression" dxfId="49" priority="13">
      <formula xml:space="preserve"> "B" = $O3</formula>
    </cfRule>
    <cfRule type="expression" dxfId="48" priority="14">
      <formula xml:space="preserve"> "C" = $O3</formula>
    </cfRule>
    <cfRule type="expression" dxfId="47" priority="15">
      <formula xml:space="preserve"> "D" = $O3</formula>
    </cfRule>
  </conditionalFormatting>
  <conditionalFormatting sqref="D2:K6">
    <cfRule type="expression" dxfId="46" priority="1">
      <formula xml:space="preserve"> $G2 &lt; 0</formula>
    </cfRule>
    <cfRule type="expression" dxfId="45" priority="2">
      <formula xml:space="preserve"> $G2 &gt; 0</formula>
    </cfRule>
  </conditionalFormatting>
  <dataValidations count="4">
    <dataValidation type="list" allowBlank="1" showInputMessage="1" showErrorMessage="1" sqref="H2:I6" xr:uid="{7C4D5CDD-7D9D-47C2-9180-4D6E95168ACC}">
      <formula1>$A$40:$A$48</formula1>
    </dataValidation>
    <dataValidation type="list" allowBlank="1" showInputMessage="1" showErrorMessage="1" sqref="S3:S17" xr:uid="{2C7D2A96-C1B9-4611-931D-259AA73D83AF}">
      <formula1>$A$33:$A$37</formula1>
    </dataValidation>
    <dataValidation type="list" allowBlank="1" showInputMessage="1" showErrorMessage="1" sqref="O3:O17" xr:uid="{2F72D10B-AACF-4AE1-A583-70AF1F837E9D}">
      <formula1>$A$26:$A$30</formula1>
    </dataValidation>
    <dataValidation type="list" allowBlank="1" showInputMessage="1" showErrorMessage="1" sqref="M3:M17" xr:uid="{F5316012-30E3-49A1-B373-EFEF4D5F4DB9}">
      <formula1>$A$17:$A$23</formula1>
    </dataValidation>
  </dataValidations>
  <hyperlinks>
    <hyperlink ref="A3" location="فهرست!A1" display="فهرست" xr:uid="{87EE3D99-6BCA-49EC-A28E-C3BFE91C1183}"/>
    <hyperlink ref="A4" location="تراکنش‌ها!A1" display="تراکنش‌ها" xr:uid="{10ADEABA-3B3C-469A-9E7F-691B2DA5FAB0}"/>
    <hyperlink ref="T3" r:id="rId1" xr:uid="{861BB459-53CB-4B64-9044-CF02E7B39FC5}"/>
  </hyperlinks>
  <pageMargins left="0.7" right="0.7" top="0.75" bottom="0.75" header="0.3" footer="0.3"/>
  <pageSetup orientation="portrait" r:id="rId2"/>
  <tableParts count="7">
    <tablePart r:id="rId3"/>
    <tablePart r:id="rId4"/>
    <tablePart r:id="rId5"/>
    <tablePart r:id="rId6"/>
    <tablePart r:id="rId7"/>
    <tablePart r:id="rId8"/>
    <tablePart r:id="rId9"/>
  </tablePart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01B98F-4E9C-46F4-9E6F-3A4C8C07D0ED}">
  <sheetPr codeName="Sheet26">
    <tabColor theme="8" tint="-0.499984740745262"/>
  </sheetPr>
  <dimension ref="A1:BI1019"/>
  <sheetViews>
    <sheetView rightToLeft="1" tabSelected="1" topLeftCell="AM1" zoomScaleNormal="60" zoomScaleSheetLayoutView="100" workbookViewId="0">
      <selection activeCell="AU3" sqref="AU3"/>
    </sheetView>
  </sheetViews>
  <sheetFormatPr defaultRowHeight="15"/>
  <cols>
    <col min="1" max="1" width="30" style="339" customWidth="1"/>
    <col min="2" max="2" width="0.7109375" style="124" customWidth="1"/>
    <col min="3" max="3" width="4.5703125" style="298" customWidth="1"/>
    <col min="4" max="4" width="6.85546875" style="298" customWidth="1"/>
    <col min="5" max="7" width="18.28515625" style="298" customWidth="1"/>
    <col min="8" max="8" width="36.5703125" style="298" customWidth="1"/>
    <col min="9" max="9" width="9.140625" style="298" customWidth="1"/>
    <col min="10" max="10" width="18.28515625" style="298" customWidth="1"/>
    <col min="11" max="11" width="21" style="298" customWidth="1"/>
    <col min="12" max="13" width="18.28515625" style="298" customWidth="1"/>
    <col min="14" max="14" width="36.5703125" style="298" customWidth="1"/>
    <col min="15" max="15" width="18.28515625" style="298" customWidth="1"/>
    <col min="16" max="16" width="4.5703125" style="298" customWidth="1"/>
    <col min="17" max="17" width="6.85546875" style="298" customWidth="1"/>
    <col min="18" max="19" width="15.28515625" style="298" customWidth="1"/>
    <col min="20" max="20" width="36.5703125" style="298" customWidth="1"/>
    <col min="21" max="21" width="9.140625" style="298" customWidth="1"/>
    <col min="22" max="22" width="6.85546875" style="298" customWidth="1"/>
    <col min="23" max="28" width="15.28515625" style="298" customWidth="1"/>
    <col min="29" max="29" width="36.5703125" style="298" customWidth="1"/>
    <col min="30" max="30" width="4.5703125" style="298" customWidth="1"/>
    <col min="31" max="31" width="6.85546875" style="391" customWidth="1"/>
    <col min="32" max="33" width="18.28515625" style="390" customWidth="1"/>
    <col min="34" max="34" width="36.5703125" style="390" customWidth="1"/>
    <col min="35" max="36" width="18.28515625" style="390" customWidth="1"/>
    <col min="37" max="37" width="36.5703125" style="390" customWidth="1"/>
    <col min="38" max="38" width="4.5703125" style="298" customWidth="1"/>
    <col min="39" max="39" width="6.85546875" style="298" customWidth="1"/>
    <col min="40" max="41" width="18.28515625" style="298" customWidth="1"/>
    <col min="42" max="44" width="36.5703125" style="298" customWidth="1"/>
    <col min="45" max="46" width="18.28515625" style="298" customWidth="1"/>
    <col min="47" max="47" width="36.5703125" style="298" customWidth="1"/>
    <col min="48" max="48" width="4.5703125" style="298" customWidth="1"/>
    <col min="49" max="49" width="9.140625" style="390"/>
    <col min="50" max="51" width="18.28515625" style="390" customWidth="1"/>
    <col min="52" max="52" width="36.5703125" style="390" customWidth="1"/>
    <col min="53" max="53" width="18.28515625" style="390" customWidth="1"/>
    <col min="54" max="54" width="9.140625" style="391"/>
    <col min="55" max="55" width="24.28515625" style="390" customWidth="1"/>
    <col min="56" max="56" width="18.28515625" style="392" customWidth="1"/>
    <col min="57" max="58" width="20" style="392" customWidth="1"/>
    <col min="59" max="59" width="17.7109375" style="392" customWidth="1"/>
    <col min="60" max="60" width="23" style="391" customWidth="1"/>
    <col min="61" max="61" width="23" style="392" customWidth="1"/>
    <col min="62" max="62" width="25.85546875" style="298" customWidth="1"/>
    <col min="63" max="63" width="36.5703125" style="298" customWidth="1"/>
    <col min="64" max="64" width="0.7109375" style="298" customWidth="1"/>
    <col min="65" max="16384" width="9.140625" style="298"/>
  </cols>
  <sheetData>
    <row r="1" spans="1:61" ht="19.5" customHeight="1">
      <c r="A1" s="340" t="s">
        <v>1110</v>
      </c>
      <c r="D1" s="375" t="s">
        <v>1711</v>
      </c>
      <c r="E1" s="374"/>
      <c r="F1" s="373"/>
      <c r="G1" s="373"/>
      <c r="H1" s="382"/>
      <c r="I1" s="382"/>
      <c r="J1" s="382"/>
      <c r="K1" s="382"/>
      <c r="L1" s="382"/>
      <c r="M1" s="382"/>
      <c r="N1" s="382"/>
      <c r="O1" s="382"/>
      <c r="Q1" s="379" t="s">
        <v>1717</v>
      </c>
      <c r="R1" s="380"/>
      <c r="S1" s="380"/>
      <c r="T1" s="380"/>
      <c r="U1" s="378"/>
      <c r="V1" s="381"/>
      <c r="W1" s="381"/>
      <c r="X1" s="381"/>
      <c r="Y1" s="381"/>
      <c r="Z1" s="381"/>
      <c r="AA1" s="381"/>
      <c r="AB1" s="381"/>
      <c r="AC1" s="381"/>
      <c r="AE1" s="377" t="s">
        <v>1718</v>
      </c>
      <c r="AF1" s="377"/>
      <c r="AG1" s="377"/>
      <c r="AH1" s="377"/>
      <c r="AI1" s="389"/>
      <c r="AJ1" s="389"/>
      <c r="AK1" s="389"/>
      <c r="AM1" s="387" t="s">
        <v>1721</v>
      </c>
      <c r="AN1" s="386"/>
      <c r="AO1" s="386"/>
      <c r="AP1" s="386"/>
      <c r="AQ1" s="388"/>
      <c r="AR1" s="388"/>
      <c r="AS1" s="388"/>
      <c r="AT1" s="388"/>
      <c r="AU1" s="388"/>
    </row>
    <row r="2" spans="1:61">
      <c r="A2" s="124"/>
      <c r="D2" s="67" t="s">
        <v>1</v>
      </c>
      <c r="E2" s="67" t="s">
        <v>0</v>
      </c>
      <c r="F2" s="67" t="s">
        <v>1111</v>
      </c>
      <c r="G2" s="67" t="s">
        <v>1112</v>
      </c>
      <c r="H2" s="67" t="s">
        <v>1113</v>
      </c>
      <c r="I2" s="67" t="s">
        <v>1114</v>
      </c>
      <c r="J2" s="67" t="s">
        <v>1115</v>
      </c>
      <c r="K2" s="67" t="s">
        <v>1116</v>
      </c>
      <c r="L2" s="67" t="s">
        <v>1117</v>
      </c>
      <c r="M2" s="67" t="s">
        <v>1118</v>
      </c>
      <c r="N2" s="67" t="s">
        <v>1119</v>
      </c>
      <c r="O2" s="67" t="s">
        <v>1120</v>
      </c>
      <c r="Q2" s="344" t="s">
        <v>1</v>
      </c>
      <c r="R2" s="344" t="s">
        <v>1111</v>
      </c>
      <c r="S2" s="344" t="s">
        <v>1112</v>
      </c>
      <c r="T2" s="344" t="s">
        <v>1113</v>
      </c>
      <c r="U2" s="344" t="s">
        <v>1084</v>
      </c>
      <c r="V2" s="345" t="s">
        <v>1128</v>
      </c>
      <c r="W2" s="344" t="s">
        <v>1713</v>
      </c>
      <c r="X2" s="346" t="s">
        <v>1712</v>
      </c>
      <c r="Y2" s="346" t="s">
        <v>1714</v>
      </c>
      <c r="Z2" s="346" t="s">
        <v>1715</v>
      </c>
      <c r="AA2" s="346" t="s">
        <v>1716</v>
      </c>
      <c r="AB2" s="347" t="s">
        <v>1129</v>
      </c>
      <c r="AC2" s="347" t="s">
        <v>1119</v>
      </c>
      <c r="AE2" s="341" t="s">
        <v>1</v>
      </c>
      <c r="AF2" s="342" t="s">
        <v>1111</v>
      </c>
      <c r="AG2" s="342" t="s">
        <v>1112</v>
      </c>
      <c r="AH2" s="342" t="s">
        <v>1113</v>
      </c>
      <c r="AI2" s="342" t="s">
        <v>1121</v>
      </c>
      <c r="AJ2" s="342" t="s">
        <v>1122</v>
      </c>
      <c r="AK2" s="342" t="s">
        <v>1119</v>
      </c>
      <c r="AM2" s="343" t="s">
        <v>1</v>
      </c>
      <c r="AN2" s="343" t="s">
        <v>1111</v>
      </c>
      <c r="AO2" s="343" t="s">
        <v>1112</v>
      </c>
      <c r="AP2" s="343" t="s">
        <v>1113</v>
      </c>
      <c r="AQ2" s="343" t="s">
        <v>1123</v>
      </c>
      <c r="AR2" s="343" t="s">
        <v>1124</v>
      </c>
      <c r="AS2" s="343" t="s">
        <v>1125</v>
      </c>
      <c r="AT2" s="343" t="s">
        <v>1126</v>
      </c>
      <c r="AU2" s="343" t="s">
        <v>1127</v>
      </c>
    </row>
    <row r="3" spans="1:61" ht="30">
      <c r="A3" s="9" t="s">
        <v>8</v>
      </c>
      <c r="D3" s="281">
        <v>1</v>
      </c>
      <c r="E3" s="281"/>
      <c r="F3" s="281"/>
      <c r="G3" s="281"/>
      <c r="H3" s="281"/>
      <c r="I3" s="281"/>
      <c r="J3" s="281"/>
      <c r="K3" s="281"/>
      <c r="L3" s="281"/>
      <c r="M3" s="281"/>
      <c r="N3" s="281"/>
      <c r="O3" s="383"/>
      <c r="Q3" s="278"/>
      <c r="R3" s="279"/>
      <c r="S3" s="279"/>
      <c r="T3" s="279"/>
      <c r="U3" s="279"/>
      <c r="V3" s="278"/>
      <c r="W3" s="384"/>
      <c r="X3" s="385">
        <f>IFERROR(Table74[[#This Row],[تعداد]]*Table74[[#This Row],[قیمت واحد]],0)</f>
        <v>0</v>
      </c>
      <c r="Y3" s="384"/>
      <c r="Z3" s="385">
        <f>IFERROR(Table74[[#This Row],[قیمت کل]]-Table74[[#This Row],[مبلغ تهیه شده]],0)</f>
        <v>0</v>
      </c>
      <c r="AA3" s="384"/>
      <c r="AB3" s="279"/>
      <c r="AC3" s="279"/>
      <c r="AE3" s="278"/>
      <c r="AF3" s="279"/>
      <c r="AG3" s="279"/>
      <c r="AH3" s="279"/>
      <c r="AI3" s="279"/>
      <c r="AJ3" s="279"/>
      <c r="AK3" s="279"/>
      <c r="AM3" s="348"/>
      <c r="AN3" s="349"/>
      <c r="AO3" s="349"/>
      <c r="AP3" s="349"/>
      <c r="AQ3" s="349"/>
      <c r="AR3" s="349"/>
      <c r="AS3" s="349"/>
      <c r="AT3" s="349"/>
      <c r="AU3" s="349" t="s">
        <v>1138</v>
      </c>
    </row>
    <row r="4" spans="1:61" ht="18.75">
      <c r="A4" s="197" t="s">
        <v>115</v>
      </c>
      <c r="D4" s="281">
        <v>2</v>
      </c>
      <c r="E4" s="281"/>
      <c r="F4" s="281"/>
      <c r="G4" s="281"/>
      <c r="H4" s="281"/>
      <c r="I4" s="281"/>
      <c r="J4" s="281"/>
      <c r="K4" s="281"/>
      <c r="L4" s="281"/>
      <c r="M4" s="281"/>
      <c r="N4" s="281"/>
      <c r="O4" s="383"/>
      <c r="Q4" s="278"/>
      <c r="R4" s="279"/>
      <c r="S4" s="279"/>
      <c r="T4" s="279"/>
      <c r="U4" s="279"/>
      <c r="V4" s="278"/>
      <c r="W4" s="384"/>
      <c r="X4" s="385">
        <f>IFERROR(Table74[[#This Row],[تعداد]]*Table74[[#This Row],[قیمت واحد]],0)</f>
        <v>0</v>
      </c>
      <c r="Y4" s="384"/>
      <c r="Z4" s="385">
        <f>IFERROR(Table74[[#This Row],[قیمت کل]]-Table74[[#This Row],[مبلغ تهیه شده]],0)</f>
        <v>0</v>
      </c>
      <c r="AA4" s="384"/>
      <c r="AB4" s="279"/>
      <c r="AC4" s="279"/>
      <c r="AE4" s="278"/>
      <c r="AF4" s="279"/>
      <c r="AG4" s="279"/>
      <c r="AH4" s="279"/>
      <c r="AI4" s="279"/>
      <c r="AJ4" s="279"/>
      <c r="AK4" s="279"/>
      <c r="AM4" s="352"/>
      <c r="AN4" s="353"/>
      <c r="AO4" s="353"/>
      <c r="AP4" s="353"/>
      <c r="AQ4" s="353"/>
      <c r="AR4" s="353"/>
      <c r="AS4" s="353"/>
      <c r="AT4" s="353"/>
      <c r="AU4" s="353"/>
    </row>
    <row r="5" spans="1:61" ht="18.75">
      <c r="A5" s="10" t="s">
        <v>102</v>
      </c>
      <c r="D5" s="281">
        <v>3</v>
      </c>
      <c r="E5" s="281"/>
      <c r="F5" s="281"/>
      <c r="G5" s="281"/>
      <c r="H5" s="281"/>
      <c r="I5" s="281"/>
      <c r="J5" s="281"/>
      <c r="K5" s="281"/>
      <c r="L5" s="281"/>
      <c r="M5" s="281"/>
      <c r="N5" s="281"/>
      <c r="O5" s="383"/>
      <c r="Q5" s="278"/>
      <c r="R5" s="279"/>
      <c r="S5" s="279"/>
      <c r="T5" s="279"/>
      <c r="U5" s="279"/>
      <c r="V5" s="278"/>
      <c r="W5" s="384"/>
      <c r="X5" s="385">
        <f>IFERROR(Table74[[#This Row],[تعداد]]*Table74[[#This Row],[قیمت واحد]],0)</f>
        <v>0</v>
      </c>
      <c r="Y5" s="384"/>
      <c r="Z5" s="385">
        <f>IFERROR(Table74[[#This Row],[قیمت کل]]-Table74[[#This Row],[مبلغ تهیه شده]],0)</f>
        <v>0</v>
      </c>
      <c r="AA5" s="384"/>
      <c r="AB5" s="279"/>
      <c r="AC5" s="279"/>
      <c r="AE5" s="278"/>
      <c r="AF5" s="279"/>
      <c r="AG5" s="279"/>
      <c r="AH5" s="279"/>
      <c r="AI5" s="279"/>
      <c r="AJ5" s="279"/>
      <c r="AK5" s="279"/>
      <c r="AM5" s="352"/>
      <c r="AN5" s="353"/>
      <c r="AO5" s="353"/>
      <c r="AP5" s="353"/>
      <c r="AQ5" s="353"/>
      <c r="AR5" s="353"/>
      <c r="AS5" s="353"/>
      <c r="AT5" s="353"/>
      <c r="AU5" s="353"/>
    </row>
    <row r="6" spans="1:61" ht="18.75">
      <c r="A6" s="11" t="s">
        <v>103</v>
      </c>
      <c r="D6" s="281">
        <v>4</v>
      </c>
      <c r="E6" s="281"/>
      <c r="F6" s="281"/>
      <c r="G6" s="281"/>
      <c r="H6" s="281"/>
      <c r="I6" s="281"/>
      <c r="J6" s="281"/>
      <c r="K6" s="281"/>
      <c r="L6" s="281"/>
      <c r="M6" s="281"/>
      <c r="N6" s="281"/>
      <c r="O6" s="383"/>
      <c r="Q6" s="278"/>
      <c r="R6" s="279"/>
      <c r="S6" s="279"/>
      <c r="T6" s="279"/>
      <c r="U6" s="279"/>
      <c r="V6" s="278"/>
      <c r="W6" s="384"/>
      <c r="X6" s="385">
        <f>IFERROR(Table74[[#This Row],[تعداد]]*Table74[[#This Row],[قیمت واحد]],0)</f>
        <v>0</v>
      </c>
      <c r="Y6" s="384"/>
      <c r="Z6" s="385">
        <f>IFERROR(Table74[[#This Row],[قیمت کل]]-Table74[[#This Row],[مبلغ تهیه شده]],0)</f>
        <v>0</v>
      </c>
      <c r="AA6" s="384"/>
      <c r="AB6" s="279"/>
      <c r="AC6" s="279"/>
      <c r="AE6" s="278"/>
      <c r="AF6" s="279"/>
      <c r="AG6" s="279"/>
      <c r="AH6" s="279"/>
      <c r="AI6" s="279"/>
      <c r="AJ6" s="279"/>
      <c r="AK6" s="279"/>
      <c r="AM6" s="352"/>
      <c r="AN6" s="353"/>
      <c r="AO6" s="353"/>
      <c r="AP6" s="353"/>
      <c r="AQ6" s="353"/>
      <c r="AR6" s="353"/>
      <c r="AS6" s="353"/>
      <c r="AT6" s="353"/>
      <c r="AU6" s="353"/>
    </row>
    <row r="7" spans="1:61" ht="18.75">
      <c r="A7" s="33" t="s">
        <v>104</v>
      </c>
      <c r="D7" s="281">
        <v>5</v>
      </c>
      <c r="E7" s="281"/>
      <c r="F7" s="281"/>
      <c r="G7" s="281"/>
      <c r="H7" s="281"/>
      <c r="I7" s="281"/>
      <c r="J7" s="281"/>
      <c r="K7" s="281"/>
      <c r="L7" s="281"/>
      <c r="M7" s="281"/>
      <c r="N7" s="281"/>
      <c r="O7" s="383"/>
      <c r="Q7" s="278"/>
      <c r="R7" s="279"/>
      <c r="S7" s="279"/>
      <c r="T7" s="279"/>
      <c r="U7" s="279"/>
      <c r="V7" s="278"/>
      <c r="W7" s="384"/>
      <c r="X7" s="385">
        <f>IFERROR(Table74[[#This Row],[تعداد]]*Table74[[#This Row],[قیمت واحد]],0)</f>
        <v>0</v>
      </c>
      <c r="Y7" s="384"/>
      <c r="Z7" s="385">
        <f>IFERROR(Table74[[#This Row],[قیمت کل]]-Table74[[#This Row],[مبلغ تهیه شده]],0)</f>
        <v>0</v>
      </c>
      <c r="AA7" s="384"/>
      <c r="AB7" s="279"/>
      <c r="AC7" s="279"/>
      <c r="AE7" s="278"/>
      <c r="AF7" s="279"/>
      <c r="AG7" s="279"/>
      <c r="AH7" s="279"/>
      <c r="AI7" s="279"/>
      <c r="AJ7" s="279"/>
      <c r="AK7" s="279"/>
      <c r="AM7" s="352"/>
      <c r="AN7" s="353"/>
      <c r="AO7" s="353"/>
      <c r="AP7" s="353"/>
      <c r="AQ7" s="353"/>
      <c r="AR7" s="353"/>
      <c r="AS7" s="353"/>
      <c r="AT7" s="353"/>
      <c r="AU7" s="353"/>
    </row>
    <row r="8" spans="1:61" ht="18.75">
      <c r="A8" s="198" t="s">
        <v>110</v>
      </c>
      <c r="D8" s="281">
        <v>6</v>
      </c>
      <c r="E8" s="281"/>
      <c r="F8" s="281"/>
      <c r="G8" s="281"/>
      <c r="H8" s="281"/>
      <c r="I8" s="281"/>
      <c r="J8" s="281"/>
      <c r="K8" s="281"/>
      <c r="L8" s="281"/>
      <c r="M8" s="281"/>
      <c r="N8" s="281"/>
      <c r="O8" s="383"/>
      <c r="Q8" s="278"/>
      <c r="R8" s="279"/>
      <c r="S8" s="279"/>
      <c r="T8" s="279"/>
      <c r="U8" s="279"/>
      <c r="V8" s="278"/>
      <c r="W8" s="384"/>
      <c r="X8" s="385">
        <f>IFERROR(Table74[[#This Row],[تعداد]]*Table74[[#This Row],[قیمت واحد]],0)</f>
        <v>0</v>
      </c>
      <c r="Y8" s="384"/>
      <c r="Z8" s="385">
        <f>IFERROR(Table74[[#This Row],[قیمت کل]]-Table74[[#This Row],[مبلغ تهیه شده]],0)</f>
        <v>0</v>
      </c>
      <c r="AA8" s="384"/>
      <c r="AB8" s="279"/>
      <c r="AC8" s="279"/>
      <c r="AE8" s="278"/>
      <c r="AF8" s="279"/>
      <c r="AG8" s="279"/>
      <c r="AH8" s="279"/>
      <c r="AI8" s="279"/>
      <c r="AJ8" s="279"/>
      <c r="AK8" s="279"/>
      <c r="AM8" s="352"/>
      <c r="AN8" s="353"/>
      <c r="AO8" s="353"/>
      <c r="AP8" s="353"/>
      <c r="AQ8" s="353"/>
      <c r="AR8" s="353"/>
      <c r="AS8" s="353"/>
      <c r="AT8" s="353"/>
      <c r="AU8" s="353"/>
    </row>
    <row r="9" spans="1:61" ht="18.75">
      <c r="A9" s="13" t="s">
        <v>89</v>
      </c>
      <c r="D9" s="281">
        <v>7</v>
      </c>
      <c r="E9" s="281"/>
      <c r="F9" s="281"/>
      <c r="G9" s="281"/>
      <c r="H9" s="281"/>
      <c r="I9" s="281"/>
      <c r="J9" s="281"/>
      <c r="K9" s="281"/>
      <c r="L9" s="281"/>
      <c r="M9" s="281"/>
      <c r="N9" s="281"/>
      <c r="O9" s="383"/>
      <c r="Q9" s="278"/>
      <c r="R9" s="279"/>
      <c r="S9" s="279"/>
      <c r="T9" s="279"/>
      <c r="U9" s="279"/>
      <c r="V9" s="278"/>
      <c r="W9" s="384"/>
      <c r="X9" s="385">
        <f>IFERROR(Table74[[#This Row],[تعداد]]*Table74[[#This Row],[قیمت واحد]],0)</f>
        <v>0</v>
      </c>
      <c r="Y9" s="384"/>
      <c r="Z9" s="385">
        <f>IFERROR(Table74[[#This Row],[قیمت کل]]-Table74[[#This Row],[مبلغ تهیه شده]],0)</f>
        <v>0</v>
      </c>
      <c r="AA9" s="384"/>
      <c r="AB9" s="279"/>
      <c r="AC9" s="279"/>
      <c r="AE9" s="278"/>
      <c r="AF9" s="279"/>
      <c r="AG9" s="279"/>
      <c r="AH9" s="279"/>
      <c r="AI9" s="279"/>
      <c r="AJ9" s="279"/>
      <c r="AK9" s="279"/>
      <c r="AM9" s="352"/>
      <c r="AN9" s="353"/>
      <c r="AO9" s="353"/>
      <c r="AP9" s="353"/>
      <c r="AQ9" s="353"/>
      <c r="AR9" s="353"/>
      <c r="AS9" s="353"/>
      <c r="AT9" s="353"/>
      <c r="AU9" s="353"/>
    </row>
    <row r="10" spans="1:61" ht="18.75">
      <c r="A10" s="199" t="s">
        <v>7</v>
      </c>
      <c r="D10" s="393"/>
      <c r="E10" s="393"/>
      <c r="F10" s="393"/>
      <c r="G10" s="393"/>
      <c r="H10" s="393"/>
      <c r="I10" s="393"/>
      <c r="J10" s="393"/>
      <c r="K10" s="393"/>
      <c r="L10" s="393"/>
      <c r="M10" s="393"/>
      <c r="N10" s="393"/>
      <c r="O10" s="394"/>
      <c r="Q10" s="393"/>
      <c r="R10" s="393"/>
      <c r="S10" s="393"/>
      <c r="T10" s="393"/>
      <c r="U10" s="393"/>
      <c r="V10" s="393"/>
      <c r="W10" s="393"/>
      <c r="X10" s="393"/>
      <c r="Y10" s="393"/>
      <c r="Z10" s="393"/>
      <c r="AA10" s="393"/>
      <c r="AB10" s="393"/>
      <c r="AC10" s="393"/>
      <c r="AE10" s="395"/>
      <c r="AF10" s="396"/>
      <c r="AG10" s="396"/>
      <c r="AH10" s="396"/>
      <c r="AI10" s="396"/>
      <c r="AJ10" s="396"/>
      <c r="AK10" s="396"/>
    </row>
    <row r="11" spans="1:61" ht="18.75">
      <c r="A11" s="14" t="s">
        <v>105</v>
      </c>
      <c r="D11" s="393"/>
      <c r="E11" s="393"/>
      <c r="F11" s="393"/>
      <c r="G11" s="393"/>
      <c r="H11" s="393"/>
      <c r="I11" s="393"/>
      <c r="J11" s="393"/>
      <c r="K11" s="393"/>
      <c r="L11" s="393"/>
      <c r="M11" s="393"/>
      <c r="N11" s="393"/>
      <c r="O11" s="394"/>
      <c r="Q11" s="393"/>
      <c r="R11" s="393"/>
      <c r="S11" s="393"/>
      <c r="T11" s="393"/>
      <c r="U11" s="393"/>
      <c r="V11" s="393"/>
      <c r="W11" s="393"/>
      <c r="X11" s="393"/>
      <c r="Y11" s="393"/>
      <c r="Z11" s="393"/>
      <c r="AA11" s="393"/>
      <c r="AB11" s="393"/>
      <c r="AC11" s="393"/>
      <c r="AE11" s="395"/>
      <c r="AF11" s="396"/>
      <c r="AG11" s="396"/>
      <c r="AH11" s="396"/>
      <c r="AI11" s="396"/>
      <c r="AJ11" s="396"/>
      <c r="AK11" s="396"/>
    </row>
    <row r="12" spans="1:61" ht="18.75">
      <c r="A12" s="15" t="s">
        <v>98</v>
      </c>
      <c r="D12" s="393"/>
      <c r="E12" s="393"/>
      <c r="F12" s="393"/>
      <c r="G12" s="393"/>
      <c r="H12" s="393"/>
      <c r="I12" s="393"/>
      <c r="J12" s="393"/>
      <c r="K12" s="393"/>
      <c r="L12" s="393"/>
      <c r="M12" s="393"/>
      <c r="N12" s="393"/>
      <c r="O12" s="394"/>
      <c r="Q12" s="393"/>
      <c r="R12" s="393"/>
      <c r="S12" s="393"/>
      <c r="T12" s="393"/>
      <c r="U12" s="393"/>
      <c r="V12" s="393"/>
      <c r="W12" s="393"/>
      <c r="X12" s="393"/>
      <c r="Y12" s="393"/>
      <c r="Z12" s="393"/>
      <c r="AA12" s="393"/>
      <c r="AB12" s="393"/>
      <c r="AC12" s="393"/>
      <c r="AE12" s="395"/>
      <c r="AF12" s="396"/>
      <c r="AG12" s="396"/>
      <c r="AH12" s="396"/>
      <c r="AI12" s="396"/>
      <c r="AJ12" s="396"/>
      <c r="AK12" s="396"/>
    </row>
    <row r="13" spans="1:61">
      <c r="A13" s="339" t="s">
        <v>1710</v>
      </c>
      <c r="D13" s="393"/>
      <c r="E13" s="393"/>
      <c r="F13" s="393"/>
      <c r="G13" s="393"/>
      <c r="H13" s="393"/>
      <c r="I13" s="393"/>
      <c r="J13" s="393"/>
      <c r="K13" s="393"/>
      <c r="L13" s="393"/>
      <c r="M13" s="393"/>
      <c r="N13" s="393"/>
      <c r="O13" s="394"/>
      <c r="Q13" s="393"/>
      <c r="R13" s="393"/>
      <c r="S13" s="393"/>
      <c r="T13" s="393"/>
      <c r="U13" s="393"/>
      <c r="V13" s="393"/>
      <c r="W13" s="393"/>
      <c r="X13" s="393"/>
      <c r="Y13" s="393"/>
      <c r="Z13" s="393"/>
      <c r="AA13" s="393"/>
      <c r="AB13" s="393"/>
      <c r="AC13" s="393"/>
      <c r="AE13" s="395"/>
      <c r="AF13" s="396"/>
      <c r="AG13" s="396"/>
      <c r="AH13" s="396"/>
      <c r="AI13" s="396"/>
      <c r="AJ13" s="396"/>
      <c r="AK13" s="396"/>
    </row>
    <row r="14" spans="1:61" ht="15.75">
      <c r="A14" s="350" t="s">
        <v>1157</v>
      </c>
      <c r="D14" s="393"/>
      <c r="E14" s="393"/>
      <c r="F14" s="393"/>
      <c r="G14" s="393"/>
      <c r="H14" s="393"/>
      <c r="I14" s="393"/>
      <c r="J14" s="393"/>
      <c r="K14" s="393"/>
      <c r="L14" s="393"/>
      <c r="M14" s="393"/>
      <c r="N14" s="393"/>
      <c r="O14" s="393"/>
      <c r="Q14" s="393"/>
      <c r="R14" s="393"/>
      <c r="S14" s="393"/>
      <c r="T14" s="393"/>
      <c r="U14" s="393"/>
      <c r="V14" s="393"/>
      <c r="W14" s="393"/>
      <c r="X14" s="393"/>
      <c r="Y14" s="393"/>
      <c r="Z14" s="393"/>
      <c r="AA14" s="393"/>
      <c r="AB14" s="393"/>
      <c r="AC14" s="393"/>
      <c r="AE14" s="395"/>
      <c r="AF14" s="396"/>
      <c r="AG14" s="396"/>
      <c r="AH14" s="396"/>
      <c r="AI14" s="396"/>
      <c r="AJ14" s="396"/>
      <c r="AK14" s="396"/>
    </row>
    <row r="15" spans="1:61">
      <c r="Q15" s="393"/>
      <c r="R15" s="393"/>
      <c r="S15" s="393"/>
      <c r="T15" s="393"/>
      <c r="U15" s="393"/>
      <c r="V15" s="393"/>
      <c r="W15" s="393"/>
      <c r="X15" s="393"/>
      <c r="Y15" s="393"/>
      <c r="Z15" s="393"/>
      <c r="AA15" s="393"/>
      <c r="AB15" s="393"/>
      <c r="AC15" s="393"/>
      <c r="AE15" s="395"/>
      <c r="AF15" s="396"/>
      <c r="AG15" s="396"/>
      <c r="AH15" s="396"/>
      <c r="AI15" s="396"/>
      <c r="AJ15" s="396"/>
      <c r="AK15" s="396"/>
    </row>
    <row r="16" spans="1:61">
      <c r="A16" s="67" t="s">
        <v>1159</v>
      </c>
      <c r="Q16" s="393"/>
      <c r="R16" s="393"/>
      <c r="S16" s="393"/>
      <c r="T16" s="393"/>
      <c r="U16" s="393"/>
      <c r="V16" s="393"/>
      <c r="W16" s="393"/>
      <c r="X16" s="393"/>
      <c r="Y16" s="393"/>
      <c r="Z16" s="393"/>
      <c r="AA16" s="393"/>
      <c r="AB16" s="393"/>
      <c r="AC16" s="393"/>
      <c r="AE16" s="395"/>
      <c r="AF16" s="396"/>
      <c r="AG16" s="396"/>
      <c r="AH16" s="396"/>
      <c r="AI16" s="396"/>
      <c r="AJ16" s="396"/>
      <c r="AK16" s="396"/>
      <c r="AW16" s="298"/>
      <c r="AX16" s="298"/>
      <c r="AY16" s="298"/>
      <c r="AZ16" s="298"/>
      <c r="BA16" s="298"/>
      <c r="BB16" s="298"/>
      <c r="BC16" s="298"/>
      <c r="BD16" s="298"/>
      <c r="BE16" s="298"/>
      <c r="BF16" s="298"/>
      <c r="BG16" s="298"/>
      <c r="BH16" s="298"/>
      <c r="BI16" s="298"/>
    </row>
    <row r="17" spans="1:37" s="298" customFormat="1">
      <c r="A17" s="67" t="s">
        <v>1141</v>
      </c>
      <c r="B17" s="124"/>
      <c r="Q17" s="393"/>
      <c r="R17" s="393"/>
      <c r="S17" s="393"/>
      <c r="T17" s="393"/>
      <c r="U17" s="393"/>
      <c r="V17" s="393"/>
      <c r="W17" s="393"/>
      <c r="X17" s="393"/>
      <c r="Y17" s="393"/>
      <c r="Z17" s="393"/>
      <c r="AA17" s="393"/>
      <c r="AB17" s="393"/>
      <c r="AC17" s="393"/>
      <c r="AE17" s="395"/>
      <c r="AF17" s="396"/>
      <c r="AG17" s="396"/>
      <c r="AH17" s="396"/>
      <c r="AI17" s="396"/>
      <c r="AJ17" s="396"/>
      <c r="AK17" s="396"/>
    </row>
    <row r="18" spans="1:37" s="298" customFormat="1">
      <c r="A18" s="67" t="s">
        <v>1130</v>
      </c>
      <c r="B18" s="124"/>
      <c r="Q18" s="393"/>
      <c r="R18" s="393"/>
      <c r="S18" s="393"/>
      <c r="T18" s="393"/>
      <c r="U18" s="393"/>
      <c r="V18" s="393"/>
      <c r="W18" s="393"/>
      <c r="X18" s="393"/>
      <c r="Y18" s="393"/>
      <c r="Z18" s="393"/>
      <c r="AA18" s="393"/>
      <c r="AB18" s="393"/>
      <c r="AC18" s="393"/>
      <c r="AE18" s="395"/>
      <c r="AF18" s="396"/>
      <c r="AG18" s="396"/>
      <c r="AH18" s="396"/>
      <c r="AI18" s="396"/>
      <c r="AJ18" s="396"/>
      <c r="AK18" s="396"/>
    </row>
    <row r="19" spans="1:37" s="298" customFormat="1">
      <c r="A19" s="339"/>
      <c r="B19" s="124"/>
      <c r="Q19" s="393"/>
      <c r="R19" s="393"/>
      <c r="S19" s="393"/>
      <c r="T19" s="393"/>
      <c r="U19" s="393"/>
      <c r="V19" s="393"/>
      <c r="W19" s="393"/>
      <c r="X19" s="393"/>
      <c r="Y19" s="393"/>
      <c r="Z19" s="393"/>
      <c r="AA19" s="393"/>
      <c r="AB19" s="393"/>
      <c r="AC19" s="393"/>
      <c r="AE19" s="395"/>
      <c r="AF19" s="396"/>
      <c r="AG19" s="396"/>
      <c r="AH19" s="396"/>
      <c r="AI19" s="396"/>
      <c r="AJ19" s="396"/>
      <c r="AK19" s="396"/>
    </row>
    <row r="20" spans="1:37" s="298" customFormat="1">
      <c r="A20" s="67" t="s">
        <v>1161</v>
      </c>
      <c r="B20" s="124"/>
      <c r="Q20" s="393"/>
      <c r="R20" s="393"/>
      <c r="S20" s="393"/>
      <c r="T20" s="393"/>
      <c r="U20" s="393"/>
      <c r="V20" s="393"/>
      <c r="W20" s="393"/>
      <c r="X20" s="393"/>
      <c r="Y20" s="393"/>
      <c r="Z20" s="393"/>
      <c r="AA20" s="393"/>
      <c r="AB20" s="393"/>
      <c r="AC20" s="393"/>
      <c r="AE20" s="395"/>
      <c r="AF20" s="396"/>
      <c r="AG20" s="396"/>
      <c r="AH20" s="396"/>
      <c r="AI20" s="396"/>
      <c r="AJ20" s="396"/>
      <c r="AK20" s="396"/>
    </row>
    <row r="21" spans="1:37" s="298" customFormat="1">
      <c r="A21" s="67" t="s">
        <v>1142</v>
      </c>
      <c r="B21" s="124"/>
      <c r="Q21" s="393"/>
      <c r="R21" s="393"/>
      <c r="S21" s="393"/>
      <c r="T21" s="393"/>
      <c r="U21" s="393"/>
      <c r="V21" s="393"/>
      <c r="W21" s="393"/>
      <c r="X21" s="393"/>
      <c r="Y21" s="393"/>
      <c r="Z21" s="393"/>
      <c r="AA21" s="393"/>
      <c r="AB21" s="393"/>
      <c r="AC21" s="393"/>
      <c r="AE21" s="395"/>
      <c r="AF21" s="396"/>
      <c r="AG21" s="396"/>
      <c r="AH21" s="396"/>
      <c r="AI21" s="396"/>
      <c r="AJ21" s="396"/>
      <c r="AK21" s="396"/>
    </row>
    <row r="22" spans="1:37" s="298" customFormat="1">
      <c r="A22" s="67" t="s">
        <v>1162</v>
      </c>
      <c r="B22" s="124"/>
      <c r="Q22" s="393"/>
      <c r="R22" s="393"/>
      <c r="S22" s="393"/>
      <c r="T22" s="393"/>
      <c r="U22" s="393"/>
      <c r="V22" s="393"/>
      <c r="W22" s="393"/>
      <c r="X22" s="393"/>
      <c r="Y22" s="393"/>
      <c r="Z22" s="393"/>
      <c r="AA22" s="393"/>
      <c r="AB22" s="393"/>
      <c r="AC22" s="393"/>
      <c r="AE22" s="395"/>
      <c r="AF22" s="396"/>
      <c r="AG22" s="396"/>
      <c r="AH22" s="396"/>
      <c r="AI22" s="396"/>
      <c r="AJ22" s="396"/>
      <c r="AK22" s="396"/>
    </row>
    <row r="23" spans="1:37" s="298" customFormat="1">
      <c r="A23" s="67" t="s">
        <v>1164</v>
      </c>
      <c r="B23" s="124"/>
      <c r="Q23" s="393"/>
      <c r="R23" s="393"/>
      <c r="S23" s="393"/>
      <c r="T23" s="393"/>
      <c r="U23" s="393"/>
      <c r="V23" s="393"/>
      <c r="W23" s="393"/>
      <c r="X23" s="393"/>
      <c r="Y23" s="393"/>
      <c r="Z23" s="393"/>
      <c r="AA23" s="393"/>
      <c r="AB23" s="393"/>
      <c r="AC23" s="393"/>
      <c r="AE23" s="395"/>
      <c r="AF23" s="396"/>
      <c r="AG23" s="396"/>
      <c r="AH23" s="396"/>
      <c r="AI23" s="396"/>
      <c r="AJ23" s="396"/>
      <c r="AK23" s="396"/>
    </row>
    <row r="24" spans="1:37" s="298" customFormat="1">
      <c r="A24" s="339"/>
      <c r="B24" s="124"/>
      <c r="Q24" s="393"/>
      <c r="R24" s="393"/>
      <c r="S24" s="393"/>
      <c r="T24" s="393"/>
      <c r="U24" s="393"/>
      <c r="V24" s="393"/>
      <c r="W24" s="393"/>
      <c r="X24" s="393"/>
      <c r="Y24" s="393"/>
      <c r="Z24" s="393"/>
      <c r="AA24" s="393"/>
      <c r="AB24" s="393"/>
      <c r="AC24" s="393"/>
      <c r="AE24" s="395"/>
      <c r="AF24" s="396"/>
      <c r="AG24" s="396"/>
      <c r="AH24" s="396"/>
      <c r="AI24" s="396"/>
      <c r="AJ24" s="396"/>
      <c r="AK24" s="396"/>
    </row>
    <row r="25" spans="1:37" s="298" customFormat="1">
      <c r="A25" s="339" t="s">
        <v>1719</v>
      </c>
      <c r="B25" s="124"/>
      <c r="Q25" s="393"/>
      <c r="R25" s="393"/>
      <c r="S25" s="393"/>
      <c r="T25" s="393"/>
      <c r="U25" s="393"/>
      <c r="V25" s="393"/>
      <c r="W25" s="393"/>
      <c r="X25" s="393"/>
      <c r="Y25" s="393"/>
      <c r="Z25" s="393"/>
      <c r="AA25" s="393"/>
      <c r="AB25" s="393"/>
      <c r="AC25" s="393"/>
      <c r="AE25" s="395"/>
      <c r="AF25" s="396"/>
      <c r="AG25" s="396"/>
      <c r="AH25" s="396"/>
      <c r="AI25" s="396"/>
      <c r="AJ25" s="396"/>
      <c r="AK25" s="396"/>
    </row>
    <row r="26" spans="1:37" s="298" customFormat="1">
      <c r="A26" s="339" t="s">
        <v>1720</v>
      </c>
      <c r="B26" s="124"/>
      <c r="Q26" s="393"/>
      <c r="R26" s="393"/>
      <c r="S26" s="393"/>
      <c r="T26" s="393"/>
      <c r="U26" s="393"/>
      <c r="V26" s="393"/>
      <c r="W26" s="393"/>
      <c r="X26" s="393"/>
      <c r="Y26" s="393"/>
      <c r="Z26" s="393"/>
      <c r="AA26" s="393"/>
      <c r="AB26" s="393"/>
      <c r="AC26" s="393"/>
      <c r="AE26" s="395"/>
      <c r="AF26" s="396"/>
      <c r="AG26" s="396"/>
      <c r="AH26" s="396"/>
      <c r="AI26" s="396"/>
      <c r="AJ26" s="396"/>
      <c r="AK26" s="396"/>
    </row>
    <row r="27" spans="1:37" s="298" customFormat="1">
      <c r="A27" s="67" t="s">
        <v>1168</v>
      </c>
      <c r="B27" s="124"/>
      <c r="Q27" s="393"/>
      <c r="R27" s="393"/>
      <c r="S27" s="393"/>
      <c r="T27" s="393"/>
      <c r="U27" s="393"/>
      <c r="V27" s="393"/>
      <c r="W27" s="393"/>
      <c r="X27" s="393"/>
      <c r="Y27" s="393"/>
      <c r="Z27" s="393"/>
      <c r="AA27" s="393"/>
      <c r="AB27" s="393"/>
      <c r="AC27" s="393"/>
      <c r="AE27" s="395"/>
      <c r="AF27" s="396"/>
      <c r="AG27" s="396"/>
      <c r="AH27" s="396"/>
      <c r="AI27" s="396"/>
      <c r="AJ27" s="396"/>
      <c r="AK27" s="396"/>
    </row>
    <row r="28" spans="1:37" s="298" customFormat="1">
      <c r="A28" s="67" t="s">
        <v>1169</v>
      </c>
      <c r="B28" s="124"/>
      <c r="Q28" s="393"/>
      <c r="R28" s="393"/>
      <c r="S28" s="393"/>
      <c r="T28" s="393"/>
      <c r="U28" s="393"/>
      <c r="V28" s="393"/>
      <c r="W28" s="393"/>
      <c r="X28" s="393"/>
      <c r="Y28" s="393"/>
      <c r="Z28" s="393"/>
      <c r="AA28" s="393"/>
      <c r="AB28" s="393"/>
      <c r="AC28" s="393"/>
      <c r="AE28" s="395"/>
      <c r="AF28" s="396"/>
      <c r="AG28" s="396"/>
      <c r="AH28" s="396"/>
      <c r="AI28" s="396"/>
      <c r="AJ28" s="396"/>
      <c r="AK28" s="396"/>
    </row>
    <row r="29" spans="1:37" s="298" customFormat="1">
      <c r="A29" s="67" t="s">
        <v>1131</v>
      </c>
      <c r="B29" s="124"/>
      <c r="Q29" s="393"/>
      <c r="R29" s="393"/>
      <c r="S29" s="393"/>
      <c r="T29" s="393"/>
      <c r="U29" s="393"/>
      <c r="V29" s="393"/>
      <c r="W29" s="393"/>
      <c r="X29" s="393"/>
      <c r="Y29" s="393"/>
      <c r="Z29" s="393"/>
      <c r="AA29" s="393"/>
      <c r="AB29" s="393"/>
      <c r="AC29" s="393"/>
      <c r="AE29" s="395"/>
      <c r="AF29" s="396"/>
      <c r="AG29" s="396"/>
      <c r="AH29" s="396"/>
      <c r="AI29" s="396"/>
      <c r="AJ29" s="396"/>
      <c r="AK29" s="396"/>
    </row>
    <row r="30" spans="1:37" s="298" customFormat="1">
      <c r="A30" s="67" t="s">
        <v>1170</v>
      </c>
      <c r="B30" s="124"/>
      <c r="Q30" s="393"/>
      <c r="R30" s="393"/>
      <c r="S30" s="393"/>
      <c r="T30" s="393"/>
      <c r="U30" s="393"/>
      <c r="V30" s="393"/>
      <c r="W30" s="393"/>
      <c r="X30" s="393"/>
      <c r="Y30" s="393"/>
      <c r="Z30" s="393"/>
      <c r="AA30" s="393"/>
      <c r="AB30" s="393"/>
      <c r="AC30" s="393"/>
      <c r="AE30" s="395"/>
      <c r="AF30" s="396"/>
      <c r="AG30" s="396"/>
      <c r="AH30" s="396"/>
      <c r="AI30" s="396"/>
      <c r="AJ30" s="396"/>
      <c r="AK30" s="396"/>
    </row>
    <row r="31" spans="1:37" s="298" customFormat="1">
      <c r="A31" s="67" t="s">
        <v>1171</v>
      </c>
      <c r="B31" s="124"/>
      <c r="Q31" s="393"/>
      <c r="R31" s="393"/>
      <c r="S31" s="393"/>
      <c r="T31" s="393"/>
      <c r="U31" s="393"/>
      <c r="V31" s="393"/>
      <c r="W31" s="393"/>
      <c r="X31" s="393"/>
      <c r="Y31" s="393"/>
      <c r="Z31" s="393"/>
      <c r="AA31" s="393"/>
      <c r="AB31" s="393"/>
      <c r="AC31" s="393"/>
      <c r="AE31" s="395"/>
      <c r="AF31" s="396"/>
      <c r="AG31" s="396"/>
      <c r="AH31" s="396"/>
      <c r="AI31" s="396"/>
      <c r="AJ31" s="396"/>
      <c r="AK31" s="396"/>
    </row>
    <row r="32" spans="1:37" s="298" customFormat="1">
      <c r="A32" s="67" t="s">
        <v>1172</v>
      </c>
      <c r="B32" s="124"/>
      <c r="Q32" s="393"/>
      <c r="R32" s="393"/>
      <c r="S32" s="393"/>
      <c r="T32" s="393"/>
      <c r="U32" s="393"/>
      <c r="V32" s="393"/>
      <c r="W32" s="393"/>
      <c r="X32" s="393"/>
      <c r="Y32" s="393"/>
      <c r="Z32" s="393"/>
      <c r="AA32" s="393"/>
      <c r="AB32" s="393"/>
      <c r="AC32" s="393"/>
      <c r="AE32" s="395"/>
      <c r="AF32" s="396"/>
      <c r="AG32" s="396"/>
      <c r="AH32" s="396"/>
      <c r="AI32" s="396"/>
      <c r="AJ32" s="396"/>
      <c r="AK32" s="396"/>
    </row>
    <row r="33" spans="1:37" s="298" customFormat="1">
      <c r="A33" s="67" t="s">
        <v>1148</v>
      </c>
      <c r="B33" s="124"/>
      <c r="Q33" s="393"/>
      <c r="R33" s="393"/>
      <c r="S33" s="393"/>
      <c r="T33" s="393"/>
      <c r="U33" s="393"/>
      <c r="V33" s="393"/>
      <c r="W33" s="393"/>
      <c r="X33" s="393"/>
      <c r="Y33" s="393"/>
      <c r="Z33" s="393"/>
      <c r="AA33" s="393"/>
      <c r="AB33" s="393"/>
      <c r="AC33" s="393"/>
      <c r="AE33" s="395"/>
      <c r="AF33" s="396"/>
      <c r="AG33" s="396"/>
      <c r="AH33" s="396"/>
      <c r="AI33" s="396"/>
      <c r="AJ33" s="396"/>
      <c r="AK33" s="396"/>
    </row>
    <row r="34" spans="1:37" s="298" customFormat="1">
      <c r="A34" s="339"/>
      <c r="B34" s="124"/>
      <c r="Q34" s="393"/>
      <c r="R34" s="393"/>
      <c r="S34" s="393"/>
      <c r="T34" s="393"/>
      <c r="U34" s="393"/>
      <c r="V34" s="393"/>
      <c r="W34" s="393"/>
      <c r="X34" s="393"/>
      <c r="Y34" s="393"/>
      <c r="Z34" s="393"/>
      <c r="AA34" s="393"/>
      <c r="AB34" s="393"/>
      <c r="AC34" s="393"/>
      <c r="AE34" s="395"/>
      <c r="AF34" s="396"/>
      <c r="AG34" s="396"/>
      <c r="AH34" s="396"/>
      <c r="AI34" s="396"/>
      <c r="AJ34" s="396"/>
      <c r="AK34" s="396"/>
    </row>
    <row r="35" spans="1:37" s="298" customFormat="1">
      <c r="A35" s="339"/>
      <c r="B35" s="339"/>
      <c r="Q35" s="393"/>
      <c r="R35" s="393"/>
      <c r="S35" s="393"/>
      <c r="T35" s="393"/>
      <c r="U35" s="393"/>
      <c r="V35" s="393"/>
      <c r="W35" s="393"/>
      <c r="X35" s="393"/>
      <c r="Y35" s="393"/>
      <c r="Z35" s="393"/>
      <c r="AA35" s="393"/>
      <c r="AB35" s="393"/>
      <c r="AC35" s="393"/>
      <c r="AE35" s="395"/>
      <c r="AF35" s="396"/>
      <c r="AG35" s="396"/>
      <c r="AH35" s="396"/>
      <c r="AI35" s="396"/>
      <c r="AJ35" s="396"/>
      <c r="AK35" s="396"/>
    </row>
    <row r="36" spans="1:37" s="298" customFormat="1">
      <c r="A36" s="339"/>
      <c r="B36" s="339"/>
      <c r="Q36" s="393"/>
      <c r="R36" s="393"/>
      <c r="S36" s="393"/>
      <c r="T36" s="393"/>
      <c r="U36" s="393"/>
      <c r="V36" s="393"/>
      <c r="W36" s="393"/>
      <c r="X36" s="393"/>
      <c r="Y36" s="393"/>
      <c r="Z36" s="393"/>
      <c r="AA36" s="393"/>
      <c r="AB36" s="393"/>
      <c r="AC36" s="393"/>
      <c r="AE36" s="395"/>
      <c r="AF36" s="396"/>
      <c r="AG36" s="396"/>
      <c r="AH36" s="396"/>
      <c r="AI36" s="396"/>
      <c r="AJ36" s="396"/>
      <c r="AK36" s="396"/>
    </row>
    <row r="37" spans="1:37" s="298" customFormat="1">
      <c r="A37" s="67" t="s">
        <v>1122</v>
      </c>
      <c r="B37" s="339"/>
      <c r="Q37" s="393"/>
      <c r="R37" s="393"/>
      <c r="S37" s="393"/>
      <c r="T37" s="393"/>
      <c r="U37" s="393"/>
      <c r="V37" s="393"/>
      <c r="W37" s="393"/>
      <c r="X37" s="393"/>
      <c r="Y37" s="393"/>
      <c r="Z37" s="393"/>
      <c r="AA37" s="393"/>
      <c r="AB37" s="393"/>
      <c r="AC37" s="393"/>
      <c r="AE37" s="395"/>
      <c r="AF37" s="396"/>
      <c r="AG37" s="396"/>
      <c r="AH37" s="396"/>
      <c r="AI37" s="396"/>
      <c r="AJ37" s="396"/>
      <c r="AK37" s="396"/>
    </row>
    <row r="38" spans="1:37" s="298" customFormat="1">
      <c r="A38" s="67" t="s">
        <v>1150</v>
      </c>
      <c r="B38" s="339"/>
      <c r="Q38" s="393"/>
      <c r="R38" s="393"/>
      <c r="S38" s="393"/>
      <c r="T38" s="393"/>
      <c r="U38" s="393"/>
      <c r="V38" s="393"/>
      <c r="W38" s="393"/>
      <c r="X38" s="393"/>
      <c r="Y38" s="393"/>
      <c r="Z38" s="393"/>
      <c r="AA38" s="393"/>
      <c r="AB38" s="393"/>
      <c r="AC38" s="393"/>
      <c r="AE38" s="395"/>
      <c r="AF38" s="396"/>
      <c r="AG38" s="396"/>
      <c r="AH38" s="396"/>
      <c r="AI38" s="396"/>
      <c r="AJ38" s="396"/>
      <c r="AK38" s="396"/>
    </row>
    <row r="39" spans="1:37" s="298" customFormat="1">
      <c r="A39" s="67" t="s">
        <v>1136</v>
      </c>
      <c r="B39" s="351"/>
      <c r="Q39" s="393"/>
      <c r="R39" s="393"/>
      <c r="S39" s="393"/>
      <c r="T39" s="393"/>
      <c r="U39" s="393"/>
      <c r="V39" s="393"/>
      <c r="W39" s="393"/>
      <c r="X39" s="393"/>
      <c r="Y39" s="393"/>
      <c r="Z39" s="393"/>
      <c r="AA39" s="393"/>
      <c r="AB39" s="393"/>
      <c r="AC39" s="393"/>
      <c r="AE39" s="395"/>
      <c r="AF39" s="396"/>
      <c r="AG39" s="396"/>
      <c r="AH39" s="396"/>
      <c r="AI39" s="396"/>
      <c r="AJ39" s="396"/>
      <c r="AK39" s="396"/>
    </row>
    <row r="40" spans="1:37" s="298" customFormat="1">
      <c r="A40" s="67" t="s">
        <v>1173</v>
      </c>
      <c r="B40" s="351"/>
      <c r="Q40" s="393"/>
      <c r="R40" s="393"/>
      <c r="S40" s="393"/>
      <c r="T40" s="393"/>
      <c r="U40" s="393"/>
      <c r="V40" s="393"/>
      <c r="W40" s="393"/>
      <c r="X40" s="393"/>
      <c r="Y40" s="393"/>
      <c r="Z40" s="393"/>
      <c r="AA40" s="393"/>
      <c r="AB40" s="393"/>
      <c r="AC40" s="393"/>
      <c r="AE40" s="395"/>
      <c r="AF40" s="396"/>
      <c r="AG40" s="396"/>
      <c r="AH40" s="396"/>
      <c r="AI40" s="396"/>
      <c r="AJ40" s="396"/>
      <c r="AK40" s="396"/>
    </row>
    <row r="41" spans="1:37" s="298" customFormat="1" ht="30">
      <c r="A41" s="67" t="s">
        <v>1174</v>
      </c>
      <c r="B41" s="351"/>
      <c r="Q41" s="393"/>
      <c r="R41" s="393"/>
      <c r="S41" s="393"/>
      <c r="T41" s="393"/>
      <c r="U41" s="393"/>
      <c r="V41" s="393"/>
      <c r="W41" s="393"/>
      <c r="X41" s="393"/>
      <c r="Y41" s="393"/>
      <c r="Z41" s="393"/>
      <c r="AA41" s="393"/>
      <c r="AB41" s="393"/>
      <c r="AC41" s="393"/>
      <c r="AE41" s="395"/>
      <c r="AF41" s="396"/>
      <c r="AG41" s="396"/>
      <c r="AH41" s="396"/>
      <c r="AI41" s="396"/>
      <c r="AJ41" s="396"/>
      <c r="AK41" s="396"/>
    </row>
    <row r="42" spans="1:37" s="298" customFormat="1">
      <c r="A42" s="67" t="s">
        <v>1175</v>
      </c>
      <c r="B42" s="351"/>
      <c r="Q42" s="393"/>
      <c r="R42" s="393"/>
      <c r="S42" s="393"/>
      <c r="T42" s="393"/>
      <c r="U42" s="393"/>
      <c r="V42" s="393"/>
      <c r="W42" s="393"/>
      <c r="X42" s="393"/>
      <c r="Y42" s="393"/>
      <c r="Z42" s="393"/>
      <c r="AA42" s="393"/>
      <c r="AB42" s="393"/>
      <c r="AC42" s="393"/>
      <c r="AE42" s="395"/>
      <c r="AF42" s="396"/>
      <c r="AG42" s="396"/>
      <c r="AH42" s="396"/>
      <c r="AI42" s="396"/>
      <c r="AJ42" s="396"/>
      <c r="AK42" s="396"/>
    </row>
    <row r="43" spans="1:37" s="298" customFormat="1">
      <c r="A43" s="67" t="s">
        <v>1176</v>
      </c>
      <c r="B43" s="351"/>
      <c r="Q43" s="393"/>
      <c r="R43" s="393"/>
      <c r="S43" s="393"/>
      <c r="T43" s="393"/>
      <c r="U43" s="393"/>
      <c r="V43" s="393"/>
      <c r="W43" s="393"/>
      <c r="X43" s="393"/>
      <c r="Y43" s="393"/>
      <c r="Z43" s="393"/>
      <c r="AA43" s="393"/>
      <c r="AB43" s="393"/>
      <c r="AC43" s="393"/>
      <c r="AE43" s="395"/>
      <c r="AF43" s="396"/>
      <c r="AG43" s="396"/>
      <c r="AH43" s="396"/>
      <c r="AI43" s="396"/>
      <c r="AJ43" s="396"/>
      <c r="AK43" s="396"/>
    </row>
    <row r="44" spans="1:37" s="298" customFormat="1">
      <c r="A44" s="67" t="s">
        <v>1177</v>
      </c>
      <c r="B44" s="124"/>
      <c r="Q44" s="393"/>
      <c r="R44" s="393"/>
      <c r="S44" s="393"/>
      <c r="T44" s="393"/>
      <c r="U44" s="393"/>
      <c r="V44" s="393"/>
      <c r="W44" s="393"/>
      <c r="X44" s="393"/>
      <c r="Y44" s="393"/>
      <c r="Z44" s="393"/>
      <c r="AA44" s="393"/>
      <c r="AB44" s="393"/>
      <c r="AC44" s="393"/>
      <c r="AE44" s="395"/>
      <c r="AF44" s="396"/>
      <c r="AG44" s="396"/>
      <c r="AH44" s="396"/>
      <c r="AI44" s="396"/>
      <c r="AJ44" s="396"/>
      <c r="AK44" s="396"/>
    </row>
    <row r="45" spans="1:37" s="298" customFormat="1">
      <c r="A45" s="67" t="s">
        <v>1178</v>
      </c>
      <c r="B45" s="124"/>
      <c r="Q45" s="393"/>
      <c r="R45" s="393"/>
      <c r="S45" s="393"/>
      <c r="T45" s="393"/>
      <c r="U45" s="393"/>
      <c r="V45" s="393"/>
      <c r="W45" s="393"/>
      <c r="X45" s="393"/>
      <c r="Y45" s="393"/>
      <c r="Z45" s="393"/>
      <c r="AA45" s="393"/>
      <c r="AB45" s="393"/>
      <c r="AC45" s="393"/>
      <c r="AE45" s="395"/>
      <c r="AF45" s="396"/>
      <c r="AG45" s="396"/>
      <c r="AH45" s="396"/>
      <c r="AI45" s="396"/>
      <c r="AJ45" s="396"/>
      <c r="AK45" s="396"/>
    </row>
    <row r="46" spans="1:37" s="298" customFormat="1">
      <c r="A46" s="339"/>
      <c r="B46" s="124"/>
      <c r="Q46" s="393"/>
      <c r="R46" s="393"/>
      <c r="S46" s="393"/>
      <c r="T46" s="393"/>
      <c r="U46" s="393"/>
      <c r="V46" s="393"/>
      <c r="W46" s="393"/>
      <c r="X46" s="393"/>
      <c r="Y46" s="393"/>
      <c r="Z46" s="393"/>
      <c r="AA46" s="393"/>
      <c r="AB46" s="393"/>
      <c r="AC46" s="393"/>
      <c r="AE46" s="395"/>
      <c r="AF46" s="396"/>
      <c r="AG46" s="396"/>
      <c r="AH46" s="396"/>
      <c r="AI46" s="396"/>
      <c r="AJ46" s="396"/>
      <c r="AK46" s="396"/>
    </row>
    <row r="47" spans="1:37" s="298" customFormat="1">
      <c r="A47" s="351"/>
      <c r="B47" s="124"/>
      <c r="Q47" s="393"/>
      <c r="R47" s="393"/>
      <c r="S47" s="393"/>
      <c r="T47" s="393"/>
      <c r="U47" s="393"/>
      <c r="V47" s="393"/>
      <c r="W47" s="393"/>
      <c r="X47" s="393"/>
      <c r="Y47" s="393"/>
      <c r="Z47" s="393"/>
      <c r="AA47" s="393"/>
      <c r="AB47" s="393"/>
      <c r="AC47" s="393"/>
      <c r="AE47" s="391"/>
      <c r="AF47" s="390"/>
      <c r="AG47" s="390"/>
      <c r="AH47" s="390"/>
      <c r="AI47" s="390"/>
      <c r="AJ47" s="390"/>
      <c r="AK47" s="390"/>
    </row>
    <row r="48" spans="1:37" s="298" customFormat="1">
      <c r="A48" s="351"/>
      <c r="B48" s="124"/>
      <c r="Q48" s="393"/>
      <c r="R48" s="393"/>
      <c r="S48" s="393"/>
      <c r="T48" s="393"/>
      <c r="U48" s="393"/>
      <c r="V48" s="393"/>
      <c r="W48" s="393"/>
      <c r="X48" s="393"/>
      <c r="Y48" s="393"/>
      <c r="Z48" s="393"/>
      <c r="AA48" s="393"/>
      <c r="AB48" s="393"/>
      <c r="AC48" s="393"/>
      <c r="AE48" s="391"/>
      <c r="AF48" s="390"/>
      <c r="AG48" s="390"/>
      <c r="AH48" s="390"/>
      <c r="AI48" s="390"/>
      <c r="AJ48" s="390"/>
      <c r="AK48" s="390"/>
    </row>
    <row r="49" spans="1:37" s="298" customFormat="1">
      <c r="A49" s="67" t="s">
        <v>1125</v>
      </c>
      <c r="B49" s="124"/>
      <c r="Q49" s="393"/>
      <c r="R49" s="393"/>
      <c r="S49" s="393"/>
      <c r="T49" s="393"/>
      <c r="U49" s="393"/>
      <c r="V49" s="393"/>
      <c r="W49" s="393"/>
      <c r="X49" s="393"/>
      <c r="Y49" s="393"/>
      <c r="Z49" s="393"/>
      <c r="AA49" s="393"/>
      <c r="AB49" s="393"/>
      <c r="AC49" s="393"/>
      <c r="AE49" s="391"/>
      <c r="AF49" s="390"/>
      <c r="AG49" s="390"/>
      <c r="AH49" s="390"/>
      <c r="AI49" s="390"/>
      <c r="AJ49" s="390"/>
      <c r="AK49" s="390"/>
    </row>
    <row r="50" spans="1:37" s="298" customFormat="1">
      <c r="A50" s="67" t="s">
        <v>1137</v>
      </c>
      <c r="B50" s="124"/>
      <c r="Q50" s="393"/>
      <c r="R50" s="393"/>
      <c r="S50" s="393"/>
      <c r="T50" s="393"/>
      <c r="U50" s="393"/>
      <c r="V50" s="393"/>
      <c r="W50" s="393"/>
      <c r="X50" s="393"/>
      <c r="Y50" s="393"/>
      <c r="Z50" s="393"/>
      <c r="AA50" s="393"/>
      <c r="AB50" s="393"/>
      <c r="AC50" s="393"/>
      <c r="AE50" s="391"/>
      <c r="AF50" s="390"/>
      <c r="AG50" s="390"/>
      <c r="AH50" s="390"/>
      <c r="AI50" s="390"/>
      <c r="AJ50" s="390"/>
      <c r="AK50" s="390"/>
    </row>
    <row r="51" spans="1:37" s="298" customFormat="1">
      <c r="A51" s="67" t="s">
        <v>1179</v>
      </c>
      <c r="B51" s="124"/>
      <c r="Q51" s="393"/>
      <c r="R51" s="393"/>
      <c r="S51" s="393"/>
      <c r="T51" s="393"/>
      <c r="U51" s="393"/>
      <c r="V51" s="393"/>
      <c r="W51" s="393"/>
      <c r="X51" s="393"/>
      <c r="Y51" s="393"/>
      <c r="Z51" s="393"/>
      <c r="AA51" s="393"/>
      <c r="AB51" s="393"/>
      <c r="AC51" s="393"/>
      <c r="AE51" s="391"/>
      <c r="AF51" s="390"/>
      <c r="AG51" s="390"/>
      <c r="AH51" s="390"/>
      <c r="AI51" s="390"/>
      <c r="AJ51" s="390"/>
      <c r="AK51" s="390"/>
    </row>
    <row r="52" spans="1:37" s="298" customFormat="1">
      <c r="A52" s="67" t="s">
        <v>1152</v>
      </c>
      <c r="B52" s="124"/>
      <c r="Q52" s="393"/>
      <c r="R52" s="393"/>
      <c r="S52" s="393"/>
      <c r="T52" s="393"/>
      <c r="U52" s="393"/>
      <c r="V52" s="393"/>
      <c r="W52" s="393"/>
      <c r="X52" s="393"/>
      <c r="Y52" s="393"/>
      <c r="Z52" s="393"/>
      <c r="AA52" s="393"/>
      <c r="AB52" s="393"/>
      <c r="AC52" s="393"/>
      <c r="AE52" s="391"/>
      <c r="AF52" s="390"/>
      <c r="AG52" s="390"/>
      <c r="AH52" s="390"/>
      <c r="AI52" s="390"/>
      <c r="AJ52" s="390"/>
      <c r="AK52" s="390"/>
    </row>
    <row r="53" spans="1:37" s="298" customFormat="1">
      <c r="A53" s="67" t="s">
        <v>1180</v>
      </c>
      <c r="B53" s="124"/>
      <c r="Q53" s="393"/>
      <c r="R53" s="393"/>
      <c r="S53" s="393"/>
      <c r="T53" s="393"/>
      <c r="U53" s="393"/>
      <c r="V53" s="393"/>
      <c r="W53" s="393"/>
      <c r="X53" s="393"/>
      <c r="Y53" s="393"/>
      <c r="Z53" s="393"/>
      <c r="AA53" s="393"/>
      <c r="AB53" s="393"/>
      <c r="AC53" s="393"/>
      <c r="AE53" s="391"/>
      <c r="AF53" s="390"/>
      <c r="AG53" s="390"/>
      <c r="AH53" s="390"/>
      <c r="AI53" s="390"/>
      <c r="AJ53" s="390"/>
      <c r="AK53" s="390"/>
    </row>
    <row r="54" spans="1:37" s="298" customFormat="1">
      <c r="A54" s="339"/>
      <c r="B54" s="124"/>
      <c r="Q54" s="393"/>
      <c r="R54" s="393"/>
      <c r="S54" s="393"/>
      <c r="T54" s="393"/>
      <c r="U54" s="393"/>
      <c r="V54" s="393"/>
      <c r="W54" s="393"/>
      <c r="X54" s="393"/>
      <c r="Y54" s="393"/>
      <c r="Z54" s="393"/>
      <c r="AA54" s="393"/>
      <c r="AB54" s="393"/>
      <c r="AC54" s="393"/>
      <c r="AE54" s="391"/>
      <c r="AF54" s="390"/>
      <c r="AG54" s="390"/>
      <c r="AH54" s="390"/>
      <c r="AI54" s="390"/>
      <c r="AJ54" s="390"/>
      <c r="AK54" s="390"/>
    </row>
    <row r="55" spans="1:37" s="298" customFormat="1">
      <c r="A55" s="339"/>
      <c r="B55" s="124"/>
      <c r="Q55" s="393"/>
      <c r="R55" s="393"/>
      <c r="S55" s="393"/>
      <c r="T55" s="393"/>
      <c r="U55" s="393"/>
      <c r="V55" s="393"/>
      <c r="W55" s="393"/>
      <c r="X55" s="393"/>
      <c r="Y55" s="393"/>
      <c r="Z55" s="393"/>
      <c r="AA55" s="393"/>
      <c r="AB55" s="393"/>
      <c r="AC55" s="393"/>
      <c r="AE55" s="391"/>
      <c r="AF55" s="390"/>
      <c r="AG55" s="390"/>
      <c r="AH55" s="390"/>
      <c r="AI55" s="390"/>
      <c r="AJ55" s="390"/>
      <c r="AK55" s="390"/>
    </row>
    <row r="56" spans="1:37" s="298" customFormat="1">
      <c r="A56" s="339"/>
      <c r="B56" s="124"/>
      <c r="Q56" s="393"/>
      <c r="R56" s="393"/>
      <c r="S56" s="393"/>
      <c r="T56" s="393"/>
      <c r="U56" s="393"/>
      <c r="V56" s="393"/>
      <c r="W56" s="393"/>
      <c r="X56" s="393"/>
      <c r="Y56" s="393"/>
      <c r="Z56" s="393"/>
      <c r="AA56" s="393"/>
      <c r="AB56" s="393"/>
      <c r="AC56" s="393"/>
      <c r="AE56" s="391"/>
      <c r="AF56" s="390"/>
      <c r="AG56" s="390"/>
      <c r="AH56" s="390"/>
      <c r="AI56" s="390"/>
      <c r="AJ56" s="390"/>
      <c r="AK56" s="390"/>
    </row>
    <row r="57" spans="1:37" s="298" customFormat="1">
      <c r="A57" s="67" t="s">
        <v>1129</v>
      </c>
      <c r="B57" s="124"/>
      <c r="Q57" s="393"/>
      <c r="R57" s="393"/>
      <c r="S57" s="393"/>
      <c r="T57" s="393"/>
      <c r="U57" s="393"/>
      <c r="V57" s="393"/>
      <c r="W57" s="393"/>
      <c r="X57" s="393"/>
      <c r="Y57" s="393"/>
      <c r="Z57" s="393"/>
      <c r="AA57" s="393"/>
      <c r="AB57" s="393"/>
      <c r="AC57" s="393"/>
      <c r="AE57" s="391"/>
      <c r="AF57" s="390"/>
      <c r="AG57" s="390"/>
      <c r="AH57" s="390"/>
      <c r="AI57" s="390"/>
      <c r="AJ57" s="390"/>
      <c r="AK57" s="390"/>
    </row>
    <row r="58" spans="1:37" s="298" customFormat="1">
      <c r="A58" s="67" t="s">
        <v>123</v>
      </c>
      <c r="B58" s="124"/>
      <c r="Q58" s="393"/>
      <c r="R58" s="393"/>
      <c r="S58" s="393"/>
      <c r="T58" s="393"/>
      <c r="U58" s="393"/>
      <c r="V58" s="393"/>
      <c r="W58" s="393"/>
      <c r="X58" s="393"/>
      <c r="Y58" s="393"/>
      <c r="Z58" s="393"/>
      <c r="AA58" s="393"/>
      <c r="AB58" s="393"/>
      <c r="AC58" s="393"/>
      <c r="AE58" s="391"/>
      <c r="AF58" s="390"/>
      <c r="AG58" s="390"/>
      <c r="AH58" s="390"/>
      <c r="AI58" s="390"/>
      <c r="AJ58" s="390"/>
      <c r="AK58" s="390"/>
    </row>
    <row r="59" spans="1:37" s="298" customFormat="1">
      <c r="A59" s="67" t="s">
        <v>1181</v>
      </c>
      <c r="B59" s="124"/>
      <c r="Q59" s="393"/>
      <c r="R59" s="393"/>
      <c r="S59" s="393"/>
      <c r="T59" s="393"/>
      <c r="U59" s="393"/>
      <c r="V59" s="393"/>
      <c r="W59" s="393"/>
      <c r="X59" s="393"/>
      <c r="Y59" s="393"/>
      <c r="Z59" s="393"/>
      <c r="AA59" s="393"/>
      <c r="AB59" s="393"/>
      <c r="AC59" s="393"/>
      <c r="AE59" s="391"/>
      <c r="AF59" s="390"/>
      <c r="AG59" s="390"/>
      <c r="AH59" s="390"/>
      <c r="AI59" s="390"/>
      <c r="AJ59" s="390"/>
      <c r="AK59" s="390"/>
    </row>
    <row r="60" spans="1:37" s="298" customFormat="1">
      <c r="A60" s="67" t="s">
        <v>1182</v>
      </c>
      <c r="B60" s="124"/>
      <c r="Q60" s="393"/>
      <c r="R60" s="393"/>
      <c r="S60" s="393"/>
      <c r="T60" s="393"/>
      <c r="U60" s="393"/>
      <c r="V60" s="393"/>
      <c r="W60" s="393"/>
      <c r="X60" s="393"/>
      <c r="Y60" s="393"/>
      <c r="Z60" s="393"/>
      <c r="AA60" s="393"/>
      <c r="AB60" s="393"/>
      <c r="AC60" s="393"/>
      <c r="AE60" s="391"/>
      <c r="AF60" s="390"/>
      <c r="AG60" s="390"/>
      <c r="AH60" s="390"/>
      <c r="AI60" s="390"/>
      <c r="AJ60" s="390"/>
      <c r="AK60" s="390"/>
    </row>
    <row r="61" spans="1:37" s="298" customFormat="1">
      <c r="A61" s="67" t="s">
        <v>1154</v>
      </c>
      <c r="B61" s="124"/>
      <c r="Q61" s="393"/>
      <c r="R61" s="393"/>
      <c r="S61" s="393"/>
      <c r="T61" s="393"/>
      <c r="U61" s="393"/>
      <c r="V61" s="393"/>
      <c r="W61" s="393"/>
      <c r="X61" s="393"/>
      <c r="Y61" s="393"/>
      <c r="Z61" s="393"/>
      <c r="AA61" s="393"/>
      <c r="AB61" s="393"/>
      <c r="AC61" s="393"/>
      <c r="AE61" s="391"/>
      <c r="AF61" s="390"/>
      <c r="AG61" s="390"/>
      <c r="AH61" s="390"/>
      <c r="AI61" s="390"/>
      <c r="AJ61" s="390"/>
      <c r="AK61" s="390"/>
    </row>
    <row r="62" spans="1:37" s="298" customFormat="1">
      <c r="A62" s="67" t="s">
        <v>1140</v>
      </c>
      <c r="B62" s="124"/>
      <c r="Q62" s="393"/>
      <c r="R62" s="393"/>
      <c r="S62" s="393"/>
      <c r="T62" s="393"/>
      <c r="U62" s="393"/>
      <c r="V62" s="393"/>
      <c r="W62" s="393"/>
      <c r="X62" s="393"/>
      <c r="Y62" s="393"/>
      <c r="Z62" s="393"/>
      <c r="AA62" s="393"/>
      <c r="AB62" s="393"/>
      <c r="AC62" s="393"/>
      <c r="AE62" s="391"/>
      <c r="AF62" s="390"/>
      <c r="AG62" s="390"/>
      <c r="AH62" s="390"/>
      <c r="AI62" s="390"/>
      <c r="AJ62" s="390"/>
      <c r="AK62" s="390"/>
    </row>
    <row r="63" spans="1:37" s="298" customFormat="1">
      <c r="A63" s="339"/>
      <c r="B63" s="124"/>
      <c r="Q63" s="393"/>
      <c r="R63" s="393"/>
      <c r="S63" s="393"/>
      <c r="T63" s="393"/>
      <c r="U63" s="393"/>
      <c r="V63" s="393"/>
      <c r="W63" s="393"/>
      <c r="X63" s="393"/>
      <c r="Y63" s="393"/>
      <c r="Z63" s="393"/>
      <c r="AA63" s="393"/>
      <c r="AB63" s="393"/>
      <c r="AC63" s="393"/>
      <c r="AE63" s="391"/>
      <c r="AF63" s="390"/>
      <c r="AG63" s="390"/>
      <c r="AH63" s="390"/>
      <c r="AI63" s="390"/>
      <c r="AJ63" s="390"/>
      <c r="AK63" s="390"/>
    </row>
    <row r="64" spans="1:37" s="298" customFormat="1">
      <c r="A64" s="339"/>
      <c r="B64" s="124"/>
      <c r="Q64" s="393"/>
      <c r="R64" s="393"/>
      <c r="S64" s="393"/>
      <c r="T64" s="393"/>
      <c r="U64" s="393"/>
      <c r="V64" s="393"/>
      <c r="W64" s="393"/>
      <c r="X64" s="393"/>
      <c r="Y64" s="393"/>
      <c r="Z64" s="393"/>
      <c r="AA64" s="393"/>
      <c r="AB64" s="393"/>
      <c r="AC64" s="393"/>
      <c r="AE64" s="391"/>
      <c r="AF64" s="390"/>
      <c r="AG64" s="390"/>
      <c r="AH64" s="390"/>
      <c r="AI64" s="390"/>
      <c r="AJ64" s="390"/>
      <c r="AK64" s="390"/>
    </row>
    <row r="65" spans="1:37" s="298" customFormat="1">
      <c r="A65" s="67" t="s">
        <v>1183</v>
      </c>
      <c r="B65" s="124"/>
      <c r="Q65" s="393"/>
      <c r="R65" s="393"/>
      <c r="S65" s="393"/>
      <c r="T65" s="393"/>
      <c r="U65" s="393"/>
      <c r="V65" s="393"/>
      <c r="W65" s="393"/>
      <c r="X65" s="393"/>
      <c r="Y65" s="393"/>
      <c r="Z65" s="393"/>
      <c r="AA65" s="393"/>
      <c r="AB65" s="393"/>
      <c r="AC65" s="393"/>
      <c r="AE65" s="391"/>
      <c r="AF65" s="390"/>
      <c r="AG65" s="390"/>
      <c r="AH65" s="390"/>
      <c r="AI65" s="390"/>
      <c r="AJ65" s="390"/>
      <c r="AK65" s="390"/>
    </row>
    <row r="66" spans="1:37" s="298" customFormat="1">
      <c r="A66" s="67" t="s">
        <v>1184</v>
      </c>
      <c r="B66" s="124"/>
      <c r="Q66" s="393"/>
      <c r="R66" s="393"/>
      <c r="S66" s="393"/>
      <c r="T66" s="393"/>
      <c r="U66" s="393"/>
      <c r="V66" s="393"/>
      <c r="W66" s="393"/>
      <c r="X66" s="393"/>
      <c r="Y66" s="393"/>
      <c r="Z66" s="393"/>
      <c r="AA66" s="393"/>
      <c r="AB66" s="393"/>
      <c r="AC66" s="393"/>
      <c r="AE66" s="391"/>
      <c r="AF66" s="390"/>
      <c r="AG66" s="390"/>
      <c r="AH66" s="390"/>
      <c r="AI66" s="390"/>
      <c r="AJ66" s="390"/>
      <c r="AK66" s="390"/>
    </row>
    <row r="67" spans="1:37" s="298" customFormat="1">
      <c r="A67" s="67" t="s">
        <v>1151</v>
      </c>
      <c r="B67" s="124"/>
      <c r="Q67" s="393"/>
      <c r="R67" s="393"/>
      <c r="S67" s="393"/>
      <c r="T67" s="393"/>
      <c r="U67" s="393"/>
      <c r="V67" s="393"/>
      <c r="W67" s="393"/>
      <c r="X67" s="393"/>
      <c r="Y67" s="393"/>
      <c r="Z67" s="393"/>
      <c r="AA67" s="393"/>
      <c r="AB67" s="393"/>
      <c r="AC67" s="393"/>
      <c r="AE67" s="391"/>
      <c r="AF67" s="390"/>
      <c r="AG67" s="390"/>
      <c r="AH67" s="390"/>
      <c r="AI67" s="390"/>
      <c r="AJ67" s="390"/>
      <c r="AK67" s="390"/>
    </row>
    <row r="68" spans="1:37" s="298" customFormat="1">
      <c r="A68" s="67" t="s">
        <v>1144</v>
      </c>
      <c r="B68" s="124"/>
      <c r="Q68" s="393"/>
      <c r="R68" s="393"/>
      <c r="S68" s="393"/>
      <c r="T68" s="393"/>
      <c r="U68" s="393"/>
      <c r="V68" s="393"/>
      <c r="W68" s="393"/>
      <c r="X68" s="393"/>
      <c r="Y68" s="393"/>
      <c r="Z68" s="393"/>
      <c r="AA68" s="393"/>
      <c r="AB68" s="393"/>
      <c r="AC68" s="393"/>
      <c r="AE68" s="391"/>
      <c r="AF68" s="390"/>
      <c r="AG68" s="390"/>
      <c r="AH68" s="390"/>
      <c r="AI68" s="390"/>
      <c r="AJ68" s="390"/>
      <c r="AK68" s="390"/>
    </row>
    <row r="69" spans="1:37" s="298" customFormat="1">
      <c r="A69" s="67" t="s">
        <v>1139</v>
      </c>
      <c r="B69" s="124"/>
      <c r="Q69" s="393"/>
      <c r="R69" s="393"/>
      <c r="S69" s="393"/>
      <c r="T69" s="393"/>
      <c r="U69" s="393"/>
      <c r="V69" s="393"/>
      <c r="W69" s="393"/>
      <c r="X69" s="393"/>
      <c r="Y69" s="393"/>
      <c r="Z69" s="393"/>
      <c r="AA69" s="393"/>
      <c r="AB69" s="393"/>
      <c r="AC69" s="393"/>
      <c r="AE69" s="391"/>
      <c r="AF69" s="390"/>
      <c r="AG69" s="390"/>
      <c r="AH69" s="390"/>
      <c r="AI69" s="390"/>
      <c r="AJ69" s="390"/>
      <c r="AK69" s="390"/>
    </row>
    <row r="70" spans="1:37" s="298" customFormat="1">
      <c r="A70" s="67" t="s">
        <v>1147</v>
      </c>
      <c r="B70" s="124"/>
      <c r="Q70" s="393"/>
      <c r="R70" s="393"/>
      <c r="S70" s="393"/>
      <c r="T70" s="393"/>
      <c r="U70" s="393"/>
      <c r="V70" s="393"/>
      <c r="W70" s="393"/>
      <c r="X70" s="393"/>
      <c r="Y70" s="393"/>
      <c r="Z70" s="393"/>
      <c r="AA70" s="393"/>
      <c r="AB70" s="393"/>
      <c r="AC70" s="393"/>
      <c r="AE70" s="391"/>
      <c r="AF70" s="390"/>
      <c r="AG70" s="390"/>
      <c r="AH70" s="390"/>
      <c r="AI70" s="390"/>
      <c r="AJ70" s="390"/>
      <c r="AK70" s="390"/>
    </row>
    <row r="71" spans="1:37" s="298" customFormat="1">
      <c r="A71" s="339"/>
      <c r="B71" s="124"/>
      <c r="Q71" s="393"/>
      <c r="R71" s="393"/>
      <c r="S71" s="393"/>
      <c r="T71" s="393"/>
      <c r="U71" s="393"/>
      <c r="V71" s="393"/>
      <c r="W71" s="393"/>
      <c r="X71" s="393"/>
      <c r="Y71" s="393"/>
      <c r="Z71" s="393"/>
      <c r="AA71" s="393"/>
      <c r="AB71" s="393"/>
      <c r="AC71" s="393"/>
      <c r="AE71" s="391"/>
      <c r="AF71" s="390"/>
      <c r="AG71" s="390"/>
      <c r="AH71" s="390"/>
      <c r="AI71" s="390"/>
      <c r="AJ71" s="390"/>
      <c r="AK71" s="390"/>
    </row>
    <row r="72" spans="1:37" s="298" customFormat="1">
      <c r="A72" s="339"/>
      <c r="B72" s="124"/>
      <c r="Q72" s="393"/>
      <c r="R72" s="393"/>
      <c r="S72" s="393"/>
      <c r="T72" s="393"/>
      <c r="U72" s="393"/>
      <c r="V72" s="393"/>
      <c r="W72" s="393"/>
      <c r="X72" s="393"/>
      <c r="Y72" s="393"/>
      <c r="Z72" s="393"/>
      <c r="AA72" s="393"/>
      <c r="AB72" s="393"/>
      <c r="AC72" s="393"/>
      <c r="AE72" s="391"/>
      <c r="AF72" s="390"/>
      <c r="AG72" s="390"/>
      <c r="AH72" s="390"/>
      <c r="AI72" s="390"/>
      <c r="AJ72" s="390"/>
      <c r="AK72" s="390"/>
    </row>
    <row r="73" spans="1:37" s="298" customFormat="1">
      <c r="A73" s="339"/>
      <c r="B73" s="124"/>
      <c r="Q73" s="393"/>
      <c r="R73" s="393"/>
      <c r="S73" s="393"/>
      <c r="T73" s="393"/>
      <c r="U73" s="393"/>
      <c r="V73" s="393"/>
      <c r="W73" s="393"/>
      <c r="X73" s="393"/>
      <c r="Y73" s="393"/>
      <c r="Z73" s="393"/>
      <c r="AA73" s="393"/>
      <c r="AB73" s="393"/>
      <c r="AC73" s="393"/>
      <c r="AE73" s="391"/>
      <c r="AF73" s="390"/>
      <c r="AG73" s="390"/>
      <c r="AH73" s="390"/>
      <c r="AI73" s="390"/>
      <c r="AJ73" s="390"/>
      <c r="AK73" s="390"/>
    </row>
    <row r="74" spans="1:37" s="298" customFormat="1">
      <c r="A74" s="339"/>
      <c r="B74" s="124"/>
      <c r="Q74" s="393"/>
      <c r="R74" s="393"/>
      <c r="S74" s="393"/>
      <c r="T74" s="393"/>
      <c r="U74" s="393"/>
      <c r="V74" s="393"/>
      <c r="W74" s="393"/>
      <c r="X74" s="393"/>
      <c r="Y74" s="393"/>
      <c r="Z74" s="393"/>
      <c r="AA74" s="393"/>
      <c r="AB74" s="393"/>
      <c r="AC74" s="393"/>
      <c r="AE74" s="391"/>
      <c r="AF74" s="390"/>
      <c r="AG74" s="390"/>
      <c r="AH74" s="390"/>
      <c r="AI74" s="390"/>
      <c r="AJ74" s="390"/>
      <c r="AK74" s="390"/>
    </row>
    <row r="75" spans="1:37" s="298" customFormat="1">
      <c r="A75" s="67" t="s">
        <v>100</v>
      </c>
      <c r="B75" s="124"/>
      <c r="Q75" s="393"/>
      <c r="R75" s="393"/>
      <c r="S75" s="393"/>
      <c r="T75" s="393"/>
      <c r="U75" s="393"/>
      <c r="V75" s="393"/>
      <c r="W75" s="393"/>
      <c r="X75" s="393"/>
      <c r="Y75" s="393"/>
      <c r="Z75" s="393"/>
      <c r="AA75" s="393"/>
      <c r="AB75" s="393"/>
      <c r="AC75" s="393"/>
      <c r="AE75" s="391"/>
      <c r="AF75" s="390"/>
      <c r="AG75" s="390"/>
      <c r="AH75" s="390"/>
      <c r="AI75" s="390"/>
      <c r="AJ75" s="390"/>
      <c r="AK75" s="390"/>
    </row>
    <row r="76" spans="1:37" s="298" customFormat="1">
      <c r="A76" s="58" t="s">
        <v>1185</v>
      </c>
      <c r="B76" s="124"/>
      <c r="Q76" s="393"/>
      <c r="R76" s="393"/>
      <c r="S76" s="393"/>
      <c r="T76" s="393"/>
      <c r="U76" s="393"/>
      <c r="V76" s="393"/>
      <c r="W76" s="393"/>
      <c r="X76" s="393"/>
      <c r="Y76" s="393"/>
      <c r="Z76" s="393"/>
      <c r="AA76" s="393"/>
      <c r="AB76" s="393"/>
      <c r="AC76" s="393"/>
      <c r="AE76" s="391"/>
      <c r="AF76" s="390"/>
      <c r="AG76" s="390"/>
      <c r="AH76" s="390"/>
      <c r="AI76" s="390"/>
      <c r="AJ76" s="390"/>
      <c r="AK76" s="390"/>
    </row>
    <row r="77" spans="1:37" s="298" customFormat="1" ht="45">
      <c r="A77" s="58" t="s">
        <v>1186</v>
      </c>
      <c r="B77" s="124"/>
      <c r="Q77" s="393"/>
      <c r="R77" s="393"/>
      <c r="S77" s="393"/>
      <c r="T77" s="393"/>
      <c r="U77" s="393"/>
      <c r="V77" s="393"/>
      <c r="W77" s="393"/>
      <c r="X77" s="393"/>
      <c r="Y77" s="393"/>
      <c r="Z77" s="393"/>
      <c r="AA77" s="393"/>
      <c r="AB77" s="393"/>
      <c r="AC77" s="393"/>
      <c r="AE77" s="391"/>
      <c r="AF77" s="390"/>
      <c r="AG77" s="390"/>
      <c r="AH77" s="390"/>
      <c r="AI77" s="390"/>
      <c r="AJ77" s="390"/>
      <c r="AK77" s="390"/>
    </row>
    <row r="78" spans="1:37" s="298" customFormat="1">
      <c r="A78" s="58" t="s">
        <v>1187</v>
      </c>
      <c r="B78" s="124"/>
      <c r="Q78" s="393"/>
      <c r="R78" s="393"/>
      <c r="S78" s="393"/>
      <c r="T78" s="393"/>
      <c r="U78" s="393"/>
      <c r="V78" s="393"/>
      <c r="W78" s="393"/>
      <c r="X78" s="393"/>
      <c r="Y78" s="393"/>
      <c r="Z78" s="393"/>
      <c r="AA78" s="393"/>
      <c r="AB78" s="393"/>
      <c r="AC78" s="393"/>
      <c r="AE78" s="391"/>
      <c r="AF78" s="390"/>
      <c r="AG78" s="390"/>
      <c r="AH78" s="390"/>
      <c r="AI78" s="390"/>
      <c r="AJ78" s="390"/>
      <c r="AK78" s="390"/>
    </row>
    <row r="79" spans="1:37" s="298" customFormat="1" ht="45">
      <c r="A79" s="67" t="s">
        <v>1188</v>
      </c>
      <c r="B79" s="124"/>
      <c r="Q79" s="393"/>
      <c r="R79" s="393"/>
      <c r="S79" s="393"/>
      <c r="T79" s="393"/>
      <c r="U79" s="393"/>
      <c r="V79" s="393"/>
      <c r="W79" s="393"/>
      <c r="X79" s="393"/>
      <c r="Y79" s="393"/>
      <c r="Z79" s="393"/>
      <c r="AA79" s="393"/>
      <c r="AB79" s="393"/>
      <c r="AC79" s="393"/>
      <c r="AE79" s="391"/>
      <c r="AF79" s="390"/>
      <c r="AG79" s="390"/>
      <c r="AH79" s="390"/>
      <c r="AI79" s="390"/>
      <c r="AJ79" s="390"/>
      <c r="AK79" s="390"/>
    </row>
    <row r="80" spans="1:37" s="298" customFormat="1">
      <c r="A80" s="339"/>
      <c r="B80" s="124"/>
      <c r="Q80" s="393"/>
      <c r="R80" s="393"/>
      <c r="S80" s="393"/>
      <c r="T80" s="393"/>
      <c r="U80" s="393"/>
      <c r="V80" s="393"/>
      <c r="W80" s="393"/>
      <c r="X80" s="393"/>
      <c r="Y80" s="393"/>
      <c r="Z80" s="393"/>
      <c r="AA80" s="393"/>
      <c r="AB80" s="393"/>
      <c r="AC80" s="393"/>
      <c r="AE80" s="391"/>
      <c r="AF80" s="390"/>
      <c r="AG80" s="390"/>
      <c r="AH80" s="390"/>
      <c r="AI80" s="390"/>
      <c r="AJ80" s="390"/>
      <c r="AK80" s="390"/>
    </row>
    <row r="81" spans="1:37" s="298" customFormat="1">
      <c r="A81" s="339"/>
      <c r="B81" s="124"/>
      <c r="Q81" s="393"/>
      <c r="R81" s="393"/>
      <c r="S81" s="393"/>
      <c r="T81" s="393"/>
      <c r="U81" s="393"/>
      <c r="V81" s="393"/>
      <c r="W81" s="393"/>
      <c r="X81" s="393"/>
      <c r="Y81" s="393"/>
      <c r="Z81" s="393"/>
      <c r="AA81" s="393"/>
      <c r="AB81" s="393"/>
      <c r="AC81" s="393"/>
      <c r="AE81" s="391"/>
      <c r="AF81" s="390"/>
      <c r="AG81" s="390"/>
      <c r="AH81" s="390"/>
      <c r="AI81" s="390"/>
      <c r="AJ81" s="390"/>
      <c r="AK81" s="390"/>
    </row>
    <row r="82" spans="1:37" s="298" customFormat="1">
      <c r="A82" s="339"/>
      <c r="B82" s="124"/>
      <c r="Q82" s="393"/>
      <c r="R82" s="393"/>
      <c r="S82" s="393"/>
      <c r="T82" s="393"/>
      <c r="U82" s="393"/>
      <c r="V82" s="393"/>
      <c r="W82" s="393"/>
      <c r="X82" s="393"/>
      <c r="Y82" s="393"/>
      <c r="Z82" s="393"/>
      <c r="AA82" s="393"/>
      <c r="AB82" s="393"/>
      <c r="AC82" s="393"/>
      <c r="AE82" s="391"/>
      <c r="AF82" s="390"/>
      <c r="AG82" s="390"/>
      <c r="AH82" s="390"/>
      <c r="AI82" s="390"/>
      <c r="AJ82" s="390"/>
      <c r="AK82" s="390"/>
    </row>
    <row r="83" spans="1:37" s="298" customFormat="1">
      <c r="A83" s="354" t="s">
        <v>1189</v>
      </c>
      <c r="B83" s="124"/>
      <c r="Q83" s="393"/>
      <c r="R83" s="393"/>
      <c r="S83" s="393"/>
      <c r="T83" s="393"/>
      <c r="U83" s="393"/>
      <c r="V83" s="393"/>
      <c r="W83" s="393"/>
      <c r="X83" s="393"/>
      <c r="Y83" s="393"/>
      <c r="Z83" s="393"/>
      <c r="AA83" s="393"/>
      <c r="AB83" s="393"/>
      <c r="AC83" s="393"/>
      <c r="AE83" s="391"/>
      <c r="AF83" s="390"/>
      <c r="AG83" s="390"/>
      <c r="AH83" s="390"/>
      <c r="AI83" s="390"/>
      <c r="AJ83" s="390"/>
      <c r="AK83" s="390"/>
    </row>
    <row r="84" spans="1:37" s="298" customFormat="1">
      <c r="A84" s="354" t="s">
        <v>1190</v>
      </c>
      <c r="B84" s="124"/>
      <c r="Q84" s="393"/>
      <c r="R84" s="393"/>
      <c r="S84" s="393"/>
      <c r="T84" s="393"/>
      <c r="U84" s="393"/>
      <c r="V84" s="393"/>
      <c r="W84" s="393"/>
      <c r="X84" s="393"/>
      <c r="Y84" s="393"/>
      <c r="Z84" s="393"/>
      <c r="AA84" s="393"/>
      <c r="AB84" s="393"/>
      <c r="AC84" s="393"/>
      <c r="AE84" s="391"/>
      <c r="AF84" s="390"/>
      <c r="AG84" s="390"/>
      <c r="AH84" s="390"/>
      <c r="AI84" s="390"/>
      <c r="AJ84" s="390"/>
      <c r="AK84" s="390"/>
    </row>
    <row r="85" spans="1:37" s="298" customFormat="1">
      <c r="A85" s="354" t="s">
        <v>1191</v>
      </c>
      <c r="B85" s="124"/>
      <c r="Q85" s="393"/>
      <c r="R85" s="393"/>
      <c r="S85" s="393"/>
      <c r="T85" s="393"/>
      <c r="U85" s="393"/>
      <c r="V85" s="393"/>
      <c r="W85" s="393"/>
      <c r="X85" s="393"/>
      <c r="Y85" s="393"/>
      <c r="Z85" s="393"/>
      <c r="AA85" s="393"/>
      <c r="AB85" s="393"/>
      <c r="AC85" s="393"/>
      <c r="AE85" s="391"/>
      <c r="AF85" s="390"/>
      <c r="AG85" s="390"/>
      <c r="AH85" s="390"/>
      <c r="AI85" s="390"/>
      <c r="AJ85" s="390"/>
      <c r="AK85" s="390"/>
    </row>
    <row r="86" spans="1:37" s="298" customFormat="1">
      <c r="A86" s="354" t="s">
        <v>1155</v>
      </c>
      <c r="B86" s="124"/>
      <c r="Q86" s="393"/>
      <c r="R86" s="393"/>
      <c r="S86" s="393"/>
      <c r="T86" s="393"/>
      <c r="U86" s="393"/>
      <c r="V86" s="393"/>
      <c r="W86" s="393"/>
      <c r="X86" s="393"/>
      <c r="Y86" s="393"/>
      <c r="Z86" s="393"/>
      <c r="AA86" s="393"/>
      <c r="AB86" s="393"/>
      <c r="AC86" s="393"/>
      <c r="AE86" s="391"/>
      <c r="AF86" s="390"/>
      <c r="AG86" s="390"/>
      <c r="AH86" s="390"/>
      <c r="AI86" s="390"/>
      <c r="AJ86" s="390"/>
      <c r="AK86" s="390"/>
    </row>
    <row r="87" spans="1:37" s="298" customFormat="1">
      <c r="A87" s="354" t="s">
        <v>1192</v>
      </c>
      <c r="B87" s="124"/>
      <c r="Q87" s="393"/>
      <c r="R87" s="393"/>
      <c r="S87" s="393"/>
      <c r="T87" s="393"/>
      <c r="U87" s="393"/>
      <c r="V87" s="393"/>
      <c r="W87" s="393"/>
      <c r="X87" s="393"/>
      <c r="Y87" s="393"/>
      <c r="Z87" s="393"/>
      <c r="AA87" s="393"/>
      <c r="AB87" s="393"/>
      <c r="AC87" s="393"/>
      <c r="AE87" s="391"/>
      <c r="AF87" s="390"/>
      <c r="AG87" s="390"/>
      <c r="AH87" s="390"/>
      <c r="AI87" s="390"/>
      <c r="AJ87" s="390"/>
      <c r="AK87" s="390"/>
    </row>
    <row r="88" spans="1:37" s="298" customFormat="1">
      <c r="A88" s="354" t="s">
        <v>1193</v>
      </c>
      <c r="B88" s="124"/>
      <c r="Q88" s="393"/>
      <c r="R88" s="393"/>
      <c r="S88" s="393"/>
      <c r="T88" s="393"/>
      <c r="U88" s="393"/>
      <c r="V88" s="393"/>
      <c r="W88" s="393"/>
      <c r="X88" s="393"/>
      <c r="Y88" s="393"/>
      <c r="Z88" s="393"/>
      <c r="AA88" s="393"/>
      <c r="AB88" s="393"/>
      <c r="AC88" s="393"/>
      <c r="AE88" s="391"/>
      <c r="AF88" s="390"/>
      <c r="AG88" s="390"/>
      <c r="AH88" s="390"/>
      <c r="AI88" s="390"/>
      <c r="AJ88" s="390"/>
      <c r="AK88" s="390"/>
    </row>
    <row r="89" spans="1:37" s="298" customFormat="1">
      <c r="A89" s="354" t="s">
        <v>1194</v>
      </c>
      <c r="B89" s="124"/>
      <c r="Q89" s="393"/>
      <c r="R89" s="393"/>
      <c r="S89" s="393"/>
      <c r="T89" s="393"/>
      <c r="U89" s="393"/>
      <c r="V89" s="393"/>
      <c r="W89" s="393"/>
      <c r="X89" s="393"/>
      <c r="Y89" s="393"/>
      <c r="Z89" s="393"/>
      <c r="AA89" s="393"/>
      <c r="AB89" s="393"/>
      <c r="AC89" s="393"/>
      <c r="AE89" s="391"/>
      <c r="AF89" s="390"/>
      <c r="AG89" s="390"/>
      <c r="AH89" s="390"/>
      <c r="AI89" s="390"/>
      <c r="AJ89" s="390"/>
      <c r="AK89" s="390"/>
    </row>
    <row r="90" spans="1:37" s="298" customFormat="1">
      <c r="A90" s="354" t="s">
        <v>1134</v>
      </c>
      <c r="B90" s="124"/>
      <c r="Q90" s="393"/>
      <c r="R90" s="393"/>
      <c r="S90" s="393"/>
      <c r="T90" s="393"/>
      <c r="U90" s="393"/>
      <c r="V90" s="393"/>
      <c r="W90" s="393"/>
      <c r="X90" s="393"/>
      <c r="Y90" s="393"/>
      <c r="Z90" s="393"/>
      <c r="AA90" s="393"/>
      <c r="AB90" s="393"/>
      <c r="AC90" s="393"/>
      <c r="AE90" s="391"/>
      <c r="AF90" s="390"/>
      <c r="AG90" s="390"/>
      <c r="AH90" s="390"/>
      <c r="AI90" s="390"/>
      <c r="AJ90" s="390"/>
      <c r="AK90" s="390"/>
    </row>
    <row r="91" spans="1:37" s="298" customFormat="1">
      <c r="A91" s="354" t="s">
        <v>1195</v>
      </c>
      <c r="B91" s="124"/>
      <c r="Q91" s="393"/>
      <c r="R91" s="393"/>
      <c r="S91" s="393"/>
      <c r="T91" s="393"/>
      <c r="U91" s="393"/>
      <c r="V91" s="393"/>
      <c r="W91" s="393"/>
      <c r="X91" s="393"/>
      <c r="Y91" s="393"/>
      <c r="Z91" s="393"/>
      <c r="AA91" s="393"/>
      <c r="AB91" s="393"/>
      <c r="AC91" s="393"/>
      <c r="AE91" s="391"/>
      <c r="AF91" s="390"/>
      <c r="AG91" s="390"/>
      <c r="AH91" s="390"/>
      <c r="AI91" s="390"/>
      <c r="AJ91" s="390"/>
      <c r="AK91" s="390"/>
    </row>
    <row r="92" spans="1:37" s="298" customFormat="1">
      <c r="A92" s="354" t="s">
        <v>1158</v>
      </c>
      <c r="B92" s="124"/>
      <c r="Q92" s="393"/>
      <c r="R92" s="393"/>
      <c r="S92" s="393"/>
      <c r="T92" s="393"/>
      <c r="U92" s="393"/>
      <c r="V92" s="393"/>
      <c r="W92" s="393"/>
      <c r="X92" s="393"/>
      <c r="Y92" s="393"/>
      <c r="Z92" s="393"/>
      <c r="AA92" s="393"/>
      <c r="AB92" s="393"/>
      <c r="AC92" s="393"/>
      <c r="AE92" s="391"/>
      <c r="AF92" s="390"/>
      <c r="AG92" s="390"/>
      <c r="AH92" s="390"/>
      <c r="AI92" s="390"/>
      <c r="AJ92" s="390"/>
      <c r="AK92" s="390"/>
    </row>
    <row r="93" spans="1:37" s="298" customFormat="1">
      <c r="A93" s="354" t="s">
        <v>1196</v>
      </c>
      <c r="B93" s="124"/>
      <c r="Q93" s="393"/>
      <c r="R93" s="393"/>
      <c r="S93" s="393"/>
      <c r="T93" s="393"/>
      <c r="U93" s="393"/>
      <c r="V93" s="393"/>
      <c r="W93" s="393"/>
      <c r="X93" s="393"/>
      <c r="Y93" s="393"/>
      <c r="Z93" s="393"/>
      <c r="AA93" s="393"/>
      <c r="AB93" s="393"/>
      <c r="AC93" s="393"/>
      <c r="AE93" s="391"/>
      <c r="AF93" s="390"/>
      <c r="AG93" s="390"/>
      <c r="AH93" s="390"/>
      <c r="AI93" s="390"/>
      <c r="AJ93" s="390"/>
      <c r="AK93" s="390"/>
    </row>
    <row r="94" spans="1:37" s="298" customFormat="1">
      <c r="A94" s="339"/>
      <c r="B94" s="124"/>
      <c r="Q94" s="393"/>
      <c r="R94" s="393"/>
      <c r="S94" s="393"/>
      <c r="T94" s="393"/>
      <c r="U94" s="393"/>
      <c r="V94" s="393"/>
      <c r="W94" s="393"/>
      <c r="X94" s="393"/>
      <c r="Y94" s="393"/>
      <c r="Z94" s="393"/>
      <c r="AA94" s="393"/>
      <c r="AB94" s="393"/>
      <c r="AC94" s="393"/>
      <c r="AE94" s="391"/>
      <c r="AF94" s="390"/>
      <c r="AG94" s="390"/>
      <c r="AH94" s="390"/>
      <c r="AI94" s="390"/>
      <c r="AJ94" s="390"/>
      <c r="AK94" s="390"/>
    </row>
    <row r="95" spans="1:37" s="298" customFormat="1">
      <c r="A95" s="339"/>
      <c r="B95" s="124"/>
      <c r="Q95" s="393"/>
      <c r="R95" s="393"/>
      <c r="S95" s="393"/>
      <c r="T95" s="393"/>
      <c r="U95" s="393"/>
      <c r="V95" s="393"/>
      <c r="W95" s="393"/>
      <c r="X95" s="393"/>
      <c r="Y95" s="393"/>
      <c r="Z95" s="393"/>
      <c r="AA95" s="393"/>
      <c r="AB95" s="393"/>
      <c r="AC95" s="393"/>
      <c r="AE95" s="391"/>
      <c r="AF95" s="390"/>
      <c r="AG95" s="390"/>
      <c r="AH95" s="390"/>
      <c r="AI95" s="390"/>
      <c r="AJ95" s="390"/>
      <c r="AK95" s="390"/>
    </row>
    <row r="96" spans="1:37" s="298" customFormat="1" ht="15.75">
      <c r="A96" s="293" t="s">
        <v>1197</v>
      </c>
      <c r="B96" s="124"/>
      <c r="Q96" s="393"/>
      <c r="R96" s="393"/>
      <c r="S96" s="393"/>
      <c r="T96" s="393"/>
      <c r="U96" s="393"/>
      <c r="V96" s="393"/>
      <c r="W96" s="393"/>
      <c r="X96" s="393"/>
      <c r="Y96" s="393"/>
      <c r="Z96" s="393"/>
      <c r="AA96" s="393"/>
      <c r="AB96" s="393"/>
      <c r="AC96" s="393"/>
      <c r="AE96" s="391"/>
      <c r="AF96" s="390"/>
      <c r="AG96" s="390"/>
      <c r="AH96" s="390"/>
      <c r="AI96" s="390"/>
      <c r="AJ96" s="390"/>
      <c r="AK96" s="390"/>
    </row>
    <row r="97" spans="1:37" s="298" customFormat="1">
      <c r="A97" s="354" t="s">
        <v>1190</v>
      </c>
      <c r="B97" s="124"/>
      <c r="Q97" s="393"/>
      <c r="R97" s="393"/>
      <c r="S97" s="393"/>
      <c r="T97" s="393"/>
      <c r="U97" s="393"/>
      <c r="V97" s="393"/>
      <c r="W97" s="393"/>
      <c r="X97" s="393"/>
      <c r="Y97" s="393"/>
      <c r="Z97" s="393"/>
      <c r="AA97" s="393"/>
      <c r="AB97" s="393"/>
      <c r="AC97" s="393"/>
      <c r="AE97" s="391"/>
      <c r="AF97" s="390"/>
      <c r="AG97" s="390"/>
      <c r="AH97" s="390"/>
      <c r="AI97" s="390"/>
      <c r="AJ97" s="390"/>
      <c r="AK97" s="390"/>
    </row>
    <row r="98" spans="1:37" s="298" customFormat="1" ht="15.75" thickBot="1">
      <c r="A98" s="355" t="s">
        <v>1198</v>
      </c>
      <c r="B98" s="124"/>
      <c r="Q98" s="393"/>
      <c r="R98" s="393"/>
      <c r="S98" s="393"/>
      <c r="T98" s="393"/>
      <c r="U98" s="393"/>
      <c r="V98" s="393"/>
      <c r="W98" s="393"/>
      <c r="X98" s="393"/>
      <c r="Y98" s="393"/>
      <c r="Z98" s="393"/>
      <c r="AA98" s="393"/>
      <c r="AB98" s="393"/>
      <c r="AC98" s="393"/>
      <c r="AE98" s="391"/>
      <c r="AF98" s="390"/>
      <c r="AG98" s="390"/>
      <c r="AH98" s="390"/>
      <c r="AI98" s="390"/>
      <c r="AJ98" s="390"/>
      <c r="AK98" s="390"/>
    </row>
    <row r="99" spans="1:37" s="298" customFormat="1">
      <c r="A99" s="356" t="s">
        <v>1199</v>
      </c>
      <c r="B99" s="124"/>
      <c r="Q99" s="393"/>
      <c r="R99" s="393"/>
      <c r="S99" s="393"/>
      <c r="T99" s="393"/>
      <c r="U99" s="393"/>
      <c r="V99" s="393"/>
      <c r="W99" s="393"/>
      <c r="X99" s="393"/>
      <c r="Y99" s="393"/>
      <c r="Z99" s="393"/>
      <c r="AA99" s="393"/>
      <c r="AB99" s="393"/>
      <c r="AC99" s="393"/>
      <c r="AE99" s="391"/>
      <c r="AF99" s="390"/>
      <c r="AG99" s="390"/>
      <c r="AH99" s="390"/>
      <c r="AI99" s="390"/>
      <c r="AJ99" s="390"/>
      <c r="AK99" s="390"/>
    </row>
    <row r="100" spans="1:37" s="298" customFormat="1">
      <c r="A100" s="357" t="s">
        <v>1200</v>
      </c>
      <c r="B100" s="124"/>
      <c r="Q100" s="393"/>
      <c r="R100" s="393"/>
      <c r="S100" s="393"/>
      <c r="T100" s="393"/>
      <c r="U100" s="393"/>
      <c r="V100" s="393"/>
      <c r="W100" s="393"/>
      <c r="X100" s="393"/>
      <c r="Y100" s="393"/>
      <c r="Z100" s="393"/>
      <c r="AA100" s="393"/>
      <c r="AB100" s="393"/>
      <c r="AC100" s="393"/>
      <c r="AE100" s="391"/>
      <c r="AF100" s="390"/>
      <c r="AG100" s="390"/>
      <c r="AH100" s="390"/>
      <c r="AI100" s="390"/>
      <c r="AJ100" s="390"/>
      <c r="AK100" s="390"/>
    </row>
    <row r="101" spans="1:37" s="298" customFormat="1">
      <c r="A101" s="357" t="s">
        <v>1201</v>
      </c>
      <c r="B101" s="124"/>
      <c r="Q101" s="393"/>
      <c r="R101" s="393"/>
      <c r="S101" s="393"/>
      <c r="T101" s="393"/>
      <c r="U101" s="393"/>
      <c r="V101" s="393"/>
      <c r="W101" s="393"/>
      <c r="X101" s="393"/>
      <c r="Y101" s="393"/>
      <c r="Z101" s="393"/>
      <c r="AA101" s="393"/>
      <c r="AB101" s="393"/>
      <c r="AC101" s="393"/>
      <c r="AE101" s="391"/>
      <c r="AF101" s="390"/>
      <c r="AG101" s="390"/>
      <c r="AH101" s="390"/>
      <c r="AI101" s="390"/>
      <c r="AJ101" s="390"/>
      <c r="AK101" s="390"/>
    </row>
    <row r="102" spans="1:37" s="298" customFormat="1" ht="15.75" thickBot="1">
      <c r="A102" s="358" t="s">
        <v>1202</v>
      </c>
      <c r="B102" s="124"/>
      <c r="Q102" s="393"/>
      <c r="R102" s="393"/>
      <c r="S102" s="393"/>
      <c r="T102" s="393"/>
      <c r="U102" s="393"/>
      <c r="V102" s="393"/>
      <c r="W102" s="393"/>
      <c r="X102" s="393"/>
      <c r="Y102" s="393"/>
      <c r="Z102" s="393"/>
      <c r="AA102" s="393"/>
      <c r="AB102" s="393"/>
      <c r="AC102" s="393"/>
      <c r="AE102" s="391"/>
      <c r="AF102" s="390"/>
      <c r="AG102" s="390"/>
      <c r="AH102" s="390"/>
      <c r="AI102" s="390"/>
      <c r="AJ102" s="390"/>
      <c r="AK102" s="390"/>
    </row>
    <row r="103" spans="1:37" s="298" customFormat="1" ht="15.75" thickTop="1">
      <c r="A103" s="356" t="s">
        <v>1203</v>
      </c>
      <c r="B103" s="124"/>
      <c r="Q103" s="393"/>
      <c r="R103" s="393"/>
      <c r="S103" s="393"/>
      <c r="T103" s="393"/>
      <c r="U103" s="393"/>
      <c r="V103" s="393"/>
      <c r="W103" s="393"/>
      <c r="X103" s="393"/>
      <c r="Y103" s="393"/>
      <c r="Z103" s="393"/>
      <c r="AA103" s="393"/>
      <c r="AB103" s="393"/>
      <c r="AC103" s="393"/>
      <c r="AE103" s="391"/>
      <c r="AF103" s="390"/>
      <c r="AG103" s="390"/>
      <c r="AH103" s="390"/>
      <c r="AI103" s="390"/>
      <c r="AJ103" s="390"/>
      <c r="AK103" s="390"/>
    </row>
    <row r="104" spans="1:37" s="298" customFormat="1">
      <c r="A104" s="357" t="s">
        <v>1204</v>
      </c>
      <c r="B104" s="124"/>
      <c r="Q104" s="393"/>
      <c r="R104" s="393"/>
      <c r="S104" s="393"/>
      <c r="T104" s="393"/>
      <c r="U104" s="393"/>
      <c r="V104" s="393"/>
      <c r="W104" s="393"/>
      <c r="X104" s="393"/>
      <c r="Y104" s="393"/>
      <c r="Z104" s="393"/>
      <c r="AA104" s="393"/>
      <c r="AB104" s="393"/>
      <c r="AC104" s="393"/>
      <c r="AE104" s="391"/>
      <c r="AF104" s="390"/>
      <c r="AG104" s="390"/>
      <c r="AH104" s="390"/>
      <c r="AI104" s="390"/>
      <c r="AJ104" s="390"/>
      <c r="AK104" s="390"/>
    </row>
    <row r="105" spans="1:37" s="298" customFormat="1" ht="15.75" thickBot="1">
      <c r="A105" s="359" t="s">
        <v>1205</v>
      </c>
      <c r="B105" s="124"/>
      <c r="Q105" s="393"/>
      <c r="R105" s="393"/>
      <c r="S105" s="393"/>
      <c r="T105" s="393"/>
      <c r="U105" s="393"/>
      <c r="V105" s="393"/>
      <c r="W105" s="393"/>
      <c r="X105" s="393"/>
      <c r="Y105" s="393"/>
      <c r="Z105" s="393"/>
      <c r="AA105" s="393"/>
      <c r="AB105" s="393"/>
      <c r="AC105" s="393"/>
      <c r="AE105" s="391"/>
      <c r="AF105" s="390"/>
      <c r="AG105" s="390"/>
      <c r="AH105" s="390"/>
      <c r="AI105" s="390"/>
      <c r="AJ105" s="390"/>
      <c r="AK105" s="390"/>
    </row>
    <row r="106" spans="1:37" s="298" customFormat="1">
      <c r="A106" s="357" t="s">
        <v>1206</v>
      </c>
      <c r="B106" s="124"/>
      <c r="Q106" s="393"/>
      <c r="R106" s="393"/>
      <c r="S106" s="393"/>
      <c r="T106" s="393"/>
      <c r="U106" s="393"/>
      <c r="V106" s="393"/>
      <c r="W106" s="393"/>
      <c r="X106" s="393"/>
      <c r="Y106" s="393"/>
      <c r="Z106" s="393"/>
      <c r="AA106" s="393"/>
      <c r="AB106" s="393"/>
      <c r="AC106" s="393"/>
      <c r="AE106" s="391"/>
      <c r="AF106" s="390"/>
      <c r="AG106" s="390"/>
      <c r="AH106" s="390"/>
      <c r="AI106" s="390"/>
      <c r="AJ106" s="390"/>
      <c r="AK106" s="390"/>
    </row>
    <row r="107" spans="1:37" s="298" customFormat="1">
      <c r="A107" s="67" t="s">
        <v>1207</v>
      </c>
      <c r="B107" s="124"/>
      <c r="Q107" s="393"/>
      <c r="R107" s="393"/>
      <c r="S107" s="393"/>
      <c r="T107" s="393"/>
      <c r="U107" s="393"/>
      <c r="V107" s="393"/>
      <c r="W107" s="393"/>
      <c r="X107" s="393"/>
      <c r="Y107" s="393"/>
      <c r="Z107" s="393"/>
      <c r="AA107" s="393"/>
      <c r="AB107" s="393"/>
      <c r="AC107" s="393"/>
      <c r="AE107" s="391"/>
      <c r="AF107" s="390"/>
      <c r="AG107" s="390"/>
      <c r="AH107" s="390"/>
      <c r="AI107" s="390"/>
      <c r="AJ107" s="390"/>
      <c r="AK107" s="390"/>
    </row>
    <row r="108" spans="1:37" s="298" customFormat="1">
      <c r="A108" s="67" t="s">
        <v>1208</v>
      </c>
      <c r="B108" s="124"/>
      <c r="Q108" s="393"/>
      <c r="R108" s="393"/>
      <c r="S108" s="393"/>
      <c r="T108" s="393"/>
      <c r="U108" s="393"/>
      <c r="V108" s="393"/>
      <c r="W108" s="393"/>
      <c r="X108" s="393"/>
      <c r="Y108" s="393"/>
      <c r="Z108" s="393"/>
      <c r="AA108" s="393"/>
      <c r="AB108" s="393"/>
      <c r="AC108" s="393"/>
      <c r="AE108" s="391"/>
      <c r="AF108" s="390"/>
      <c r="AG108" s="390"/>
      <c r="AH108" s="390"/>
      <c r="AI108" s="390"/>
      <c r="AJ108" s="390"/>
      <c r="AK108" s="390"/>
    </row>
    <row r="109" spans="1:37" s="298" customFormat="1">
      <c r="A109" s="67" t="s">
        <v>1209</v>
      </c>
      <c r="B109" s="124"/>
      <c r="Q109" s="393"/>
      <c r="R109" s="393"/>
      <c r="S109" s="393"/>
      <c r="T109" s="393"/>
      <c r="U109" s="393"/>
      <c r="V109" s="393"/>
      <c r="W109" s="393"/>
      <c r="X109" s="393"/>
      <c r="Y109" s="393"/>
      <c r="Z109" s="393"/>
      <c r="AA109" s="393"/>
      <c r="AB109" s="393"/>
      <c r="AC109" s="393"/>
      <c r="AE109" s="391"/>
      <c r="AF109" s="390"/>
      <c r="AG109" s="390"/>
      <c r="AH109" s="390"/>
      <c r="AI109" s="390"/>
      <c r="AJ109" s="390"/>
      <c r="AK109" s="390"/>
    </row>
    <row r="110" spans="1:37" s="298" customFormat="1">
      <c r="A110" s="67" t="s">
        <v>1210</v>
      </c>
      <c r="B110" s="124"/>
      <c r="Q110" s="393"/>
      <c r="R110" s="393"/>
      <c r="S110" s="393"/>
      <c r="T110" s="393"/>
      <c r="U110" s="393"/>
      <c r="V110" s="393"/>
      <c r="W110" s="393"/>
      <c r="X110" s="393"/>
      <c r="Y110" s="393"/>
      <c r="Z110" s="393"/>
      <c r="AA110" s="393"/>
      <c r="AB110" s="393"/>
      <c r="AC110" s="393"/>
      <c r="AE110" s="391"/>
      <c r="AF110" s="390"/>
      <c r="AG110" s="390"/>
      <c r="AH110" s="390"/>
      <c r="AI110" s="390"/>
      <c r="AJ110" s="390"/>
      <c r="AK110" s="390"/>
    </row>
    <row r="111" spans="1:37" s="298" customFormat="1">
      <c r="A111" s="67" t="s">
        <v>1211</v>
      </c>
      <c r="B111" s="124"/>
      <c r="Q111" s="393"/>
      <c r="R111" s="393"/>
      <c r="S111" s="393"/>
      <c r="T111" s="393"/>
      <c r="U111" s="393"/>
      <c r="V111" s="393"/>
      <c r="W111" s="393"/>
      <c r="X111" s="393"/>
      <c r="Y111" s="393"/>
      <c r="Z111" s="393"/>
      <c r="AA111" s="393"/>
      <c r="AB111" s="393"/>
      <c r="AC111" s="393"/>
      <c r="AE111" s="391"/>
      <c r="AF111" s="390"/>
      <c r="AG111" s="390"/>
      <c r="AH111" s="390"/>
      <c r="AI111" s="390"/>
      <c r="AJ111" s="390"/>
      <c r="AK111" s="390"/>
    </row>
    <row r="112" spans="1:37" s="298" customFormat="1">
      <c r="A112" s="67" t="s">
        <v>1212</v>
      </c>
      <c r="B112" s="124"/>
      <c r="Q112" s="393"/>
      <c r="R112" s="393"/>
      <c r="S112" s="393"/>
      <c r="T112" s="393"/>
      <c r="U112" s="393"/>
      <c r="V112" s="393"/>
      <c r="W112" s="393"/>
      <c r="X112" s="393"/>
      <c r="Y112" s="393"/>
      <c r="Z112" s="393"/>
      <c r="AA112" s="393"/>
      <c r="AB112" s="393"/>
      <c r="AC112" s="393"/>
      <c r="AE112" s="391"/>
      <c r="AF112" s="390"/>
      <c r="AG112" s="390"/>
      <c r="AH112" s="390"/>
      <c r="AI112" s="390"/>
      <c r="AJ112" s="390"/>
      <c r="AK112" s="390"/>
    </row>
    <row r="113" spans="1:37" s="298" customFormat="1">
      <c r="A113" s="67" t="s">
        <v>1213</v>
      </c>
      <c r="B113" s="124"/>
      <c r="Q113" s="393"/>
      <c r="R113" s="393"/>
      <c r="S113" s="393"/>
      <c r="T113" s="393"/>
      <c r="U113" s="393"/>
      <c r="V113" s="393"/>
      <c r="W113" s="393"/>
      <c r="X113" s="393"/>
      <c r="Y113" s="393"/>
      <c r="Z113" s="393"/>
      <c r="AA113" s="393"/>
      <c r="AB113" s="393"/>
      <c r="AC113" s="393"/>
      <c r="AE113" s="391"/>
      <c r="AF113" s="390"/>
      <c r="AG113" s="390"/>
      <c r="AH113" s="390"/>
      <c r="AI113" s="390"/>
      <c r="AJ113" s="390"/>
      <c r="AK113" s="390"/>
    </row>
    <row r="114" spans="1:37" s="298" customFormat="1">
      <c r="A114" s="67" t="s">
        <v>1214</v>
      </c>
      <c r="B114" s="124"/>
      <c r="Q114" s="393"/>
      <c r="R114" s="393"/>
      <c r="S114" s="393"/>
      <c r="T114" s="393"/>
      <c r="U114" s="393"/>
      <c r="V114" s="393"/>
      <c r="W114" s="393"/>
      <c r="X114" s="393"/>
      <c r="Y114" s="393"/>
      <c r="Z114" s="393"/>
      <c r="AA114" s="393"/>
      <c r="AB114" s="393"/>
      <c r="AC114" s="393"/>
      <c r="AE114" s="391"/>
      <c r="AF114" s="390"/>
      <c r="AG114" s="390"/>
      <c r="AH114" s="390"/>
      <c r="AI114" s="390"/>
      <c r="AJ114" s="390"/>
      <c r="AK114" s="390"/>
    </row>
    <row r="115" spans="1:37" s="298" customFormat="1">
      <c r="A115" s="67" t="s">
        <v>1215</v>
      </c>
      <c r="B115" s="124"/>
      <c r="Q115" s="393"/>
      <c r="R115" s="393"/>
      <c r="S115" s="393"/>
      <c r="T115" s="393"/>
      <c r="U115" s="393"/>
      <c r="V115" s="393"/>
      <c r="W115" s="393"/>
      <c r="X115" s="393"/>
      <c r="Y115" s="393"/>
      <c r="Z115" s="393"/>
      <c r="AA115" s="393"/>
      <c r="AB115" s="393"/>
      <c r="AC115" s="393"/>
      <c r="AE115" s="391"/>
      <c r="AF115" s="390"/>
      <c r="AG115" s="390"/>
      <c r="AH115" s="390"/>
      <c r="AI115" s="390"/>
      <c r="AJ115" s="390"/>
      <c r="AK115" s="390"/>
    </row>
    <row r="116" spans="1:37" s="298" customFormat="1">
      <c r="A116" s="67" t="s">
        <v>1216</v>
      </c>
      <c r="B116" s="124"/>
      <c r="Q116" s="393"/>
      <c r="R116" s="393"/>
      <c r="S116" s="393"/>
      <c r="T116" s="393"/>
      <c r="U116" s="393"/>
      <c r="V116" s="393"/>
      <c r="W116" s="393"/>
      <c r="X116" s="393"/>
      <c r="Y116" s="393"/>
      <c r="Z116" s="393"/>
      <c r="AA116" s="393"/>
      <c r="AB116" s="393"/>
      <c r="AC116" s="393"/>
      <c r="AE116" s="391"/>
      <c r="AF116" s="390"/>
      <c r="AG116" s="390"/>
      <c r="AH116" s="390"/>
      <c r="AI116" s="390"/>
      <c r="AJ116" s="390"/>
      <c r="AK116" s="390"/>
    </row>
    <row r="117" spans="1:37" s="298" customFormat="1">
      <c r="A117" s="67" t="s">
        <v>1217</v>
      </c>
      <c r="B117" s="124"/>
      <c r="Q117" s="393"/>
      <c r="R117" s="393"/>
      <c r="S117" s="393"/>
      <c r="T117" s="393"/>
      <c r="U117" s="393"/>
      <c r="V117" s="393"/>
      <c r="W117" s="393"/>
      <c r="X117" s="393"/>
      <c r="Y117" s="393"/>
      <c r="Z117" s="393"/>
      <c r="AA117" s="393"/>
      <c r="AB117" s="393"/>
      <c r="AC117" s="393"/>
      <c r="AE117" s="391"/>
      <c r="AF117" s="390"/>
      <c r="AG117" s="390"/>
      <c r="AH117" s="390"/>
      <c r="AI117" s="390"/>
      <c r="AJ117" s="390"/>
      <c r="AK117" s="390"/>
    </row>
    <row r="118" spans="1:37" s="298" customFormat="1">
      <c r="A118" s="67" t="s">
        <v>1218</v>
      </c>
      <c r="B118" s="124"/>
      <c r="Q118" s="393"/>
      <c r="R118" s="393"/>
      <c r="S118" s="393"/>
      <c r="T118" s="393"/>
      <c r="U118" s="393"/>
      <c r="V118" s="393"/>
      <c r="W118" s="393"/>
      <c r="X118" s="393"/>
      <c r="Y118" s="393"/>
      <c r="Z118" s="393"/>
      <c r="AA118" s="393"/>
      <c r="AB118" s="393"/>
      <c r="AC118" s="393"/>
      <c r="AE118" s="391"/>
      <c r="AF118" s="390"/>
      <c r="AG118" s="390"/>
      <c r="AH118" s="390"/>
      <c r="AI118" s="390"/>
      <c r="AJ118" s="390"/>
      <c r="AK118" s="390"/>
    </row>
    <row r="119" spans="1:37" s="298" customFormat="1">
      <c r="A119" s="67" t="s">
        <v>1219</v>
      </c>
      <c r="B119" s="124"/>
      <c r="Q119" s="393"/>
      <c r="R119" s="393"/>
      <c r="S119" s="393"/>
      <c r="T119" s="393"/>
      <c r="U119" s="393"/>
      <c r="V119" s="393"/>
      <c r="W119" s="393"/>
      <c r="X119" s="393"/>
      <c r="Y119" s="393"/>
      <c r="Z119" s="393"/>
      <c r="AA119" s="393"/>
      <c r="AB119" s="393"/>
      <c r="AC119" s="393"/>
      <c r="AE119" s="391"/>
      <c r="AF119" s="390"/>
      <c r="AG119" s="390"/>
      <c r="AH119" s="390"/>
      <c r="AI119" s="390"/>
      <c r="AJ119" s="390"/>
      <c r="AK119" s="390"/>
    </row>
    <row r="120" spans="1:37" s="298" customFormat="1">
      <c r="A120" s="67" t="s">
        <v>1220</v>
      </c>
      <c r="B120" s="124"/>
      <c r="Q120" s="393"/>
      <c r="R120" s="393"/>
      <c r="S120" s="393"/>
      <c r="T120" s="393"/>
      <c r="U120" s="393"/>
      <c r="V120" s="393"/>
      <c r="W120" s="393"/>
      <c r="X120" s="393"/>
      <c r="Y120" s="393"/>
      <c r="Z120" s="393"/>
      <c r="AA120" s="393"/>
      <c r="AB120" s="393"/>
      <c r="AC120" s="393"/>
      <c r="AE120" s="391"/>
      <c r="AF120" s="390"/>
      <c r="AG120" s="390"/>
      <c r="AH120" s="390"/>
      <c r="AI120" s="390"/>
      <c r="AJ120" s="390"/>
      <c r="AK120" s="390"/>
    </row>
    <row r="121" spans="1:37" s="298" customFormat="1">
      <c r="A121" s="67" t="s">
        <v>1221</v>
      </c>
      <c r="B121" s="124"/>
      <c r="Q121" s="393"/>
      <c r="R121" s="393"/>
      <c r="S121" s="393"/>
      <c r="T121" s="393"/>
      <c r="U121" s="393"/>
      <c r="V121" s="393"/>
      <c r="W121" s="393"/>
      <c r="X121" s="393"/>
      <c r="Y121" s="393"/>
      <c r="Z121" s="393"/>
      <c r="AA121" s="393"/>
      <c r="AB121" s="393"/>
      <c r="AC121" s="393"/>
      <c r="AE121" s="391"/>
      <c r="AF121" s="390"/>
      <c r="AG121" s="390"/>
      <c r="AH121" s="390"/>
      <c r="AI121" s="390"/>
      <c r="AJ121" s="390"/>
      <c r="AK121" s="390"/>
    </row>
    <row r="122" spans="1:37" s="298" customFormat="1" ht="15.75" thickBot="1">
      <c r="A122" s="360" t="s">
        <v>1222</v>
      </c>
      <c r="B122" s="124"/>
      <c r="Q122" s="393"/>
      <c r="R122" s="393"/>
      <c r="S122" s="393"/>
      <c r="T122" s="393"/>
      <c r="U122" s="393"/>
      <c r="V122" s="393"/>
      <c r="W122" s="393"/>
      <c r="X122" s="393"/>
      <c r="Y122" s="393"/>
      <c r="Z122" s="393"/>
      <c r="AA122" s="393"/>
      <c r="AB122" s="393"/>
      <c r="AC122" s="393"/>
      <c r="AE122" s="391"/>
      <c r="AF122" s="390"/>
      <c r="AG122" s="390"/>
      <c r="AH122" s="390"/>
      <c r="AI122" s="390"/>
      <c r="AJ122" s="390"/>
      <c r="AK122" s="390"/>
    </row>
    <row r="123" spans="1:37" s="298" customFormat="1" ht="15.75" thickBot="1">
      <c r="A123" s="361" t="s">
        <v>1223</v>
      </c>
      <c r="B123" s="124"/>
      <c r="Q123" s="393"/>
      <c r="R123" s="393"/>
      <c r="S123" s="393"/>
      <c r="T123" s="393"/>
      <c r="U123" s="393"/>
      <c r="V123" s="393"/>
      <c r="W123" s="393"/>
      <c r="X123" s="393"/>
      <c r="Y123" s="393"/>
      <c r="Z123" s="393"/>
      <c r="AA123" s="393"/>
      <c r="AB123" s="393"/>
      <c r="AC123" s="393"/>
      <c r="AE123" s="391"/>
      <c r="AF123" s="390"/>
      <c r="AG123" s="390"/>
      <c r="AH123" s="390"/>
      <c r="AI123" s="390"/>
      <c r="AJ123" s="390"/>
      <c r="AK123" s="390"/>
    </row>
    <row r="124" spans="1:37" s="298" customFormat="1">
      <c r="A124" s="357" t="s">
        <v>1224</v>
      </c>
      <c r="B124" s="124"/>
      <c r="Q124" s="393"/>
      <c r="R124" s="393"/>
      <c r="S124" s="393"/>
      <c r="T124" s="393"/>
      <c r="U124" s="393"/>
      <c r="V124" s="393"/>
      <c r="W124" s="393"/>
      <c r="X124" s="393"/>
      <c r="Y124" s="393"/>
      <c r="Z124" s="393"/>
      <c r="AA124" s="393"/>
      <c r="AB124" s="393"/>
      <c r="AC124" s="393"/>
      <c r="AE124" s="391"/>
      <c r="AF124" s="390"/>
      <c r="AG124" s="390"/>
      <c r="AH124" s="390"/>
      <c r="AI124" s="390"/>
      <c r="AJ124" s="390"/>
      <c r="AK124" s="390"/>
    </row>
    <row r="125" spans="1:37" s="298" customFormat="1">
      <c r="A125" s="67"/>
      <c r="B125" s="124"/>
      <c r="Q125" s="393"/>
      <c r="R125" s="393"/>
      <c r="S125" s="393"/>
      <c r="T125" s="393"/>
      <c r="U125" s="393"/>
      <c r="V125" s="393"/>
      <c r="W125" s="393"/>
      <c r="X125" s="393"/>
      <c r="Y125" s="393"/>
      <c r="Z125" s="393"/>
      <c r="AA125" s="393"/>
      <c r="AB125" s="393"/>
      <c r="AC125" s="393"/>
      <c r="AE125" s="391"/>
      <c r="AF125" s="390"/>
      <c r="AG125" s="390"/>
      <c r="AH125" s="390"/>
      <c r="AI125" s="390"/>
      <c r="AJ125" s="390"/>
      <c r="AK125" s="390"/>
    </row>
    <row r="126" spans="1:37" s="298" customFormat="1">
      <c r="A126" s="67"/>
      <c r="B126" s="124"/>
      <c r="Q126" s="393"/>
      <c r="R126" s="393"/>
      <c r="S126" s="393"/>
      <c r="T126" s="393"/>
      <c r="U126" s="393"/>
      <c r="V126" s="393"/>
      <c r="W126" s="393"/>
      <c r="X126" s="393"/>
      <c r="Y126" s="393"/>
      <c r="Z126" s="393"/>
      <c r="AA126" s="393"/>
      <c r="AB126" s="393"/>
      <c r="AC126" s="393"/>
      <c r="AE126" s="391"/>
      <c r="AF126" s="390"/>
      <c r="AG126" s="390"/>
      <c r="AH126" s="390"/>
      <c r="AI126" s="390"/>
      <c r="AJ126" s="390"/>
      <c r="AK126" s="390"/>
    </row>
    <row r="127" spans="1:37" s="298" customFormat="1">
      <c r="A127" s="67" t="s">
        <v>1225</v>
      </c>
      <c r="B127" s="124"/>
      <c r="Q127" s="393"/>
      <c r="R127" s="393"/>
      <c r="S127" s="393"/>
      <c r="T127" s="393"/>
      <c r="U127" s="393"/>
      <c r="V127" s="393"/>
      <c r="W127" s="393"/>
      <c r="X127" s="393"/>
      <c r="Y127" s="393"/>
      <c r="Z127" s="393"/>
      <c r="AA127" s="393"/>
      <c r="AB127" s="393"/>
      <c r="AC127" s="393"/>
      <c r="AE127" s="391"/>
      <c r="AF127" s="390"/>
      <c r="AG127" s="390"/>
      <c r="AH127" s="390"/>
      <c r="AI127" s="390"/>
      <c r="AJ127" s="390"/>
      <c r="AK127" s="390"/>
    </row>
    <row r="128" spans="1:37" s="298" customFormat="1" ht="15.75" thickBot="1">
      <c r="A128" s="299" t="s">
        <v>1226</v>
      </c>
      <c r="B128" s="124"/>
      <c r="Q128" s="393"/>
      <c r="R128" s="393"/>
      <c r="S128" s="393"/>
      <c r="T128" s="393"/>
      <c r="U128" s="393"/>
      <c r="V128" s="393"/>
      <c r="W128" s="393"/>
      <c r="X128" s="393"/>
      <c r="Y128" s="393"/>
      <c r="Z128" s="393"/>
      <c r="AA128" s="393"/>
      <c r="AB128" s="393"/>
      <c r="AC128" s="393"/>
      <c r="AE128" s="391"/>
      <c r="AF128" s="390"/>
      <c r="AG128" s="390"/>
      <c r="AH128" s="390"/>
      <c r="AI128" s="390"/>
      <c r="AJ128" s="390"/>
      <c r="AK128" s="390"/>
    </row>
    <row r="129" spans="1:37" s="298" customFormat="1" ht="16.5" thickTop="1" thickBot="1">
      <c r="A129" s="362" t="s">
        <v>1227</v>
      </c>
      <c r="B129" s="124"/>
      <c r="Q129" s="393"/>
      <c r="R129" s="393"/>
      <c r="S129" s="393"/>
      <c r="T129" s="393"/>
      <c r="U129" s="393"/>
      <c r="V129" s="393"/>
      <c r="W129" s="393"/>
      <c r="X129" s="393"/>
      <c r="Y129" s="393"/>
      <c r="Z129" s="393"/>
      <c r="AA129" s="393"/>
      <c r="AB129" s="393"/>
      <c r="AC129" s="393"/>
      <c r="AE129" s="391"/>
      <c r="AF129" s="390"/>
      <c r="AG129" s="390"/>
      <c r="AH129" s="390"/>
      <c r="AI129" s="390"/>
      <c r="AJ129" s="390"/>
      <c r="AK129" s="390"/>
    </row>
    <row r="130" spans="1:37" s="298" customFormat="1">
      <c r="A130" s="357" t="s">
        <v>1228</v>
      </c>
      <c r="B130" s="124"/>
      <c r="Q130" s="393"/>
      <c r="R130" s="393"/>
      <c r="S130" s="393"/>
      <c r="T130" s="393"/>
      <c r="U130" s="393"/>
      <c r="V130" s="393"/>
      <c r="W130" s="393"/>
      <c r="X130" s="393"/>
      <c r="Y130" s="393"/>
      <c r="Z130" s="393"/>
      <c r="AA130" s="393"/>
      <c r="AB130" s="393"/>
      <c r="AC130" s="393"/>
      <c r="AE130" s="391"/>
      <c r="AF130" s="390"/>
      <c r="AG130" s="390"/>
      <c r="AH130" s="390"/>
      <c r="AI130" s="390"/>
      <c r="AJ130" s="390"/>
      <c r="AK130" s="390"/>
    </row>
    <row r="131" spans="1:37" s="298" customFormat="1">
      <c r="A131" s="67" t="s">
        <v>1229</v>
      </c>
      <c r="B131" s="124"/>
      <c r="Q131" s="393"/>
      <c r="R131" s="393"/>
      <c r="S131" s="393"/>
      <c r="T131" s="393"/>
      <c r="U131" s="393"/>
      <c r="V131" s="393"/>
      <c r="W131" s="393"/>
      <c r="X131" s="393"/>
      <c r="Y131" s="393"/>
      <c r="Z131" s="393"/>
      <c r="AA131" s="393"/>
      <c r="AB131" s="393"/>
      <c r="AC131" s="393"/>
      <c r="AE131" s="391"/>
      <c r="AF131" s="390"/>
      <c r="AG131" s="390"/>
      <c r="AH131" s="390"/>
      <c r="AI131" s="390"/>
      <c r="AJ131" s="390"/>
      <c r="AK131" s="390"/>
    </row>
    <row r="132" spans="1:37" s="298" customFormat="1">
      <c r="A132" s="67" t="s">
        <v>1230</v>
      </c>
      <c r="B132" s="124"/>
      <c r="Q132" s="393"/>
      <c r="R132" s="393"/>
      <c r="S132" s="393"/>
      <c r="T132" s="393"/>
      <c r="U132" s="393"/>
      <c r="V132" s="393"/>
      <c r="W132" s="393"/>
      <c r="X132" s="393"/>
      <c r="Y132" s="393"/>
      <c r="Z132" s="393"/>
      <c r="AA132" s="393"/>
      <c r="AB132" s="393"/>
      <c r="AC132" s="393"/>
      <c r="AE132" s="391"/>
      <c r="AF132" s="390"/>
      <c r="AG132" s="390"/>
      <c r="AH132" s="390"/>
      <c r="AI132" s="390"/>
      <c r="AJ132" s="390"/>
      <c r="AK132" s="390"/>
    </row>
    <row r="133" spans="1:37" s="298" customFormat="1">
      <c r="A133" s="67" t="s">
        <v>1231</v>
      </c>
      <c r="B133" s="124"/>
      <c r="Q133" s="393"/>
      <c r="R133" s="393"/>
      <c r="S133" s="393"/>
      <c r="T133" s="393"/>
      <c r="U133" s="393"/>
      <c r="V133" s="393"/>
      <c r="W133" s="393"/>
      <c r="X133" s="393"/>
      <c r="Y133" s="393"/>
      <c r="Z133" s="393"/>
      <c r="AA133" s="393"/>
      <c r="AB133" s="393"/>
      <c r="AC133" s="393"/>
      <c r="AE133" s="391"/>
      <c r="AF133" s="390"/>
      <c r="AG133" s="390"/>
      <c r="AH133" s="390"/>
      <c r="AI133" s="390"/>
      <c r="AJ133" s="390"/>
      <c r="AK133" s="390"/>
    </row>
    <row r="134" spans="1:37" s="298" customFormat="1">
      <c r="A134" s="67" t="s">
        <v>1232</v>
      </c>
      <c r="B134" s="124"/>
      <c r="Q134" s="393"/>
      <c r="R134" s="393"/>
      <c r="S134" s="393"/>
      <c r="T134" s="393"/>
      <c r="U134" s="393"/>
      <c r="V134" s="393"/>
      <c r="W134" s="393"/>
      <c r="X134" s="393"/>
      <c r="Y134" s="393"/>
      <c r="Z134" s="393"/>
      <c r="AA134" s="393"/>
      <c r="AB134" s="393"/>
      <c r="AC134" s="393"/>
      <c r="AE134" s="391"/>
      <c r="AF134" s="390"/>
      <c r="AG134" s="390"/>
      <c r="AH134" s="390"/>
      <c r="AI134" s="390"/>
      <c r="AJ134" s="390"/>
      <c r="AK134" s="390"/>
    </row>
    <row r="135" spans="1:37" s="298" customFormat="1">
      <c r="A135" s="67" t="s">
        <v>1233</v>
      </c>
      <c r="B135" s="124"/>
      <c r="Q135" s="393"/>
      <c r="R135" s="393"/>
      <c r="S135" s="393"/>
      <c r="T135" s="393"/>
      <c r="U135" s="393"/>
      <c r="V135" s="393"/>
      <c r="W135" s="393"/>
      <c r="X135" s="393"/>
      <c r="Y135" s="393"/>
      <c r="Z135" s="393"/>
      <c r="AA135" s="393"/>
      <c r="AB135" s="393"/>
      <c r="AC135" s="393"/>
      <c r="AE135" s="391"/>
      <c r="AF135" s="390"/>
      <c r="AG135" s="390"/>
      <c r="AH135" s="390"/>
      <c r="AI135" s="390"/>
      <c r="AJ135" s="390"/>
      <c r="AK135" s="390"/>
    </row>
    <row r="136" spans="1:37" s="298" customFormat="1">
      <c r="A136" s="67" t="s">
        <v>1234</v>
      </c>
      <c r="B136" s="124"/>
      <c r="Q136" s="393"/>
      <c r="R136" s="393"/>
      <c r="S136" s="393"/>
      <c r="T136" s="393"/>
      <c r="U136" s="393"/>
      <c r="V136" s="393"/>
      <c r="W136" s="393"/>
      <c r="X136" s="393"/>
      <c r="Y136" s="393"/>
      <c r="Z136" s="393"/>
      <c r="AA136" s="393"/>
      <c r="AB136" s="393"/>
      <c r="AC136" s="393"/>
      <c r="AE136" s="391"/>
      <c r="AF136" s="390"/>
      <c r="AG136" s="390"/>
      <c r="AH136" s="390"/>
      <c r="AI136" s="390"/>
      <c r="AJ136" s="390"/>
      <c r="AK136" s="390"/>
    </row>
    <row r="137" spans="1:37" s="298" customFormat="1">
      <c r="A137" s="363" t="s">
        <v>1235</v>
      </c>
      <c r="B137" s="124"/>
      <c r="Q137" s="393"/>
      <c r="R137" s="393"/>
      <c r="S137" s="393"/>
      <c r="T137" s="393"/>
      <c r="U137" s="393"/>
      <c r="V137" s="393"/>
      <c r="W137" s="393"/>
      <c r="X137" s="393"/>
      <c r="Y137" s="393"/>
      <c r="Z137" s="393"/>
      <c r="AA137" s="393"/>
      <c r="AB137" s="393"/>
      <c r="AC137" s="393"/>
      <c r="AE137" s="391"/>
      <c r="AF137" s="390"/>
      <c r="AG137" s="390"/>
      <c r="AH137" s="390"/>
      <c r="AI137" s="390"/>
      <c r="AJ137" s="390"/>
      <c r="AK137" s="390"/>
    </row>
    <row r="138" spans="1:37" s="298" customFormat="1" ht="15.75" thickBot="1">
      <c r="A138" s="364" t="s">
        <v>1236</v>
      </c>
      <c r="B138" s="124"/>
      <c r="Q138" s="393"/>
      <c r="R138" s="393"/>
      <c r="S138" s="393"/>
      <c r="T138" s="393"/>
      <c r="U138" s="393"/>
      <c r="V138" s="393"/>
      <c r="W138" s="393"/>
      <c r="X138" s="393"/>
      <c r="Y138" s="393"/>
      <c r="Z138" s="393"/>
      <c r="AA138" s="393"/>
      <c r="AB138" s="393"/>
      <c r="AC138" s="393"/>
      <c r="AE138" s="391"/>
      <c r="AF138" s="390"/>
      <c r="AG138" s="390"/>
      <c r="AH138" s="390"/>
      <c r="AI138" s="390"/>
      <c r="AJ138" s="390"/>
      <c r="AK138" s="390"/>
    </row>
    <row r="139" spans="1:37" s="298" customFormat="1">
      <c r="A139" s="357" t="s">
        <v>1237</v>
      </c>
      <c r="B139" s="124"/>
      <c r="Q139" s="393"/>
      <c r="R139" s="393"/>
      <c r="S139" s="393"/>
      <c r="T139" s="393"/>
      <c r="U139" s="393"/>
      <c r="V139" s="393"/>
      <c r="W139" s="393"/>
      <c r="X139" s="393"/>
      <c r="Y139" s="393"/>
      <c r="Z139" s="393"/>
      <c r="AA139" s="393"/>
      <c r="AB139" s="393"/>
      <c r="AC139" s="393"/>
      <c r="AE139" s="391"/>
      <c r="AF139" s="390"/>
      <c r="AG139" s="390"/>
      <c r="AH139" s="390"/>
      <c r="AI139" s="390"/>
      <c r="AJ139" s="390"/>
      <c r="AK139" s="390"/>
    </row>
    <row r="140" spans="1:37" s="298" customFormat="1">
      <c r="A140" s="67" t="s">
        <v>1238</v>
      </c>
      <c r="B140" s="124"/>
      <c r="Q140" s="393"/>
      <c r="R140" s="393"/>
      <c r="S140" s="393"/>
      <c r="T140" s="393"/>
      <c r="U140" s="393"/>
      <c r="V140" s="393"/>
      <c r="W140" s="393"/>
      <c r="X140" s="393"/>
      <c r="Y140" s="393"/>
      <c r="Z140" s="393"/>
      <c r="AA140" s="393"/>
      <c r="AB140" s="393"/>
      <c r="AC140" s="393"/>
      <c r="AE140" s="391"/>
      <c r="AF140" s="390"/>
      <c r="AG140" s="390"/>
      <c r="AH140" s="390"/>
      <c r="AI140" s="390"/>
      <c r="AJ140" s="390"/>
      <c r="AK140" s="390"/>
    </row>
    <row r="141" spans="1:37" s="298" customFormat="1">
      <c r="A141" s="67" t="s">
        <v>1239</v>
      </c>
      <c r="B141" s="124"/>
      <c r="Q141" s="393"/>
      <c r="R141" s="393"/>
      <c r="S141" s="393"/>
      <c r="T141" s="393"/>
      <c r="U141" s="393"/>
      <c r="V141" s="393"/>
      <c r="W141" s="393"/>
      <c r="X141" s="393"/>
      <c r="Y141" s="393"/>
      <c r="Z141" s="393"/>
      <c r="AA141" s="393"/>
      <c r="AB141" s="393"/>
      <c r="AC141" s="393"/>
      <c r="AE141" s="391"/>
      <c r="AF141" s="390"/>
      <c r="AG141" s="390"/>
      <c r="AH141" s="390"/>
      <c r="AI141" s="390"/>
      <c r="AJ141" s="390"/>
      <c r="AK141" s="390"/>
    </row>
    <row r="142" spans="1:37" s="298" customFormat="1">
      <c r="A142" s="67" t="s">
        <v>1240</v>
      </c>
      <c r="B142" s="124"/>
      <c r="Q142" s="393"/>
      <c r="R142" s="393"/>
      <c r="S142" s="393"/>
      <c r="T142" s="393"/>
      <c r="U142" s="393"/>
      <c r="V142" s="393"/>
      <c r="W142" s="393"/>
      <c r="X142" s="393"/>
      <c r="Y142" s="393"/>
      <c r="Z142" s="393"/>
      <c r="AA142" s="393"/>
      <c r="AB142" s="393"/>
      <c r="AC142" s="393"/>
      <c r="AE142" s="391"/>
      <c r="AF142" s="390"/>
      <c r="AG142" s="390"/>
      <c r="AH142" s="390"/>
      <c r="AI142" s="390"/>
      <c r="AJ142" s="390"/>
      <c r="AK142" s="390"/>
    </row>
    <row r="143" spans="1:37" s="298" customFormat="1">
      <c r="A143" s="67" t="s">
        <v>1241</v>
      </c>
      <c r="B143" s="124"/>
      <c r="Q143" s="393"/>
      <c r="R143" s="393"/>
      <c r="S143" s="393"/>
      <c r="T143" s="393"/>
      <c r="U143" s="393"/>
      <c r="V143" s="393"/>
      <c r="W143" s="393"/>
      <c r="X143" s="393"/>
      <c r="Y143" s="393"/>
      <c r="Z143" s="393"/>
      <c r="AA143" s="393"/>
      <c r="AB143" s="393"/>
      <c r="AC143" s="393"/>
      <c r="AE143" s="391"/>
      <c r="AF143" s="390"/>
      <c r="AG143" s="390"/>
      <c r="AH143" s="390"/>
      <c r="AI143" s="390"/>
      <c r="AJ143" s="390"/>
      <c r="AK143" s="390"/>
    </row>
    <row r="144" spans="1:37" s="298" customFormat="1">
      <c r="A144" s="67" t="s">
        <v>1242</v>
      </c>
      <c r="B144" s="124"/>
      <c r="Q144" s="393"/>
      <c r="R144" s="393"/>
      <c r="S144" s="393"/>
      <c r="T144" s="393"/>
      <c r="U144" s="393"/>
      <c r="V144" s="393"/>
      <c r="W144" s="393"/>
      <c r="X144" s="393"/>
      <c r="Y144" s="393"/>
      <c r="Z144" s="393"/>
      <c r="AA144" s="393"/>
      <c r="AB144" s="393"/>
      <c r="AC144" s="393"/>
      <c r="AE144" s="391"/>
      <c r="AF144" s="390"/>
      <c r="AG144" s="390"/>
      <c r="AH144" s="390"/>
      <c r="AI144" s="390"/>
      <c r="AJ144" s="390"/>
      <c r="AK144" s="390"/>
    </row>
    <row r="145" spans="1:37" s="298" customFormat="1">
      <c r="A145" s="67" t="s">
        <v>1243</v>
      </c>
      <c r="B145" s="124"/>
      <c r="Q145" s="393"/>
      <c r="R145" s="393"/>
      <c r="S145" s="393"/>
      <c r="T145" s="393"/>
      <c r="U145" s="393"/>
      <c r="V145" s="393"/>
      <c r="W145" s="393"/>
      <c r="X145" s="393"/>
      <c r="Y145" s="393"/>
      <c r="Z145" s="393"/>
      <c r="AA145" s="393"/>
      <c r="AB145" s="393"/>
      <c r="AC145" s="393"/>
      <c r="AE145" s="391"/>
      <c r="AF145" s="390"/>
      <c r="AG145" s="390"/>
      <c r="AH145" s="390"/>
      <c r="AI145" s="390"/>
      <c r="AJ145" s="390"/>
      <c r="AK145" s="390"/>
    </row>
    <row r="146" spans="1:37" s="298" customFormat="1">
      <c r="A146" s="67" t="s">
        <v>1244</v>
      </c>
      <c r="B146" s="124"/>
      <c r="Q146" s="393"/>
      <c r="R146" s="393"/>
      <c r="S146" s="393"/>
      <c r="T146" s="393"/>
      <c r="U146" s="393"/>
      <c r="V146" s="393"/>
      <c r="W146" s="393"/>
      <c r="X146" s="393"/>
      <c r="Y146" s="393"/>
      <c r="Z146" s="393"/>
      <c r="AA146" s="393"/>
      <c r="AB146" s="393"/>
      <c r="AC146" s="393"/>
      <c r="AE146" s="391"/>
      <c r="AF146" s="390"/>
      <c r="AG146" s="390"/>
      <c r="AH146" s="390"/>
      <c r="AI146" s="390"/>
      <c r="AJ146" s="390"/>
      <c r="AK146" s="390"/>
    </row>
    <row r="147" spans="1:37" s="298" customFormat="1">
      <c r="A147" s="67" t="s">
        <v>1245</v>
      </c>
      <c r="B147" s="124"/>
      <c r="Q147" s="393"/>
      <c r="R147" s="393"/>
      <c r="S147" s="393"/>
      <c r="T147" s="393"/>
      <c r="U147" s="393"/>
      <c r="V147" s="393"/>
      <c r="W147" s="393"/>
      <c r="X147" s="393"/>
      <c r="Y147" s="393"/>
      <c r="Z147" s="393"/>
      <c r="AA147" s="393"/>
      <c r="AB147" s="393"/>
      <c r="AC147" s="393"/>
      <c r="AE147" s="391"/>
      <c r="AF147" s="390"/>
      <c r="AG147" s="390"/>
      <c r="AH147" s="390"/>
      <c r="AI147" s="390"/>
      <c r="AJ147" s="390"/>
      <c r="AK147" s="390"/>
    </row>
    <row r="148" spans="1:37" s="298" customFormat="1">
      <c r="A148" s="67" t="s">
        <v>1246</v>
      </c>
      <c r="B148" s="124"/>
      <c r="Q148" s="393"/>
      <c r="R148" s="393"/>
      <c r="S148" s="393"/>
      <c r="T148" s="393"/>
      <c r="U148" s="393"/>
      <c r="V148" s="393"/>
      <c r="W148" s="393"/>
      <c r="X148" s="393"/>
      <c r="Y148" s="393"/>
      <c r="Z148" s="393"/>
      <c r="AA148" s="393"/>
      <c r="AB148" s="393"/>
      <c r="AC148" s="393"/>
      <c r="AE148" s="391"/>
      <c r="AF148" s="390"/>
      <c r="AG148" s="390"/>
      <c r="AH148" s="390"/>
      <c r="AI148" s="390"/>
      <c r="AJ148" s="390"/>
      <c r="AK148" s="390"/>
    </row>
    <row r="149" spans="1:37" s="298" customFormat="1">
      <c r="A149" s="67" t="s">
        <v>1247</v>
      </c>
      <c r="B149" s="124"/>
      <c r="Q149" s="393"/>
      <c r="R149" s="393"/>
      <c r="S149" s="393"/>
      <c r="T149" s="393"/>
      <c r="U149" s="393"/>
      <c r="V149" s="393"/>
      <c r="W149" s="393"/>
      <c r="X149" s="393"/>
      <c r="Y149" s="393"/>
      <c r="Z149" s="393"/>
      <c r="AA149" s="393"/>
      <c r="AB149" s="393"/>
      <c r="AC149" s="393"/>
      <c r="AE149" s="391"/>
      <c r="AF149" s="390"/>
      <c r="AG149" s="390"/>
      <c r="AH149" s="390"/>
      <c r="AI149" s="390"/>
      <c r="AJ149" s="390"/>
      <c r="AK149" s="390"/>
    </row>
    <row r="150" spans="1:37" s="298" customFormat="1" ht="30">
      <c r="A150" s="67" t="s">
        <v>1248</v>
      </c>
      <c r="B150" s="124"/>
      <c r="Q150" s="393"/>
      <c r="R150" s="393"/>
      <c r="S150" s="393"/>
      <c r="T150" s="393"/>
      <c r="U150" s="393"/>
      <c r="V150" s="393"/>
      <c r="W150" s="393"/>
      <c r="X150" s="393"/>
      <c r="Y150" s="393"/>
      <c r="Z150" s="393"/>
      <c r="AA150" s="393"/>
      <c r="AB150" s="393"/>
      <c r="AC150" s="393"/>
      <c r="AE150" s="391"/>
      <c r="AF150" s="390"/>
      <c r="AG150" s="390"/>
      <c r="AH150" s="390"/>
      <c r="AI150" s="390"/>
      <c r="AJ150" s="390"/>
      <c r="AK150" s="390"/>
    </row>
    <row r="151" spans="1:37" s="298" customFormat="1">
      <c r="A151" s="67" t="s">
        <v>1249</v>
      </c>
      <c r="B151" s="124"/>
      <c r="Q151" s="393"/>
      <c r="R151" s="393"/>
      <c r="S151" s="393"/>
      <c r="T151" s="393"/>
      <c r="U151" s="393"/>
      <c r="V151" s="393"/>
      <c r="W151" s="393"/>
      <c r="X151" s="393"/>
      <c r="Y151" s="393"/>
      <c r="Z151" s="393"/>
      <c r="AA151" s="393"/>
      <c r="AB151" s="393"/>
      <c r="AC151" s="393"/>
      <c r="AE151" s="391"/>
      <c r="AF151" s="390"/>
      <c r="AG151" s="390"/>
      <c r="AH151" s="390"/>
      <c r="AI151" s="390"/>
      <c r="AJ151" s="390"/>
      <c r="AK151" s="390"/>
    </row>
    <row r="152" spans="1:37" s="298" customFormat="1">
      <c r="A152" s="67" t="s">
        <v>1250</v>
      </c>
      <c r="B152" s="124"/>
      <c r="Q152" s="393"/>
      <c r="R152" s="393"/>
      <c r="S152" s="393"/>
      <c r="T152" s="393"/>
      <c r="U152" s="393"/>
      <c r="V152" s="393"/>
      <c r="W152" s="393"/>
      <c r="X152" s="393"/>
      <c r="Y152" s="393"/>
      <c r="Z152" s="393"/>
      <c r="AA152" s="393"/>
      <c r="AB152" s="393"/>
      <c r="AC152" s="393"/>
      <c r="AE152" s="391"/>
      <c r="AF152" s="390"/>
      <c r="AG152" s="390"/>
      <c r="AH152" s="390"/>
      <c r="AI152" s="390"/>
      <c r="AJ152" s="390"/>
      <c r="AK152" s="390"/>
    </row>
    <row r="153" spans="1:37" s="298" customFormat="1">
      <c r="A153" s="67" t="s">
        <v>1251</v>
      </c>
      <c r="B153" s="124"/>
      <c r="Q153" s="393"/>
      <c r="R153" s="393"/>
      <c r="S153" s="393"/>
      <c r="T153" s="393"/>
      <c r="U153" s="393"/>
      <c r="V153" s="393"/>
      <c r="W153" s="393"/>
      <c r="X153" s="393"/>
      <c r="Y153" s="393"/>
      <c r="Z153" s="393"/>
      <c r="AA153" s="393"/>
      <c r="AB153" s="393"/>
      <c r="AC153" s="393"/>
      <c r="AE153" s="391"/>
      <c r="AF153" s="390"/>
      <c r="AG153" s="390"/>
      <c r="AH153" s="390"/>
      <c r="AI153" s="390"/>
      <c r="AJ153" s="390"/>
      <c r="AK153" s="390"/>
    </row>
    <row r="154" spans="1:37" s="298" customFormat="1">
      <c r="A154" s="67" t="s">
        <v>1252</v>
      </c>
      <c r="B154" s="124"/>
      <c r="Q154" s="393"/>
      <c r="R154" s="393"/>
      <c r="S154" s="393"/>
      <c r="T154" s="393"/>
      <c r="U154" s="393"/>
      <c r="V154" s="393"/>
      <c r="W154" s="393"/>
      <c r="X154" s="393"/>
      <c r="Y154" s="393"/>
      <c r="Z154" s="393"/>
      <c r="AA154" s="393"/>
      <c r="AB154" s="393"/>
      <c r="AC154" s="393"/>
      <c r="AE154" s="391"/>
      <c r="AF154" s="390"/>
      <c r="AG154" s="390"/>
      <c r="AH154" s="390"/>
      <c r="AI154" s="390"/>
      <c r="AJ154" s="390"/>
      <c r="AK154" s="390"/>
    </row>
    <row r="155" spans="1:37" s="298" customFormat="1">
      <c r="A155" s="67" t="s">
        <v>1253</v>
      </c>
      <c r="B155" s="124"/>
      <c r="Q155" s="393"/>
      <c r="R155" s="393"/>
      <c r="S155" s="393"/>
      <c r="T155" s="393"/>
      <c r="U155" s="393"/>
      <c r="V155" s="393"/>
      <c r="W155" s="393"/>
      <c r="X155" s="393"/>
      <c r="Y155" s="393"/>
      <c r="Z155" s="393"/>
      <c r="AA155" s="393"/>
      <c r="AB155" s="393"/>
      <c r="AC155" s="393"/>
      <c r="AE155" s="391"/>
      <c r="AF155" s="390"/>
      <c r="AG155" s="390"/>
      <c r="AH155" s="390"/>
      <c r="AI155" s="390"/>
      <c r="AJ155" s="390"/>
      <c r="AK155" s="390"/>
    </row>
    <row r="156" spans="1:37" s="298" customFormat="1">
      <c r="A156" s="67" t="s">
        <v>1254</v>
      </c>
      <c r="B156" s="124"/>
      <c r="Q156" s="393"/>
      <c r="R156" s="393"/>
      <c r="S156" s="393"/>
      <c r="T156" s="393"/>
      <c r="U156" s="393"/>
      <c r="V156" s="393"/>
      <c r="W156" s="393"/>
      <c r="X156" s="393"/>
      <c r="Y156" s="393"/>
      <c r="Z156" s="393"/>
      <c r="AA156" s="393"/>
      <c r="AB156" s="393"/>
      <c r="AC156" s="393"/>
      <c r="AE156" s="391"/>
      <c r="AF156" s="390"/>
      <c r="AG156" s="390"/>
      <c r="AH156" s="390"/>
      <c r="AI156" s="390"/>
      <c r="AJ156" s="390"/>
      <c r="AK156" s="390"/>
    </row>
    <row r="157" spans="1:37" s="298" customFormat="1">
      <c r="A157" s="67" t="s">
        <v>1255</v>
      </c>
      <c r="B157" s="124"/>
      <c r="Q157" s="393"/>
      <c r="R157" s="393"/>
      <c r="S157" s="393"/>
      <c r="T157" s="393"/>
      <c r="U157" s="393"/>
      <c r="V157" s="393"/>
      <c r="W157" s="393"/>
      <c r="X157" s="393"/>
      <c r="Y157" s="393"/>
      <c r="Z157" s="393"/>
      <c r="AA157" s="393"/>
      <c r="AB157" s="393"/>
      <c r="AC157" s="393"/>
      <c r="AE157" s="391"/>
      <c r="AF157" s="390"/>
      <c r="AG157" s="390"/>
      <c r="AH157" s="390"/>
      <c r="AI157" s="390"/>
      <c r="AJ157" s="390"/>
      <c r="AK157" s="390"/>
    </row>
    <row r="158" spans="1:37" s="298" customFormat="1">
      <c r="A158" s="67" t="s">
        <v>1256</v>
      </c>
      <c r="B158" s="124"/>
      <c r="Q158" s="393"/>
      <c r="R158" s="393"/>
      <c r="S158" s="393"/>
      <c r="T158" s="393"/>
      <c r="U158" s="393"/>
      <c r="V158" s="393"/>
      <c r="W158" s="393"/>
      <c r="X158" s="393"/>
      <c r="Y158" s="393"/>
      <c r="Z158" s="393"/>
      <c r="AA158" s="393"/>
      <c r="AB158" s="393"/>
      <c r="AC158" s="393"/>
      <c r="AE158" s="391"/>
      <c r="AF158" s="390"/>
      <c r="AG158" s="390"/>
      <c r="AH158" s="390"/>
      <c r="AI158" s="390"/>
      <c r="AJ158" s="390"/>
      <c r="AK158" s="390"/>
    </row>
    <row r="159" spans="1:37" s="298" customFormat="1">
      <c r="A159" s="67" t="s">
        <v>1257</v>
      </c>
      <c r="B159" s="124"/>
      <c r="Q159" s="393"/>
      <c r="R159" s="393"/>
      <c r="S159" s="393"/>
      <c r="T159" s="393"/>
      <c r="U159" s="393"/>
      <c r="V159" s="393"/>
      <c r="W159" s="393"/>
      <c r="X159" s="393"/>
      <c r="Y159" s="393"/>
      <c r="Z159" s="393"/>
      <c r="AA159" s="393"/>
      <c r="AB159" s="393"/>
      <c r="AC159" s="393"/>
      <c r="AE159" s="391"/>
      <c r="AF159" s="390"/>
      <c r="AG159" s="390"/>
      <c r="AH159" s="390"/>
      <c r="AI159" s="390"/>
      <c r="AJ159" s="390"/>
      <c r="AK159" s="390"/>
    </row>
    <row r="160" spans="1:37" s="298" customFormat="1">
      <c r="A160" s="67" t="s">
        <v>1258</v>
      </c>
      <c r="B160" s="124"/>
      <c r="Q160" s="393"/>
      <c r="R160" s="393"/>
      <c r="S160" s="393"/>
      <c r="T160" s="393"/>
      <c r="U160" s="393"/>
      <c r="V160" s="393"/>
      <c r="W160" s="393"/>
      <c r="X160" s="393"/>
      <c r="Y160" s="393"/>
      <c r="Z160" s="393"/>
      <c r="AA160" s="393"/>
      <c r="AB160" s="393"/>
      <c r="AC160" s="393"/>
      <c r="AE160" s="391"/>
      <c r="AF160" s="390"/>
      <c r="AG160" s="390"/>
      <c r="AH160" s="390"/>
      <c r="AI160" s="390"/>
      <c r="AJ160" s="390"/>
      <c r="AK160" s="390"/>
    </row>
    <row r="161" spans="1:37" s="298" customFormat="1">
      <c r="A161" s="67" t="s">
        <v>1259</v>
      </c>
      <c r="B161" s="124"/>
      <c r="Q161" s="393"/>
      <c r="R161" s="393"/>
      <c r="S161" s="393"/>
      <c r="T161" s="393"/>
      <c r="U161" s="393"/>
      <c r="V161" s="393"/>
      <c r="W161" s="393"/>
      <c r="X161" s="393"/>
      <c r="Y161" s="393"/>
      <c r="Z161" s="393"/>
      <c r="AA161" s="393"/>
      <c r="AB161" s="393"/>
      <c r="AC161" s="393"/>
      <c r="AE161" s="391"/>
      <c r="AF161" s="390"/>
      <c r="AG161" s="390"/>
      <c r="AH161" s="390"/>
      <c r="AI161" s="390"/>
      <c r="AJ161" s="390"/>
      <c r="AK161" s="390"/>
    </row>
    <row r="162" spans="1:37" s="298" customFormat="1">
      <c r="A162" s="67" t="s">
        <v>1260</v>
      </c>
      <c r="B162" s="124"/>
      <c r="Q162" s="393"/>
      <c r="R162" s="393"/>
      <c r="S162" s="393"/>
      <c r="T162" s="393"/>
      <c r="U162" s="393"/>
      <c r="V162" s="393"/>
      <c r="W162" s="393"/>
      <c r="X162" s="393"/>
      <c r="Y162" s="393"/>
      <c r="Z162" s="393"/>
      <c r="AA162" s="393"/>
      <c r="AB162" s="393"/>
      <c r="AC162" s="393"/>
      <c r="AE162" s="391"/>
      <c r="AF162" s="390"/>
      <c r="AG162" s="390"/>
      <c r="AH162" s="390"/>
      <c r="AI162" s="390"/>
      <c r="AJ162" s="390"/>
      <c r="AK162" s="390"/>
    </row>
    <row r="163" spans="1:37" s="298" customFormat="1" ht="15.75" thickBot="1">
      <c r="A163" s="360" t="s">
        <v>1261</v>
      </c>
      <c r="B163" s="124"/>
      <c r="Q163" s="393"/>
      <c r="R163" s="393"/>
      <c r="S163" s="393"/>
      <c r="T163" s="393"/>
      <c r="U163" s="393"/>
      <c r="V163" s="393"/>
      <c r="W163" s="393"/>
      <c r="X163" s="393"/>
      <c r="Y163" s="393"/>
      <c r="Z163" s="393"/>
      <c r="AA163" s="393"/>
      <c r="AB163" s="393"/>
      <c r="AC163" s="393"/>
      <c r="AE163" s="391"/>
      <c r="AF163" s="390"/>
      <c r="AG163" s="390"/>
      <c r="AH163" s="390"/>
      <c r="AI163" s="390"/>
      <c r="AJ163" s="390"/>
      <c r="AK163" s="390"/>
    </row>
    <row r="164" spans="1:37" s="298" customFormat="1">
      <c r="A164" s="357" t="s">
        <v>1262</v>
      </c>
      <c r="B164" s="124"/>
      <c r="Q164" s="393"/>
      <c r="R164" s="393"/>
      <c r="S164" s="393"/>
      <c r="T164" s="393"/>
      <c r="U164" s="393"/>
      <c r="V164" s="393"/>
      <c r="W164" s="393"/>
      <c r="X164" s="393"/>
      <c r="Y164" s="393"/>
      <c r="Z164" s="393"/>
      <c r="AA164" s="393"/>
      <c r="AB164" s="393"/>
      <c r="AC164" s="393"/>
      <c r="AE164" s="391"/>
      <c r="AF164" s="390"/>
      <c r="AG164" s="390"/>
      <c r="AH164" s="390"/>
      <c r="AI164" s="390"/>
      <c r="AJ164" s="390"/>
      <c r="AK164" s="390"/>
    </row>
    <row r="165" spans="1:37" s="298" customFormat="1">
      <c r="A165" s="357" t="s">
        <v>1263</v>
      </c>
      <c r="B165" s="124"/>
      <c r="Q165" s="393"/>
      <c r="R165" s="393"/>
      <c r="S165" s="393"/>
      <c r="T165" s="393"/>
      <c r="U165" s="393"/>
      <c r="V165" s="393"/>
      <c r="W165" s="393"/>
      <c r="X165" s="393"/>
      <c r="Y165" s="393"/>
      <c r="Z165" s="393"/>
      <c r="AA165" s="393"/>
      <c r="AB165" s="393"/>
      <c r="AC165" s="393"/>
      <c r="AE165" s="391"/>
      <c r="AF165" s="390"/>
      <c r="AG165" s="390"/>
      <c r="AH165" s="390"/>
      <c r="AI165" s="390"/>
      <c r="AJ165" s="390"/>
      <c r="AK165" s="390"/>
    </row>
    <row r="166" spans="1:37" s="298" customFormat="1" ht="15.75" thickBot="1">
      <c r="A166" s="359" t="s">
        <v>1264</v>
      </c>
      <c r="B166" s="124"/>
      <c r="Q166" s="393"/>
      <c r="R166" s="393"/>
      <c r="S166" s="393"/>
      <c r="T166" s="393"/>
      <c r="U166" s="393"/>
      <c r="V166" s="393"/>
      <c r="W166" s="393"/>
      <c r="X166" s="393"/>
      <c r="Y166" s="393"/>
      <c r="Z166" s="393"/>
      <c r="AA166" s="393"/>
      <c r="AB166" s="393"/>
      <c r="AC166" s="393"/>
      <c r="AE166" s="391"/>
      <c r="AF166" s="390"/>
      <c r="AG166" s="390"/>
      <c r="AH166" s="390"/>
      <c r="AI166" s="390"/>
      <c r="AJ166" s="390"/>
      <c r="AK166" s="390"/>
    </row>
    <row r="167" spans="1:37" s="298" customFormat="1">
      <c r="A167" s="357" t="s">
        <v>1265</v>
      </c>
      <c r="B167" s="124"/>
      <c r="Q167" s="393"/>
      <c r="R167" s="393"/>
      <c r="S167" s="393"/>
      <c r="T167" s="393"/>
      <c r="U167" s="393"/>
      <c r="V167" s="393"/>
      <c r="W167" s="393"/>
      <c r="X167" s="393"/>
      <c r="Y167" s="393"/>
      <c r="Z167" s="393"/>
      <c r="AA167" s="393"/>
      <c r="AB167" s="393"/>
      <c r="AC167" s="393"/>
      <c r="AE167" s="391"/>
      <c r="AF167" s="390"/>
      <c r="AG167" s="390"/>
      <c r="AH167" s="390"/>
      <c r="AI167" s="390"/>
      <c r="AJ167" s="390"/>
      <c r="AK167" s="390"/>
    </row>
    <row r="168" spans="1:37" s="298" customFormat="1">
      <c r="A168" s="67" t="s">
        <v>1266</v>
      </c>
      <c r="B168" s="124"/>
      <c r="Q168" s="393"/>
      <c r="R168" s="393"/>
      <c r="S168" s="393"/>
      <c r="T168" s="393"/>
      <c r="U168" s="393"/>
      <c r="V168" s="393"/>
      <c r="W168" s="393"/>
      <c r="X168" s="393"/>
      <c r="Y168" s="393"/>
      <c r="Z168" s="393"/>
      <c r="AA168" s="393"/>
      <c r="AB168" s="393"/>
      <c r="AC168" s="393"/>
      <c r="AE168" s="391"/>
      <c r="AF168" s="390"/>
      <c r="AG168" s="390"/>
      <c r="AH168" s="390"/>
      <c r="AI168" s="390"/>
      <c r="AJ168" s="390"/>
      <c r="AK168" s="390"/>
    </row>
    <row r="169" spans="1:37" s="298" customFormat="1">
      <c r="A169" s="67" t="s">
        <v>1267</v>
      </c>
      <c r="B169" s="124"/>
      <c r="Q169" s="393"/>
      <c r="R169" s="393"/>
      <c r="S169" s="393"/>
      <c r="T169" s="393"/>
      <c r="U169" s="393"/>
      <c r="V169" s="393"/>
      <c r="W169" s="393"/>
      <c r="X169" s="393"/>
      <c r="Y169" s="393"/>
      <c r="Z169" s="393"/>
      <c r="AA169" s="393"/>
      <c r="AB169" s="393"/>
      <c r="AC169" s="393"/>
      <c r="AE169" s="391"/>
      <c r="AF169" s="390"/>
      <c r="AG169" s="390"/>
      <c r="AH169" s="390"/>
      <c r="AI169" s="390"/>
      <c r="AJ169" s="390"/>
      <c r="AK169" s="390"/>
    </row>
    <row r="170" spans="1:37" s="298" customFormat="1">
      <c r="A170" s="67" t="s">
        <v>1268</v>
      </c>
      <c r="B170" s="124"/>
      <c r="Q170" s="393"/>
      <c r="R170" s="393"/>
      <c r="S170" s="393"/>
      <c r="T170" s="393"/>
      <c r="U170" s="393"/>
      <c r="V170" s="393"/>
      <c r="W170" s="393"/>
      <c r="X170" s="393"/>
      <c r="Y170" s="393"/>
      <c r="Z170" s="393"/>
      <c r="AA170" s="393"/>
      <c r="AB170" s="393"/>
      <c r="AC170" s="393"/>
      <c r="AE170" s="391"/>
      <c r="AF170" s="390"/>
      <c r="AG170" s="390"/>
      <c r="AH170" s="390"/>
      <c r="AI170" s="390"/>
      <c r="AJ170" s="390"/>
      <c r="AK170" s="390"/>
    </row>
    <row r="171" spans="1:37" s="298" customFormat="1">
      <c r="A171" s="67" t="s">
        <v>1269</v>
      </c>
      <c r="B171" s="124"/>
      <c r="Q171" s="393"/>
      <c r="R171" s="393"/>
      <c r="S171" s="393"/>
      <c r="T171" s="393"/>
      <c r="U171" s="393"/>
      <c r="V171" s="393"/>
      <c r="W171" s="393"/>
      <c r="X171" s="393"/>
      <c r="Y171" s="393"/>
      <c r="Z171" s="393"/>
      <c r="AA171" s="393"/>
      <c r="AB171" s="393"/>
      <c r="AC171" s="393"/>
      <c r="AE171" s="391"/>
      <c r="AF171" s="390"/>
      <c r="AG171" s="390"/>
      <c r="AH171" s="390"/>
      <c r="AI171" s="390"/>
      <c r="AJ171" s="390"/>
      <c r="AK171" s="390"/>
    </row>
    <row r="172" spans="1:37" s="298" customFormat="1">
      <c r="A172" s="67" t="s">
        <v>1270</v>
      </c>
      <c r="B172" s="124"/>
      <c r="Q172" s="393"/>
      <c r="R172" s="393"/>
      <c r="S172" s="393"/>
      <c r="T172" s="393"/>
      <c r="U172" s="393"/>
      <c r="V172" s="393"/>
      <c r="W172" s="393"/>
      <c r="X172" s="393"/>
      <c r="Y172" s="393"/>
      <c r="Z172" s="393"/>
      <c r="AA172" s="393"/>
      <c r="AB172" s="393"/>
      <c r="AC172" s="393"/>
      <c r="AE172" s="391"/>
      <c r="AF172" s="390"/>
      <c r="AG172" s="390"/>
      <c r="AH172" s="390"/>
      <c r="AI172" s="390"/>
      <c r="AJ172" s="390"/>
      <c r="AK172" s="390"/>
    </row>
    <row r="173" spans="1:37" s="298" customFormat="1">
      <c r="A173" s="67" t="s">
        <v>1271</v>
      </c>
      <c r="B173" s="124"/>
      <c r="Q173" s="393"/>
      <c r="R173" s="393"/>
      <c r="S173" s="393"/>
      <c r="T173" s="393"/>
      <c r="U173" s="393"/>
      <c r="V173" s="393"/>
      <c r="W173" s="393"/>
      <c r="X173" s="393"/>
      <c r="Y173" s="393"/>
      <c r="Z173" s="393"/>
      <c r="AA173" s="393"/>
      <c r="AB173" s="393"/>
      <c r="AC173" s="393"/>
      <c r="AE173" s="391"/>
      <c r="AF173" s="390"/>
      <c r="AG173" s="390"/>
      <c r="AH173" s="390"/>
      <c r="AI173" s="390"/>
      <c r="AJ173" s="390"/>
      <c r="AK173" s="390"/>
    </row>
    <row r="174" spans="1:37" s="298" customFormat="1" ht="15.75" thickBot="1">
      <c r="A174" s="360" t="s">
        <v>1272</v>
      </c>
      <c r="B174" s="124"/>
      <c r="Q174" s="393"/>
      <c r="R174" s="393"/>
      <c r="S174" s="393"/>
      <c r="T174" s="393"/>
      <c r="U174" s="393"/>
      <c r="V174" s="393"/>
      <c r="W174" s="393"/>
      <c r="X174" s="393"/>
      <c r="Y174" s="393"/>
      <c r="Z174" s="393"/>
      <c r="AA174" s="393"/>
      <c r="AB174" s="393"/>
      <c r="AC174" s="393"/>
      <c r="AE174" s="391"/>
      <c r="AF174" s="390"/>
      <c r="AG174" s="390"/>
      <c r="AH174" s="390"/>
      <c r="AI174" s="390"/>
      <c r="AJ174" s="390"/>
      <c r="AK174" s="390"/>
    </row>
    <row r="175" spans="1:37" s="298" customFormat="1">
      <c r="A175" s="67" t="s">
        <v>1273</v>
      </c>
      <c r="B175" s="124"/>
      <c r="Q175" s="393"/>
      <c r="R175" s="393"/>
      <c r="S175" s="393"/>
      <c r="T175" s="393"/>
      <c r="U175" s="393"/>
      <c r="V175" s="393"/>
      <c r="W175" s="393"/>
      <c r="X175" s="393"/>
      <c r="Y175" s="393"/>
      <c r="Z175" s="393"/>
      <c r="AA175" s="393"/>
      <c r="AB175" s="393"/>
      <c r="AC175" s="393"/>
      <c r="AE175" s="391"/>
      <c r="AF175" s="390"/>
      <c r="AG175" s="390"/>
      <c r="AH175" s="390"/>
      <c r="AI175" s="390"/>
      <c r="AJ175" s="390"/>
      <c r="AK175" s="390"/>
    </row>
    <row r="176" spans="1:37" s="298" customFormat="1" ht="15.75" thickBot="1">
      <c r="A176" s="360" t="s">
        <v>1274</v>
      </c>
      <c r="B176" s="124"/>
      <c r="Q176" s="393"/>
      <c r="R176" s="393"/>
      <c r="S176" s="393"/>
      <c r="T176" s="393"/>
      <c r="U176" s="393"/>
      <c r="V176" s="393"/>
      <c r="W176" s="393"/>
      <c r="X176" s="393"/>
      <c r="Y176" s="393"/>
      <c r="Z176" s="393"/>
      <c r="AA176" s="393"/>
      <c r="AB176" s="393"/>
      <c r="AC176" s="393"/>
      <c r="AE176" s="391"/>
      <c r="AF176" s="390"/>
      <c r="AG176" s="390"/>
      <c r="AH176" s="390"/>
      <c r="AI176" s="390"/>
      <c r="AJ176" s="390"/>
      <c r="AK176" s="390"/>
    </row>
    <row r="177" spans="1:37" s="298" customFormat="1">
      <c r="A177" s="357" t="s">
        <v>1275</v>
      </c>
      <c r="B177" s="124"/>
      <c r="Q177" s="393"/>
      <c r="R177" s="393"/>
      <c r="S177" s="393"/>
      <c r="T177" s="393"/>
      <c r="U177" s="393"/>
      <c r="V177" s="393"/>
      <c r="W177" s="393"/>
      <c r="X177" s="393"/>
      <c r="Y177" s="393"/>
      <c r="Z177" s="393"/>
      <c r="AA177" s="393"/>
      <c r="AB177" s="393"/>
      <c r="AC177" s="393"/>
      <c r="AE177" s="391"/>
      <c r="AF177" s="390"/>
      <c r="AG177" s="390"/>
      <c r="AH177" s="390"/>
      <c r="AI177" s="390"/>
      <c r="AJ177" s="390"/>
      <c r="AK177" s="390"/>
    </row>
    <row r="178" spans="1:37" s="298" customFormat="1">
      <c r="A178" s="357" t="s">
        <v>1276</v>
      </c>
      <c r="B178" s="124"/>
      <c r="Q178" s="393"/>
      <c r="R178" s="393"/>
      <c r="S178" s="393"/>
      <c r="T178" s="393"/>
      <c r="U178" s="393"/>
      <c r="V178" s="393"/>
      <c r="W178" s="393"/>
      <c r="X178" s="393"/>
      <c r="Y178" s="393"/>
      <c r="Z178" s="393"/>
      <c r="AA178" s="393"/>
      <c r="AB178" s="393"/>
      <c r="AC178" s="393"/>
      <c r="AE178" s="391"/>
      <c r="AF178" s="390"/>
      <c r="AG178" s="390"/>
      <c r="AH178" s="390"/>
      <c r="AI178" s="390"/>
      <c r="AJ178" s="390"/>
      <c r="AK178" s="390"/>
    </row>
    <row r="179" spans="1:37" s="298" customFormat="1">
      <c r="A179" s="357" t="s">
        <v>1277</v>
      </c>
      <c r="B179" s="124"/>
      <c r="Q179" s="393"/>
      <c r="R179" s="393"/>
      <c r="S179" s="393"/>
      <c r="T179" s="393"/>
      <c r="U179" s="393"/>
      <c r="V179" s="393"/>
      <c r="W179" s="393"/>
      <c r="X179" s="393"/>
      <c r="Y179" s="393"/>
      <c r="Z179" s="393"/>
      <c r="AA179" s="393"/>
      <c r="AB179" s="393"/>
      <c r="AC179" s="393"/>
      <c r="AE179" s="391"/>
      <c r="AF179" s="390"/>
      <c r="AG179" s="390"/>
      <c r="AH179" s="390"/>
      <c r="AI179" s="390"/>
      <c r="AJ179" s="390"/>
      <c r="AK179" s="390"/>
    </row>
    <row r="180" spans="1:37" s="298" customFormat="1">
      <c r="A180" s="357" t="s">
        <v>1278</v>
      </c>
      <c r="B180" s="124"/>
      <c r="Q180" s="393"/>
      <c r="R180" s="393"/>
      <c r="S180" s="393"/>
      <c r="T180" s="393"/>
      <c r="U180" s="393"/>
      <c r="V180" s="393"/>
      <c r="W180" s="393"/>
      <c r="X180" s="393"/>
      <c r="Y180" s="393"/>
      <c r="Z180" s="393"/>
      <c r="AA180" s="393"/>
      <c r="AB180" s="393"/>
      <c r="AC180" s="393"/>
      <c r="AE180" s="391"/>
      <c r="AF180" s="390"/>
      <c r="AG180" s="390"/>
      <c r="AH180" s="390"/>
      <c r="AI180" s="390"/>
      <c r="AJ180" s="390"/>
      <c r="AK180" s="390"/>
    </row>
    <row r="181" spans="1:37" s="298" customFormat="1" ht="15.75" thickBot="1">
      <c r="A181" s="359" t="s">
        <v>1279</v>
      </c>
      <c r="B181" s="124"/>
      <c r="Q181" s="393"/>
      <c r="R181" s="393"/>
      <c r="S181" s="393"/>
      <c r="T181" s="393"/>
      <c r="U181" s="393"/>
      <c r="V181" s="393"/>
      <c r="W181" s="393"/>
      <c r="X181" s="393"/>
      <c r="Y181" s="393"/>
      <c r="Z181" s="393"/>
      <c r="AA181" s="393"/>
      <c r="AB181" s="393"/>
      <c r="AC181" s="393"/>
      <c r="AE181" s="391"/>
      <c r="AF181" s="390"/>
      <c r="AG181" s="390"/>
      <c r="AH181" s="390"/>
      <c r="AI181" s="390"/>
      <c r="AJ181" s="390"/>
      <c r="AK181" s="390"/>
    </row>
    <row r="182" spans="1:37" s="298" customFormat="1">
      <c r="A182" s="357" t="s">
        <v>1280</v>
      </c>
      <c r="B182" s="124"/>
      <c r="Q182" s="393"/>
      <c r="R182" s="393"/>
      <c r="S182" s="393"/>
      <c r="T182" s="393"/>
      <c r="U182" s="393"/>
      <c r="V182" s="393"/>
      <c r="W182" s="393"/>
      <c r="X182" s="393"/>
      <c r="Y182" s="393"/>
      <c r="Z182" s="393"/>
      <c r="AA182" s="393"/>
      <c r="AB182" s="393"/>
      <c r="AC182" s="393"/>
      <c r="AE182" s="391"/>
      <c r="AF182" s="390"/>
      <c r="AG182" s="390"/>
      <c r="AH182" s="390"/>
      <c r="AI182" s="390"/>
      <c r="AJ182" s="390"/>
      <c r="AK182" s="390"/>
    </row>
    <row r="183" spans="1:37" s="298" customFormat="1">
      <c r="A183" s="67" t="s">
        <v>1281</v>
      </c>
      <c r="B183" s="124"/>
      <c r="Q183" s="393"/>
      <c r="R183" s="393"/>
      <c r="S183" s="393"/>
      <c r="T183" s="393"/>
      <c r="U183" s="393"/>
      <c r="V183" s="393"/>
      <c r="W183" s="393"/>
      <c r="X183" s="393"/>
      <c r="Y183" s="393"/>
      <c r="Z183" s="393"/>
      <c r="AA183" s="393"/>
      <c r="AB183" s="393"/>
      <c r="AC183" s="393"/>
      <c r="AE183" s="391"/>
      <c r="AF183" s="390"/>
      <c r="AG183" s="390"/>
      <c r="AH183" s="390"/>
      <c r="AI183" s="390"/>
      <c r="AJ183" s="390"/>
      <c r="AK183" s="390"/>
    </row>
    <row r="184" spans="1:37" s="298" customFormat="1" ht="15.75" thickBot="1">
      <c r="A184" s="360" t="s">
        <v>1282</v>
      </c>
      <c r="B184" s="124"/>
      <c r="Q184" s="393"/>
      <c r="R184" s="393"/>
      <c r="S184" s="393"/>
      <c r="T184" s="393"/>
      <c r="U184" s="393"/>
      <c r="V184" s="393"/>
      <c r="W184" s="393"/>
      <c r="X184" s="393"/>
      <c r="Y184" s="393"/>
      <c r="Z184" s="393"/>
      <c r="AA184" s="393"/>
      <c r="AB184" s="393"/>
      <c r="AC184" s="393"/>
      <c r="AE184" s="391"/>
      <c r="AF184" s="390"/>
      <c r="AG184" s="390"/>
      <c r="AH184" s="390"/>
      <c r="AI184" s="390"/>
      <c r="AJ184" s="390"/>
      <c r="AK184" s="390"/>
    </row>
    <row r="185" spans="1:37" s="298" customFormat="1">
      <c r="A185" s="357" t="s">
        <v>1283</v>
      </c>
      <c r="B185" s="124"/>
      <c r="Q185" s="393"/>
      <c r="R185" s="393"/>
      <c r="S185" s="393"/>
      <c r="T185" s="393"/>
      <c r="U185" s="393"/>
      <c r="V185" s="393"/>
      <c r="W185" s="393"/>
      <c r="X185" s="393"/>
      <c r="Y185" s="393"/>
      <c r="Z185" s="393"/>
      <c r="AA185" s="393"/>
      <c r="AB185" s="393"/>
      <c r="AC185" s="393"/>
      <c r="AE185" s="391"/>
      <c r="AF185" s="390"/>
      <c r="AG185" s="390"/>
      <c r="AH185" s="390"/>
      <c r="AI185" s="390"/>
      <c r="AJ185" s="390"/>
      <c r="AK185" s="390"/>
    </row>
    <row r="186" spans="1:37" s="298" customFormat="1">
      <c r="A186" s="357" t="s">
        <v>1284</v>
      </c>
      <c r="B186" s="124"/>
      <c r="Q186" s="393"/>
      <c r="R186" s="393"/>
      <c r="S186" s="393"/>
      <c r="T186" s="393"/>
      <c r="U186" s="393"/>
      <c r="V186" s="393"/>
      <c r="W186" s="393"/>
      <c r="X186" s="393"/>
      <c r="Y186" s="393"/>
      <c r="Z186" s="393"/>
      <c r="AA186" s="393"/>
      <c r="AB186" s="393"/>
      <c r="AC186" s="393"/>
      <c r="AE186" s="391"/>
      <c r="AF186" s="390"/>
      <c r="AG186" s="390"/>
      <c r="AH186" s="390"/>
      <c r="AI186" s="390"/>
      <c r="AJ186" s="390"/>
      <c r="AK186" s="390"/>
    </row>
    <row r="187" spans="1:37" s="298" customFormat="1" ht="15.75" thickBot="1">
      <c r="A187" s="359" t="s">
        <v>1285</v>
      </c>
      <c r="B187" s="124"/>
      <c r="Q187" s="393"/>
      <c r="R187" s="393"/>
      <c r="S187" s="393"/>
      <c r="T187" s="393"/>
      <c r="U187" s="393"/>
      <c r="V187" s="393"/>
      <c r="W187" s="393"/>
      <c r="X187" s="393"/>
      <c r="Y187" s="393"/>
      <c r="Z187" s="393"/>
      <c r="AA187" s="393"/>
      <c r="AB187" s="393"/>
      <c r="AC187" s="393"/>
      <c r="AE187" s="391"/>
      <c r="AF187" s="390"/>
      <c r="AG187" s="390"/>
      <c r="AH187" s="390"/>
      <c r="AI187" s="390"/>
      <c r="AJ187" s="390"/>
      <c r="AK187" s="390"/>
    </row>
    <row r="188" spans="1:37" s="298" customFormat="1" ht="15.75" thickBot="1">
      <c r="A188" s="359" t="s">
        <v>1286</v>
      </c>
      <c r="B188" s="124"/>
      <c r="Q188" s="393"/>
      <c r="R188" s="393"/>
      <c r="S188" s="393"/>
      <c r="T188" s="393"/>
      <c r="U188" s="393"/>
      <c r="V188" s="393"/>
      <c r="W188" s="393"/>
      <c r="X188" s="393"/>
      <c r="Y188" s="393"/>
      <c r="Z188" s="393"/>
      <c r="AA188" s="393"/>
      <c r="AB188" s="393"/>
      <c r="AC188" s="393"/>
      <c r="AE188" s="391"/>
      <c r="AF188" s="390"/>
      <c r="AG188" s="390"/>
      <c r="AH188" s="390"/>
      <c r="AI188" s="390"/>
      <c r="AJ188" s="390"/>
      <c r="AK188" s="390"/>
    </row>
    <row r="189" spans="1:37" s="298" customFormat="1">
      <c r="A189" s="357" t="s">
        <v>1287</v>
      </c>
      <c r="B189" s="124"/>
      <c r="Q189" s="393"/>
      <c r="R189" s="393"/>
      <c r="S189" s="393"/>
      <c r="T189" s="393"/>
      <c r="U189" s="393"/>
      <c r="V189" s="393"/>
      <c r="W189" s="393"/>
      <c r="X189" s="393"/>
      <c r="Y189" s="393"/>
      <c r="Z189" s="393"/>
      <c r="AA189" s="393"/>
      <c r="AB189" s="393"/>
      <c r="AC189" s="393"/>
      <c r="AE189" s="391"/>
      <c r="AF189" s="390"/>
      <c r="AG189" s="390"/>
      <c r="AH189" s="390"/>
      <c r="AI189" s="390"/>
      <c r="AJ189" s="390"/>
      <c r="AK189" s="390"/>
    </row>
    <row r="190" spans="1:37" s="298" customFormat="1">
      <c r="A190" s="67" t="s">
        <v>1288</v>
      </c>
      <c r="B190" s="124"/>
      <c r="Q190" s="393"/>
      <c r="R190" s="393"/>
      <c r="S190" s="393"/>
      <c r="T190" s="393"/>
      <c r="U190" s="393"/>
      <c r="V190" s="393"/>
      <c r="W190" s="393"/>
      <c r="X190" s="393"/>
      <c r="Y190" s="393"/>
      <c r="Z190" s="393"/>
      <c r="AA190" s="393"/>
      <c r="AB190" s="393"/>
      <c r="AC190" s="393"/>
      <c r="AE190" s="391"/>
      <c r="AF190" s="390"/>
      <c r="AG190" s="390"/>
      <c r="AH190" s="390"/>
      <c r="AI190" s="390"/>
      <c r="AJ190" s="390"/>
      <c r="AK190" s="390"/>
    </row>
    <row r="191" spans="1:37" s="298" customFormat="1">
      <c r="A191" s="67" t="s">
        <v>1289</v>
      </c>
      <c r="B191" s="124"/>
      <c r="Q191" s="393"/>
      <c r="R191" s="393"/>
      <c r="S191" s="393"/>
      <c r="T191" s="393"/>
      <c r="U191" s="393"/>
      <c r="V191" s="393"/>
      <c r="W191" s="393"/>
      <c r="X191" s="393"/>
      <c r="Y191" s="393"/>
      <c r="Z191" s="393"/>
      <c r="AA191" s="393"/>
      <c r="AB191" s="393"/>
      <c r="AC191" s="393"/>
      <c r="AE191" s="391"/>
      <c r="AF191" s="390"/>
      <c r="AG191" s="390"/>
      <c r="AH191" s="390"/>
      <c r="AI191" s="390"/>
      <c r="AJ191" s="390"/>
      <c r="AK191" s="390"/>
    </row>
    <row r="192" spans="1:37" s="298" customFormat="1">
      <c r="A192" s="67" t="s">
        <v>1290</v>
      </c>
      <c r="B192" s="124"/>
      <c r="Q192" s="393"/>
      <c r="R192" s="393"/>
      <c r="S192" s="393"/>
      <c r="T192" s="393"/>
      <c r="U192" s="393"/>
      <c r="V192" s="393"/>
      <c r="W192" s="393"/>
      <c r="X192" s="393"/>
      <c r="Y192" s="393"/>
      <c r="Z192" s="393"/>
      <c r="AA192" s="393"/>
      <c r="AB192" s="393"/>
      <c r="AC192" s="393"/>
      <c r="AE192" s="391"/>
      <c r="AF192" s="390"/>
      <c r="AG192" s="390"/>
      <c r="AH192" s="390"/>
      <c r="AI192" s="390"/>
      <c r="AJ192" s="390"/>
      <c r="AK192" s="390"/>
    </row>
    <row r="193" spans="1:37" s="298" customFormat="1" ht="15.75" thickBot="1">
      <c r="A193" s="360" t="s">
        <v>1291</v>
      </c>
      <c r="B193" s="124"/>
      <c r="Q193" s="393"/>
      <c r="R193" s="393"/>
      <c r="S193" s="393"/>
      <c r="T193" s="393"/>
      <c r="U193" s="393"/>
      <c r="V193" s="393"/>
      <c r="W193" s="393"/>
      <c r="X193" s="393"/>
      <c r="Y193" s="393"/>
      <c r="Z193" s="393"/>
      <c r="AA193" s="393"/>
      <c r="AB193" s="393"/>
      <c r="AC193" s="393"/>
      <c r="AE193" s="391"/>
      <c r="AF193" s="390"/>
      <c r="AG193" s="390"/>
      <c r="AH193" s="390"/>
      <c r="AI193" s="390"/>
      <c r="AJ193" s="390"/>
      <c r="AK193" s="390"/>
    </row>
    <row r="194" spans="1:37" s="298" customFormat="1">
      <c r="A194" s="357" t="s">
        <v>1292</v>
      </c>
      <c r="B194" s="124"/>
      <c r="Q194" s="393"/>
      <c r="R194" s="393"/>
      <c r="S194" s="393"/>
      <c r="T194" s="393"/>
      <c r="U194" s="393"/>
      <c r="V194" s="393"/>
      <c r="W194" s="393"/>
      <c r="X194" s="393"/>
      <c r="Y194" s="393"/>
      <c r="Z194" s="393"/>
      <c r="AA194" s="393"/>
      <c r="AB194" s="393"/>
      <c r="AC194" s="393"/>
      <c r="AE194" s="391"/>
      <c r="AF194" s="390"/>
      <c r="AG194" s="390"/>
      <c r="AH194" s="390"/>
      <c r="AI194" s="390"/>
      <c r="AJ194" s="390"/>
      <c r="AK194" s="390"/>
    </row>
    <row r="195" spans="1:37" s="298" customFormat="1">
      <c r="A195" s="67" t="s">
        <v>1293</v>
      </c>
      <c r="B195" s="124"/>
      <c r="Q195" s="393"/>
      <c r="R195" s="393"/>
      <c r="S195" s="393"/>
      <c r="T195" s="393"/>
      <c r="U195" s="393"/>
      <c r="V195" s="393"/>
      <c r="W195" s="393"/>
      <c r="X195" s="393"/>
      <c r="Y195" s="393"/>
      <c r="Z195" s="393"/>
      <c r="AA195" s="393"/>
      <c r="AB195" s="393"/>
      <c r="AC195" s="393"/>
      <c r="AE195" s="391"/>
      <c r="AF195" s="390"/>
      <c r="AG195" s="390"/>
      <c r="AH195" s="390"/>
      <c r="AI195" s="390"/>
      <c r="AJ195" s="390"/>
      <c r="AK195" s="390"/>
    </row>
    <row r="196" spans="1:37" s="298" customFormat="1">
      <c r="A196" s="67" t="s">
        <v>1294</v>
      </c>
      <c r="B196" s="124"/>
      <c r="Q196" s="393"/>
      <c r="R196" s="393"/>
      <c r="S196" s="393"/>
      <c r="T196" s="393"/>
      <c r="U196" s="393"/>
      <c r="V196" s="393"/>
      <c r="W196" s="393"/>
      <c r="X196" s="393"/>
      <c r="Y196" s="393"/>
      <c r="Z196" s="393"/>
      <c r="AA196" s="393"/>
      <c r="AB196" s="393"/>
      <c r="AC196" s="393"/>
      <c r="AE196" s="391"/>
      <c r="AF196" s="390"/>
      <c r="AG196" s="390"/>
      <c r="AH196" s="390"/>
      <c r="AI196" s="390"/>
      <c r="AJ196" s="390"/>
      <c r="AK196" s="390"/>
    </row>
    <row r="197" spans="1:37" s="298" customFormat="1">
      <c r="A197" s="67" t="s">
        <v>1295</v>
      </c>
      <c r="B197" s="124"/>
      <c r="Q197" s="393"/>
      <c r="R197" s="393"/>
      <c r="S197" s="393"/>
      <c r="T197" s="393"/>
      <c r="U197" s="393"/>
      <c r="V197" s="393"/>
      <c r="W197" s="393"/>
      <c r="X197" s="393"/>
      <c r="Y197" s="393"/>
      <c r="Z197" s="393"/>
      <c r="AA197" s="393"/>
      <c r="AB197" s="393"/>
      <c r="AC197" s="393"/>
      <c r="AE197" s="391"/>
      <c r="AF197" s="390"/>
      <c r="AG197" s="390"/>
      <c r="AH197" s="390"/>
      <c r="AI197" s="390"/>
      <c r="AJ197" s="390"/>
      <c r="AK197" s="390"/>
    </row>
    <row r="198" spans="1:37" s="298" customFormat="1">
      <c r="A198" s="67" t="s">
        <v>1296</v>
      </c>
      <c r="B198" s="124"/>
      <c r="Q198" s="393"/>
      <c r="R198" s="393"/>
      <c r="S198" s="393"/>
      <c r="T198" s="393"/>
      <c r="U198" s="393"/>
      <c r="V198" s="393"/>
      <c r="W198" s="393"/>
      <c r="X198" s="393"/>
      <c r="Y198" s="393"/>
      <c r="Z198" s="393"/>
      <c r="AA198" s="393"/>
      <c r="AB198" s="393"/>
      <c r="AC198" s="393"/>
      <c r="AE198" s="391"/>
      <c r="AF198" s="390"/>
      <c r="AG198" s="390"/>
      <c r="AH198" s="390"/>
      <c r="AI198" s="390"/>
      <c r="AJ198" s="390"/>
      <c r="AK198" s="390"/>
    </row>
    <row r="199" spans="1:37" s="298" customFormat="1">
      <c r="A199" s="67" t="s">
        <v>1297</v>
      </c>
      <c r="B199" s="124"/>
      <c r="Q199" s="393"/>
      <c r="R199" s="393"/>
      <c r="S199" s="393"/>
      <c r="T199" s="393"/>
      <c r="U199" s="393"/>
      <c r="V199" s="393"/>
      <c r="W199" s="393"/>
      <c r="X199" s="393"/>
      <c r="Y199" s="393"/>
      <c r="Z199" s="393"/>
      <c r="AA199" s="393"/>
      <c r="AB199" s="393"/>
      <c r="AC199" s="393"/>
      <c r="AE199" s="391"/>
      <c r="AF199" s="390"/>
      <c r="AG199" s="390"/>
      <c r="AH199" s="390"/>
      <c r="AI199" s="390"/>
      <c r="AJ199" s="390"/>
      <c r="AK199" s="390"/>
    </row>
    <row r="200" spans="1:37" s="298" customFormat="1">
      <c r="A200" s="67" t="s">
        <v>1298</v>
      </c>
      <c r="B200" s="124"/>
      <c r="Q200" s="393"/>
      <c r="R200" s="393"/>
      <c r="S200" s="393"/>
      <c r="T200" s="393"/>
      <c r="U200" s="393"/>
      <c r="V200" s="393"/>
      <c r="W200" s="393"/>
      <c r="X200" s="393"/>
      <c r="Y200" s="393"/>
      <c r="Z200" s="393"/>
      <c r="AA200" s="393"/>
      <c r="AB200" s="393"/>
      <c r="AC200" s="393"/>
      <c r="AE200" s="391"/>
      <c r="AF200" s="390"/>
      <c r="AG200" s="390"/>
      <c r="AH200" s="390"/>
      <c r="AI200" s="390"/>
      <c r="AJ200" s="390"/>
      <c r="AK200" s="390"/>
    </row>
    <row r="201" spans="1:37" s="298" customFormat="1" ht="15.75" thickBot="1">
      <c r="A201" s="299" t="s">
        <v>1299</v>
      </c>
      <c r="B201" s="124"/>
      <c r="Q201" s="393"/>
      <c r="R201" s="393"/>
      <c r="S201" s="393"/>
      <c r="T201" s="393"/>
      <c r="U201" s="393"/>
      <c r="V201" s="393"/>
      <c r="W201" s="393"/>
      <c r="X201" s="393"/>
      <c r="Y201" s="393"/>
      <c r="Z201" s="393"/>
      <c r="AA201" s="393"/>
      <c r="AB201" s="393"/>
      <c r="AC201" s="393"/>
      <c r="AE201" s="391"/>
      <c r="AF201" s="390"/>
      <c r="AG201" s="390"/>
      <c r="AH201" s="390"/>
      <c r="AI201" s="390"/>
      <c r="AJ201" s="390"/>
      <c r="AK201" s="390"/>
    </row>
    <row r="202" spans="1:37" s="298" customFormat="1" ht="15.75" thickTop="1">
      <c r="A202" s="356" t="s">
        <v>1300</v>
      </c>
      <c r="B202" s="124"/>
      <c r="Q202" s="393"/>
      <c r="R202" s="393"/>
      <c r="S202" s="393"/>
      <c r="T202" s="393"/>
      <c r="U202" s="393"/>
      <c r="V202" s="393"/>
      <c r="W202" s="393"/>
      <c r="X202" s="393"/>
      <c r="Y202" s="393"/>
      <c r="Z202" s="393"/>
      <c r="AA202" s="393"/>
      <c r="AB202" s="393"/>
      <c r="AC202" s="393"/>
      <c r="AE202" s="391"/>
      <c r="AF202" s="390"/>
      <c r="AG202" s="390"/>
      <c r="AH202" s="390"/>
      <c r="AI202" s="390"/>
      <c r="AJ202" s="390"/>
      <c r="AK202" s="390"/>
    </row>
    <row r="203" spans="1:37" s="298" customFormat="1">
      <c r="A203" s="357" t="s">
        <v>1301</v>
      </c>
      <c r="B203" s="124"/>
      <c r="Q203" s="393"/>
      <c r="R203" s="393"/>
      <c r="S203" s="393"/>
      <c r="T203" s="393"/>
      <c r="U203" s="393"/>
      <c r="V203" s="393"/>
      <c r="W203" s="393"/>
      <c r="X203" s="393"/>
      <c r="Y203" s="393"/>
      <c r="Z203" s="393"/>
      <c r="AA203" s="393"/>
      <c r="AB203" s="393"/>
      <c r="AC203" s="393"/>
      <c r="AE203" s="391"/>
      <c r="AF203" s="390"/>
      <c r="AG203" s="390"/>
      <c r="AH203" s="390"/>
      <c r="AI203" s="390"/>
      <c r="AJ203" s="390"/>
      <c r="AK203" s="390"/>
    </row>
    <row r="204" spans="1:37" s="298" customFormat="1" ht="15.75" thickBot="1">
      <c r="A204" s="359" t="s">
        <v>1302</v>
      </c>
      <c r="B204" s="124"/>
      <c r="Q204" s="393"/>
      <c r="R204" s="393"/>
      <c r="S204" s="393"/>
      <c r="T204" s="393"/>
      <c r="U204" s="393"/>
      <c r="V204" s="393"/>
      <c r="W204" s="393"/>
      <c r="X204" s="393"/>
      <c r="Y204" s="393"/>
      <c r="Z204" s="393"/>
      <c r="AA204" s="393"/>
      <c r="AB204" s="393"/>
      <c r="AC204" s="393"/>
      <c r="AE204" s="391"/>
      <c r="AF204" s="390"/>
      <c r="AG204" s="390"/>
      <c r="AH204" s="390"/>
      <c r="AI204" s="390"/>
      <c r="AJ204" s="390"/>
      <c r="AK204" s="390"/>
    </row>
    <row r="205" spans="1:37" s="298" customFormat="1">
      <c r="A205" s="357" t="s">
        <v>1303</v>
      </c>
      <c r="B205" s="124"/>
      <c r="Q205" s="393"/>
      <c r="R205" s="393"/>
      <c r="S205" s="393"/>
      <c r="T205" s="393"/>
      <c r="U205" s="393"/>
      <c r="V205" s="393"/>
      <c r="W205" s="393"/>
      <c r="X205" s="393"/>
      <c r="Y205" s="393"/>
      <c r="Z205" s="393"/>
      <c r="AA205" s="393"/>
      <c r="AB205" s="393"/>
      <c r="AC205" s="393"/>
      <c r="AE205" s="391"/>
      <c r="AF205" s="390"/>
      <c r="AG205" s="390"/>
      <c r="AH205" s="390"/>
      <c r="AI205" s="390"/>
      <c r="AJ205" s="390"/>
      <c r="AK205" s="390"/>
    </row>
    <row r="206" spans="1:37" s="298" customFormat="1">
      <c r="A206" s="67" t="s">
        <v>1304</v>
      </c>
      <c r="B206" s="124"/>
      <c r="Q206" s="393"/>
      <c r="R206" s="393"/>
      <c r="S206" s="393"/>
      <c r="T206" s="393"/>
      <c r="U206" s="393"/>
      <c r="V206" s="393"/>
      <c r="W206" s="393"/>
      <c r="X206" s="393"/>
      <c r="Y206" s="393"/>
      <c r="Z206" s="393"/>
      <c r="AA206" s="393"/>
      <c r="AB206" s="393"/>
      <c r="AC206" s="393"/>
      <c r="AE206" s="391"/>
      <c r="AF206" s="390"/>
      <c r="AG206" s="390"/>
      <c r="AH206" s="390"/>
      <c r="AI206" s="390"/>
      <c r="AJ206" s="390"/>
      <c r="AK206" s="390"/>
    </row>
    <row r="207" spans="1:37" s="298" customFormat="1">
      <c r="A207" s="67" t="s">
        <v>1305</v>
      </c>
      <c r="B207" s="124"/>
      <c r="Q207" s="393"/>
      <c r="R207" s="393"/>
      <c r="S207" s="393"/>
      <c r="T207" s="393"/>
      <c r="U207" s="393"/>
      <c r="V207" s="393"/>
      <c r="W207" s="393"/>
      <c r="X207" s="393"/>
      <c r="Y207" s="393"/>
      <c r="Z207" s="393"/>
      <c r="AA207" s="393"/>
      <c r="AB207" s="393"/>
      <c r="AC207" s="393"/>
      <c r="AE207" s="391"/>
      <c r="AF207" s="390"/>
      <c r="AG207" s="390"/>
      <c r="AH207" s="390"/>
      <c r="AI207" s="390"/>
      <c r="AJ207" s="390"/>
      <c r="AK207" s="390"/>
    </row>
    <row r="208" spans="1:37" s="298" customFormat="1">
      <c r="A208" s="67" t="s">
        <v>1306</v>
      </c>
      <c r="B208" s="124"/>
      <c r="Q208" s="393"/>
      <c r="R208" s="393"/>
      <c r="S208" s="393"/>
      <c r="T208" s="393"/>
      <c r="U208" s="393"/>
      <c r="V208" s="393"/>
      <c r="W208" s="393"/>
      <c r="X208" s="393"/>
      <c r="Y208" s="393"/>
      <c r="Z208" s="393"/>
      <c r="AA208" s="393"/>
      <c r="AB208" s="393"/>
      <c r="AC208" s="393"/>
      <c r="AE208" s="391"/>
      <c r="AF208" s="390"/>
      <c r="AG208" s="390"/>
      <c r="AH208" s="390"/>
      <c r="AI208" s="390"/>
      <c r="AJ208" s="390"/>
      <c r="AK208" s="390"/>
    </row>
    <row r="209" spans="1:37" s="298" customFormat="1">
      <c r="A209" s="67" t="s">
        <v>1307</v>
      </c>
      <c r="B209" s="124"/>
      <c r="Q209" s="393"/>
      <c r="R209" s="393"/>
      <c r="S209" s="393"/>
      <c r="T209" s="393"/>
      <c r="U209" s="393"/>
      <c r="V209" s="393"/>
      <c r="W209" s="393"/>
      <c r="X209" s="393"/>
      <c r="Y209" s="393"/>
      <c r="Z209" s="393"/>
      <c r="AA209" s="393"/>
      <c r="AB209" s="393"/>
      <c r="AC209" s="393"/>
      <c r="AE209" s="391"/>
      <c r="AF209" s="390"/>
      <c r="AG209" s="390"/>
      <c r="AH209" s="390"/>
      <c r="AI209" s="390"/>
      <c r="AJ209" s="390"/>
      <c r="AK209" s="390"/>
    </row>
    <row r="210" spans="1:37" s="298" customFormat="1">
      <c r="A210" s="67" t="s">
        <v>1308</v>
      </c>
      <c r="B210" s="124"/>
      <c r="Q210" s="393"/>
      <c r="R210" s="393"/>
      <c r="S210" s="393"/>
      <c r="T210" s="393"/>
      <c r="U210" s="393"/>
      <c r="V210" s="393"/>
      <c r="W210" s="393"/>
      <c r="X210" s="393"/>
      <c r="Y210" s="393"/>
      <c r="Z210" s="393"/>
      <c r="AA210" s="393"/>
      <c r="AB210" s="393"/>
      <c r="AC210" s="393"/>
      <c r="AE210" s="391"/>
      <c r="AF210" s="390"/>
      <c r="AG210" s="390"/>
      <c r="AH210" s="390"/>
      <c r="AI210" s="390"/>
      <c r="AJ210" s="390"/>
      <c r="AK210" s="390"/>
    </row>
    <row r="211" spans="1:37" s="298" customFormat="1">
      <c r="A211" s="67" t="s">
        <v>1309</v>
      </c>
      <c r="B211" s="124"/>
      <c r="Q211" s="393"/>
      <c r="R211" s="393"/>
      <c r="S211" s="393"/>
      <c r="T211" s="393"/>
      <c r="U211" s="393"/>
      <c r="V211" s="393"/>
      <c r="W211" s="393"/>
      <c r="X211" s="393"/>
      <c r="Y211" s="393"/>
      <c r="Z211" s="393"/>
      <c r="AA211" s="393"/>
      <c r="AB211" s="393"/>
      <c r="AC211" s="393"/>
      <c r="AE211" s="391"/>
      <c r="AF211" s="390"/>
      <c r="AG211" s="390"/>
      <c r="AH211" s="390"/>
      <c r="AI211" s="390"/>
      <c r="AJ211" s="390"/>
      <c r="AK211" s="390"/>
    </row>
    <row r="212" spans="1:37" s="298" customFormat="1">
      <c r="A212" s="67" t="s">
        <v>1310</v>
      </c>
      <c r="B212" s="124"/>
      <c r="Q212" s="393"/>
      <c r="R212" s="393"/>
      <c r="S212" s="393"/>
      <c r="T212" s="393"/>
      <c r="U212" s="393"/>
      <c r="V212" s="393"/>
      <c r="W212" s="393"/>
      <c r="X212" s="393"/>
      <c r="Y212" s="393"/>
      <c r="Z212" s="393"/>
      <c r="AA212" s="393"/>
      <c r="AB212" s="393"/>
      <c r="AC212" s="393"/>
      <c r="AE212" s="391"/>
      <c r="AF212" s="390"/>
      <c r="AG212" s="390"/>
      <c r="AH212" s="390"/>
      <c r="AI212" s="390"/>
      <c r="AJ212" s="390"/>
      <c r="AK212" s="390"/>
    </row>
    <row r="213" spans="1:37" s="298" customFormat="1">
      <c r="A213" s="67" t="s">
        <v>1311</v>
      </c>
      <c r="B213" s="124"/>
      <c r="Q213" s="393"/>
      <c r="R213" s="393"/>
      <c r="S213" s="393"/>
      <c r="T213" s="393"/>
      <c r="U213" s="393"/>
      <c r="V213" s="393"/>
      <c r="W213" s="393"/>
      <c r="X213" s="393"/>
      <c r="Y213" s="393"/>
      <c r="Z213" s="393"/>
      <c r="AA213" s="393"/>
      <c r="AB213" s="393"/>
      <c r="AC213" s="393"/>
      <c r="AE213" s="391"/>
      <c r="AF213" s="390"/>
      <c r="AG213" s="390"/>
      <c r="AH213" s="390"/>
      <c r="AI213" s="390"/>
      <c r="AJ213" s="390"/>
      <c r="AK213" s="390"/>
    </row>
    <row r="214" spans="1:37" s="298" customFormat="1">
      <c r="A214" s="67" t="s">
        <v>1312</v>
      </c>
      <c r="B214" s="124"/>
      <c r="Q214" s="393"/>
      <c r="R214" s="393"/>
      <c r="S214" s="393"/>
      <c r="T214" s="393"/>
      <c r="U214" s="393"/>
      <c r="V214" s="393"/>
      <c r="W214" s="393"/>
      <c r="X214" s="393"/>
      <c r="Y214" s="393"/>
      <c r="Z214" s="393"/>
      <c r="AA214" s="393"/>
      <c r="AB214" s="393"/>
      <c r="AC214" s="393"/>
      <c r="AE214" s="391"/>
      <c r="AF214" s="390"/>
      <c r="AG214" s="390"/>
      <c r="AH214" s="390"/>
      <c r="AI214" s="390"/>
      <c r="AJ214" s="390"/>
      <c r="AK214" s="390"/>
    </row>
    <row r="215" spans="1:37" s="298" customFormat="1">
      <c r="A215" s="67" t="s">
        <v>1313</v>
      </c>
      <c r="B215" s="124"/>
      <c r="Q215" s="393"/>
      <c r="R215" s="393"/>
      <c r="S215" s="393"/>
      <c r="T215" s="393"/>
      <c r="U215" s="393"/>
      <c r="V215" s="393"/>
      <c r="W215" s="393"/>
      <c r="X215" s="393"/>
      <c r="Y215" s="393"/>
      <c r="Z215" s="393"/>
      <c r="AA215" s="393"/>
      <c r="AB215" s="393"/>
      <c r="AC215" s="393"/>
      <c r="AE215" s="391"/>
      <c r="AF215" s="390"/>
      <c r="AG215" s="390"/>
      <c r="AH215" s="390"/>
      <c r="AI215" s="390"/>
      <c r="AJ215" s="390"/>
      <c r="AK215" s="390"/>
    </row>
    <row r="216" spans="1:37" s="298" customFormat="1" ht="15.75" thickBot="1">
      <c r="A216" s="360" t="s">
        <v>1314</v>
      </c>
      <c r="B216" s="124"/>
      <c r="Q216" s="393"/>
      <c r="R216" s="393"/>
      <c r="S216" s="393"/>
      <c r="T216" s="393"/>
      <c r="U216" s="393"/>
      <c r="V216" s="393"/>
      <c r="W216" s="393"/>
      <c r="X216" s="393"/>
      <c r="Y216" s="393"/>
      <c r="Z216" s="393"/>
      <c r="AA216" s="393"/>
      <c r="AB216" s="393"/>
      <c r="AC216" s="393"/>
      <c r="AE216" s="391"/>
      <c r="AF216" s="390"/>
      <c r="AG216" s="390"/>
      <c r="AH216" s="390"/>
      <c r="AI216" s="390"/>
      <c r="AJ216" s="390"/>
      <c r="AK216" s="390"/>
    </row>
    <row r="217" spans="1:37" s="298" customFormat="1">
      <c r="A217" s="357" t="s">
        <v>1315</v>
      </c>
      <c r="B217" s="124"/>
      <c r="Q217" s="393"/>
      <c r="R217" s="393"/>
      <c r="S217" s="393"/>
      <c r="T217" s="393"/>
      <c r="U217" s="393"/>
      <c r="V217" s="393"/>
      <c r="W217" s="393"/>
      <c r="X217" s="393"/>
      <c r="Y217" s="393"/>
      <c r="Z217" s="393"/>
      <c r="AA217" s="393"/>
      <c r="AB217" s="393"/>
      <c r="AC217" s="393"/>
      <c r="AE217" s="391"/>
      <c r="AF217" s="390"/>
      <c r="AG217" s="390"/>
      <c r="AH217" s="390"/>
      <c r="AI217" s="390"/>
      <c r="AJ217" s="390"/>
      <c r="AK217" s="390"/>
    </row>
    <row r="218" spans="1:37" s="298" customFormat="1">
      <c r="A218" s="357" t="s">
        <v>1316</v>
      </c>
      <c r="B218" s="124"/>
      <c r="Q218" s="393"/>
      <c r="R218" s="393"/>
      <c r="S218" s="393"/>
      <c r="T218" s="393"/>
      <c r="U218" s="393"/>
      <c r="V218" s="393"/>
      <c r="W218" s="393"/>
      <c r="X218" s="393"/>
      <c r="Y218" s="393"/>
      <c r="Z218" s="393"/>
      <c r="AA218" s="393"/>
      <c r="AB218" s="393"/>
      <c r="AC218" s="393"/>
      <c r="AE218" s="391"/>
      <c r="AF218" s="390"/>
      <c r="AG218" s="390"/>
      <c r="AH218" s="390"/>
      <c r="AI218" s="390"/>
      <c r="AJ218" s="390"/>
      <c r="AK218" s="390"/>
    </row>
    <row r="219" spans="1:37" s="298" customFormat="1">
      <c r="A219" s="357" t="s">
        <v>1317</v>
      </c>
      <c r="B219" s="124"/>
      <c r="Q219" s="393"/>
      <c r="R219" s="393"/>
      <c r="S219" s="393"/>
      <c r="T219" s="393"/>
      <c r="U219" s="393"/>
      <c r="V219" s="393"/>
      <c r="W219" s="393"/>
      <c r="X219" s="393"/>
      <c r="Y219" s="393"/>
      <c r="Z219" s="393"/>
      <c r="AA219" s="393"/>
      <c r="AB219" s="393"/>
      <c r="AC219" s="393"/>
      <c r="AE219" s="391"/>
      <c r="AF219" s="390"/>
      <c r="AG219" s="390"/>
      <c r="AH219" s="390"/>
      <c r="AI219" s="390"/>
      <c r="AJ219" s="390"/>
      <c r="AK219" s="390"/>
    </row>
    <row r="220" spans="1:37" s="298" customFormat="1">
      <c r="A220" s="357" t="s">
        <v>1318</v>
      </c>
      <c r="B220" s="124"/>
      <c r="Q220" s="393"/>
      <c r="R220" s="393"/>
      <c r="S220" s="393"/>
      <c r="T220" s="393"/>
      <c r="U220" s="393"/>
      <c r="V220" s="393"/>
      <c r="W220" s="393"/>
      <c r="X220" s="393"/>
      <c r="Y220" s="393"/>
      <c r="Z220" s="393"/>
      <c r="AA220" s="393"/>
      <c r="AB220" s="393"/>
      <c r="AC220" s="393"/>
      <c r="AE220" s="391"/>
      <c r="AF220" s="390"/>
      <c r="AG220" s="390"/>
      <c r="AH220" s="390"/>
      <c r="AI220" s="390"/>
      <c r="AJ220" s="390"/>
      <c r="AK220" s="390"/>
    </row>
    <row r="221" spans="1:37" s="298" customFormat="1">
      <c r="A221" s="357" t="s">
        <v>1319</v>
      </c>
      <c r="B221" s="124"/>
      <c r="Q221" s="393"/>
      <c r="R221" s="393"/>
      <c r="S221" s="393"/>
      <c r="T221" s="393"/>
      <c r="U221" s="393"/>
      <c r="V221" s="393"/>
      <c r="W221" s="393"/>
      <c r="X221" s="393"/>
      <c r="Y221" s="393"/>
      <c r="Z221" s="393"/>
      <c r="AA221" s="393"/>
      <c r="AB221" s="393"/>
      <c r="AC221" s="393"/>
      <c r="AE221" s="391"/>
      <c r="AF221" s="390"/>
      <c r="AG221" s="390"/>
      <c r="AH221" s="390"/>
      <c r="AI221" s="390"/>
      <c r="AJ221" s="390"/>
      <c r="AK221" s="390"/>
    </row>
    <row r="222" spans="1:37" s="298" customFormat="1">
      <c r="A222" s="357" t="s">
        <v>1320</v>
      </c>
      <c r="B222" s="124"/>
      <c r="Q222" s="393"/>
      <c r="R222" s="393"/>
      <c r="S222" s="393"/>
      <c r="T222" s="393"/>
      <c r="U222" s="393"/>
      <c r="V222" s="393"/>
      <c r="W222" s="393"/>
      <c r="X222" s="393"/>
      <c r="Y222" s="393"/>
      <c r="Z222" s="393"/>
      <c r="AA222" s="393"/>
      <c r="AB222" s="393"/>
      <c r="AC222" s="393"/>
      <c r="AE222" s="391"/>
      <c r="AF222" s="390"/>
      <c r="AG222" s="390"/>
      <c r="AH222" s="390"/>
      <c r="AI222" s="390"/>
      <c r="AJ222" s="390"/>
      <c r="AK222" s="390"/>
    </row>
    <row r="223" spans="1:37" s="298" customFormat="1">
      <c r="A223" s="357" t="s">
        <v>1321</v>
      </c>
      <c r="B223" s="124"/>
      <c r="Q223" s="393"/>
      <c r="R223" s="393"/>
      <c r="S223" s="393"/>
      <c r="T223" s="393"/>
      <c r="U223" s="393"/>
      <c r="V223" s="393"/>
      <c r="W223" s="393"/>
      <c r="X223" s="393"/>
      <c r="Y223" s="393"/>
      <c r="Z223" s="393"/>
      <c r="AA223" s="393"/>
      <c r="AB223" s="393"/>
      <c r="AC223" s="393"/>
      <c r="AE223" s="391"/>
      <c r="AF223" s="390"/>
      <c r="AG223" s="390"/>
      <c r="AH223" s="390"/>
      <c r="AI223" s="390"/>
      <c r="AJ223" s="390"/>
      <c r="AK223" s="390"/>
    </row>
    <row r="224" spans="1:37" s="298" customFormat="1" ht="15.75" thickBot="1">
      <c r="A224" s="359" t="s">
        <v>228</v>
      </c>
      <c r="B224" s="124"/>
      <c r="Q224" s="393"/>
      <c r="R224" s="393"/>
      <c r="S224" s="393"/>
      <c r="T224" s="393"/>
      <c r="U224" s="393"/>
      <c r="V224" s="393"/>
      <c r="W224" s="393"/>
      <c r="X224" s="393"/>
      <c r="Y224" s="393"/>
      <c r="Z224" s="393"/>
      <c r="AA224" s="393"/>
      <c r="AB224" s="393"/>
      <c r="AC224" s="393"/>
      <c r="AE224" s="391"/>
      <c r="AF224" s="390"/>
      <c r="AG224" s="390"/>
      <c r="AH224" s="390"/>
      <c r="AI224" s="390"/>
      <c r="AJ224" s="390"/>
      <c r="AK224" s="390"/>
    </row>
    <row r="225" spans="1:1">
      <c r="A225" s="357" t="s">
        <v>1322</v>
      </c>
    </row>
    <row r="226" spans="1:1">
      <c r="A226" s="67" t="s">
        <v>1323</v>
      </c>
    </row>
    <row r="227" spans="1:1">
      <c r="A227" s="67" t="s">
        <v>1324</v>
      </c>
    </row>
    <row r="228" spans="1:1">
      <c r="A228" s="67" t="s">
        <v>1325</v>
      </c>
    </row>
    <row r="229" spans="1:1">
      <c r="A229" s="67" t="s">
        <v>1326</v>
      </c>
    </row>
    <row r="230" spans="1:1">
      <c r="A230" s="67" t="s">
        <v>1327</v>
      </c>
    </row>
    <row r="231" spans="1:1">
      <c r="A231" s="67" t="s">
        <v>1328</v>
      </c>
    </row>
    <row r="232" spans="1:1" ht="15.75" thickBot="1">
      <c r="A232" s="360" t="s">
        <v>1329</v>
      </c>
    </row>
    <row r="233" spans="1:1">
      <c r="A233" s="357" t="s">
        <v>1330</v>
      </c>
    </row>
    <row r="234" spans="1:1">
      <c r="A234" s="357" t="s">
        <v>1331</v>
      </c>
    </row>
    <row r="235" spans="1:1">
      <c r="A235" s="357" t="s">
        <v>1332</v>
      </c>
    </row>
    <row r="236" spans="1:1">
      <c r="A236" s="357" t="s">
        <v>1333</v>
      </c>
    </row>
    <row r="237" spans="1:1">
      <c r="A237" s="357" t="s">
        <v>1334</v>
      </c>
    </row>
    <row r="238" spans="1:1">
      <c r="A238" s="357" t="s">
        <v>1335</v>
      </c>
    </row>
    <row r="239" spans="1:1">
      <c r="A239" s="357" t="s">
        <v>1336</v>
      </c>
    </row>
    <row r="240" spans="1:1">
      <c r="A240" s="357" t="s">
        <v>1337</v>
      </c>
    </row>
    <row r="241" spans="1:1">
      <c r="A241" s="357" t="s">
        <v>1338</v>
      </c>
    </row>
    <row r="242" spans="1:1">
      <c r="A242" s="357" t="s">
        <v>1339</v>
      </c>
    </row>
    <row r="243" spans="1:1">
      <c r="A243" s="357" t="s">
        <v>1340</v>
      </c>
    </row>
    <row r="244" spans="1:1">
      <c r="A244" s="357" t="s">
        <v>1341</v>
      </c>
    </row>
    <row r="245" spans="1:1">
      <c r="A245" s="357" t="s">
        <v>1342</v>
      </c>
    </row>
    <row r="246" spans="1:1">
      <c r="A246" s="357" t="s">
        <v>1343</v>
      </c>
    </row>
    <row r="247" spans="1:1">
      <c r="A247" s="357" t="s">
        <v>1344</v>
      </c>
    </row>
    <row r="248" spans="1:1" ht="15.75" thickBot="1">
      <c r="A248" s="359" t="s">
        <v>1345</v>
      </c>
    </row>
    <row r="249" spans="1:1">
      <c r="A249" s="357" t="s">
        <v>1346</v>
      </c>
    </row>
    <row r="250" spans="1:1">
      <c r="A250" s="67" t="s">
        <v>1347</v>
      </c>
    </row>
    <row r="251" spans="1:1">
      <c r="A251" s="67" t="s">
        <v>1348</v>
      </c>
    </row>
    <row r="252" spans="1:1">
      <c r="A252" s="67" t="s">
        <v>1349</v>
      </c>
    </row>
    <row r="253" spans="1:1">
      <c r="A253" s="67" t="s">
        <v>1350</v>
      </c>
    </row>
    <row r="254" spans="1:1">
      <c r="A254" s="67" t="s">
        <v>1351</v>
      </c>
    </row>
    <row r="255" spans="1:1">
      <c r="A255" s="67" t="s">
        <v>1352</v>
      </c>
    </row>
    <row r="256" spans="1:1">
      <c r="A256" s="67" t="s">
        <v>1353</v>
      </c>
    </row>
    <row r="257" spans="1:1" ht="30.75" thickBot="1">
      <c r="A257" s="360" t="s">
        <v>1354</v>
      </c>
    </row>
    <row r="258" spans="1:1">
      <c r="A258" s="357" t="s">
        <v>1355</v>
      </c>
    </row>
    <row r="259" spans="1:1">
      <c r="A259" s="67" t="s">
        <v>1356</v>
      </c>
    </row>
    <row r="260" spans="1:1">
      <c r="A260" s="67" t="s">
        <v>1357</v>
      </c>
    </row>
    <row r="261" spans="1:1" ht="15.75" thickBot="1">
      <c r="A261" s="360" t="s">
        <v>1358</v>
      </c>
    </row>
    <row r="262" spans="1:1">
      <c r="A262" s="357" t="s">
        <v>1359</v>
      </c>
    </row>
    <row r="263" spans="1:1">
      <c r="A263" s="357" t="s">
        <v>1360</v>
      </c>
    </row>
    <row r="264" spans="1:1">
      <c r="A264" s="357" t="s">
        <v>1361</v>
      </c>
    </row>
    <row r="265" spans="1:1">
      <c r="A265" s="357" t="s">
        <v>1362</v>
      </c>
    </row>
    <row r="266" spans="1:1" ht="15.75" thickBot="1">
      <c r="A266" s="359" t="s">
        <v>1363</v>
      </c>
    </row>
    <row r="267" spans="1:1">
      <c r="A267" s="357" t="s">
        <v>1364</v>
      </c>
    </row>
    <row r="268" spans="1:1">
      <c r="A268" s="67" t="s">
        <v>1365</v>
      </c>
    </row>
    <row r="269" spans="1:1" ht="15.75" thickBot="1">
      <c r="A269" s="360" t="s">
        <v>1366</v>
      </c>
    </row>
    <row r="270" spans="1:1">
      <c r="A270" s="357" t="s">
        <v>1367</v>
      </c>
    </row>
    <row r="271" spans="1:1">
      <c r="A271" s="357" t="s">
        <v>1368</v>
      </c>
    </row>
    <row r="272" spans="1:1">
      <c r="A272" s="357" t="s">
        <v>1369</v>
      </c>
    </row>
    <row r="273" spans="1:1" ht="15.75" thickBot="1">
      <c r="A273" s="358" t="s">
        <v>1370</v>
      </c>
    </row>
    <row r="274" spans="1:1" ht="15.75" thickTop="1">
      <c r="A274" s="356" t="s">
        <v>1371</v>
      </c>
    </row>
    <row r="275" spans="1:1">
      <c r="A275" s="357" t="s">
        <v>1372</v>
      </c>
    </row>
    <row r="276" spans="1:1">
      <c r="A276" s="357" t="s">
        <v>1373</v>
      </c>
    </row>
    <row r="277" spans="1:1" ht="15.75" thickBot="1">
      <c r="A277" s="358" t="s">
        <v>1374</v>
      </c>
    </row>
    <row r="278" spans="1:1" ht="16.5" thickTop="1" thickBot="1">
      <c r="A278" s="362" t="s">
        <v>1375</v>
      </c>
    </row>
    <row r="279" spans="1:1">
      <c r="A279" s="357" t="s">
        <v>1376</v>
      </c>
    </row>
    <row r="280" spans="1:1">
      <c r="A280" s="67" t="s">
        <v>1377</v>
      </c>
    </row>
    <row r="281" spans="1:1">
      <c r="A281" s="67" t="s">
        <v>1378</v>
      </c>
    </row>
    <row r="282" spans="1:1">
      <c r="A282" s="67" t="s">
        <v>1379</v>
      </c>
    </row>
    <row r="283" spans="1:1" ht="15.75" thickBot="1">
      <c r="A283" s="360" t="s">
        <v>1380</v>
      </c>
    </row>
    <row r="284" spans="1:1">
      <c r="A284" s="357" t="s">
        <v>1381</v>
      </c>
    </row>
    <row r="285" spans="1:1">
      <c r="A285" s="67" t="s">
        <v>1382</v>
      </c>
    </row>
    <row r="286" spans="1:1">
      <c r="A286" s="67" t="s">
        <v>1383</v>
      </c>
    </row>
    <row r="287" spans="1:1">
      <c r="A287" s="67" t="s">
        <v>1384</v>
      </c>
    </row>
    <row r="288" spans="1:1" ht="15.75" thickBot="1">
      <c r="A288" s="360" t="s">
        <v>1385</v>
      </c>
    </row>
    <row r="289" spans="1:1">
      <c r="A289" s="357" t="s">
        <v>1386</v>
      </c>
    </row>
    <row r="290" spans="1:1">
      <c r="A290" s="67" t="s">
        <v>1387</v>
      </c>
    </row>
    <row r="291" spans="1:1">
      <c r="A291" s="67" t="s">
        <v>1388</v>
      </c>
    </row>
    <row r="292" spans="1:1">
      <c r="A292" s="67" t="s">
        <v>1389</v>
      </c>
    </row>
    <row r="293" spans="1:1">
      <c r="A293" s="67" t="s">
        <v>1390</v>
      </c>
    </row>
    <row r="294" spans="1:1">
      <c r="A294" s="67" t="s">
        <v>1391</v>
      </c>
    </row>
    <row r="295" spans="1:1" ht="30">
      <c r="A295" s="363" t="s">
        <v>1392</v>
      </c>
    </row>
    <row r="296" spans="1:1" ht="15.75" thickBot="1">
      <c r="A296" s="360" t="s">
        <v>1393</v>
      </c>
    </row>
    <row r="297" spans="1:1">
      <c r="A297" s="357" t="s">
        <v>1394</v>
      </c>
    </row>
    <row r="298" spans="1:1">
      <c r="A298" s="67" t="s">
        <v>1395</v>
      </c>
    </row>
    <row r="299" spans="1:1">
      <c r="A299" s="363" t="s">
        <v>1396</v>
      </c>
    </row>
    <row r="300" spans="1:1">
      <c r="A300" s="67" t="s">
        <v>1397</v>
      </c>
    </row>
    <row r="304" spans="1:1">
      <c r="A304" s="354" t="s">
        <v>1191</v>
      </c>
    </row>
    <row r="305" spans="1:1">
      <c r="A305" s="67" t="s">
        <v>1398</v>
      </c>
    </row>
    <row r="306" spans="1:1">
      <c r="A306" s="67" t="s">
        <v>1399</v>
      </c>
    </row>
    <row r="307" spans="1:1">
      <c r="A307" s="67" t="s">
        <v>1400</v>
      </c>
    </row>
    <row r="308" spans="1:1">
      <c r="A308" s="67" t="s">
        <v>1401</v>
      </c>
    </row>
    <row r="309" spans="1:1">
      <c r="A309" s="67" t="s">
        <v>1402</v>
      </c>
    </row>
    <row r="310" spans="1:1">
      <c r="A310" s="67" t="s">
        <v>1403</v>
      </c>
    </row>
    <row r="311" spans="1:1">
      <c r="A311" s="67" t="s">
        <v>1404</v>
      </c>
    </row>
    <row r="312" spans="1:1">
      <c r="A312" s="67" t="s">
        <v>1405</v>
      </c>
    </row>
    <row r="313" spans="1:1">
      <c r="A313" s="67" t="s">
        <v>1406</v>
      </c>
    </row>
    <row r="314" spans="1:1">
      <c r="A314" s="67" t="s">
        <v>1407</v>
      </c>
    </row>
    <row r="315" spans="1:1">
      <c r="A315" s="67" t="s">
        <v>1408</v>
      </c>
    </row>
    <row r="316" spans="1:1">
      <c r="A316" s="67" t="s">
        <v>1409</v>
      </c>
    </row>
    <row r="320" spans="1:1">
      <c r="A320" s="67" t="s">
        <v>1155</v>
      </c>
    </row>
    <row r="321" spans="1:1" ht="15.75" thickBot="1">
      <c r="A321" s="355" t="s">
        <v>1410</v>
      </c>
    </row>
    <row r="322" spans="1:1">
      <c r="A322" s="357" t="s">
        <v>1411</v>
      </c>
    </row>
    <row r="323" spans="1:1">
      <c r="A323" s="67" t="s">
        <v>1412</v>
      </c>
    </row>
    <row r="324" spans="1:1">
      <c r="A324" s="67" t="s">
        <v>1413</v>
      </c>
    </row>
    <row r="325" spans="1:1">
      <c r="A325" s="363" t="s">
        <v>1414</v>
      </c>
    </row>
    <row r="326" spans="1:1" ht="15.75" thickBot="1">
      <c r="A326" s="364" t="s">
        <v>1415</v>
      </c>
    </row>
    <row r="327" spans="1:1">
      <c r="A327" s="357" t="s">
        <v>1416</v>
      </c>
    </row>
    <row r="328" spans="1:1">
      <c r="A328" s="67" t="s">
        <v>1417</v>
      </c>
    </row>
    <row r="329" spans="1:1">
      <c r="A329" s="67" t="s">
        <v>1418</v>
      </c>
    </row>
    <row r="330" spans="1:1" ht="15.75" thickBot="1">
      <c r="A330" s="360" t="s">
        <v>1419</v>
      </c>
    </row>
    <row r="331" spans="1:1" ht="15.75" thickBot="1">
      <c r="A331" s="361" t="s">
        <v>1420</v>
      </c>
    </row>
    <row r="332" spans="1:1">
      <c r="A332" s="67" t="s">
        <v>1421</v>
      </c>
    </row>
    <row r="333" spans="1:1" ht="15.75" thickBot="1">
      <c r="A333" s="360" t="s">
        <v>1422</v>
      </c>
    </row>
    <row r="334" spans="1:1">
      <c r="A334" s="357" t="s">
        <v>1423</v>
      </c>
    </row>
    <row r="335" spans="1:1">
      <c r="A335" s="67" t="s">
        <v>1424</v>
      </c>
    </row>
    <row r="336" spans="1:1">
      <c r="A336" s="67" t="s">
        <v>1425</v>
      </c>
    </row>
    <row r="337" spans="1:1">
      <c r="A337" s="67" t="s">
        <v>1426</v>
      </c>
    </row>
    <row r="338" spans="1:1">
      <c r="A338" s="67" t="s">
        <v>1427</v>
      </c>
    </row>
    <row r="339" spans="1:1" ht="15.75" thickBot="1">
      <c r="A339" s="360" t="s">
        <v>1428</v>
      </c>
    </row>
    <row r="340" spans="1:1" ht="15.75" thickBot="1">
      <c r="A340" s="361" t="s">
        <v>1429</v>
      </c>
    </row>
    <row r="341" spans="1:1" ht="15.75" thickBot="1">
      <c r="A341" s="361" t="s">
        <v>1430</v>
      </c>
    </row>
    <row r="342" spans="1:1" ht="15.75" thickBot="1">
      <c r="A342" s="361" t="s">
        <v>1431</v>
      </c>
    </row>
    <row r="343" spans="1:1">
      <c r="A343" s="67" t="s">
        <v>1432</v>
      </c>
    </row>
    <row r="344" spans="1:1" ht="15.75" thickBot="1">
      <c r="A344" s="360" t="s">
        <v>1433</v>
      </c>
    </row>
    <row r="345" spans="1:1">
      <c r="A345" s="357" t="s">
        <v>1434</v>
      </c>
    </row>
    <row r="346" spans="1:1">
      <c r="A346" s="67" t="s">
        <v>1435</v>
      </c>
    </row>
    <row r="347" spans="1:1">
      <c r="A347" s="67" t="s">
        <v>1436</v>
      </c>
    </row>
    <row r="348" spans="1:1">
      <c r="A348" s="67" t="s">
        <v>1437</v>
      </c>
    </row>
    <row r="349" spans="1:1">
      <c r="A349" s="67" t="s">
        <v>1438</v>
      </c>
    </row>
    <row r="350" spans="1:1">
      <c r="A350" s="67" t="s">
        <v>1439</v>
      </c>
    </row>
    <row r="351" spans="1:1">
      <c r="A351" s="67" t="s">
        <v>1440</v>
      </c>
    </row>
    <row r="352" spans="1:1">
      <c r="A352" s="67" t="s">
        <v>1441</v>
      </c>
    </row>
    <row r="353" spans="1:1" ht="15.75" thickBot="1">
      <c r="A353" s="360" t="s">
        <v>1442</v>
      </c>
    </row>
    <row r="354" spans="1:1">
      <c r="A354" s="357" t="s">
        <v>1443</v>
      </c>
    </row>
    <row r="355" spans="1:1">
      <c r="A355" s="67" t="s">
        <v>1444</v>
      </c>
    </row>
    <row r="356" spans="1:1" ht="15.75" thickBot="1">
      <c r="A356" s="360" t="s">
        <v>1445</v>
      </c>
    </row>
    <row r="357" spans="1:1" ht="15.75" thickBot="1">
      <c r="A357" s="365" t="s">
        <v>1446</v>
      </c>
    </row>
    <row r="358" spans="1:1" ht="15.75" thickBot="1">
      <c r="A358" s="365" t="s">
        <v>1447</v>
      </c>
    </row>
    <row r="359" spans="1:1" ht="15.75" thickBot="1">
      <c r="A359" s="365" t="s">
        <v>1448</v>
      </c>
    </row>
    <row r="360" spans="1:1">
      <c r="A360" s="366" t="s">
        <v>1449</v>
      </c>
    </row>
    <row r="361" spans="1:1">
      <c r="A361" s="67" t="s">
        <v>1450</v>
      </c>
    </row>
    <row r="362" spans="1:1" ht="15.75" thickBot="1">
      <c r="A362" s="299" t="s">
        <v>1451</v>
      </c>
    </row>
    <row r="363" spans="1:1" ht="15.75" thickTop="1">
      <c r="A363" s="356" t="s">
        <v>1452</v>
      </c>
    </row>
    <row r="364" spans="1:1">
      <c r="A364" s="67" t="s">
        <v>1453</v>
      </c>
    </row>
    <row r="365" spans="1:1">
      <c r="A365" s="67" t="s">
        <v>1454</v>
      </c>
    </row>
    <row r="366" spans="1:1">
      <c r="A366" s="67" t="s">
        <v>1455</v>
      </c>
    </row>
    <row r="367" spans="1:1">
      <c r="A367" s="67" t="s">
        <v>1456</v>
      </c>
    </row>
    <row r="368" spans="1:1">
      <c r="A368" s="67" t="s">
        <v>1457</v>
      </c>
    </row>
    <row r="369" spans="1:1">
      <c r="A369" s="67" t="s">
        <v>1458</v>
      </c>
    </row>
    <row r="370" spans="1:1">
      <c r="A370" s="67" t="s">
        <v>1459</v>
      </c>
    </row>
    <row r="371" spans="1:1">
      <c r="A371" s="67" t="s">
        <v>1460</v>
      </c>
    </row>
    <row r="372" spans="1:1">
      <c r="A372" s="67" t="s">
        <v>1461</v>
      </c>
    </row>
    <row r="373" spans="1:1" ht="15.75" thickBot="1">
      <c r="A373" s="299" t="s">
        <v>1462</v>
      </c>
    </row>
    <row r="374" spans="1:1" ht="15.75" thickTop="1">
      <c r="A374" s="367" t="s">
        <v>1463</v>
      </c>
    </row>
    <row r="375" spans="1:1">
      <c r="A375" s="357" t="s">
        <v>1464</v>
      </c>
    </row>
    <row r="376" spans="1:1">
      <c r="A376" s="357" t="s">
        <v>1465</v>
      </c>
    </row>
    <row r="377" spans="1:1">
      <c r="A377" s="357" t="s">
        <v>1466</v>
      </c>
    </row>
    <row r="378" spans="1:1">
      <c r="A378" s="357" t="s">
        <v>1467</v>
      </c>
    </row>
    <row r="379" spans="1:1">
      <c r="A379" s="357" t="s">
        <v>1468</v>
      </c>
    </row>
    <row r="380" spans="1:1">
      <c r="A380" s="357" t="s">
        <v>1469</v>
      </c>
    </row>
    <row r="381" spans="1:1">
      <c r="A381" s="357" t="s">
        <v>1470</v>
      </c>
    </row>
    <row r="382" spans="1:1">
      <c r="A382" s="357" t="s">
        <v>1471</v>
      </c>
    </row>
    <row r="383" spans="1:1" ht="15.75" thickBot="1">
      <c r="A383" s="359" t="s">
        <v>1472</v>
      </c>
    </row>
    <row r="384" spans="1:1">
      <c r="A384" s="366" t="s">
        <v>1473</v>
      </c>
    </row>
    <row r="385" spans="1:1">
      <c r="A385" s="67" t="s">
        <v>1474</v>
      </c>
    </row>
    <row r="386" spans="1:1">
      <c r="A386" s="67" t="s">
        <v>1475</v>
      </c>
    </row>
    <row r="387" spans="1:1">
      <c r="A387" s="67" t="s">
        <v>1476</v>
      </c>
    </row>
    <row r="388" spans="1:1">
      <c r="A388" s="67" t="s">
        <v>1477</v>
      </c>
    </row>
    <row r="389" spans="1:1">
      <c r="A389" s="67" t="s">
        <v>1478</v>
      </c>
    </row>
    <row r="390" spans="1:1">
      <c r="A390" s="67" t="s">
        <v>1479</v>
      </c>
    </row>
    <row r="391" spans="1:1">
      <c r="A391" s="67" t="s">
        <v>1480</v>
      </c>
    </row>
    <row r="392" spans="1:1">
      <c r="A392" s="67" t="s">
        <v>1481</v>
      </c>
    </row>
    <row r="393" spans="1:1">
      <c r="A393" s="67" t="s">
        <v>1482</v>
      </c>
    </row>
    <row r="394" spans="1:1">
      <c r="A394" s="67" t="s">
        <v>1483</v>
      </c>
    </row>
    <row r="395" spans="1:1">
      <c r="A395" s="67" t="s">
        <v>1484</v>
      </c>
    </row>
    <row r="396" spans="1:1" ht="15.75" thickBot="1">
      <c r="A396" s="299" t="s">
        <v>1485</v>
      </c>
    </row>
    <row r="397" spans="1:1" ht="15.75" thickTop="1">
      <c r="A397" s="356" t="s">
        <v>1486</v>
      </c>
    </row>
    <row r="398" spans="1:1">
      <c r="A398" s="357" t="s">
        <v>1487</v>
      </c>
    </row>
    <row r="399" spans="1:1">
      <c r="A399" s="357" t="s">
        <v>1488</v>
      </c>
    </row>
    <row r="400" spans="1:1" ht="30.75" thickBot="1">
      <c r="A400" s="368" t="s">
        <v>1489</v>
      </c>
    </row>
    <row r="401" spans="1:1" ht="15.75" thickTop="1">
      <c r="A401" s="356" t="s">
        <v>1490</v>
      </c>
    </row>
    <row r="402" spans="1:1">
      <c r="A402" s="357" t="s">
        <v>1491</v>
      </c>
    </row>
    <row r="403" spans="1:1">
      <c r="A403" s="357" t="s">
        <v>1492</v>
      </c>
    </row>
    <row r="404" spans="1:1">
      <c r="A404" s="124"/>
    </row>
    <row r="405" spans="1:1">
      <c r="A405" s="124"/>
    </row>
    <row r="406" spans="1:1">
      <c r="A406" s="124"/>
    </row>
    <row r="407" spans="1:1" ht="15.75" thickBot="1">
      <c r="A407" s="369" t="s">
        <v>1134</v>
      </c>
    </row>
    <row r="408" spans="1:1" ht="16.5" thickTop="1" thickBot="1">
      <c r="A408" s="370" t="s">
        <v>1493</v>
      </c>
    </row>
    <row r="409" spans="1:1">
      <c r="A409" s="357" t="s">
        <v>1494</v>
      </c>
    </row>
    <row r="410" spans="1:1">
      <c r="A410" s="67" t="s">
        <v>1495</v>
      </c>
    </row>
    <row r="411" spans="1:1">
      <c r="A411" s="67" t="s">
        <v>1496</v>
      </c>
    </row>
    <row r="412" spans="1:1">
      <c r="A412" s="67" t="s">
        <v>1497</v>
      </c>
    </row>
    <row r="413" spans="1:1">
      <c r="A413" s="67" t="s">
        <v>1498</v>
      </c>
    </row>
    <row r="414" spans="1:1">
      <c r="A414" s="67" t="s">
        <v>1499</v>
      </c>
    </row>
    <row r="415" spans="1:1">
      <c r="A415" s="67" t="s">
        <v>1500</v>
      </c>
    </row>
    <row r="416" spans="1:1">
      <c r="A416" s="67" t="s">
        <v>1501</v>
      </c>
    </row>
    <row r="417" spans="1:1">
      <c r="A417" s="67" t="s">
        <v>1502</v>
      </c>
    </row>
    <row r="418" spans="1:1">
      <c r="A418" s="67" t="s">
        <v>1503</v>
      </c>
    </row>
    <row r="419" spans="1:1" ht="15.75" thickBot="1">
      <c r="A419" s="360" t="s">
        <v>1504</v>
      </c>
    </row>
    <row r="420" spans="1:1">
      <c r="A420" s="357" t="s">
        <v>1505</v>
      </c>
    </row>
    <row r="421" spans="1:1">
      <c r="A421" s="67" t="s">
        <v>1506</v>
      </c>
    </row>
    <row r="422" spans="1:1">
      <c r="A422" s="67" t="s">
        <v>1507</v>
      </c>
    </row>
    <row r="423" spans="1:1">
      <c r="A423" s="67" t="s">
        <v>1508</v>
      </c>
    </row>
    <row r="424" spans="1:1">
      <c r="A424" s="67" t="s">
        <v>1509</v>
      </c>
    </row>
    <row r="425" spans="1:1">
      <c r="A425" s="67" t="s">
        <v>1510</v>
      </c>
    </row>
    <row r="426" spans="1:1" ht="15.75" thickBot="1">
      <c r="A426" s="360" t="s">
        <v>1511</v>
      </c>
    </row>
    <row r="427" spans="1:1" ht="15.75" thickBot="1">
      <c r="A427" s="371" t="s">
        <v>1512</v>
      </c>
    </row>
    <row r="428" spans="1:1" ht="15.75" thickTop="1">
      <c r="A428" s="372" t="s">
        <v>1513</v>
      </c>
    </row>
    <row r="429" spans="1:1">
      <c r="A429" s="357" t="s">
        <v>1514</v>
      </c>
    </row>
    <row r="430" spans="1:1" ht="15.75" thickBot="1">
      <c r="A430" s="359" t="s">
        <v>1515</v>
      </c>
    </row>
    <row r="431" spans="1:1">
      <c r="A431" s="357" t="s">
        <v>1516</v>
      </c>
    </row>
    <row r="432" spans="1:1">
      <c r="A432" s="67" t="s">
        <v>1517</v>
      </c>
    </row>
    <row r="433" spans="1:1">
      <c r="A433" s="67" t="s">
        <v>1518</v>
      </c>
    </row>
    <row r="434" spans="1:1">
      <c r="A434" s="67" t="s">
        <v>1519</v>
      </c>
    </row>
    <row r="435" spans="1:1" ht="15.75" thickBot="1">
      <c r="A435" s="360" t="s">
        <v>1520</v>
      </c>
    </row>
    <row r="436" spans="1:1">
      <c r="A436" s="357" t="s">
        <v>1521</v>
      </c>
    </row>
    <row r="437" spans="1:1">
      <c r="A437" s="357" t="s">
        <v>1522</v>
      </c>
    </row>
    <row r="438" spans="1:1">
      <c r="A438" s="357" t="s">
        <v>1523</v>
      </c>
    </row>
    <row r="439" spans="1:1" ht="15.75" thickBot="1">
      <c r="A439" s="359" t="s">
        <v>1524</v>
      </c>
    </row>
    <row r="440" spans="1:1">
      <c r="A440" s="357" t="s">
        <v>1525</v>
      </c>
    </row>
    <row r="441" spans="1:1">
      <c r="A441" s="67" t="s">
        <v>1526</v>
      </c>
    </row>
    <row r="442" spans="1:1">
      <c r="A442" s="67" t="s">
        <v>1527</v>
      </c>
    </row>
    <row r="443" spans="1:1">
      <c r="A443" s="67" t="s">
        <v>1528</v>
      </c>
    </row>
    <row r="444" spans="1:1">
      <c r="A444" s="67" t="s">
        <v>1529</v>
      </c>
    </row>
    <row r="445" spans="1:1">
      <c r="A445" s="67" t="s">
        <v>1530</v>
      </c>
    </row>
    <row r="446" spans="1:1">
      <c r="A446" s="67" t="s">
        <v>1531</v>
      </c>
    </row>
    <row r="447" spans="1:1">
      <c r="A447" s="67" t="s">
        <v>1532</v>
      </c>
    </row>
    <row r="448" spans="1:1">
      <c r="A448" s="67" t="s">
        <v>1533</v>
      </c>
    </row>
    <row r="449" spans="1:1" ht="15.75" thickBot="1">
      <c r="A449" s="360" t="s">
        <v>1534</v>
      </c>
    </row>
    <row r="450" spans="1:1">
      <c r="A450" s="357" t="s">
        <v>1535</v>
      </c>
    </row>
    <row r="451" spans="1:1">
      <c r="A451" s="67" t="s">
        <v>1536</v>
      </c>
    </row>
    <row r="452" spans="1:1">
      <c r="A452" s="67" t="s">
        <v>1537</v>
      </c>
    </row>
    <row r="453" spans="1:1">
      <c r="A453" s="67" t="s">
        <v>1538</v>
      </c>
    </row>
    <row r="454" spans="1:1">
      <c r="A454" s="363" t="s">
        <v>1539</v>
      </c>
    </row>
    <row r="455" spans="1:1" ht="15.75" thickBot="1">
      <c r="A455" s="364" t="s">
        <v>1540</v>
      </c>
    </row>
    <row r="456" spans="1:1">
      <c r="A456" s="366" t="s">
        <v>1541</v>
      </c>
    </row>
    <row r="457" spans="1:1" ht="15.75" thickBot="1">
      <c r="A457" s="368" t="s">
        <v>1542</v>
      </c>
    </row>
    <row r="458" spans="1:1" ht="16.5" thickTop="1" thickBot="1">
      <c r="A458" s="370" t="s">
        <v>1543</v>
      </c>
    </row>
    <row r="459" spans="1:1">
      <c r="A459" s="357" t="s">
        <v>1544</v>
      </c>
    </row>
    <row r="460" spans="1:1">
      <c r="A460" s="67" t="s">
        <v>1545</v>
      </c>
    </row>
    <row r="461" spans="1:1">
      <c r="A461" s="67" t="s">
        <v>1546</v>
      </c>
    </row>
    <row r="462" spans="1:1">
      <c r="A462" s="67" t="s">
        <v>1547</v>
      </c>
    </row>
    <row r="463" spans="1:1">
      <c r="A463" s="67" t="s">
        <v>1548</v>
      </c>
    </row>
    <row r="464" spans="1:1">
      <c r="A464" s="67" t="s">
        <v>1549</v>
      </c>
    </row>
    <row r="465" spans="1:1">
      <c r="A465" s="67" t="s">
        <v>1550</v>
      </c>
    </row>
    <row r="466" spans="1:1">
      <c r="A466" s="67" t="s">
        <v>1551</v>
      </c>
    </row>
    <row r="467" spans="1:1">
      <c r="A467" s="67" t="s">
        <v>1552</v>
      </c>
    </row>
    <row r="468" spans="1:1">
      <c r="A468" s="67" t="s">
        <v>1553</v>
      </c>
    </row>
    <row r="469" spans="1:1">
      <c r="A469" s="67" t="s">
        <v>1554</v>
      </c>
    </row>
    <row r="470" spans="1:1">
      <c r="A470" s="67" t="s">
        <v>1555</v>
      </c>
    </row>
    <row r="471" spans="1:1">
      <c r="A471" s="357" t="s">
        <v>1556</v>
      </c>
    </row>
    <row r="472" spans="1:1">
      <c r="A472" s="67" t="s">
        <v>1557</v>
      </c>
    </row>
    <row r="473" spans="1:1">
      <c r="A473" s="67" t="s">
        <v>1558</v>
      </c>
    </row>
    <row r="474" spans="1:1">
      <c r="A474" s="67" t="s">
        <v>1559</v>
      </c>
    </row>
    <row r="475" spans="1:1">
      <c r="A475" s="67" t="s">
        <v>1560</v>
      </c>
    </row>
    <row r="476" spans="1:1">
      <c r="A476" s="67" t="s">
        <v>1561</v>
      </c>
    </row>
    <row r="477" spans="1:1">
      <c r="A477" s="67" t="s">
        <v>1562</v>
      </c>
    </row>
    <row r="478" spans="1:1" ht="15.75" thickBot="1">
      <c r="A478" s="360" t="s">
        <v>1563</v>
      </c>
    </row>
    <row r="479" spans="1:1">
      <c r="A479" s="357" t="s">
        <v>1564</v>
      </c>
    </row>
    <row r="480" spans="1:1">
      <c r="A480" s="67" t="s">
        <v>1565</v>
      </c>
    </row>
    <row r="481" spans="1:1">
      <c r="A481" s="67" t="s">
        <v>1566</v>
      </c>
    </row>
    <row r="482" spans="1:1" ht="15.75" thickBot="1">
      <c r="A482" s="360" t="s">
        <v>1567</v>
      </c>
    </row>
    <row r="483" spans="1:1">
      <c r="A483" s="357" t="s">
        <v>1568</v>
      </c>
    </row>
    <row r="484" spans="1:1">
      <c r="A484" s="67" t="s">
        <v>1569</v>
      </c>
    </row>
    <row r="485" spans="1:1">
      <c r="A485" s="67" t="s">
        <v>1570</v>
      </c>
    </row>
    <row r="486" spans="1:1">
      <c r="A486" s="67" t="s">
        <v>1571</v>
      </c>
    </row>
    <row r="487" spans="1:1">
      <c r="A487" s="67" t="s">
        <v>1572</v>
      </c>
    </row>
    <row r="488" spans="1:1">
      <c r="A488" s="67" t="s">
        <v>1573</v>
      </c>
    </row>
    <row r="489" spans="1:1">
      <c r="A489" s="67" t="s">
        <v>1574</v>
      </c>
    </row>
    <row r="490" spans="1:1">
      <c r="A490" s="67" t="s">
        <v>1575</v>
      </c>
    </row>
    <row r="491" spans="1:1">
      <c r="A491" s="67" t="s">
        <v>1576</v>
      </c>
    </row>
    <row r="492" spans="1:1" ht="15.75" thickBot="1">
      <c r="A492" s="360" t="s">
        <v>1577</v>
      </c>
    </row>
    <row r="493" spans="1:1">
      <c r="A493" s="357" t="s">
        <v>1578</v>
      </c>
    </row>
    <row r="494" spans="1:1">
      <c r="A494" s="67" t="s">
        <v>1579</v>
      </c>
    </row>
    <row r="495" spans="1:1">
      <c r="A495" s="67" t="s">
        <v>1580</v>
      </c>
    </row>
    <row r="496" spans="1:1">
      <c r="A496" s="67" t="s">
        <v>1581</v>
      </c>
    </row>
    <row r="497" spans="1:1">
      <c r="A497" s="67" t="s">
        <v>1582</v>
      </c>
    </row>
    <row r="498" spans="1:1">
      <c r="A498" s="67" t="s">
        <v>1583</v>
      </c>
    </row>
    <row r="499" spans="1:1">
      <c r="A499" s="67" t="s">
        <v>1584</v>
      </c>
    </row>
    <row r="500" spans="1:1">
      <c r="A500" s="67" t="s">
        <v>1585</v>
      </c>
    </row>
    <row r="501" spans="1:1">
      <c r="A501" s="67" t="s">
        <v>1586</v>
      </c>
    </row>
    <row r="502" spans="1:1">
      <c r="A502" s="67" t="s">
        <v>1587</v>
      </c>
    </row>
    <row r="503" spans="1:1">
      <c r="A503" s="67" t="s">
        <v>1588</v>
      </c>
    </row>
    <row r="504" spans="1:1">
      <c r="A504" s="67" t="s">
        <v>1589</v>
      </c>
    </row>
    <row r="505" spans="1:1">
      <c r="A505" s="67" t="s">
        <v>1590</v>
      </c>
    </row>
    <row r="506" spans="1:1">
      <c r="A506" s="67" t="s">
        <v>1591</v>
      </c>
    </row>
    <row r="507" spans="1:1" ht="15.75" thickBot="1">
      <c r="A507" s="360" t="s">
        <v>1592</v>
      </c>
    </row>
    <row r="508" spans="1:1">
      <c r="A508" s="357" t="s">
        <v>1593</v>
      </c>
    </row>
    <row r="509" spans="1:1">
      <c r="A509" s="67" t="s">
        <v>1594</v>
      </c>
    </row>
    <row r="510" spans="1:1">
      <c r="A510" s="67" t="s">
        <v>1595</v>
      </c>
    </row>
    <row r="511" spans="1:1">
      <c r="A511" s="67" t="s">
        <v>1596</v>
      </c>
    </row>
    <row r="512" spans="1:1" ht="15.75" thickBot="1">
      <c r="A512" s="299" t="s">
        <v>1597</v>
      </c>
    </row>
    <row r="513" spans="1:1" ht="15.75" thickTop="1">
      <c r="A513" s="372" t="s">
        <v>1598</v>
      </c>
    </row>
    <row r="514" spans="1:1">
      <c r="A514" s="357" t="s">
        <v>1599</v>
      </c>
    </row>
    <row r="515" spans="1:1">
      <c r="A515" s="357" t="s">
        <v>1600</v>
      </c>
    </row>
    <row r="516" spans="1:1" ht="15.75" thickBot="1">
      <c r="A516" s="359" t="s">
        <v>1601</v>
      </c>
    </row>
    <row r="517" spans="1:1">
      <c r="A517" s="357" t="s">
        <v>1602</v>
      </c>
    </row>
    <row r="518" spans="1:1">
      <c r="A518" s="67" t="s">
        <v>1603</v>
      </c>
    </row>
    <row r="519" spans="1:1">
      <c r="A519" s="67" t="s">
        <v>1604</v>
      </c>
    </row>
    <row r="520" spans="1:1" ht="15.75" thickBot="1">
      <c r="A520" s="360" t="s">
        <v>1605</v>
      </c>
    </row>
    <row r="521" spans="1:1">
      <c r="A521" s="357" t="s">
        <v>1606</v>
      </c>
    </row>
    <row r="522" spans="1:1">
      <c r="A522" s="357" t="s">
        <v>1607</v>
      </c>
    </row>
    <row r="523" spans="1:1">
      <c r="A523" s="357" t="s">
        <v>1608</v>
      </c>
    </row>
    <row r="524" spans="1:1">
      <c r="A524" s="357" t="s">
        <v>1609</v>
      </c>
    </row>
    <row r="525" spans="1:1">
      <c r="A525" s="357" t="s">
        <v>1610</v>
      </c>
    </row>
    <row r="526" spans="1:1">
      <c r="A526" s="357" t="s">
        <v>1611</v>
      </c>
    </row>
    <row r="527" spans="1:1">
      <c r="A527" s="357" t="s">
        <v>1612</v>
      </c>
    </row>
    <row r="528" spans="1:1">
      <c r="A528" s="357" t="s">
        <v>1613</v>
      </c>
    </row>
    <row r="529" spans="1:1">
      <c r="A529" s="357" t="s">
        <v>1614</v>
      </c>
    </row>
    <row r="530" spans="1:1" ht="15.75" thickBot="1">
      <c r="A530" s="359" t="s">
        <v>1615</v>
      </c>
    </row>
    <row r="531" spans="1:1">
      <c r="A531" s="357" t="s">
        <v>1616</v>
      </c>
    </row>
    <row r="532" spans="1:1">
      <c r="A532" s="67" t="s">
        <v>1617</v>
      </c>
    </row>
    <row r="533" spans="1:1" ht="15.75" thickBot="1">
      <c r="A533" s="360" t="s">
        <v>1618</v>
      </c>
    </row>
    <row r="534" spans="1:1">
      <c r="A534" s="67" t="s">
        <v>1619</v>
      </c>
    </row>
    <row r="535" spans="1:1" ht="15.75" thickBot="1">
      <c r="A535" s="299" t="s">
        <v>1620</v>
      </c>
    </row>
    <row r="536" spans="1:1" ht="15.75" thickTop="1">
      <c r="A536" s="372" t="s">
        <v>1621</v>
      </c>
    </row>
    <row r="537" spans="1:1">
      <c r="A537" s="357" t="s">
        <v>1622</v>
      </c>
    </row>
    <row r="538" spans="1:1">
      <c r="A538" s="67" t="s">
        <v>1623</v>
      </c>
    </row>
    <row r="539" spans="1:1">
      <c r="A539" s="67" t="s">
        <v>1624</v>
      </c>
    </row>
    <row r="540" spans="1:1">
      <c r="A540" s="67" t="s">
        <v>1625</v>
      </c>
    </row>
    <row r="541" spans="1:1">
      <c r="A541" s="67" t="s">
        <v>1626</v>
      </c>
    </row>
    <row r="542" spans="1:1" ht="15.75" thickBot="1">
      <c r="A542" s="360" t="s">
        <v>1627</v>
      </c>
    </row>
    <row r="543" spans="1:1">
      <c r="A543" s="357" t="s">
        <v>1628</v>
      </c>
    </row>
    <row r="544" spans="1:1">
      <c r="A544" s="67" t="s">
        <v>1629</v>
      </c>
    </row>
    <row r="545" spans="1:1">
      <c r="A545" s="67" t="s">
        <v>1630</v>
      </c>
    </row>
    <row r="546" spans="1:1" ht="15.75" thickBot="1">
      <c r="A546" s="299" t="s">
        <v>1631</v>
      </c>
    </row>
    <row r="547" spans="1:1" ht="15.75" thickTop="1">
      <c r="A547" s="372" t="s">
        <v>1632</v>
      </c>
    </row>
    <row r="548" spans="1:1">
      <c r="A548" s="357" t="s">
        <v>1633</v>
      </c>
    </row>
    <row r="549" spans="1:1">
      <c r="A549" s="67" t="s">
        <v>1634</v>
      </c>
    </row>
    <row r="550" spans="1:1">
      <c r="A550" s="67" t="s">
        <v>1635</v>
      </c>
    </row>
    <row r="551" spans="1:1">
      <c r="A551" s="67" t="s">
        <v>1636</v>
      </c>
    </row>
    <row r="552" spans="1:1">
      <c r="A552" s="67" t="s">
        <v>1637</v>
      </c>
    </row>
    <row r="553" spans="1:1">
      <c r="A553" s="67" t="s">
        <v>1638</v>
      </c>
    </row>
    <row r="554" spans="1:1">
      <c r="A554" s="67" t="s">
        <v>1639</v>
      </c>
    </row>
    <row r="555" spans="1:1">
      <c r="A555" s="67" t="s">
        <v>1640</v>
      </c>
    </row>
    <row r="556" spans="1:1">
      <c r="A556" s="67" t="s">
        <v>1641</v>
      </c>
    </row>
    <row r="557" spans="1:1">
      <c r="A557" s="67" t="s">
        <v>1642</v>
      </c>
    </row>
    <row r="558" spans="1:1" ht="15.75" thickBot="1">
      <c r="A558" s="360" t="s">
        <v>1643</v>
      </c>
    </row>
    <row r="559" spans="1:1">
      <c r="A559" s="357" t="s">
        <v>1644</v>
      </c>
    </row>
    <row r="560" spans="1:1">
      <c r="A560" s="67" t="s">
        <v>1645</v>
      </c>
    </row>
    <row r="561" spans="1:1">
      <c r="A561" s="67" t="s">
        <v>1646</v>
      </c>
    </row>
    <row r="562" spans="1:1">
      <c r="A562" s="67" t="s">
        <v>1647</v>
      </c>
    </row>
    <row r="563" spans="1:1">
      <c r="A563" s="67" t="s">
        <v>1648</v>
      </c>
    </row>
    <row r="564" spans="1:1">
      <c r="A564" s="67" t="s">
        <v>1649</v>
      </c>
    </row>
    <row r="565" spans="1:1">
      <c r="A565" s="67" t="s">
        <v>1650</v>
      </c>
    </row>
    <row r="566" spans="1:1">
      <c r="A566" s="67" t="s">
        <v>1651</v>
      </c>
    </row>
    <row r="567" spans="1:1">
      <c r="A567" s="67" t="s">
        <v>1652</v>
      </c>
    </row>
    <row r="568" spans="1:1">
      <c r="A568" s="67" t="s">
        <v>1653</v>
      </c>
    </row>
    <row r="569" spans="1:1">
      <c r="A569" s="67" t="s">
        <v>1654</v>
      </c>
    </row>
    <row r="570" spans="1:1" ht="15.75" thickBot="1">
      <c r="A570" s="360" t="s">
        <v>1655</v>
      </c>
    </row>
    <row r="571" spans="1:1">
      <c r="A571" s="357" t="s">
        <v>1656</v>
      </c>
    </row>
    <row r="572" spans="1:1">
      <c r="A572" s="67" t="s">
        <v>1657</v>
      </c>
    </row>
    <row r="573" spans="1:1">
      <c r="A573" s="67" t="s">
        <v>1658</v>
      </c>
    </row>
    <row r="574" spans="1:1">
      <c r="A574" s="67" t="s">
        <v>1659</v>
      </c>
    </row>
    <row r="575" spans="1:1">
      <c r="A575" s="67" t="s">
        <v>1660</v>
      </c>
    </row>
    <row r="576" spans="1:1">
      <c r="A576" s="67" t="s">
        <v>1661</v>
      </c>
    </row>
    <row r="577" spans="1:1">
      <c r="A577" s="67" t="s">
        <v>1662</v>
      </c>
    </row>
    <row r="578" spans="1:1">
      <c r="A578" s="67" t="s">
        <v>1663</v>
      </c>
    </row>
    <row r="579" spans="1:1">
      <c r="A579" s="67" t="s">
        <v>1664</v>
      </c>
    </row>
    <row r="580" spans="1:1" ht="15.75" thickBot="1">
      <c r="A580" s="360" t="s">
        <v>1665</v>
      </c>
    </row>
    <row r="581" spans="1:1">
      <c r="A581" s="357" t="s">
        <v>1666</v>
      </c>
    </row>
    <row r="582" spans="1:1">
      <c r="A582" s="67" t="s">
        <v>1667</v>
      </c>
    </row>
    <row r="583" spans="1:1" ht="15.75" thickBot="1">
      <c r="A583" s="360" t="s">
        <v>1668</v>
      </c>
    </row>
    <row r="584" spans="1:1" ht="15.75" thickBot="1">
      <c r="A584" s="371" t="s">
        <v>1669</v>
      </c>
    </row>
    <row r="585" spans="1:1" ht="15.75" thickTop="1">
      <c r="A585" s="357" t="s">
        <v>1670</v>
      </c>
    </row>
    <row r="586" spans="1:1">
      <c r="A586" s="67" t="s">
        <v>1163</v>
      </c>
    </row>
    <row r="587" spans="1:1">
      <c r="A587" s="67" t="s">
        <v>1671</v>
      </c>
    </row>
    <row r="588" spans="1:1">
      <c r="A588" s="67" t="s">
        <v>1672</v>
      </c>
    </row>
    <row r="589" spans="1:1">
      <c r="A589" s="67" t="s">
        <v>1673</v>
      </c>
    </row>
    <row r="590" spans="1:1" ht="15.75" thickBot="1">
      <c r="A590" s="360" t="s">
        <v>1674</v>
      </c>
    </row>
    <row r="591" spans="1:1">
      <c r="A591" s="357" t="s">
        <v>1675</v>
      </c>
    </row>
    <row r="592" spans="1:1">
      <c r="A592" s="67" t="s">
        <v>1676</v>
      </c>
    </row>
    <row r="593" spans="1:1" ht="15.75" thickBot="1">
      <c r="A593" s="360" t="s">
        <v>1677</v>
      </c>
    </row>
    <row r="594" spans="1:1">
      <c r="A594" s="357" t="s">
        <v>1678</v>
      </c>
    </row>
    <row r="595" spans="1:1">
      <c r="A595" s="357" t="s">
        <v>1679</v>
      </c>
    </row>
    <row r="596" spans="1:1">
      <c r="A596" s="357" t="s">
        <v>1680</v>
      </c>
    </row>
    <row r="597" spans="1:1" ht="15.75" thickBot="1">
      <c r="A597" s="359" t="s">
        <v>1681</v>
      </c>
    </row>
    <row r="598" spans="1:1">
      <c r="A598" s="357" t="s">
        <v>1682</v>
      </c>
    </row>
    <row r="599" spans="1:1">
      <c r="A599" s="67" t="s">
        <v>1683</v>
      </c>
    </row>
    <row r="600" spans="1:1">
      <c r="A600" s="67" t="s">
        <v>1684</v>
      </c>
    </row>
    <row r="601" spans="1:1">
      <c r="A601" s="67" t="s">
        <v>1685</v>
      </c>
    </row>
    <row r="602" spans="1:1">
      <c r="A602" s="67" t="s">
        <v>1686</v>
      </c>
    </row>
    <row r="603" spans="1:1">
      <c r="A603" s="67" t="s">
        <v>1687</v>
      </c>
    </row>
    <row r="604" spans="1:1">
      <c r="A604" s="67" t="s">
        <v>1688</v>
      </c>
    </row>
    <row r="605" spans="1:1">
      <c r="A605" s="67" t="s">
        <v>1689</v>
      </c>
    </row>
    <row r="606" spans="1:1">
      <c r="A606" s="67" t="s">
        <v>1690</v>
      </c>
    </row>
    <row r="607" spans="1:1">
      <c r="A607" s="67" t="s">
        <v>1691</v>
      </c>
    </row>
    <row r="608" spans="1:1">
      <c r="A608" s="67" t="s">
        <v>1692</v>
      </c>
    </row>
    <row r="609" spans="1:1">
      <c r="A609" s="67" t="s">
        <v>1693</v>
      </c>
    </row>
    <row r="610" spans="1:1">
      <c r="A610" s="67" t="s">
        <v>1694</v>
      </c>
    </row>
    <row r="611" spans="1:1">
      <c r="A611" s="67" t="s">
        <v>1692</v>
      </c>
    </row>
    <row r="612" spans="1:1" ht="30.75" thickBot="1">
      <c r="A612" s="360" t="s">
        <v>1695</v>
      </c>
    </row>
    <row r="613" spans="1:1" ht="15.75" thickBot="1">
      <c r="A613" s="361" t="s">
        <v>1696</v>
      </c>
    </row>
    <row r="614" spans="1:1">
      <c r="A614" s="357" t="s">
        <v>1697</v>
      </c>
    </row>
    <row r="615" spans="1:1">
      <c r="A615" s="67" t="s">
        <v>1698</v>
      </c>
    </row>
    <row r="616" spans="1:1">
      <c r="A616" s="67" t="s">
        <v>1699</v>
      </c>
    </row>
    <row r="617" spans="1:1">
      <c r="A617" s="67" t="s">
        <v>1700</v>
      </c>
    </row>
    <row r="618" spans="1:1">
      <c r="A618" s="67" t="s">
        <v>1701</v>
      </c>
    </row>
    <row r="619" spans="1:1">
      <c r="A619" s="67" t="s">
        <v>1702</v>
      </c>
    </row>
    <row r="620" spans="1:1">
      <c r="A620" s="67" t="s">
        <v>1703</v>
      </c>
    </row>
    <row r="621" spans="1:1" ht="15.75" thickBot="1">
      <c r="A621" s="360" t="s">
        <v>1704</v>
      </c>
    </row>
    <row r="622" spans="1:1">
      <c r="A622" s="357" t="s">
        <v>1705</v>
      </c>
    </row>
    <row r="623" spans="1:1">
      <c r="A623" s="357" t="s">
        <v>1706</v>
      </c>
    </row>
    <row r="624" spans="1:1">
      <c r="A624" s="357" t="s">
        <v>1707</v>
      </c>
    </row>
    <row r="625" spans="1:1">
      <c r="A625" s="67"/>
    </row>
    <row r="626" spans="1:1">
      <c r="A626" s="67" t="s">
        <v>1708</v>
      </c>
    </row>
    <row r="627" spans="1:1">
      <c r="A627" s="67"/>
    </row>
    <row r="628" spans="1:1">
      <c r="A628" s="67"/>
    </row>
    <row r="629" spans="1:1">
      <c r="A629" s="67"/>
    </row>
    <row r="1005" spans="1:1" ht="15.75">
      <c r="A1005" s="350" t="s">
        <v>1709</v>
      </c>
    </row>
    <row r="1006" spans="1:1">
      <c r="A1006" s="67" t="s">
        <v>1157</v>
      </c>
    </row>
    <row r="1007" spans="1:1">
      <c r="A1007" s="67" t="s">
        <v>1133</v>
      </c>
    </row>
    <row r="1008" spans="1:1">
      <c r="A1008" s="67" t="s">
        <v>1156</v>
      </c>
    </row>
    <row r="1009" spans="1:1">
      <c r="A1009" s="67" t="s">
        <v>1167</v>
      </c>
    </row>
    <row r="1010" spans="1:1">
      <c r="A1010" s="67" t="s">
        <v>1135</v>
      </c>
    </row>
    <row r="1011" spans="1:1">
      <c r="A1011" s="67" t="s">
        <v>1165</v>
      </c>
    </row>
    <row r="1012" spans="1:1">
      <c r="A1012" s="67" t="s">
        <v>1149</v>
      </c>
    </row>
    <row r="1013" spans="1:1">
      <c r="A1013" s="67" t="s">
        <v>1132</v>
      </c>
    </row>
    <row r="1014" spans="1:1">
      <c r="A1014" s="67" t="s">
        <v>1145</v>
      </c>
    </row>
    <row r="1015" spans="1:1">
      <c r="A1015" s="67" t="s">
        <v>1143</v>
      </c>
    </row>
    <row r="1016" spans="1:1">
      <c r="A1016" s="67" t="s">
        <v>1153</v>
      </c>
    </row>
    <row r="1017" spans="1:1">
      <c r="A1017" s="67" t="s">
        <v>1160</v>
      </c>
    </row>
    <row r="1018" spans="1:1">
      <c r="A1018" s="67" t="s">
        <v>1166</v>
      </c>
    </row>
    <row r="1019" spans="1:1">
      <c r="A1019" s="67" t="s">
        <v>1146</v>
      </c>
    </row>
  </sheetData>
  <conditionalFormatting sqref="A636:A821 A827:A1004 A385:A427 A81:A374 A1:A13 A47:A48 A75:A78 A429:A630 A15:A36 A1006:A1048576">
    <cfRule type="duplicateValues" dxfId="44" priority="1"/>
  </conditionalFormatting>
  <dataValidations count="9">
    <dataValidation type="list" allowBlank="1" showInputMessage="1" showErrorMessage="1" sqref="AB3:AB9" xr:uid="{B247041B-22A2-4D7D-B6D9-51AB3BA4A724}">
      <formula1>$A$58:$A$62</formula1>
    </dataValidation>
    <dataValidation type="list" allowBlank="1" showInputMessage="1" showErrorMessage="1" sqref="U3:U9" xr:uid="{0AA2571F-50DF-408D-902B-69AFB3DC3474}">
      <formula1>$A$66:$A$70</formula1>
    </dataValidation>
    <dataValidation type="list" allowBlank="1" showInputMessage="1" showErrorMessage="1" sqref="AJ3:AJ9" xr:uid="{4FE8A675-3FF6-4C72-90B6-F1EB61D151D7}">
      <formula1>$A$38:$A$45</formula1>
    </dataValidation>
    <dataValidation type="list" allowBlank="1" showInputMessage="1" showErrorMessage="1" sqref="L3:M9 AI3:AI9" xr:uid="{8CECCDE0-0A04-463D-878C-1D01F26102E3}">
      <formula1>$A$1007:$A$1019</formula1>
    </dataValidation>
    <dataValidation type="list" allowBlank="1" showInputMessage="1" showErrorMessage="1" sqref="AF3:AF9 R3:R9 F3:F9 AN3:AN9" xr:uid="{7B7E8D17-31C8-428A-BF74-41FCAF30D418}">
      <formula1>$A$84:$A$93</formula1>
    </dataValidation>
    <dataValidation allowBlank="1" showInputMessage="1" promptTitle="راهنما" prompt="قالب نگارش ملاحظات مالی:_x000a_بودجه تعمیر: ... | هزینه جایگزینی: ... | صرفه‌جوی: ... | هزینه تمام شده تعمیر: ..." sqref="AU3:AU9" xr:uid="{FDD191DE-E5D9-42E1-B1E1-4872F464B1AE}"/>
    <dataValidation type="list" allowBlank="1" showInputMessage="1" showErrorMessage="1" sqref="AS3:AT9" xr:uid="{0724BE16-E615-4C62-8612-EB66B6225459}">
      <formula1>$A$50:$A$53</formula1>
    </dataValidation>
    <dataValidation type="list" allowBlank="1" showInputMessage="1" showErrorMessage="1" sqref="K3:K9" xr:uid="{94670B7B-A94D-40F1-A9C8-6CF574769DB5}">
      <formula1>INDIRECT($J3)</formula1>
    </dataValidation>
    <dataValidation type="list" allowBlank="1" showInputMessage="1" showErrorMessage="1" sqref="J3:J9" xr:uid="{74097BBA-2D63-4A0F-9AE6-A1A05F958176}">
      <formula1>$A$17:$A$18</formula1>
    </dataValidation>
  </dataValidations>
  <hyperlinks>
    <hyperlink ref="A3" location="فهرست!A1" display="فهرست" xr:uid="{9B38EBD2-8F69-4BD9-9227-96EE0F7DFE49}"/>
    <hyperlink ref="A5" location="'مدیریت وام و اقساط'!A1" display="وام و اقساط" xr:uid="{36F4E244-95F8-469A-8705-441BC1958B2A}"/>
    <hyperlink ref="A6" location="'مدیریت چک‌ها'!A1" display="چک‌ها" xr:uid="{1E734BEC-322A-4960-A4EC-D4F1A2C39787}"/>
    <hyperlink ref="A7" location="'مدیریت بدهی‌ها-طلب‌ها'!A1" display="بدهی‌ها و طلب‌ها" xr:uid="{8F35A24F-C043-4668-8480-81C449983410}"/>
    <hyperlink ref="A8" location="'برنامه ریزی پرداخت‌ها'!A1" display="برنامه ریزی" xr:uid="{50FAFD6F-ADED-4013-97DB-971670910AB9}"/>
    <hyperlink ref="A9" location="تقویم!A1" display="تقویم" xr:uid="{9F6278FD-B841-40BD-91DA-D020728A4628}"/>
    <hyperlink ref="A10" location="'تنظیمات حساب'!A1" display="تنظیمات حساب" xr:uid="{9C45D0A3-4B7D-486A-A0B8-C7577F1EF31B}"/>
    <hyperlink ref="A11" location="'گزارش فعالیت‌های ماه جاری'!A1" display="ماه جاری" xr:uid="{77C6AF54-84E6-49C2-A6AB-0F34A9FEAEA0}"/>
    <hyperlink ref="A12" location="'جست و جو'!A1" display="جست و جو" xr:uid="{BE6C7AB5-8D22-4AAA-B85C-28CA0D3FDB9C}"/>
    <hyperlink ref="A4" location="تراکنش‌ها!A1" display="تراکنش‌ها" xr:uid="{4966E165-589A-4119-8528-9FF522D56E89}"/>
    <hyperlink ref="A14" location="'روند مینیمالیسم شدن'!A1005" display="لیست تحویل دهنده | گیرنده کالا" xr:uid="{474A2BB0-447F-43AE-9800-F054B8748749}"/>
    <hyperlink ref="A1005" location="'روند مینیمالیسم شدن'!A1" display="بازگشت به بالا" xr:uid="{3FD6F09D-9BA0-4894-8BCF-FAF504ECC9AE}"/>
  </hyperlinks>
  <pageMargins left="0.7" right="0.7" top="0.75" bottom="0.75" header="0.3" footer="0.3"/>
  <pageSetup orientation="portrait" r:id="rId1"/>
  <tableParts count="18">
    <tablePart r:id="rId2"/>
    <tablePart r:id="rId3"/>
    <tablePart r:id="rId4"/>
    <tablePart r:id="rId5"/>
    <tablePart r:id="rId6"/>
    <tablePart r:id="rId7"/>
    <tablePart r:id="rId8"/>
    <tablePart r:id="rId9"/>
    <tablePart r:id="rId10"/>
    <tablePart r:id="rId11"/>
    <tablePart r:id="rId12"/>
    <tablePart r:id="rId13"/>
    <tablePart r:id="rId14"/>
    <tablePart r:id="rId15"/>
    <tablePart r:id="rId16"/>
    <tablePart r:id="rId17"/>
    <tablePart r:id="rId18"/>
    <tablePart r:id="rId19"/>
  </tablePart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9">
    <tabColor theme="9"/>
  </sheetPr>
  <dimension ref="A1:W15"/>
  <sheetViews>
    <sheetView rightToLeft="1" workbookViewId="0">
      <pane ySplit="2" topLeftCell="A3" activePane="bottomLeft" state="frozen"/>
      <selection pane="bottomLeft" activeCell="B1" sqref="B1"/>
    </sheetView>
  </sheetViews>
  <sheetFormatPr defaultRowHeight="15"/>
  <cols>
    <col min="1" max="1" width="19.28515625" customWidth="1"/>
    <col min="2" max="2" width="24.28515625" customWidth="1"/>
    <col min="3" max="3" width="2.85546875" style="41" customWidth="1"/>
    <col min="4" max="4" width="35.85546875" customWidth="1"/>
    <col min="5" max="5" width="0.7109375" style="41" customWidth="1"/>
    <col min="6" max="6" width="36.5703125" customWidth="1"/>
    <col min="7" max="7" width="0.5703125" style="41" customWidth="1"/>
    <col min="8" max="8" width="17.28515625" customWidth="1"/>
    <col min="9" max="9" width="0.7109375" style="41" customWidth="1"/>
    <col min="10" max="10" width="22.85546875" customWidth="1"/>
    <col min="11" max="11" width="0.7109375" style="41" customWidth="1"/>
    <col min="12" max="12" width="36.5703125" customWidth="1"/>
    <col min="13" max="13" width="0.7109375" style="41" customWidth="1"/>
    <col min="14" max="14" width="36.5703125" customWidth="1"/>
    <col min="15" max="15" width="0.7109375" style="41" customWidth="1"/>
    <col min="16" max="16" width="36.5703125" customWidth="1"/>
    <col min="17" max="17" width="0.7109375" style="41" customWidth="1"/>
    <col min="18" max="25" width="36.5703125" customWidth="1"/>
  </cols>
  <sheetData>
    <row r="1" spans="1:23" ht="18.75">
      <c r="A1" s="9" t="s">
        <v>8</v>
      </c>
      <c r="B1" s="35" t="s">
        <v>115</v>
      </c>
      <c r="C1" s="50"/>
      <c r="D1" s="41"/>
      <c r="F1" s="41"/>
      <c r="H1" s="41"/>
      <c r="J1" s="41"/>
      <c r="L1" s="41"/>
      <c r="N1" s="41"/>
      <c r="P1" s="41"/>
      <c r="R1" s="41"/>
      <c r="S1" s="41"/>
      <c r="T1" s="41"/>
      <c r="U1" s="41"/>
      <c r="V1" s="41"/>
      <c r="W1" s="41"/>
    </row>
    <row r="2" spans="1:23" s="41" customFormat="1" ht="3.75" customHeight="1"/>
    <row r="3" spans="1:23" ht="15.75">
      <c r="A3" s="325" t="s">
        <v>157</v>
      </c>
      <c r="B3" s="325"/>
      <c r="D3" s="41"/>
      <c r="F3" s="41"/>
      <c r="H3" s="41"/>
      <c r="J3" s="41"/>
      <c r="L3" s="41"/>
      <c r="N3" s="41"/>
      <c r="P3" s="48"/>
      <c r="Q3" s="48"/>
      <c r="R3" s="41"/>
      <c r="S3" s="41"/>
      <c r="T3" s="41"/>
      <c r="U3" s="41"/>
      <c r="V3" s="41"/>
      <c r="W3" s="41"/>
    </row>
    <row r="4" spans="1:23" ht="15.75" customHeight="1">
      <c r="A4" s="43" t="s">
        <v>156</v>
      </c>
      <c r="B4" s="43" t="s">
        <v>168</v>
      </c>
      <c r="D4" s="41"/>
      <c r="F4" s="41"/>
      <c r="H4" s="41"/>
      <c r="J4" s="41"/>
      <c r="L4" s="41"/>
      <c r="N4" s="41"/>
      <c r="P4" s="48"/>
      <c r="Q4" s="48"/>
      <c r="R4" s="41"/>
      <c r="S4" s="41"/>
      <c r="T4" s="41"/>
      <c r="U4" s="41"/>
      <c r="V4" s="41"/>
      <c r="W4" s="41"/>
    </row>
    <row r="5" spans="1:23" ht="15.75">
      <c r="A5" s="42">
        <v>1</v>
      </c>
      <c r="B5" s="42" t="s">
        <v>306</v>
      </c>
      <c r="D5" s="67" t="s">
        <v>306</v>
      </c>
      <c r="F5" s="67" t="s">
        <v>158</v>
      </c>
      <c r="G5" s="48"/>
      <c r="H5" s="67" t="s">
        <v>160</v>
      </c>
      <c r="I5" s="48"/>
      <c r="J5" s="67" t="s">
        <v>162</v>
      </c>
      <c r="K5" s="48"/>
      <c r="L5" s="67" t="s">
        <v>164</v>
      </c>
      <c r="N5" s="67" t="s">
        <v>165</v>
      </c>
      <c r="O5" s="48"/>
      <c r="P5" s="67" t="s">
        <v>163</v>
      </c>
      <c r="Q5" s="48"/>
      <c r="R5" s="68" t="s">
        <v>316</v>
      </c>
    </row>
    <row r="6" spans="1:23" ht="15.75">
      <c r="A6" s="42">
        <v>2</v>
      </c>
      <c r="B6" s="65" t="s">
        <v>158</v>
      </c>
      <c r="D6" s="67" t="s">
        <v>317</v>
      </c>
      <c r="F6" s="67" t="s">
        <v>159</v>
      </c>
      <c r="G6" s="48"/>
      <c r="H6" s="67" t="s">
        <v>161</v>
      </c>
      <c r="I6" s="48"/>
      <c r="J6" s="67" t="s">
        <v>318</v>
      </c>
      <c r="K6" s="48"/>
      <c r="L6" s="67" t="s">
        <v>317</v>
      </c>
      <c r="M6" s="48"/>
      <c r="N6" s="67" t="s">
        <v>153</v>
      </c>
      <c r="O6" s="48"/>
      <c r="P6" s="67" t="s">
        <v>319</v>
      </c>
      <c r="Q6" s="48"/>
      <c r="R6" s="66" t="s">
        <v>314</v>
      </c>
    </row>
    <row r="7" spans="1:23" ht="15.75">
      <c r="A7" s="42">
        <v>3</v>
      </c>
      <c r="B7" s="42" t="s">
        <v>310</v>
      </c>
      <c r="F7" s="47"/>
      <c r="G7" s="48"/>
      <c r="H7" s="47"/>
      <c r="I7" s="48"/>
      <c r="J7" s="47"/>
      <c r="K7" s="48"/>
      <c r="L7" s="67" t="s">
        <v>311</v>
      </c>
      <c r="M7" s="48"/>
      <c r="N7" s="47"/>
      <c r="O7" s="48"/>
      <c r="P7" s="47"/>
      <c r="Q7" s="48"/>
    </row>
    <row r="8" spans="1:23" ht="15.75">
      <c r="A8" s="42">
        <v>4</v>
      </c>
      <c r="B8" s="42" t="s">
        <v>307</v>
      </c>
      <c r="F8" s="47"/>
      <c r="G8" s="48"/>
      <c r="H8" s="47"/>
      <c r="I8" s="48"/>
      <c r="J8" s="47"/>
      <c r="K8" s="48"/>
      <c r="L8" s="67" t="s">
        <v>312</v>
      </c>
      <c r="M8" s="48"/>
      <c r="N8" s="47"/>
      <c r="O8" s="48"/>
      <c r="P8" s="47"/>
      <c r="Q8" s="48"/>
    </row>
    <row r="9" spans="1:23" ht="15.75">
      <c r="A9" s="42">
        <v>5</v>
      </c>
      <c r="B9" s="42" t="s">
        <v>313</v>
      </c>
      <c r="H9" s="47"/>
      <c r="I9" s="48"/>
      <c r="J9" s="47"/>
      <c r="K9" s="48"/>
      <c r="L9" s="47"/>
      <c r="M9" s="48"/>
      <c r="N9" s="47"/>
      <c r="O9" s="48"/>
    </row>
    <row r="10" spans="1:23" ht="15.75">
      <c r="A10" s="42">
        <v>6</v>
      </c>
      <c r="B10" s="42" t="s">
        <v>308</v>
      </c>
      <c r="L10" s="47"/>
    </row>
    <row r="11" spans="1:23" ht="15.75">
      <c r="A11" s="42">
        <v>7</v>
      </c>
      <c r="B11" s="42" t="s">
        <v>309</v>
      </c>
      <c r="L11" s="47"/>
    </row>
    <row r="12" spans="1:23" ht="15.75">
      <c r="A12" s="42">
        <v>8</v>
      </c>
      <c r="B12" s="42" t="s">
        <v>315</v>
      </c>
    </row>
    <row r="13" spans="1:23" ht="15.75">
      <c r="A13" s="42"/>
      <c r="B13" s="42"/>
    </row>
    <row r="14" spans="1:23" ht="15.75">
      <c r="A14" s="42"/>
      <c r="B14" s="42"/>
    </row>
    <row r="15" spans="1:23" ht="15.75">
      <c r="A15" s="42"/>
      <c r="B15" s="42"/>
    </row>
  </sheetData>
  <mergeCells count="1">
    <mergeCell ref="A3:B3"/>
  </mergeCells>
  <hyperlinks>
    <hyperlink ref="A1" location="فهرست!A1" display="فهرست" xr:uid="{00000000-0004-0000-0D00-000000000000}"/>
    <hyperlink ref="B1" location="تراکنش‌ها!A1" display="تراکنش‌ها" xr:uid="{00000000-0004-0000-0D00-000001000000}"/>
  </hyperlinks>
  <pageMargins left="0.7" right="0.7" top="0.75" bottom="0.75" header="0.3" footer="0.3"/>
  <pageSetup orientation="portrait" r:id="rId1"/>
  <tableParts count="9">
    <tablePart r:id="rId2"/>
    <tablePart r:id="rId3"/>
    <tablePart r:id="rId4"/>
    <tablePart r:id="rId5"/>
    <tablePart r:id="rId6"/>
    <tablePart r:id="rId7"/>
    <tablePart r:id="rId8"/>
    <tablePart r:id="rId9"/>
    <tablePart r:id="rId10"/>
  </tableParts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8">
    <tabColor theme="9"/>
  </sheetPr>
  <dimension ref="A1:B4"/>
  <sheetViews>
    <sheetView rightToLeft="1" workbookViewId="0">
      <selection activeCell="B4" sqref="B4"/>
    </sheetView>
  </sheetViews>
  <sheetFormatPr defaultRowHeight="15"/>
  <sheetData>
    <row r="1" spans="1:2">
      <c r="A1" t="s">
        <v>12</v>
      </c>
    </row>
    <row r="4" spans="1:2">
      <c r="B4" t="s">
        <v>142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17">
    <tabColor theme="5"/>
  </sheetPr>
  <dimension ref="A1:BC29"/>
  <sheetViews>
    <sheetView rightToLeft="1" topLeftCell="A2" workbookViewId="0">
      <pane ySplit="2" topLeftCell="A4" activePane="bottomLeft" state="frozen"/>
      <selection activeCell="A2" sqref="A2"/>
      <selection pane="bottomLeft" activeCell="D11" sqref="D11"/>
    </sheetView>
  </sheetViews>
  <sheetFormatPr defaultRowHeight="15"/>
  <cols>
    <col min="1" max="1" width="18.28515625" customWidth="1"/>
    <col min="2" max="2" width="36.5703125" customWidth="1"/>
    <col min="3" max="3" width="3" style="41" customWidth="1"/>
    <col min="4" max="4" width="17.140625" customWidth="1"/>
    <col min="5" max="5" width="0.7109375" style="60" customWidth="1"/>
    <col min="6" max="6" width="21.42578125" customWidth="1"/>
    <col min="7" max="7" width="0.7109375" style="60" customWidth="1"/>
    <col min="8" max="8" width="15.7109375" customWidth="1"/>
    <col min="9" max="9" width="0.7109375" style="60" customWidth="1"/>
    <col min="10" max="10" width="20.7109375" customWidth="1"/>
    <col min="11" max="11" width="0.7109375" style="60" customWidth="1"/>
    <col min="12" max="12" width="21.42578125" customWidth="1"/>
    <col min="13" max="13" width="0.7109375" style="60" customWidth="1"/>
    <col min="14" max="14" width="14.28515625" customWidth="1"/>
    <col min="15" max="15" width="0.7109375" style="60" customWidth="1"/>
    <col min="16" max="16" width="18.85546875" customWidth="1"/>
    <col min="17" max="17" width="0.7109375" style="60" customWidth="1"/>
    <col min="18" max="18" width="17.140625" customWidth="1"/>
    <col min="19" max="19" width="0.7109375" style="60" customWidth="1"/>
    <col min="20" max="20" width="17.140625" customWidth="1"/>
    <col min="21" max="21" width="0.7109375" style="60" customWidth="1"/>
    <col min="22" max="22" width="30.7109375" customWidth="1"/>
    <col min="23" max="23" width="0.7109375" style="60" customWidth="1"/>
    <col min="24" max="24" width="22.85546875" customWidth="1"/>
    <col min="25" max="25" width="0.7109375" style="60" customWidth="1"/>
    <col min="26" max="26" width="17.140625" customWidth="1"/>
    <col min="27" max="27" width="0.7109375" style="60" customWidth="1"/>
    <col min="28" max="28" width="22.85546875" customWidth="1"/>
    <col min="29" max="29" width="0.7109375" style="60" customWidth="1"/>
    <col min="30" max="30" width="17.140625" customWidth="1"/>
    <col min="31" max="31" width="0.7109375" style="41" customWidth="1"/>
    <col min="32" max="32" width="22.85546875" customWidth="1"/>
    <col min="33" max="33" width="0.7109375" style="41" customWidth="1"/>
    <col min="34" max="34" width="22.85546875" customWidth="1"/>
    <col min="35" max="35" width="0.7109375" style="41" customWidth="1"/>
    <col min="36" max="36" width="17.140625" customWidth="1"/>
    <col min="37" max="37" width="0.7109375" style="41" customWidth="1"/>
    <col min="38" max="38" width="22.85546875" customWidth="1"/>
    <col min="39" max="39" width="0.7109375" style="41" customWidth="1"/>
    <col min="40" max="40" width="21.42578125" customWidth="1"/>
    <col min="41" max="41" width="0.7109375" style="41" customWidth="1"/>
    <col min="42" max="42" width="17.140625" customWidth="1"/>
    <col min="43" max="43" width="0.7109375" style="41" customWidth="1"/>
    <col min="44" max="44" width="18.85546875" customWidth="1"/>
    <col min="45" max="45" width="0.7109375" style="41" customWidth="1"/>
    <col min="46" max="46" width="17.140625" customWidth="1"/>
    <col min="47" max="47" width="0.7109375" style="41" customWidth="1"/>
    <col min="48" max="48" width="17.140625" customWidth="1"/>
    <col min="49" max="49" width="0.7109375" style="41" customWidth="1"/>
    <col min="50" max="50" width="19.5703125" customWidth="1"/>
  </cols>
  <sheetData>
    <row r="1" spans="1:55" ht="18.75" hidden="1" customHeight="1">
      <c r="A1" s="9" t="s">
        <v>8</v>
      </c>
      <c r="B1" s="35" t="s">
        <v>115</v>
      </c>
      <c r="C1" s="49"/>
      <c r="D1" s="60"/>
      <c r="F1" s="41"/>
      <c r="H1" s="41"/>
      <c r="J1" s="41"/>
      <c r="L1" s="41"/>
      <c r="N1" s="60"/>
      <c r="P1" s="60"/>
      <c r="R1" s="60"/>
      <c r="T1" s="41"/>
      <c r="V1" s="41"/>
      <c r="X1" s="41"/>
      <c r="Z1" s="41"/>
      <c r="AB1" s="41"/>
      <c r="AD1" s="41"/>
      <c r="AF1" s="41"/>
      <c r="AH1" s="41"/>
      <c r="AJ1" s="41"/>
      <c r="AL1" s="41"/>
      <c r="AN1" s="41"/>
      <c r="AP1" s="41"/>
      <c r="AR1" s="41"/>
      <c r="AT1" s="41"/>
      <c r="AV1" s="41"/>
      <c r="AX1" s="41"/>
      <c r="AY1" s="41"/>
      <c r="AZ1" s="41"/>
      <c r="BA1" s="41"/>
      <c r="BB1" s="41"/>
      <c r="BC1" s="41"/>
    </row>
    <row r="2" spans="1:55" ht="18.75" customHeight="1">
      <c r="A2" s="9" t="s">
        <v>8</v>
      </c>
      <c r="B2" s="35" t="s">
        <v>115</v>
      </c>
      <c r="C2" s="49"/>
      <c r="D2" s="60"/>
      <c r="F2" s="41"/>
      <c r="H2" s="41"/>
      <c r="J2" s="41"/>
      <c r="L2" s="41"/>
      <c r="N2" s="60"/>
      <c r="P2" s="60"/>
      <c r="R2" s="60"/>
      <c r="T2" s="41"/>
      <c r="V2" s="41"/>
      <c r="X2" s="41"/>
      <c r="Z2" s="41"/>
      <c r="AB2" s="41"/>
      <c r="AD2" s="41"/>
      <c r="AF2" s="41"/>
      <c r="AH2" s="41"/>
      <c r="AJ2" s="41"/>
      <c r="AL2" s="41"/>
      <c r="AN2" s="41"/>
      <c r="AP2" s="41"/>
      <c r="AR2" s="41"/>
      <c r="AT2" s="41"/>
      <c r="AV2" s="41"/>
      <c r="AX2" s="41"/>
      <c r="AY2" s="41"/>
      <c r="AZ2" s="41"/>
      <c r="BA2" s="41"/>
      <c r="BB2" s="41"/>
      <c r="BC2" s="41"/>
    </row>
    <row r="3" spans="1:55" s="41" customFormat="1" ht="3.75" customHeight="1">
      <c r="D3" s="60"/>
      <c r="E3" s="60"/>
      <c r="G3" s="60"/>
      <c r="I3" s="60"/>
      <c r="K3" s="60"/>
      <c r="M3" s="60"/>
      <c r="N3" s="60"/>
      <c r="O3" s="60"/>
      <c r="P3" s="60"/>
      <c r="Q3" s="60"/>
      <c r="R3" s="60"/>
      <c r="S3" s="60"/>
      <c r="U3" s="60"/>
      <c r="W3" s="60"/>
      <c r="Y3" s="60"/>
      <c r="AA3" s="60"/>
      <c r="AC3" s="60"/>
    </row>
    <row r="4" spans="1:55" ht="15.75">
      <c r="A4" s="326" t="s">
        <v>166</v>
      </c>
      <c r="B4" s="326"/>
      <c r="D4" s="42" t="s">
        <v>184</v>
      </c>
      <c r="E4" s="61"/>
      <c r="F4" s="42" t="s">
        <v>188</v>
      </c>
      <c r="G4" s="61"/>
      <c r="H4" s="42" t="s">
        <v>182</v>
      </c>
      <c r="I4" s="61"/>
      <c r="J4" s="42" t="s">
        <v>172</v>
      </c>
      <c r="K4" s="61"/>
      <c r="L4" s="42" t="s">
        <v>171</v>
      </c>
      <c r="M4" s="61"/>
      <c r="N4" s="42" t="s">
        <v>173</v>
      </c>
      <c r="O4" s="61"/>
      <c r="P4" s="42" t="s">
        <v>177</v>
      </c>
      <c r="Q4" s="61"/>
      <c r="R4" s="42" t="s">
        <v>183</v>
      </c>
      <c r="S4" s="61"/>
      <c r="T4" s="42" t="s">
        <v>198</v>
      </c>
      <c r="U4" s="61"/>
      <c r="V4" s="42" t="s">
        <v>181</v>
      </c>
      <c r="W4" s="61"/>
      <c r="X4" s="42" t="s">
        <v>260</v>
      </c>
      <c r="Y4" s="61"/>
      <c r="Z4" s="42" t="s">
        <v>185</v>
      </c>
      <c r="AA4" s="61"/>
      <c r="AB4" s="42" t="s">
        <v>202</v>
      </c>
      <c r="AC4" s="61"/>
      <c r="AD4" s="42" t="s">
        <v>270</v>
      </c>
      <c r="AE4" s="62"/>
      <c r="AF4" s="42" t="s">
        <v>273</v>
      </c>
      <c r="AG4" s="62"/>
      <c r="AH4" s="42" t="s">
        <v>275</v>
      </c>
      <c r="AI4" s="62"/>
      <c r="AJ4" s="42" t="s">
        <v>175</v>
      </c>
      <c r="AK4" s="62"/>
      <c r="AL4" s="42" t="s">
        <v>224</v>
      </c>
      <c r="AM4" s="62"/>
      <c r="AN4" s="42" t="s">
        <v>238</v>
      </c>
      <c r="AO4" s="62"/>
      <c r="AP4" s="42" t="s">
        <v>174</v>
      </c>
      <c r="AQ4" s="62"/>
      <c r="AR4" s="42" t="s">
        <v>276</v>
      </c>
      <c r="AS4" s="62"/>
      <c r="AT4" s="42" t="s">
        <v>243</v>
      </c>
      <c r="AU4" s="62"/>
      <c r="AV4" s="42" t="s">
        <v>176</v>
      </c>
      <c r="AW4" s="48"/>
      <c r="AX4" s="47" t="s">
        <v>170</v>
      </c>
      <c r="AY4" s="47"/>
      <c r="AZ4" s="47"/>
      <c r="BA4" s="47"/>
    </row>
    <row r="5" spans="1:55" ht="15.75">
      <c r="A5" s="42" t="s">
        <v>167</v>
      </c>
      <c r="B5" s="42" t="s">
        <v>169</v>
      </c>
      <c r="D5" s="42" t="s">
        <v>263</v>
      </c>
      <c r="E5" s="61"/>
      <c r="F5" s="42" t="s">
        <v>193</v>
      </c>
      <c r="G5" s="61"/>
      <c r="H5" s="42" t="s">
        <v>212</v>
      </c>
      <c r="I5" s="61"/>
      <c r="J5" s="42" t="s">
        <v>217</v>
      </c>
      <c r="K5" s="61"/>
      <c r="L5" s="42" t="s">
        <v>221</v>
      </c>
      <c r="M5" s="61"/>
      <c r="N5" s="42" t="s">
        <v>199</v>
      </c>
      <c r="O5" s="61"/>
      <c r="P5" s="42" t="s">
        <v>266</v>
      </c>
      <c r="Q5" s="61"/>
      <c r="R5" s="42" t="s">
        <v>234</v>
      </c>
      <c r="S5" s="61"/>
      <c r="T5" s="42" t="s">
        <v>203</v>
      </c>
      <c r="U5" s="61"/>
      <c r="V5" s="42" t="s">
        <v>208</v>
      </c>
      <c r="W5" s="61"/>
      <c r="X5" s="42" t="s">
        <v>267</v>
      </c>
      <c r="Y5" s="61"/>
      <c r="Z5" s="42" t="s">
        <v>268</v>
      </c>
      <c r="AA5" s="61"/>
      <c r="AB5" s="42" t="s">
        <v>265</v>
      </c>
      <c r="AC5" s="61"/>
      <c r="AD5" s="42" t="s">
        <v>279</v>
      </c>
      <c r="AE5" s="62"/>
      <c r="AF5" s="42" t="s">
        <v>274</v>
      </c>
      <c r="AG5" s="62"/>
      <c r="AH5" s="42" t="s">
        <v>302</v>
      </c>
      <c r="AI5" s="62"/>
      <c r="AJ5" s="42" t="s">
        <v>252</v>
      </c>
      <c r="AK5" s="62"/>
      <c r="AL5" s="42" t="s">
        <v>250</v>
      </c>
      <c r="AM5" s="62"/>
      <c r="AN5" s="42" t="s">
        <v>240</v>
      </c>
      <c r="AO5" s="62"/>
      <c r="AP5" s="42" t="s">
        <v>198</v>
      </c>
      <c r="AQ5" s="62"/>
      <c r="AR5" s="42" t="s">
        <v>277</v>
      </c>
      <c r="AS5" s="62"/>
      <c r="AT5" s="42" t="s">
        <v>245</v>
      </c>
      <c r="AU5" s="62"/>
      <c r="AV5" s="42" t="s">
        <v>255</v>
      </c>
      <c r="AW5" s="48"/>
      <c r="AX5" s="47" t="s">
        <v>298</v>
      </c>
      <c r="AY5" s="47"/>
      <c r="AZ5" s="47"/>
      <c r="BA5" s="47"/>
    </row>
    <row r="6" spans="1:55" ht="15.75">
      <c r="A6" s="42">
        <v>1</v>
      </c>
      <c r="B6" s="58" t="s">
        <v>184</v>
      </c>
      <c r="D6" s="42" t="s">
        <v>264</v>
      </c>
      <c r="E6" s="61"/>
      <c r="F6" s="42" t="s">
        <v>192</v>
      </c>
      <c r="G6" s="61"/>
      <c r="H6" s="42" t="s">
        <v>213</v>
      </c>
      <c r="I6" s="61"/>
      <c r="J6" s="42" t="s">
        <v>220</v>
      </c>
      <c r="K6" s="61"/>
      <c r="L6" s="42" t="s">
        <v>222</v>
      </c>
      <c r="M6" s="61"/>
      <c r="N6" s="42" t="s">
        <v>198</v>
      </c>
      <c r="O6" s="61"/>
      <c r="P6" s="42" t="s">
        <v>153</v>
      </c>
      <c r="Q6" s="61"/>
      <c r="R6" s="42" t="s">
        <v>235</v>
      </c>
      <c r="S6" s="61"/>
      <c r="T6" s="42" t="s">
        <v>207</v>
      </c>
      <c r="U6" s="61"/>
      <c r="V6" s="42" t="s">
        <v>209</v>
      </c>
      <c r="W6" s="61"/>
      <c r="X6" s="42" t="s">
        <v>153</v>
      </c>
      <c r="Y6" s="61"/>
      <c r="Z6" s="42" t="s">
        <v>269</v>
      </c>
      <c r="AA6" s="61"/>
      <c r="AB6" s="42" t="s">
        <v>230</v>
      </c>
      <c r="AC6" s="61"/>
      <c r="AD6" s="42" t="s">
        <v>278</v>
      </c>
      <c r="AE6" s="62"/>
      <c r="AF6" s="42" t="s">
        <v>301</v>
      </c>
      <c r="AG6" s="62"/>
      <c r="AH6" s="42" t="s">
        <v>317</v>
      </c>
      <c r="AI6" s="62"/>
      <c r="AJ6" s="42" t="s">
        <v>251</v>
      </c>
      <c r="AK6" s="62"/>
      <c r="AL6" s="42" t="s">
        <v>225</v>
      </c>
      <c r="AM6" s="62"/>
      <c r="AN6" s="42" t="s">
        <v>239</v>
      </c>
      <c r="AO6" s="62"/>
      <c r="AP6" s="42" t="s">
        <v>247</v>
      </c>
      <c r="AQ6" s="62"/>
      <c r="AR6" s="42" t="s">
        <v>303</v>
      </c>
      <c r="AS6" s="62"/>
      <c r="AT6" s="42" t="s">
        <v>244</v>
      </c>
      <c r="AU6" s="62"/>
      <c r="AV6" s="42" t="s">
        <v>256</v>
      </c>
      <c r="AW6" s="48"/>
      <c r="AX6" s="47" t="s">
        <v>297</v>
      </c>
      <c r="AY6" s="47"/>
      <c r="AZ6" s="47"/>
      <c r="BA6" s="47"/>
    </row>
    <row r="7" spans="1:55" ht="15.75">
      <c r="A7" s="42">
        <v>2</v>
      </c>
      <c r="B7" s="59" t="s">
        <v>282</v>
      </c>
      <c r="D7" s="42" t="s">
        <v>261</v>
      </c>
      <c r="E7" s="61"/>
      <c r="F7" s="42" t="s">
        <v>191</v>
      </c>
      <c r="G7" s="61"/>
      <c r="H7" s="42" t="s">
        <v>214</v>
      </c>
      <c r="I7" s="61"/>
      <c r="J7" s="42" t="s">
        <v>218</v>
      </c>
      <c r="K7" s="61"/>
      <c r="L7" s="42"/>
      <c r="M7" s="61"/>
      <c r="N7" s="42" t="s">
        <v>200</v>
      </c>
      <c r="O7" s="61"/>
      <c r="P7" s="42"/>
      <c r="Q7" s="61"/>
      <c r="R7" s="42" t="s">
        <v>236</v>
      </c>
      <c r="S7" s="61"/>
      <c r="T7" s="42" t="s">
        <v>204</v>
      </c>
      <c r="U7" s="61"/>
      <c r="V7" s="42" t="s">
        <v>210</v>
      </c>
      <c r="W7" s="61"/>
      <c r="X7" s="42"/>
      <c r="Y7" s="61"/>
      <c r="Z7" s="42"/>
      <c r="AA7" s="61"/>
      <c r="AB7" s="42"/>
      <c r="AC7" s="61"/>
      <c r="AD7" s="42" t="s">
        <v>271</v>
      </c>
      <c r="AE7" s="62"/>
      <c r="AF7" s="42"/>
      <c r="AG7" s="62"/>
      <c r="AH7" s="42"/>
      <c r="AI7" s="62"/>
      <c r="AJ7" s="42"/>
      <c r="AK7" s="62"/>
      <c r="AL7" s="42" t="s">
        <v>226</v>
      </c>
      <c r="AM7" s="62"/>
      <c r="AN7" s="42" t="s">
        <v>241</v>
      </c>
      <c r="AO7" s="62"/>
      <c r="AP7" s="42" t="s">
        <v>248</v>
      </c>
      <c r="AQ7" s="62"/>
      <c r="AR7" s="42"/>
      <c r="AS7" s="62"/>
      <c r="AT7" s="42" t="s">
        <v>246</v>
      </c>
      <c r="AU7" s="62"/>
      <c r="AV7" s="42" t="s">
        <v>257</v>
      </c>
      <c r="AW7" s="48"/>
      <c r="AX7" s="47" t="s">
        <v>299</v>
      </c>
      <c r="AY7" s="47"/>
      <c r="AZ7" s="47"/>
      <c r="BA7" s="47"/>
    </row>
    <row r="8" spans="1:55" ht="15.75">
      <c r="A8" s="42">
        <v>3</v>
      </c>
      <c r="B8" s="59" t="s">
        <v>283</v>
      </c>
      <c r="D8" s="42" t="s">
        <v>262</v>
      </c>
      <c r="E8" s="61"/>
      <c r="F8" s="42" t="s">
        <v>189</v>
      </c>
      <c r="G8" s="61"/>
      <c r="H8" s="42" t="s">
        <v>215</v>
      </c>
      <c r="I8" s="61"/>
      <c r="J8" s="42" t="s">
        <v>223</v>
      </c>
      <c r="K8" s="61"/>
      <c r="L8" s="42"/>
      <c r="M8" s="61"/>
      <c r="N8" s="42" t="s">
        <v>201</v>
      </c>
      <c r="O8" s="61"/>
      <c r="P8" s="42"/>
      <c r="Q8" s="61"/>
      <c r="R8" s="42" t="s">
        <v>237</v>
      </c>
      <c r="S8" s="61"/>
      <c r="T8" s="42" t="s">
        <v>205</v>
      </c>
      <c r="U8" s="61"/>
      <c r="V8" s="42" t="s">
        <v>211</v>
      </c>
      <c r="W8" s="61"/>
      <c r="X8" s="42"/>
      <c r="Y8" s="61"/>
      <c r="Z8" s="42"/>
      <c r="AA8" s="61"/>
      <c r="AB8" s="42"/>
      <c r="AC8" s="61"/>
      <c r="AD8" s="42" t="s">
        <v>272</v>
      </c>
      <c r="AE8" s="62"/>
      <c r="AF8" s="42"/>
      <c r="AG8" s="62"/>
      <c r="AH8" s="42"/>
      <c r="AI8" s="62"/>
      <c r="AJ8" s="42"/>
      <c r="AK8" s="62"/>
      <c r="AL8" s="42" t="s">
        <v>227</v>
      </c>
      <c r="AM8" s="62"/>
      <c r="AN8" s="42" t="s">
        <v>242</v>
      </c>
      <c r="AO8" s="62"/>
      <c r="AP8" s="42" t="s">
        <v>249</v>
      </c>
      <c r="AQ8" s="62"/>
      <c r="AR8" s="42"/>
      <c r="AS8" s="62"/>
      <c r="AT8" s="42"/>
      <c r="AU8" s="62"/>
      <c r="AV8" s="42" t="s">
        <v>253</v>
      </c>
      <c r="AW8" s="48"/>
      <c r="AX8" s="47"/>
      <c r="AY8" s="47"/>
      <c r="AZ8" s="47"/>
      <c r="BA8" s="47"/>
    </row>
    <row r="9" spans="1:55" ht="15.75">
      <c r="A9" s="42">
        <v>4</v>
      </c>
      <c r="B9" s="58" t="s">
        <v>284</v>
      </c>
      <c r="D9" s="42"/>
      <c r="E9" s="61"/>
      <c r="F9" s="42" t="s">
        <v>190</v>
      </c>
      <c r="G9" s="61"/>
      <c r="H9" s="42" t="s">
        <v>216</v>
      </c>
      <c r="I9" s="61"/>
      <c r="J9" s="42" t="s">
        <v>219</v>
      </c>
      <c r="K9" s="61"/>
      <c r="L9" s="42"/>
      <c r="M9" s="61"/>
      <c r="N9" s="42"/>
      <c r="O9" s="61"/>
      <c r="P9" s="42"/>
      <c r="Q9" s="61"/>
      <c r="R9" s="42"/>
      <c r="S9" s="61"/>
      <c r="T9" s="42" t="s">
        <v>206</v>
      </c>
      <c r="U9" s="61"/>
      <c r="V9" s="42"/>
      <c r="W9" s="61"/>
      <c r="X9" s="42"/>
      <c r="Y9" s="61"/>
      <c r="Z9" s="42"/>
      <c r="AA9" s="61"/>
      <c r="AB9" s="42"/>
      <c r="AC9" s="61"/>
      <c r="AD9" s="42"/>
      <c r="AE9" s="62"/>
      <c r="AF9" s="42"/>
      <c r="AG9" s="62"/>
      <c r="AH9" s="42"/>
      <c r="AI9" s="62"/>
      <c r="AJ9" s="42"/>
      <c r="AK9" s="62"/>
      <c r="AL9" s="42" t="s">
        <v>233</v>
      </c>
      <c r="AM9" s="62"/>
      <c r="AN9" s="42"/>
      <c r="AO9" s="62"/>
      <c r="AP9" s="42"/>
      <c r="AQ9" s="62"/>
      <c r="AR9" s="42"/>
      <c r="AS9" s="62"/>
      <c r="AT9" s="42"/>
      <c r="AU9" s="62"/>
      <c r="AV9" s="42" t="s">
        <v>254</v>
      </c>
      <c r="AW9" s="48"/>
      <c r="AX9" s="47"/>
      <c r="AY9" s="47"/>
      <c r="AZ9" s="47"/>
      <c r="BA9" s="47"/>
    </row>
    <row r="10" spans="1:55" ht="15.75">
      <c r="A10" s="42">
        <v>5</v>
      </c>
      <c r="B10" s="58" t="s">
        <v>285</v>
      </c>
      <c r="D10" s="42"/>
      <c r="E10" s="61"/>
      <c r="F10" s="42" t="s">
        <v>194</v>
      </c>
      <c r="G10" s="61"/>
      <c r="H10" s="42"/>
      <c r="I10" s="61"/>
      <c r="J10" s="42"/>
      <c r="K10" s="61"/>
      <c r="L10" s="42"/>
      <c r="M10" s="61"/>
      <c r="N10" s="42"/>
      <c r="O10" s="61"/>
      <c r="P10" s="42"/>
      <c r="Q10" s="61"/>
      <c r="R10" s="42"/>
      <c r="S10" s="61"/>
      <c r="T10" s="42"/>
      <c r="U10" s="61"/>
      <c r="V10" s="42"/>
      <c r="W10" s="61"/>
      <c r="X10" s="42"/>
      <c r="Y10" s="61"/>
      <c r="Z10" s="42"/>
      <c r="AA10" s="61"/>
      <c r="AB10" s="42"/>
      <c r="AC10" s="61"/>
      <c r="AD10" s="42"/>
      <c r="AE10" s="62"/>
      <c r="AF10" s="42"/>
      <c r="AG10" s="62"/>
      <c r="AH10" s="42"/>
      <c r="AI10" s="62"/>
      <c r="AJ10" s="42"/>
      <c r="AK10" s="62"/>
      <c r="AL10" s="42" t="s">
        <v>228</v>
      </c>
      <c r="AM10" s="62"/>
      <c r="AN10" s="42"/>
      <c r="AO10" s="62"/>
      <c r="AP10" s="42"/>
      <c r="AQ10" s="62"/>
      <c r="AR10" s="42"/>
      <c r="AS10" s="62"/>
      <c r="AT10" s="42"/>
      <c r="AU10" s="62"/>
      <c r="AV10" s="42" t="s">
        <v>258</v>
      </c>
      <c r="AW10" s="48"/>
      <c r="AX10" s="47"/>
      <c r="AY10" s="47"/>
      <c r="AZ10" s="47"/>
      <c r="BA10" s="47"/>
    </row>
    <row r="11" spans="1:55" ht="15.75">
      <c r="A11" s="42">
        <v>6</v>
      </c>
      <c r="B11" s="59" t="s">
        <v>173</v>
      </c>
      <c r="D11" s="42"/>
      <c r="E11" s="61"/>
      <c r="F11" s="42" t="s">
        <v>197</v>
      </c>
      <c r="G11" s="61"/>
      <c r="H11" s="42"/>
      <c r="I11" s="61"/>
      <c r="J11" s="42"/>
      <c r="K11" s="61"/>
      <c r="L11" s="42"/>
      <c r="M11" s="61"/>
      <c r="N11" s="42"/>
      <c r="O11" s="61"/>
      <c r="P11" s="42"/>
      <c r="Q11" s="61"/>
      <c r="R11" s="42"/>
      <c r="S11" s="61"/>
      <c r="T11" s="42"/>
      <c r="U11" s="61"/>
      <c r="V11" s="42"/>
      <c r="W11" s="61"/>
      <c r="X11" s="42"/>
      <c r="Y11" s="61"/>
      <c r="Z11" s="42"/>
      <c r="AA11" s="61"/>
      <c r="AB11" s="42"/>
      <c r="AC11" s="61"/>
      <c r="AD11" s="42"/>
      <c r="AE11" s="62"/>
      <c r="AF11" s="42"/>
      <c r="AG11" s="62"/>
      <c r="AH11" s="42"/>
      <c r="AI11" s="62"/>
      <c r="AJ11" s="42"/>
      <c r="AK11" s="62"/>
      <c r="AL11" s="42" t="s">
        <v>232</v>
      </c>
      <c r="AM11" s="62"/>
      <c r="AN11" s="42"/>
      <c r="AO11" s="62"/>
      <c r="AP11" s="42"/>
      <c r="AQ11" s="62"/>
      <c r="AR11" s="42"/>
      <c r="AS11" s="62"/>
      <c r="AT11" s="42"/>
      <c r="AU11" s="62"/>
      <c r="AV11" s="42" t="s">
        <v>259</v>
      </c>
      <c r="AW11" s="48"/>
      <c r="AX11" s="47"/>
      <c r="AY11" s="47"/>
      <c r="AZ11" s="47"/>
      <c r="BA11" s="47"/>
    </row>
    <row r="12" spans="1:55" ht="15.75">
      <c r="A12" s="42">
        <v>7</v>
      </c>
      <c r="B12" s="59" t="s">
        <v>286</v>
      </c>
      <c r="D12" s="42"/>
      <c r="E12" s="61"/>
      <c r="F12" s="42" t="s">
        <v>195</v>
      </c>
      <c r="G12" s="61"/>
      <c r="H12" s="42"/>
      <c r="I12" s="61"/>
      <c r="J12" s="42"/>
      <c r="K12" s="61"/>
      <c r="L12" s="42"/>
      <c r="M12" s="61"/>
      <c r="N12" s="42"/>
      <c r="O12" s="61"/>
      <c r="P12" s="42"/>
      <c r="Q12" s="61"/>
      <c r="R12" s="42"/>
      <c r="S12" s="61"/>
      <c r="T12" s="42"/>
      <c r="U12" s="61"/>
      <c r="V12" s="42"/>
      <c r="W12" s="61"/>
      <c r="X12" s="42"/>
      <c r="Y12" s="61"/>
      <c r="Z12" s="42"/>
      <c r="AA12" s="61"/>
      <c r="AB12" s="42"/>
      <c r="AC12" s="61"/>
      <c r="AD12" s="42"/>
      <c r="AE12" s="62"/>
      <c r="AF12" s="42"/>
      <c r="AG12" s="62"/>
      <c r="AH12" s="42"/>
      <c r="AI12" s="62"/>
      <c r="AJ12" s="42"/>
      <c r="AK12" s="62"/>
      <c r="AL12" s="42" t="s">
        <v>247</v>
      </c>
      <c r="AM12" s="62"/>
      <c r="AN12" s="42"/>
      <c r="AO12" s="62"/>
      <c r="AP12" s="42"/>
      <c r="AQ12" s="62"/>
      <c r="AR12" s="42"/>
      <c r="AS12" s="62"/>
      <c r="AT12" s="42"/>
      <c r="AU12" s="62"/>
      <c r="AV12" s="42"/>
      <c r="AW12" s="48"/>
      <c r="AX12" s="47"/>
      <c r="AY12" s="47"/>
      <c r="AZ12" s="47"/>
      <c r="BA12" s="47"/>
    </row>
    <row r="13" spans="1:55" ht="15.75">
      <c r="A13" s="42">
        <v>8</v>
      </c>
      <c r="B13" s="59" t="s">
        <v>287</v>
      </c>
      <c r="D13" s="42"/>
      <c r="E13" s="61"/>
      <c r="F13" s="42" t="s">
        <v>196</v>
      </c>
      <c r="G13" s="61"/>
      <c r="H13" s="42"/>
      <c r="I13" s="61"/>
      <c r="J13" s="42"/>
      <c r="K13" s="61"/>
      <c r="L13" s="42"/>
      <c r="M13" s="61"/>
      <c r="N13" s="42"/>
      <c r="O13" s="61"/>
      <c r="P13" s="42"/>
      <c r="Q13" s="61"/>
      <c r="R13" s="42"/>
      <c r="S13" s="63"/>
      <c r="T13" s="42"/>
      <c r="U13" s="61"/>
      <c r="V13" s="42"/>
      <c r="W13" s="61"/>
      <c r="X13" s="42"/>
      <c r="Y13" s="61"/>
      <c r="Z13" s="42"/>
      <c r="AA13" s="61"/>
      <c r="AB13" s="42"/>
      <c r="AC13" s="61"/>
      <c r="AD13" s="42"/>
      <c r="AE13" s="62"/>
      <c r="AF13" s="42"/>
      <c r="AG13" s="62"/>
      <c r="AH13" s="42"/>
      <c r="AI13" s="62"/>
      <c r="AJ13" s="42"/>
      <c r="AK13" s="62"/>
      <c r="AL13" s="42" t="s">
        <v>231</v>
      </c>
      <c r="AM13" s="62"/>
      <c r="AN13" s="42"/>
      <c r="AO13" s="62"/>
      <c r="AP13" s="42"/>
      <c r="AQ13" s="62"/>
      <c r="AR13" s="42"/>
      <c r="AS13" s="62"/>
      <c r="AT13" s="42"/>
      <c r="AU13" s="62"/>
      <c r="AV13" s="42"/>
      <c r="AW13" s="48"/>
      <c r="AX13" s="47"/>
      <c r="AY13" s="47"/>
      <c r="AZ13" s="47"/>
      <c r="BA13" s="47"/>
    </row>
    <row r="14" spans="1:55" ht="15.75">
      <c r="A14" s="42">
        <v>9</v>
      </c>
      <c r="B14" s="58" t="s">
        <v>198</v>
      </c>
      <c r="D14" s="42"/>
      <c r="E14" s="61"/>
      <c r="F14" s="42"/>
      <c r="G14" s="61"/>
      <c r="H14" s="42"/>
      <c r="I14" s="61"/>
      <c r="J14" s="42"/>
      <c r="K14" s="61"/>
      <c r="L14" s="42"/>
      <c r="M14" s="61"/>
      <c r="N14" s="42"/>
      <c r="O14" s="61"/>
      <c r="P14" s="42"/>
      <c r="Q14" s="61"/>
      <c r="R14" s="42"/>
      <c r="S14" s="61"/>
      <c r="T14" s="42"/>
      <c r="U14" s="61"/>
      <c r="V14" s="42"/>
      <c r="W14" s="61"/>
      <c r="X14" s="42"/>
      <c r="Y14" s="61"/>
      <c r="Z14" s="42"/>
      <c r="AA14" s="61"/>
      <c r="AB14" s="42"/>
      <c r="AC14" s="61"/>
      <c r="AD14" s="42"/>
      <c r="AE14" s="62"/>
      <c r="AF14" s="42"/>
      <c r="AG14" s="62"/>
      <c r="AH14" s="42"/>
      <c r="AI14" s="62"/>
      <c r="AJ14" s="42"/>
      <c r="AK14" s="62"/>
      <c r="AL14" s="42" t="s">
        <v>229</v>
      </c>
      <c r="AM14" s="62"/>
      <c r="AN14" s="42"/>
      <c r="AO14" s="62"/>
      <c r="AP14" s="42"/>
      <c r="AQ14" s="62"/>
      <c r="AR14" s="42"/>
      <c r="AS14" s="62"/>
      <c r="AT14" s="42"/>
      <c r="AU14" s="62"/>
      <c r="AV14" s="42"/>
      <c r="AW14" s="48"/>
      <c r="AX14" s="47"/>
      <c r="AY14" s="47"/>
      <c r="AZ14" s="47"/>
      <c r="BA14" s="47"/>
    </row>
    <row r="15" spans="1:55" ht="15.75">
      <c r="A15" s="42">
        <v>10</v>
      </c>
      <c r="B15" s="59" t="s">
        <v>288</v>
      </c>
      <c r="D15" s="42"/>
      <c r="E15" s="61"/>
      <c r="F15" s="42"/>
      <c r="G15" s="61"/>
      <c r="H15" s="42"/>
      <c r="I15" s="61"/>
      <c r="J15" s="42"/>
      <c r="K15" s="61"/>
      <c r="L15" s="42"/>
      <c r="M15" s="61"/>
      <c r="N15" s="42"/>
      <c r="O15" s="61"/>
      <c r="P15" s="42"/>
      <c r="Q15" s="61"/>
      <c r="R15" s="42"/>
      <c r="S15" s="61"/>
      <c r="T15" s="42"/>
      <c r="U15" s="61"/>
      <c r="V15" s="42"/>
      <c r="W15" s="61"/>
      <c r="X15" s="42"/>
      <c r="Y15" s="61"/>
      <c r="Z15" s="42"/>
      <c r="AA15" s="61"/>
      <c r="AB15" s="42"/>
      <c r="AC15" s="61"/>
      <c r="AD15" s="42"/>
      <c r="AE15" s="62"/>
      <c r="AF15" s="42"/>
      <c r="AG15" s="62"/>
      <c r="AH15" s="42"/>
      <c r="AI15" s="62"/>
      <c r="AJ15" s="42"/>
      <c r="AK15" s="62"/>
      <c r="AL15" s="42" t="s">
        <v>230</v>
      </c>
      <c r="AM15" s="62"/>
      <c r="AN15" s="42"/>
      <c r="AO15" s="62"/>
      <c r="AP15" s="42"/>
      <c r="AQ15" s="62"/>
      <c r="AR15" s="42"/>
      <c r="AS15" s="62"/>
      <c r="AT15" s="42"/>
      <c r="AU15" s="62"/>
      <c r="AV15" s="42"/>
      <c r="AW15" s="48"/>
      <c r="AX15" s="47"/>
      <c r="AY15" s="47"/>
      <c r="AZ15" s="47"/>
      <c r="BA15" s="47"/>
    </row>
    <row r="16" spans="1:55" ht="15.75">
      <c r="A16" s="42">
        <v>11</v>
      </c>
      <c r="B16" s="59" t="s">
        <v>281</v>
      </c>
      <c r="D16" s="42"/>
      <c r="E16" s="61"/>
      <c r="F16" s="42"/>
      <c r="G16" s="61"/>
      <c r="H16" s="42"/>
      <c r="I16" s="61"/>
      <c r="J16" s="42"/>
      <c r="K16" s="61"/>
      <c r="L16" s="42"/>
      <c r="M16" s="61"/>
      <c r="N16" s="42"/>
      <c r="O16" s="61"/>
      <c r="P16" s="42"/>
      <c r="Q16" s="61"/>
      <c r="R16" s="42"/>
      <c r="S16" s="61"/>
      <c r="T16" s="42"/>
      <c r="U16" s="61"/>
      <c r="V16" s="42"/>
      <c r="W16" s="61"/>
      <c r="X16" s="42"/>
      <c r="Y16" s="61"/>
      <c r="Z16" s="42"/>
      <c r="AA16" s="61"/>
      <c r="AB16" s="42"/>
      <c r="AC16" s="61"/>
      <c r="AD16" s="42"/>
      <c r="AE16" s="62"/>
      <c r="AF16" s="42"/>
      <c r="AG16" s="62"/>
      <c r="AH16" s="42"/>
      <c r="AI16" s="62"/>
      <c r="AJ16" s="42"/>
      <c r="AK16" s="62"/>
      <c r="AL16" s="42"/>
      <c r="AM16" s="62"/>
      <c r="AN16" s="42"/>
      <c r="AO16" s="62"/>
      <c r="AP16" s="42"/>
      <c r="AQ16" s="62"/>
      <c r="AR16" s="42"/>
      <c r="AS16" s="62"/>
      <c r="AT16" s="42"/>
      <c r="AU16" s="62"/>
      <c r="AV16" s="42"/>
      <c r="AW16" s="48"/>
      <c r="AX16" s="47"/>
      <c r="AY16" s="47"/>
      <c r="AZ16" s="47"/>
      <c r="BA16" s="47"/>
    </row>
    <row r="17" spans="1:53" ht="15.75">
      <c r="A17" s="42">
        <v>12</v>
      </c>
      <c r="B17" s="59" t="s">
        <v>185</v>
      </c>
      <c r="D17" s="47"/>
      <c r="E17" s="64"/>
      <c r="F17" s="47"/>
      <c r="G17" s="64"/>
      <c r="H17" s="47"/>
      <c r="I17" s="64"/>
      <c r="J17" s="47"/>
      <c r="K17" s="64"/>
      <c r="L17" s="47"/>
      <c r="M17" s="64"/>
      <c r="N17" s="47"/>
      <c r="O17" s="64"/>
      <c r="P17" s="47"/>
      <c r="Q17" s="64"/>
      <c r="R17" s="47"/>
      <c r="S17" s="64"/>
      <c r="T17" s="47"/>
      <c r="U17" s="64"/>
      <c r="V17" s="47"/>
      <c r="W17" s="64"/>
      <c r="X17" s="47"/>
      <c r="Y17" s="64"/>
      <c r="Z17" s="47"/>
      <c r="AA17" s="64"/>
      <c r="AB17" s="47"/>
      <c r="AC17" s="64"/>
      <c r="AD17" s="47"/>
      <c r="AE17" s="48"/>
      <c r="AF17" s="47"/>
      <c r="AG17" s="48"/>
      <c r="AH17" s="47"/>
      <c r="AI17" s="48"/>
      <c r="AJ17" s="47"/>
      <c r="AK17" s="48"/>
      <c r="AL17" s="47"/>
      <c r="AM17" s="48"/>
      <c r="AN17" s="47"/>
      <c r="AO17" s="48"/>
      <c r="AP17" s="47"/>
      <c r="AQ17" s="48"/>
      <c r="AR17" s="47"/>
      <c r="AS17" s="48"/>
      <c r="AT17" s="47"/>
      <c r="AU17" s="48"/>
      <c r="AV17" s="47"/>
      <c r="AW17" s="48"/>
      <c r="AX17" s="47"/>
      <c r="AY17" s="47"/>
      <c r="AZ17" s="47"/>
      <c r="BA17" s="47"/>
    </row>
    <row r="18" spans="1:53" ht="15.75">
      <c r="A18" s="42">
        <v>13</v>
      </c>
      <c r="B18" s="58" t="s">
        <v>202</v>
      </c>
      <c r="D18" s="47"/>
      <c r="E18" s="64"/>
      <c r="F18" s="47"/>
      <c r="G18" s="64"/>
      <c r="H18" s="47"/>
      <c r="I18" s="64"/>
      <c r="J18" s="47"/>
      <c r="K18" s="64"/>
      <c r="L18" s="47"/>
      <c r="M18" s="64"/>
      <c r="N18" s="47"/>
      <c r="O18" s="64"/>
      <c r="P18" s="47"/>
      <c r="Q18" s="64"/>
      <c r="R18" s="47"/>
      <c r="S18" s="64"/>
      <c r="T18" s="47"/>
      <c r="U18" s="64"/>
      <c r="V18" s="47"/>
      <c r="W18" s="64"/>
      <c r="X18" s="47"/>
      <c r="Y18" s="64"/>
      <c r="Z18" s="47"/>
      <c r="AA18" s="64"/>
      <c r="AB18" s="47"/>
      <c r="AC18" s="64"/>
      <c r="AD18" s="47"/>
      <c r="AE18" s="48"/>
      <c r="AF18" s="47"/>
      <c r="AG18" s="48"/>
      <c r="AH18" s="47"/>
      <c r="AI18" s="48"/>
      <c r="AJ18" s="47"/>
      <c r="AK18" s="48"/>
      <c r="AL18" s="47"/>
      <c r="AM18" s="48"/>
      <c r="AN18" s="47"/>
      <c r="AO18" s="48"/>
      <c r="AP18" s="47"/>
      <c r="AQ18" s="48"/>
      <c r="AR18" s="47"/>
      <c r="AS18" s="48"/>
      <c r="AT18" s="47"/>
      <c r="AU18" s="48"/>
      <c r="AV18" s="47"/>
      <c r="AW18" s="48"/>
      <c r="AX18" s="47"/>
      <c r="AY18" s="47"/>
      <c r="AZ18" s="47"/>
      <c r="BA18" s="47"/>
    </row>
    <row r="19" spans="1:53" ht="15.75">
      <c r="A19" s="42">
        <v>14</v>
      </c>
      <c r="B19" s="59" t="s">
        <v>289</v>
      </c>
      <c r="D19" s="47"/>
      <c r="E19" s="64"/>
      <c r="F19" s="47"/>
      <c r="G19" s="64"/>
      <c r="H19" s="47"/>
      <c r="I19" s="64"/>
      <c r="J19" s="47"/>
      <c r="K19" s="64"/>
      <c r="L19" s="47"/>
      <c r="M19" s="64"/>
      <c r="N19" s="47"/>
      <c r="O19" s="64"/>
      <c r="P19" s="47"/>
      <c r="Q19" s="64"/>
      <c r="R19" s="47"/>
      <c r="S19" s="64"/>
      <c r="T19" s="47"/>
      <c r="U19" s="64"/>
      <c r="V19" s="47"/>
      <c r="W19" s="64"/>
      <c r="X19" s="47"/>
      <c r="Y19" s="64"/>
      <c r="Z19" s="47"/>
      <c r="AA19" s="64"/>
      <c r="AB19" s="47"/>
      <c r="AC19" s="64"/>
      <c r="AD19" s="47"/>
      <c r="AE19" s="48"/>
      <c r="AF19" s="47"/>
      <c r="AG19" s="48"/>
      <c r="AH19" s="47"/>
      <c r="AI19" s="48"/>
      <c r="AJ19" s="47"/>
      <c r="AK19" s="48"/>
      <c r="AL19" s="47"/>
      <c r="AM19" s="48"/>
      <c r="AN19" s="47"/>
      <c r="AO19" s="48"/>
      <c r="AP19" s="47"/>
      <c r="AQ19" s="48"/>
      <c r="AR19" s="47"/>
      <c r="AS19" s="48"/>
      <c r="AT19" s="47"/>
      <c r="AU19" s="48"/>
      <c r="AV19" s="47"/>
      <c r="AW19" s="48"/>
      <c r="AX19" s="47"/>
      <c r="AY19" s="47"/>
      <c r="AZ19" s="47"/>
      <c r="BA19" s="47"/>
    </row>
    <row r="20" spans="1:53" ht="15.75">
      <c r="A20" s="42">
        <v>15</v>
      </c>
      <c r="B20" s="59" t="s">
        <v>290</v>
      </c>
      <c r="D20" s="47"/>
      <c r="E20" s="64"/>
      <c r="F20" s="47"/>
      <c r="G20" s="64"/>
      <c r="H20" s="47"/>
      <c r="I20" s="64"/>
      <c r="J20" s="47"/>
      <c r="K20" s="64"/>
      <c r="L20" s="47"/>
      <c r="M20" s="64"/>
      <c r="N20" s="47"/>
      <c r="O20" s="64"/>
      <c r="P20" s="47"/>
      <c r="Q20" s="64"/>
      <c r="R20" s="47"/>
      <c r="S20" s="64"/>
      <c r="T20" s="47"/>
      <c r="U20" s="64"/>
      <c r="V20" s="47"/>
      <c r="W20" s="64"/>
      <c r="X20" s="47"/>
      <c r="Y20" s="64"/>
      <c r="Z20" s="47"/>
      <c r="AA20" s="64"/>
      <c r="AB20" s="47"/>
      <c r="AC20" s="64"/>
      <c r="AD20" s="47"/>
      <c r="AE20" s="48"/>
      <c r="AF20" s="47"/>
      <c r="AG20" s="48"/>
      <c r="AH20" s="47"/>
      <c r="AI20" s="48"/>
      <c r="AJ20" s="47"/>
      <c r="AK20" s="48"/>
      <c r="AL20" s="47"/>
      <c r="AM20" s="48"/>
      <c r="AN20" s="47"/>
      <c r="AO20" s="48"/>
      <c r="AP20" s="47"/>
      <c r="AQ20" s="48"/>
      <c r="AR20" s="47"/>
      <c r="AS20" s="48"/>
      <c r="AT20" s="47"/>
      <c r="AU20" s="48"/>
      <c r="AV20" s="47"/>
      <c r="AW20" s="48"/>
      <c r="AX20" s="47"/>
      <c r="AY20" s="47"/>
      <c r="AZ20" s="47"/>
      <c r="BA20" s="47"/>
    </row>
    <row r="21" spans="1:53" ht="15.75">
      <c r="A21" s="42">
        <v>16</v>
      </c>
      <c r="B21" s="59" t="s">
        <v>291</v>
      </c>
      <c r="D21" s="47"/>
      <c r="E21" s="64"/>
      <c r="F21" s="47"/>
      <c r="G21" s="64"/>
      <c r="H21" s="47"/>
      <c r="I21" s="64"/>
      <c r="J21" s="47"/>
      <c r="K21" s="64"/>
      <c r="L21" s="47"/>
      <c r="M21" s="64"/>
      <c r="N21" s="47"/>
      <c r="O21" s="64"/>
      <c r="P21" s="47"/>
      <c r="Q21" s="64"/>
      <c r="R21" s="47"/>
      <c r="S21" s="64"/>
      <c r="T21" s="47"/>
      <c r="U21" s="64"/>
      <c r="V21" s="47"/>
      <c r="W21" s="64"/>
      <c r="X21" s="47"/>
      <c r="Y21" s="64"/>
      <c r="Z21" s="47"/>
      <c r="AA21" s="64"/>
      <c r="AB21" s="47"/>
      <c r="AC21" s="64"/>
      <c r="AD21" s="47"/>
      <c r="AE21" s="48"/>
      <c r="AF21" s="47"/>
      <c r="AG21" s="48"/>
      <c r="AH21" s="47"/>
      <c r="AI21" s="48"/>
      <c r="AJ21" s="47"/>
      <c r="AK21" s="48"/>
      <c r="AL21" s="47"/>
      <c r="AM21" s="48"/>
      <c r="AN21" s="47"/>
      <c r="AO21" s="48"/>
      <c r="AP21" s="47"/>
      <c r="AQ21" s="48"/>
      <c r="AR21" s="47"/>
      <c r="AS21" s="48"/>
      <c r="AT21" s="47"/>
      <c r="AU21" s="48"/>
      <c r="AV21" s="47"/>
      <c r="AW21" s="48"/>
      <c r="AX21" s="47"/>
      <c r="AY21" s="47"/>
      <c r="AZ21" s="47"/>
      <c r="BA21" s="47"/>
    </row>
    <row r="22" spans="1:53" ht="15.75">
      <c r="A22" s="42">
        <v>17</v>
      </c>
      <c r="B22" s="59" t="s">
        <v>292</v>
      </c>
      <c r="D22" s="47"/>
      <c r="E22" s="64"/>
      <c r="F22" s="47"/>
      <c r="G22" s="64"/>
      <c r="H22" s="47"/>
      <c r="I22" s="64"/>
      <c r="J22" s="47"/>
      <c r="K22" s="64"/>
      <c r="L22" s="47"/>
      <c r="M22" s="64"/>
      <c r="N22" s="47"/>
      <c r="O22" s="64"/>
      <c r="P22" s="47"/>
      <c r="Q22" s="64"/>
      <c r="R22" s="47"/>
      <c r="S22" s="64"/>
      <c r="T22" s="47"/>
      <c r="U22" s="64"/>
      <c r="V22" s="47"/>
      <c r="W22" s="64"/>
      <c r="X22" s="47"/>
      <c r="Y22" s="64"/>
      <c r="Z22" s="47"/>
      <c r="AA22" s="64"/>
      <c r="AB22" s="47"/>
      <c r="AC22" s="64"/>
      <c r="AD22" s="47"/>
      <c r="AE22" s="48"/>
      <c r="AF22" s="47"/>
      <c r="AG22" s="48"/>
      <c r="AH22" s="47"/>
      <c r="AI22" s="48"/>
      <c r="AJ22" s="47"/>
      <c r="AK22" s="48"/>
      <c r="AL22" s="47"/>
      <c r="AM22" s="48"/>
      <c r="AN22" s="47"/>
      <c r="AO22" s="48"/>
      <c r="AP22" s="47"/>
      <c r="AQ22" s="48"/>
      <c r="AR22" s="47"/>
      <c r="AS22" s="48"/>
      <c r="AT22" s="47"/>
      <c r="AU22" s="48"/>
      <c r="AV22" s="47"/>
      <c r="AW22" s="48"/>
      <c r="AX22" s="47"/>
      <c r="AY22" s="47"/>
      <c r="AZ22" s="47"/>
      <c r="BA22" s="47"/>
    </row>
    <row r="23" spans="1:53" ht="15.75">
      <c r="A23" s="42">
        <v>18</v>
      </c>
      <c r="B23" s="58" t="s">
        <v>300</v>
      </c>
    </row>
    <row r="24" spans="1:53" ht="15.75">
      <c r="A24" s="42">
        <v>19</v>
      </c>
      <c r="B24" s="59" t="s">
        <v>293</v>
      </c>
    </row>
    <row r="25" spans="1:53" ht="15.75">
      <c r="A25" s="42">
        <v>20</v>
      </c>
      <c r="B25" s="59" t="s">
        <v>174</v>
      </c>
    </row>
    <row r="26" spans="1:53" ht="15.75">
      <c r="A26" s="42">
        <v>21</v>
      </c>
      <c r="B26" s="59" t="s">
        <v>294</v>
      </c>
    </row>
    <row r="27" spans="1:53" ht="15.75">
      <c r="A27" s="42">
        <v>22</v>
      </c>
      <c r="B27" s="59" t="s">
        <v>295</v>
      </c>
    </row>
    <row r="28" spans="1:53" ht="15.75">
      <c r="A28" s="42">
        <v>23</v>
      </c>
      <c r="B28" s="58" t="s">
        <v>243</v>
      </c>
    </row>
    <row r="29" spans="1:53" ht="15.75">
      <c r="A29" s="42">
        <v>24</v>
      </c>
      <c r="B29" s="59" t="s">
        <v>296</v>
      </c>
    </row>
  </sheetData>
  <mergeCells count="1">
    <mergeCell ref="A4:B4"/>
  </mergeCells>
  <hyperlinks>
    <hyperlink ref="A1" location="فهرست!A1" display="فهرست" xr:uid="{00000000-0004-0000-0F00-000000000000}"/>
    <hyperlink ref="B1" location="تراکنش‌ها!A1" display="تراکنش‌ها" xr:uid="{00000000-0004-0000-0F00-000001000000}"/>
    <hyperlink ref="A2" location="فهرست!A1" display="فهرست" xr:uid="{00000000-0004-0000-0F00-000002000000}"/>
    <hyperlink ref="B2" location="تراکنش‌ها!A1" display="تراکنش‌ها" xr:uid="{00000000-0004-0000-0F00-000003000000}"/>
  </hyperlinks>
  <pageMargins left="0.7" right="0.7" top="0.75" bottom="0.75" header="0.3" footer="0.3"/>
  <pageSetup orientation="portrait" r:id="rId1"/>
  <tableParts count="25">
    <tablePart r:id="rId2"/>
    <tablePart r:id="rId3"/>
    <tablePart r:id="rId4"/>
    <tablePart r:id="rId5"/>
    <tablePart r:id="rId6"/>
    <tablePart r:id="rId7"/>
    <tablePart r:id="rId8"/>
    <tablePart r:id="rId9"/>
    <tablePart r:id="rId10"/>
    <tablePart r:id="rId11"/>
    <tablePart r:id="rId12"/>
    <tablePart r:id="rId13"/>
    <tablePart r:id="rId14"/>
    <tablePart r:id="rId15"/>
    <tablePart r:id="rId16"/>
    <tablePart r:id="rId17"/>
    <tablePart r:id="rId18"/>
    <tablePart r:id="rId19"/>
    <tablePart r:id="rId20"/>
    <tablePart r:id="rId21"/>
    <tablePart r:id="rId22"/>
    <tablePart r:id="rId23"/>
    <tablePart r:id="rId24"/>
    <tablePart r:id="rId25"/>
    <tablePart r:id="rId26"/>
  </tableParts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16">
    <tabColor theme="5"/>
  </sheetPr>
  <dimension ref="A1:B7"/>
  <sheetViews>
    <sheetView rightToLeft="1" workbookViewId="0">
      <selection activeCell="E11" sqref="E11"/>
    </sheetView>
  </sheetViews>
  <sheetFormatPr defaultRowHeight="15"/>
  <sheetData>
    <row r="1" spans="1:2">
      <c r="A1" t="s">
        <v>12</v>
      </c>
    </row>
    <row r="7" spans="1:2">
      <c r="B7" t="s">
        <v>143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Sheet21">
    <tabColor theme="2"/>
  </sheetPr>
  <dimension ref="D4:D6"/>
  <sheetViews>
    <sheetView rightToLeft="1" workbookViewId="0">
      <selection activeCell="D7" sqref="D7"/>
    </sheetView>
  </sheetViews>
  <sheetFormatPr defaultRowHeight="15"/>
  <sheetData>
    <row r="4" spans="4:4">
      <c r="D4" t="s">
        <v>178</v>
      </c>
    </row>
    <row r="5" spans="4:4">
      <c r="D5" t="s">
        <v>179</v>
      </c>
    </row>
    <row r="6" spans="4:4">
      <c r="D6" t="s">
        <v>180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Sheet22">
    <tabColor theme="2"/>
  </sheetPr>
  <dimension ref="A1"/>
  <sheetViews>
    <sheetView rightToLeft="1" workbookViewId="0">
      <selection activeCell="S19" sqref="S19"/>
    </sheetView>
  </sheetViews>
  <sheetFormatPr defaultRowHeight="15"/>
  <sheetData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Sheet8">
    <tabColor theme="3" tint="0.39997558519241921"/>
  </sheetPr>
  <dimension ref="A1:C24"/>
  <sheetViews>
    <sheetView rightToLeft="1" workbookViewId="0">
      <selection activeCell="A24" sqref="A24"/>
    </sheetView>
  </sheetViews>
  <sheetFormatPr defaultRowHeight="15"/>
  <cols>
    <col min="2" max="2" width="25" customWidth="1"/>
    <col min="3" max="3" width="29.7109375" customWidth="1"/>
  </cols>
  <sheetData>
    <row r="1" spans="1:3">
      <c r="A1" t="s">
        <v>43</v>
      </c>
    </row>
    <row r="6" spans="1:3">
      <c r="B6" t="s">
        <v>44</v>
      </c>
      <c r="C6" t="s">
        <v>45</v>
      </c>
    </row>
    <row r="9" spans="1:3">
      <c r="B9" t="s">
        <v>52</v>
      </c>
      <c r="C9" t="s">
        <v>46</v>
      </c>
    </row>
    <row r="10" spans="1:3">
      <c r="B10" t="s">
        <v>53</v>
      </c>
    </row>
    <row r="13" spans="1:3">
      <c r="B13" t="s">
        <v>51</v>
      </c>
    </row>
    <row r="14" spans="1:3">
      <c r="B14" t="s">
        <v>47</v>
      </c>
      <c r="C14" t="s">
        <v>48</v>
      </c>
    </row>
    <row r="15" spans="1:3">
      <c r="B15" t="s">
        <v>49</v>
      </c>
      <c r="C15" t="s">
        <v>50</v>
      </c>
    </row>
    <row r="18" spans="2:2">
      <c r="B18" t="s">
        <v>54</v>
      </c>
    </row>
    <row r="20" spans="2:2">
      <c r="B20" t="s">
        <v>55</v>
      </c>
    </row>
    <row r="22" spans="2:2">
      <c r="B22" t="s">
        <v>56</v>
      </c>
    </row>
    <row r="24" spans="2:2">
      <c r="B24" t="s">
        <v>57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Sheet23">
    <tabColor theme="7" tint="-0.249977111117893"/>
  </sheetPr>
  <dimension ref="A1:J65"/>
  <sheetViews>
    <sheetView rightToLeft="1" zoomScaleNormal="100" workbookViewId="0">
      <selection activeCell="A4" sqref="A4"/>
    </sheetView>
  </sheetViews>
  <sheetFormatPr defaultRowHeight="15"/>
  <cols>
    <col min="1" max="1" width="32.7109375" style="153" customWidth="1"/>
    <col min="2" max="2" width="0.7109375" style="153" customWidth="1"/>
    <col min="3" max="3" width="4.5703125" style="154" customWidth="1"/>
    <col min="4" max="4" width="36.5703125" style="193" customWidth="1"/>
    <col min="5" max="5" width="4.5703125" style="194" customWidth="1"/>
    <col min="6" max="6" width="18.140625" style="194" bestFit="1" customWidth="1"/>
    <col min="7" max="7" width="27.28515625" style="194" bestFit="1" customWidth="1"/>
    <col min="8" max="8" width="30.5703125" style="194" bestFit="1" customWidth="1"/>
    <col min="9" max="9" width="11" style="194" customWidth="1"/>
    <col min="10" max="10" width="17.7109375" style="194" customWidth="1"/>
    <col min="11" max="11" width="27.28515625" style="194" customWidth="1"/>
    <col min="12" max="12" width="10.7109375" style="194" customWidth="1"/>
    <col min="13" max="13" width="11.85546875" style="194" customWidth="1"/>
    <col min="14" max="15" width="18.28515625" style="194" customWidth="1"/>
    <col min="16" max="16384" width="9.140625" style="194"/>
  </cols>
  <sheetData>
    <row r="1" spans="1:10" ht="24" customHeight="1">
      <c r="A1" s="170" t="s">
        <v>976</v>
      </c>
      <c r="C1" s="194"/>
      <c r="D1" s="327" t="s">
        <v>401</v>
      </c>
      <c r="E1" s="327"/>
      <c r="F1" s="327"/>
      <c r="G1" s="327"/>
      <c r="H1" s="327"/>
      <c r="I1" s="327"/>
      <c r="J1" s="327"/>
    </row>
    <row r="2" spans="1:10" ht="3.75" customHeight="1">
      <c r="D2" s="194"/>
    </row>
    <row r="3" spans="1:10" ht="18.75">
      <c r="A3" s="159" t="s">
        <v>8</v>
      </c>
      <c r="D3" s="44" t="s">
        <v>981</v>
      </c>
      <c r="H3" s="186"/>
    </row>
    <row r="4" spans="1:10" ht="18.75">
      <c r="A4" s="160" t="s">
        <v>115</v>
      </c>
      <c r="D4" s="27" t="s">
        <v>138</v>
      </c>
      <c r="F4" s="195"/>
      <c r="G4" s="195"/>
      <c r="H4" s="196"/>
      <c r="I4" s="195"/>
    </row>
    <row r="5" spans="1:10" ht="18.75">
      <c r="A5" s="161" t="s">
        <v>102</v>
      </c>
      <c r="D5" s="27" t="s">
        <v>949</v>
      </c>
      <c r="F5" s="195"/>
      <c r="G5" s="195"/>
      <c r="H5" s="196"/>
      <c r="I5" s="195"/>
    </row>
    <row r="6" spans="1:10" ht="18.75">
      <c r="A6" s="162" t="s">
        <v>103</v>
      </c>
      <c r="D6" s="27" t="s">
        <v>967</v>
      </c>
      <c r="F6" s="195"/>
      <c r="G6" s="195"/>
      <c r="H6" s="195"/>
      <c r="I6" s="195"/>
    </row>
    <row r="7" spans="1:10" ht="18.75">
      <c r="A7" s="163" t="s">
        <v>104</v>
      </c>
      <c r="D7" s="27" t="s">
        <v>950</v>
      </c>
      <c r="F7" s="195"/>
      <c r="G7" s="195"/>
      <c r="H7" s="195"/>
      <c r="I7" s="195"/>
    </row>
    <row r="8" spans="1:10" ht="18.75">
      <c r="A8" s="146" t="s">
        <v>110</v>
      </c>
      <c r="D8" s="27" t="s">
        <v>321</v>
      </c>
      <c r="F8" s="195"/>
      <c r="G8" s="195"/>
      <c r="H8" s="195"/>
      <c r="I8" s="195"/>
    </row>
    <row r="9" spans="1:10" ht="18.75">
      <c r="A9" s="164" t="s">
        <v>89</v>
      </c>
      <c r="D9" s="27" t="s">
        <v>956</v>
      </c>
      <c r="F9" s="195"/>
      <c r="G9" s="195"/>
      <c r="H9" s="195"/>
      <c r="I9" s="195"/>
    </row>
    <row r="10" spans="1:10" ht="18.75">
      <c r="A10" s="165" t="s">
        <v>111</v>
      </c>
      <c r="D10" s="27" t="s">
        <v>959</v>
      </c>
      <c r="F10" s="195"/>
      <c r="G10" s="195"/>
      <c r="H10" s="195"/>
      <c r="I10" s="195"/>
    </row>
    <row r="11" spans="1:10" ht="18.75">
      <c r="A11" s="166" t="s">
        <v>105</v>
      </c>
      <c r="D11" s="27" t="s">
        <v>960</v>
      </c>
      <c r="F11" s="195"/>
      <c r="G11" s="195"/>
      <c r="H11" s="195"/>
    </row>
    <row r="12" spans="1:10" ht="18.75">
      <c r="A12" s="167" t="s">
        <v>98</v>
      </c>
      <c r="D12" s="27" t="s">
        <v>961</v>
      </c>
      <c r="F12" s="195"/>
      <c r="G12" s="195"/>
      <c r="H12" s="195"/>
    </row>
    <row r="13" spans="1:10" ht="15.75">
      <c r="A13" s="187"/>
      <c r="D13" s="27" t="s">
        <v>965</v>
      </c>
      <c r="F13" s="195"/>
      <c r="G13" s="195"/>
      <c r="H13" s="195"/>
    </row>
    <row r="14" spans="1:10" ht="15.75">
      <c r="A14" s="187"/>
      <c r="D14" s="27" t="s">
        <v>977</v>
      </c>
      <c r="F14" s="195"/>
      <c r="G14" s="195"/>
      <c r="H14" s="195"/>
    </row>
    <row r="15" spans="1:10" ht="15.75">
      <c r="A15" s="187"/>
      <c r="D15" s="27" t="s">
        <v>978</v>
      </c>
      <c r="F15" s="195"/>
      <c r="G15" s="195"/>
      <c r="H15" s="195"/>
    </row>
    <row r="16" spans="1:10" ht="15.75">
      <c r="A16" s="187"/>
      <c r="D16" s="27" t="s">
        <v>979</v>
      </c>
      <c r="F16" s="195"/>
      <c r="G16" s="195"/>
      <c r="H16" s="195"/>
    </row>
    <row r="17" spans="1:8" ht="15.75">
      <c r="A17" s="187"/>
      <c r="D17" s="27" t="s">
        <v>980</v>
      </c>
      <c r="F17" s="195"/>
      <c r="G17" s="195"/>
      <c r="H17" s="195"/>
    </row>
    <row r="18" spans="1:8" ht="15.75">
      <c r="A18" s="187"/>
      <c r="D18" s="27" t="s">
        <v>982</v>
      </c>
    </row>
    <row r="19" spans="1:8" ht="15.75">
      <c r="A19" s="187"/>
      <c r="D19" s="27"/>
    </row>
    <row r="20" spans="1:8" ht="15.75">
      <c r="A20" s="187"/>
      <c r="D20" s="27"/>
    </row>
    <row r="21" spans="1:8" ht="15.75">
      <c r="A21" s="187"/>
      <c r="D21" s="27"/>
    </row>
    <row r="22" spans="1:8" ht="15.75">
      <c r="A22" s="187"/>
      <c r="D22" s="27"/>
    </row>
    <row r="23" spans="1:8" ht="15.75">
      <c r="A23" s="187"/>
      <c r="D23" s="27"/>
    </row>
    <row r="24" spans="1:8" ht="15.75">
      <c r="D24" s="27"/>
    </row>
    <row r="25" spans="1:8" ht="15.75">
      <c r="D25" s="27"/>
    </row>
    <row r="26" spans="1:8" ht="15.75">
      <c r="D26" s="27"/>
    </row>
    <row r="27" spans="1:8" ht="15.75">
      <c r="D27" s="27"/>
    </row>
    <row r="28" spans="1:8" ht="15.75">
      <c r="D28" s="27"/>
    </row>
    <row r="29" spans="1:8" ht="15.75">
      <c r="D29" s="27"/>
    </row>
    <row r="30" spans="1:8" ht="15.75">
      <c r="D30" s="27"/>
    </row>
    <row r="31" spans="1:8" ht="15.75">
      <c r="D31" s="27"/>
    </row>
    <row r="32" spans="1:8" ht="15.75">
      <c r="D32" s="27"/>
    </row>
    <row r="33" spans="4:4" ht="15.75">
      <c r="D33" s="27"/>
    </row>
    <row r="34" spans="4:4" ht="15.75">
      <c r="D34" s="27"/>
    </row>
    <row r="35" spans="4:4" ht="15.75">
      <c r="D35" s="27"/>
    </row>
    <row r="36" spans="4:4" ht="15.75">
      <c r="D36" s="27"/>
    </row>
    <row r="37" spans="4:4" ht="15.75">
      <c r="D37" s="27"/>
    </row>
    <row r="38" spans="4:4" ht="15.75">
      <c r="D38" s="27"/>
    </row>
    <row r="39" spans="4:4" ht="15.75">
      <c r="D39" s="27"/>
    </row>
    <row r="40" spans="4:4" ht="15.75">
      <c r="D40" s="27"/>
    </row>
    <row r="41" spans="4:4" ht="15.75">
      <c r="D41" s="27"/>
    </row>
    <row r="42" spans="4:4" ht="15.75">
      <c r="D42" s="27"/>
    </row>
    <row r="43" spans="4:4" ht="15.75">
      <c r="D43" s="27"/>
    </row>
    <row r="44" spans="4:4" ht="15.75">
      <c r="D44" s="27"/>
    </row>
    <row r="45" spans="4:4" ht="15.75">
      <c r="D45" s="27"/>
    </row>
    <row r="46" spans="4:4" ht="15.75">
      <c r="D46" s="27"/>
    </row>
    <row r="47" spans="4:4" ht="15.75">
      <c r="D47" s="27"/>
    </row>
    <row r="48" spans="4:4" ht="15.75">
      <c r="D48" s="27"/>
    </row>
    <row r="49" spans="4:4" ht="15.75">
      <c r="D49" s="27"/>
    </row>
    <row r="50" spans="4:4" ht="15.75">
      <c r="D50" s="27"/>
    </row>
    <row r="51" spans="4:4" ht="15.75">
      <c r="D51" s="27"/>
    </row>
    <row r="52" spans="4:4" ht="15.75">
      <c r="D52" s="27"/>
    </row>
    <row r="53" spans="4:4" ht="15.75">
      <c r="D53" s="27"/>
    </row>
    <row r="54" spans="4:4" ht="15.75">
      <c r="D54" s="27"/>
    </row>
    <row r="55" spans="4:4" ht="15.75">
      <c r="D55" s="27"/>
    </row>
    <row r="56" spans="4:4" ht="15.75">
      <c r="D56" s="27"/>
    </row>
    <row r="57" spans="4:4" ht="15.75">
      <c r="D57" s="27"/>
    </row>
    <row r="58" spans="4:4" ht="15.75">
      <c r="D58" s="27"/>
    </row>
    <row r="59" spans="4:4" ht="15.75">
      <c r="D59" s="27"/>
    </row>
    <row r="60" spans="4:4" ht="15.75">
      <c r="D60" s="27"/>
    </row>
    <row r="61" spans="4:4" ht="15.75">
      <c r="D61" s="27"/>
    </row>
    <row r="62" spans="4:4" ht="15.75">
      <c r="D62" s="27"/>
    </row>
    <row r="63" spans="4:4" ht="15.75">
      <c r="D63" s="27"/>
    </row>
    <row r="64" spans="4:4" ht="15.75">
      <c r="D64" s="27"/>
    </row>
    <row r="65" spans="4:4" ht="15.75">
      <c r="D65" s="27"/>
    </row>
  </sheetData>
  <mergeCells count="1">
    <mergeCell ref="D1:J1"/>
  </mergeCells>
  <phoneticPr fontId="29" type="noConversion"/>
  <hyperlinks>
    <hyperlink ref="A3" location="فهرست!A1" display="فهرست" xr:uid="{8FF52D09-3C28-4081-AFD1-48F9B29B46EB}"/>
    <hyperlink ref="A5" location="'مدیریت وام و اقساط'!A1" display="وام و اقساط" xr:uid="{15DFB650-48CC-48A9-A3BD-DCB149A21626}"/>
    <hyperlink ref="A6" location="'مدیریت چک‌ها'!A1" display="چک‌ها" xr:uid="{47D0D153-95B7-4E0F-8364-8DA241F271D3}"/>
    <hyperlink ref="A7" location="'مدیریت بدهی‌ها-طلب‌ها'!A1" display="بدهی‌ها و طلب‌ها" xr:uid="{9BFEC45E-85CF-4A1F-8460-49AF35C93893}"/>
    <hyperlink ref="A8" location="'برنامه ریزی پرداخت‌ها'!A1" display="برنامه ریزی" xr:uid="{20D80FBE-1D5B-42F4-8CFC-62528609909A}"/>
    <hyperlink ref="A9" location="تقویم!A1" display="تقویم" xr:uid="{4D6DC6F8-F885-4837-B29A-C029A724DBE4}"/>
    <hyperlink ref="A10" location="'برنامه و بودجه بندی'!A1" display="بودجه بندی" xr:uid="{7BC75EF9-D3A9-4B73-A677-7AC8E23E723E}"/>
    <hyperlink ref="A11" location="'گزارش فعالیت‌های ماه جاری'!A1" display="ماه جاری" xr:uid="{B91F396F-8382-4E18-8886-B54904080CBE}"/>
    <hyperlink ref="A12" location="'جست و جو'!A1" display="جست و جو" xr:uid="{E1AE5110-42DE-421D-99BC-7FFB24220202}"/>
    <hyperlink ref="A4" location="تراکنش‌ها!A1" display="تراکنش‌ها" xr:uid="{858DF72D-ABCF-42EA-8168-A5D648A34C95}"/>
  </hyperlinks>
  <pageMargins left="0.7" right="0.7" top="0.75" bottom="0.75" header="0.3" footer="0.3"/>
  <pageSetup orientation="portrait" r:id="rId1"/>
  <tableParts count="1">
    <tablePart r:id="rId2"/>
  </tableParts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Sheet4">
    <tabColor theme="3"/>
  </sheetPr>
  <dimension ref="A1:S24"/>
  <sheetViews>
    <sheetView showGridLines="0" rightToLeft="1" workbookViewId="0">
      <selection activeCell="E27" sqref="E27"/>
    </sheetView>
  </sheetViews>
  <sheetFormatPr defaultRowHeight="15"/>
  <cols>
    <col min="1" max="1" width="32.7109375" style="153" customWidth="1"/>
    <col min="2" max="2" width="0.7109375" style="153" customWidth="1"/>
    <col min="3" max="3" width="4.5703125" style="154" customWidth="1"/>
    <col min="4" max="4" width="5.85546875" style="154" customWidth="1"/>
    <col min="5" max="5" width="44" style="154" customWidth="1"/>
    <col min="6" max="6" width="28.5703125" style="154" customWidth="1"/>
    <col min="7" max="7" width="18.28515625" style="154" customWidth="1"/>
    <col min="8" max="8" width="36.5703125" style="154" customWidth="1"/>
    <col min="9" max="9" width="32" style="154" customWidth="1"/>
    <col min="10" max="10" width="18.28515625" style="154" customWidth="1"/>
    <col min="11" max="11" width="34.28515625" style="154" customWidth="1"/>
    <col min="12" max="12" width="30" style="154" customWidth="1"/>
    <col min="13" max="13" width="31.42578125" style="154" customWidth="1"/>
    <col min="14" max="14" width="39.42578125" style="154" customWidth="1"/>
    <col min="15" max="15" width="21.42578125" style="154" customWidth="1"/>
    <col min="16" max="16" width="24.42578125" style="154" bestFit="1" customWidth="1"/>
    <col min="17" max="17" width="18.28515625" style="154" customWidth="1"/>
    <col min="18" max="19" width="9.140625" style="154"/>
    <col min="20" max="16384" width="9.140625" style="158"/>
  </cols>
  <sheetData>
    <row r="1" spans="1:18" ht="24" customHeight="1">
      <c r="A1" s="170" t="s">
        <v>398</v>
      </c>
      <c r="D1" s="327" t="s">
        <v>401</v>
      </c>
      <c r="E1" s="327"/>
      <c r="F1" s="327"/>
      <c r="G1" s="327"/>
      <c r="H1" s="327"/>
      <c r="I1" s="327"/>
      <c r="J1" s="327"/>
      <c r="K1" s="155"/>
      <c r="L1" s="156"/>
      <c r="M1" s="157"/>
    </row>
    <row r="2" spans="1:18" ht="3.75" customHeight="1">
      <c r="F2" s="154" t="s">
        <v>3</v>
      </c>
    </row>
    <row r="3" spans="1:18" ht="18.75">
      <c r="A3" s="159" t="s">
        <v>8</v>
      </c>
      <c r="D3" s="120" t="s">
        <v>124</v>
      </c>
      <c r="E3" s="120" t="s">
        <v>117</v>
      </c>
      <c r="F3" s="120" t="s">
        <v>128</v>
      </c>
      <c r="G3" s="120" t="s">
        <v>129</v>
      </c>
      <c r="H3" s="120" t="s">
        <v>130</v>
      </c>
      <c r="I3" s="120" t="s">
        <v>131</v>
      </c>
      <c r="J3" s="120" t="s">
        <v>132</v>
      </c>
      <c r="K3" s="120" t="s">
        <v>133</v>
      </c>
      <c r="L3" s="120" t="s">
        <v>134</v>
      </c>
    </row>
    <row r="4" spans="1:18" ht="18.75">
      <c r="A4" s="160" t="s">
        <v>115</v>
      </c>
      <c r="D4" s="27">
        <v>0</v>
      </c>
      <c r="E4" s="27" t="s">
        <v>119</v>
      </c>
      <c r="F4" s="168">
        <v>1234567890</v>
      </c>
      <c r="G4" s="31" t="s">
        <v>947</v>
      </c>
      <c r="H4" s="169" t="s">
        <v>948</v>
      </c>
      <c r="I4" s="31" t="s">
        <v>135</v>
      </c>
      <c r="J4" s="27"/>
      <c r="K4" s="27"/>
      <c r="L4" s="27"/>
    </row>
    <row r="5" spans="1:18" ht="24" customHeight="1">
      <c r="A5" s="161" t="s">
        <v>102</v>
      </c>
    </row>
    <row r="6" spans="1:18" ht="34.5" customHeight="1">
      <c r="A6" s="162" t="s">
        <v>103</v>
      </c>
    </row>
    <row r="7" spans="1:18" ht="18.75">
      <c r="A7" s="163" t="s">
        <v>104</v>
      </c>
      <c r="D7" s="171"/>
      <c r="E7" s="171"/>
      <c r="F7" s="171"/>
      <c r="G7" s="171"/>
      <c r="H7" s="171"/>
      <c r="I7" s="171"/>
      <c r="J7" s="171"/>
    </row>
    <row r="8" spans="1:18" ht="18.75">
      <c r="A8" s="146" t="s">
        <v>110</v>
      </c>
      <c r="D8" s="121" t="s">
        <v>124</v>
      </c>
      <c r="E8" s="121" t="s">
        <v>125</v>
      </c>
      <c r="F8" s="121" t="s">
        <v>951</v>
      </c>
      <c r="G8" s="122" t="s">
        <v>127</v>
      </c>
      <c r="H8" s="121" t="s">
        <v>330</v>
      </c>
      <c r="I8" s="121" t="s">
        <v>329</v>
      </c>
      <c r="J8" s="121" t="s">
        <v>331</v>
      </c>
      <c r="K8" s="121" t="s">
        <v>332</v>
      </c>
      <c r="L8" s="121" t="s">
        <v>399</v>
      </c>
      <c r="M8" s="121" t="s">
        <v>126</v>
      </c>
      <c r="N8" s="121" t="s">
        <v>120</v>
      </c>
      <c r="O8" s="121" t="s">
        <v>400</v>
      </c>
      <c r="P8" s="123" t="s">
        <v>121</v>
      </c>
      <c r="Q8" s="123" t="s">
        <v>136</v>
      </c>
      <c r="R8" s="121" t="s">
        <v>122</v>
      </c>
    </row>
    <row r="9" spans="1:18" ht="18.75">
      <c r="A9" s="164" t="s">
        <v>89</v>
      </c>
      <c r="D9" s="27">
        <v>0</v>
      </c>
      <c r="E9" s="27" t="s">
        <v>138</v>
      </c>
      <c r="F9" s="27" t="s">
        <v>958</v>
      </c>
      <c r="G9" s="25">
        <v>0</v>
      </c>
      <c r="H9" s="172" t="e">
        <v>#REF!</v>
      </c>
      <c r="I9" s="172" t="e">
        <v>#REF!</v>
      </c>
      <c r="J9" s="172" t="e">
        <f>(FinancialAccountsTable[[#This Row],[جمع دریافتی]]+FinancialAccountsTable[[#This Row],[موجودی اولیه]])-FinancialAccountsTable[[#This Row],[جمع پرداختی]]</f>
        <v>#REF!</v>
      </c>
      <c r="K9" s="139" t="e">
        <f>IF(FinancialAccountsTable[[#This Row],[مانده]]=0,"",IF(FinancialAccountsTable[[#This Row],[مانده]]&gt;0,"بدهکار","بستانکار"))</f>
        <v>#REF!</v>
      </c>
      <c r="L9" s="27" t="s">
        <v>123</v>
      </c>
      <c r="M9" s="27" t="s">
        <v>123</v>
      </c>
      <c r="N9" s="27" t="s">
        <v>123</v>
      </c>
      <c r="O9" s="27" t="s">
        <v>123</v>
      </c>
      <c r="P9" s="31" t="s">
        <v>123</v>
      </c>
      <c r="Q9" s="31" t="s">
        <v>123</v>
      </c>
      <c r="R9" s="27" t="s">
        <v>123</v>
      </c>
    </row>
    <row r="10" spans="1:18" ht="31.5">
      <c r="A10" s="165" t="s">
        <v>111</v>
      </c>
      <c r="D10" s="27">
        <v>1</v>
      </c>
      <c r="E10" s="27" t="s">
        <v>949</v>
      </c>
      <c r="F10" s="27" t="s">
        <v>955</v>
      </c>
      <c r="G10" s="25">
        <v>0</v>
      </c>
      <c r="H10" s="172" t="e">
        <v>#REF!</v>
      </c>
      <c r="I10" s="172" t="e">
        <v>#REF!</v>
      </c>
      <c r="J10" s="172" t="e">
        <f>(FinancialAccountsTable[[#This Row],[جمع دریافتی]]+FinancialAccountsTable[[#This Row],[موجودی اولیه]])-FinancialAccountsTable[[#This Row],[جمع پرداختی]]</f>
        <v>#REF!</v>
      </c>
      <c r="K10" s="139" t="e">
        <f>IF(FinancialAccountsTable[[#This Row],[مانده]]=0,"",IF(FinancialAccountsTable[[#This Row],[مانده]]&gt;0,"بدهکار","بستانکار"))</f>
        <v>#REF!</v>
      </c>
      <c r="L10" s="27" t="s">
        <v>968</v>
      </c>
      <c r="M10" s="27" t="s">
        <v>973</v>
      </c>
      <c r="N10" s="27"/>
      <c r="O10" s="27"/>
      <c r="P10" s="31"/>
      <c r="Q10" s="31"/>
      <c r="R10" s="27"/>
    </row>
    <row r="11" spans="1:18" ht="31.5">
      <c r="A11" s="166" t="s">
        <v>105</v>
      </c>
      <c r="D11" s="27">
        <v>2</v>
      </c>
      <c r="E11" s="27" t="s">
        <v>967</v>
      </c>
      <c r="F11" s="27" t="s">
        <v>952</v>
      </c>
      <c r="G11" s="25">
        <v>0</v>
      </c>
      <c r="H11" s="172" t="e">
        <v>#REF!</v>
      </c>
      <c r="I11" s="172" t="e">
        <v>#REF!</v>
      </c>
      <c r="J11" s="172" t="e">
        <f>(FinancialAccountsTable[[#This Row],[جمع دریافتی]]+FinancialAccountsTable[[#This Row],[موجودی اولیه]])-FinancialAccountsTable[[#This Row],[جمع پرداختی]]</f>
        <v>#REF!</v>
      </c>
      <c r="K11" s="139" t="e">
        <f>IF(FinancialAccountsTable[[#This Row],[مانده]]=0,"",IF(FinancialAccountsTable[[#This Row],[مانده]]&gt;0,"بدهکار","بستانکار"))</f>
        <v>#REF!</v>
      </c>
      <c r="L11" s="27" t="s">
        <v>969</v>
      </c>
      <c r="M11" s="27"/>
      <c r="N11" s="27"/>
      <c r="O11" s="27"/>
      <c r="P11" s="31"/>
      <c r="Q11" s="31"/>
      <c r="R11" s="27"/>
    </row>
    <row r="12" spans="1:18" ht="24" customHeight="1">
      <c r="A12" s="167" t="s">
        <v>98</v>
      </c>
      <c r="D12" s="27">
        <v>3</v>
      </c>
      <c r="E12" s="27" t="s">
        <v>950</v>
      </c>
      <c r="F12" s="27" t="s">
        <v>953</v>
      </c>
      <c r="G12" s="25">
        <v>0</v>
      </c>
      <c r="H12" s="172" t="e">
        <v>#REF!</v>
      </c>
      <c r="I12" s="172" t="e">
        <v>#REF!</v>
      </c>
      <c r="J12" s="172" t="e">
        <f>(FinancialAccountsTable[[#This Row],[جمع دریافتی]]+FinancialAccountsTable[[#This Row],[موجودی اولیه]])-FinancialAccountsTable[[#This Row],[جمع پرداختی]]</f>
        <v>#REF!</v>
      </c>
      <c r="K12" s="139" t="e">
        <f>IF(FinancialAccountsTable[[#This Row],[مانده]]=0,"",IF(FinancialAccountsTable[[#This Row],[مانده]]&gt;0,"بدهکار","بستانکار"))</f>
        <v>#REF!</v>
      </c>
      <c r="L12" s="27" t="s">
        <v>970</v>
      </c>
      <c r="M12" s="27"/>
      <c r="N12" s="27"/>
      <c r="O12" s="27"/>
      <c r="P12" s="31"/>
      <c r="Q12" s="31"/>
      <c r="R12" s="27"/>
    </row>
    <row r="13" spans="1:18" ht="24" customHeight="1">
      <c r="A13" s="124"/>
      <c r="D13" s="27">
        <v>4</v>
      </c>
      <c r="E13" s="27" t="s">
        <v>321</v>
      </c>
      <c r="F13" s="27" t="s">
        <v>954</v>
      </c>
      <c r="G13" s="25">
        <v>0</v>
      </c>
      <c r="H13" s="172" t="e">
        <v>#REF!</v>
      </c>
      <c r="I13" s="172" t="e">
        <v>#REF!</v>
      </c>
      <c r="J13" s="172" t="e">
        <f>(FinancialAccountsTable[[#This Row],[جمع دریافتی]]+FinancialAccountsTable[[#This Row],[موجودی اولیه]])-FinancialAccountsTable[[#This Row],[جمع پرداختی]]</f>
        <v>#REF!</v>
      </c>
      <c r="K13" s="139" t="e">
        <f>IF(FinancialAccountsTable[[#This Row],[مانده]]=0,"",IF(FinancialAccountsTable[[#This Row],[مانده]]&gt;0,"بدهکار","بستانکار"))</f>
        <v>#REF!</v>
      </c>
      <c r="L13" s="27" t="s">
        <v>971</v>
      </c>
      <c r="M13" s="27"/>
      <c r="N13" s="27"/>
      <c r="O13" s="27"/>
      <c r="P13" s="31"/>
      <c r="Q13" s="31"/>
      <c r="R13" s="27"/>
    </row>
    <row r="14" spans="1:18" ht="34.5" customHeight="1">
      <c r="A14" s="124"/>
      <c r="D14" s="27">
        <v>5</v>
      </c>
      <c r="E14" s="27" t="s">
        <v>956</v>
      </c>
      <c r="F14" s="27" t="s">
        <v>957</v>
      </c>
      <c r="G14" s="25">
        <v>0</v>
      </c>
      <c r="H14" s="172" t="e">
        <v>#REF!</v>
      </c>
      <c r="I14" s="172" t="e">
        <v>#REF!</v>
      </c>
      <c r="J14" s="172" t="e">
        <f>(FinancialAccountsTable[[#This Row],[جمع دریافتی]]+FinancialAccountsTable[[#This Row],[موجودی اولیه]])-FinancialAccountsTable[[#This Row],[جمع پرداختی]]</f>
        <v>#REF!</v>
      </c>
      <c r="K14" s="139" t="e">
        <f>IF(FinancialAccountsTable[[#This Row],[مانده]]=0,"",IF(FinancialAccountsTable[[#This Row],[مانده]]&gt;0,"بدهکار","بستانکار"))</f>
        <v>#REF!</v>
      </c>
      <c r="L14" s="27" t="s">
        <v>972</v>
      </c>
      <c r="M14" s="27"/>
      <c r="N14" s="27"/>
      <c r="O14" s="27"/>
      <c r="P14" s="31"/>
      <c r="Q14" s="31"/>
      <c r="R14" s="27"/>
    </row>
    <row r="15" spans="1:18" ht="24" customHeight="1">
      <c r="A15" s="124"/>
      <c r="D15" s="27">
        <v>6</v>
      </c>
      <c r="E15" s="27" t="s">
        <v>959</v>
      </c>
      <c r="F15" s="27" t="s">
        <v>964</v>
      </c>
      <c r="G15" s="25">
        <v>0</v>
      </c>
      <c r="H15" s="172" t="e">
        <v>#REF!</v>
      </c>
      <c r="I15" s="172" t="e">
        <v>#REF!</v>
      </c>
      <c r="J15" s="172" t="e">
        <f>(FinancialAccountsTable[[#This Row],[جمع دریافتی]]+FinancialAccountsTable[[#This Row],[موجودی اولیه]])-FinancialAccountsTable[[#This Row],[جمع پرداختی]]</f>
        <v>#REF!</v>
      </c>
      <c r="K15" s="173" t="e">
        <f>IF(FinancialAccountsTable[[#This Row],[مانده]]=0,"",IF(FinancialAccountsTable[[#This Row],[مانده]]&gt;0,"بدهکار","بستانکار"))</f>
        <v>#REF!</v>
      </c>
      <c r="L15" s="27"/>
      <c r="M15" s="27"/>
      <c r="N15" s="27"/>
      <c r="O15" s="27"/>
      <c r="P15" s="31"/>
      <c r="Q15" s="31"/>
      <c r="R15" s="27"/>
    </row>
    <row r="16" spans="1:18" ht="24" customHeight="1">
      <c r="A16" s="124"/>
      <c r="D16" s="27">
        <v>7</v>
      </c>
      <c r="E16" s="27" t="s">
        <v>960</v>
      </c>
      <c r="F16" s="27" t="s">
        <v>962</v>
      </c>
      <c r="G16" s="25">
        <v>0</v>
      </c>
      <c r="H16" s="172" t="e">
        <v>#REF!</v>
      </c>
      <c r="I16" s="172" t="e">
        <v>#REF!</v>
      </c>
      <c r="J16" s="172" t="e">
        <f>(FinancialAccountsTable[[#This Row],[جمع دریافتی]]+FinancialAccountsTable[[#This Row],[موجودی اولیه]])-FinancialAccountsTable[[#This Row],[جمع پرداختی]]</f>
        <v>#REF!</v>
      </c>
      <c r="K16" s="173" t="e">
        <f>IF(FinancialAccountsTable[[#This Row],[مانده]]=0,"",IF(FinancialAccountsTable[[#This Row],[مانده]]&gt;0,"بدهکار","بستانکار"))</f>
        <v>#REF!</v>
      </c>
      <c r="L16" s="27"/>
      <c r="M16" s="27"/>
      <c r="N16" s="27"/>
      <c r="O16" s="27"/>
      <c r="P16" s="31"/>
      <c r="Q16" s="31"/>
      <c r="R16" s="27"/>
    </row>
    <row r="17" spans="1:18" ht="24" customHeight="1">
      <c r="A17" s="124"/>
      <c r="D17" s="27">
        <v>8</v>
      </c>
      <c r="E17" s="27" t="s">
        <v>961</v>
      </c>
      <c r="F17" s="27" t="s">
        <v>963</v>
      </c>
      <c r="G17" s="25">
        <v>0</v>
      </c>
      <c r="H17" s="172" t="e">
        <v>#REF!</v>
      </c>
      <c r="I17" s="172" t="e">
        <v>#REF!</v>
      </c>
      <c r="J17" s="172" t="e">
        <f>(FinancialAccountsTable[[#This Row],[جمع دریافتی]]+FinancialAccountsTable[[#This Row],[موجودی اولیه]])-FinancialAccountsTable[[#This Row],[جمع پرداختی]]</f>
        <v>#REF!</v>
      </c>
      <c r="K17" s="173" t="e">
        <f>IF(FinancialAccountsTable[[#This Row],[مانده]]=0,"",IF(FinancialAccountsTable[[#This Row],[مانده]]&gt;0,"بدهکار","بستانکار"))</f>
        <v>#REF!</v>
      </c>
      <c r="L17" s="27"/>
      <c r="M17" s="27"/>
      <c r="N17" s="27"/>
      <c r="O17" s="27"/>
      <c r="P17" s="31"/>
      <c r="Q17" s="31"/>
      <c r="R17" s="27"/>
    </row>
    <row r="18" spans="1:18" ht="24" customHeight="1">
      <c r="A18" s="124"/>
      <c r="D18" s="27">
        <v>9</v>
      </c>
      <c r="E18" s="27" t="s">
        <v>965</v>
      </c>
      <c r="F18" s="27" t="s">
        <v>966</v>
      </c>
      <c r="G18" s="25">
        <v>0</v>
      </c>
      <c r="H18" s="172" t="e">
        <v>#REF!</v>
      </c>
      <c r="I18" s="172" t="e">
        <v>#REF!</v>
      </c>
      <c r="J18" s="172" t="e">
        <f>(FinancialAccountsTable[[#This Row],[جمع دریافتی]]+FinancialAccountsTable[[#This Row],[موجودی اولیه]])-FinancialAccountsTable[[#This Row],[جمع پرداختی]]</f>
        <v>#REF!</v>
      </c>
      <c r="K18" s="173" t="e">
        <f>IF(FinancialAccountsTable[[#This Row],[مانده]]=0,"",IF(FinancialAccountsTable[[#This Row],[مانده]]&gt;0,"بدهکار","بستانکار"))</f>
        <v>#REF!</v>
      </c>
      <c r="L18" s="27"/>
      <c r="M18" s="27"/>
      <c r="N18" s="27"/>
      <c r="O18" s="27"/>
      <c r="P18" s="31"/>
      <c r="Q18" s="31"/>
      <c r="R18" s="27"/>
    </row>
    <row r="19" spans="1:18" ht="15.75">
      <c r="A19" s="124"/>
      <c r="D19" s="139" t="s">
        <v>145</v>
      </c>
      <c r="E19" s="174"/>
      <c r="F19" s="174"/>
      <c r="G19" s="172">
        <f>SUBTOTAL(109,FinancialAccountsTable[موجودی اولیه])-G14</f>
        <v>0</v>
      </c>
      <c r="H19" s="172" t="e">
        <f>SUBTOTAL(109,FinancialAccountsTable[جمع پرداختی])-H14</f>
        <v>#REF!</v>
      </c>
      <c r="I19" s="172" t="e">
        <f>SUBTOTAL(109,FinancialAccountsTable[جمع دریافتی])-I14</f>
        <v>#REF!</v>
      </c>
      <c r="J19" s="172" t="e">
        <f>SUBTOTAL(109,FinancialAccountsTable[مانده])-J14</f>
        <v>#REF!</v>
      </c>
      <c r="K19" s="174"/>
      <c r="L19" s="174"/>
      <c r="M19" s="174"/>
      <c r="N19" s="175"/>
      <c r="O19" s="175"/>
      <c r="P19" s="175"/>
      <c r="Q19" s="175"/>
      <c r="R19" s="175"/>
    </row>
    <row r="20" spans="1:18">
      <c r="A20" s="124"/>
    </row>
    <row r="21" spans="1:18">
      <c r="A21" s="124"/>
      <c r="I21" s="176"/>
      <c r="K21" s="176"/>
    </row>
    <row r="22" spans="1:18">
      <c r="A22" s="124"/>
      <c r="I22" s="176"/>
    </row>
    <row r="23" spans="1:18" ht="15.75">
      <c r="A23" s="124"/>
      <c r="D23" s="143"/>
      <c r="E23" s="143"/>
      <c r="F23" s="143"/>
      <c r="G23" s="177"/>
      <c r="H23" s="130"/>
      <c r="I23" s="178"/>
      <c r="J23" s="179"/>
      <c r="K23" s="143"/>
    </row>
    <row r="24" spans="1:18" ht="15.75">
      <c r="D24" s="143"/>
      <c r="E24" s="143"/>
      <c r="F24" s="143"/>
      <c r="G24" s="177"/>
      <c r="H24" s="130"/>
      <c r="I24" s="178"/>
      <c r="J24" s="179"/>
      <c r="K24" s="143"/>
    </row>
  </sheetData>
  <mergeCells count="1">
    <mergeCell ref="D1:J1"/>
  </mergeCells>
  <dataValidations disablePrompts="1" count="2">
    <dataValidation type="textLength" operator="equal" allowBlank="1" showInputMessage="1" showErrorMessage="1" errorTitle="Error" error="کدملی یک عدد 10 رقمی است_x000a_" sqref="F4" xr:uid="{8138CDA1-C3FC-44A1-8CB9-AD3D4FCE7FF0}">
      <formula1>10</formula1>
    </dataValidation>
    <dataValidation operator="equal" allowBlank="1" showInputMessage="1" showErrorMessage="1" sqref="G4" xr:uid="{8C643954-895B-4FC1-9500-1F55EB4D22A5}"/>
  </dataValidations>
  <hyperlinks>
    <hyperlink ref="A3" location="فهرست!A1" display="فهرست" xr:uid="{4F6B46F5-B604-4D10-8DD3-606E96272B47}"/>
    <hyperlink ref="A5" location="'مدیریت وام و اقساط'!A1" display="وام و اقساط" xr:uid="{A6D37948-345A-49EE-8816-33D82A36B161}"/>
    <hyperlink ref="A6" location="'مدیریت چک‌ها'!A1" display="چک‌ها" xr:uid="{7330B469-9E7F-492C-8CDF-041B172B9712}"/>
    <hyperlink ref="A7" location="'مدیریت بدهی‌ها-طلب‌ها'!A1" display="بدهی‌ها و طلب‌ها" xr:uid="{CA17C9E8-A3E7-47F4-970C-8F9373BD7F2C}"/>
    <hyperlink ref="A8" location="'برنامه ریزی پرداخت‌ها'!A1" display="برنامه ریزی" xr:uid="{412461CE-645B-4D62-9AA1-69CEA8AF729E}"/>
    <hyperlink ref="A9" location="تقویم!A1" display="تقویم" xr:uid="{C8E9CC36-7132-4754-AD08-2368D6E417E8}"/>
    <hyperlink ref="A10" location="'برنامه و بودجه بندی'!A1" display="بودجه بندی" xr:uid="{6A232AEC-2E3A-47E4-A524-0B4EBF13B033}"/>
    <hyperlink ref="A11" location="'گزارش فعالیت‌های ماه جاری'!A1" display="ماه جاری" xr:uid="{45A7BF37-FD66-46DE-9911-795E95637D13}"/>
    <hyperlink ref="A12" location="'جست و جو'!A1" display="جست و جو" xr:uid="{45E43685-D8E2-4D91-9B11-5ADC16980FF4}"/>
    <hyperlink ref="A4" location="تراکنش‌ها!A1" display="تراکنش‌ها" xr:uid="{583659C4-8F3D-4BD8-8EF6-BCC533EDD37F}"/>
    <hyperlink ref="H4" r:id="rId1" xr:uid="{CC8DF5A8-4880-4A98-A23C-6AE99BD2C84A}"/>
  </hyperlinks>
  <pageMargins left="0.7" right="0.7" top="0.75" bottom="0.75" header="0.3" footer="0.3"/>
  <pageSetup orientation="portrait" r:id="rId2"/>
  <tableParts count="2">
    <tablePart r:id="rId3"/>
    <tablePart r:id="rId4"/>
  </tableParts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Sheet5">
    <tabColor theme="3"/>
  </sheetPr>
  <dimension ref="A1:AB365"/>
  <sheetViews>
    <sheetView showGridLines="0" rightToLeft="1" topLeftCell="J1" workbookViewId="0">
      <selection activeCell="O6" sqref="O6"/>
    </sheetView>
  </sheetViews>
  <sheetFormatPr defaultRowHeight="15"/>
  <cols>
    <col min="1" max="1" width="29.7109375" style="131" customWidth="1"/>
    <col min="2" max="2" width="0.7109375" style="132" customWidth="1"/>
    <col min="3" max="3" width="4.5703125" style="130" customWidth="1"/>
    <col min="4" max="4" width="18.28515625" style="130" customWidth="1"/>
    <col min="5" max="5" width="0.7109375" style="130" customWidth="1"/>
    <col min="6" max="6" width="24.85546875" style="130" bestFit="1" customWidth="1"/>
    <col min="7" max="7" width="0.7109375" style="130" customWidth="1"/>
    <col min="8" max="8" width="28.5703125" style="130" customWidth="1"/>
    <col min="9" max="9" width="0.7109375" style="130" customWidth="1"/>
    <col min="10" max="10" width="26.28515625" style="130" bestFit="1" customWidth="1"/>
    <col min="11" max="11" width="20.7109375" style="133" bestFit="1" customWidth="1"/>
    <col min="12" max="12" width="4.5703125" style="130" customWidth="1"/>
    <col min="13" max="13" width="28.5703125" style="130" customWidth="1"/>
    <col min="14" max="14" width="14.28515625" style="133" customWidth="1"/>
    <col min="15" max="15" width="18.85546875" style="130" customWidth="1"/>
    <col min="16" max="16" width="0.7109375" style="130" customWidth="1"/>
    <col min="17" max="17" width="28.5703125" style="130" customWidth="1"/>
    <col min="18" max="18" width="14.28515625" style="130" customWidth="1"/>
    <col min="19" max="19" width="18.85546875" style="130" customWidth="1"/>
    <col min="20" max="20" width="0.7109375" style="130" customWidth="1"/>
    <col min="21" max="21" width="28.5703125" style="130" customWidth="1"/>
    <col min="22" max="22" width="18.85546875" style="130" customWidth="1"/>
    <col min="23" max="23" width="0.7109375" style="130" customWidth="1"/>
    <col min="24" max="24" width="28.5703125" style="130" customWidth="1"/>
    <col min="25" max="25" width="18.85546875" style="130" customWidth="1"/>
    <col min="26" max="26" width="0.7109375" style="130" customWidth="1"/>
    <col min="27" max="27" width="28.5703125" style="130" customWidth="1"/>
    <col min="28" max="28" width="18.85546875" style="130" customWidth="1"/>
    <col min="29" max="16384" width="9.140625" style="130"/>
  </cols>
  <sheetData>
    <row r="1" spans="1:28" ht="24" customHeight="1">
      <c r="A1" s="127" t="s">
        <v>397</v>
      </c>
      <c r="B1" s="128"/>
      <c r="C1" s="129"/>
      <c r="D1" s="330" t="s">
        <v>395</v>
      </c>
      <c r="E1" s="330"/>
      <c r="F1" s="330"/>
      <c r="G1" s="330"/>
      <c r="H1" s="330"/>
      <c r="I1" s="330"/>
      <c r="J1" s="330"/>
      <c r="K1" s="330"/>
      <c r="M1" s="331" t="s">
        <v>396</v>
      </c>
      <c r="N1" s="331"/>
      <c r="O1" s="331"/>
      <c r="P1" s="331"/>
      <c r="Q1" s="331"/>
      <c r="R1" s="331"/>
      <c r="S1" s="331"/>
      <c r="T1" s="331"/>
      <c r="U1" s="331"/>
      <c r="V1" s="331"/>
      <c r="W1" s="331"/>
      <c r="X1" s="331"/>
      <c r="Y1" s="331"/>
      <c r="Z1" s="331"/>
      <c r="AA1" s="331"/>
      <c r="AB1" s="331"/>
    </row>
    <row r="2" spans="1:28" ht="3.75" customHeight="1"/>
    <row r="3" spans="1:28" ht="18.75">
      <c r="A3" s="134" t="s">
        <v>8</v>
      </c>
      <c r="D3" s="120" t="s">
        <v>112</v>
      </c>
      <c r="F3" s="135" t="s">
        <v>139</v>
      </c>
      <c r="H3" s="136" t="s">
        <v>147</v>
      </c>
      <c r="J3" s="333" t="s">
        <v>393</v>
      </c>
      <c r="K3" s="333"/>
      <c r="M3" s="334" t="s">
        <v>360</v>
      </c>
      <c r="N3" s="334"/>
      <c r="O3" s="334"/>
      <c r="P3" s="137"/>
      <c r="Q3" s="335" t="s">
        <v>361</v>
      </c>
      <c r="R3" s="335"/>
      <c r="S3" s="335"/>
      <c r="U3" s="336" t="s">
        <v>385</v>
      </c>
      <c r="V3" s="336"/>
      <c r="X3" s="328" t="s">
        <v>362</v>
      </c>
      <c r="Y3" s="328"/>
      <c r="AA3" s="329" t="s">
        <v>363</v>
      </c>
      <c r="AB3" s="329"/>
    </row>
    <row r="4" spans="1:28" ht="18.75">
      <c r="A4" s="138" t="s">
        <v>115</v>
      </c>
      <c r="D4" s="139" t="s">
        <v>113</v>
      </c>
      <c r="E4" s="129"/>
      <c r="F4" s="139" t="s">
        <v>280</v>
      </c>
      <c r="G4" s="140"/>
      <c r="H4" s="136" t="s">
        <v>151</v>
      </c>
      <c r="J4" s="136" t="s">
        <v>124</v>
      </c>
      <c r="K4" s="141" t="s">
        <v>380</v>
      </c>
      <c r="M4" s="136" t="s">
        <v>364</v>
      </c>
      <c r="N4" s="141" t="s">
        <v>377</v>
      </c>
      <c r="O4" s="141" t="s">
        <v>376</v>
      </c>
      <c r="P4" s="133"/>
      <c r="Q4" s="136" t="s">
        <v>365</v>
      </c>
      <c r="R4" s="136" t="s">
        <v>377</v>
      </c>
      <c r="S4" s="136" t="s">
        <v>376</v>
      </c>
      <c r="U4" s="136" t="s">
        <v>366</v>
      </c>
      <c r="V4" s="136" t="s">
        <v>394</v>
      </c>
      <c r="X4" s="136" t="s">
        <v>367</v>
      </c>
      <c r="Y4" s="136" t="s">
        <v>394</v>
      </c>
      <c r="AA4" s="180" t="s">
        <v>368</v>
      </c>
      <c r="AB4" s="180" t="s">
        <v>394</v>
      </c>
    </row>
    <row r="5" spans="1:28" ht="30">
      <c r="A5" s="142" t="s">
        <v>102</v>
      </c>
      <c r="D5" s="139" t="s">
        <v>114</v>
      </c>
      <c r="E5" s="143"/>
      <c r="F5" s="139" t="s">
        <v>304</v>
      </c>
      <c r="G5" s="143"/>
      <c r="H5" s="136" t="s">
        <v>148</v>
      </c>
      <c r="J5" s="136">
        <v>0</v>
      </c>
      <c r="K5" s="141" t="s">
        <v>384</v>
      </c>
      <c r="M5" s="141" t="s">
        <v>378</v>
      </c>
      <c r="N5" s="141" t="s">
        <v>369</v>
      </c>
      <c r="O5" s="136" t="str">
        <f>CONCATENATE(تقویم!$A$2,HolidayTable[[#This Row],[روز و ماه]])</f>
        <v>14000101</v>
      </c>
      <c r="Q5" s="181" t="s">
        <v>421</v>
      </c>
      <c r="R5" s="141" t="s">
        <v>370</v>
      </c>
      <c r="S5" s="136" t="str">
        <f>CONCATENATE(تقویم!$A$2,EventsTable[[#This Row],[روز و ماه]])</f>
        <v>14000102</v>
      </c>
      <c r="U5" s="141" t="s">
        <v>790</v>
      </c>
      <c r="V5" s="141" t="s">
        <v>791</v>
      </c>
      <c r="X5" s="181" t="s">
        <v>826</v>
      </c>
      <c r="Y5" s="141" t="s">
        <v>369</v>
      </c>
      <c r="AA5" s="141" t="s">
        <v>907</v>
      </c>
      <c r="AB5" s="141" t="s">
        <v>369</v>
      </c>
    </row>
    <row r="6" spans="1:28" ht="18.75">
      <c r="A6" s="144" t="s">
        <v>103</v>
      </c>
      <c r="D6" s="139" t="s">
        <v>141</v>
      </c>
      <c r="E6" s="143"/>
      <c r="F6" s="139" t="s">
        <v>140</v>
      </c>
      <c r="G6" s="143"/>
      <c r="H6" s="136" t="s">
        <v>149</v>
      </c>
      <c r="J6" s="136">
        <v>1</v>
      </c>
      <c r="K6" s="141"/>
      <c r="M6" s="141" t="s">
        <v>379</v>
      </c>
      <c r="N6" s="141" t="s">
        <v>370</v>
      </c>
      <c r="O6" s="136" t="str">
        <f>CONCATENATE(تقویم!$A$2,HolidayTable[[#This Row],[روز و ماه]])</f>
        <v>14000102</v>
      </c>
      <c r="Q6" s="181" t="s">
        <v>422</v>
      </c>
      <c r="R6" s="141" t="s">
        <v>370</v>
      </c>
      <c r="S6" s="136" t="str">
        <f>CONCATENATE(تقویم!$A$2,EventsTable[[#This Row],[روز و ماه]])</f>
        <v>14000102</v>
      </c>
      <c r="U6" s="141" t="s">
        <v>792</v>
      </c>
      <c r="V6" s="141" t="s">
        <v>793</v>
      </c>
      <c r="X6" s="181" t="s">
        <v>827</v>
      </c>
      <c r="Y6" s="141" t="s">
        <v>828</v>
      </c>
      <c r="AA6" s="141" t="s">
        <v>908</v>
      </c>
      <c r="AB6" s="141" t="s">
        <v>909</v>
      </c>
    </row>
    <row r="7" spans="1:28" ht="30">
      <c r="A7" s="145" t="s">
        <v>104</v>
      </c>
      <c r="E7" s="143"/>
      <c r="F7" s="139"/>
      <c r="G7" s="143"/>
      <c r="H7" s="136" t="s">
        <v>305</v>
      </c>
      <c r="J7" s="136">
        <v>2</v>
      </c>
      <c r="K7" s="141"/>
      <c r="M7" s="141" t="s">
        <v>379</v>
      </c>
      <c r="N7" s="141" t="s">
        <v>371</v>
      </c>
      <c r="O7" s="136" t="str">
        <f>CONCATENATE(تقویم!$A$2,HolidayTable[[#This Row],[روز و ماه]])</f>
        <v>14000103</v>
      </c>
      <c r="Q7" s="181" t="s">
        <v>423</v>
      </c>
      <c r="R7" s="141" t="s">
        <v>424</v>
      </c>
      <c r="S7" s="136" t="str">
        <f>CONCATENATE(تقویم!$A$2,EventsTable[[#This Row],[روز و ماه]])</f>
        <v>14000106</v>
      </c>
      <c r="U7" s="141" t="s">
        <v>794</v>
      </c>
      <c r="V7" s="141" t="s">
        <v>795</v>
      </c>
      <c r="X7" s="181" t="s">
        <v>829</v>
      </c>
      <c r="Y7" s="141" t="s">
        <v>373</v>
      </c>
      <c r="AA7" s="141" t="s">
        <v>910</v>
      </c>
      <c r="AB7" s="141" t="s">
        <v>911</v>
      </c>
    </row>
    <row r="8" spans="1:28" ht="30">
      <c r="A8" s="146" t="s">
        <v>110</v>
      </c>
      <c r="G8" s="143"/>
      <c r="H8" s="136" t="s">
        <v>152</v>
      </c>
      <c r="J8" s="136">
        <v>3</v>
      </c>
      <c r="K8" s="141"/>
      <c r="M8" s="141" t="s">
        <v>379</v>
      </c>
      <c r="N8" s="141" t="s">
        <v>372</v>
      </c>
      <c r="O8" s="136" t="str">
        <f>CONCATENATE(تقویم!$A$2,HolidayTable[[#This Row],[روز و ماه]])</f>
        <v>14000104</v>
      </c>
      <c r="Q8" s="181" t="s">
        <v>425</v>
      </c>
      <c r="R8" s="141" t="s">
        <v>426</v>
      </c>
      <c r="S8" s="136" t="str">
        <f>CONCATENATE(تقویم!$A$2,EventsTable[[#This Row],[روز و ماه]])</f>
        <v>14000107</v>
      </c>
      <c r="U8" s="141" t="s">
        <v>796</v>
      </c>
      <c r="V8" s="141" t="s">
        <v>476</v>
      </c>
      <c r="X8" s="181" t="s">
        <v>830</v>
      </c>
      <c r="Y8" s="141" t="s">
        <v>438</v>
      </c>
      <c r="AA8" s="141" t="s">
        <v>912</v>
      </c>
      <c r="AB8" s="141" t="s">
        <v>913</v>
      </c>
    </row>
    <row r="9" spans="1:28" ht="30">
      <c r="A9" s="147" t="s">
        <v>89</v>
      </c>
      <c r="H9" s="136" t="s">
        <v>77</v>
      </c>
      <c r="J9" s="136"/>
      <c r="K9" s="141"/>
      <c r="M9" s="141" t="s">
        <v>375</v>
      </c>
      <c r="N9" s="141" t="s">
        <v>373</v>
      </c>
      <c r="O9" s="136" t="str">
        <f>CONCATENATE(تقویم!$A$2,HolidayTable[[#This Row],[روز و ماه]])</f>
        <v>14000112</v>
      </c>
      <c r="Q9" s="181" t="s">
        <v>427</v>
      </c>
      <c r="R9" s="141" t="s">
        <v>418</v>
      </c>
      <c r="S9" s="136" t="str">
        <f>CONCATENATE(تقویم!$A$2,EventsTable[[#This Row],[روز و ماه]])</f>
        <v>14000115</v>
      </c>
      <c r="U9" s="141" t="s">
        <v>797</v>
      </c>
      <c r="V9" s="141" t="s">
        <v>476</v>
      </c>
      <c r="X9" s="181" t="s">
        <v>831</v>
      </c>
      <c r="Y9" s="141" t="s">
        <v>454</v>
      </c>
      <c r="AA9" s="141" t="s">
        <v>914</v>
      </c>
      <c r="AB9" s="141" t="s">
        <v>915</v>
      </c>
    </row>
    <row r="10" spans="1:28" ht="18.75">
      <c r="A10" s="148" t="s">
        <v>111</v>
      </c>
      <c r="H10" s="136" t="s">
        <v>150</v>
      </c>
      <c r="J10" s="136"/>
      <c r="K10" s="141"/>
      <c r="M10" s="141" t="s">
        <v>412</v>
      </c>
      <c r="N10" s="141" t="s">
        <v>374</v>
      </c>
      <c r="O10" s="136" t="str">
        <f>CONCATENATE(تقویم!$A$2,HolidayTable[[#This Row],[روز و ماه]])</f>
        <v>14000113</v>
      </c>
      <c r="Q10" s="182" t="s">
        <v>428</v>
      </c>
      <c r="R10" s="141" t="s">
        <v>429</v>
      </c>
      <c r="S10" s="136" t="str">
        <f>CONCATENATE(تقویم!$A$2,EventsTable[[#This Row],[روز و ماه]])</f>
        <v>14000118</v>
      </c>
      <c r="U10" s="141" t="s">
        <v>798</v>
      </c>
      <c r="V10" s="141" t="s">
        <v>799</v>
      </c>
      <c r="X10" s="141" t="s">
        <v>832</v>
      </c>
      <c r="Y10" s="141" t="s">
        <v>833</v>
      </c>
      <c r="AA10" s="141" t="s">
        <v>916</v>
      </c>
      <c r="AB10" s="141" t="s">
        <v>552</v>
      </c>
    </row>
    <row r="11" spans="1:28" ht="45">
      <c r="A11" s="149" t="s">
        <v>105</v>
      </c>
      <c r="M11" s="183" t="s">
        <v>413</v>
      </c>
      <c r="N11" s="141" t="s">
        <v>417</v>
      </c>
      <c r="O11" s="150" t="str">
        <f>CONCATENATE(تقویم!$A$2,HolidayTable[[#This Row],[روز و ماه]])</f>
        <v>14000314</v>
      </c>
      <c r="Q11" s="182" t="s">
        <v>430</v>
      </c>
      <c r="R11" s="141" t="s">
        <v>431</v>
      </c>
      <c r="S11" s="150" t="str">
        <f>CONCATENATE(تقویم!$A$2,EventsTable[[#This Row],[روز و ماه]])</f>
        <v>14000119</v>
      </c>
      <c r="U11" s="141" t="s">
        <v>800</v>
      </c>
      <c r="V11" s="141" t="s">
        <v>801</v>
      </c>
      <c r="X11" s="181" t="s">
        <v>834</v>
      </c>
      <c r="Y11" s="141" t="s">
        <v>474</v>
      </c>
      <c r="AA11" s="141" t="s">
        <v>917</v>
      </c>
      <c r="AB11" s="141" t="s">
        <v>556</v>
      </c>
    </row>
    <row r="12" spans="1:28" ht="30">
      <c r="A12" s="151" t="s">
        <v>98</v>
      </c>
      <c r="J12" s="332" t="s">
        <v>388</v>
      </c>
      <c r="K12" s="332"/>
      <c r="M12" s="141" t="s">
        <v>414</v>
      </c>
      <c r="N12" s="141" t="s">
        <v>418</v>
      </c>
      <c r="O12" s="150" t="str">
        <f>CONCATENATE(تقویم!$A$2,HolidayTable[[#This Row],[روز و ماه]])</f>
        <v>14000115</v>
      </c>
      <c r="Q12" s="182" t="s">
        <v>432</v>
      </c>
      <c r="R12" s="141" t="s">
        <v>433</v>
      </c>
      <c r="S12" s="150" t="str">
        <f>CONCATENATE(تقویم!$A$2,EventsTable[[#This Row],[روز و ماه]])</f>
        <v>14000120</v>
      </c>
      <c r="U12" s="141" t="s">
        <v>802</v>
      </c>
      <c r="V12" s="141" t="s">
        <v>801</v>
      </c>
      <c r="X12" s="181" t="s">
        <v>835</v>
      </c>
      <c r="Y12" s="141" t="s">
        <v>482</v>
      </c>
      <c r="AA12" s="141" t="s">
        <v>918</v>
      </c>
      <c r="AB12" s="141" t="s">
        <v>571</v>
      </c>
    </row>
    <row r="13" spans="1:28" ht="45">
      <c r="J13" s="136" t="s">
        <v>386</v>
      </c>
      <c r="K13" s="136" t="s">
        <v>387</v>
      </c>
      <c r="M13" s="141" t="s">
        <v>415</v>
      </c>
      <c r="N13" s="141" t="s">
        <v>419</v>
      </c>
      <c r="O13" s="150" t="str">
        <f>CONCATENATE(تقویم!$A$2,HolidayTable[[#This Row],[روز و ماه]])</f>
        <v>14001122</v>
      </c>
      <c r="Q13" s="182" t="s">
        <v>434</v>
      </c>
      <c r="R13" s="141" t="s">
        <v>433</v>
      </c>
      <c r="S13" s="150" t="str">
        <f>CONCATENATE(تقویم!$A$2,EventsTable[[#This Row],[روز و ماه]])</f>
        <v>14000120</v>
      </c>
      <c r="U13" s="141" t="s">
        <v>803</v>
      </c>
      <c r="V13" s="141" t="s">
        <v>804</v>
      </c>
      <c r="X13" s="181" t="s">
        <v>836</v>
      </c>
      <c r="Y13" s="141" t="s">
        <v>837</v>
      </c>
      <c r="AA13" s="141" t="s">
        <v>919</v>
      </c>
      <c r="AB13" s="141" t="s">
        <v>586</v>
      </c>
    </row>
    <row r="14" spans="1:28" ht="30">
      <c r="J14" s="136" t="s">
        <v>149</v>
      </c>
      <c r="K14" s="136"/>
      <c r="M14" s="141" t="s">
        <v>416</v>
      </c>
      <c r="N14" s="141" t="s">
        <v>420</v>
      </c>
      <c r="O14" s="150" t="str">
        <f>CONCATENATE(تقویم!$A$2,HolidayTable[[#This Row],[روز و ماه]])</f>
        <v>14001229</v>
      </c>
      <c r="Q14" s="182" t="s">
        <v>435</v>
      </c>
      <c r="R14" s="141" t="s">
        <v>436</v>
      </c>
      <c r="S14" s="150" t="str">
        <f>CONCATENATE(تقویم!$A$2,EventsTable[[#This Row],[روز و ماه]])</f>
        <v>14000121</v>
      </c>
      <c r="U14" s="141" t="s">
        <v>805</v>
      </c>
      <c r="V14" s="141" t="s">
        <v>804</v>
      </c>
      <c r="X14" s="181" t="s">
        <v>838</v>
      </c>
      <c r="Y14" s="141" t="s">
        <v>837</v>
      </c>
      <c r="AA14" s="141" t="s">
        <v>920</v>
      </c>
      <c r="AB14" s="141" t="s">
        <v>598</v>
      </c>
    </row>
    <row r="15" spans="1:28" ht="60">
      <c r="J15" s="136" t="s">
        <v>389</v>
      </c>
      <c r="K15" s="136"/>
      <c r="O15" s="152"/>
      <c r="Q15" s="182" t="s">
        <v>437</v>
      </c>
      <c r="R15" s="141" t="s">
        <v>436</v>
      </c>
      <c r="S15" s="150" t="str">
        <f>CONCATENATE(تقویم!$A$2,EventsTable[[#This Row],[روز و ماه]])</f>
        <v>14000121</v>
      </c>
      <c r="U15" s="141" t="s">
        <v>806</v>
      </c>
      <c r="V15" s="141" t="s">
        <v>594</v>
      </c>
      <c r="X15" s="141" t="s">
        <v>839</v>
      </c>
      <c r="Y15" s="141" t="s">
        <v>840</v>
      </c>
      <c r="AA15" s="141" t="s">
        <v>921</v>
      </c>
      <c r="AB15" s="141" t="s">
        <v>617</v>
      </c>
    </row>
    <row r="16" spans="1:28" ht="30">
      <c r="J16" s="136" t="s">
        <v>390</v>
      </c>
      <c r="K16" s="136"/>
      <c r="O16" s="152"/>
      <c r="Q16" s="182" t="s">
        <v>823</v>
      </c>
      <c r="R16" s="141" t="s">
        <v>438</v>
      </c>
      <c r="S16" s="150" t="str">
        <f>CONCATENATE(تقویم!$A$2,EventsTable[[#This Row],[روز و ماه]])</f>
        <v>14000125</v>
      </c>
      <c r="U16" s="141" t="s">
        <v>807</v>
      </c>
      <c r="V16" s="141" t="s">
        <v>642</v>
      </c>
      <c r="X16" s="141" t="s">
        <v>841</v>
      </c>
      <c r="Y16" s="141" t="s">
        <v>517</v>
      </c>
      <c r="AA16" s="141" t="s">
        <v>922</v>
      </c>
      <c r="AB16" s="141" t="s">
        <v>923</v>
      </c>
    </row>
    <row r="17" spans="10:28" ht="30">
      <c r="J17" s="136" t="s">
        <v>391</v>
      </c>
      <c r="K17" s="136"/>
      <c r="O17" s="152"/>
      <c r="Q17" s="182" t="s">
        <v>439</v>
      </c>
      <c r="R17" s="141" t="s">
        <v>440</v>
      </c>
      <c r="S17" s="150" t="str">
        <f>CONCATENATE(تقویم!$A$2,EventsTable[[#This Row],[روز و ماه]])</f>
        <v>14000129</v>
      </c>
      <c r="U17" s="141" t="s">
        <v>808</v>
      </c>
      <c r="V17" s="141" t="s">
        <v>809</v>
      </c>
      <c r="X17" s="141" t="s">
        <v>842</v>
      </c>
      <c r="Y17" s="141" t="s">
        <v>519</v>
      </c>
      <c r="AA17" s="141" t="s">
        <v>924</v>
      </c>
      <c r="AB17" s="141" t="s">
        <v>660</v>
      </c>
    </row>
    <row r="18" spans="10:28" ht="45">
      <c r="J18" s="136" t="s">
        <v>392</v>
      </c>
      <c r="K18" s="136"/>
      <c r="O18" s="152"/>
      <c r="Q18" s="182" t="s">
        <v>441</v>
      </c>
      <c r="R18" s="141" t="s">
        <v>442</v>
      </c>
      <c r="S18" s="150" t="str">
        <f>CONCATENATE(تقویم!$A$2,EventsTable[[#This Row],[روز و ماه]])</f>
        <v>14000201</v>
      </c>
      <c r="U18" s="141" t="s">
        <v>810</v>
      </c>
      <c r="V18" s="141" t="s">
        <v>811</v>
      </c>
      <c r="X18" s="141" t="s">
        <v>843</v>
      </c>
      <c r="Y18" s="141" t="s">
        <v>552</v>
      </c>
      <c r="AA18" s="141" t="s">
        <v>925</v>
      </c>
      <c r="AB18" s="141" t="s">
        <v>926</v>
      </c>
    </row>
    <row r="19" spans="10:28" ht="30">
      <c r="J19" s="136"/>
      <c r="K19" s="141"/>
      <c r="O19" s="152"/>
      <c r="Q19" s="182" t="s">
        <v>443</v>
      </c>
      <c r="R19" s="141" t="s">
        <v>444</v>
      </c>
      <c r="S19" s="150" t="str">
        <f>CONCATENATE(تقویم!$A$2,EventsTable[[#This Row],[روز و ماه]])</f>
        <v>14000202</v>
      </c>
      <c r="U19" s="141" t="s">
        <v>812</v>
      </c>
      <c r="V19" s="141" t="s">
        <v>813</v>
      </c>
      <c r="X19" s="141" t="s">
        <v>844</v>
      </c>
      <c r="Y19" s="141" t="s">
        <v>845</v>
      </c>
      <c r="AA19" s="141" t="s">
        <v>927</v>
      </c>
      <c r="AB19" s="141" t="s">
        <v>712</v>
      </c>
    </row>
    <row r="20" spans="10:28" ht="30">
      <c r="J20" s="136"/>
      <c r="K20" s="141"/>
      <c r="O20" s="152"/>
      <c r="Q20" s="182" t="s">
        <v>445</v>
      </c>
      <c r="R20" s="141" t="s">
        <v>444</v>
      </c>
      <c r="S20" s="150" t="str">
        <f>CONCATENATE(تقویم!$A$2,EventsTable[[#This Row],[روز و ماه]])</f>
        <v>14000202</v>
      </c>
      <c r="U20" s="141" t="s">
        <v>814</v>
      </c>
      <c r="V20" s="141" t="s">
        <v>815</v>
      </c>
      <c r="X20" s="141" t="s">
        <v>846</v>
      </c>
      <c r="Y20" s="141" t="s">
        <v>612</v>
      </c>
      <c r="AA20" s="141" t="s">
        <v>928</v>
      </c>
      <c r="AB20" s="141" t="s">
        <v>717</v>
      </c>
    </row>
    <row r="21" spans="10:28">
      <c r="J21" s="136"/>
      <c r="K21" s="141"/>
      <c r="O21" s="152"/>
      <c r="Q21" s="182" t="s">
        <v>446</v>
      </c>
      <c r="R21" s="141" t="s">
        <v>444</v>
      </c>
      <c r="S21" s="150" t="str">
        <f>CONCATENATE(تقویم!$A$2,EventsTable[[#This Row],[روز و ماه]])</f>
        <v>14000202</v>
      </c>
      <c r="U21" s="141" t="s">
        <v>816</v>
      </c>
      <c r="V21" s="141" t="s">
        <v>817</v>
      </c>
      <c r="X21" s="141" t="s">
        <v>847</v>
      </c>
      <c r="Y21" s="141" t="s">
        <v>612</v>
      </c>
      <c r="AA21" s="141" t="s">
        <v>929</v>
      </c>
      <c r="AB21" s="141" t="s">
        <v>717</v>
      </c>
    </row>
    <row r="22" spans="10:28" ht="30">
      <c r="J22" s="136"/>
      <c r="K22" s="141"/>
      <c r="O22" s="152"/>
      <c r="Q22" s="182" t="s">
        <v>447</v>
      </c>
      <c r="R22" s="141" t="s">
        <v>448</v>
      </c>
      <c r="S22" s="150" t="str">
        <f>CONCATENATE(تقویم!$A$2,EventsTable[[#This Row],[روز و ماه]])</f>
        <v>14000203</v>
      </c>
      <c r="U22" s="141" t="s">
        <v>818</v>
      </c>
      <c r="V22" s="141" t="s">
        <v>819</v>
      </c>
      <c r="X22" s="141" t="s">
        <v>848</v>
      </c>
      <c r="Y22" s="141" t="s">
        <v>621</v>
      </c>
      <c r="AA22" s="141" t="s">
        <v>930</v>
      </c>
      <c r="AB22" s="141" t="s">
        <v>815</v>
      </c>
    </row>
    <row r="23" spans="10:28" ht="45">
      <c r="J23" s="136"/>
      <c r="K23" s="141"/>
      <c r="O23" s="152"/>
      <c r="Q23" s="182" t="s">
        <v>449</v>
      </c>
      <c r="R23" s="141" t="s">
        <v>448</v>
      </c>
      <c r="S23" s="150" t="str">
        <f>CONCATENATE(تقویم!$A$2,EventsTable[[#This Row],[روز و ماه]])</f>
        <v>14000203</v>
      </c>
      <c r="U23" s="141" t="s">
        <v>820</v>
      </c>
      <c r="V23" s="141" t="s">
        <v>821</v>
      </c>
      <c r="X23" s="141" t="s">
        <v>849</v>
      </c>
      <c r="Y23" s="141" t="s">
        <v>621</v>
      </c>
      <c r="AA23" s="141" t="s">
        <v>931</v>
      </c>
      <c r="AB23" s="141" t="s">
        <v>726</v>
      </c>
    </row>
    <row r="24" spans="10:28" ht="30">
      <c r="J24" s="136"/>
      <c r="K24" s="141"/>
      <c r="O24" s="152"/>
      <c r="Q24" s="182" t="s">
        <v>450</v>
      </c>
      <c r="R24" s="141" t="s">
        <v>448</v>
      </c>
      <c r="S24" s="150" t="str">
        <f>CONCATENATE(تقویم!$A$2,EventsTable[[#This Row],[روز و ماه]])</f>
        <v>14000203</v>
      </c>
      <c r="U24" s="141" t="s">
        <v>822</v>
      </c>
      <c r="V24" s="141" t="s">
        <v>778</v>
      </c>
      <c r="X24" s="141" t="s">
        <v>850</v>
      </c>
      <c r="Y24" s="141" t="s">
        <v>621</v>
      </c>
      <c r="AA24" s="141" t="s">
        <v>932</v>
      </c>
      <c r="AB24" s="141" t="s">
        <v>728</v>
      </c>
    </row>
    <row r="25" spans="10:28" ht="30">
      <c r="J25" s="136"/>
      <c r="K25" s="141"/>
      <c r="O25" s="152"/>
      <c r="Q25" s="182" t="s">
        <v>451</v>
      </c>
      <c r="R25" s="141" t="s">
        <v>452</v>
      </c>
      <c r="S25" s="150" t="str">
        <f>CONCATENATE(تقویم!$A$2,EventsTable[[#This Row],[روز و ماه]])</f>
        <v>14000205</v>
      </c>
      <c r="X25" s="141" t="s">
        <v>851</v>
      </c>
      <c r="Y25" s="141" t="s">
        <v>852</v>
      </c>
      <c r="AA25" s="141" t="s">
        <v>933</v>
      </c>
      <c r="AB25" s="141" t="s">
        <v>934</v>
      </c>
    </row>
    <row r="26" spans="10:28" ht="30">
      <c r="J26" s="136"/>
      <c r="K26" s="141"/>
      <c r="O26" s="152"/>
      <c r="Q26" s="182" t="s">
        <v>453</v>
      </c>
      <c r="R26" s="141" t="s">
        <v>454</v>
      </c>
      <c r="S26" s="150" t="str">
        <f>CONCATENATE(تقویم!$A$2,EventsTable[[#This Row],[روز و ماه]])</f>
        <v>14000207</v>
      </c>
      <c r="X26" s="141" t="s">
        <v>853</v>
      </c>
      <c r="Y26" s="141" t="s">
        <v>854</v>
      </c>
      <c r="AA26" s="141" t="s">
        <v>935</v>
      </c>
      <c r="AB26" s="141" t="s">
        <v>936</v>
      </c>
    </row>
    <row r="27" spans="10:28" ht="30">
      <c r="J27" s="136"/>
      <c r="K27" s="141"/>
      <c r="O27" s="152"/>
      <c r="Q27" s="182" t="s">
        <v>455</v>
      </c>
      <c r="R27" s="141" t="s">
        <v>456</v>
      </c>
      <c r="S27" s="150" t="str">
        <f>CONCATENATE(تقویم!$A$2,EventsTable[[#This Row],[روز و ماه]])</f>
        <v>14000209</v>
      </c>
      <c r="X27" s="141" t="s">
        <v>855</v>
      </c>
      <c r="Y27" s="141" t="s">
        <v>856</v>
      </c>
      <c r="AA27" s="141" t="s">
        <v>937</v>
      </c>
      <c r="AB27" s="141" t="s">
        <v>938</v>
      </c>
    </row>
    <row r="28" spans="10:28" ht="30">
      <c r="J28" s="136"/>
      <c r="K28" s="141"/>
      <c r="O28" s="152"/>
      <c r="Q28" s="182" t="s">
        <v>457</v>
      </c>
      <c r="R28" s="141" t="s">
        <v>458</v>
      </c>
      <c r="S28" s="150" t="str">
        <f>CONCATENATE(تقویم!$A$2,EventsTable[[#This Row],[روز و ماه]])</f>
        <v>14000210</v>
      </c>
      <c r="X28" s="141" t="s">
        <v>857</v>
      </c>
      <c r="Y28" s="141" t="s">
        <v>642</v>
      </c>
      <c r="AA28" s="141" t="s">
        <v>939</v>
      </c>
      <c r="AB28" s="141" t="s">
        <v>940</v>
      </c>
    </row>
    <row r="29" spans="10:28" ht="30">
      <c r="J29" s="136"/>
      <c r="K29" s="141"/>
      <c r="O29" s="152"/>
      <c r="Q29" s="182" t="s">
        <v>459</v>
      </c>
      <c r="R29" s="141" t="s">
        <v>458</v>
      </c>
      <c r="S29" s="150" t="str">
        <f>CONCATENATE(تقویم!$A$2,EventsTable[[#This Row],[روز و ماه]])</f>
        <v>14000210</v>
      </c>
      <c r="X29" s="141" t="s">
        <v>858</v>
      </c>
      <c r="Y29" s="141" t="s">
        <v>642</v>
      </c>
      <c r="AA29" s="141" t="s">
        <v>941</v>
      </c>
      <c r="AB29" s="141" t="s">
        <v>895</v>
      </c>
    </row>
    <row r="30" spans="10:28" ht="30">
      <c r="J30" s="136"/>
      <c r="K30" s="141"/>
      <c r="O30" s="152"/>
      <c r="Q30" s="182" t="s">
        <v>460</v>
      </c>
      <c r="R30" s="141" t="s">
        <v>461</v>
      </c>
      <c r="S30" s="150" t="str">
        <f>CONCATENATE(تقویم!$A$2,EventsTable[[#This Row],[روز و ماه]])</f>
        <v>14000212</v>
      </c>
      <c r="X30" s="141" t="s">
        <v>859</v>
      </c>
      <c r="Y30" s="141" t="s">
        <v>647</v>
      </c>
      <c r="AA30" s="141" t="s">
        <v>942</v>
      </c>
      <c r="AB30" s="141" t="s">
        <v>763</v>
      </c>
    </row>
    <row r="31" spans="10:28" ht="30">
      <c r="J31" s="136"/>
      <c r="K31" s="141"/>
      <c r="O31" s="152"/>
      <c r="Q31" s="182" t="s">
        <v>462</v>
      </c>
      <c r="R31" s="141" t="s">
        <v>463</v>
      </c>
      <c r="S31" s="150" t="str">
        <f>CONCATENATE(تقویم!$A$2,EventsTable[[#This Row],[روز و ماه]])</f>
        <v>14000215</v>
      </c>
      <c r="X31" s="141" t="s">
        <v>860</v>
      </c>
      <c r="Y31" s="141" t="s">
        <v>647</v>
      </c>
      <c r="AA31" s="141" t="s">
        <v>943</v>
      </c>
      <c r="AB31" s="141" t="s">
        <v>900</v>
      </c>
    </row>
    <row r="32" spans="10:28" ht="30">
      <c r="J32" s="136"/>
      <c r="K32" s="141"/>
      <c r="O32" s="152"/>
      <c r="Q32" s="182" t="s">
        <v>464</v>
      </c>
      <c r="R32" s="141" t="s">
        <v>465</v>
      </c>
      <c r="S32" s="150" t="str">
        <f>CONCATENATE(تقویم!$A$2,EventsTable[[#This Row],[روز و ماه]])</f>
        <v>14000218</v>
      </c>
      <c r="X32" s="141" t="s">
        <v>861</v>
      </c>
      <c r="Y32" s="141" t="s">
        <v>862</v>
      </c>
      <c r="AA32" s="141" t="s">
        <v>944</v>
      </c>
      <c r="AB32" s="141" t="s">
        <v>787</v>
      </c>
    </row>
    <row r="33" spans="10:25" ht="30">
      <c r="J33" s="136"/>
      <c r="K33" s="141"/>
      <c r="O33" s="152"/>
      <c r="Q33" s="182" t="s">
        <v>466</v>
      </c>
      <c r="R33" s="141" t="s">
        <v>467</v>
      </c>
      <c r="S33" s="150" t="str">
        <f>CONCATENATE(تقویم!$A$2,EventsTable[[#This Row],[روز و ماه]])</f>
        <v>14000219</v>
      </c>
      <c r="X33" s="141" t="s">
        <v>863</v>
      </c>
      <c r="Y33" s="141" t="s">
        <v>864</v>
      </c>
    </row>
    <row r="34" spans="10:25" ht="30">
      <c r="J34" s="136"/>
      <c r="K34" s="141"/>
      <c r="O34" s="152"/>
      <c r="Q34" s="182" t="s">
        <v>468</v>
      </c>
      <c r="R34" s="141" t="s">
        <v>467</v>
      </c>
      <c r="S34" s="150" t="str">
        <f>CONCATENATE(تقویم!$A$2,EventsTable[[#This Row],[روز و ماه]])</f>
        <v>14000219</v>
      </c>
      <c r="X34" s="141" t="s">
        <v>865</v>
      </c>
      <c r="Y34" s="141" t="s">
        <v>663</v>
      </c>
    </row>
    <row r="35" spans="10:25" ht="30">
      <c r="J35" s="136"/>
      <c r="K35" s="141"/>
      <c r="O35" s="152"/>
      <c r="Q35" s="182" t="s">
        <v>469</v>
      </c>
      <c r="R35" s="141" t="s">
        <v>470</v>
      </c>
      <c r="S35" s="150" t="str">
        <f>CONCATENATE(تقویم!$A$2,EventsTable[[#This Row],[روز و ماه]])</f>
        <v>14000224</v>
      </c>
      <c r="X35" s="141" t="s">
        <v>866</v>
      </c>
      <c r="Y35" s="141" t="s">
        <v>867</v>
      </c>
    </row>
    <row r="36" spans="10:25" ht="30">
      <c r="J36" s="136"/>
      <c r="K36" s="141"/>
      <c r="O36" s="152"/>
      <c r="Q36" s="182" t="s">
        <v>471</v>
      </c>
      <c r="R36" s="141" t="s">
        <v>472</v>
      </c>
      <c r="S36" s="150" t="str">
        <f>CONCATENATE(تقویم!$A$2,EventsTable[[#This Row],[روز و ماه]])</f>
        <v>14000225</v>
      </c>
      <c r="X36" s="141" t="s">
        <v>868</v>
      </c>
      <c r="Y36" s="141" t="s">
        <v>869</v>
      </c>
    </row>
    <row r="37" spans="10:25">
      <c r="J37" s="136"/>
      <c r="K37" s="141"/>
      <c r="O37" s="152"/>
      <c r="Q37" s="182" t="s">
        <v>473</v>
      </c>
      <c r="R37" s="141" t="s">
        <v>474</v>
      </c>
      <c r="S37" s="150" t="str">
        <f>CONCATENATE(تقویم!$A$2,EventsTable[[#This Row],[روز و ماه]])</f>
        <v>14000227</v>
      </c>
      <c r="X37" s="141" t="s">
        <v>870</v>
      </c>
      <c r="Y37" s="141" t="s">
        <v>811</v>
      </c>
    </row>
    <row r="38" spans="10:25" ht="30">
      <c r="J38" s="136"/>
      <c r="K38" s="141"/>
      <c r="O38" s="152"/>
      <c r="Q38" s="182" t="s">
        <v>475</v>
      </c>
      <c r="R38" s="141" t="s">
        <v>476</v>
      </c>
      <c r="S38" s="150" t="str">
        <f>CONCATENATE(تقویم!$A$2,EventsTable[[#This Row],[روز و ماه]])</f>
        <v>14000228</v>
      </c>
      <c r="X38" s="141" t="s">
        <v>871</v>
      </c>
      <c r="Y38" s="141" t="s">
        <v>692</v>
      </c>
    </row>
    <row r="39" spans="10:25" ht="30">
      <c r="J39" s="136"/>
      <c r="K39" s="141"/>
      <c r="O39" s="152"/>
      <c r="Q39" s="182" t="s">
        <v>477</v>
      </c>
      <c r="R39" s="141" t="s">
        <v>478</v>
      </c>
      <c r="S39" s="150" t="str">
        <f>CONCATENATE(تقویم!$A$2,EventsTable[[#This Row],[روز و ماه]])</f>
        <v>14000230</v>
      </c>
      <c r="X39" s="141" t="s">
        <v>872</v>
      </c>
      <c r="Y39" s="141" t="s">
        <v>873</v>
      </c>
    </row>
    <row r="40" spans="10:25">
      <c r="J40" s="136"/>
      <c r="K40" s="141"/>
      <c r="O40" s="152"/>
      <c r="Q40" s="182" t="s">
        <v>479</v>
      </c>
      <c r="R40" s="141" t="s">
        <v>480</v>
      </c>
      <c r="S40" s="150" t="str">
        <f>CONCATENATE(تقویم!$A$2,EventsTable[[#This Row],[روز و ماه]])</f>
        <v>14000231</v>
      </c>
      <c r="X40" s="141" t="s">
        <v>874</v>
      </c>
      <c r="Y40" s="141" t="s">
        <v>873</v>
      </c>
    </row>
    <row r="41" spans="10:25">
      <c r="J41" s="136"/>
      <c r="K41" s="141"/>
      <c r="O41" s="152"/>
      <c r="Q41" s="182" t="s">
        <v>481</v>
      </c>
      <c r="R41" s="141" t="s">
        <v>482</v>
      </c>
      <c r="S41" s="150" t="str">
        <f>CONCATENATE(تقویم!$A$2,EventsTable[[#This Row],[روز و ماه]])</f>
        <v>14000301</v>
      </c>
      <c r="X41" s="141" t="s">
        <v>875</v>
      </c>
      <c r="Y41" s="141" t="s">
        <v>702</v>
      </c>
    </row>
    <row r="42" spans="10:25" ht="30">
      <c r="O42" s="152"/>
      <c r="Q42" s="182" t="s">
        <v>483</v>
      </c>
      <c r="R42" s="141" t="s">
        <v>482</v>
      </c>
      <c r="S42" s="150" t="str">
        <f>CONCATENATE(تقویم!$A$2,EventsTable[[#This Row],[روز و ماه]])</f>
        <v>14000301</v>
      </c>
      <c r="X42" s="141" t="s">
        <v>876</v>
      </c>
      <c r="Y42" s="141" t="s">
        <v>704</v>
      </c>
    </row>
    <row r="43" spans="10:25" ht="45">
      <c r="O43" s="152"/>
      <c r="Q43" s="182" t="s">
        <v>484</v>
      </c>
      <c r="R43" s="141" t="s">
        <v>485</v>
      </c>
      <c r="S43" s="150" t="str">
        <f>CONCATENATE(تقویم!$A$2,EventsTable[[#This Row],[روز و ماه]])</f>
        <v>14000303</v>
      </c>
      <c r="X43" s="141" t="s">
        <v>875</v>
      </c>
      <c r="Y43" s="141" t="s">
        <v>706</v>
      </c>
    </row>
    <row r="44" spans="10:25">
      <c r="O44" s="152"/>
      <c r="Q44" s="182" t="s">
        <v>824</v>
      </c>
      <c r="R44" s="141" t="s">
        <v>486</v>
      </c>
      <c r="S44" s="150" t="str">
        <f>CONCATENATE(تقویم!$A$2,EventsTable[[#This Row],[روز و ماه]])</f>
        <v>14000304</v>
      </c>
      <c r="X44" s="141" t="s">
        <v>875</v>
      </c>
      <c r="Y44" s="141" t="s">
        <v>877</v>
      </c>
    </row>
    <row r="45" spans="10:25" ht="30">
      <c r="O45" s="152"/>
      <c r="Q45" s="182" t="s">
        <v>487</v>
      </c>
      <c r="R45" s="141" t="s">
        <v>486</v>
      </c>
      <c r="S45" s="150" t="str">
        <f>CONCATENATE(تقویم!$A$2,EventsTable[[#This Row],[روز و ماه]])</f>
        <v>14000304</v>
      </c>
      <c r="X45" s="141" t="s">
        <v>878</v>
      </c>
      <c r="Y45" s="141" t="s">
        <v>879</v>
      </c>
    </row>
    <row r="46" spans="10:25" ht="30">
      <c r="O46" s="152"/>
      <c r="Q46" s="182" t="s">
        <v>488</v>
      </c>
      <c r="R46" s="141" t="s">
        <v>489</v>
      </c>
      <c r="S46" s="150" t="str">
        <f>CONCATENATE(تقویم!$A$2,EventsTable[[#This Row],[روز و ماه]])</f>
        <v>14000305</v>
      </c>
      <c r="X46" s="141" t="s">
        <v>880</v>
      </c>
      <c r="Y46" s="141" t="s">
        <v>733</v>
      </c>
    </row>
    <row r="47" spans="10:25" ht="30">
      <c r="O47" s="152"/>
      <c r="Q47" s="182" t="s">
        <v>490</v>
      </c>
      <c r="R47" s="141" t="s">
        <v>491</v>
      </c>
      <c r="S47" s="150" t="str">
        <f>CONCATENATE(تقویم!$A$2,EventsTable[[#This Row],[روز و ماه]])</f>
        <v>14000307</v>
      </c>
      <c r="X47" s="141" t="s">
        <v>881</v>
      </c>
      <c r="Y47" s="141" t="s">
        <v>882</v>
      </c>
    </row>
    <row r="48" spans="10:25" ht="30">
      <c r="O48" s="152"/>
      <c r="Q48" s="182" t="s">
        <v>492</v>
      </c>
      <c r="R48" s="141" t="s">
        <v>417</v>
      </c>
      <c r="S48" s="150" t="str">
        <f>CONCATENATE(تقویم!$A$2,EventsTable[[#This Row],[روز و ماه]])</f>
        <v>14000314</v>
      </c>
      <c r="X48" s="141" t="s">
        <v>883</v>
      </c>
      <c r="Y48" s="141" t="s">
        <v>884</v>
      </c>
    </row>
    <row r="49" spans="15:25" ht="45">
      <c r="O49" s="152"/>
      <c r="Q49" s="182" t="s">
        <v>493</v>
      </c>
      <c r="R49" s="141" t="s">
        <v>494</v>
      </c>
      <c r="S49" s="150" t="str">
        <f>CONCATENATE(تقویم!$A$2,EventsTable[[#This Row],[روز و ماه]])</f>
        <v>14000315</v>
      </c>
      <c r="X49" s="141" t="s">
        <v>885</v>
      </c>
      <c r="Y49" s="141" t="s">
        <v>886</v>
      </c>
    </row>
    <row r="50" spans="15:25" ht="30">
      <c r="O50" s="152"/>
      <c r="Q50" s="182" t="s">
        <v>495</v>
      </c>
      <c r="R50" s="141" t="s">
        <v>496</v>
      </c>
      <c r="S50" s="150" t="str">
        <f>CONCATENATE(تقویم!$A$2,EventsTable[[#This Row],[روز و ماه]])</f>
        <v>14000320</v>
      </c>
      <c r="X50" s="141" t="s">
        <v>887</v>
      </c>
      <c r="Y50" s="141" t="s">
        <v>886</v>
      </c>
    </row>
    <row r="51" spans="15:25" ht="45">
      <c r="O51" s="152"/>
      <c r="Q51" s="182" t="s">
        <v>497</v>
      </c>
      <c r="R51" s="141" t="s">
        <v>496</v>
      </c>
      <c r="S51" s="150" t="str">
        <f>CONCATENATE(تقویم!$A$2,EventsTable[[#This Row],[روز و ماه]])</f>
        <v>14000320</v>
      </c>
      <c r="X51" s="141" t="s">
        <v>888</v>
      </c>
      <c r="Y51" s="141" t="s">
        <v>748</v>
      </c>
    </row>
    <row r="52" spans="15:25" ht="45">
      <c r="O52" s="152"/>
      <c r="Q52" s="182" t="s">
        <v>498</v>
      </c>
      <c r="R52" s="141" t="s">
        <v>499</v>
      </c>
      <c r="S52" s="150" t="str">
        <f>CONCATENATE(تقویم!$A$2,EventsTable[[#This Row],[روز و ماه]])</f>
        <v>14000326</v>
      </c>
      <c r="X52" s="141" t="s">
        <v>889</v>
      </c>
      <c r="Y52" s="141" t="s">
        <v>890</v>
      </c>
    </row>
    <row r="53" spans="15:25" ht="45">
      <c r="O53" s="152"/>
      <c r="Q53" s="182" t="s">
        <v>500</v>
      </c>
      <c r="R53" s="141" t="s">
        <v>501</v>
      </c>
      <c r="S53" s="150" t="str">
        <f>CONCATENATE(تقویم!$A$2,EventsTable[[#This Row],[روز و ماه]])</f>
        <v>14000327</v>
      </c>
      <c r="X53" s="141" t="s">
        <v>891</v>
      </c>
      <c r="Y53" s="141" t="s">
        <v>760</v>
      </c>
    </row>
    <row r="54" spans="15:25" ht="30">
      <c r="O54" s="152"/>
      <c r="Q54" s="182" t="s">
        <v>502</v>
      </c>
      <c r="R54" s="141" t="s">
        <v>503</v>
      </c>
      <c r="S54" s="150" t="str">
        <f>CONCATENATE(تقویم!$A$2,EventsTable[[#This Row],[روز و ماه]])</f>
        <v>14000329</v>
      </c>
      <c r="X54" s="141" t="s">
        <v>892</v>
      </c>
      <c r="Y54" s="141" t="s">
        <v>893</v>
      </c>
    </row>
    <row r="55" spans="15:25" ht="45">
      <c r="O55" s="152"/>
      <c r="Q55" s="182" t="s">
        <v>504</v>
      </c>
      <c r="R55" s="141" t="s">
        <v>505</v>
      </c>
      <c r="S55" s="150" t="str">
        <f>CONCATENATE(تقویم!$A$2,EventsTable[[#This Row],[روز و ماه]])</f>
        <v>14000330</v>
      </c>
      <c r="X55" s="141" t="s">
        <v>894</v>
      </c>
      <c r="Y55" s="141" t="s">
        <v>895</v>
      </c>
    </row>
    <row r="56" spans="15:25" ht="30">
      <c r="O56" s="152"/>
      <c r="Q56" s="182" t="s">
        <v>506</v>
      </c>
      <c r="R56" s="141" t="s">
        <v>507</v>
      </c>
      <c r="S56" s="150" t="str">
        <f>CONCATENATE(تقویم!$A$2,EventsTable[[#This Row],[روز و ماه]])</f>
        <v>14000331</v>
      </c>
      <c r="X56" s="141" t="s">
        <v>896</v>
      </c>
      <c r="Y56" s="141" t="s">
        <v>895</v>
      </c>
    </row>
    <row r="57" spans="15:25" ht="45">
      <c r="O57" s="152"/>
      <c r="Q57" s="182" t="s">
        <v>508</v>
      </c>
      <c r="R57" s="141" t="s">
        <v>507</v>
      </c>
      <c r="S57" s="150" t="str">
        <f>CONCATENATE(تقویم!$A$2,EventsTable[[#This Row],[روز و ماه]])</f>
        <v>14000331</v>
      </c>
      <c r="X57" s="141" t="s">
        <v>897</v>
      </c>
      <c r="Y57" s="141" t="s">
        <v>898</v>
      </c>
    </row>
    <row r="58" spans="15:25" ht="60">
      <c r="O58" s="152"/>
      <c r="Q58" s="182" t="s">
        <v>509</v>
      </c>
      <c r="R58" s="141" t="s">
        <v>510</v>
      </c>
      <c r="S58" s="150" t="str">
        <f>CONCATENATE(تقویم!$A$2,EventsTable[[#This Row],[روز و ماه]])</f>
        <v>14000401</v>
      </c>
      <c r="X58" s="141" t="s">
        <v>899</v>
      </c>
      <c r="Y58" s="141" t="s">
        <v>900</v>
      </c>
    </row>
    <row r="59" spans="15:25">
      <c r="O59" s="152"/>
      <c r="Q59" s="182" t="s">
        <v>511</v>
      </c>
      <c r="R59" s="141" t="s">
        <v>510</v>
      </c>
      <c r="S59" s="150" t="str">
        <f>CONCATENATE(تقویم!$A$2,EventsTable[[#This Row],[روز و ماه]])</f>
        <v>14000401</v>
      </c>
      <c r="X59" s="141" t="s">
        <v>901</v>
      </c>
      <c r="Y59" s="141" t="s">
        <v>771</v>
      </c>
    </row>
    <row r="60" spans="15:25" ht="60">
      <c r="O60" s="152"/>
      <c r="Q60" s="182" t="s">
        <v>512</v>
      </c>
      <c r="R60" s="141" t="s">
        <v>513</v>
      </c>
      <c r="S60" s="150" t="str">
        <f>CONCATENATE(تقویم!$A$2,EventsTable[[#This Row],[روز و ماه]])</f>
        <v>14000407</v>
      </c>
      <c r="X60" s="141" t="s">
        <v>902</v>
      </c>
      <c r="Y60" s="141" t="s">
        <v>776</v>
      </c>
    </row>
    <row r="61" spans="15:25" ht="30">
      <c r="O61" s="152"/>
      <c r="Q61" s="182" t="s">
        <v>514</v>
      </c>
      <c r="R61" s="141" t="s">
        <v>513</v>
      </c>
      <c r="S61" s="150" t="str">
        <f>CONCATENATE(تقویم!$A$2,EventsTable[[#This Row],[روز و ماه]])</f>
        <v>14000407</v>
      </c>
      <c r="X61" s="141" t="s">
        <v>903</v>
      </c>
      <c r="Y61" s="141" t="s">
        <v>781</v>
      </c>
    </row>
    <row r="62" spans="15:25" ht="30">
      <c r="O62" s="152"/>
      <c r="Q62" s="182" t="s">
        <v>515</v>
      </c>
      <c r="R62" s="141" t="s">
        <v>513</v>
      </c>
      <c r="S62" s="150" t="str">
        <f>CONCATENATE(تقویم!$A$2,EventsTable[[#This Row],[روز و ماه]])</f>
        <v>14000407</v>
      </c>
      <c r="X62" s="141" t="s">
        <v>904</v>
      </c>
      <c r="Y62" s="141" t="s">
        <v>905</v>
      </c>
    </row>
    <row r="63" spans="15:25" ht="30">
      <c r="O63" s="152"/>
      <c r="Q63" s="182" t="s">
        <v>516</v>
      </c>
      <c r="R63" s="141" t="s">
        <v>517</v>
      </c>
      <c r="S63" s="150" t="str">
        <f>CONCATENATE(تقویم!$A$2,EventsTable[[#This Row],[روز و ماه]])</f>
        <v>14000408</v>
      </c>
      <c r="X63" s="141" t="s">
        <v>906</v>
      </c>
      <c r="Y63" s="141" t="s">
        <v>787</v>
      </c>
    </row>
    <row r="64" spans="15:25">
      <c r="O64" s="152"/>
      <c r="Q64" s="182" t="s">
        <v>518</v>
      </c>
      <c r="R64" s="141" t="s">
        <v>519</v>
      </c>
      <c r="S64" s="150" t="str">
        <f>CONCATENATE(تقویم!$A$2,EventsTable[[#This Row],[روز و ماه]])</f>
        <v>14000410</v>
      </c>
    </row>
    <row r="65" spans="15:19">
      <c r="O65" s="152"/>
      <c r="Q65" s="182" t="s">
        <v>520</v>
      </c>
      <c r="R65" s="141" t="s">
        <v>519</v>
      </c>
      <c r="S65" s="150" t="str">
        <f>CONCATENATE(تقویم!$A$2,EventsTable[[#This Row],[روز و ماه]])</f>
        <v>14000410</v>
      </c>
    </row>
    <row r="66" spans="15:19">
      <c r="O66" s="152"/>
      <c r="Q66" s="182" t="s">
        <v>521</v>
      </c>
      <c r="R66" s="141" t="s">
        <v>519</v>
      </c>
      <c r="S66" s="150" t="str">
        <f>CONCATENATE(تقویم!$A$2,EventsTable[[#This Row],[روز و ماه]])</f>
        <v>14000410</v>
      </c>
    </row>
    <row r="67" spans="15:19" ht="45">
      <c r="O67" s="152"/>
      <c r="Q67" s="182" t="s">
        <v>522</v>
      </c>
      <c r="R67" s="141" t="s">
        <v>523</v>
      </c>
      <c r="S67" s="150" t="str">
        <f>CONCATENATE(تقویم!$A$2,EventsTable[[#This Row],[روز و ماه]])</f>
        <v>14000411</v>
      </c>
    </row>
    <row r="68" spans="15:19" ht="45">
      <c r="O68" s="152"/>
      <c r="Q68" s="182" t="s">
        <v>524</v>
      </c>
      <c r="R68" s="141" t="s">
        <v>525</v>
      </c>
      <c r="S68" s="150" t="str">
        <f>CONCATENATE(تقویم!$A$2,EventsTable[[#This Row],[روز و ماه]])</f>
        <v>14000412</v>
      </c>
    </row>
    <row r="69" spans="15:19">
      <c r="O69" s="152"/>
      <c r="Q69" s="182" t="s">
        <v>526</v>
      </c>
      <c r="R69" s="141" t="s">
        <v>525</v>
      </c>
      <c r="S69" s="150" t="str">
        <f>CONCATENATE(تقویم!$A$2,EventsTable[[#This Row],[روز و ماه]])</f>
        <v>14000412</v>
      </c>
    </row>
    <row r="70" spans="15:19" ht="30">
      <c r="O70" s="152"/>
      <c r="Q70" s="182" t="s">
        <v>527</v>
      </c>
      <c r="R70" s="141" t="s">
        <v>525</v>
      </c>
      <c r="S70" s="150" t="str">
        <f>CONCATENATE(تقویم!$A$2,EventsTable[[#This Row],[روز و ماه]])</f>
        <v>14000412</v>
      </c>
    </row>
    <row r="71" spans="15:19">
      <c r="O71" s="152"/>
      <c r="Q71" s="182" t="s">
        <v>945</v>
      </c>
      <c r="R71" s="141" t="s">
        <v>529</v>
      </c>
      <c r="S71" s="150" t="str">
        <f>CONCATENATE(تقویم!$A$2,EventsTable[[#This Row],[روز و ماه]])</f>
        <v>14000414</v>
      </c>
    </row>
    <row r="72" spans="15:19">
      <c r="O72" s="152"/>
      <c r="Q72" s="182" t="s">
        <v>528</v>
      </c>
      <c r="R72" s="141" t="s">
        <v>529</v>
      </c>
      <c r="S72" s="150" t="str">
        <f>CONCATENATE(تقویم!$A$2,EventsTable[[#This Row],[روز و ماه]])</f>
        <v>14000414</v>
      </c>
    </row>
    <row r="73" spans="15:19">
      <c r="O73" s="152"/>
      <c r="Q73" s="182" t="s">
        <v>530</v>
      </c>
      <c r="R73" s="141" t="s">
        <v>531</v>
      </c>
      <c r="S73" s="150" t="str">
        <f>CONCATENATE(تقویم!$A$2,EventsTable[[#This Row],[روز و ماه]])</f>
        <v>14000416</v>
      </c>
    </row>
    <row r="74" spans="15:19">
      <c r="O74" s="152"/>
      <c r="Q74" s="182" t="s">
        <v>532</v>
      </c>
      <c r="R74" s="141" t="s">
        <v>533</v>
      </c>
      <c r="S74" s="150" t="str">
        <f>CONCATENATE(تقویم!$A$2,EventsTable[[#This Row],[روز و ماه]])</f>
        <v>14000418</v>
      </c>
    </row>
    <row r="75" spans="15:19" ht="45">
      <c r="O75" s="152"/>
      <c r="Q75" s="182" t="s">
        <v>534</v>
      </c>
      <c r="R75" s="141" t="s">
        <v>533</v>
      </c>
      <c r="S75" s="150" t="str">
        <f>CONCATENATE(تقویم!$A$2,EventsTable[[#This Row],[روز و ماه]])</f>
        <v>14000418</v>
      </c>
    </row>
    <row r="76" spans="15:19">
      <c r="O76" s="152"/>
      <c r="Q76" s="182" t="s">
        <v>535</v>
      </c>
      <c r="R76" s="141" t="s">
        <v>536</v>
      </c>
      <c r="S76" s="150" t="str">
        <f>CONCATENATE(تقویم!$A$2,EventsTable[[#This Row],[روز و ماه]])</f>
        <v>14000421</v>
      </c>
    </row>
    <row r="77" spans="15:19" ht="30">
      <c r="O77" s="152"/>
      <c r="Q77" s="182" t="s">
        <v>537</v>
      </c>
      <c r="R77" s="141" t="s">
        <v>536</v>
      </c>
      <c r="S77" s="150" t="str">
        <f>CONCATENATE(تقویم!$A$2,EventsTable[[#This Row],[روز و ماه]])</f>
        <v>14000421</v>
      </c>
    </row>
    <row r="78" spans="15:19" ht="30">
      <c r="O78" s="152"/>
      <c r="Q78" s="182" t="s">
        <v>538</v>
      </c>
      <c r="R78" s="141" t="s">
        <v>539</v>
      </c>
      <c r="S78" s="150" t="str">
        <f>CONCATENATE(تقویم!$A$2,EventsTable[[#This Row],[روز و ماه]])</f>
        <v>14000423</v>
      </c>
    </row>
    <row r="79" spans="15:19" ht="30">
      <c r="O79" s="152"/>
      <c r="Q79" s="182" t="s">
        <v>540</v>
      </c>
      <c r="R79" s="141" t="s">
        <v>539</v>
      </c>
      <c r="S79" s="150" t="str">
        <f>CONCATENATE(تقویم!$A$2,EventsTable[[#This Row],[روز و ماه]])</f>
        <v>14000423</v>
      </c>
    </row>
    <row r="80" spans="15:19">
      <c r="O80" s="152"/>
      <c r="Q80" s="182" t="s">
        <v>541</v>
      </c>
      <c r="R80" s="141" t="s">
        <v>542</v>
      </c>
      <c r="S80" s="150" t="str">
        <f>CONCATENATE(تقویم!$A$2,EventsTable[[#This Row],[روز و ماه]])</f>
        <v>14000425</v>
      </c>
    </row>
    <row r="81" spans="15:19" ht="30">
      <c r="O81" s="152"/>
      <c r="Q81" s="182" t="s">
        <v>543</v>
      </c>
      <c r="R81" s="141" t="s">
        <v>544</v>
      </c>
      <c r="S81" s="150" t="str">
        <f>CONCATENATE(تقویم!$A$2,EventsTable[[#This Row],[روز و ماه]])</f>
        <v>14000426</v>
      </c>
    </row>
    <row r="82" spans="15:19" ht="30">
      <c r="O82" s="152"/>
      <c r="Q82" s="182" t="s">
        <v>545</v>
      </c>
      <c r="R82" s="141" t="s">
        <v>546</v>
      </c>
      <c r="S82" s="150" t="str">
        <f>CONCATENATE(تقویم!$A$2,EventsTable[[#This Row],[روز و ماه]])</f>
        <v>14000427</v>
      </c>
    </row>
    <row r="83" spans="15:19" ht="30">
      <c r="O83" s="152"/>
      <c r="Q83" s="182" t="s">
        <v>547</v>
      </c>
      <c r="R83" s="141" t="s">
        <v>548</v>
      </c>
      <c r="S83" s="150" t="str">
        <f>CONCATENATE(تقویم!$A$2,EventsTable[[#This Row],[روز و ماه]])</f>
        <v>14000730</v>
      </c>
    </row>
    <row r="84" spans="15:19">
      <c r="O84" s="152"/>
      <c r="Q84" s="182" t="s">
        <v>549</v>
      </c>
      <c r="R84" s="141" t="s">
        <v>550</v>
      </c>
      <c r="S84" s="150" t="str">
        <f>CONCATENATE(تقویم!$A$2,EventsTable[[#This Row],[روز و ماه]])</f>
        <v>14000504</v>
      </c>
    </row>
    <row r="85" spans="15:19" ht="30">
      <c r="O85" s="152"/>
      <c r="Q85" s="182" t="s">
        <v>551</v>
      </c>
      <c r="R85" s="141" t="s">
        <v>552</v>
      </c>
      <c r="S85" s="150" t="str">
        <f>CONCATENATE(تقویم!$A$2,EventsTable[[#This Row],[روز و ماه]])</f>
        <v>14000505</v>
      </c>
    </row>
    <row r="86" spans="15:19" ht="30">
      <c r="O86" s="152"/>
      <c r="Q86" s="182" t="s">
        <v>553</v>
      </c>
      <c r="R86" s="141" t="s">
        <v>554</v>
      </c>
      <c r="S86" s="150" t="str">
        <f>CONCATENATE(تقویم!$A$2,EventsTable[[#This Row],[روز و ماه]])</f>
        <v>14000506</v>
      </c>
    </row>
    <row r="87" spans="15:19" ht="30">
      <c r="O87" s="152"/>
      <c r="Q87" s="182" t="s">
        <v>555</v>
      </c>
      <c r="R87" s="141" t="s">
        <v>556</v>
      </c>
      <c r="S87" s="150" t="str">
        <f>CONCATENATE(تقویم!$A$2,EventsTable[[#This Row],[روز و ماه]])</f>
        <v>14000508</v>
      </c>
    </row>
    <row r="88" spans="15:19">
      <c r="O88" s="152"/>
      <c r="Q88" s="182" t="s">
        <v>557</v>
      </c>
      <c r="R88" s="141" t="s">
        <v>558</v>
      </c>
      <c r="S88" s="150" t="str">
        <f>CONCATENATE(تقویم!$A$2,EventsTable[[#This Row],[روز و ماه]])</f>
        <v>14000509</v>
      </c>
    </row>
    <row r="89" spans="15:19" ht="30">
      <c r="O89" s="152"/>
      <c r="Q89" s="182" t="s">
        <v>559</v>
      </c>
      <c r="R89" s="141" t="s">
        <v>560</v>
      </c>
      <c r="S89" s="150" t="str">
        <f>CONCATENATE(تقویم!$A$2,EventsTable[[#This Row],[روز و ماه]])</f>
        <v>14000511</v>
      </c>
    </row>
    <row r="90" spans="15:19" ht="30">
      <c r="O90" s="152"/>
      <c r="Q90" s="182" t="s">
        <v>825</v>
      </c>
      <c r="R90" s="141" t="s">
        <v>561</v>
      </c>
      <c r="S90" s="150" t="str">
        <f>CONCATENATE(تقویم!$A$2,EventsTable[[#This Row],[روز و ماه]])</f>
        <v>14000514</v>
      </c>
    </row>
    <row r="91" spans="15:19">
      <c r="O91" s="152"/>
      <c r="Q91" s="182" t="s">
        <v>562</v>
      </c>
      <c r="R91" s="141" t="s">
        <v>561</v>
      </c>
      <c r="S91" s="150" t="str">
        <f>CONCATENATE(تقویم!$A$2,EventsTable[[#This Row],[روز و ماه]])</f>
        <v>14000514</v>
      </c>
    </row>
    <row r="92" spans="15:19" ht="45">
      <c r="O92" s="152"/>
      <c r="Q92" s="182" t="s">
        <v>563</v>
      </c>
      <c r="R92" s="141" t="s">
        <v>564</v>
      </c>
      <c r="S92" s="150" t="str">
        <f>CONCATENATE(تقویم!$A$2,EventsTable[[#This Row],[روز و ماه]])</f>
        <v>14000515</v>
      </c>
    </row>
    <row r="93" spans="15:19" ht="30">
      <c r="O93" s="152"/>
      <c r="Q93" s="182" t="s">
        <v>565</v>
      </c>
      <c r="R93" s="141" t="s">
        <v>564</v>
      </c>
      <c r="S93" s="150" t="str">
        <f>CONCATENATE(تقویم!$A$2,EventsTable[[#This Row],[روز و ماه]])</f>
        <v>14000515</v>
      </c>
    </row>
    <row r="94" spans="15:19">
      <c r="O94" s="152"/>
      <c r="Q94" s="182" t="s">
        <v>566</v>
      </c>
      <c r="R94" s="141" t="s">
        <v>567</v>
      </c>
      <c r="S94" s="150" t="str">
        <f>CONCATENATE(تقویم!$A$2,EventsTable[[#This Row],[روز و ماه]])</f>
        <v>14000516</v>
      </c>
    </row>
    <row r="95" spans="15:19">
      <c r="O95" s="152"/>
      <c r="Q95" s="182" t="s">
        <v>568</v>
      </c>
      <c r="R95" s="141" t="s">
        <v>569</v>
      </c>
      <c r="S95" s="150" t="str">
        <f>CONCATENATE(تقویم!$A$2,EventsTable[[#This Row],[روز و ماه]])</f>
        <v>14000517</v>
      </c>
    </row>
    <row r="96" spans="15:19">
      <c r="O96" s="152"/>
      <c r="Q96" s="182" t="s">
        <v>570</v>
      </c>
      <c r="R96" s="141" t="s">
        <v>571</v>
      </c>
      <c r="S96" s="150" t="str">
        <f>CONCATENATE(تقویم!$A$2,EventsTable[[#This Row],[روز و ماه]])</f>
        <v>14000518</v>
      </c>
    </row>
    <row r="97" spans="15:19">
      <c r="O97" s="152"/>
      <c r="Q97" s="182" t="s">
        <v>572</v>
      </c>
      <c r="R97" s="141" t="s">
        <v>573</v>
      </c>
      <c r="S97" s="150" t="str">
        <f>CONCATENATE(تقویم!$A$2,EventsTable[[#This Row],[روز و ماه]])</f>
        <v>14000521</v>
      </c>
    </row>
    <row r="98" spans="15:19">
      <c r="O98" s="152"/>
      <c r="Q98" s="182" t="s">
        <v>574</v>
      </c>
      <c r="R98" s="141" t="s">
        <v>575</v>
      </c>
      <c r="S98" s="150" t="str">
        <f>CONCATENATE(تقویم!$A$2,EventsTable[[#This Row],[روز و ماه]])</f>
        <v>14000522</v>
      </c>
    </row>
    <row r="99" spans="15:19">
      <c r="O99" s="152"/>
      <c r="Q99" s="182" t="s">
        <v>576</v>
      </c>
      <c r="R99" s="141" t="s">
        <v>577</v>
      </c>
      <c r="S99" s="150" t="str">
        <f>CONCATENATE(تقویم!$A$2,EventsTable[[#This Row],[روز و ماه]])</f>
        <v>14000523</v>
      </c>
    </row>
    <row r="100" spans="15:19" ht="30">
      <c r="O100" s="152"/>
      <c r="Q100" s="182" t="s">
        <v>578</v>
      </c>
      <c r="R100" s="141" t="s">
        <v>579</v>
      </c>
      <c r="S100" s="150" t="str">
        <f>CONCATENATE(تقویم!$A$2,EventsTable[[#This Row],[روز و ماه]])</f>
        <v>14000526</v>
      </c>
    </row>
    <row r="101" spans="15:19" ht="30">
      <c r="O101" s="152"/>
      <c r="Q101" s="182" t="s">
        <v>580</v>
      </c>
      <c r="R101" s="141" t="s">
        <v>581</v>
      </c>
      <c r="S101" s="150" t="str">
        <f>CONCATENATE(تقویم!$A$2,EventsTable[[#This Row],[روز و ماه]])</f>
        <v>14000528</v>
      </c>
    </row>
    <row r="102" spans="15:19" ht="45">
      <c r="O102" s="152"/>
      <c r="Q102" s="182" t="s">
        <v>582</v>
      </c>
      <c r="R102" s="141" t="s">
        <v>581</v>
      </c>
      <c r="S102" s="150" t="str">
        <f>CONCATENATE(تقویم!$A$2,EventsTable[[#This Row],[روز و ماه]])</f>
        <v>14000528</v>
      </c>
    </row>
    <row r="103" spans="15:19">
      <c r="O103" s="152"/>
      <c r="Q103" s="182" t="s">
        <v>583</v>
      </c>
      <c r="R103" s="141" t="s">
        <v>584</v>
      </c>
      <c r="S103" s="150" t="str">
        <f>CONCATENATE(تقویم!$A$2,EventsTable[[#This Row],[روز و ماه]])</f>
        <v>14000530</v>
      </c>
    </row>
    <row r="104" spans="15:19">
      <c r="O104" s="152"/>
      <c r="Q104" s="182" t="s">
        <v>585</v>
      </c>
      <c r="R104" s="141" t="s">
        <v>586</v>
      </c>
      <c r="S104" s="150" t="str">
        <f>CONCATENATE(تقویم!$A$2,EventsTable[[#This Row],[روز و ماه]])</f>
        <v>14000531</v>
      </c>
    </row>
    <row r="105" spans="15:19">
      <c r="O105" s="152"/>
      <c r="Q105" s="182" t="s">
        <v>587</v>
      </c>
      <c r="R105" s="141" t="s">
        <v>588</v>
      </c>
      <c r="S105" s="150" t="str">
        <f>CONCATENATE(تقویم!$A$2,EventsTable[[#This Row],[روز و ماه]])</f>
        <v>14000601</v>
      </c>
    </row>
    <row r="106" spans="15:19">
      <c r="O106" s="152"/>
      <c r="Q106" s="182" t="s">
        <v>589</v>
      </c>
      <c r="R106" s="141" t="s">
        <v>588</v>
      </c>
      <c r="S106" s="150" t="str">
        <f>CONCATENATE(تقویم!$A$2,EventsTable[[#This Row],[روز و ماه]])</f>
        <v>14000601</v>
      </c>
    </row>
    <row r="107" spans="15:19">
      <c r="O107" s="152"/>
      <c r="Q107" s="182" t="s">
        <v>590</v>
      </c>
      <c r="R107" s="141" t="s">
        <v>591</v>
      </c>
      <c r="S107" s="150" t="str">
        <f>CONCATENATE(تقویم!$A$2,EventsTable[[#This Row],[روز و ماه]])</f>
        <v>14000602</v>
      </c>
    </row>
    <row r="108" spans="15:19" ht="30">
      <c r="O108" s="152"/>
      <c r="Q108" s="182" t="s">
        <v>592</v>
      </c>
      <c r="R108" s="141" t="s">
        <v>591</v>
      </c>
      <c r="S108" s="150" t="str">
        <f>CONCATENATE(تقویم!$A$2,EventsTable[[#This Row],[روز و ماه]])</f>
        <v>14000602</v>
      </c>
    </row>
    <row r="109" spans="15:19" ht="30">
      <c r="O109" s="152"/>
      <c r="Q109" s="182" t="s">
        <v>593</v>
      </c>
      <c r="R109" s="141" t="s">
        <v>594</v>
      </c>
      <c r="S109" s="150" t="str">
        <f>CONCATENATE(تقویم!$A$2,EventsTable[[#This Row],[روز و ماه]])</f>
        <v>14000603</v>
      </c>
    </row>
    <row r="110" spans="15:19">
      <c r="O110" s="152"/>
      <c r="Q110" s="182" t="s">
        <v>595</v>
      </c>
      <c r="R110" s="141" t="s">
        <v>596</v>
      </c>
      <c r="S110" s="150" t="str">
        <f>CONCATENATE(تقویم!$A$2,EventsTable[[#This Row],[روز و ماه]])</f>
        <v>14000604</v>
      </c>
    </row>
    <row r="111" spans="15:19">
      <c r="O111" s="152"/>
      <c r="Q111" s="182" t="s">
        <v>597</v>
      </c>
      <c r="R111" s="141" t="s">
        <v>598</v>
      </c>
      <c r="S111" s="150" t="str">
        <f>CONCATENATE(تقویم!$A$2,EventsTable[[#This Row],[روز و ماه]])</f>
        <v>14000605</v>
      </c>
    </row>
    <row r="112" spans="15:19">
      <c r="O112" s="152"/>
      <c r="Q112" s="182" t="s">
        <v>599</v>
      </c>
      <c r="R112" s="141" t="s">
        <v>598</v>
      </c>
      <c r="S112" s="150" t="str">
        <f>CONCATENATE(تقویم!$A$2,EventsTable[[#This Row],[روز و ماه]])</f>
        <v>14000605</v>
      </c>
    </row>
    <row r="113" spans="15:19">
      <c r="O113" s="152"/>
      <c r="Q113" s="182" t="s">
        <v>600</v>
      </c>
      <c r="R113" s="141" t="s">
        <v>598</v>
      </c>
      <c r="S113" s="150" t="str">
        <f>CONCATENATE(تقویم!$A$2,EventsTable[[#This Row],[روز و ماه]])</f>
        <v>14000605</v>
      </c>
    </row>
    <row r="114" spans="15:19" ht="60">
      <c r="O114" s="152"/>
      <c r="Q114" s="182" t="s">
        <v>601</v>
      </c>
      <c r="R114" s="141" t="s">
        <v>602</v>
      </c>
      <c r="S114" s="150" t="str">
        <f>CONCATENATE(تقویم!$A$2,EventsTable[[#This Row],[روز و ماه]])</f>
        <v>14000608</v>
      </c>
    </row>
    <row r="115" spans="15:19" ht="45">
      <c r="O115" s="152"/>
      <c r="Q115" s="182" t="s">
        <v>603</v>
      </c>
      <c r="R115" s="141" t="s">
        <v>604</v>
      </c>
      <c r="S115" s="150" t="str">
        <f>CONCATENATE(تقویم!$A$2,EventsTable[[#This Row],[روز و ماه]])</f>
        <v>14000610</v>
      </c>
    </row>
    <row r="116" spans="15:19" ht="45">
      <c r="O116" s="152"/>
      <c r="Q116" s="182" t="s">
        <v>605</v>
      </c>
      <c r="R116" s="141" t="s">
        <v>604</v>
      </c>
      <c r="S116" s="150" t="str">
        <f>CONCATENATE(تقویم!$A$2,EventsTable[[#This Row],[روز و ماه]])</f>
        <v>14000610</v>
      </c>
    </row>
    <row r="117" spans="15:19">
      <c r="O117" s="152"/>
      <c r="Q117" s="182" t="s">
        <v>606</v>
      </c>
      <c r="R117" s="141" t="s">
        <v>607</v>
      </c>
      <c r="S117" s="150" t="str">
        <f>CONCATENATE(تقویم!$A$2,EventsTable[[#This Row],[روز و ماه]])</f>
        <v>14000611</v>
      </c>
    </row>
    <row r="118" spans="15:19" ht="45">
      <c r="O118" s="152"/>
      <c r="Q118" s="182" t="s">
        <v>608</v>
      </c>
      <c r="R118" s="141" t="s">
        <v>609</v>
      </c>
      <c r="S118" s="150" t="str">
        <f>CONCATENATE(تقویم!$A$2,EventsTable[[#This Row],[روز و ماه]])</f>
        <v>14000612</v>
      </c>
    </row>
    <row r="119" spans="15:19">
      <c r="O119" s="152"/>
      <c r="Q119" s="182" t="s">
        <v>610</v>
      </c>
      <c r="R119" s="141" t="s">
        <v>609</v>
      </c>
      <c r="S119" s="150" t="str">
        <f>CONCATENATE(تقویم!$A$2,EventsTable[[#This Row],[روز و ماه]])</f>
        <v>14000612</v>
      </c>
    </row>
    <row r="120" spans="15:19">
      <c r="O120" s="152"/>
      <c r="Q120" s="141" t="s">
        <v>611</v>
      </c>
      <c r="R120" s="141" t="s">
        <v>612</v>
      </c>
      <c r="S120" s="150" t="str">
        <f>CONCATENATE(تقویم!$A$2,EventsTable[[#This Row],[روز و ماه]])</f>
        <v>14000613</v>
      </c>
    </row>
    <row r="121" spans="15:19">
      <c r="O121" s="152"/>
      <c r="Q121" s="141" t="s">
        <v>613</v>
      </c>
      <c r="R121" s="141" t="s">
        <v>612</v>
      </c>
      <c r="S121" s="150" t="str">
        <f>CONCATENATE(تقویم!$A$2,EventsTable[[#This Row],[روز و ماه]])</f>
        <v>14000613</v>
      </c>
    </row>
    <row r="122" spans="15:19">
      <c r="O122" s="152"/>
      <c r="Q122" s="141" t="s">
        <v>946</v>
      </c>
      <c r="R122" s="141" t="s">
        <v>612</v>
      </c>
      <c r="S122" s="150" t="str">
        <f>CONCATENATE(تقویم!$A$2,EventsTable[[#This Row],[روز و ماه]])</f>
        <v>14000613</v>
      </c>
    </row>
    <row r="123" spans="15:19" ht="30">
      <c r="O123" s="152"/>
      <c r="Q123" s="141" t="s">
        <v>614</v>
      </c>
      <c r="R123" s="141" t="s">
        <v>615</v>
      </c>
      <c r="S123" s="150" t="str">
        <f>CONCATENATE(تقویم!$A$2,EventsTable[[#This Row],[روز و ماه]])</f>
        <v>14000614</v>
      </c>
    </row>
    <row r="124" spans="15:19" ht="45">
      <c r="O124" s="152"/>
      <c r="Q124" s="141" t="s">
        <v>616</v>
      </c>
      <c r="R124" s="141" t="s">
        <v>617</v>
      </c>
      <c r="S124" s="150" t="str">
        <f>CONCATENATE(تقویم!$A$2,EventsTable[[#This Row],[روز و ماه]])</f>
        <v>14000617</v>
      </c>
    </row>
    <row r="125" spans="15:19" ht="45">
      <c r="O125" s="152"/>
      <c r="Q125" s="141" t="s">
        <v>618</v>
      </c>
      <c r="R125" s="141" t="s">
        <v>619</v>
      </c>
      <c r="S125" s="150" t="str">
        <f>CONCATENATE(تقویم!$A$2,EventsTable[[#This Row],[روز و ماه]])</f>
        <v>14000619</v>
      </c>
    </row>
    <row r="126" spans="15:19" ht="30">
      <c r="O126" s="152"/>
      <c r="Q126" s="141" t="s">
        <v>620</v>
      </c>
      <c r="R126" s="141" t="s">
        <v>621</v>
      </c>
      <c r="S126" s="150" t="str">
        <f>CONCATENATE(تقویم!$A$2,EventsTable[[#This Row],[روز و ماه]])</f>
        <v>14000620</v>
      </c>
    </row>
    <row r="127" spans="15:19">
      <c r="O127" s="152"/>
      <c r="Q127" s="141" t="s">
        <v>622</v>
      </c>
      <c r="R127" s="141" t="s">
        <v>623</v>
      </c>
      <c r="S127" s="150" t="str">
        <f>CONCATENATE(تقویم!$A$2,EventsTable[[#This Row],[روز و ماه]])</f>
        <v>14000621</v>
      </c>
    </row>
    <row r="128" spans="15:19">
      <c r="O128" s="152"/>
      <c r="Q128" s="141" t="s">
        <v>624</v>
      </c>
      <c r="R128" s="141" t="s">
        <v>625</v>
      </c>
      <c r="S128" s="150" t="str">
        <f>CONCATENATE(تقویم!$A$2,EventsTable[[#This Row],[روز و ماه]])</f>
        <v>14000627</v>
      </c>
    </row>
    <row r="129" spans="15:19" ht="30">
      <c r="O129" s="152"/>
      <c r="Q129" s="141" t="s">
        <v>626</v>
      </c>
      <c r="R129" s="141" t="s">
        <v>625</v>
      </c>
      <c r="S129" s="150" t="str">
        <f>CONCATENATE(تقویم!$A$2,EventsTable[[#This Row],[روز و ماه]])</f>
        <v>14000627</v>
      </c>
    </row>
    <row r="130" spans="15:19">
      <c r="O130" s="152"/>
      <c r="Q130" s="141" t="s">
        <v>627</v>
      </c>
      <c r="R130" s="141" t="s">
        <v>628</v>
      </c>
      <c r="S130" s="150" t="str">
        <f>CONCATENATE(تقویم!$A$2,EventsTable[[#This Row],[روز و ماه]])</f>
        <v>14000631</v>
      </c>
    </row>
    <row r="131" spans="15:19">
      <c r="O131" s="152"/>
      <c r="Q131" s="141" t="s">
        <v>629</v>
      </c>
      <c r="R131" s="141" t="s">
        <v>628</v>
      </c>
      <c r="S131" s="150" t="str">
        <f>CONCATENATE(تقویم!$A$2,EventsTable[[#This Row],[روز و ماه]])</f>
        <v>14000631</v>
      </c>
    </row>
    <row r="132" spans="15:19" ht="30">
      <c r="O132" s="152"/>
      <c r="Q132" s="141" t="s">
        <v>630</v>
      </c>
      <c r="R132" s="141" t="s">
        <v>631</v>
      </c>
      <c r="S132" s="150" t="str">
        <f>CONCATENATE(تقویم!$A$2,EventsTable[[#This Row],[روز و ماه]])</f>
        <v>14000705</v>
      </c>
    </row>
    <row r="133" spans="15:19" ht="30">
      <c r="O133" s="152"/>
      <c r="Q133" s="141" t="s">
        <v>632</v>
      </c>
      <c r="R133" s="141" t="s">
        <v>633</v>
      </c>
      <c r="S133" s="150" t="str">
        <f>CONCATENATE(تقویم!$A$2,EventsTable[[#This Row],[روز و ماه]])</f>
        <v>14000707</v>
      </c>
    </row>
    <row r="134" spans="15:19" ht="45">
      <c r="O134" s="152"/>
      <c r="Q134" s="141" t="s">
        <v>634</v>
      </c>
      <c r="R134" s="141" t="s">
        <v>633</v>
      </c>
      <c r="S134" s="150" t="str">
        <f>CONCATENATE(تقویم!$A$2,EventsTable[[#This Row],[روز و ماه]])</f>
        <v>14000707</v>
      </c>
    </row>
    <row r="135" spans="15:19">
      <c r="O135" s="152"/>
      <c r="Q135" s="141" t="s">
        <v>635</v>
      </c>
      <c r="R135" s="141" t="s">
        <v>633</v>
      </c>
      <c r="S135" s="150" t="str">
        <f>CONCATENATE(تقویم!$A$2,EventsTable[[#This Row],[روز و ماه]])</f>
        <v>14000707</v>
      </c>
    </row>
    <row r="136" spans="15:19">
      <c r="O136" s="152"/>
      <c r="Q136" s="141" t="s">
        <v>636</v>
      </c>
      <c r="R136" s="141" t="s">
        <v>633</v>
      </c>
      <c r="S136" s="150" t="str">
        <f>CONCATENATE(تقویم!$A$2,EventsTable[[#This Row],[روز و ماه]])</f>
        <v>14000707</v>
      </c>
    </row>
    <row r="137" spans="15:19">
      <c r="O137" s="152"/>
      <c r="Q137" s="141" t="s">
        <v>637</v>
      </c>
      <c r="R137" s="141" t="s">
        <v>638</v>
      </c>
      <c r="S137" s="150" t="str">
        <f>CONCATENATE(تقویم!$A$2,EventsTable[[#This Row],[روز و ماه]])</f>
        <v>14000708</v>
      </c>
    </row>
    <row r="138" spans="15:19" ht="30">
      <c r="O138" s="152"/>
      <c r="Q138" s="141" t="s">
        <v>639</v>
      </c>
      <c r="R138" s="141" t="s">
        <v>640</v>
      </c>
      <c r="S138" s="150" t="str">
        <f>CONCATENATE(تقویم!$A$2,EventsTable[[#This Row],[روز و ماه]])</f>
        <v>14000709</v>
      </c>
    </row>
    <row r="139" spans="15:19" ht="30">
      <c r="O139" s="152"/>
      <c r="Q139" s="141" t="s">
        <v>641</v>
      </c>
      <c r="R139" s="141" t="s">
        <v>642</v>
      </c>
      <c r="S139" s="150" t="str">
        <f>CONCATENATE(تقویم!$A$2,EventsTable[[#This Row],[روز و ماه]])</f>
        <v>14000713</v>
      </c>
    </row>
    <row r="140" spans="15:19">
      <c r="O140" s="152"/>
      <c r="Q140" s="141" t="s">
        <v>643</v>
      </c>
      <c r="R140" s="141" t="s">
        <v>642</v>
      </c>
      <c r="S140" s="150" t="str">
        <f>CONCATENATE(تقویم!$A$2,EventsTable[[#This Row],[روز و ماه]])</f>
        <v>14000713</v>
      </c>
    </row>
    <row r="141" spans="15:19">
      <c r="O141" s="152"/>
      <c r="Q141" s="141" t="s">
        <v>644</v>
      </c>
      <c r="R141" s="141" t="s">
        <v>645</v>
      </c>
      <c r="S141" s="150" t="str">
        <f>CONCATENATE(تقویم!$A$2,EventsTable[[#This Row],[روز و ماه]])</f>
        <v>14000714</v>
      </c>
    </row>
    <row r="142" spans="15:19">
      <c r="O142" s="152"/>
      <c r="Q142" s="141" t="s">
        <v>646</v>
      </c>
      <c r="R142" s="141" t="s">
        <v>647</v>
      </c>
      <c r="S142" s="150" t="str">
        <f>CONCATENATE(تقویم!$A$2,EventsTable[[#This Row],[روز و ماه]])</f>
        <v>14000715</v>
      </c>
    </row>
    <row r="143" spans="15:19">
      <c r="O143" s="152"/>
      <c r="Q143" s="141" t="s">
        <v>648</v>
      </c>
      <c r="R143" s="141" t="s">
        <v>649</v>
      </c>
      <c r="S143" s="150" t="str">
        <f>CONCATENATE(تقویم!$A$2,EventsTable[[#This Row],[روز و ماه]])</f>
        <v>14000720</v>
      </c>
    </row>
    <row r="144" spans="15:19" ht="45">
      <c r="O144" s="152"/>
      <c r="Q144" s="141" t="s">
        <v>650</v>
      </c>
      <c r="R144" s="141" t="s">
        <v>577</v>
      </c>
      <c r="S144" s="150" t="str">
        <f>CONCATENATE(تقویم!$A$2,EventsTable[[#This Row],[روز و ماه]])</f>
        <v>14000523</v>
      </c>
    </row>
    <row r="145" spans="15:19">
      <c r="O145" s="152"/>
      <c r="Q145" s="141" t="s">
        <v>651</v>
      </c>
      <c r="R145" s="141" t="s">
        <v>652</v>
      </c>
      <c r="S145" s="150" t="str">
        <f>CONCATENATE(تقویم!$A$2,EventsTable[[#This Row],[روز و ماه]])</f>
        <v>14000724</v>
      </c>
    </row>
    <row r="146" spans="15:19">
      <c r="O146" s="152"/>
      <c r="Q146" s="141" t="s">
        <v>653</v>
      </c>
      <c r="R146" s="141" t="s">
        <v>652</v>
      </c>
      <c r="S146" s="150" t="str">
        <f>CONCATENATE(تقویم!$A$2,EventsTable[[#This Row],[روز و ماه]])</f>
        <v>14000724</v>
      </c>
    </row>
    <row r="147" spans="15:19" ht="45">
      <c r="O147" s="152"/>
      <c r="Q147" s="141" t="s">
        <v>654</v>
      </c>
      <c r="R147" s="141" t="s">
        <v>652</v>
      </c>
      <c r="S147" s="150" t="str">
        <f>CONCATENATE(تقویم!$A$2,EventsTable[[#This Row],[روز و ماه]])</f>
        <v>14000724</v>
      </c>
    </row>
    <row r="148" spans="15:19">
      <c r="O148" s="152"/>
      <c r="Q148" s="141" t="s">
        <v>655</v>
      </c>
      <c r="R148" s="141" t="s">
        <v>656</v>
      </c>
      <c r="S148" s="150" t="str">
        <f>CONCATENATE(تقویم!$A$2,EventsTable[[#This Row],[روز و ماه]])</f>
        <v>14000726</v>
      </c>
    </row>
    <row r="149" spans="15:19">
      <c r="O149" s="152"/>
      <c r="Q149" s="141" t="s">
        <v>657</v>
      </c>
      <c r="R149" s="141" t="s">
        <v>658</v>
      </c>
      <c r="S149" s="150" t="str">
        <f>CONCATENATE(تقویم!$A$2,EventsTable[[#This Row],[روز و ماه]])</f>
        <v>14000729</v>
      </c>
    </row>
    <row r="150" spans="15:19" ht="30">
      <c r="O150" s="152"/>
      <c r="Q150" s="141" t="s">
        <v>659</v>
      </c>
      <c r="R150" s="141" t="s">
        <v>660</v>
      </c>
      <c r="S150" s="150" t="str">
        <f>CONCATENATE(تقویم!$A$2,EventsTable[[#This Row],[روز و ماه]])</f>
        <v>14000801</v>
      </c>
    </row>
    <row r="151" spans="15:19">
      <c r="O151" s="152"/>
      <c r="Q151" s="141" t="s">
        <v>661</v>
      </c>
      <c r="R151" s="141" t="s">
        <v>660</v>
      </c>
      <c r="S151" s="150" t="str">
        <f>CONCATENATE(تقویم!$A$2,EventsTable[[#This Row],[روز و ماه]])</f>
        <v>14000801</v>
      </c>
    </row>
    <row r="152" spans="15:19" ht="45">
      <c r="O152" s="152"/>
      <c r="Q152" s="141" t="s">
        <v>662</v>
      </c>
      <c r="R152" s="141" t="s">
        <v>663</v>
      </c>
      <c r="S152" s="150" t="str">
        <f>CONCATENATE(تقویم!$A$2,EventsTable[[#This Row],[روز و ماه]])</f>
        <v>14000804</v>
      </c>
    </row>
    <row r="153" spans="15:19" ht="30">
      <c r="O153" s="152"/>
      <c r="Q153" s="141" t="s">
        <v>664</v>
      </c>
      <c r="R153" s="141" t="s">
        <v>665</v>
      </c>
      <c r="S153" s="150" t="str">
        <f>CONCATENATE(تقویم!$A$2,EventsTable[[#This Row],[روز و ماه]])</f>
        <v>14000808</v>
      </c>
    </row>
    <row r="154" spans="15:19">
      <c r="O154" s="152"/>
      <c r="Q154" s="141"/>
      <c r="R154" s="141"/>
      <c r="S154" s="150" t="str">
        <f>CONCATENATE(تقویم!$A$2,EventsTable[[#This Row],[روز و ماه]])</f>
        <v>1400</v>
      </c>
    </row>
    <row r="155" spans="15:19">
      <c r="O155" s="152"/>
      <c r="Q155" s="141" t="s">
        <v>666</v>
      </c>
      <c r="R155" s="141" t="s">
        <v>665</v>
      </c>
      <c r="S155" s="150" t="str">
        <f>CONCATENATE(تقویم!$A$2,EventsTable[[#This Row],[روز و ماه]])</f>
        <v>14000808</v>
      </c>
    </row>
    <row r="156" spans="15:19">
      <c r="O156" s="152"/>
      <c r="Q156" s="141" t="s">
        <v>667</v>
      </c>
      <c r="R156" s="141" t="s">
        <v>665</v>
      </c>
      <c r="S156" s="150" t="str">
        <f>CONCATENATE(تقویم!$A$2,EventsTable[[#This Row],[روز و ماه]])</f>
        <v>14000808</v>
      </c>
    </row>
    <row r="157" spans="15:19" ht="45">
      <c r="O157" s="152"/>
      <c r="Q157" s="141" t="s">
        <v>668</v>
      </c>
      <c r="R157" s="141" t="s">
        <v>669</v>
      </c>
      <c r="S157" s="150" t="str">
        <f>CONCATENATE(تقویم!$A$2,EventsTable[[#This Row],[روز و ماه]])</f>
        <v>14000810</v>
      </c>
    </row>
    <row r="158" spans="15:19" ht="45">
      <c r="O158" s="152"/>
      <c r="Q158" s="141" t="s">
        <v>670</v>
      </c>
      <c r="R158" s="141" t="s">
        <v>671</v>
      </c>
      <c r="S158" s="150" t="str">
        <f>CONCATENATE(تقویم!$A$2,EventsTable[[#This Row],[روز و ماه]])</f>
        <v>14000813</v>
      </c>
    </row>
    <row r="159" spans="15:19">
      <c r="O159" s="152"/>
      <c r="Q159" s="141" t="s">
        <v>672</v>
      </c>
      <c r="R159" s="141" t="s">
        <v>671</v>
      </c>
      <c r="S159" s="150" t="str">
        <f>CONCATENATE(تقویم!$A$2,EventsTable[[#This Row],[روز و ماه]])</f>
        <v>14000813</v>
      </c>
    </row>
    <row r="160" spans="15:19">
      <c r="O160" s="152"/>
      <c r="Q160" s="141" t="s">
        <v>673</v>
      </c>
      <c r="R160" s="141" t="s">
        <v>671</v>
      </c>
      <c r="S160" s="150" t="str">
        <f>CONCATENATE(تقویم!$A$2,EventsTable[[#This Row],[روز و ماه]])</f>
        <v>14000813</v>
      </c>
    </row>
    <row r="161" spans="15:19" ht="30">
      <c r="O161" s="152"/>
      <c r="Q161" s="141" t="s">
        <v>674</v>
      </c>
      <c r="R161" s="141" t="s">
        <v>671</v>
      </c>
      <c r="S161" s="150" t="str">
        <f>CONCATENATE(تقویم!$A$2,EventsTable[[#This Row],[روز و ماه]])</f>
        <v>14000813</v>
      </c>
    </row>
    <row r="162" spans="15:19">
      <c r="O162" s="152"/>
      <c r="Q162" s="141" t="s">
        <v>675</v>
      </c>
      <c r="R162" s="141" t="s">
        <v>676</v>
      </c>
      <c r="S162" s="150" t="str">
        <f>CONCATENATE(تقویم!$A$2,EventsTable[[#This Row],[روز و ماه]])</f>
        <v>14000814</v>
      </c>
    </row>
    <row r="163" spans="15:19">
      <c r="O163" s="152"/>
      <c r="Q163" s="141" t="s">
        <v>677</v>
      </c>
      <c r="R163" s="141" t="s">
        <v>678</v>
      </c>
      <c r="S163" s="150" t="str">
        <f>CONCATENATE(تقویم!$A$2,EventsTable[[#This Row],[روز و ماه]])</f>
        <v>14000818</v>
      </c>
    </row>
    <row r="164" spans="15:19">
      <c r="O164" s="152"/>
      <c r="Q164" s="141" t="s">
        <v>679</v>
      </c>
      <c r="R164" s="141" t="s">
        <v>680</v>
      </c>
      <c r="S164" s="150" t="str">
        <f>CONCATENATE(تقویم!$A$2,EventsTable[[#This Row],[روز و ماه]])</f>
        <v>14000824</v>
      </c>
    </row>
    <row r="165" spans="15:19" ht="45">
      <c r="O165" s="152"/>
      <c r="Q165" s="141" t="s">
        <v>681</v>
      </c>
      <c r="R165" s="141" t="s">
        <v>680</v>
      </c>
      <c r="S165" s="150" t="str">
        <f>CONCATENATE(تقویم!$A$2,EventsTable[[#This Row],[روز و ماه]])</f>
        <v>14000824</v>
      </c>
    </row>
    <row r="166" spans="15:19" ht="30">
      <c r="O166" s="152"/>
      <c r="Q166" s="141" t="s">
        <v>682</v>
      </c>
      <c r="R166" s="141" t="s">
        <v>683</v>
      </c>
      <c r="S166" s="150" t="str">
        <f>CONCATENATE(تقویم!$A$2,EventsTable[[#This Row],[روز و ماه]])</f>
        <v>14000826</v>
      </c>
    </row>
    <row r="167" spans="15:19" ht="45">
      <c r="O167" s="152"/>
      <c r="Q167" s="141" t="s">
        <v>684</v>
      </c>
      <c r="R167" s="141" t="s">
        <v>685</v>
      </c>
      <c r="S167" s="150" t="str">
        <f>CONCATENATE(تقویم!$A$2,EventsTable[[#This Row],[روز و ماه]])</f>
        <v>14000905</v>
      </c>
    </row>
    <row r="168" spans="15:19">
      <c r="O168" s="152"/>
      <c r="Q168" s="141" t="s">
        <v>686</v>
      </c>
      <c r="R168" s="141" t="s">
        <v>685</v>
      </c>
      <c r="S168" s="150" t="str">
        <f>CONCATENATE(تقویم!$A$2,EventsTable[[#This Row],[روز و ماه]])</f>
        <v>14000905</v>
      </c>
    </row>
    <row r="169" spans="15:19">
      <c r="O169" s="152"/>
      <c r="Q169" s="141" t="s">
        <v>687</v>
      </c>
      <c r="R169" s="141" t="s">
        <v>688</v>
      </c>
      <c r="S169" s="150" t="str">
        <f>CONCATENATE(تقویم!$A$2,EventsTable[[#This Row],[روز و ماه]])</f>
        <v>14000907</v>
      </c>
    </row>
    <row r="170" spans="15:19">
      <c r="O170" s="152"/>
      <c r="Q170" s="141" t="s">
        <v>689</v>
      </c>
      <c r="R170" s="141" t="s">
        <v>690</v>
      </c>
      <c r="S170" s="150" t="str">
        <f>CONCATENATE(تقویم!$A$2,EventsTable[[#This Row],[روز و ماه]])</f>
        <v>14000909</v>
      </c>
    </row>
    <row r="171" spans="15:19" ht="30">
      <c r="O171" s="152"/>
      <c r="Q171" s="141" t="s">
        <v>691</v>
      </c>
      <c r="R171" s="141" t="s">
        <v>692</v>
      </c>
      <c r="S171" s="150" t="str">
        <f>CONCATENATE(تقویم!$A$2,EventsTable[[#This Row],[روز و ماه]])</f>
        <v>14000910</v>
      </c>
    </row>
    <row r="172" spans="15:19" ht="30">
      <c r="O172" s="152"/>
      <c r="Q172" s="141" t="s">
        <v>693</v>
      </c>
      <c r="R172" s="141" t="s">
        <v>694</v>
      </c>
      <c r="S172" s="150" t="str">
        <f>CONCATENATE(تقویم!$A$2,EventsTable[[#This Row],[روز و ماه]])</f>
        <v>14000911</v>
      </c>
    </row>
    <row r="173" spans="15:19" ht="45">
      <c r="O173" s="152"/>
      <c r="Q173" s="141" t="s">
        <v>695</v>
      </c>
      <c r="R173" s="141" t="s">
        <v>696</v>
      </c>
      <c r="S173" s="150" t="str">
        <f>CONCATENATE(تقویم!$A$2,EventsTable[[#This Row],[روز و ماه]])</f>
        <v>14000912</v>
      </c>
    </row>
    <row r="174" spans="15:19">
      <c r="O174" s="152"/>
      <c r="Q174" s="141" t="s">
        <v>697</v>
      </c>
      <c r="R174" s="141" t="s">
        <v>698</v>
      </c>
      <c r="S174" s="150" t="str">
        <f>CONCATENATE(تقویم!$A$2,EventsTable[[#This Row],[روز و ماه]])</f>
        <v>14000913</v>
      </c>
    </row>
    <row r="175" spans="15:19">
      <c r="O175" s="152"/>
      <c r="Q175" s="141" t="s">
        <v>699</v>
      </c>
      <c r="R175" s="141" t="s">
        <v>700</v>
      </c>
      <c r="S175" s="150" t="str">
        <f>CONCATENATE(تقویم!$A$2,EventsTable[[#This Row],[روز و ماه]])</f>
        <v>14000916</v>
      </c>
    </row>
    <row r="176" spans="15:19" ht="45">
      <c r="O176" s="152"/>
      <c r="Q176" s="141" t="s">
        <v>701</v>
      </c>
      <c r="R176" s="141" t="s">
        <v>702</v>
      </c>
      <c r="S176" s="150" t="str">
        <f>CONCATENATE(تقویم!$A$2,EventsTable[[#This Row],[روز و ماه]])</f>
        <v>14000918</v>
      </c>
    </row>
    <row r="177" spans="15:19" ht="45">
      <c r="O177" s="152"/>
      <c r="Q177" s="141" t="s">
        <v>703</v>
      </c>
      <c r="R177" s="141" t="s">
        <v>704</v>
      </c>
      <c r="S177" s="150" t="str">
        <f>CONCATENATE(تقویم!$A$2,EventsTable[[#This Row],[روز و ماه]])</f>
        <v>14000919</v>
      </c>
    </row>
    <row r="178" spans="15:19" ht="45">
      <c r="O178" s="152"/>
      <c r="Q178" s="141" t="s">
        <v>705</v>
      </c>
      <c r="R178" s="141" t="s">
        <v>706</v>
      </c>
      <c r="S178" s="150" t="str">
        <f>CONCATENATE(تقویم!$A$2,EventsTable[[#This Row],[روز و ماه]])</f>
        <v>14000920</v>
      </c>
    </row>
    <row r="179" spans="15:19">
      <c r="O179" s="152"/>
      <c r="Q179" s="141" t="s">
        <v>707</v>
      </c>
      <c r="R179" s="141" t="s">
        <v>708</v>
      </c>
      <c r="S179" s="150" t="str">
        <f>CONCATENATE(تقویم!$A$2,EventsTable[[#This Row],[روز و ماه]])</f>
        <v>14000925</v>
      </c>
    </row>
    <row r="180" spans="15:19">
      <c r="O180" s="152"/>
      <c r="Q180" s="141" t="s">
        <v>709</v>
      </c>
      <c r="R180" s="141" t="s">
        <v>710</v>
      </c>
      <c r="S180" s="150" t="str">
        <f>CONCATENATE(تقویم!$A$2,EventsTable[[#This Row],[روز و ماه]])</f>
        <v>14000926</v>
      </c>
    </row>
    <row r="181" spans="15:19" ht="30">
      <c r="O181" s="152"/>
      <c r="Q181" s="141" t="s">
        <v>711</v>
      </c>
      <c r="R181" s="141" t="s">
        <v>712</v>
      </c>
      <c r="S181" s="150" t="str">
        <f>CONCATENATE(تقویم!$A$2,EventsTable[[#This Row],[روز و ماه]])</f>
        <v>14000927</v>
      </c>
    </row>
    <row r="182" spans="15:19">
      <c r="O182" s="152"/>
      <c r="Q182" s="141" t="s">
        <v>713</v>
      </c>
      <c r="R182" s="141" t="s">
        <v>712</v>
      </c>
      <c r="S182" s="150" t="str">
        <f>CONCATENATE(تقویم!$A$2,EventsTable[[#This Row],[روز و ماه]])</f>
        <v>14000927</v>
      </c>
    </row>
    <row r="183" spans="15:19">
      <c r="O183" s="152"/>
      <c r="Q183" s="141" t="s">
        <v>714</v>
      </c>
      <c r="R183" s="141" t="s">
        <v>715</v>
      </c>
      <c r="S183" s="150" t="str">
        <f>CONCATENATE(تقویم!$A$2,EventsTable[[#This Row],[روز و ماه]])</f>
        <v>14000929</v>
      </c>
    </row>
    <row r="184" spans="15:19">
      <c r="O184" s="152"/>
      <c r="Q184" s="141" t="s">
        <v>716</v>
      </c>
      <c r="R184" s="141" t="s">
        <v>717</v>
      </c>
      <c r="S184" s="150" t="str">
        <f>CONCATENATE(تقویم!$A$2,EventsTable[[#This Row],[روز و ماه]])</f>
        <v>14000930</v>
      </c>
    </row>
    <row r="185" spans="15:19">
      <c r="O185" s="152"/>
      <c r="Q185" s="141" t="s">
        <v>718</v>
      </c>
      <c r="R185" s="141" t="s">
        <v>719</v>
      </c>
      <c r="S185" s="150" t="str">
        <f>CONCATENATE(تقویم!$A$2,EventsTable[[#This Row],[روز و ماه]])</f>
        <v>14001003</v>
      </c>
    </row>
    <row r="186" spans="15:19" ht="30">
      <c r="O186" s="152"/>
      <c r="Q186" s="141" t="s">
        <v>720</v>
      </c>
      <c r="R186" s="141" t="s">
        <v>721</v>
      </c>
      <c r="S186" s="150" t="str">
        <f>CONCATENATE(تقویم!$A$2,EventsTable[[#This Row],[روز و ماه]])</f>
        <v>14001005</v>
      </c>
    </row>
    <row r="187" spans="15:19" ht="45">
      <c r="O187" s="152"/>
      <c r="Q187" s="141" t="s">
        <v>722</v>
      </c>
      <c r="R187" s="141" t="s">
        <v>723</v>
      </c>
      <c r="S187" s="150" t="str">
        <f>CONCATENATE(تقویم!$A$2,EventsTable[[#This Row],[روز و ماه]])</f>
        <v>14001007</v>
      </c>
    </row>
    <row r="188" spans="15:19" ht="45">
      <c r="O188" s="152"/>
      <c r="Q188" s="141" t="s">
        <v>724</v>
      </c>
      <c r="R188" s="141" t="s">
        <v>723</v>
      </c>
      <c r="S188" s="150" t="str">
        <f>CONCATENATE(تقویم!$A$2,EventsTable[[#This Row],[روز و ماه]])</f>
        <v>14001007</v>
      </c>
    </row>
    <row r="189" spans="15:19">
      <c r="O189" s="152"/>
      <c r="Q189" s="141" t="s">
        <v>725</v>
      </c>
      <c r="R189" s="141" t="s">
        <v>726</v>
      </c>
      <c r="S189" s="150" t="str">
        <f>CONCATENATE(تقویم!$A$2,EventsTable[[#This Row],[روز و ماه]])</f>
        <v>14001008</v>
      </c>
    </row>
    <row r="190" spans="15:19" ht="30">
      <c r="O190" s="152"/>
      <c r="Q190" s="141" t="s">
        <v>727</v>
      </c>
      <c r="R190" s="141" t="s">
        <v>728</v>
      </c>
      <c r="S190" s="150" t="str">
        <f>CONCATENATE(تقویم!$A$2,EventsTable[[#This Row],[روز و ماه]])</f>
        <v>14001009</v>
      </c>
    </row>
    <row r="191" spans="15:19" ht="60">
      <c r="O191" s="152"/>
      <c r="Q191" s="141" t="s">
        <v>729</v>
      </c>
      <c r="R191" s="141" t="s">
        <v>730</v>
      </c>
      <c r="S191" s="150" t="str">
        <f>CONCATENATE(تقویم!$A$2,EventsTable[[#This Row],[روز و ماه]])</f>
        <v>14001013</v>
      </c>
    </row>
    <row r="192" spans="15:19" ht="45">
      <c r="O192" s="152"/>
      <c r="Q192" s="141" t="s">
        <v>731</v>
      </c>
      <c r="R192" s="141" t="s">
        <v>730</v>
      </c>
      <c r="S192" s="150" t="str">
        <f>CONCATENATE(تقویم!$A$2,EventsTable[[#This Row],[روز و ماه]])</f>
        <v>14001013</v>
      </c>
    </row>
    <row r="193" spans="15:19" ht="45">
      <c r="O193" s="152"/>
      <c r="Q193" s="141" t="s">
        <v>732</v>
      </c>
      <c r="R193" s="141" t="s">
        <v>733</v>
      </c>
      <c r="S193" s="150" t="str">
        <f>CONCATENATE(تقویم!$A$2,EventsTable[[#This Row],[روز و ماه]])</f>
        <v>14001017</v>
      </c>
    </row>
    <row r="194" spans="15:19">
      <c r="O194" s="152"/>
      <c r="Q194" s="141" t="s">
        <v>734</v>
      </c>
      <c r="R194" s="141" t="s">
        <v>733</v>
      </c>
      <c r="S194" s="150" t="str">
        <f>CONCATENATE(تقویم!$A$2,EventsTable[[#This Row],[روز و ماه]])</f>
        <v>14001017</v>
      </c>
    </row>
    <row r="195" spans="15:19">
      <c r="O195" s="152"/>
      <c r="Q195" s="141" t="s">
        <v>735</v>
      </c>
      <c r="R195" s="141" t="s">
        <v>736</v>
      </c>
      <c r="S195" s="150" t="str">
        <f>CONCATENATE(تقویم!$A$2,EventsTable[[#This Row],[روز و ماه]])</f>
        <v>14001019</v>
      </c>
    </row>
    <row r="196" spans="15:19" ht="30">
      <c r="O196" s="152"/>
      <c r="Q196" s="141" t="s">
        <v>737</v>
      </c>
      <c r="R196" s="141" t="s">
        <v>738</v>
      </c>
      <c r="S196" s="150" t="str">
        <f>CONCATENATE(تقویم!$A$2,EventsTable[[#This Row],[روز و ماه]])</f>
        <v>14001020</v>
      </c>
    </row>
    <row r="197" spans="15:19" ht="45">
      <c r="O197" s="152"/>
      <c r="Q197" s="141" t="s">
        <v>739</v>
      </c>
      <c r="R197" s="141" t="s">
        <v>740</v>
      </c>
      <c r="S197" s="150" t="str">
        <f>CONCATENATE(تقویم!$A$2,EventsTable[[#This Row],[روز و ماه]])</f>
        <v>14001022</v>
      </c>
    </row>
    <row r="198" spans="15:19">
      <c r="O198" s="152"/>
      <c r="Q198" s="141" t="s">
        <v>741</v>
      </c>
      <c r="R198" s="141" t="s">
        <v>742</v>
      </c>
      <c r="S198" s="150" t="str">
        <f>CONCATENATE(تقویم!$A$2,EventsTable[[#This Row],[روز و ماه]])</f>
        <v>14001026</v>
      </c>
    </row>
    <row r="199" spans="15:19" ht="45">
      <c r="O199" s="152"/>
      <c r="Q199" s="141" t="s">
        <v>743</v>
      </c>
      <c r="R199" s="141" t="s">
        <v>744</v>
      </c>
      <c r="S199" s="150" t="str">
        <f>CONCATENATE(تقویم!$A$2,EventsTable[[#This Row],[روز و ماه]])</f>
        <v>14001027</v>
      </c>
    </row>
    <row r="200" spans="15:19">
      <c r="O200" s="152"/>
      <c r="Q200" s="141" t="s">
        <v>745</v>
      </c>
      <c r="R200" s="141" t="s">
        <v>746</v>
      </c>
      <c r="S200" s="150" t="str">
        <f>CONCATENATE(تقویم!$A$2,EventsTable[[#This Row],[روز و ماه]])</f>
        <v>14001029</v>
      </c>
    </row>
    <row r="201" spans="15:19">
      <c r="O201" s="152"/>
      <c r="Q201" s="141" t="s">
        <v>747</v>
      </c>
      <c r="R201" s="141" t="s">
        <v>748</v>
      </c>
      <c r="S201" s="150" t="str">
        <f>CONCATENATE(تقویم!$A$2,EventsTable[[#This Row],[روز و ماه]])</f>
        <v>14001106</v>
      </c>
    </row>
    <row r="202" spans="15:19" ht="45">
      <c r="O202" s="152"/>
      <c r="Q202" s="141" t="s">
        <v>749</v>
      </c>
      <c r="R202" s="141" t="s">
        <v>750</v>
      </c>
      <c r="S202" s="150" t="str">
        <f>CONCATENATE(تقویم!$A$2,EventsTable[[#This Row],[روز و ماه]])</f>
        <v>14001112</v>
      </c>
    </row>
    <row r="203" spans="15:19">
      <c r="O203" s="152"/>
      <c r="Q203" s="141" t="s">
        <v>751</v>
      </c>
      <c r="R203" s="141" t="s">
        <v>752</v>
      </c>
      <c r="S203" s="150" t="str">
        <f>CONCATENATE(تقویم!$A$2,EventsTable[[#This Row],[روز و ماه]])</f>
        <v>14001114</v>
      </c>
    </row>
    <row r="204" spans="15:19">
      <c r="O204" s="152"/>
      <c r="Q204" s="141" t="s">
        <v>753</v>
      </c>
      <c r="R204" s="141" t="s">
        <v>754</v>
      </c>
      <c r="S204" s="150" t="str">
        <f>CONCATENATE(تقویم!$A$2,EventsTable[[#This Row],[روز و ماه]])</f>
        <v>14001119</v>
      </c>
    </row>
    <row r="205" spans="15:19" ht="45">
      <c r="O205" s="152"/>
      <c r="Q205" s="141" t="s">
        <v>755</v>
      </c>
      <c r="R205" s="141" t="s">
        <v>756</v>
      </c>
      <c r="S205" s="150" t="str">
        <f>CONCATENATE(تقویم!$A$2,EventsTable[[#This Row],[روز و ماه]])</f>
        <v>14001121</v>
      </c>
    </row>
    <row r="206" spans="15:19" ht="60">
      <c r="O206" s="152"/>
      <c r="Q206" s="141" t="s">
        <v>757</v>
      </c>
      <c r="R206" s="141" t="s">
        <v>758</v>
      </c>
      <c r="S206" s="150" t="str">
        <f>CONCATENATE(تقویم!$A$2,EventsTable[[#This Row],[روز و ماه]])</f>
        <v>14001125</v>
      </c>
    </row>
    <row r="207" spans="15:19" ht="30">
      <c r="O207" s="152"/>
      <c r="Q207" s="141" t="s">
        <v>759</v>
      </c>
      <c r="R207" s="141" t="s">
        <v>760</v>
      </c>
      <c r="S207" s="150" t="str">
        <f>CONCATENATE(تقویم!$A$2,EventsTable[[#This Row],[روز و ماه]])</f>
        <v>14001129</v>
      </c>
    </row>
    <row r="208" spans="15:19">
      <c r="O208" s="152"/>
      <c r="Q208" s="141" t="s">
        <v>761</v>
      </c>
      <c r="R208" s="141" t="s">
        <v>760</v>
      </c>
      <c r="S208" s="150" t="str">
        <f>CONCATENATE(تقویم!$A$2,EventsTable[[#This Row],[روز و ماه]])</f>
        <v>14001129</v>
      </c>
    </row>
    <row r="209" spans="15:19" ht="30">
      <c r="O209" s="152"/>
      <c r="Q209" s="141" t="s">
        <v>762</v>
      </c>
      <c r="R209" s="141" t="s">
        <v>763</v>
      </c>
      <c r="S209" s="150" t="str">
        <f>CONCATENATE(تقویم!$A$2,EventsTable[[#This Row],[روز و ماه]])</f>
        <v>14001203</v>
      </c>
    </row>
    <row r="210" spans="15:19">
      <c r="O210" s="152"/>
      <c r="Q210" s="141" t="s">
        <v>764</v>
      </c>
      <c r="R210" s="141" t="s">
        <v>765</v>
      </c>
      <c r="S210" s="150" t="str">
        <f>CONCATENATE(تقویم!$A$2,EventsTable[[#This Row],[روز و ماه]])</f>
        <v>14001205</v>
      </c>
    </row>
    <row r="211" spans="15:19">
      <c r="O211" s="152"/>
      <c r="Q211" s="141" t="s">
        <v>766</v>
      </c>
      <c r="R211" s="141" t="s">
        <v>765</v>
      </c>
      <c r="S211" s="150" t="str">
        <f>CONCATENATE(تقویم!$A$2,EventsTable[[#This Row],[روز و ماه]])</f>
        <v>14001205</v>
      </c>
    </row>
    <row r="212" spans="15:19">
      <c r="O212" s="152"/>
      <c r="Q212" s="141" t="s">
        <v>767</v>
      </c>
      <c r="R212" s="141" t="s">
        <v>768</v>
      </c>
      <c r="S212" s="150" t="str">
        <f>CONCATENATE(تقویم!$A$2,EventsTable[[#This Row],[روز و ماه]])</f>
        <v>14001208</v>
      </c>
    </row>
    <row r="213" spans="15:19" ht="30">
      <c r="O213" s="152"/>
      <c r="Q213" s="141" t="s">
        <v>769</v>
      </c>
      <c r="R213" s="141" t="s">
        <v>768</v>
      </c>
      <c r="S213" s="150" t="str">
        <f>CONCATENATE(تقویم!$A$2,EventsTable[[#This Row],[روز و ماه]])</f>
        <v>14001208</v>
      </c>
    </row>
    <row r="214" spans="15:19">
      <c r="O214" s="152"/>
      <c r="Q214" s="141" t="s">
        <v>770</v>
      </c>
      <c r="R214" s="141" t="s">
        <v>771</v>
      </c>
      <c r="S214" s="150" t="str">
        <f>CONCATENATE(تقویم!$A$2,EventsTable[[#This Row],[روز و ماه]])</f>
        <v>14001209</v>
      </c>
    </row>
    <row r="215" spans="15:19">
      <c r="O215" s="152"/>
      <c r="Q215" s="141" t="s">
        <v>772</v>
      </c>
      <c r="R215" s="141" t="s">
        <v>773</v>
      </c>
      <c r="S215" s="150" t="str">
        <f>CONCATENATE(تقویم!$A$2,EventsTable[[#This Row],[روز و ماه]])</f>
        <v>14001214</v>
      </c>
    </row>
    <row r="216" spans="15:19">
      <c r="O216" s="152"/>
      <c r="Q216" s="141" t="s">
        <v>774</v>
      </c>
      <c r="R216" s="141" t="s">
        <v>773</v>
      </c>
      <c r="S216" s="150" t="str">
        <f>CONCATENATE(تقویم!$A$2,EventsTable[[#This Row],[روز و ماه]])</f>
        <v>14001214</v>
      </c>
    </row>
    <row r="217" spans="15:19">
      <c r="O217" s="152"/>
      <c r="Q217" s="141" t="s">
        <v>775</v>
      </c>
      <c r="R217" s="141" t="s">
        <v>776</v>
      </c>
      <c r="S217" s="150" t="str">
        <f>CONCATENATE(تقویم!$A$2,EventsTable[[#This Row],[روز و ماه]])</f>
        <v>14001215</v>
      </c>
    </row>
    <row r="218" spans="15:19">
      <c r="O218" s="152"/>
      <c r="Q218" s="141" t="s">
        <v>777</v>
      </c>
      <c r="R218" s="141" t="s">
        <v>778</v>
      </c>
      <c r="S218" s="150" t="str">
        <f>CONCATENATE(تقویم!$A$2,EventsTable[[#This Row],[روز و ماه]])</f>
        <v>14001218</v>
      </c>
    </row>
    <row r="219" spans="15:19" ht="30">
      <c r="O219" s="152"/>
      <c r="Q219" s="141" t="s">
        <v>779</v>
      </c>
      <c r="R219" s="141" t="s">
        <v>778</v>
      </c>
      <c r="S219" s="150" t="str">
        <f>CONCATENATE(تقویم!$A$2,EventsTable[[#This Row],[روز و ماه]])</f>
        <v>14001218</v>
      </c>
    </row>
    <row r="220" spans="15:19">
      <c r="O220" s="152"/>
      <c r="Q220" s="141" t="s">
        <v>780</v>
      </c>
      <c r="R220" s="141" t="s">
        <v>781</v>
      </c>
      <c r="S220" s="150" t="str">
        <f>CONCATENATE(تقویم!$A$2,EventsTable[[#This Row],[روز و ماه]])</f>
        <v>14001220</v>
      </c>
    </row>
    <row r="221" spans="15:19">
      <c r="O221" s="152"/>
      <c r="Q221" s="141" t="s">
        <v>782</v>
      </c>
      <c r="R221" s="141" t="s">
        <v>783</v>
      </c>
      <c r="S221" s="150" t="str">
        <f>CONCATENATE(تقویم!$A$2,EventsTable[[#This Row],[روز و ماه]])</f>
        <v>14001221</v>
      </c>
    </row>
    <row r="222" spans="15:19" ht="60">
      <c r="O222" s="152"/>
      <c r="Q222" s="141" t="s">
        <v>784</v>
      </c>
      <c r="R222" s="141" t="s">
        <v>785</v>
      </c>
      <c r="S222" s="150" t="str">
        <f>CONCATENATE(تقویم!$A$2,EventsTable[[#This Row],[روز و ماه]])</f>
        <v>14001222</v>
      </c>
    </row>
    <row r="223" spans="15:19" ht="30">
      <c r="O223" s="152"/>
      <c r="Q223" s="141" t="s">
        <v>786</v>
      </c>
      <c r="R223" s="141" t="s">
        <v>787</v>
      </c>
      <c r="S223" s="150" t="str">
        <f>CONCATENATE(تقویم!$A$2,EventsTable[[#This Row],[روز و ماه]])</f>
        <v>14001225</v>
      </c>
    </row>
    <row r="224" spans="15:19" ht="30">
      <c r="O224" s="152"/>
      <c r="Q224" s="141" t="s">
        <v>788</v>
      </c>
      <c r="R224" s="141" t="s">
        <v>789</v>
      </c>
      <c r="S224" s="150" t="str">
        <f>CONCATENATE(تقویم!$A$2,EventsTable[[#This Row],[روز و ماه]])</f>
        <v>14001230</v>
      </c>
    </row>
    <row r="225" spans="15:19">
      <c r="O225" s="152"/>
      <c r="S225" s="152"/>
    </row>
    <row r="226" spans="15:19">
      <c r="O226" s="152"/>
      <c r="S226" s="152"/>
    </row>
    <row r="227" spans="15:19">
      <c r="O227" s="152"/>
      <c r="S227" s="152"/>
    </row>
    <row r="228" spans="15:19">
      <c r="O228" s="152"/>
      <c r="S228" s="152"/>
    </row>
    <row r="229" spans="15:19">
      <c r="O229" s="152"/>
      <c r="S229" s="152"/>
    </row>
    <row r="230" spans="15:19">
      <c r="O230" s="152"/>
      <c r="S230" s="152"/>
    </row>
    <row r="231" spans="15:19">
      <c r="O231" s="152"/>
      <c r="S231" s="152"/>
    </row>
    <row r="232" spans="15:19">
      <c r="O232" s="152"/>
      <c r="S232" s="152"/>
    </row>
    <row r="233" spans="15:19">
      <c r="O233" s="152"/>
      <c r="S233" s="152"/>
    </row>
    <row r="234" spans="15:19">
      <c r="O234" s="152"/>
      <c r="S234" s="152"/>
    </row>
    <row r="235" spans="15:19">
      <c r="O235" s="152"/>
      <c r="S235" s="152"/>
    </row>
    <row r="236" spans="15:19">
      <c r="O236" s="152"/>
      <c r="S236" s="152"/>
    </row>
    <row r="237" spans="15:19">
      <c r="O237" s="152"/>
      <c r="S237" s="152"/>
    </row>
    <row r="238" spans="15:19">
      <c r="O238" s="152"/>
      <c r="S238" s="152"/>
    </row>
    <row r="239" spans="15:19">
      <c r="O239" s="152"/>
      <c r="S239" s="152"/>
    </row>
    <row r="240" spans="15:19">
      <c r="O240" s="152"/>
      <c r="S240" s="152"/>
    </row>
    <row r="241" spans="15:19">
      <c r="O241" s="152"/>
      <c r="S241" s="152"/>
    </row>
    <row r="242" spans="15:19">
      <c r="O242" s="152"/>
      <c r="S242" s="152"/>
    </row>
    <row r="243" spans="15:19">
      <c r="O243" s="152"/>
      <c r="S243" s="152"/>
    </row>
    <row r="244" spans="15:19">
      <c r="O244" s="152"/>
      <c r="S244" s="152"/>
    </row>
    <row r="245" spans="15:19">
      <c r="O245" s="152"/>
      <c r="S245" s="152"/>
    </row>
    <row r="246" spans="15:19">
      <c r="O246" s="152"/>
      <c r="S246" s="152"/>
    </row>
    <row r="247" spans="15:19">
      <c r="O247" s="152"/>
      <c r="S247" s="152"/>
    </row>
    <row r="248" spans="15:19">
      <c r="O248" s="152"/>
      <c r="S248" s="152"/>
    </row>
    <row r="249" spans="15:19">
      <c r="O249" s="152"/>
      <c r="S249" s="152"/>
    </row>
    <row r="250" spans="15:19">
      <c r="O250" s="152"/>
      <c r="S250" s="152"/>
    </row>
    <row r="251" spans="15:19">
      <c r="O251" s="152"/>
      <c r="S251" s="152"/>
    </row>
    <row r="252" spans="15:19">
      <c r="O252" s="152"/>
      <c r="S252" s="152"/>
    </row>
    <row r="253" spans="15:19">
      <c r="O253" s="152"/>
      <c r="S253" s="152"/>
    </row>
    <row r="254" spans="15:19">
      <c r="O254" s="152"/>
      <c r="S254" s="152"/>
    </row>
    <row r="255" spans="15:19">
      <c r="O255" s="152"/>
      <c r="S255" s="152"/>
    </row>
    <row r="256" spans="15:19">
      <c r="O256" s="152"/>
      <c r="S256" s="152"/>
    </row>
    <row r="257" spans="15:19">
      <c r="O257" s="152"/>
      <c r="S257" s="152"/>
    </row>
    <row r="258" spans="15:19">
      <c r="O258" s="152"/>
      <c r="S258" s="152"/>
    </row>
    <row r="259" spans="15:19">
      <c r="O259" s="152"/>
      <c r="S259" s="152"/>
    </row>
    <row r="260" spans="15:19">
      <c r="O260" s="152"/>
      <c r="S260" s="152"/>
    </row>
    <row r="261" spans="15:19">
      <c r="O261" s="152"/>
      <c r="S261" s="152"/>
    </row>
    <row r="262" spans="15:19">
      <c r="O262" s="152"/>
      <c r="S262" s="152"/>
    </row>
    <row r="263" spans="15:19">
      <c r="O263" s="152"/>
      <c r="S263" s="152"/>
    </row>
    <row r="264" spans="15:19">
      <c r="O264" s="152"/>
      <c r="S264" s="152"/>
    </row>
    <row r="265" spans="15:19">
      <c r="O265" s="152"/>
      <c r="S265" s="152"/>
    </row>
    <row r="266" spans="15:19">
      <c r="O266" s="152"/>
      <c r="S266" s="152"/>
    </row>
    <row r="267" spans="15:19">
      <c r="O267" s="152"/>
      <c r="S267" s="152"/>
    </row>
    <row r="268" spans="15:19">
      <c r="O268" s="152"/>
      <c r="S268" s="152"/>
    </row>
    <row r="269" spans="15:19">
      <c r="O269" s="152"/>
      <c r="S269" s="152"/>
    </row>
    <row r="270" spans="15:19">
      <c r="O270" s="152"/>
      <c r="S270" s="152"/>
    </row>
    <row r="271" spans="15:19">
      <c r="O271" s="152"/>
      <c r="S271" s="152"/>
    </row>
    <row r="272" spans="15:19">
      <c r="O272" s="152"/>
      <c r="S272" s="152"/>
    </row>
    <row r="273" spans="15:19">
      <c r="O273" s="152"/>
      <c r="S273" s="152"/>
    </row>
    <row r="274" spans="15:19">
      <c r="O274" s="152"/>
      <c r="S274" s="152"/>
    </row>
    <row r="275" spans="15:19">
      <c r="O275" s="152"/>
      <c r="S275" s="152"/>
    </row>
    <row r="276" spans="15:19">
      <c r="O276" s="152"/>
      <c r="S276" s="152"/>
    </row>
    <row r="277" spans="15:19">
      <c r="O277" s="152"/>
      <c r="S277" s="152"/>
    </row>
    <row r="278" spans="15:19">
      <c r="O278" s="152"/>
      <c r="S278" s="152"/>
    </row>
    <row r="279" spans="15:19">
      <c r="O279" s="152"/>
      <c r="S279" s="152"/>
    </row>
    <row r="280" spans="15:19">
      <c r="O280" s="152"/>
      <c r="S280" s="152"/>
    </row>
    <row r="281" spans="15:19">
      <c r="O281" s="152"/>
      <c r="S281" s="152"/>
    </row>
    <row r="282" spans="15:19">
      <c r="O282" s="152"/>
      <c r="S282" s="152"/>
    </row>
    <row r="283" spans="15:19">
      <c r="O283" s="152"/>
      <c r="S283" s="152"/>
    </row>
    <row r="284" spans="15:19">
      <c r="O284" s="152"/>
      <c r="S284" s="152"/>
    </row>
    <row r="285" spans="15:19">
      <c r="O285" s="152"/>
      <c r="S285" s="152"/>
    </row>
    <row r="286" spans="15:19">
      <c r="O286" s="152"/>
      <c r="S286" s="152"/>
    </row>
    <row r="287" spans="15:19">
      <c r="O287" s="152"/>
      <c r="S287" s="152"/>
    </row>
    <row r="288" spans="15:19">
      <c r="O288" s="152"/>
      <c r="S288" s="152"/>
    </row>
    <row r="289" spans="15:19">
      <c r="O289" s="152"/>
      <c r="S289" s="152"/>
    </row>
    <row r="290" spans="15:19">
      <c r="O290" s="152"/>
      <c r="S290" s="152"/>
    </row>
    <row r="291" spans="15:19">
      <c r="O291" s="152"/>
      <c r="S291" s="152"/>
    </row>
    <row r="292" spans="15:19">
      <c r="O292" s="152"/>
      <c r="S292" s="152"/>
    </row>
    <row r="293" spans="15:19">
      <c r="O293" s="152"/>
      <c r="S293" s="152"/>
    </row>
    <row r="294" spans="15:19">
      <c r="O294" s="152"/>
      <c r="S294" s="152"/>
    </row>
    <row r="295" spans="15:19">
      <c r="O295" s="152"/>
      <c r="S295" s="152"/>
    </row>
    <row r="296" spans="15:19">
      <c r="O296" s="152"/>
      <c r="S296" s="152"/>
    </row>
    <row r="297" spans="15:19">
      <c r="O297" s="152"/>
      <c r="S297" s="152"/>
    </row>
    <row r="298" spans="15:19">
      <c r="O298" s="152"/>
      <c r="S298" s="152"/>
    </row>
    <row r="299" spans="15:19">
      <c r="O299" s="152"/>
      <c r="S299" s="152"/>
    </row>
    <row r="300" spans="15:19">
      <c r="O300" s="152"/>
      <c r="S300" s="152"/>
    </row>
    <row r="301" spans="15:19">
      <c r="O301" s="152"/>
      <c r="S301" s="152"/>
    </row>
    <row r="302" spans="15:19">
      <c r="O302" s="152"/>
      <c r="S302" s="152"/>
    </row>
    <row r="303" spans="15:19">
      <c r="O303" s="152"/>
      <c r="S303" s="152"/>
    </row>
    <row r="304" spans="15:19">
      <c r="O304" s="152"/>
      <c r="S304" s="152"/>
    </row>
    <row r="305" spans="15:19">
      <c r="O305" s="152"/>
      <c r="S305" s="152"/>
    </row>
    <row r="306" spans="15:19">
      <c r="O306" s="152"/>
      <c r="S306" s="152"/>
    </row>
    <row r="307" spans="15:19">
      <c r="O307" s="152"/>
      <c r="S307" s="152"/>
    </row>
    <row r="308" spans="15:19">
      <c r="O308" s="152"/>
      <c r="S308" s="152"/>
    </row>
    <row r="309" spans="15:19">
      <c r="O309" s="152"/>
      <c r="S309" s="152"/>
    </row>
    <row r="310" spans="15:19">
      <c r="O310" s="152"/>
      <c r="S310" s="152"/>
    </row>
    <row r="311" spans="15:19">
      <c r="O311" s="152"/>
      <c r="S311" s="152"/>
    </row>
    <row r="312" spans="15:19">
      <c r="O312" s="152"/>
      <c r="S312" s="152"/>
    </row>
    <row r="313" spans="15:19">
      <c r="O313" s="152"/>
      <c r="S313" s="152"/>
    </row>
    <row r="314" spans="15:19">
      <c r="O314" s="152"/>
      <c r="S314" s="152"/>
    </row>
    <row r="315" spans="15:19">
      <c r="O315" s="152"/>
      <c r="S315" s="152"/>
    </row>
    <row r="316" spans="15:19">
      <c r="O316" s="152"/>
      <c r="S316" s="152"/>
    </row>
    <row r="317" spans="15:19">
      <c r="O317" s="152"/>
      <c r="S317" s="152"/>
    </row>
    <row r="318" spans="15:19">
      <c r="O318" s="152"/>
      <c r="S318" s="152"/>
    </row>
    <row r="319" spans="15:19">
      <c r="O319" s="152"/>
      <c r="S319" s="152"/>
    </row>
    <row r="320" spans="15:19">
      <c r="O320" s="152"/>
      <c r="S320" s="152"/>
    </row>
    <row r="321" spans="15:19">
      <c r="O321" s="152"/>
      <c r="S321" s="152"/>
    </row>
    <row r="322" spans="15:19">
      <c r="O322" s="152"/>
      <c r="S322" s="152"/>
    </row>
    <row r="323" spans="15:19">
      <c r="O323" s="152"/>
      <c r="S323" s="152"/>
    </row>
    <row r="324" spans="15:19">
      <c r="O324" s="152"/>
      <c r="S324" s="152"/>
    </row>
    <row r="325" spans="15:19">
      <c r="O325" s="152"/>
      <c r="S325" s="152"/>
    </row>
    <row r="326" spans="15:19">
      <c r="O326" s="152"/>
      <c r="S326" s="152"/>
    </row>
    <row r="327" spans="15:19">
      <c r="O327" s="152"/>
      <c r="S327" s="152"/>
    </row>
    <row r="328" spans="15:19">
      <c r="O328" s="152"/>
      <c r="S328" s="152"/>
    </row>
    <row r="329" spans="15:19">
      <c r="O329" s="152"/>
      <c r="S329" s="152"/>
    </row>
    <row r="330" spans="15:19">
      <c r="O330" s="152"/>
      <c r="S330" s="152"/>
    </row>
    <row r="331" spans="15:19">
      <c r="O331" s="152"/>
      <c r="S331" s="152"/>
    </row>
    <row r="332" spans="15:19">
      <c r="O332" s="152"/>
      <c r="S332" s="152"/>
    </row>
    <row r="333" spans="15:19">
      <c r="O333" s="152"/>
      <c r="S333" s="152"/>
    </row>
    <row r="334" spans="15:19">
      <c r="O334" s="152"/>
      <c r="S334" s="152"/>
    </row>
    <row r="335" spans="15:19">
      <c r="O335" s="152"/>
      <c r="S335" s="152"/>
    </row>
    <row r="336" spans="15:19">
      <c r="O336" s="152"/>
      <c r="S336" s="152"/>
    </row>
    <row r="337" spans="15:19">
      <c r="O337" s="152"/>
      <c r="S337" s="152"/>
    </row>
    <row r="338" spans="15:19">
      <c r="O338" s="152"/>
      <c r="S338" s="152"/>
    </row>
    <row r="339" spans="15:19">
      <c r="O339" s="152"/>
      <c r="S339" s="152"/>
    </row>
    <row r="340" spans="15:19">
      <c r="O340" s="152"/>
      <c r="S340" s="152"/>
    </row>
    <row r="341" spans="15:19">
      <c r="O341" s="152"/>
      <c r="S341" s="152"/>
    </row>
    <row r="342" spans="15:19">
      <c r="O342" s="152"/>
      <c r="S342" s="152"/>
    </row>
    <row r="343" spans="15:19">
      <c r="O343" s="152"/>
      <c r="S343" s="152"/>
    </row>
    <row r="344" spans="15:19">
      <c r="O344" s="152"/>
      <c r="S344" s="152"/>
    </row>
    <row r="345" spans="15:19">
      <c r="O345" s="152"/>
      <c r="S345" s="152"/>
    </row>
    <row r="346" spans="15:19">
      <c r="O346" s="152"/>
      <c r="S346" s="152"/>
    </row>
    <row r="347" spans="15:19">
      <c r="O347" s="152"/>
      <c r="S347" s="152"/>
    </row>
    <row r="348" spans="15:19">
      <c r="O348" s="152"/>
      <c r="S348" s="152"/>
    </row>
    <row r="349" spans="15:19">
      <c r="O349" s="152"/>
      <c r="S349" s="152"/>
    </row>
    <row r="350" spans="15:19">
      <c r="O350" s="152"/>
      <c r="S350" s="152"/>
    </row>
    <row r="351" spans="15:19">
      <c r="O351" s="152"/>
      <c r="S351" s="152"/>
    </row>
    <row r="352" spans="15:19">
      <c r="O352" s="152"/>
      <c r="S352" s="152"/>
    </row>
    <row r="353" spans="15:19">
      <c r="O353" s="152"/>
      <c r="S353" s="152"/>
    </row>
    <row r="354" spans="15:19">
      <c r="O354" s="152"/>
      <c r="S354" s="152"/>
    </row>
    <row r="355" spans="15:19">
      <c r="O355" s="152"/>
      <c r="S355" s="152"/>
    </row>
    <row r="356" spans="15:19">
      <c r="O356" s="152"/>
      <c r="S356" s="152"/>
    </row>
    <row r="357" spans="15:19">
      <c r="O357" s="152"/>
      <c r="S357" s="152"/>
    </row>
    <row r="358" spans="15:19">
      <c r="O358" s="152"/>
      <c r="S358" s="152"/>
    </row>
    <row r="359" spans="15:19">
      <c r="O359" s="152"/>
      <c r="S359" s="152"/>
    </row>
    <row r="360" spans="15:19">
      <c r="O360" s="152"/>
      <c r="S360" s="152"/>
    </row>
    <row r="361" spans="15:19">
      <c r="O361" s="152"/>
      <c r="S361" s="152"/>
    </row>
    <row r="362" spans="15:19">
      <c r="O362" s="152"/>
      <c r="S362" s="152"/>
    </row>
    <row r="363" spans="15:19">
      <c r="O363" s="152"/>
      <c r="S363" s="152"/>
    </row>
    <row r="364" spans="15:19">
      <c r="O364" s="152"/>
      <c r="S364" s="152"/>
    </row>
    <row r="365" spans="15:19">
      <c r="O365" s="152"/>
      <c r="S365" s="152"/>
    </row>
  </sheetData>
  <mergeCells count="9">
    <mergeCell ref="X3:Y3"/>
    <mergeCell ref="AA3:AB3"/>
    <mergeCell ref="D1:K1"/>
    <mergeCell ref="M1:AB1"/>
    <mergeCell ref="J12:K12"/>
    <mergeCell ref="J3:K3"/>
    <mergeCell ref="M3:O3"/>
    <mergeCell ref="Q3:S3"/>
    <mergeCell ref="U3:V3"/>
  </mergeCells>
  <hyperlinks>
    <hyperlink ref="A3" location="فهرست!A1" display="فهرست" xr:uid="{00000000-0004-0000-1600-000000000000}"/>
    <hyperlink ref="A5" location="'مدیریت وام و اقساط'!A1" display="وام و اقساط" xr:uid="{00000000-0004-0000-1600-000001000000}"/>
    <hyperlink ref="A6" location="'مدیریت چک‌ها'!A1" display="چک‌ها" xr:uid="{00000000-0004-0000-1600-000002000000}"/>
    <hyperlink ref="A7" location="'مدیریت بدهی‌ها-طلب‌ها'!A1" display="بدهی‌ها و طلب‌ها" xr:uid="{00000000-0004-0000-1600-000003000000}"/>
    <hyperlink ref="A8" location="'برنامه ریزی پرداخت‌ها'!A1" display="برنامه ریزی" xr:uid="{00000000-0004-0000-1600-000004000000}"/>
    <hyperlink ref="A9" location="تقویم!A1" display="تقویم" xr:uid="{00000000-0004-0000-1600-000005000000}"/>
    <hyperlink ref="A10" location="'بودجه بندی'!A1" display="بودجه بندی" xr:uid="{00000000-0004-0000-1600-000006000000}"/>
    <hyperlink ref="A11" location="'گزارش فعالیت‌های ماه جاری'!A1" display="ماه جاری" xr:uid="{00000000-0004-0000-1600-000007000000}"/>
    <hyperlink ref="A12" location="'جست و جو'!A1" display="جست و جو" xr:uid="{00000000-0004-0000-1600-000008000000}"/>
    <hyperlink ref="A4" location="تراکنش‌ها!A1" display="تراکنش‌ها" xr:uid="{00000000-0004-0000-1600-000009000000}"/>
  </hyperlinks>
  <pageMargins left="0.7" right="0.7" top="0.75" bottom="0.75" header="0.3" footer="0.3"/>
  <pageSetup orientation="portrait" r:id="rId1"/>
  <ignoredErrors>
    <ignoredError sqref="M5:O14" numberStoredAsText="1"/>
  </ignoredErrors>
  <tableParts count="10">
    <tablePart r:id="rId2"/>
    <tablePart r:id="rId3"/>
    <tablePart r:id="rId4"/>
    <tablePart r:id="rId5"/>
    <tablePart r:id="rId6"/>
    <tablePart r:id="rId7"/>
    <tablePart r:id="rId8"/>
    <tablePart r:id="rId9"/>
    <tablePart r:id="rId10"/>
    <tablePart r:id="rId11"/>
  </tableParts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Sheet24">
    <tabColor theme="7" tint="-0.499984740745262"/>
  </sheetPr>
  <dimension ref="A1:H7"/>
  <sheetViews>
    <sheetView rightToLeft="1" workbookViewId="0">
      <pane ySplit="2" topLeftCell="A3" activePane="bottomLeft" state="frozen"/>
      <selection pane="bottomLeft" activeCell="D17" sqref="D17"/>
    </sheetView>
  </sheetViews>
  <sheetFormatPr defaultRowHeight="15"/>
  <cols>
    <col min="1" max="1" width="30.5703125" style="187" customWidth="1"/>
    <col min="2" max="2" width="0.7109375" style="187" customWidth="1"/>
    <col min="3" max="3" width="4.5703125" style="189" customWidth="1"/>
    <col min="4" max="4" width="18.28515625" style="189" customWidth="1"/>
    <col min="5" max="5" width="36.5703125" style="189" customWidth="1"/>
    <col min="6" max="6" width="28.5703125" style="189" customWidth="1"/>
    <col min="7" max="10" width="18.28515625" style="189" customWidth="1"/>
    <col min="11" max="11" width="61.5703125" style="189" customWidth="1"/>
    <col min="12" max="12" width="20.85546875" style="189" customWidth="1"/>
    <col min="13" max="13" width="28.7109375" style="189" customWidth="1"/>
    <col min="14" max="16384" width="9.140625" style="189"/>
  </cols>
  <sheetData>
    <row r="1" spans="1:8" s="186" customFormat="1" ht="21" customHeight="1">
      <c r="A1" s="184" t="s">
        <v>402</v>
      </c>
      <c r="B1" s="185"/>
      <c r="D1" s="338" t="s">
        <v>409</v>
      </c>
      <c r="E1" s="338"/>
      <c r="F1" s="171"/>
      <c r="G1" s="171"/>
      <c r="H1" s="171"/>
    </row>
    <row r="2" spans="1:8" s="186" customFormat="1" ht="3" customHeight="1">
      <c r="A2" s="187"/>
      <c r="B2" s="187"/>
    </row>
    <row r="3" spans="1:8" ht="18.75">
      <c r="A3" s="9" t="s">
        <v>8</v>
      </c>
      <c r="B3" s="188"/>
    </row>
    <row r="4" spans="1:8" ht="18.75">
      <c r="A4" s="15" t="s">
        <v>98</v>
      </c>
      <c r="D4" s="337" t="s">
        <v>403</v>
      </c>
      <c r="E4" s="337"/>
      <c r="F4" s="337"/>
    </row>
    <row r="5" spans="1:8">
      <c r="D5" s="190" t="s">
        <v>404</v>
      </c>
      <c r="E5" s="190" t="s">
        <v>40</v>
      </c>
      <c r="F5" s="190" t="s">
        <v>405</v>
      </c>
    </row>
    <row r="6" spans="1:8" ht="45">
      <c r="D6" s="191" t="s">
        <v>8</v>
      </c>
      <c r="E6" s="192" t="s">
        <v>406</v>
      </c>
      <c r="F6" s="192" t="s">
        <v>123</v>
      </c>
    </row>
    <row r="7" spans="1:8" ht="75">
      <c r="D7" s="191" t="s">
        <v>107</v>
      </c>
      <c r="E7" s="192" t="s">
        <v>407</v>
      </c>
      <c r="F7" s="192" t="s">
        <v>408</v>
      </c>
    </row>
  </sheetData>
  <mergeCells count="2">
    <mergeCell ref="D4:F4"/>
    <mergeCell ref="D1:E1"/>
  </mergeCells>
  <hyperlinks>
    <hyperlink ref="A3" location="فهرست!A1" display="فهرست" xr:uid="{00000000-0004-0000-1700-000000000000}"/>
    <hyperlink ref="A4" location="'جست و جو'!A1" display="جست و جو" xr:uid="{00000000-0004-0000-1700-000001000000}"/>
  </hyperlinks>
  <pageMargins left="0.7" right="0.7" top="0.75" bottom="0.75" header="0.3" footer="0.3"/>
  <pageSetup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58F9CD67-D4F6-4ED7-98AA-BB3246AF4D27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26</vt:i4>
      </vt:variant>
      <vt:variant>
        <vt:lpstr>Named Ranges</vt:lpstr>
      </vt:variant>
      <vt:variant>
        <vt:i4>38</vt:i4>
      </vt:variant>
    </vt:vector>
  </HeadingPairs>
  <TitlesOfParts>
    <vt:vector size="64" baseType="lpstr">
      <vt:lpstr>چک نویس</vt:lpstr>
      <vt:lpstr>فهرست</vt:lpstr>
      <vt:lpstr>تراکنش‌ها</vt:lpstr>
      <vt:lpstr>مدیریت وام و اقساط</vt:lpstr>
      <vt:lpstr>مدیریت چک‌ها</vt:lpstr>
      <vt:lpstr>مدیریت بدهی‌ها-طلب‌ها</vt:lpstr>
      <vt:lpstr>برنامه ریزی پرداخت‌ها</vt:lpstr>
      <vt:lpstr>تقویم</vt:lpstr>
      <vt:lpstr>گزارش فعالیت‌های ماه جاری</vt:lpstr>
      <vt:lpstr>گزارش دریافت‌ها</vt:lpstr>
      <vt:lpstr>گزارش پرداخت‌ها</vt:lpstr>
      <vt:lpstr>گزارش انتقال‌ها</vt:lpstr>
      <vt:lpstr>برنامه و بودجه بندی</vt:lpstr>
      <vt:lpstr>مدیریت زندگی در محیط اشتراکی</vt:lpstr>
      <vt:lpstr>مدیریت وسایل (مینیمالیست)</vt:lpstr>
      <vt:lpstr>گروه‌‌های درآمدی</vt:lpstr>
      <vt:lpstr>گزارش گروه‌های دریافتی</vt:lpstr>
      <vt:lpstr>گروه‌‌های (بابت‌ها) هزینه</vt:lpstr>
      <vt:lpstr>گزارش گروه‌های پرداختی</vt:lpstr>
      <vt:lpstr>گروه‌های انتقال</vt:lpstr>
      <vt:lpstr>گزارش گروه‌های انتقال</vt:lpstr>
      <vt:lpstr>جست و جو</vt:lpstr>
      <vt:lpstr>دریافت کنندگان - پرداخت کنندگان</vt:lpstr>
      <vt:lpstr>تنظیمات حساب</vt:lpstr>
      <vt:lpstr>تنظیمات دفترچه</vt:lpstr>
      <vt:lpstr>راهنما</vt:lpstr>
      <vt:lpstr>Accounts_and_ReceiversAndPayers_List</vt:lpstr>
      <vt:lpstr>TransactionMethodsList</vt:lpstr>
      <vt:lpstr>ارتباطات</vt:lpstr>
      <vt:lpstr>ایاب_و_ذهاب</vt:lpstr>
      <vt:lpstr>بهداشت_و_درمان</vt:lpstr>
      <vt:lpstr>بهداشت_و_نظافت_فردی</vt:lpstr>
      <vt:lpstr>بهداشت_و_نظافت_محیط</vt:lpstr>
      <vt:lpstr>بیمه</vt:lpstr>
      <vt:lpstr>پرداخت_اقساط</vt:lpstr>
      <vt:lpstr>پرداخت_هزینه</vt:lpstr>
      <vt:lpstr>پوشاک_و_کفش</vt:lpstr>
      <vt:lpstr>تشویقی‌ها_جوایز_و_عیدی‌ها</vt:lpstr>
      <vt:lpstr>حقوق</vt:lpstr>
      <vt:lpstr>خودرو</vt:lpstr>
      <vt:lpstr>خوراکی‌ها_و_آشامیدنی‌ها</vt:lpstr>
      <vt:lpstr>خیریه_و_امور_فرهنگی</vt:lpstr>
      <vt:lpstr>دخانیات</vt:lpstr>
      <vt:lpstr>درآمد_متفرقه</vt:lpstr>
      <vt:lpstr>دریافت_درآمد</vt:lpstr>
      <vt:lpstr>دریافت_رهن_و_اجاره</vt:lpstr>
      <vt:lpstr>دریافت_وام</vt:lpstr>
      <vt:lpstr>دستمزد</vt:lpstr>
      <vt:lpstr>دوچرخه</vt:lpstr>
      <vt:lpstr>زیورآلات_سرمایه</vt:lpstr>
      <vt:lpstr>زیورآلات_غیر‌سرمایه</vt:lpstr>
      <vt:lpstr>سرمایه‌گذاری</vt:lpstr>
      <vt:lpstr>سفر_و_گردش</vt:lpstr>
      <vt:lpstr>سود_سرمایه‌گذاری</vt:lpstr>
      <vt:lpstr>صورتحساب‌های_مسکن</vt:lpstr>
      <vt:lpstr>فراغت_و_سرگرمی</vt:lpstr>
      <vt:lpstr>کالای_خروجی</vt:lpstr>
      <vt:lpstr>کالای_ورودی</vt:lpstr>
      <vt:lpstr>مالیات</vt:lpstr>
      <vt:lpstr>مدرک_و_تحصیل</vt:lpstr>
      <vt:lpstr>منفعت_کسب</vt:lpstr>
      <vt:lpstr>هدیه</vt:lpstr>
      <vt:lpstr>ورزش</vt:lpstr>
      <vt:lpstr>یادگیری_و_توسعه_فردی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Saya Monem</dc:creator>
  <cp:lastModifiedBy>Saya Monem</cp:lastModifiedBy>
  <dcterms:created xsi:type="dcterms:W3CDTF">2021-06-20T04:07:24Z</dcterms:created>
  <dcterms:modified xsi:type="dcterms:W3CDTF">2021-12-28T08:36:03Z</dcterms:modified>
</cp:coreProperties>
</file>