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A5FAAA26-AE91-442C-B576-A5928AD89EF7}" xr6:coauthVersionLast="47" xr6:coauthVersionMax="47" xr10:uidLastSave="{00000000-0000-0000-0000-000000000000}"/>
  <bookViews>
    <workbookView xWindow="-120" yWindow="330" windowWidth="25440" windowHeight="15540" tabRatio="907" firstSheet="1" activeTab="2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1" l="1"/>
  <c r="L11" i="1"/>
  <c r="L9" i="1"/>
  <c r="L8" i="1"/>
  <c r="G19" i="3" l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G31" i="3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<sst xmlns="http://schemas.openxmlformats.org/spreadsheetml/2006/main" count="1809" uniqueCount="1193">
  <si>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</si>
  <si>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</si>
  <si>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</si>
  <si>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</si>
  <si>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</si>
  <si>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</si>
  <si>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</si>
  <si>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</si>
  <si>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</si>
  <si>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</si>
  <si>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</si>
  <si>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</si>
  <si>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</si>
  <si>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</si>
  <si>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</si>
  <si>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</si>
  <si>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</si>
  <si>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</si>
  <si>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</si>
  <si>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</si>
  <si>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</si>
  <si>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</si>
  <si>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</si>
  <si>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</si>
  <si>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</si>
  <si>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</si>
  <si>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</si>
  <si>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</si>
  <si>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</si>
  <si>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</si>
  <si>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</si>
  <si>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</si>
  <si>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</si>
  <si>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</si>
  <si>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</si>
  <si>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</si>
  <si>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</si>
  <si>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</si>
  <si>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</si>
  <si>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</si>
  <si>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</si>
  <si>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</si>
  <si>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</si>
  <si>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</si>
  <si>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</si>
  <si>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</si>
  <si>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</si>
  <si>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</si>
  <si>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</si>
  <si>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</si>
  <si>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</si>
  <si>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</si>
  <si>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</si>
  <si>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</si>
  <si>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</si>
  <si>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</si>
  <si>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</si>
  <si>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</si>
  <si>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</si>
  <si>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</si>
  <si>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</si>
  <si>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</si>
  <si>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</si>
  <si>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</si>
  <si>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</si>
  <si>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</si>
  <si>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</si>
  <si>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</si>
  <si>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</si>
  <si>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</si>
  <si>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</si>
  <si>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</si>
  <si>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</si>
  <si>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</si>
  <si>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</si>
  <si>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</si>
  <si>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</si>
  <si>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</si>
  <si>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</si>
  <si>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</si>
  <si>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</si>
  <si>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</si>
  <si>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</si>
  <si>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</si>
  <si>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</si>
  <si>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</si>
  <si>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</si>
  <si>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</si>
  <si>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</si>
  <si>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</si>
  <si>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</si>
  <si>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</si>
  <si>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</si>
  <si>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</si>
  <si>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</si>
  <si>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</si>
  <si>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</si>
  <si>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</si>
  <si>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</si>
  <si>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</si>
  <si>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</si>
  <si>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</si>
  <si>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</si>
  <si>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</si>
  <si>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</si>
  <si>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</si>
  <si>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</si>
  <si>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</si>
  <si>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</si>
  <si>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</si>
  <si>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</si>
  <si>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</si>
  <si>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</si>
  <si>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</si>
  <si>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</si>
  <si>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</si>
  <si>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</si>
  <si>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</si>
  <si>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</si>
  <si>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</si>
  <si>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</si>
  <si>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</si>
  <si>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</si>
  <si>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</si>
  <si>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</si>
  <si>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</si>
  <si>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</si>
  <si>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</si>
  <si>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</si>
  <si>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</si>
  <si>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</si>
  <si>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</si>
  <si>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</si>
  <si>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</si>
  <si>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</si>
  <si>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</si>
  <si>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</si>
  <si>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</si>
  <si>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</si>
  <si>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</si>
  <si>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</si>
  <si>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</si>
  <si>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</si>
  <si>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</si>
  <si>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</si>
  <si>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</si>
  <si>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</si>
  <si>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</si>
  <si>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</si>
  <si>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</si>
  <si>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</si>
  <si>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</si>
  <si>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</si>
  <si>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</si>
  <si>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</si>
  <si>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</si>
  <si>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</si>
  <si>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</si>
  <si>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</si>
  <si>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</si>
  <si>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</si>
  <si>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</si>
  <si>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</si>
  <si>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</si>
  <si>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</si>
  <si>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</si>
  <si>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</si>
  <si>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</si>
  <si>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</si>
  <si>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</si>
  <si>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</si>
  <si>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</si>
  <si>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</si>
  <si>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</si>
  <si>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</si>
  <si>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</si>
  <si>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</si>
  <si>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</si>
  <si>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</si>
  <si>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</si>
  <si>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</si>
  <si>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</si>
  <si>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</si>
  <si>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</si>
  <si>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</si>
  <si>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</si>
  <si>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</si>
  <si>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</si>
  <si>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</si>
  <si>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</si>
  <si>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</si>
  <si>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</si>
  <si>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</si>
  <si>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</si>
  <si>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</si>
  <si>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</si>
  <si>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</si>
  <si>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</si>
  <si>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</si>
  <si>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</si>
  <si>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</si>
  <si>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</si>
  <si>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</si>
  <si>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</si>
  <si>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</si>
  <si>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</si>
  <si>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</si>
  <si>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</si>
  <si>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</si>
  <si>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</si>
  <si>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</si>
  <si>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</si>
  <si>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</si>
  <si>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</si>
  <si>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</si>
  <si>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</si>
  <si>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</si>
  <si>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</si>
  <si>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</si>
  <si>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</si>
  <si>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</si>
  <si>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</si>
  <si>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</si>
  <si>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</si>
  <si>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</si>
  <si>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</si>
  <si>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</si>
  <si>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</si>
  <si>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</si>
  <si>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</si>
  <si>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</si>
  <si>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</si>
  <si>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</si>
  <si>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</si>
  <si>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</si>
  <si>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</si>
  <si>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</si>
  <si>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</si>
  <si>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</si>
  <si>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</si>
  <si>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</si>
  <si>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</si>
  <si>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</si>
  <si>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</si>
  <si>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</si>
  <si>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</si>
  <si>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</si>
  <si>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</si>
  <si>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</si>
  <si>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</si>
  <si>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</si>
  <si>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</si>
  <si>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</si>
  <si>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</si>
  <si>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</si>
  <si>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</si>
  <si>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</si>
  <si>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</si>
  <si>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</si>
  <si>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</si>
  <si>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</si>
  <si>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</si>
  <si>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</si>
  <si>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</si>
  <si>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</si>
  <si>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</si>
  <si>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</si>
  <si>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</si>
  <si>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</si>
  <si>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</si>
  <si>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</si>
  <si>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</si>
  <si>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</si>
  <si>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</si>
  <si>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</si>
  <si>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</si>
  <si>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</si>
  <si>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</si>
  <si>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</si>
  <si>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</si>
  <si>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</si>
  <si>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</si>
  <si>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</si>
  <si>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</si>
  <si>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</si>
  <si>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</si>
  <si>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</si>
  <si>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</si>
  <si>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</si>
  <si>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</si>
  <si>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</si>
  <si>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</si>
  <si>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</si>
  <si>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</si>
  <si>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</si>
  <si>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</si>
  <si>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</si>
  <si>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</si>
  <si>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</si>
  <si>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</si>
  <si>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</si>
  <si>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</si>
  <si>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</si>
  <si>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</si>
  <si>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</si>
  <si>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</si>
  <si>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</si>
  <si>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</si>
  <si>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</si>
  <si>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</si>
  <si>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</si>
  <si>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</si>
  <si>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</si>
  <si>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</si>
  <si>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</si>
  <si>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</si>
  <si>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 xml:space="preserve">مغازه </t>
  </si>
  <si>
    <t>جمع دریافتی</t>
  </si>
  <si>
    <t>جمع پرداختی</t>
  </si>
  <si>
    <t>مانده</t>
  </si>
  <si>
    <t>وضعیت فعلی</t>
  </si>
  <si>
    <t>cell</t>
  </si>
  <si>
    <t>=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</si>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</sst>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07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19" borderId="1" xfId="0" applyNumberFormat="1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49" fontId="8" fillId="19" borderId="1" xfId="0" applyNumberFormat="1" applyFont="1" applyFill="1" applyBorder="1" applyAlignment="1">
      <alignment horizontal="center" vertical="center"/>
    </xf>
    <xf numFmtId="0" fontId="8" fillId="19" borderId="1" xfId="0" applyNumberFormat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165" fontId="8" fillId="19" borderId="1" xfId="0" applyNumberFormat="1" applyFont="1" applyFill="1" applyBorder="1" applyAlignment="1">
      <alignment horizontal="center" vertical="center"/>
    </xf>
    <xf numFmtId="1" fontId="9" fillId="20" borderId="2" xfId="0" applyNumberFormat="1" applyFont="1" applyFill="1" applyBorder="1" applyAlignment="1">
      <alignment horizontal="center" vertical="center" wrapText="1" readingOrder="2"/>
    </xf>
    <xf numFmtId="0" fontId="9" fillId="20" borderId="2" xfId="0" applyFont="1" applyFill="1" applyBorder="1" applyAlignment="1">
      <alignment horizontal="center" vertical="center" wrapText="1" readingOrder="2"/>
    </xf>
    <xf numFmtId="166" fontId="9" fillId="20" borderId="2" xfId="0" applyNumberFormat="1" applyFont="1" applyFill="1" applyBorder="1" applyAlignment="1">
      <alignment horizontal="center" vertical="center" wrapText="1" readingOrder="2"/>
    </xf>
    <xf numFmtId="49" fontId="9" fillId="20" borderId="2" xfId="0" applyNumberFormat="1" applyFont="1" applyFill="1" applyBorder="1" applyAlignment="1">
      <alignment horizontal="center" vertical="center" wrapText="1" readingOrder="2"/>
    </xf>
    <xf numFmtId="0" fontId="9" fillId="20" borderId="2" xfId="0" applyNumberFormat="1" applyFont="1" applyFill="1" applyBorder="1" applyAlignment="1">
      <alignment horizontal="center" vertical="center" wrapText="1" readingOrder="2"/>
    </xf>
    <xf numFmtId="165" fontId="9" fillId="20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3" fillId="21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3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3" borderId="0" xfId="0" applyFill="1"/>
    <xf numFmtId="0" fontId="0" fillId="0" borderId="0" xfId="0" applyFill="1"/>
    <xf numFmtId="0" fontId="15" fillId="24" borderId="0" xfId="0" applyFont="1" applyFill="1" applyAlignment="1">
      <alignment horizontal="center" vertical="center" wrapText="1" readingOrder="2"/>
    </xf>
    <xf numFmtId="0" fontId="0" fillId="24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5" borderId="0" xfId="0" applyFont="1" applyFill="1" applyAlignment="1">
      <alignment horizontal="center" vertical="center" wrapText="1" readingOrder="2"/>
    </xf>
    <xf numFmtId="0" fontId="20" fillId="25" borderId="0" xfId="0" applyFont="1" applyFill="1"/>
    <xf numFmtId="0" fontId="0" fillId="25" borderId="0" xfId="0" applyFill="1"/>
    <xf numFmtId="0" fontId="13" fillId="26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9" borderId="0" xfId="0" applyFill="1"/>
    <xf numFmtId="169" fontId="23" fillId="29" borderId="0" xfId="0" applyNumberFormat="1" applyFont="1" applyFill="1" applyAlignment="1" applyProtection="1">
      <alignment horizontal="center" vertical="center"/>
    </xf>
    <xf numFmtId="0" fontId="21" fillId="29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9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9" borderId="0" xfId="0" applyFont="1" applyFill="1" applyAlignment="1" applyProtection="1">
      <alignment horizontal="center" vertical="center" wrapText="1" readingOrder="2"/>
    </xf>
    <xf numFmtId="0" fontId="20" fillId="29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9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0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9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9" borderId="0" xfId="0" applyFont="1" applyFill="1" applyProtection="1"/>
    <xf numFmtId="0" fontId="0" fillId="29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31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4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31" borderId="0" xfId="0" applyFont="1" applyFill="1" applyProtection="1"/>
    <xf numFmtId="170" fontId="0" fillId="29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31" borderId="0" xfId="0" applyNumberFormat="1" applyFont="1" applyFill="1" applyAlignment="1" applyProtection="1">
      <protection locked="0"/>
    </xf>
    <xf numFmtId="0" fontId="32" fillId="31" borderId="0" xfId="0" applyFont="1" applyFill="1" applyProtection="1"/>
    <xf numFmtId="0" fontId="0" fillId="31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70" fontId="0" fillId="14" borderId="0" xfId="0" applyNumberFormat="1" applyFill="1" applyAlignment="1" applyProtection="1">
      <alignment horizontal="center" vertical="center" readingOrder="2"/>
      <protection locked="0"/>
    </xf>
    <xf numFmtId="3" fontId="0" fillId="31" borderId="0" xfId="0" applyNumberFormat="1" applyFill="1" applyProtection="1">
      <protection locked="0"/>
    </xf>
    <xf numFmtId="49" fontId="0" fillId="31" borderId="0" xfId="0" applyNumberFormat="1" applyFill="1" applyProtection="1">
      <protection locked="0"/>
    </xf>
    <xf numFmtId="170" fontId="0" fillId="31" borderId="0" xfId="0" applyNumberFormat="1" applyFill="1" applyAlignment="1" applyProtection="1">
      <protection locked="0"/>
    </xf>
    <xf numFmtId="0" fontId="0" fillId="29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31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22" fillId="24" borderId="0" xfId="0" applyFont="1" applyFill="1" applyAlignment="1">
      <alignment horizontal="center" vertical="center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5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30" borderId="0" xfId="1" applyFont="1" applyFill="1" applyBorder="1" applyAlignment="1" applyProtection="1">
      <alignment horizontal="center" vertical="center" wrapText="1"/>
    </xf>
    <xf numFmtId="0" fontId="18" fillId="27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8" borderId="0" xfId="0" applyFont="1" applyFill="1" applyAlignment="1" applyProtection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/>
    </xf>
    <xf numFmtId="0" fontId="7" fillId="21" borderId="0" xfId="0" applyFont="1" applyFill="1" applyAlignment="1" applyProtection="1">
      <alignment horizontal="center" vertical="center" wrapText="1"/>
    </xf>
    <xf numFmtId="0" fontId="0" fillId="29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 wrapText="1" readingOrder="2"/>
    </xf>
    <xf numFmtId="49" fontId="0" fillId="34" borderId="0" xfId="0" applyNumberFormat="1" applyFill="1" applyAlignment="1">
      <alignment horizontal="center" vertical="center" wrapText="1" readingOrder="2"/>
    </xf>
    <xf numFmtId="3" fontId="0" fillId="34" borderId="0" xfId="0" applyNumberFormat="1" applyFill="1" applyAlignment="1">
      <alignment horizontal="center" vertical="center" wrapText="1" readingOrder="2"/>
    </xf>
    <xf numFmtId="165" fontId="18" fillId="34" borderId="0" xfId="0" applyNumberFormat="1" applyFont="1" applyFill="1" applyAlignment="1">
      <alignment horizontal="center" vertical="center" wrapText="1" readingOrder="2"/>
    </xf>
    <xf numFmtId="0" fontId="0" fillId="34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9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31" borderId="0" xfId="0" applyFont="1" applyFill="1" applyAlignment="1" applyProtection="1">
      <alignment horizontal="right" vertical="center" readingOrder="2"/>
    </xf>
    <xf numFmtId="0" fontId="5" fillId="31" borderId="0" xfId="0" applyFont="1" applyFill="1" applyAlignment="1">
      <alignment horizontal="center"/>
    </xf>
    <xf numFmtId="0" fontId="5" fillId="31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1" borderId="0" xfId="0" applyFont="1" applyFill="1" applyAlignment="1">
      <alignment horizontal="right" vertical="center" wrapText="1" readingOrder="2"/>
    </xf>
    <xf numFmtId="49" fontId="0" fillId="31" borderId="0" xfId="0" applyNumberFormat="1" applyFill="1"/>
    <xf numFmtId="3" fontId="0" fillId="31" borderId="0" xfId="0" applyNumberFormat="1" applyFill="1"/>
    <xf numFmtId="165" fontId="0" fillId="31" borderId="0" xfId="0" applyNumberFormat="1" applyFill="1"/>
    <xf numFmtId="0" fontId="0" fillId="31" borderId="0" xfId="0" applyFill="1" applyAlignment="1">
      <alignment horizontal="center" vertical="center" wrapText="1" readingOrder="2"/>
    </xf>
    <xf numFmtId="0" fontId="2" fillId="31" borderId="0" xfId="1" applyFill="1" applyAlignment="1">
      <alignment horizontal="center" vertical="center" wrapText="1" readingOrder="2"/>
    </xf>
    <xf numFmtId="3" fontId="0" fillId="31" borderId="0" xfId="0" applyNumberFormat="1" applyFill="1" applyAlignment="1">
      <alignment horizontal="center" vertical="center" wrapText="1" readingOrder="2"/>
    </xf>
    <xf numFmtId="49" fontId="0" fillId="31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5" fillId="12" borderId="31" xfId="0" applyFont="1" applyFill="1" applyBorder="1" applyAlignment="1" applyProtection="1">
      <alignment horizontal="center" vertical="center" wrapText="1" readingOrder="2"/>
    </xf>
    <xf numFmtId="0" fontId="5" fillId="12" borderId="11" xfId="0" applyFont="1" applyFill="1" applyBorder="1" applyAlignment="1" applyProtection="1">
      <alignment horizontal="center" vertical="center" wrapText="1" readingOrder="2"/>
    </xf>
    <xf numFmtId="0" fontId="5" fillId="12" borderId="32" xfId="0" applyFont="1" applyFill="1" applyBorder="1" applyAlignment="1" applyProtection="1">
      <alignment horizontal="center" vertical="center" wrapText="1" readingOrder="2"/>
    </xf>
    <xf numFmtId="0" fontId="0" fillId="5" borderId="0" xfId="0" applyFill="1"/>
    <xf numFmtId="0" fontId="8" fillId="5" borderId="31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30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30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5" borderId="0" xfId="0" applyFill="1"/>
    <xf numFmtId="0" fontId="1" fillId="35" borderId="30" xfId="0" applyFont="1" applyFill="1" applyBorder="1" applyAlignment="1">
      <alignment horizontal="center" vertical="center" wrapText="1"/>
    </xf>
    <xf numFmtId="0" fontId="0" fillId="36" borderId="0" xfId="0" applyFill="1"/>
    <xf numFmtId="0" fontId="0" fillId="36" borderId="0" xfId="0" applyFont="1" applyFill="1" applyAlignment="1" applyProtection="1">
      <alignment horizontal="center" vertical="center" wrapText="1" readingOrder="2"/>
    </xf>
    <xf numFmtId="49" fontId="0" fillId="36" borderId="0" xfId="0" applyNumberFormat="1" applyFont="1" applyFill="1" applyAlignment="1" applyProtection="1">
      <alignment horizontal="center" vertical="center" wrapText="1" readingOrder="2"/>
    </xf>
    <xf numFmtId="0" fontId="18" fillId="36" borderId="0" xfId="0" applyFont="1" applyFill="1" applyAlignment="1" applyProtection="1">
      <alignment horizontal="center" vertical="center" wrapText="1" readingOrder="2"/>
    </xf>
    <xf numFmtId="0" fontId="0" fillId="36" borderId="0" xfId="0" applyNumberFormat="1" applyFont="1" applyFill="1" applyAlignment="1" applyProtection="1">
      <alignment horizontal="center" vertical="center" wrapText="1" readingOrder="2"/>
    </xf>
    <xf numFmtId="0" fontId="5" fillId="36" borderId="31" xfId="0" applyFont="1" applyFill="1" applyBorder="1" applyAlignment="1">
      <alignment horizontal="right"/>
    </xf>
    <xf numFmtId="0" fontId="5" fillId="36" borderId="11" xfId="0" applyFont="1" applyFill="1" applyBorder="1" applyAlignment="1">
      <alignment horizontal="right"/>
    </xf>
    <xf numFmtId="0" fontId="5" fillId="36" borderId="32" xfId="0" applyFont="1" applyFill="1" applyBorder="1" applyAlignment="1">
      <alignment horizontal="right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9" borderId="0" xfId="1" applyFont="1" applyFill="1" applyAlignment="1">
      <alignment horizontal="center" vertical="center" wrapText="1" readingOrder="2"/>
    </xf>
    <xf numFmtId="49" fontId="1" fillId="34" borderId="0" xfId="0" applyNumberFormat="1" applyFont="1" applyFill="1" applyBorder="1" applyAlignment="1">
      <alignment horizontal="center" vertical="center" wrapText="1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Alignment="1">
      <alignment horizontal="center" vertical="center" wrapText="1" readingOrder="2"/>
    </xf>
    <xf numFmtId="170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4" borderId="0" xfId="0" applyNumberFormat="1" applyFont="1" applyFill="1" applyBorder="1" applyAlignment="1">
      <alignment horizontal="center" vertical="center" wrapText="1"/>
    </xf>
    <xf numFmtId="0" fontId="0" fillId="34" borderId="0" xfId="0" applyFill="1" applyAlignment="1" applyProtection="1">
      <alignment horizontal="center" vertical="center" wrapText="1" readingOrder="2"/>
      <protection locked="0"/>
    </xf>
    <xf numFmtId="0" fontId="0" fillId="34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31" borderId="0" xfId="0" applyNumberFormat="1" applyFill="1" applyAlignment="1">
      <alignment horizontal="center" vertical="center"/>
    </xf>
    <xf numFmtId="49" fontId="0" fillId="31" borderId="0" xfId="0" applyNumberFormat="1" applyFill="1" applyAlignment="1">
      <alignment horizontal="center" vertical="center"/>
    </xf>
    <xf numFmtId="3" fontId="0" fillId="31" borderId="0" xfId="0" applyNumberFormat="1" applyFill="1" applyAlignment="1" applyProtection="1">
      <alignment horizontal="center" vertical="center" wrapText="1" readingOrder="2"/>
      <protection locked="0"/>
    </xf>
    <xf numFmtId="49" fontId="0" fillId="31" borderId="0" xfId="0" applyNumberFormat="1" applyFill="1" applyAlignment="1" applyProtection="1">
      <alignment horizontal="center" vertical="center" wrapText="1" readingOrder="2"/>
      <protection locked="0"/>
    </xf>
    <xf numFmtId="165" fontId="0" fillId="31" borderId="0" xfId="0" applyNumberFormat="1" applyFill="1" applyAlignment="1" applyProtection="1">
      <alignment horizontal="center" vertical="center" wrapText="1" readingOrder="2"/>
      <protection locked="0"/>
    </xf>
    <xf numFmtId="165" fontId="0" fillId="31" borderId="0" xfId="0" applyNumberFormat="1" applyFill="1" applyAlignment="1" applyProtection="1">
      <alignment horizontal="center" vertical="center" wrapText="1" readingOrder="2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31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4" borderId="0" xfId="1" applyNumberFormat="1" applyFont="1" applyFill="1" applyBorder="1" applyAlignment="1" applyProtection="1">
      <alignment horizontal="center" vertical="center" wrapText="1" readingOrder="2"/>
    </xf>
    <xf numFmtId="0" fontId="5" fillId="26" borderId="0" xfId="1" applyFont="1" applyFill="1" applyAlignment="1">
      <alignment horizontal="center" vertical="center" wrapText="1" readingOrder="2"/>
    </xf>
    <xf numFmtId="0" fontId="5" fillId="33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6" borderId="0" xfId="1" applyFont="1" applyFill="1" applyAlignment="1">
      <alignment horizontal="center" vertical="center" wrapText="1" readingOrder="2"/>
    </xf>
    <xf numFmtId="0" fontId="8" fillId="33" borderId="0" xfId="1" applyFont="1" applyFill="1" applyAlignment="1">
      <alignment horizontal="center" vertical="center" wrapText="1" readingOrder="2"/>
    </xf>
    <xf numFmtId="49" fontId="8" fillId="34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7" borderId="0" xfId="0" applyFont="1" applyFill="1" applyAlignment="1" applyProtection="1">
      <alignment horizontal="center" vertical="center"/>
    </xf>
    <xf numFmtId="165" fontId="8" fillId="37" borderId="0" xfId="0" applyNumberFormat="1" applyFont="1" applyFill="1" applyAlignment="1" applyProtection="1">
      <alignment horizontal="center" vertical="center" wrapText="1" readingOrder="2"/>
    </xf>
    <xf numFmtId="0" fontId="8" fillId="23" borderId="0" xfId="0" applyFont="1" applyFill="1" applyAlignment="1" applyProtection="1">
      <alignment horizontal="center" vertical="center"/>
    </xf>
    <xf numFmtId="165" fontId="8" fillId="23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9" borderId="0" xfId="0" applyNumberFormat="1" applyFont="1" applyFill="1" applyAlignment="1" applyProtection="1">
      <alignment horizontal="center" vertical="center"/>
    </xf>
    <xf numFmtId="165" fontId="35" fillId="39" borderId="0" xfId="0" applyNumberFormat="1" applyFont="1" applyFill="1" applyAlignment="1" applyProtection="1">
      <alignment horizontal="center" vertical="center" wrapText="1" readingOrder="2"/>
    </xf>
    <xf numFmtId="0" fontId="35" fillId="38" borderId="0" xfId="0" applyNumberFormat="1" applyFont="1" applyFill="1" applyAlignment="1" applyProtection="1">
      <alignment horizontal="center" vertical="center"/>
    </xf>
    <xf numFmtId="165" fontId="35" fillId="38" borderId="0" xfId="0" applyNumberFormat="1" applyFont="1" applyFill="1" applyAlignment="1" applyProtection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413" dataDxfId="412">
  <autoFilter ref="A7:O507" xr:uid="{00000000-0009-0000-0100-000003000000}"/>
  <tableColumns count="15">
    <tableColumn id="1" xr3:uid="{00000000-0010-0000-0000-000001000000}" name="ردیف" dataDxfId="151"/>
    <tableColumn id="2" xr3:uid="{00000000-0010-0000-0000-000002000000}" name="افراد (اعضا)" dataDxfId="150"/>
    <tableColumn id="4" xr3:uid="{00000000-0010-0000-0000-000004000000}" name="تاریخ" dataDxfId="149"/>
    <tableColumn id="5" xr3:uid="{00000000-0010-0000-0000-000005000000}" name="عنوان" dataDxfId="148"/>
    <tableColumn id="14" xr3:uid="{00000000-0010-0000-0000-00000E000000}" name="تراکنش" dataDxfId="147"/>
    <tableColumn id="6" xr3:uid="{00000000-0010-0000-0000-000006000000}" name="گروه (درآمد/هزینه)" dataDxfId="146"/>
    <tableColumn id="7" xr3:uid="{00000000-0010-0000-0000-000007000000}" name="زیر گروه" dataDxfId="145"/>
    <tableColumn id="3" xr3:uid="{00000000-0010-0000-0000-000003000000}" name="روش تراکنش" dataDxfId="144"/>
    <tableColumn id="8" xr3:uid="{00000000-0010-0000-0000-000008000000}" name="مبلغ (ریال)" dataDxfId="143"/>
    <tableColumn id="9" xr3:uid="{00000000-0010-0000-0000-000009000000}" name="پرداخت کننده" dataDxfId="142"/>
    <tableColumn id="10" xr3:uid="{00000000-0010-0000-0000-00000A000000}" name="دریافت کننده" dataDxfId="140"/>
    <tableColumn id="11" xr3:uid="{00000000-0010-0000-0000-00000B000000}" name="مانده حساب‌ها" dataDxfId="141" dataCellStyle="Currency"/>
    <tableColumn id="12" xr3:uid="{00000000-0010-0000-0000-00000C000000}" name="نوع خرج" dataDxfId="411"/>
    <tableColumn id="15" xr3:uid="{4A742D53-882D-4974-9212-3DA7AF7ECBB0}" name="لینک رسید" dataDxfId="0"/>
    <tableColumn id="13" xr3:uid="{00000000-0010-0000-0000-00000D000000}" name="ملاحظات" dataDxfId="4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409" dataDxfId="408" totalsRowDxfId="407">
  <autoFilter ref="D2:K30" xr:uid="{42DADA0B-0B6E-471B-8179-A8983A9B7F20}"/>
  <tableColumns count="8">
    <tableColumn id="7" xr3:uid="{46F43D95-9902-48AB-884C-F451DC2D7FAD}" name="نوع" dataDxfId="233" totalsRowDxfId="56"/>
    <tableColumn id="1" xr3:uid="{DD414367-F788-4733-BEA6-377AEC32C3FF}" name="عنوان" totalsRowLabel="مانده:" dataDxfId="232" totalsRowDxfId="55"/>
    <tableColumn id="4" xr3:uid="{134980A4-4BA6-499B-B1F0-88F36A6CD787}" name="اهمیت" dataDxfId="231" totalsRowDxfId="54"/>
    <tableColumn id="2" xr3:uid="{F1FA2425-CBFB-4F05-8BD4-1DF8DC85BFF4}" name="مبلغ بودجه (ریال)" totalsRowFunction="sum" dataDxfId="230" totalsRowDxfId="53"/>
    <tableColumn id="6" xr3:uid="{89994E85-8B50-411A-87FD-D9E3D61DE5CD}" name="عملیات و تاریخ  مقرر " dataDxfId="229" totalsRowDxfId="52"/>
    <tableColumn id="3" xr3:uid="{5769A98B-C5B5-403D-BB77-C90472D5BF72}" name="ملاحظات" dataDxfId="228" totalsRowDxfId="51"/>
    <tableColumn id="9" xr3:uid="{CAB497DF-1678-41B3-8376-86B9A08D3445}" name="وضعیت عملیات" dataDxfId="227" totalsRowDxfId="50"/>
    <tableColumn id="5" xr3:uid="{182B9E66-EE1A-44DE-B4B4-F623AD05F6F8}" name="لینک رسید و تاریخ عملیات" dataDxfId="226" totalsRowDxfId="49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406" dataDxfId="405" totalsRowDxfId="404">
  <autoFilter ref="D2:K7" xr:uid="{2AED775E-0580-4586-9DD7-1307A295C19A}"/>
  <tableColumns count="8">
    <tableColumn id="1" xr3:uid="{C6B1C087-18D2-4286-906F-B33A7B1F3A07}" name="ردیف" totalsRowLabel="Total" dataDxfId="243" totalsRowDxfId="64"/>
    <tableColumn id="2" xr3:uid="{C66CC0FB-71CE-4604-9CCE-83F8274F9FDE}" name="تاریخ" dataDxfId="242" totalsRowDxfId="63"/>
    <tableColumn id="3" xr3:uid="{F65E6844-8F46-4532-A822-05752BCB35D3}" name="بابت" dataDxfId="241" totalsRowDxfId="62"/>
    <tableColumn id="4" xr3:uid="{44B522F5-C660-407E-B343-594A19F54E50}" name="مبلغ (ریال)" totalsRowFunction="sum" dataDxfId="240" totalsRowDxfId="61"/>
    <tableColumn id="15" xr3:uid="{EF2F91E4-B493-4D1D-A280-C7E4262BA70B}" name="پرداخت کننده" dataDxfId="239" totalsRowDxfId="60"/>
    <tableColumn id="5" xr3:uid="{981E60EF-5ABE-44B1-BAC8-AF37CEDEBBC1}" name="دریافت کننده" dataDxfId="238" totalsRowDxfId="59"/>
    <tableColumn id="6" xr3:uid="{01F8159F-C048-413D-A233-C70050BAA01C}" name="رسید تراکنش" dataDxfId="237" totalsRowDxfId="58"/>
    <tableColumn id="12" xr3:uid="{E1A50250-48F8-4972-927C-843E1BF519D4}" name="ملاحظات" dataDxfId="236" totalsRowDxfId="57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403" dataDxfId="402" totalsRowDxfId="401">
  <autoFilter ref="M2:T17" xr:uid="{C6BFB907-AF34-4120-8643-C3F3C34D3FF0}"/>
  <tableColumns count="8">
    <tableColumn id="7" xr3:uid="{906DA9B9-89A5-4F98-AA00-A40DFF1D5937}" name="نوع" dataDxfId="400" totalsRowDxfId="204"/>
    <tableColumn id="1" xr3:uid="{32880057-5030-4F5C-9869-8DA0742F486E}" name="عنوان" totalsRowLabel="مانده:" dataDxfId="399" totalsRowDxfId="203"/>
    <tableColumn id="4" xr3:uid="{1B540053-4F04-4C5C-989F-2285DB78C91F}" name="اهمیت" dataDxfId="398" totalsRowDxfId="202"/>
    <tableColumn id="2" xr3:uid="{BA17F4B4-9221-4B24-B220-3D62409234D6}" name="مبلغ بودجه (ریال)" totalsRowFunction="sum" dataDxfId="397" totalsRowDxfId="201"/>
    <tableColumn id="6" xr3:uid="{08546F04-4128-43DC-BD81-70F8F2954FB6}" name="عملیات و تاریخ  مقرر " dataDxfId="396" totalsRowDxfId="200"/>
    <tableColumn id="3" xr3:uid="{03534C5D-3CFA-454E-9637-DA321D548A3B}" name="ملاحظات" dataDxfId="395" totalsRowDxfId="199"/>
    <tableColumn id="9" xr3:uid="{4D6F3F09-8DBB-4F13-8572-898CD150F6E6}" name="وضعیت عملیات" dataDxfId="394" totalsRowDxfId="198"/>
    <tableColumn id="5" xr3:uid="{16061E04-BB85-4A80-AF2A-8C776F386F37}" name="لینک رسید و تاریخ عملیات" dataDxfId="393" totalsRowDxfId="197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101" dataDxfId="100">
  <autoFilter ref="D2:N9" xr:uid="{8DB423BC-62BB-4963-BB3C-71D63DEF414D}"/>
  <tableColumns count="11">
    <tableColumn id="1" xr3:uid="{D2FB81D8-053F-4C66-9D84-FFE500D8CAB6}" name="ردیف" totalsRowLabel="Total" dataDxfId="98" totalsRowDxfId="99"/>
    <tableColumn id="2" xr3:uid="{9B68868D-C629-43FE-9F5F-2930D4BFCD02}" name="تاریخ" dataDxfId="96" totalsRowDxfId="97"/>
    <tableColumn id="3" xr3:uid="{E5A08DB4-721E-450F-925D-B83AA74A5AFF}" name="دسته کالا" dataDxfId="94" totalsRowDxfId="95"/>
    <tableColumn id="5" xr3:uid="{FFD140E2-1299-4416-A05A-79F9C1455A1E}" name="شرح کالا" dataDxfId="92" totalsRowDxfId="93"/>
    <tableColumn id="12" xr3:uid="{E4D049D9-EE8A-4F8C-BBC0-19B3D7BCD719}" name="تعداد کالا" totalsRowFunction="sum" dataDxfId="90" totalsRowDxfId="91"/>
    <tableColumn id="6" xr3:uid="{28CEB1B7-CAB8-4D1D-ABA9-24E08D8E0821}" name="کالای ورود | خروج" dataDxfId="88" totalsRowDxfId="89"/>
    <tableColumn id="7" xr3:uid="{0A166D41-6596-44C1-9C0E-85DF28A76133}" name="دسته کالای ورود | خروج" dataDxfId="86" totalsRowDxfId="87"/>
    <tableColumn id="8" xr3:uid="{164E1C31-5F59-4D0C-B773-FEB3D7537769}" name="تحویل دهنده کالا" dataDxfId="84" totalsRowDxfId="85"/>
    <tableColumn id="9" xr3:uid="{A258D195-EE18-4B39-AA84-B7390B1A7211}" name="تحویل گیرنده کالا" dataDxfId="82" totalsRowDxfId="83"/>
    <tableColumn id="10" xr3:uid="{8B06EF76-3B64-47B4-8E58-15E598B43F9A}" name="ملاحظات" dataDxfId="80" totalsRowDxfId="81"/>
    <tableColumn id="11" xr3:uid="{A3B7F579-86BE-46C5-922E-55BF4C6801B1}" name="لینک تصویر کالا" totalsRowFunction="count" dataDxfId="78" totalsRowDxfId="79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244" dataDxfId="117">
  <autoFilter ref="AD2:AJ5" xr:uid="{9C6741DB-820C-48D8-A4F1-631BBF62AB22}"/>
  <tableColumns count="7">
    <tableColumn id="1" xr3:uid="{FE981FEE-7B34-4C41-BB5C-3A492E83AA59}" name="ردیف" dataDxfId="124"/>
    <tableColumn id="2" xr3:uid="{691DD8C5-6635-4E35-85AC-F7C7849B153B}" name="دسته کالا" dataDxfId="123"/>
    <tableColumn id="4" xr3:uid="{167D085D-FA38-4DD2-AA50-CC8B010FC32D}" name="شرح کالا" dataDxfId="122"/>
    <tableColumn id="5" xr3:uid="{57462AF5-D433-4BDE-9FF0-898C9DAD082F}" name="شرح عیب کالا" dataDxfId="121"/>
    <tableColumn id="6" xr3:uid="{0E0C789A-526E-47F3-9848-CE636158E165}" name="ملاحظات رفع عیب" dataDxfId="120"/>
    <tableColumn id="7" xr3:uid="{AF0701CC-B3F1-466F-8A02-664E27D309D8}" name="وضعیت تعمیر کالا" dataDxfId="119"/>
    <tableColumn id="8" xr3:uid="{FCA6FA39-0DBA-4E4C-B2A7-04766611A2BC}" name="ملاحظات مالی" dataDxfId="118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116" dataDxfId="115">
  <autoFilter ref="P2:AB7" xr:uid="{C47851D2-206E-4057-A100-426D8D29EEB5}"/>
  <tableColumns count="13">
    <tableColumn id="1" xr3:uid="{B855F12E-7BDB-4261-82D9-A160AEA015E1}" name="ردیف" totalsRowLabel="Total" dataDxfId="114" totalsRowDxfId="77"/>
    <tableColumn id="2" xr3:uid="{33AEF0AB-9504-4368-BF02-97877CF44A6F}" name="دسته کالا" dataDxfId="113" totalsRowDxfId="76"/>
    <tableColumn id="4" xr3:uid="{693D8667-265A-4A6C-B516-DABC6F5B1899}" name="شرح کالا" dataDxfId="112" totalsRowDxfId="75"/>
    <tableColumn id="5" xr3:uid="{BB513177-840D-4318-B844-94FD9F02C9E6}" name="اهمیت" dataDxfId="111" totalsRowDxfId="74"/>
    <tableColumn id="9" xr3:uid="{407821B9-53EA-419D-A5FF-69312E111FF9}" name="دلیل خرید" dataDxfId="110" totalsRowDxfId="73"/>
    <tableColumn id="16" xr3:uid="{D7F0D13C-92BF-4C32-9C04-3BB836883F86}" name="تعداد" totalsRowFunction="sum" dataDxfId="109" totalsRowDxfId="72"/>
    <tableColumn id="15" xr3:uid="{4A29B0AE-5409-4155-A332-F4DFEF442C6D}" name="قیمت واحد" dataDxfId="108" totalsRowDxfId="71"/>
    <tableColumn id="6" xr3:uid="{6372E0F9-EEA7-4DB4-8B95-3A697436E920}" name="قیمت کل" dataDxfId="107" totalsRowDxfId="70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106" totalsRowDxfId="69"/>
    <tableColumn id="8" xr3:uid="{E8CBCD21-AAE9-48BC-AEAD-E077DB19C075}" name="مانده تا هدف" dataDxfId="105" totalsRowDxfId="68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104" totalsRowDxfId="67"/>
    <tableColumn id="11" xr3:uid="{84E0A9EA-CFFF-4868-B9AF-C14B482636C2}" name="وضعیت تهیه کالا" dataDxfId="103" totalsRowDxfId="66"/>
    <tableColumn id="12" xr3:uid="{962B53C8-D2E6-4D79-BD41-2E6E572B3AE6}" name="ملاحظات" dataDxfId="102" totalsRowDxfId="65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92" dataDxfId="391">
  <autoFilter ref="A4:B12" xr:uid="{00000000-0009-0000-0100-00000A000000}"/>
  <tableColumns count="2">
    <tableColumn id="1" xr3:uid="{00000000-0010-0000-0100-000001000000}" name="کد گروه درآمدی" dataDxfId="390"/>
    <tableColumn id="2" xr3:uid="{00000000-0010-0000-0100-000002000000}" name="نام گروه درآمد" dataDxfId="389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88" dataDxfId="387">
  <autoFilter ref="F5:F6" xr:uid="{00000000-0009-0000-0100-00000B000000}"/>
  <tableColumns count="1">
    <tableColumn id="1" xr3:uid="{00000000-0010-0000-0200-000001000000}" name="دستمزد" dataDxfId="38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85" dataDxfId="384">
  <autoFilter ref="H5:H6" xr:uid="{00000000-0009-0000-0100-00000C000000}"/>
  <tableColumns count="1">
    <tableColumn id="1" xr3:uid="{00000000-0010-0000-0300-000001000000}" name="منفعت کسب" dataDxfId="38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82" dataDxfId="381">
  <autoFilter ref="J5:J6" xr:uid="{00000000-0009-0000-0100-00000D000000}"/>
  <tableColumns count="1">
    <tableColumn id="1" xr3:uid="{00000000-0010-0000-0400-000001000000}" name="سود سرمایه‌گذاری" dataDxfId="38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79" dataDxfId="378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77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76" dataDxfId="375">
  <autoFilter ref="N5:N6" xr:uid="{00000000-0009-0000-0100-000010000000}"/>
  <tableColumns count="1">
    <tableColumn id="1" xr3:uid="{00000000-0010-0000-0600-000001000000}" name="دریافت رهن و اجاره" dataDxfId="374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73" dataDxfId="372">
  <autoFilter ref="P5:P6" xr:uid="{00000000-0009-0000-0100-000011000000}"/>
  <tableColumns count="1">
    <tableColumn id="1" xr3:uid="{00000000-0010-0000-0700-000001000000}" name="دریافت وام" dataDxfId="371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70" dataDxfId="369">
  <autoFilter ref="R5:R6" xr:uid="{00000000-0009-0000-0100-000012000000}"/>
  <tableColumns count="1">
    <tableColumn id="1" xr3:uid="{00000000-0010-0000-0800-000001000000}" name="درآمد متفرقه" dataDxfId="368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67" dataDxfId="366">
  <autoFilter ref="D5:D6" xr:uid="{00000000-0009-0000-0100-00002A000000}"/>
  <tableColumns count="1">
    <tableColumn id="1" xr3:uid="{00000000-0010-0000-0900-000001000000}" name="حقوق" dataDxfId="36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64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63"/>
    <tableColumn id="2" xr3:uid="{00000000-0010-0000-0A00-000002000000}" name="نام گروه هزینه" dataDxfId="362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61" dataDxfId="360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59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58" dataDxfId="357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5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55" dataDxfId="354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53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52" dataDxfId="351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50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49" dataDxfId="348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47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46" dataDxfId="345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4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43" dataDxfId="342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41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40" dataDxfId="339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33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337" dataDxfId="336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335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334" dataDxfId="333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332"/>
  </tableColumns>
  <tableStyleInfo name="TableStyleMedium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331" dataDxfId="330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329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328" dataDxfId="327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326"/>
  </tableColumns>
  <tableStyleInfo name="TableStyleMedium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325" dataDxfId="324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32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322" dataDxfId="321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32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319" dataDxfId="318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317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316" dataDxfId="315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31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313" dataDxfId="312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311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310" dataDxfId="309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308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307" dataDxfId="306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305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304" dataDxfId="303">
  <autoFilter ref="AP4:AP8" xr:uid="{00000000-0009-0000-0100-000025000000}"/>
  <tableColumns count="1">
    <tableColumn id="1" xr3:uid="{00000000-0010-0000-1E00-000001000000}" name="مالیات" dataDxfId="30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301" dataDxfId="300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99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98" dataDxfId="297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96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95" dataDxfId="294">
  <autoFilter ref="AV4:AV11" xr:uid="{00000000-0009-0000-0100-000028000000}"/>
  <tableColumns count="1">
    <tableColumn id="1" xr3:uid="{00000000-0010-0000-2100-000001000000}" name="هدیه و کادو" dataDxfId="293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92" dataDxfId="291">
  <autoFilter ref="AX4:AX7" xr:uid="{00000000-0009-0000-0100-000029000000}"/>
  <tableColumns count="1">
    <tableColumn id="1" xr3:uid="{00000000-0010-0000-2200-000001000000}" name="یادگیری و توسعه فردی" dataDxfId="290"/>
  </tableColumns>
  <tableStyleInfo name="TableStyleMedium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74" dataDxfId="173">
  <autoFilter ref="D3:D18" xr:uid="{282954C5-616F-485C-A314-4D9D555112CE}"/>
  <tableColumns count="1">
    <tableColumn id="1" xr3:uid="{4F5516FC-A919-4D2F-9080-341CCE3046E2}" name="Accounts_Receivers_Payers" dataDxfId="175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71" dataDxfId="170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72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68" dataDxfId="167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69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89" dataDxfId="288">
  <autoFilter ref="D3:L4" xr:uid="{48C55AA4-F37D-4D99-BE2B-B1221861617E}"/>
  <tableColumns count="9">
    <tableColumn id="6" xr3:uid="{68E8881D-1F0D-41F5-8C5D-764D3CBD2FD0}" name="ID" dataDxfId="287"/>
    <tableColumn id="1" xr3:uid="{2F87ECEC-D557-47DE-89F2-D88E134F34F1}" name="افراد" dataDxfId="286"/>
    <tableColumn id="2" xr3:uid="{85475129-5B44-4EA7-938C-C7F633C408DC}" name="کد ملی" dataDxfId="285"/>
    <tableColumn id="3" xr3:uid="{AE0E4825-4DF9-4EF2-A007-8D15688BCB78}" name="شماره تماس" dataDxfId="284"/>
    <tableColumn id="4" xr3:uid="{6557281E-E601-4363-A5E8-D3F55F24CFFF}" name="آدرس رایانامه" dataDxfId="283" dataCellStyle="Hyperlink"/>
    <tableColumn id="5" xr3:uid="{7192D02E-A22E-46AF-B898-9ED00C2D1F34}" name="سایت اینترنتی" dataDxfId="282"/>
    <tableColumn id="7" xr3:uid="{31B3615E-F042-4B31-B668-D43C93A87FE5}" name="آدرس محل کار" dataDxfId="281"/>
    <tableColumn id="8" xr3:uid="{B916AA35-F910-4551-98CF-C16AFDBEFF70}" name="آدرس منزل" dataDxfId="280"/>
    <tableColumn id="9" xr3:uid="{8C252ACF-424E-4297-9478-B4372ACF1CCF}" name="ملاحظات" dataDxfId="279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78" dataDxfId="277" totalsRowDxfId="276">
  <autoFilter ref="D8:R18" xr:uid="{274EC88A-4B54-49A7-9AA9-7C2621AB40BC}"/>
  <tableColumns count="15">
    <tableColumn id="1" xr3:uid="{B07A4647-B141-4519-A431-57834BEB4690}" name="ID" totalsRowLabel="Total" dataDxfId="166" totalsRowDxfId="139"/>
    <tableColumn id="2" xr3:uid="{9B0863B0-2E0D-40E3-80A5-53A7C80DB031}" name="نام حساب" dataDxfId="165" totalsRowDxfId="138"/>
    <tableColumn id="3" xr3:uid="{22E26951-650A-4DA8-83F7-7342252ADAF4}" name="شرح حساب" dataDxfId="164" totalsRowDxfId="137"/>
    <tableColumn id="4" xr3:uid="{0ACE1E7A-4205-4BD4-B95E-C67B9D28BA4E}" name="موجودی اولیه" totalsRowFunction="sum" dataDxfId="163" totalsRowDxfId="136"/>
    <tableColumn id="9" xr3:uid="{9BF51EE3-668E-4C80-B6DB-2712CE69E2D3}" name="جمع پرداختی" totalsRowFunction="custom" dataDxfId="162" totalsRowDxfId="135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61" totalsRowDxfId="134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60" totalsRowDxfId="133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9" totalsRowDxfId="132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58" totalsRowDxfId="131"/>
    <tableColumn id="18" xr3:uid="{CD505A3A-0F06-41B5-9C88-ACE7BBDC75B9}" name="نوع حساب" dataDxfId="157" totalsRowDxfId="130"/>
    <tableColumn id="10" xr3:uid="{AB3BD14A-860C-4744-B018-FC385AC6514C}" name="شماره حساب" dataDxfId="156" totalsRowDxfId="129"/>
    <tableColumn id="19" xr3:uid="{7E3F7BE6-EF70-4DB5-ACF8-A36DE0C80E5B}" name="شماره شبا" dataDxfId="155" totalsRowDxfId="128"/>
    <tableColumn id="14" xr3:uid="{5D0BD8D2-3C56-4B7E-AE34-770948467C25}" name="شماره کارت" dataDxfId="154" totalsRowDxfId="127"/>
    <tableColumn id="15" xr3:uid="{F0EA249A-426E-4668-B36E-75E5633920DC}" name="تاریخ انقضاء کارت" dataDxfId="153" totalsRowDxfId="126"/>
    <tableColumn id="16" xr3:uid="{CF2BE494-D0B5-4C01-8126-ED743F936578}" name="CVV2" dataDxfId="152" totalsRowDxfId="125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221" dataDxfId="220">
  <autoFilter ref="L9:L12" xr:uid="{00000000-0009-0000-0100-000002000000}"/>
  <tableColumns count="1">
    <tableColumn id="1" xr3:uid="{00000000-0010-0000-2700-000001000000}" name="نوع خرج" dataDxfId="275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217" dataDxfId="274">
  <autoFilter ref="L4:L7" xr:uid="{00000000-0009-0000-0100-000006000000}"/>
  <tableColumns count="1">
    <tableColumn id="1" xr3:uid="{00000000-0010-0000-2800-000001000000}" name="نوع تراکنش" dataDxfId="273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219" dataDxfId="218">
  <autoFilter ref="L14:L21" xr:uid="{00000000-0009-0000-0100-000009000000}"/>
  <tableColumns count="1">
    <tableColumn id="1" xr3:uid="{00000000-0010-0000-2900-000001000000}" name="روش تراکنش" dataDxfId="272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271" dataDxfId="270">
  <autoFilter ref="AE5:AG15" xr:uid="{00000000-0009-0000-0100-00002C000000}"/>
  <tableColumns count="3">
    <tableColumn id="1" xr3:uid="{00000000-0010-0000-2A00-000001000000}" name="عنوان تعطیلات" dataDxfId="269"/>
    <tableColumn id="2" xr3:uid="{00000000-0010-0000-2A00-000002000000}" name="روز و ماه" dataDxfId="268"/>
    <tableColumn id="3" xr3:uid="{00000000-0010-0000-2A00-000003000000}" name="Date" dataDxfId="267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225" dataDxfId="266">
  <autoFilter ref="G5:H9" xr:uid="{00000000-0009-0000-0100-00002D000000}"/>
  <tableColumns count="2">
    <tableColumn id="1" xr3:uid="{00000000-0010-0000-2B00-000001000000}" name="ID" dataDxfId="265"/>
    <tableColumn id="2" xr3:uid="{00000000-0010-0000-2B00-000002000000}" name="شیوه نمایش تاریخ" dataDxfId="264"/>
  </tableColumns>
  <tableStyleInfo name="TableStyleMedium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263" dataDxfId="262">
  <autoFilter ref="AI5:AK225" xr:uid="{00000000-0009-0000-0100-00002E000000}"/>
  <tableColumns count="3">
    <tableColumn id="1" xr3:uid="{00000000-0010-0000-2C00-000001000000}" name="عنوان مناسبت" dataDxfId="261"/>
    <tableColumn id="2" xr3:uid="{00000000-0010-0000-2C00-000002000000}" name="روز و ماه" dataDxfId="260"/>
    <tableColumn id="3" xr3:uid="{00000000-0010-0000-2C00-000003000000}" name="Date" dataDxfId="25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258" dataDxfId="257">
  <autoFilter ref="AM5:AN25" xr:uid="{00000000-0009-0000-0100-00002F000000}"/>
  <tableColumns count="2">
    <tableColumn id="1" xr3:uid="{00000000-0010-0000-2D00-000001000000}" name="تعطیلات قمری" dataDxfId="256"/>
    <tableColumn id="2" xr3:uid="{00000000-0010-0000-2D00-000002000000}" name="Day and Month" dataDxfId="255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254" dataDxfId="253">
  <autoFilter ref="AP5:AQ64" xr:uid="{00000000-0009-0000-0100-000030000000}"/>
  <tableColumns count="2">
    <tableColumn id="1" xr3:uid="{00000000-0010-0000-2E00-000001000000}" name="مناسبت قمری" dataDxfId="252"/>
    <tableColumn id="2" xr3:uid="{00000000-0010-0000-2E00-000002000000}" name="Day and Month" dataDxfId="251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250" dataDxfId="249">
  <autoFilter ref="AS5:AT33" xr:uid="{00000000-0009-0000-0100-000031000000}"/>
  <tableColumns count="2">
    <tableColumn id="1" xr3:uid="{00000000-0010-0000-2F00-000001000000}" name="مناسبت میلادی" dataDxfId="248"/>
    <tableColumn id="2" xr3:uid="{00000000-0010-0000-2F00-000002000000}" name="Day and Month" dataDxfId="247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223" dataDxfId="222">
  <autoFilter ref="N5:O10" xr:uid="{00000000-0009-0000-0100-000032000000}"/>
  <tableColumns count="2">
    <tableColumn id="1" xr3:uid="{00000000-0010-0000-3000-000001000000}" name="عملیات" dataDxfId="246"/>
    <tableColumn id="2" xr3:uid="{00000000-0010-0000-3000-000002000000}" name="Wage" dataDxfId="245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224" dataDxfId="235">
  <autoFilter ref="E4:E9" xr:uid="{E9807C8F-C7B8-4738-88F1-BE3AF37D98D4}"/>
  <tableColumns count="1">
    <tableColumn id="1" xr3:uid="{9E36D182-93FB-4224-89E3-E4497B3B4CEF}" name="جدول سطح اهمیت" dataDxfId="234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216" dataDxfId="215">
  <autoFilter ref="S4:S22" xr:uid="{6AEC4E4F-D138-42A7-8625-32AF6446FB92}"/>
  <tableColumns count="1">
    <tableColumn id="1" xr3:uid="{93761557-8AAB-4CE7-978B-119DB8A02638}" name="جدول نوع بودجه" dataDxfId="214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213" dataDxfId="212">
  <autoFilter ref="S24:S32" xr:uid="{D62D46A7-088F-4632-AE66-1F49CCF96D94}"/>
  <tableColumns count="1">
    <tableColumn id="1" xr3:uid="{1ADF3900-55E8-4A50-8909-96F1F42EB08A}" name="جدول وضعیت عملیات" dataDxfId="211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210" dataDxfId="209">
  <autoFilter ref="W4:W11" xr:uid="{716586F3-B51A-402D-BE07-BBA97870EDBD}"/>
  <tableColumns count="1">
    <tableColumn id="1" xr3:uid="{C690CC00-9AFA-44D6-956F-8D45FB98A6DC}" name="جدول نوع بودجه - ویژه زندگی اشتراکی" dataDxfId="208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207" dataDxfId="206">
  <autoFilter ref="W13:W18" xr:uid="{3BF28091-7288-434D-A4E3-3D8467C73E65}"/>
  <tableColumns count="1">
    <tableColumn id="1" xr3:uid="{C739A285-95ED-451F-BBEF-DAE59F639380}" name="جدول وضعیت عملیات" dataDxfId="205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196" dataDxfId="195">
  <autoFilter ref="AA4:AA6" xr:uid="{C2EF4E78-E6AC-4EA0-9E00-C2B84F1BF519}"/>
  <tableColumns count="1">
    <tableColumn id="1" xr3:uid="{E27689AE-D073-4984-9DD5-68CCE768166C}" name="لیست حالت‌ها" dataDxfId="194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193" dataDxfId="192">
  <autoFilter ref="AA8:AA11" xr:uid="{9ED9E0CF-CD90-46B6-9C11-B5D68BDF594B}"/>
  <tableColumns count="1">
    <tableColumn id="1" xr3:uid="{20A92359-65E0-4CF5-92B9-5443337BAF08}" name="دسته ورودی" dataDxfId="191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190" dataDxfId="189">
  <autoFilter ref="AA13:AA20" xr:uid="{091FC02F-B51E-4B83-888B-9170BA69B5BC}"/>
  <tableColumns count="1">
    <tableColumn id="1" xr3:uid="{7112ED34-3B17-40F0-82A6-4EFB5DE2ED32}" name="دسته خروجی" dataDxfId="188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187" dataDxfId="186">
  <autoFilter ref="AA22:AA25" xr:uid="{BB969E9E-B2AB-40E5-84E2-8810FF9E947C}"/>
  <tableColumns count="1">
    <tableColumn id="1" xr3:uid="{F058078A-699D-450F-AC6A-F5B676111455}" name="وضعیت تعمیر کالا" dataDxfId="185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184" dataDxfId="183">
  <autoFilter ref="AA27:AA32" xr:uid="{F867909B-9723-4D88-ABFB-F8AFB1349957}"/>
  <tableColumns count="1">
    <tableColumn id="1" xr3:uid="{AC265F58-4BD8-4EE6-9D36-97273739BB2B}" name="وضعیت تهیه کالا" dataDxfId="182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178" dataDxfId="177">
  <autoFilter ref="AA34:AA43" xr:uid="{1FC65F67-9592-C849-A57F-DF9DD0F8A292}"/>
  <tableColumns count="1">
    <tableColumn id="1" xr3:uid="{A8C1B820-8069-4573-B755-54F968FDC5C5}" name="لیست دسته کالا" dataDxfId="176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D19:D23" totalsRowShown="0" headerRowDxfId="181" dataDxfId="180">
  <autoFilter ref="D19:D23" xr:uid="{1EAAB8A0-953B-408D-820C-ED446BA2C8F1}"/>
  <tableColumns count="1">
    <tableColumn id="1" xr3:uid="{0466B2E5-ECB0-4069-9BEC-3D2FD403708E}" name="راهنما" dataDxfId="179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26" Type="http://schemas.openxmlformats.org/officeDocument/2006/relationships/table" Target="../tables/table41.xml"/><Relationship Id="rId3" Type="http://schemas.openxmlformats.org/officeDocument/2006/relationships/table" Target="../tables/table18.xml"/><Relationship Id="rId21" Type="http://schemas.openxmlformats.org/officeDocument/2006/relationships/table" Target="../tables/table36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5" Type="http://schemas.openxmlformats.org/officeDocument/2006/relationships/table" Target="../tables/table40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20" Type="http://schemas.openxmlformats.org/officeDocument/2006/relationships/table" Target="../tables/table3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24" Type="http://schemas.openxmlformats.org/officeDocument/2006/relationships/table" Target="../tables/table39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23" Type="http://schemas.openxmlformats.org/officeDocument/2006/relationships/table" Target="../tables/table38.xml"/><Relationship Id="rId10" Type="http://schemas.openxmlformats.org/officeDocument/2006/relationships/table" Target="../tables/table25.xml"/><Relationship Id="rId19" Type="http://schemas.openxmlformats.org/officeDocument/2006/relationships/table" Target="../tables/table34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Relationship Id="rId22" Type="http://schemas.openxmlformats.org/officeDocument/2006/relationships/table" Target="../tables/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13" Type="http://schemas.openxmlformats.org/officeDocument/2006/relationships/table" Target="../tables/table58.xml"/><Relationship Id="rId18" Type="http://schemas.openxmlformats.org/officeDocument/2006/relationships/table" Target="../tables/table63.xml"/><Relationship Id="rId3" Type="http://schemas.openxmlformats.org/officeDocument/2006/relationships/table" Target="../tables/table48.xml"/><Relationship Id="rId21" Type="http://schemas.openxmlformats.org/officeDocument/2006/relationships/table" Target="../tables/table66.xml"/><Relationship Id="rId7" Type="http://schemas.openxmlformats.org/officeDocument/2006/relationships/table" Target="../tables/table52.xml"/><Relationship Id="rId12" Type="http://schemas.openxmlformats.org/officeDocument/2006/relationships/table" Target="../tables/table57.xml"/><Relationship Id="rId17" Type="http://schemas.openxmlformats.org/officeDocument/2006/relationships/table" Target="../tables/table62.xml"/><Relationship Id="rId2" Type="http://schemas.openxmlformats.org/officeDocument/2006/relationships/table" Target="../tables/table47.xml"/><Relationship Id="rId16" Type="http://schemas.openxmlformats.org/officeDocument/2006/relationships/table" Target="../tables/table61.xml"/><Relationship Id="rId20" Type="http://schemas.openxmlformats.org/officeDocument/2006/relationships/table" Target="../tables/table6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5" Type="http://schemas.openxmlformats.org/officeDocument/2006/relationships/table" Target="../tables/table60.xml"/><Relationship Id="rId10" Type="http://schemas.openxmlformats.org/officeDocument/2006/relationships/table" Target="../tables/table55.xml"/><Relationship Id="rId19" Type="http://schemas.openxmlformats.org/officeDocument/2006/relationships/table" Target="../tables/table64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Relationship Id="rId14" Type="http://schemas.openxmlformats.org/officeDocument/2006/relationships/table" Target="../tables/table59.xml"/><Relationship Id="rId22" Type="http://schemas.openxmlformats.org/officeDocument/2006/relationships/table" Target="../tables/table6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topLeftCell="E12" workbookViewId="0">
      <selection activeCell="I33" sqref="I33:P33"/>
    </sheetView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49.42578125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27.42578125" customWidth="1"/>
    <col min="14" max="14" width="21.140625" customWidth="1"/>
    <col min="15" max="15" width="14.7109375" customWidth="1"/>
    <col min="16" max="16" width="14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4" t="s">
        <v>1</v>
      </c>
      <c r="Q5" s="65" t="s">
        <v>116</v>
      </c>
      <c r="R5" s="65" t="s">
        <v>0</v>
      </c>
      <c r="S5" s="66" t="s">
        <v>17</v>
      </c>
      <c r="T5" s="67" t="s">
        <v>107</v>
      </c>
      <c r="U5" s="68" t="s">
        <v>141</v>
      </c>
      <c r="V5" s="65" t="s">
        <v>114</v>
      </c>
      <c r="W5" s="65" t="s">
        <v>142</v>
      </c>
      <c r="X5" s="69" t="s">
        <v>2</v>
      </c>
      <c r="Y5" s="65" t="s">
        <v>6</v>
      </c>
      <c r="Z5" s="65" t="s">
        <v>5</v>
      </c>
      <c r="AA5" s="65" t="s">
        <v>150</v>
      </c>
      <c r="AB5" s="66" t="s">
        <v>110</v>
      </c>
      <c r="AC5" s="66" t="s">
        <v>40</v>
      </c>
    </row>
    <row r="6" spans="1:29" ht="15.75">
      <c r="P6" s="70">
        <v>1</v>
      </c>
      <c r="Q6" s="71" t="s">
        <v>117</v>
      </c>
      <c r="R6" s="72">
        <f>DATE(2021,6,26)</f>
        <v>44373</v>
      </c>
      <c r="S6" s="73" t="s">
        <v>149</v>
      </c>
      <c r="T6" s="74" t="s">
        <v>275</v>
      </c>
      <c r="U6" s="71" t="s">
        <v>179</v>
      </c>
      <c r="V6" s="71" t="s">
        <v>263</v>
      </c>
      <c r="W6" s="71" t="s">
        <v>146</v>
      </c>
      <c r="X6" s="75">
        <v>80000</v>
      </c>
      <c r="Y6" s="71" t="s">
        <v>132</v>
      </c>
      <c r="Z6" s="71" t="s">
        <v>316</v>
      </c>
      <c r="AA6" s="71"/>
      <c r="AB6" s="73" t="s">
        <v>111</v>
      </c>
      <c r="AC6" s="73"/>
    </row>
    <row r="7" spans="1:29" ht="15.75">
      <c r="P7" s="76">
        <v>2</v>
      </c>
      <c r="Q7" s="77"/>
      <c r="R7" s="78">
        <f>DATE(2021,6,26)</f>
        <v>44373</v>
      </c>
      <c r="S7" s="79"/>
      <c r="T7" s="80" t="s">
        <v>275</v>
      </c>
      <c r="U7" s="77"/>
      <c r="V7" s="77"/>
      <c r="W7" s="77"/>
      <c r="X7" s="81"/>
      <c r="Y7" s="77"/>
      <c r="Z7" s="77"/>
      <c r="AA7" s="77"/>
      <c r="AB7" s="79"/>
      <c r="AC7" s="79"/>
    </row>
    <row r="8" spans="1:29" ht="15.75">
      <c r="P8" s="70">
        <v>3</v>
      </c>
      <c r="Q8" s="71"/>
      <c r="R8" s="72">
        <f>DATE(2021,8,17)</f>
        <v>44425</v>
      </c>
      <c r="S8" s="73"/>
      <c r="T8" s="74" t="s">
        <v>299</v>
      </c>
      <c r="U8" s="71" t="s">
        <v>302</v>
      </c>
      <c r="V8" s="71" t="s">
        <v>313</v>
      </c>
      <c r="W8" s="71"/>
      <c r="X8" s="75"/>
      <c r="Y8" s="71"/>
      <c r="Z8" s="71"/>
      <c r="AA8" s="71"/>
      <c r="AB8" s="73"/>
      <c r="AC8" s="73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322</v>
      </c>
    </row>
    <row r="16" spans="1:29" ht="18.75">
      <c r="A16" s="7" t="e">
        <f>S24a</f>
        <v>#NAME?</v>
      </c>
      <c r="B16" s="32" t="s">
        <v>113</v>
      </c>
      <c r="C16" s="8" t="s">
        <v>102</v>
      </c>
      <c r="D16" s="9" t="s">
        <v>103</v>
      </c>
      <c r="E16" s="30" t="s">
        <v>104</v>
      </c>
      <c r="F16" s="10" t="s">
        <v>108</v>
      </c>
      <c r="G16" s="11" t="s">
        <v>89</v>
      </c>
      <c r="H16" s="20" t="s">
        <v>109</v>
      </c>
      <c r="I16" s="12" t="s">
        <v>105</v>
      </c>
      <c r="J16" s="13" t="s">
        <v>98</v>
      </c>
      <c r="Q16">
        <v>1</v>
      </c>
      <c r="U16" t="s">
        <v>321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05" t="str">
        <f>Slash(14000525)</f>
        <v>1400/05/25</v>
      </c>
      <c r="Q22">
        <v>7</v>
      </c>
    </row>
    <row r="23" spans="3:17">
      <c r="K23" s="8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F27" s="134" t="s">
        <v>8</v>
      </c>
    </row>
    <row r="28" spans="3:17" ht="18.75">
      <c r="C28" s="140" t="s">
        <v>98</v>
      </c>
      <c r="F28" s="135" t="s">
        <v>113</v>
      </c>
      <c r="M28" t="e">
        <f>CL</f>
        <v>#NAME?</v>
      </c>
    </row>
    <row r="29" spans="3:17" ht="18.75">
      <c r="F29" s="138" t="s">
        <v>1184</v>
      </c>
    </row>
    <row r="30" spans="3:17" ht="18.75">
      <c r="F30" s="384" t="s">
        <v>1185</v>
      </c>
    </row>
    <row r="31" spans="3:17" ht="18.75">
      <c r="C31" s="136" t="s">
        <v>957</v>
      </c>
      <c r="F31" s="386" t="s">
        <v>1186</v>
      </c>
    </row>
    <row r="32" spans="3:17" ht="18.75">
      <c r="F32" s="389" t="s">
        <v>1187</v>
      </c>
    </row>
    <row r="33" spans="3:16" ht="56.25">
      <c r="C33" s="137" t="s">
        <v>89</v>
      </c>
      <c r="F33" s="387" t="s">
        <v>7</v>
      </c>
      <c r="I33" s="134" t="s">
        <v>8</v>
      </c>
      <c r="J33" s="135" t="s">
        <v>113</v>
      </c>
      <c r="K33" s="138" t="s">
        <v>1184</v>
      </c>
      <c r="L33" s="384" t="s">
        <v>1185</v>
      </c>
      <c r="M33" s="386" t="s">
        <v>1186</v>
      </c>
      <c r="N33" s="389" t="s">
        <v>1187</v>
      </c>
      <c r="O33" s="387" t="s">
        <v>7</v>
      </c>
      <c r="P33" s="388" t="s">
        <v>100</v>
      </c>
    </row>
    <row r="34" spans="3:16" ht="18.75">
      <c r="C34" s="138" t="s">
        <v>109</v>
      </c>
      <c r="F34" s="388" t="s">
        <v>100</v>
      </c>
    </row>
    <row r="35" spans="3:16" ht="18.75">
      <c r="C35" s="139" t="s">
        <v>105</v>
      </c>
    </row>
    <row r="36" spans="3:16">
      <c r="C36" s="128"/>
    </row>
    <row r="37" spans="3:16">
      <c r="C37" s="128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F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F28" location="تراکنش‌ها!A1" display="تراکنش‌ها" xr:uid="{F7A3FC34-AB15-48A6-B0A2-3DC1AF3ECAB2}"/>
    <hyperlink ref="F29" location="'برنامه و بودجه بندی'!A1" display="برنامه و بودجه بندی" xr:uid="{EF637EEF-132D-415B-AFB7-4EE7DFCEE40A}"/>
    <hyperlink ref="F30" location="'مدیریت زندگی در محیط اشتراکی'!A1" display="مدیریت زندگی اشتراکی" xr:uid="{518315B4-DF9C-46C2-B8F0-B7979172C178}"/>
    <hyperlink ref="F31" location="'مدیریت وسایل (مینیمالیست)'!A1" display="مدیریت وسایل" xr:uid="{DB4CC3DC-A542-4904-B2BC-E8B7A5657E9B}"/>
    <hyperlink ref="F33" location="'تنظیمات حساب'!A1" display="تنظیمات حساب" xr:uid="{47F543BB-9A36-4AB9-B1A8-3FC04EACB0E3}"/>
    <hyperlink ref="F34" location="راهنما!A1" display="راهنما" xr:uid="{A78E6C7E-178B-401E-BF41-7F4A60513C68}"/>
    <hyperlink ref="F32" location="'دریافت کنندگان - پرداخت کنندگان'!A1" display="دریافت | پرداخت کنندگان" xr:uid="{8443D16B-6EA4-4A1A-B2E5-B4BBF12341F2}"/>
    <hyperlink ref="I33" location="فهرست!A1" display="فهرست" xr:uid="{8BFBEBFD-F171-483F-B5D1-4FE293E56531}"/>
    <hyperlink ref="J33" location="تراکنش‌ها!A1" display="تراکنش‌ها" xr:uid="{2DCC1D28-13E5-4DD1-88CB-DA72BB0B56D5}"/>
    <hyperlink ref="K33" location="'برنامه و بودجه بندی'!A1" display="برنامه و بودجه بندی" xr:uid="{93033458-F716-46C2-9821-B4D50671BB95}"/>
    <hyperlink ref="L33" location="'مدیریت زندگی در محیط اشتراکی'!A1" display="مدیریت زندگی اشتراکی" xr:uid="{60FB1E34-A3E5-458A-9F17-8ED1E644170C}"/>
    <hyperlink ref="M33" location="'مدیریت وسایل (مینیمالیست)'!A1" display="مدیریت وسایل" xr:uid="{AEB2C29D-7D69-4E53-AA45-0664F08CF8A3}"/>
    <hyperlink ref="N33" location="'دریافت کنندگان - پرداخت کنندگان'!A1" display="دریافت | پرداخت کنندگان" xr:uid="{975C56C2-BF85-4F2F-BF41-1E71E2E151EC}"/>
    <hyperlink ref="O33" location="'تنظیمات حساب'!A1" display="تنظیمات حساب" xr:uid="{CE06EED7-C9CC-402A-9221-36FB1FBE3E72}"/>
    <hyperlink ref="P33" location="راهنما!A1" display="راهنما" xr:uid="{AC1A4102-D076-4AAC-B2E3-33157FED0CF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139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tabSelected="1" zoomScaleNormal="100" workbookViewId="0">
      <pane ySplit="7" topLeftCell="A8" activePane="bottomLeft" state="frozen"/>
      <selection pane="bottomLeft" activeCell="A8" sqref="A8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96" t="s">
        <v>8</v>
      </c>
      <c r="C1" s="395" t="s">
        <v>113</v>
      </c>
      <c r="D1" s="394" t="s">
        <v>1184</v>
      </c>
      <c r="E1" s="385" t="s">
        <v>1185</v>
      </c>
      <c r="F1" s="393" t="s">
        <v>1186</v>
      </c>
      <c r="G1" s="391" t="s">
        <v>7</v>
      </c>
      <c r="H1" s="390" t="s">
        <v>1187</v>
      </c>
      <c r="I1" s="46" t="s">
        <v>181</v>
      </c>
      <c r="J1" s="52" t="s">
        <v>182</v>
      </c>
      <c r="K1" s="392" t="s">
        <v>100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401"/>
      <c r="I2" s="402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97" t="s">
        <v>1189</v>
      </c>
      <c r="C3" s="398">
        <f xml:space="preserve"> FinancialAccountsTable[[#Totals],[مانده]]</f>
        <v>0</v>
      </c>
      <c r="D3" s="399" t="s">
        <v>1188</v>
      </c>
      <c r="E3" s="400">
        <f>'تنظیمات حساب'!$J$10</f>
        <v>0</v>
      </c>
      <c r="F3" s="405" t="s">
        <v>1190</v>
      </c>
      <c r="G3" s="406">
        <f xml:space="preserve"> 'تنظیمات حساب'!$J$11</f>
        <v>0</v>
      </c>
      <c r="H3" s="403" t="s">
        <v>1191</v>
      </c>
      <c r="I3" s="404">
        <f>'تنظیمات حساب'!$J$12</f>
        <v>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84"/>
      <c r="H4" s="49"/>
      <c r="I4" s="402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106">
        <v>0</v>
      </c>
      <c r="D5" s="47"/>
      <c r="E5" s="114" t="s">
        <v>394</v>
      </c>
      <c r="F5" s="113">
        <f ca="1">TODAY()</f>
        <v>44558</v>
      </c>
      <c r="G5" s="4"/>
      <c r="H5" s="49"/>
      <c r="I5" s="402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116</v>
      </c>
      <c r="C7" s="6" t="s">
        <v>0</v>
      </c>
      <c r="D7" s="27" t="s">
        <v>17</v>
      </c>
      <c r="E7" s="33" t="s">
        <v>107</v>
      </c>
      <c r="F7" s="41" t="s">
        <v>141</v>
      </c>
      <c r="G7" s="6" t="s">
        <v>114</v>
      </c>
      <c r="H7" s="6" t="s">
        <v>142</v>
      </c>
      <c r="I7" s="18" t="s">
        <v>2</v>
      </c>
      <c r="J7" s="6" t="s">
        <v>6</v>
      </c>
      <c r="K7" s="6" t="s">
        <v>5</v>
      </c>
      <c r="L7" s="6" t="s">
        <v>150</v>
      </c>
      <c r="M7" s="27" t="s">
        <v>110</v>
      </c>
      <c r="N7" s="27" t="s">
        <v>1192</v>
      </c>
      <c r="O7" s="27" t="s">
        <v>1096</v>
      </c>
      <c r="P7" s="40"/>
      <c r="Q7" s="40"/>
      <c r="R7" s="40"/>
      <c r="S7" s="40"/>
      <c r="T7" s="40"/>
    </row>
    <row r="8" spans="1:20">
      <c r="A8" s="23">
        <v>1</v>
      </c>
      <c r="B8" s="24"/>
      <c r="C8" s="28"/>
      <c r="D8" s="28"/>
      <c r="E8" s="34"/>
      <c r="F8" s="24"/>
      <c r="G8" s="24"/>
      <c r="H8" s="24"/>
      <c r="I8" s="22"/>
      <c r="J8" s="24"/>
      <c r="K8" s="24"/>
      <c r="L8" s="83" t="str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/>
      </c>
      <c r="M8" s="28"/>
      <c r="N8" s="28"/>
      <c r="O8" s="28"/>
    </row>
    <row r="9" spans="1:20">
      <c r="A9" s="23">
        <v>2</v>
      </c>
      <c r="B9" s="24"/>
      <c r="C9" s="28"/>
      <c r="D9" s="28"/>
      <c r="E9" s="34"/>
      <c r="F9" s="24"/>
      <c r="G9" s="24"/>
      <c r="H9" s="24"/>
      <c r="I9" s="22"/>
      <c r="J9" s="24"/>
      <c r="K9" s="24"/>
      <c r="L9" s="83" t="str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/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83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82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83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82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83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83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83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83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83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83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83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83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83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367</v>
      </c>
      <c r="D21" s="28"/>
      <c r="E21" s="34"/>
      <c r="F21" s="24"/>
      <c r="G21" s="24"/>
      <c r="H21" s="24"/>
      <c r="I21" s="22"/>
      <c r="J21" s="24"/>
      <c r="K21" s="24"/>
      <c r="L21" s="83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83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83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83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83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83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83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83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83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83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83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83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83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83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83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83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83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83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83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83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83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83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83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83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83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83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83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83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83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83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83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83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83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83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83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83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83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83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83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83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83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83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83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83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83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83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83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83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83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83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83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83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83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83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83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83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83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83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83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83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83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83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83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83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83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83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83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83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83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83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83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83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83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83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83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83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83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83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83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83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83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83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83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83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83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83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83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83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83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83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83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83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83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83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83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83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83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83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83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83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83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83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83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83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83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83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83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83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83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83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83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83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83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83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83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83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83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83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83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83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83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83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83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83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83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83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83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83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83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83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83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83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83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83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83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83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83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83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83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83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83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83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83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83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83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83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83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83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83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83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83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83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83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83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83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83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83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83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83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83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83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83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83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83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83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83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83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83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83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83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83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83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83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83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83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83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83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83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83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83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83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83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83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83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83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83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83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83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83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83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83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83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83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83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83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83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83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83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83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83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83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83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83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83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83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83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83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83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83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83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83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83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83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83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83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83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83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83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83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83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83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83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83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83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83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83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83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83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83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83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83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83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83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83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83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83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83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83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83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83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83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83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83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83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83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83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83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83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83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83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83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83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83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83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83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83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83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83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83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83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83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83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83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83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83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83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83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83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83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83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83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83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83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83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83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83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83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83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83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83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83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83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83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83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83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83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83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83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83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83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83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83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83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83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83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83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83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83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83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83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83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83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83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83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83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83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83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83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83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83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83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83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83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83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83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83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83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83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83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83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83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83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83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83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83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83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83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83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83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83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83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83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83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83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83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83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83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83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83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83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83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83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83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83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83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83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83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83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83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83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83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83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83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83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83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83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83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83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83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83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83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83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83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83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83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83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83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83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83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83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83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83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83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83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83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83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83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83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83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83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83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83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83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83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83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83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83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83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83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83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83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83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83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83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83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83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83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83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83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83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83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83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83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83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83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83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83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83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83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83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83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83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83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83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83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83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83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83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83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83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83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83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83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83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83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83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83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83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83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83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83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83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83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83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83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83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83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83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83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83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83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83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83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83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83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83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83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83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83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83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83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83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83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83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83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83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83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83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83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83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83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83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83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83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83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83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83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83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83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83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83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83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83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83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83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83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83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83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83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83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83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83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83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83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83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83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83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107"/>
    </row>
    <row r="515" spans="4:4">
      <c r="D515" s="107"/>
    </row>
  </sheetData>
  <dataConsolidate/>
  <phoneticPr fontId="29" type="noConversion"/>
  <conditionalFormatting sqref="A8:O507">
    <cfRule type="expression" dxfId="48" priority="1">
      <formula xml:space="preserve"> "" = $E8</formula>
    </cfRule>
    <cfRule type="expression" dxfId="47" priority="5">
      <formula xml:space="preserve"> "انتقال" = $E8</formula>
    </cfRule>
    <cfRule type="expression" dxfId="46" priority="6">
      <formula xml:space="preserve"> "پرداخت_هزینه" = $E8</formula>
    </cfRule>
    <cfRule type="expression" dxfId="45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88" t="s">
        <v>323</v>
      </c>
    </row>
    <row r="2" spans="1:33" ht="24" customHeight="1">
      <c r="A2" s="87">
        <v>1400</v>
      </c>
      <c r="D2" s="99"/>
      <c r="E2" s="99"/>
      <c r="F2" s="99">
        <v>0</v>
      </c>
      <c r="G2" s="99">
        <v>1</v>
      </c>
      <c r="H2" s="99">
        <v>2</v>
      </c>
      <c r="I2" s="99">
        <v>3</v>
      </c>
      <c r="J2" s="99">
        <v>4</v>
      </c>
      <c r="K2" s="99">
        <v>5</v>
      </c>
      <c r="L2" s="99">
        <v>6</v>
      </c>
      <c r="M2" s="100"/>
      <c r="N2" s="100"/>
      <c r="O2" s="99"/>
      <c r="P2" s="99">
        <v>0</v>
      </c>
      <c r="Q2" s="99">
        <v>1</v>
      </c>
      <c r="R2" s="99">
        <v>2</v>
      </c>
      <c r="S2" s="99">
        <v>3</v>
      </c>
      <c r="T2" s="99">
        <v>4</v>
      </c>
      <c r="U2" s="99">
        <v>5</v>
      </c>
      <c r="V2" s="99">
        <v>6</v>
      </c>
      <c r="W2" s="100"/>
      <c r="X2" s="100"/>
      <c r="Y2" s="99"/>
      <c r="Z2" s="99">
        <v>0</v>
      </c>
      <c r="AA2" s="99">
        <v>1</v>
      </c>
      <c r="AB2" s="99">
        <v>2</v>
      </c>
      <c r="AC2" s="99">
        <v>3</v>
      </c>
      <c r="AD2" s="99">
        <v>4</v>
      </c>
      <c r="AE2" s="99">
        <v>5</v>
      </c>
      <c r="AF2" s="99">
        <v>6</v>
      </c>
    </row>
    <row r="3" spans="1:33" ht="24" customHeight="1">
      <c r="A3" s="36"/>
      <c r="D3" s="282" t="s">
        <v>332</v>
      </c>
      <c r="E3" s="90"/>
      <c r="F3" s="280" t="s">
        <v>324</v>
      </c>
      <c r="G3" s="280"/>
      <c r="H3" s="280"/>
      <c r="I3" s="280"/>
      <c r="J3" s="280"/>
      <c r="K3" s="280"/>
      <c r="L3" s="280"/>
      <c r="M3" s="92"/>
      <c r="O3" s="90"/>
      <c r="P3" s="280" t="s">
        <v>333</v>
      </c>
      <c r="Q3" s="280"/>
      <c r="R3" s="280"/>
      <c r="S3" s="280"/>
      <c r="T3" s="280"/>
      <c r="U3" s="280"/>
      <c r="V3" s="280"/>
      <c r="W3" s="92"/>
      <c r="Y3" s="90"/>
      <c r="Z3" s="280" t="s">
        <v>336</v>
      </c>
      <c r="AA3" s="280"/>
      <c r="AB3" s="280"/>
      <c r="AC3" s="280"/>
      <c r="AD3" s="280"/>
      <c r="AE3" s="280"/>
      <c r="AF3" s="280"/>
      <c r="AG3" s="92"/>
    </row>
    <row r="4" spans="1:33" ht="24" customHeight="1" thickBot="1">
      <c r="A4" s="7" t="s">
        <v>8</v>
      </c>
      <c r="D4" s="282"/>
      <c r="E4" s="90"/>
      <c r="F4" s="91" t="s">
        <v>325</v>
      </c>
      <c r="G4" s="91" t="s">
        <v>327</v>
      </c>
      <c r="H4" s="91" t="s">
        <v>328</v>
      </c>
      <c r="I4" s="91" t="s">
        <v>329</v>
      </c>
      <c r="J4" s="91" t="s">
        <v>330</v>
      </c>
      <c r="K4" s="91" t="s">
        <v>331</v>
      </c>
      <c r="L4" s="91" t="s">
        <v>326</v>
      </c>
      <c r="M4" s="92"/>
      <c r="O4" s="90"/>
      <c r="P4" s="91" t="s">
        <v>325</v>
      </c>
      <c r="Q4" s="91" t="s">
        <v>327</v>
      </c>
      <c r="R4" s="91" t="s">
        <v>328</v>
      </c>
      <c r="S4" s="91" t="s">
        <v>329</v>
      </c>
      <c r="T4" s="91" t="s">
        <v>330</v>
      </c>
      <c r="U4" s="91" t="s">
        <v>331</v>
      </c>
      <c r="V4" s="91" t="s">
        <v>326</v>
      </c>
      <c r="W4" s="92"/>
      <c r="Y4" s="90"/>
      <c r="Z4" s="91" t="s">
        <v>325</v>
      </c>
      <c r="AA4" s="91" t="s">
        <v>327</v>
      </c>
      <c r="AB4" s="91" t="s">
        <v>328</v>
      </c>
      <c r="AC4" s="91" t="s">
        <v>329</v>
      </c>
      <c r="AD4" s="91" t="s">
        <v>330</v>
      </c>
      <c r="AE4" s="91" t="s">
        <v>331</v>
      </c>
      <c r="AF4" s="91" t="s">
        <v>326</v>
      </c>
      <c r="AG4" s="92"/>
    </row>
    <row r="5" spans="1:33" ht="24" customHeight="1">
      <c r="A5" s="32" t="s">
        <v>113</v>
      </c>
      <c r="D5" s="282"/>
      <c r="E5" s="90"/>
      <c r="F5" s="89" t="str">
        <f>IF(DayWeekNo($A$2&amp;"0101")=F2,1,IF(DayWeekNo($A$2&amp;"0101")&lt;F2,E5+1,""))</f>
        <v/>
      </c>
      <c r="G5" s="89">
        <f>IF(DayWeekNo($A$2&amp;"0101")=G2,1,IF(DayWeekNo($A$2&amp;"0101")&lt;G2,F5+1,""))</f>
        <v>1</v>
      </c>
      <c r="H5" s="89">
        <f>IF(DayWeekNo($A$2&amp;"0101")=H2,1,IF(DayWeekNo($A$2&amp;"0101")&lt;H2,G5+1,""))</f>
        <v>2</v>
      </c>
      <c r="I5" s="89">
        <f>IF(DayWeekNo($A$2&amp;"0101")=I2,1,IF(DayWeekNo($A$2&amp;"0101")&lt;I2,H5+1,""))</f>
        <v>3</v>
      </c>
      <c r="J5" s="89">
        <f>IF(DayWeekNo($A$2&amp;"0101")=J2,1,IF(DayWeekNo($A$2&amp;"0101")&lt;J2,I5+1,""))</f>
        <v>4</v>
      </c>
      <c r="K5" s="89">
        <f>IF(DayWeekNo($A$2&amp;"0101")=K2,1,IF(DayWeekNo($A$2&amp;"0101")&lt;K2,J5+1,""))</f>
        <v>5</v>
      </c>
      <c r="L5" s="89">
        <f>IF(DayWeekNo($A$2&amp;"0101")=L2,1,IF(DayWeekNo($A$2&amp;"0101")&lt;L2,K5+1,""))</f>
        <v>6</v>
      </c>
      <c r="M5" s="93"/>
      <c r="O5" s="90"/>
      <c r="P5" s="89" t="str">
        <f>IF(DayWeekNo($A$2&amp;"0201")=P2,1,IF(DayWeekNo($A$2&amp;"0201")&lt;P2,O5+1,""))</f>
        <v/>
      </c>
      <c r="Q5" s="89" t="str">
        <f>IF(DayWeekNo($A$2&amp;"0201")=Q2,1,IF(DayWeekNo($A$2&amp;"0201")&lt;Q2,P5+1,""))</f>
        <v/>
      </c>
      <c r="R5" s="89" t="str">
        <f>IF(DayWeekNo($A$2&amp;"0201")=R2,1,IF(DayWeekNo($A$2&amp;"0201")&lt;R2,Q5+1,""))</f>
        <v/>
      </c>
      <c r="S5" s="89" t="str">
        <f>IF(DayWeekNo($A$2&amp;"0201")=S2,1,IF(DayWeekNo($A$2&amp;"0201")&lt;S2,R5+1,""))</f>
        <v/>
      </c>
      <c r="T5" s="89">
        <f>IF(DayWeekNo($A$2&amp;"0201")=T2,1,IF(DayWeekNo($A$2&amp;"0201")&lt;T2,S5+1,""))</f>
        <v>1</v>
      </c>
      <c r="U5" s="89">
        <f>IF(DayWeekNo($A$2&amp;"0201")=U2,1,IF(DayWeekNo($A$2&amp;"0201")&lt;U2,T5+1,""))</f>
        <v>2</v>
      </c>
      <c r="V5" s="89">
        <f>IF(DayWeekNo($A$2&amp;"0201")=V2,1,IF(DayWeekNo($A$2&amp;"0201")&lt;V2,U5+1,""))</f>
        <v>3</v>
      </c>
      <c r="Y5" s="90"/>
      <c r="Z5" s="89">
        <f>IF(DayWeekNo($A$2&amp;"0301")=Z2,1,IF(DayWeekNo($A$2&amp;"0301")&lt;Z2,Y5+1,""))</f>
        <v>1</v>
      </c>
      <c r="AA5" s="89">
        <f>IF(DayWeekNo($A$2&amp;"0301")=AA2,1,IF(DayWeekNo($A$2&amp;"0301")&lt;AA2,Z5+1,""))</f>
        <v>2</v>
      </c>
      <c r="AB5" s="89">
        <f>IF(DayWeekNo($A$2&amp;"0301")=AB2,1,IF(DayWeekNo($A$2&amp;"0301")&lt;AB2,AA5+1,""))</f>
        <v>3</v>
      </c>
      <c r="AC5" s="89">
        <f>IF(DayWeekNo($A$2&amp;"0301")=AC2,1,IF(DayWeekNo($A$2&amp;"0301")&lt;AC2,AB5+1,""))</f>
        <v>4</v>
      </c>
      <c r="AD5" s="89">
        <f>IF(DayWeekNo($A$2&amp;"0301")=AD2,1,IF(DayWeekNo($A$2&amp;"0301")&lt;AD2,AC5+1,""))</f>
        <v>5</v>
      </c>
      <c r="AE5" s="89">
        <f>IF(DayWeekNo($A$2&amp;"0301")=AE2,1,IF(DayWeekNo($A$2&amp;"0301")&lt;AE2,AD5+1,""))</f>
        <v>6</v>
      </c>
      <c r="AF5" s="89">
        <f>IF(DayWeekNo($A$2&amp;"0301")=AF2,1,IF(DayWeekNo($A$2&amp;"0301")&lt;AF2,AE5+1,""))</f>
        <v>7</v>
      </c>
      <c r="AG5" s="93"/>
    </row>
    <row r="6" spans="1:33" ht="24" customHeight="1">
      <c r="A6" s="8" t="s">
        <v>102</v>
      </c>
      <c r="D6" s="282"/>
      <c r="E6" s="90"/>
      <c r="F6" s="89">
        <f>IFERROR(IF(L5+1&lt;=31,L5+1,""),"")</f>
        <v>7</v>
      </c>
      <c r="G6" s="89">
        <f>IFERROR(IF(F6+1&lt;=31,F6+1,""),"")</f>
        <v>8</v>
      </c>
      <c r="H6" s="89">
        <f t="shared" ref="H6:L6" si="0">IFERROR(IF(G6+1&lt;=31,G6+1,""),"")</f>
        <v>9</v>
      </c>
      <c r="I6" s="89">
        <f t="shared" si="0"/>
        <v>10</v>
      </c>
      <c r="J6" s="89">
        <f t="shared" si="0"/>
        <v>11</v>
      </c>
      <c r="K6" s="89">
        <f t="shared" si="0"/>
        <v>12</v>
      </c>
      <c r="L6" s="89">
        <f t="shared" si="0"/>
        <v>13</v>
      </c>
      <c r="M6" s="93"/>
      <c r="O6" s="90"/>
      <c r="P6" s="89">
        <f>IFERROR(IF(V5+1&lt;=31,V5+1,""),"")</f>
        <v>4</v>
      </c>
      <c r="Q6" s="89">
        <f>IFERROR(IF(P6+1&lt;=31,P6+1,""),"")</f>
        <v>5</v>
      </c>
      <c r="R6" s="89">
        <f t="shared" ref="R6:V6" si="1">IFERROR(IF(Q6+1&lt;=31,Q6+1,""),"")</f>
        <v>6</v>
      </c>
      <c r="S6" s="89">
        <f t="shared" si="1"/>
        <v>7</v>
      </c>
      <c r="T6" s="89">
        <f t="shared" si="1"/>
        <v>8</v>
      </c>
      <c r="U6" s="89">
        <f t="shared" si="1"/>
        <v>9</v>
      </c>
      <c r="V6" s="89">
        <f t="shared" si="1"/>
        <v>10</v>
      </c>
      <c r="Y6" s="90"/>
      <c r="Z6" s="89">
        <f>IFERROR(IF(AF5+1&lt;=31,AF5+1,""),"")</f>
        <v>8</v>
      </c>
      <c r="AA6" s="89">
        <f>IFERROR(IF(Z6+1&lt;=31,Z6+1,""),"")</f>
        <v>9</v>
      </c>
      <c r="AB6" s="89">
        <f t="shared" ref="AB6:AF6" si="2">IFERROR(IF(AA6+1&lt;=31,AA6+1,""),"")</f>
        <v>10</v>
      </c>
      <c r="AC6" s="89">
        <f t="shared" si="2"/>
        <v>11</v>
      </c>
      <c r="AD6" s="89">
        <f t="shared" si="2"/>
        <v>12</v>
      </c>
      <c r="AE6" s="89">
        <f t="shared" si="2"/>
        <v>13</v>
      </c>
      <c r="AF6" s="89">
        <f t="shared" si="2"/>
        <v>14</v>
      </c>
      <c r="AG6" s="93"/>
    </row>
    <row r="7" spans="1:33" ht="24" customHeight="1">
      <c r="A7" s="9" t="s">
        <v>103</v>
      </c>
      <c r="D7" s="282"/>
      <c r="E7" s="90"/>
      <c r="F7" s="89">
        <f t="shared" ref="F7:F9" si="3">IFERROR(IF(L6+1&lt;=31,L6+1,""),"")</f>
        <v>14</v>
      </c>
      <c r="G7" s="89">
        <f t="shared" ref="G7:L7" si="4">IFERROR(IF(F7+1&lt;=31,F7+1,""),"")</f>
        <v>15</v>
      </c>
      <c r="H7" s="89">
        <f t="shared" si="4"/>
        <v>16</v>
      </c>
      <c r="I7" s="89">
        <f t="shared" si="4"/>
        <v>17</v>
      </c>
      <c r="J7" s="89">
        <f t="shared" si="4"/>
        <v>18</v>
      </c>
      <c r="K7" s="89">
        <f t="shared" si="4"/>
        <v>19</v>
      </c>
      <c r="L7" s="89">
        <f t="shared" si="4"/>
        <v>20</v>
      </c>
      <c r="M7" s="93"/>
      <c r="O7" s="90"/>
      <c r="P7" s="89">
        <f t="shared" ref="P7:P9" si="5">IFERROR(IF(V6+1&lt;=31,V6+1,""),"")</f>
        <v>11</v>
      </c>
      <c r="Q7" s="89">
        <f t="shared" ref="Q7:V7" si="6">IFERROR(IF(P7+1&lt;=31,P7+1,""),"")</f>
        <v>12</v>
      </c>
      <c r="R7" s="89">
        <f t="shared" si="6"/>
        <v>13</v>
      </c>
      <c r="S7" s="89">
        <f t="shared" si="6"/>
        <v>14</v>
      </c>
      <c r="T7" s="89">
        <f t="shared" si="6"/>
        <v>15</v>
      </c>
      <c r="U7" s="89">
        <f t="shared" si="6"/>
        <v>16</v>
      </c>
      <c r="V7" s="89">
        <f t="shared" si="6"/>
        <v>17</v>
      </c>
      <c r="Y7" s="90"/>
      <c r="Z7" s="89">
        <f t="shared" ref="Z7:Z9" si="7">IFERROR(IF(AF6+1&lt;=31,AF6+1,""),"")</f>
        <v>15</v>
      </c>
      <c r="AA7" s="89">
        <f t="shared" ref="AA7:AF7" si="8">IFERROR(IF(Z7+1&lt;=31,Z7+1,""),"")</f>
        <v>16</v>
      </c>
      <c r="AB7" s="89">
        <f t="shared" si="8"/>
        <v>17</v>
      </c>
      <c r="AC7" s="89">
        <f t="shared" si="8"/>
        <v>18</v>
      </c>
      <c r="AD7" s="89">
        <f t="shared" si="8"/>
        <v>19</v>
      </c>
      <c r="AE7" s="89">
        <f t="shared" si="8"/>
        <v>20</v>
      </c>
      <c r="AF7" s="89">
        <f t="shared" si="8"/>
        <v>21</v>
      </c>
      <c r="AG7" s="93"/>
    </row>
    <row r="8" spans="1:33" ht="24" customHeight="1">
      <c r="A8" s="30" t="s">
        <v>104</v>
      </c>
      <c r="D8" s="282"/>
      <c r="E8" s="90"/>
      <c r="F8" s="89">
        <f t="shared" si="3"/>
        <v>21</v>
      </c>
      <c r="G8" s="89">
        <f t="shared" ref="G8:L8" si="9">IFERROR(IF(F8+1&lt;=31,F8+1,""),"")</f>
        <v>22</v>
      </c>
      <c r="H8" s="89">
        <f t="shared" si="9"/>
        <v>23</v>
      </c>
      <c r="I8" s="89">
        <f t="shared" si="9"/>
        <v>24</v>
      </c>
      <c r="J8" s="89">
        <f t="shared" si="9"/>
        <v>25</v>
      </c>
      <c r="K8" s="89">
        <f t="shared" si="9"/>
        <v>26</v>
      </c>
      <c r="L8" s="89">
        <f t="shared" si="9"/>
        <v>27</v>
      </c>
      <c r="M8" s="93"/>
      <c r="O8" s="90"/>
      <c r="P8" s="89">
        <f t="shared" si="5"/>
        <v>18</v>
      </c>
      <c r="Q8" s="89">
        <f t="shared" ref="Q8:V8" si="10">IFERROR(IF(P8+1&lt;=31,P8+1,""),"")</f>
        <v>19</v>
      </c>
      <c r="R8" s="89">
        <f t="shared" si="10"/>
        <v>20</v>
      </c>
      <c r="S8" s="89">
        <f t="shared" si="10"/>
        <v>21</v>
      </c>
      <c r="T8" s="89">
        <f t="shared" si="10"/>
        <v>22</v>
      </c>
      <c r="U8" s="89">
        <f t="shared" si="10"/>
        <v>23</v>
      </c>
      <c r="V8" s="89">
        <f t="shared" si="10"/>
        <v>24</v>
      </c>
      <c r="Y8" s="90"/>
      <c r="Z8" s="89">
        <f t="shared" si="7"/>
        <v>22</v>
      </c>
      <c r="AA8" s="89">
        <f t="shared" ref="AA8:AF8" si="11">IFERROR(IF(Z8+1&lt;=31,Z8+1,""),"")</f>
        <v>23</v>
      </c>
      <c r="AB8" s="89">
        <f t="shared" si="11"/>
        <v>24</v>
      </c>
      <c r="AC8" s="89">
        <f t="shared" si="11"/>
        <v>25</v>
      </c>
      <c r="AD8" s="89">
        <f t="shared" si="11"/>
        <v>26</v>
      </c>
      <c r="AE8" s="89">
        <f t="shared" si="11"/>
        <v>27</v>
      </c>
      <c r="AF8" s="89">
        <f t="shared" si="11"/>
        <v>28</v>
      </c>
      <c r="AG8" s="93"/>
    </row>
    <row r="9" spans="1:33" ht="24" customHeight="1">
      <c r="A9" s="10" t="s">
        <v>108</v>
      </c>
      <c r="D9" s="282"/>
      <c r="E9" s="90"/>
      <c r="F9" s="89">
        <f t="shared" si="3"/>
        <v>28</v>
      </c>
      <c r="G9" s="89">
        <f t="shared" ref="G9:L10" si="12">IFERROR(IF(F9+1&lt;=31,F9+1,""),"")</f>
        <v>29</v>
      </c>
      <c r="H9" s="89">
        <f t="shared" si="12"/>
        <v>30</v>
      </c>
      <c r="I9" s="89">
        <f t="shared" si="12"/>
        <v>31</v>
      </c>
      <c r="J9" s="89" t="str">
        <f t="shared" si="12"/>
        <v/>
      </c>
      <c r="K9" s="89" t="str">
        <f t="shared" si="12"/>
        <v/>
      </c>
      <c r="L9" s="89" t="str">
        <f t="shared" si="12"/>
        <v/>
      </c>
      <c r="M9" s="93"/>
      <c r="O9" s="90"/>
      <c r="P9" s="89">
        <f t="shared" si="5"/>
        <v>25</v>
      </c>
      <c r="Q9" s="89">
        <f t="shared" ref="Q9:V10" si="13">IFERROR(IF(P9+1&lt;=31,P9+1,""),"")</f>
        <v>26</v>
      </c>
      <c r="R9" s="89">
        <f t="shared" si="13"/>
        <v>27</v>
      </c>
      <c r="S9" s="89">
        <f t="shared" si="13"/>
        <v>28</v>
      </c>
      <c r="T9" s="89">
        <f t="shared" si="13"/>
        <v>29</v>
      </c>
      <c r="U9" s="89">
        <f t="shared" si="13"/>
        <v>30</v>
      </c>
      <c r="V9" s="89">
        <f t="shared" si="13"/>
        <v>31</v>
      </c>
      <c r="Y9" s="90"/>
      <c r="Z9" s="89">
        <f t="shared" si="7"/>
        <v>29</v>
      </c>
      <c r="AA9" s="89">
        <f t="shared" ref="AA9:AF10" si="14">IFERROR(IF(Z9+1&lt;=31,Z9+1,""),"")</f>
        <v>30</v>
      </c>
      <c r="AB9" s="89">
        <f t="shared" si="14"/>
        <v>31</v>
      </c>
      <c r="AC9" s="89" t="str">
        <f t="shared" si="14"/>
        <v/>
      </c>
      <c r="AD9" s="89" t="str">
        <f t="shared" si="14"/>
        <v/>
      </c>
      <c r="AE9" s="89" t="str">
        <f t="shared" si="14"/>
        <v/>
      </c>
      <c r="AF9" s="89" t="str">
        <f t="shared" si="14"/>
        <v/>
      </c>
      <c r="AG9" s="93"/>
    </row>
    <row r="10" spans="1:33" ht="24" customHeight="1">
      <c r="A10" s="11" t="s">
        <v>89</v>
      </c>
      <c r="D10" s="282"/>
      <c r="E10" s="90"/>
      <c r="F10" s="89" t="str">
        <f t="shared" ref="F10" si="15">IFERROR(IF(L9+1&lt;=31,L9+1,""),"")</f>
        <v/>
      </c>
      <c r="G10" s="89" t="str">
        <f t="shared" si="12"/>
        <v/>
      </c>
      <c r="H10" s="89" t="str">
        <f t="shared" si="12"/>
        <v/>
      </c>
      <c r="I10" s="89" t="str">
        <f t="shared" si="12"/>
        <v/>
      </c>
      <c r="J10" s="89" t="str">
        <f t="shared" si="12"/>
        <v/>
      </c>
      <c r="K10" s="89" t="str">
        <f t="shared" si="12"/>
        <v/>
      </c>
      <c r="L10" s="89" t="str">
        <f t="shared" si="12"/>
        <v/>
      </c>
      <c r="O10" s="90"/>
      <c r="P10" s="89" t="str">
        <f t="shared" ref="P10" si="16">IFERROR(IF(V9+1&lt;=31,V9+1,""),"")</f>
        <v/>
      </c>
      <c r="Q10" s="89" t="str">
        <f t="shared" si="13"/>
        <v/>
      </c>
      <c r="R10" s="89" t="str">
        <f t="shared" si="13"/>
        <v/>
      </c>
      <c r="S10" s="89" t="str">
        <f t="shared" si="13"/>
        <v/>
      </c>
      <c r="T10" s="89" t="str">
        <f t="shared" si="13"/>
        <v/>
      </c>
      <c r="U10" s="89" t="str">
        <f t="shared" si="13"/>
        <v/>
      </c>
      <c r="V10" s="89" t="str">
        <f t="shared" si="13"/>
        <v/>
      </c>
      <c r="Y10" s="90"/>
      <c r="Z10" s="89" t="str">
        <f t="shared" ref="Z10" si="17">IFERROR(IF(AF9+1&lt;=31,AF9+1,""),"")</f>
        <v/>
      </c>
      <c r="AA10" s="89" t="str">
        <f t="shared" si="14"/>
        <v/>
      </c>
      <c r="AB10" s="89" t="str">
        <f t="shared" si="14"/>
        <v/>
      </c>
      <c r="AC10" s="89" t="str">
        <f t="shared" si="14"/>
        <v/>
      </c>
      <c r="AD10" s="89" t="str">
        <f t="shared" si="14"/>
        <v/>
      </c>
      <c r="AE10" s="89" t="str">
        <f t="shared" si="14"/>
        <v/>
      </c>
      <c r="AF10" s="89" t="str">
        <f t="shared" si="14"/>
        <v/>
      </c>
    </row>
    <row r="11" spans="1:33" ht="24" customHeight="1">
      <c r="A11" s="20" t="s">
        <v>109</v>
      </c>
      <c r="D11" s="99"/>
      <c r="E11" s="99"/>
      <c r="F11" s="99">
        <v>0</v>
      </c>
      <c r="G11" s="99">
        <v>1</v>
      </c>
      <c r="H11" s="99">
        <v>2</v>
      </c>
      <c r="I11" s="99">
        <v>3</v>
      </c>
      <c r="J11" s="99">
        <v>4</v>
      </c>
      <c r="K11" s="99">
        <v>5</v>
      </c>
      <c r="L11" s="99">
        <v>6</v>
      </c>
      <c r="M11" s="100"/>
      <c r="N11" s="100"/>
      <c r="O11" s="99"/>
      <c r="P11" s="99">
        <v>0</v>
      </c>
      <c r="Q11" s="99">
        <v>1</v>
      </c>
      <c r="R11" s="99">
        <v>2</v>
      </c>
      <c r="S11" s="99">
        <v>3</v>
      </c>
      <c r="T11" s="99">
        <v>4</v>
      </c>
      <c r="U11" s="99">
        <v>5</v>
      </c>
      <c r="V11" s="99">
        <v>6</v>
      </c>
      <c r="W11" s="100"/>
      <c r="X11" s="100"/>
      <c r="Y11" s="100"/>
      <c r="Z11" s="99">
        <v>0</v>
      </c>
      <c r="AA11" s="99">
        <v>1</v>
      </c>
      <c r="AB11" s="99">
        <v>2</v>
      </c>
      <c r="AC11" s="99">
        <v>3</v>
      </c>
      <c r="AD11" s="99">
        <v>4</v>
      </c>
      <c r="AE11" s="99">
        <v>5</v>
      </c>
      <c r="AF11" s="99">
        <v>6</v>
      </c>
      <c r="AG11" s="100"/>
    </row>
    <row r="12" spans="1:33" ht="24" customHeight="1">
      <c r="A12" s="12" t="s">
        <v>105</v>
      </c>
      <c r="D12" s="281" t="s">
        <v>334</v>
      </c>
      <c r="E12" s="94"/>
      <c r="F12" s="279" t="s">
        <v>335</v>
      </c>
      <c r="G12" s="279"/>
      <c r="H12" s="279"/>
      <c r="I12" s="279"/>
      <c r="J12" s="279"/>
      <c r="K12" s="279"/>
      <c r="L12" s="279"/>
      <c r="M12" s="95"/>
      <c r="O12" s="94"/>
      <c r="P12" s="279" t="s">
        <v>337</v>
      </c>
      <c r="Q12" s="279"/>
      <c r="R12" s="279"/>
      <c r="S12" s="279"/>
      <c r="T12" s="279"/>
      <c r="U12" s="279"/>
      <c r="V12" s="279"/>
      <c r="W12" s="95"/>
      <c r="Y12" s="94"/>
      <c r="Z12" s="279" t="s">
        <v>338</v>
      </c>
      <c r="AA12" s="279"/>
      <c r="AB12" s="279"/>
      <c r="AC12" s="279"/>
      <c r="AD12" s="279"/>
      <c r="AE12" s="279"/>
      <c r="AF12" s="279"/>
      <c r="AG12" s="95"/>
    </row>
    <row r="13" spans="1:33" ht="24" customHeight="1" thickBot="1">
      <c r="A13" s="13" t="s">
        <v>98</v>
      </c>
      <c r="D13" s="281"/>
      <c r="E13" s="94"/>
      <c r="F13" s="91" t="s">
        <v>325</v>
      </c>
      <c r="G13" s="91" t="s">
        <v>327</v>
      </c>
      <c r="H13" s="91" t="s">
        <v>328</v>
      </c>
      <c r="I13" s="91" t="s">
        <v>329</v>
      </c>
      <c r="J13" s="91" t="s">
        <v>330</v>
      </c>
      <c r="K13" s="91" t="s">
        <v>331</v>
      </c>
      <c r="L13" s="91" t="s">
        <v>326</v>
      </c>
      <c r="M13" s="95"/>
      <c r="O13" s="94"/>
      <c r="P13" s="91" t="s">
        <v>325</v>
      </c>
      <c r="Q13" s="91" t="s">
        <v>327</v>
      </c>
      <c r="R13" s="91" t="s">
        <v>328</v>
      </c>
      <c r="S13" s="91" t="s">
        <v>329</v>
      </c>
      <c r="T13" s="91" t="s">
        <v>330</v>
      </c>
      <c r="U13" s="91" t="s">
        <v>331</v>
      </c>
      <c r="V13" s="91" t="s">
        <v>326</v>
      </c>
      <c r="W13" s="95"/>
      <c r="Y13" s="94"/>
      <c r="Z13" s="91" t="s">
        <v>325</v>
      </c>
      <c r="AA13" s="91" t="s">
        <v>327</v>
      </c>
      <c r="AB13" s="91" t="s">
        <v>328</v>
      </c>
      <c r="AC13" s="91" t="s">
        <v>329</v>
      </c>
      <c r="AD13" s="91" t="s">
        <v>330</v>
      </c>
      <c r="AE13" s="91" t="s">
        <v>331</v>
      </c>
      <c r="AF13" s="91" t="s">
        <v>326</v>
      </c>
      <c r="AG13" s="95"/>
    </row>
    <row r="14" spans="1:33" ht="24" customHeight="1">
      <c r="A14" s="104" t="s">
        <v>99</v>
      </c>
      <c r="D14" s="281"/>
      <c r="E14" s="94"/>
      <c r="F14" s="89" t="str">
        <f>IF(DayWeekNo($A$2&amp;"0401")=F11,1,IF(DayWeekNo($A$2&amp;"0401")&lt;F11,E14+1,""))</f>
        <v/>
      </c>
      <c r="G14" s="89" t="str">
        <f>IF(DayWeekNo($A$2&amp;"0401")=G11,1,IF(DayWeekNo($A$2&amp;"0401")&lt;G11,F14+1,""))</f>
        <v/>
      </c>
      <c r="H14" s="89" t="str">
        <f>IF(DayWeekNo($A$2&amp;"0401")=H11,1,IF(DayWeekNo($A$2&amp;"0401")&lt;H11,G14+1,""))</f>
        <v/>
      </c>
      <c r="I14" s="89">
        <f>IF(DayWeekNo($A$2&amp;"0401")=I11,1,IF(DayWeekNo($A$2&amp;"0401")&lt;I11,H14+1,""))</f>
        <v>1</v>
      </c>
      <c r="J14" s="89">
        <f>IF(DayWeekNo($A$2&amp;"0401")=J11,1,IF(DayWeekNo($A$2&amp;"0401")&lt;J11,I14+1,""))</f>
        <v>2</v>
      </c>
      <c r="K14" s="89">
        <f>IF(DayWeekNo($A$2&amp;"0401")=K11,1,IF(DayWeekNo($A$2&amp;"0401")&lt;K11,J14+1,""))</f>
        <v>3</v>
      </c>
      <c r="L14" s="89">
        <f>IF(DayWeekNo($A$2&amp;"0401")=L11,1,IF(DayWeekNo($A$2&amp;"0401")&lt;L11,K14+1,""))</f>
        <v>4</v>
      </c>
      <c r="M14" s="93"/>
      <c r="O14" s="94"/>
      <c r="P14" s="89" t="str">
        <f>IF(DayWeekNo($A$2&amp;"0501")=P11,1,IF(DayWeekNo($A$2&amp;"0501")&lt;P11,O14+1,""))</f>
        <v/>
      </c>
      <c r="Q14" s="89" t="str">
        <f>IF(DayWeekNo($A$2&amp;"0501")=Q11,1,IF(DayWeekNo($A$2&amp;"0501")&lt;Q11,P14+1,""))</f>
        <v/>
      </c>
      <c r="R14" s="89" t="str">
        <f>IF(DayWeekNo($A$2&amp;"0501")=R11,1,IF(DayWeekNo($A$2&amp;"0501")&lt;R11,Q14+1,""))</f>
        <v/>
      </c>
      <c r="S14" s="89" t="str">
        <f>IF(DayWeekNo($A$2&amp;"0501")=S11,1,IF(DayWeekNo($A$2&amp;"0501")&lt;S11,R14+1,""))</f>
        <v/>
      </c>
      <c r="T14" s="89" t="str">
        <f>IF(DayWeekNo($A$2&amp;"0501")=T11,1,IF(DayWeekNo($A$2&amp;"0501")&lt;T11,S14+1,""))</f>
        <v/>
      </c>
      <c r="U14" s="89" t="str">
        <f>IF(DayWeekNo($A$2&amp;"0501")=U11,1,IF(DayWeekNo($A$2&amp;"0501")&lt;U11,T14+1,""))</f>
        <v/>
      </c>
      <c r="V14" s="89">
        <f>IF(DayWeekNo($A$2&amp;"0501")=V11,1,IF(DayWeekNo($A$2&amp;"0501")&lt;V11,U14+1,""))</f>
        <v>1</v>
      </c>
      <c r="W14" s="93"/>
      <c r="Y14" s="94"/>
      <c r="Z14" s="89" t="str">
        <f>IF(DayWeekNo($A$2&amp;"0601")=Z11,1,IF(DayWeekNo($A$2&amp;"0601")&lt;Z11,Y14+1,""))</f>
        <v/>
      </c>
      <c r="AA14" s="89" t="str">
        <f>IF(DayWeekNo($A$2&amp;"0601")=AA11,1,IF(DayWeekNo($A$2&amp;"0601")&lt;AA11,Z14+1,""))</f>
        <v/>
      </c>
      <c r="AB14" s="89">
        <f>IF(DayWeekNo($A$2&amp;"0601")=AB11,1,IF(DayWeekNo($A$2&amp;"0601")&lt;AB11,AA14+1,""))</f>
        <v>1</v>
      </c>
      <c r="AC14" s="89">
        <f>IF(DayWeekNo($A$2&amp;"0601")=AC11,1,IF(DayWeekNo($A$2&amp;"0601")&lt;AC11,AB14+1,""))</f>
        <v>2</v>
      </c>
      <c r="AD14" s="89">
        <f>IF(DayWeekNo($A$2&amp;"0601")=AD11,1,IF(DayWeekNo($A$2&amp;"0601")&lt;AD11,AC14+1,""))</f>
        <v>3</v>
      </c>
      <c r="AE14" s="89">
        <f>IF(DayWeekNo($A$2&amp;"0601")=AE11,1,IF(DayWeekNo($A$2&amp;"0601")&lt;AE11,AD14+1,""))</f>
        <v>4</v>
      </c>
      <c r="AF14" s="89">
        <f>IF(DayWeekNo($A$2&amp;"0601")=AF11,1,IF(DayWeekNo($A$2&amp;"0601")&lt;AF11,AE14+1,""))</f>
        <v>5</v>
      </c>
      <c r="AG14" s="93"/>
    </row>
    <row r="15" spans="1:33" ht="24" customHeight="1">
      <c r="A15" s="86" t="s">
        <v>100</v>
      </c>
      <c r="D15" s="281"/>
      <c r="E15" s="94"/>
      <c r="F15" s="89">
        <f>IFERROR(IF(L14+1&lt;=31,L14+1,""),"")</f>
        <v>5</v>
      </c>
      <c r="G15" s="89">
        <f>IFERROR(IF(F15+1&lt;=31,F15+1,""),"")</f>
        <v>6</v>
      </c>
      <c r="H15" s="89">
        <f t="shared" ref="H15:L15" si="18">IFERROR(IF(G15+1&lt;=31,G15+1,""),"")</f>
        <v>7</v>
      </c>
      <c r="I15" s="89">
        <f t="shared" si="18"/>
        <v>8</v>
      </c>
      <c r="J15" s="89">
        <f t="shared" si="18"/>
        <v>9</v>
      </c>
      <c r="K15" s="89">
        <f t="shared" si="18"/>
        <v>10</v>
      </c>
      <c r="L15" s="89">
        <f t="shared" si="18"/>
        <v>11</v>
      </c>
      <c r="M15" s="93"/>
      <c r="O15" s="94"/>
      <c r="P15" s="89">
        <f>IFERROR(IF(V14+1&lt;=31,V14+1,""),"")</f>
        <v>2</v>
      </c>
      <c r="Q15" s="89">
        <f>IFERROR(IF(P15+1&lt;=31,P15+1,""),"")</f>
        <v>3</v>
      </c>
      <c r="R15" s="89">
        <f t="shared" ref="R15:V15" si="19">IFERROR(IF(Q15+1&lt;=31,Q15+1,""),"")</f>
        <v>4</v>
      </c>
      <c r="S15" s="89">
        <f t="shared" si="19"/>
        <v>5</v>
      </c>
      <c r="T15" s="89">
        <f t="shared" si="19"/>
        <v>6</v>
      </c>
      <c r="U15" s="89">
        <f t="shared" si="19"/>
        <v>7</v>
      </c>
      <c r="V15" s="89">
        <f t="shared" si="19"/>
        <v>8</v>
      </c>
      <c r="W15" s="93"/>
      <c r="Y15" s="94"/>
      <c r="Z15" s="89">
        <f>IFERROR(IF(AF14+1&lt;=31,AF14+1,""),"")</f>
        <v>6</v>
      </c>
      <c r="AA15" s="89">
        <f>IFERROR(IF(Z15+1&lt;=31,Z15+1,""),"")</f>
        <v>7</v>
      </c>
      <c r="AB15" s="89">
        <f t="shared" ref="AB15:AF15" si="20">IFERROR(IF(AA15+1&lt;=31,AA15+1,""),"")</f>
        <v>8</v>
      </c>
      <c r="AC15" s="89">
        <f t="shared" si="20"/>
        <v>9</v>
      </c>
      <c r="AD15" s="89">
        <f t="shared" si="20"/>
        <v>10</v>
      </c>
      <c r="AE15" s="89">
        <f t="shared" si="20"/>
        <v>11</v>
      </c>
      <c r="AF15" s="89">
        <f t="shared" si="20"/>
        <v>12</v>
      </c>
      <c r="AG15" s="93"/>
    </row>
    <row r="16" spans="1:33" ht="24" customHeight="1">
      <c r="D16" s="281"/>
      <c r="E16" s="94"/>
      <c r="F16" s="89">
        <f t="shared" ref="F16:F18" si="21">IFERROR(IF(L15+1&lt;=31,L15+1,""),"")</f>
        <v>12</v>
      </c>
      <c r="G16" s="89">
        <f t="shared" ref="G16:L16" si="22">IFERROR(IF(F16+1&lt;=31,F16+1,""),"")</f>
        <v>13</v>
      </c>
      <c r="H16" s="89">
        <f t="shared" si="22"/>
        <v>14</v>
      </c>
      <c r="I16" s="89">
        <f t="shared" si="22"/>
        <v>15</v>
      </c>
      <c r="J16" s="89">
        <f t="shared" si="22"/>
        <v>16</v>
      </c>
      <c r="K16" s="89">
        <f t="shared" si="22"/>
        <v>17</v>
      </c>
      <c r="L16" s="89">
        <f t="shared" si="22"/>
        <v>18</v>
      </c>
      <c r="M16" s="93"/>
      <c r="O16" s="94"/>
      <c r="P16" s="89">
        <f t="shared" ref="P16:P18" si="23">IFERROR(IF(V15+1&lt;=31,V15+1,""),"")</f>
        <v>9</v>
      </c>
      <c r="Q16" s="89">
        <f t="shared" ref="Q16:V16" si="24">IFERROR(IF(P16+1&lt;=31,P16+1,""),"")</f>
        <v>10</v>
      </c>
      <c r="R16" s="89">
        <f t="shared" si="24"/>
        <v>11</v>
      </c>
      <c r="S16" s="89">
        <f t="shared" si="24"/>
        <v>12</v>
      </c>
      <c r="T16" s="89">
        <f t="shared" si="24"/>
        <v>13</v>
      </c>
      <c r="U16" s="89">
        <f t="shared" si="24"/>
        <v>14</v>
      </c>
      <c r="V16" s="89">
        <f t="shared" si="24"/>
        <v>15</v>
      </c>
      <c r="W16" s="93"/>
      <c r="Y16" s="94"/>
      <c r="Z16" s="89">
        <f t="shared" ref="Z16:Z19" si="25">IFERROR(IF(AF15+1&lt;=31,AF15+1,""),"")</f>
        <v>13</v>
      </c>
      <c r="AA16" s="89">
        <f t="shared" ref="AA16:AF16" si="26">IFERROR(IF(Z16+1&lt;=31,Z16+1,""),"")</f>
        <v>14</v>
      </c>
      <c r="AB16" s="89">
        <f t="shared" si="26"/>
        <v>15</v>
      </c>
      <c r="AC16" s="89">
        <f t="shared" si="26"/>
        <v>16</v>
      </c>
      <c r="AD16" s="89">
        <f t="shared" si="26"/>
        <v>17</v>
      </c>
      <c r="AE16" s="89">
        <f t="shared" si="26"/>
        <v>18</v>
      </c>
      <c r="AF16" s="89">
        <f t="shared" si="26"/>
        <v>19</v>
      </c>
      <c r="AG16" s="93"/>
    </row>
    <row r="17" spans="4:33" ht="21">
      <c r="D17" s="281"/>
      <c r="E17" s="94"/>
      <c r="F17" s="89">
        <f t="shared" si="21"/>
        <v>19</v>
      </c>
      <c r="G17" s="89">
        <f t="shared" ref="G17:L17" si="27">IFERROR(IF(F17+1&lt;=31,F17+1,""),"")</f>
        <v>20</v>
      </c>
      <c r="H17" s="89">
        <f t="shared" si="27"/>
        <v>21</v>
      </c>
      <c r="I17" s="89">
        <f t="shared" si="27"/>
        <v>22</v>
      </c>
      <c r="J17" s="89">
        <f t="shared" si="27"/>
        <v>23</v>
      </c>
      <c r="K17" s="89">
        <f t="shared" si="27"/>
        <v>24</v>
      </c>
      <c r="L17" s="89">
        <f t="shared" si="27"/>
        <v>25</v>
      </c>
      <c r="M17" s="93"/>
      <c r="O17" s="94"/>
      <c r="P17" s="89">
        <f t="shared" si="23"/>
        <v>16</v>
      </c>
      <c r="Q17" s="89">
        <f t="shared" ref="Q17:V17" si="28">IFERROR(IF(P17+1&lt;=31,P17+1,""),"")</f>
        <v>17</v>
      </c>
      <c r="R17" s="89">
        <f t="shared" si="28"/>
        <v>18</v>
      </c>
      <c r="S17" s="89">
        <f t="shared" si="28"/>
        <v>19</v>
      </c>
      <c r="T17" s="89">
        <f t="shared" si="28"/>
        <v>20</v>
      </c>
      <c r="U17" s="89">
        <f t="shared" si="28"/>
        <v>21</v>
      </c>
      <c r="V17" s="89">
        <f t="shared" si="28"/>
        <v>22</v>
      </c>
      <c r="W17" s="93"/>
      <c r="Y17" s="94"/>
      <c r="Z17" s="89">
        <f t="shared" si="25"/>
        <v>20</v>
      </c>
      <c r="AA17" s="89">
        <f t="shared" ref="AA17:AF17" si="29">IFERROR(IF(Z17+1&lt;=31,Z17+1,""),"")</f>
        <v>21</v>
      </c>
      <c r="AB17" s="89">
        <f t="shared" si="29"/>
        <v>22</v>
      </c>
      <c r="AC17" s="89">
        <f t="shared" si="29"/>
        <v>23</v>
      </c>
      <c r="AD17" s="89">
        <f t="shared" si="29"/>
        <v>24</v>
      </c>
      <c r="AE17" s="89">
        <f t="shared" si="29"/>
        <v>25</v>
      </c>
      <c r="AF17" s="89">
        <f t="shared" si="29"/>
        <v>26</v>
      </c>
      <c r="AG17" s="93"/>
    </row>
    <row r="18" spans="4:33" ht="21">
      <c r="D18" s="281"/>
      <c r="E18" s="94"/>
      <c r="F18" s="89">
        <f t="shared" si="21"/>
        <v>26</v>
      </c>
      <c r="G18" s="89">
        <f t="shared" ref="G18:L19" si="30">IFERROR(IF(F18+1&lt;=31,F18+1,""),"")</f>
        <v>27</v>
      </c>
      <c r="H18" s="89">
        <f t="shared" si="30"/>
        <v>28</v>
      </c>
      <c r="I18" s="89">
        <f t="shared" si="30"/>
        <v>29</v>
      </c>
      <c r="J18" s="89">
        <f t="shared" si="30"/>
        <v>30</v>
      </c>
      <c r="K18" s="89">
        <f t="shared" si="30"/>
        <v>31</v>
      </c>
      <c r="L18" s="89" t="str">
        <f t="shared" si="30"/>
        <v/>
      </c>
      <c r="M18" s="93"/>
      <c r="O18" s="94"/>
      <c r="P18" s="89">
        <f t="shared" si="23"/>
        <v>23</v>
      </c>
      <c r="Q18" s="89">
        <f t="shared" ref="Q18:V19" si="31">IFERROR(IF(P18+1&lt;=31,P18+1,""),"")</f>
        <v>24</v>
      </c>
      <c r="R18" s="89">
        <f t="shared" si="31"/>
        <v>25</v>
      </c>
      <c r="S18" s="89">
        <f t="shared" si="31"/>
        <v>26</v>
      </c>
      <c r="T18" s="89">
        <f t="shared" si="31"/>
        <v>27</v>
      </c>
      <c r="U18" s="89">
        <f t="shared" si="31"/>
        <v>28</v>
      </c>
      <c r="V18" s="89">
        <f t="shared" si="31"/>
        <v>29</v>
      </c>
      <c r="W18" s="93"/>
      <c r="Y18" s="94"/>
      <c r="Z18" s="89">
        <f t="shared" si="25"/>
        <v>27</v>
      </c>
      <c r="AA18" s="89">
        <f t="shared" ref="AA18:AF18" si="32">IFERROR(IF(Z18+1&lt;=31,Z18+1,""),"")</f>
        <v>28</v>
      </c>
      <c r="AB18" s="89">
        <f t="shared" si="32"/>
        <v>29</v>
      </c>
      <c r="AC18" s="89">
        <f t="shared" si="32"/>
        <v>30</v>
      </c>
      <c r="AD18" s="89">
        <f t="shared" si="32"/>
        <v>31</v>
      </c>
      <c r="AE18" s="89" t="str">
        <f t="shared" si="32"/>
        <v/>
      </c>
      <c r="AF18" s="89" t="str">
        <f t="shared" si="32"/>
        <v/>
      </c>
      <c r="AG18" s="93"/>
    </row>
    <row r="19" spans="4:33" ht="21">
      <c r="D19" s="281"/>
      <c r="E19" s="95"/>
      <c r="F19" s="89" t="str">
        <f t="shared" ref="F19" si="33">IFERROR(IF(L18+1&lt;=31,L18+1,""),"")</f>
        <v/>
      </c>
      <c r="G19" s="89" t="str">
        <f t="shared" si="30"/>
        <v/>
      </c>
      <c r="H19" s="89" t="str">
        <f t="shared" si="30"/>
        <v/>
      </c>
      <c r="I19" s="89" t="str">
        <f t="shared" si="30"/>
        <v/>
      </c>
      <c r="J19" s="89" t="str">
        <f t="shared" si="30"/>
        <v/>
      </c>
      <c r="K19" s="89" t="str">
        <f t="shared" si="30"/>
        <v/>
      </c>
      <c r="L19" s="89" t="str">
        <f t="shared" si="30"/>
        <v/>
      </c>
      <c r="O19" s="95"/>
      <c r="P19" s="89">
        <f t="shared" ref="P19" si="34">IFERROR(IF(V18+1&lt;=31,V18+1,""),"")</f>
        <v>30</v>
      </c>
      <c r="Q19" s="89">
        <f t="shared" si="31"/>
        <v>31</v>
      </c>
      <c r="R19" s="89" t="str">
        <f t="shared" si="31"/>
        <v/>
      </c>
      <c r="S19" s="89" t="str">
        <f t="shared" si="31"/>
        <v/>
      </c>
      <c r="T19" s="89" t="str">
        <f t="shared" si="31"/>
        <v/>
      </c>
      <c r="U19" s="89" t="str">
        <f t="shared" si="31"/>
        <v/>
      </c>
      <c r="V19" s="89" t="str">
        <f t="shared" si="31"/>
        <v/>
      </c>
      <c r="Y19" s="95"/>
      <c r="Z19" s="89" t="str">
        <f t="shared" si="25"/>
        <v/>
      </c>
      <c r="AA19" s="89" t="str">
        <f t="shared" ref="AA19:AF19" si="35">IFERROR(IF(Z19+1&lt;=31,Z19+1,""),"")</f>
        <v/>
      </c>
      <c r="AB19" s="89" t="str">
        <f t="shared" si="35"/>
        <v/>
      </c>
      <c r="AC19" s="89" t="str">
        <f t="shared" si="35"/>
        <v/>
      </c>
      <c r="AD19" s="89" t="str">
        <f t="shared" si="35"/>
        <v/>
      </c>
      <c r="AE19" s="89" t="str">
        <f t="shared" si="35"/>
        <v/>
      </c>
      <c r="AF19" s="89" t="str">
        <f t="shared" si="35"/>
        <v/>
      </c>
    </row>
    <row r="20" spans="4:33" ht="21">
      <c r="D20" s="99"/>
      <c r="E20" s="99"/>
      <c r="F20" s="99">
        <v>0</v>
      </c>
      <c r="G20" s="99">
        <v>1</v>
      </c>
      <c r="H20" s="99">
        <v>2</v>
      </c>
      <c r="I20" s="99">
        <v>3</v>
      </c>
      <c r="J20" s="99">
        <v>4</v>
      </c>
      <c r="K20" s="99">
        <v>5</v>
      </c>
      <c r="L20" s="99">
        <v>6</v>
      </c>
      <c r="M20" s="100"/>
      <c r="N20" s="100"/>
      <c r="O20" s="99"/>
      <c r="P20" s="99">
        <v>0</v>
      </c>
      <c r="Q20" s="99">
        <v>1</v>
      </c>
      <c r="R20" s="99">
        <v>2</v>
      </c>
      <c r="S20" s="99">
        <v>3</v>
      </c>
      <c r="T20" s="99">
        <v>4</v>
      </c>
      <c r="U20" s="99">
        <v>5</v>
      </c>
      <c r="V20" s="99">
        <v>6</v>
      </c>
      <c r="W20" s="100"/>
      <c r="X20" s="100"/>
      <c r="Y20" s="99"/>
      <c r="Z20" s="99">
        <v>0</v>
      </c>
      <c r="AA20" s="99">
        <v>1</v>
      </c>
      <c r="AB20" s="99">
        <v>2</v>
      </c>
      <c r="AC20" s="99">
        <v>3</v>
      </c>
      <c r="AD20" s="99">
        <v>4</v>
      </c>
      <c r="AE20" s="99">
        <v>5</v>
      </c>
      <c r="AF20" s="99">
        <v>6</v>
      </c>
      <c r="AG20" s="100"/>
    </row>
    <row r="21" spans="4:33" ht="25.5">
      <c r="D21" s="286" t="s">
        <v>339</v>
      </c>
      <c r="E21" s="96"/>
      <c r="F21" s="283" t="s">
        <v>340</v>
      </c>
      <c r="G21" s="283"/>
      <c r="H21" s="283"/>
      <c r="I21" s="283"/>
      <c r="J21" s="283"/>
      <c r="K21" s="283"/>
      <c r="L21" s="283"/>
      <c r="M21" s="98"/>
      <c r="O21" s="96"/>
      <c r="P21" s="283" t="s">
        <v>341</v>
      </c>
      <c r="Q21" s="283"/>
      <c r="R21" s="283"/>
      <c r="S21" s="283"/>
      <c r="T21" s="283"/>
      <c r="U21" s="283"/>
      <c r="V21" s="283"/>
      <c r="W21" s="98"/>
      <c r="Y21" s="96"/>
      <c r="Z21" s="283" t="s">
        <v>341</v>
      </c>
      <c r="AA21" s="283"/>
      <c r="AB21" s="283"/>
      <c r="AC21" s="283"/>
      <c r="AD21" s="283"/>
      <c r="AE21" s="283"/>
      <c r="AF21" s="283"/>
      <c r="AG21" s="98"/>
    </row>
    <row r="22" spans="4:33" ht="21.75" thickBot="1">
      <c r="D22" s="286"/>
      <c r="E22" s="96"/>
      <c r="F22" s="91" t="s">
        <v>325</v>
      </c>
      <c r="G22" s="91" t="s">
        <v>327</v>
      </c>
      <c r="H22" s="91" t="s">
        <v>328</v>
      </c>
      <c r="I22" s="91" t="s">
        <v>329</v>
      </c>
      <c r="J22" s="91" t="s">
        <v>330</v>
      </c>
      <c r="K22" s="91" t="s">
        <v>331</v>
      </c>
      <c r="L22" s="91" t="s">
        <v>326</v>
      </c>
      <c r="M22" s="98"/>
      <c r="O22" s="96"/>
      <c r="P22" s="91" t="s">
        <v>325</v>
      </c>
      <c r="Q22" s="91" t="s">
        <v>327</v>
      </c>
      <c r="R22" s="91" t="s">
        <v>328</v>
      </c>
      <c r="S22" s="91" t="s">
        <v>329</v>
      </c>
      <c r="T22" s="91" t="s">
        <v>330</v>
      </c>
      <c r="U22" s="91" t="s">
        <v>331</v>
      </c>
      <c r="V22" s="91" t="s">
        <v>326</v>
      </c>
      <c r="W22" s="98"/>
      <c r="Y22" s="96"/>
      <c r="Z22" s="91" t="s">
        <v>325</v>
      </c>
      <c r="AA22" s="91" t="s">
        <v>327</v>
      </c>
      <c r="AB22" s="91" t="s">
        <v>328</v>
      </c>
      <c r="AC22" s="91" t="s">
        <v>329</v>
      </c>
      <c r="AD22" s="91" t="s">
        <v>330</v>
      </c>
      <c r="AE22" s="91" t="s">
        <v>331</v>
      </c>
      <c r="AF22" s="91" t="s">
        <v>326</v>
      </c>
      <c r="AG22" s="98"/>
    </row>
    <row r="23" spans="4:33" ht="21">
      <c r="D23" s="286"/>
      <c r="E23" s="96"/>
      <c r="F23" s="89" t="str">
        <f>IF(DayWeekNo($A$2&amp;"0701")=F20,1,IF(DayWeekNo($A$2&amp;"0701")&lt;F20,E23+1,""))</f>
        <v/>
      </c>
      <c r="G23" s="89" t="str">
        <f>IF(DayWeekNo($A$2&amp;"0701")=G20,1,IF(DayWeekNo($A$2&amp;"0701")&lt;G20,F23+1,""))</f>
        <v/>
      </c>
      <c r="H23" s="89" t="str">
        <f>IF(DayWeekNo($A$2&amp;"0701")=H20,1,IF(DayWeekNo($A$2&amp;"0701")&lt;H20,G23+1,""))</f>
        <v/>
      </c>
      <c r="I23" s="89" t="str">
        <f>IF(DayWeekNo($A$2&amp;"0701")=I20,1,IF(DayWeekNo($A$2&amp;"0701")&lt;I20,H23+1,""))</f>
        <v/>
      </c>
      <c r="J23" s="89" t="str">
        <f>IF(DayWeekNo($A$2&amp;"0701")=J20,1,IF(DayWeekNo($A$2&amp;"0701")&lt;J20,I23+1,""))</f>
        <v/>
      </c>
      <c r="K23" s="89">
        <f>IF(DayWeekNo($A$2&amp;"0701")=K20,1,IF(DayWeekNo($A$2&amp;"0701")&lt;K20,J23+1,""))</f>
        <v>1</v>
      </c>
      <c r="L23" s="89">
        <f>IF(DayWeekNo($A$2&amp;"0701")=L20,1,IF(DayWeekNo($A$2&amp;"0701")&lt;L20,K23+1,""))</f>
        <v>2</v>
      </c>
      <c r="M23" s="93"/>
      <c r="O23" s="96"/>
      <c r="P23" s="89">
        <f>IF(DayWeekNo($A$2&amp;"0801")=P20,1,IF(DayWeekNo($A$2&amp;"0801")&lt;P20,O23+1,""))</f>
        <v>1</v>
      </c>
      <c r="Q23" s="89">
        <f>IF(DayWeekNo($A$2&amp;"0801")=Q20,1,IF(DayWeekNo($A$2&amp;"0801")&lt;Q20,P23+1,""))</f>
        <v>2</v>
      </c>
      <c r="R23" s="89">
        <f>IF(DayWeekNo($A$2&amp;"0801")=R20,1,IF(DayWeekNo($A$2&amp;"0801")&lt;R20,Q23+1,""))</f>
        <v>3</v>
      </c>
      <c r="S23" s="89">
        <f>IF(DayWeekNo($A$2&amp;"0801")=S20,1,IF(DayWeekNo($A$2&amp;"0801")&lt;S20,R23+1,""))</f>
        <v>4</v>
      </c>
      <c r="T23" s="89">
        <f>IF(DayWeekNo($A$2&amp;"0801")=T20,1,IF(DayWeekNo($A$2&amp;"0801")&lt;T20,S23+1,""))</f>
        <v>5</v>
      </c>
      <c r="U23" s="89">
        <f>IF(DayWeekNo($A$2&amp;"0801")=U20,1,IF(DayWeekNo($A$2&amp;"0801")&lt;U20,T23+1,""))</f>
        <v>6</v>
      </c>
      <c r="V23" s="89">
        <f>IF(DayWeekNo($A$2&amp;"0801")=V20,1,IF(DayWeekNo($A$2&amp;"0801")&lt;V20,U23+1,""))</f>
        <v>7</v>
      </c>
      <c r="W23" s="93"/>
      <c r="Y23" s="96"/>
      <c r="Z23" s="89" t="str">
        <f>IF(DayWeekNo($A$2&amp;"0901")=Z20,1,IF(DayWeekNo($A$2&amp;"0901")&lt;Z20,Y23+1,""))</f>
        <v/>
      </c>
      <c r="AA23" s="89" t="str">
        <f>IF(DayWeekNo($A$2&amp;"0901")=AA20,1,IF(DayWeekNo($A$2&amp;"0901")&lt;AA20,Z23+1,""))</f>
        <v/>
      </c>
      <c r="AB23" s="89">
        <f>IF(DayWeekNo($A$2&amp;"0901")=AB20,1,IF(DayWeekNo($A$2&amp;"0901")&lt;AB20,AA23+1,""))</f>
        <v>1</v>
      </c>
      <c r="AC23" s="89">
        <f>IF(DayWeekNo($A$2&amp;"0901")=AC20,1,IF(DayWeekNo($A$2&amp;"0901")&lt;AC20,AB23+1,""))</f>
        <v>2</v>
      </c>
      <c r="AD23" s="89">
        <f>IF(DayWeekNo($A$2&amp;"0901")=AD20,1,IF(DayWeekNo($A$2&amp;"0901")&lt;AD20,AC23+1,""))</f>
        <v>3</v>
      </c>
      <c r="AE23" s="89">
        <f>IF(DayWeekNo($A$2&amp;"0901")=AE20,1,IF(DayWeekNo($A$2&amp;"0901")&lt;AE20,AD23+1,""))</f>
        <v>4</v>
      </c>
      <c r="AF23" s="89">
        <f>IF(DayWeekNo($A$2&amp;"0901")=AF20,1,IF(DayWeekNo($A$2&amp;"0901")&lt;AF20,AE23+1,""))</f>
        <v>5</v>
      </c>
      <c r="AG23" s="93"/>
    </row>
    <row r="24" spans="4:33" ht="21">
      <c r="D24" s="286"/>
      <c r="E24" s="96"/>
      <c r="F24" s="89">
        <f>IFERROR(IF(L23+1&lt;=30,L23+1,""),"")</f>
        <v>3</v>
      </c>
      <c r="G24" s="89">
        <f>IFERROR(IF(F24+1&lt;=30,F24+1,""),"")</f>
        <v>4</v>
      </c>
      <c r="H24" s="89">
        <f t="shared" ref="H24:L24" si="36">IFERROR(IF(G24+1&lt;=30,G24+1,""),"")</f>
        <v>5</v>
      </c>
      <c r="I24" s="89">
        <f t="shared" si="36"/>
        <v>6</v>
      </c>
      <c r="J24" s="89">
        <f t="shared" si="36"/>
        <v>7</v>
      </c>
      <c r="K24" s="89">
        <f t="shared" si="36"/>
        <v>8</v>
      </c>
      <c r="L24" s="89">
        <f t="shared" si="36"/>
        <v>9</v>
      </c>
      <c r="M24" s="93"/>
      <c r="O24" s="96"/>
      <c r="P24" s="89">
        <f>IFERROR(IF(V23+1&lt;=30,V23+1,""),"")</f>
        <v>8</v>
      </c>
      <c r="Q24" s="89">
        <f>IFERROR(IF(P24+1&lt;=30,P24+1,""),"")</f>
        <v>9</v>
      </c>
      <c r="R24" s="89">
        <f t="shared" ref="R24:V24" si="37">IFERROR(IF(Q24+1&lt;=30,Q24+1,""),"")</f>
        <v>10</v>
      </c>
      <c r="S24" s="89">
        <f t="shared" si="37"/>
        <v>11</v>
      </c>
      <c r="T24" s="89">
        <f t="shared" si="37"/>
        <v>12</v>
      </c>
      <c r="U24" s="89">
        <f t="shared" si="37"/>
        <v>13</v>
      </c>
      <c r="V24" s="89">
        <f t="shared" si="37"/>
        <v>14</v>
      </c>
      <c r="W24" s="93"/>
      <c r="Y24" s="96"/>
      <c r="Z24" s="89">
        <f>IFERROR(IF(AF23+1&lt;=30,AF23+1,""),"")</f>
        <v>6</v>
      </c>
      <c r="AA24" s="89">
        <f>IFERROR(IF(Z24+1&lt;=30,Z24+1,""),"")</f>
        <v>7</v>
      </c>
      <c r="AB24" s="89">
        <f t="shared" ref="AB24:AF24" si="38">IFERROR(IF(AA24+1&lt;=30,AA24+1,""),"")</f>
        <v>8</v>
      </c>
      <c r="AC24" s="89">
        <f t="shared" si="38"/>
        <v>9</v>
      </c>
      <c r="AD24" s="89">
        <f t="shared" si="38"/>
        <v>10</v>
      </c>
      <c r="AE24" s="89">
        <f t="shared" si="38"/>
        <v>11</v>
      </c>
      <c r="AF24" s="89">
        <f t="shared" si="38"/>
        <v>12</v>
      </c>
      <c r="AG24" s="93"/>
    </row>
    <row r="25" spans="4:33" ht="21">
      <c r="D25" s="286"/>
      <c r="E25" s="96"/>
      <c r="F25" s="89">
        <f t="shared" ref="F25:F28" si="39">IFERROR(IF(L24+1&lt;=30,L24+1,""),"")</f>
        <v>10</v>
      </c>
      <c r="G25" s="89">
        <f t="shared" ref="G25:L25" si="40">IFERROR(IF(F25+1&lt;=30,F25+1,""),"")</f>
        <v>11</v>
      </c>
      <c r="H25" s="89">
        <f t="shared" si="40"/>
        <v>12</v>
      </c>
      <c r="I25" s="89">
        <f t="shared" si="40"/>
        <v>13</v>
      </c>
      <c r="J25" s="89">
        <f t="shared" si="40"/>
        <v>14</v>
      </c>
      <c r="K25" s="89">
        <f t="shared" si="40"/>
        <v>15</v>
      </c>
      <c r="L25" s="89">
        <f t="shared" si="40"/>
        <v>16</v>
      </c>
      <c r="M25" s="93"/>
      <c r="O25" s="96"/>
      <c r="P25" s="89">
        <f t="shared" ref="P25:P28" si="41">IFERROR(IF(V24+1&lt;=30,V24+1,""),"")</f>
        <v>15</v>
      </c>
      <c r="Q25" s="89">
        <f t="shared" ref="Q25:V25" si="42">IFERROR(IF(P25+1&lt;=30,P25+1,""),"")</f>
        <v>16</v>
      </c>
      <c r="R25" s="89">
        <f t="shared" si="42"/>
        <v>17</v>
      </c>
      <c r="S25" s="89">
        <f t="shared" si="42"/>
        <v>18</v>
      </c>
      <c r="T25" s="89">
        <f t="shared" si="42"/>
        <v>19</v>
      </c>
      <c r="U25" s="89">
        <f t="shared" si="42"/>
        <v>20</v>
      </c>
      <c r="V25" s="89">
        <f t="shared" si="42"/>
        <v>21</v>
      </c>
      <c r="W25" s="93"/>
      <c r="Y25" s="96"/>
      <c r="Z25" s="89">
        <f t="shared" ref="Z25:Z28" si="43">IFERROR(IF(AF24+1&lt;=30,AF24+1,""),"")</f>
        <v>13</v>
      </c>
      <c r="AA25" s="89">
        <f t="shared" ref="AA25:AF25" si="44">IFERROR(IF(Z25+1&lt;=30,Z25+1,""),"")</f>
        <v>14</v>
      </c>
      <c r="AB25" s="89">
        <f t="shared" si="44"/>
        <v>15</v>
      </c>
      <c r="AC25" s="89">
        <f t="shared" si="44"/>
        <v>16</v>
      </c>
      <c r="AD25" s="89">
        <f t="shared" si="44"/>
        <v>17</v>
      </c>
      <c r="AE25" s="89">
        <f t="shared" si="44"/>
        <v>18</v>
      </c>
      <c r="AF25" s="89">
        <f t="shared" si="44"/>
        <v>19</v>
      </c>
      <c r="AG25" s="93"/>
    </row>
    <row r="26" spans="4:33" ht="21">
      <c r="D26" s="286"/>
      <c r="E26" s="96"/>
      <c r="F26" s="89">
        <f t="shared" si="39"/>
        <v>17</v>
      </c>
      <c r="G26" s="89">
        <f t="shared" ref="G26:L26" si="45">IFERROR(IF(F26+1&lt;=30,F26+1,""),"")</f>
        <v>18</v>
      </c>
      <c r="H26" s="89">
        <f t="shared" si="45"/>
        <v>19</v>
      </c>
      <c r="I26" s="89">
        <f t="shared" si="45"/>
        <v>20</v>
      </c>
      <c r="J26" s="89">
        <f t="shared" si="45"/>
        <v>21</v>
      </c>
      <c r="K26" s="89">
        <f t="shared" si="45"/>
        <v>22</v>
      </c>
      <c r="L26" s="89">
        <f t="shared" si="45"/>
        <v>23</v>
      </c>
      <c r="M26" s="93"/>
      <c r="O26" s="96"/>
      <c r="P26" s="89">
        <f t="shared" si="41"/>
        <v>22</v>
      </c>
      <c r="Q26" s="89">
        <f t="shared" ref="Q26:V26" si="46">IFERROR(IF(P26+1&lt;=30,P26+1,""),"")</f>
        <v>23</v>
      </c>
      <c r="R26" s="89">
        <f t="shared" si="46"/>
        <v>24</v>
      </c>
      <c r="S26" s="89">
        <f t="shared" si="46"/>
        <v>25</v>
      </c>
      <c r="T26" s="89">
        <f t="shared" si="46"/>
        <v>26</v>
      </c>
      <c r="U26" s="89">
        <f t="shared" si="46"/>
        <v>27</v>
      </c>
      <c r="V26" s="89">
        <f t="shared" si="46"/>
        <v>28</v>
      </c>
      <c r="W26" s="93"/>
      <c r="Y26" s="96"/>
      <c r="Z26" s="89">
        <f t="shared" si="43"/>
        <v>20</v>
      </c>
      <c r="AA26" s="89">
        <f t="shared" ref="AA26:AF26" si="47">IFERROR(IF(Z26+1&lt;=30,Z26+1,""),"")</f>
        <v>21</v>
      </c>
      <c r="AB26" s="89">
        <f t="shared" si="47"/>
        <v>22</v>
      </c>
      <c r="AC26" s="89">
        <f t="shared" si="47"/>
        <v>23</v>
      </c>
      <c r="AD26" s="89">
        <f t="shared" si="47"/>
        <v>24</v>
      </c>
      <c r="AE26" s="89">
        <f t="shared" si="47"/>
        <v>25</v>
      </c>
      <c r="AF26" s="89">
        <f t="shared" si="47"/>
        <v>26</v>
      </c>
      <c r="AG26" s="93"/>
    </row>
    <row r="27" spans="4:33" ht="21">
      <c r="D27" s="286"/>
      <c r="E27" s="96"/>
      <c r="F27" s="89">
        <f t="shared" si="39"/>
        <v>24</v>
      </c>
      <c r="G27" s="89">
        <f t="shared" ref="G27:L27" si="48">IFERROR(IF(F27+1&lt;=30,F27+1,""),"")</f>
        <v>25</v>
      </c>
      <c r="H27" s="89">
        <f t="shared" si="48"/>
        <v>26</v>
      </c>
      <c r="I27" s="89">
        <f t="shared" si="48"/>
        <v>27</v>
      </c>
      <c r="J27" s="89">
        <f t="shared" si="48"/>
        <v>28</v>
      </c>
      <c r="K27" s="89">
        <f t="shared" si="48"/>
        <v>29</v>
      </c>
      <c r="L27" s="89">
        <f t="shared" si="48"/>
        <v>30</v>
      </c>
      <c r="M27" s="93"/>
      <c r="O27" s="96"/>
      <c r="P27" s="89">
        <f t="shared" si="41"/>
        <v>29</v>
      </c>
      <c r="Q27" s="89">
        <f t="shared" ref="Q27:V27" si="49">IFERROR(IF(P27+1&lt;=30,P27+1,""),"")</f>
        <v>30</v>
      </c>
      <c r="R27" s="89" t="str">
        <f t="shared" si="49"/>
        <v/>
      </c>
      <c r="S27" s="89" t="str">
        <f t="shared" si="49"/>
        <v/>
      </c>
      <c r="T27" s="89" t="str">
        <f t="shared" si="49"/>
        <v/>
      </c>
      <c r="U27" s="89" t="str">
        <f t="shared" si="49"/>
        <v/>
      </c>
      <c r="V27" s="89" t="str">
        <f t="shared" si="49"/>
        <v/>
      </c>
      <c r="W27" s="93"/>
      <c r="Y27" s="96"/>
      <c r="Z27" s="89">
        <f t="shared" si="43"/>
        <v>27</v>
      </c>
      <c r="AA27" s="89">
        <f t="shared" ref="AA27:AF27" si="50">IFERROR(IF(Z27+1&lt;=30,Z27+1,""),"")</f>
        <v>28</v>
      </c>
      <c r="AB27" s="89">
        <f t="shared" si="50"/>
        <v>29</v>
      </c>
      <c r="AC27" s="89">
        <f t="shared" si="50"/>
        <v>30</v>
      </c>
      <c r="AD27" s="89" t="str">
        <f t="shared" si="50"/>
        <v/>
      </c>
      <c r="AE27" s="89" t="str">
        <f t="shared" si="50"/>
        <v/>
      </c>
      <c r="AF27" s="89" t="str">
        <f t="shared" si="50"/>
        <v/>
      </c>
      <c r="AG27" s="93"/>
    </row>
    <row r="28" spans="4:33" ht="21">
      <c r="D28" s="286"/>
      <c r="E28" s="97"/>
      <c r="F28" s="89" t="str">
        <f t="shared" si="39"/>
        <v/>
      </c>
      <c r="G28" s="89" t="str">
        <f t="shared" ref="G28:L28" si="51">IFERROR(IF(F28+1&lt;=30,F28+1,""),"")</f>
        <v/>
      </c>
      <c r="H28" s="89" t="str">
        <f t="shared" si="51"/>
        <v/>
      </c>
      <c r="I28" s="89" t="str">
        <f t="shared" si="51"/>
        <v/>
      </c>
      <c r="J28" s="89" t="str">
        <f t="shared" si="51"/>
        <v/>
      </c>
      <c r="K28" s="89" t="str">
        <f t="shared" si="51"/>
        <v/>
      </c>
      <c r="L28" s="89" t="str">
        <f t="shared" si="51"/>
        <v/>
      </c>
      <c r="O28" s="97"/>
      <c r="P28" s="89" t="str">
        <f t="shared" si="41"/>
        <v/>
      </c>
      <c r="Q28" s="89" t="str">
        <f t="shared" ref="Q28:V28" si="52">IFERROR(IF(P28+1&lt;=30,P28+1,""),"")</f>
        <v/>
      </c>
      <c r="R28" s="89" t="str">
        <f t="shared" si="52"/>
        <v/>
      </c>
      <c r="S28" s="89" t="str">
        <f t="shared" si="52"/>
        <v/>
      </c>
      <c r="T28" s="89" t="str">
        <f t="shared" si="52"/>
        <v/>
      </c>
      <c r="U28" s="89" t="str">
        <f t="shared" si="52"/>
        <v/>
      </c>
      <c r="V28" s="89" t="str">
        <f t="shared" si="52"/>
        <v/>
      </c>
      <c r="Y28" s="97"/>
      <c r="Z28" s="89" t="str">
        <f t="shared" si="43"/>
        <v/>
      </c>
      <c r="AA28" s="89" t="str">
        <f t="shared" ref="AA28:AF28" si="53">IFERROR(IF(Z28+1&lt;=30,Z28+1,""),"")</f>
        <v/>
      </c>
      <c r="AB28" s="89" t="str">
        <f t="shared" si="53"/>
        <v/>
      </c>
      <c r="AC28" s="89" t="str">
        <f t="shared" si="53"/>
        <v/>
      </c>
      <c r="AD28" s="89" t="str">
        <f t="shared" si="53"/>
        <v/>
      </c>
      <c r="AE28" s="89" t="str">
        <f t="shared" si="53"/>
        <v/>
      </c>
      <c r="AF28" s="89" t="str">
        <f t="shared" si="53"/>
        <v/>
      </c>
    </row>
    <row r="29" spans="4:33" ht="21">
      <c r="D29" s="99"/>
      <c r="E29" s="99"/>
      <c r="F29" s="99">
        <v>0</v>
      </c>
      <c r="G29" s="99">
        <v>1</v>
      </c>
      <c r="H29" s="99">
        <v>2</v>
      </c>
      <c r="I29" s="99">
        <v>3</v>
      </c>
      <c r="J29" s="99">
        <v>4</v>
      </c>
      <c r="K29" s="99">
        <v>5</v>
      </c>
      <c r="L29" s="99">
        <v>6</v>
      </c>
      <c r="M29" s="100"/>
      <c r="N29" s="100"/>
      <c r="O29" s="99"/>
      <c r="P29" s="99">
        <v>0</v>
      </c>
      <c r="Q29" s="99">
        <v>1</v>
      </c>
      <c r="R29" s="99">
        <v>2</v>
      </c>
      <c r="S29" s="99">
        <v>3</v>
      </c>
      <c r="T29" s="99">
        <v>4</v>
      </c>
      <c r="U29" s="99">
        <v>5</v>
      </c>
      <c r="V29" s="99">
        <v>6</v>
      </c>
      <c r="W29" s="100"/>
      <c r="X29" s="100"/>
      <c r="Y29" s="99"/>
      <c r="Z29" s="99">
        <v>0</v>
      </c>
      <c r="AA29" s="99">
        <v>1</v>
      </c>
      <c r="AB29" s="99">
        <v>2</v>
      </c>
      <c r="AC29" s="99">
        <v>3</v>
      </c>
      <c r="AD29" s="99">
        <v>4</v>
      </c>
      <c r="AE29" s="99">
        <v>5</v>
      </c>
      <c r="AF29" s="99">
        <v>6</v>
      </c>
      <c r="AG29" s="100"/>
    </row>
    <row r="30" spans="4:33" ht="25.5">
      <c r="D30" s="284" t="s">
        <v>342</v>
      </c>
      <c r="E30" s="101"/>
      <c r="F30" s="285" t="s">
        <v>343</v>
      </c>
      <c r="G30" s="285"/>
      <c r="H30" s="285"/>
      <c r="I30" s="285"/>
      <c r="J30" s="285"/>
      <c r="K30" s="285"/>
      <c r="L30" s="285"/>
      <c r="M30" s="103"/>
      <c r="O30" s="101"/>
      <c r="P30" s="285" t="s">
        <v>344</v>
      </c>
      <c r="Q30" s="285"/>
      <c r="R30" s="285"/>
      <c r="S30" s="285"/>
      <c r="T30" s="285"/>
      <c r="U30" s="285"/>
      <c r="V30" s="285"/>
      <c r="W30" s="103"/>
      <c r="Y30" s="101"/>
      <c r="Z30" s="285" t="s">
        <v>345</v>
      </c>
      <c r="AA30" s="285"/>
      <c r="AB30" s="285"/>
      <c r="AC30" s="285"/>
      <c r="AD30" s="285"/>
      <c r="AE30" s="285"/>
      <c r="AF30" s="285"/>
      <c r="AG30" s="103"/>
    </row>
    <row r="31" spans="4:33" ht="21.75" thickBot="1">
      <c r="D31" s="284"/>
      <c r="E31" s="101"/>
      <c r="F31" s="91" t="s">
        <v>325</v>
      </c>
      <c r="G31" s="91" t="s">
        <v>327</v>
      </c>
      <c r="H31" s="91" t="s">
        <v>328</v>
      </c>
      <c r="I31" s="91" t="s">
        <v>329</v>
      </c>
      <c r="J31" s="91" t="s">
        <v>330</v>
      </c>
      <c r="K31" s="91" t="s">
        <v>331</v>
      </c>
      <c r="L31" s="91" t="s">
        <v>326</v>
      </c>
      <c r="M31" s="103"/>
      <c r="O31" s="101"/>
      <c r="P31" s="91" t="s">
        <v>325</v>
      </c>
      <c r="Q31" s="91" t="s">
        <v>327</v>
      </c>
      <c r="R31" s="91" t="s">
        <v>328</v>
      </c>
      <c r="S31" s="91" t="s">
        <v>329</v>
      </c>
      <c r="T31" s="91" t="s">
        <v>330</v>
      </c>
      <c r="U31" s="91" t="s">
        <v>331</v>
      </c>
      <c r="V31" s="91" t="s">
        <v>326</v>
      </c>
      <c r="W31" s="103"/>
      <c r="Y31" s="101"/>
      <c r="Z31" s="91" t="s">
        <v>325</v>
      </c>
      <c r="AA31" s="91" t="s">
        <v>327</v>
      </c>
      <c r="AB31" s="91" t="s">
        <v>328</v>
      </c>
      <c r="AC31" s="91" t="s">
        <v>329</v>
      </c>
      <c r="AD31" s="91" t="s">
        <v>330</v>
      </c>
      <c r="AE31" s="91" t="s">
        <v>331</v>
      </c>
      <c r="AF31" s="91" t="s">
        <v>326</v>
      </c>
      <c r="AG31" s="103"/>
    </row>
    <row r="32" spans="4:33" ht="21">
      <c r="D32" s="284"/>
      <c r="E32" s="101"/>
      <c r="F32" s="89" t="str">
        <f>IF(DayWeekNo($A$2&amp;"1001")=F29,1,IF(DayWeekNo($A$2&amp;"1001")&lt;F29,E32+1,""))</f>
        <v/>
      </c>
      <c r="G32" s="89" t="str">
        <f>IF(DayWeekNo($A$2&amp;"1001")=G29,1,IF(DayWeekNo($A$2&amp;"1001")&lt;G29,F32+1,""))</f>
        <v/>
      </c>
      <c r="H32" s="89" t="str">
        <f>IF(DayWeekNo($A$2&amp;"1001")=H29,1,IF(DayWeekNo($A$2&amp;"1001")&lt;H29,G32+1,""))</f>
        <v/>
      </c>
      <c r="I32" s="89" t="str">
        <f>IF(DayWeekNo($A$2&amp;"1001")=I29,1,IF(DayWeekNo($A$2&amp;"1001")&lt;I29,H32+1,""))</f>
        <v/>
      </c>
      <c r="J32" s="89">
        <f>IF(DayWeekNo($A$2&amp;"1001")=J29,1,IF(DayWeekNo($A$2&amp;"1001")&lt;J29,I32+1,""))</f>
        <v>1</v>
      </c>
      <c r="K32" s="89">
        <f>IF(DayWeekNo($A$2&amp;"1001")=K29,1,IF(DayWeekNo($A$2&amp;"1001")&lt;K29,J32+1,""))</f>
        <v>2</v>
      </c>
      <c r="L32" s="89">
        <f>IF(DayWeekNo($A$2&amp;"1001")=L29,1,IF(DayWeekNo($A$2&amp;"1001")&lt;L29,K32+1,""))</f>
        <v>3</v>
      </c>
      <c r="M32" s="93"/>
      <c r="O32" s="101"/>
      <c r="P32" s="89" t="str">
        <f>IF(DayWeekNo($A$2&amp;"1101")=P29,1,IF(DayWeekNo($A$2&amp;"1101")&lt;P29,O32+1,""))</f>
        <v/>
      </c>
      <c r="Q32" s="89" t="str">
        <f>IF(DayWeekNo($A$2&amp;"1101")=Q29,1,IF(DayWeekNo($A$2&amp;"1101")&lt;Q29,P32+1,""))</f>
        <v/>
      </c>
      <c r="R32" s="89" t="str">
        <f>IF(DayWeekNo($A$2&amp;"1101")=R29,1,IF(DayWeekNo($A$2&amp;"1101")&lt;R29,Q32+1,""))</f>
        <v/>
      </c>
      <c r="S32" s="89" t="str">
        <f>IF(DayWeekNo($A$2&amp;"1101")=S29,1,IF(DayWeekNo($A$2&amp;"1101")&lt;S29,R32+1,""))</f>
        <v/>
      </c>
      <c r="T32" s="89" t="str">
        <f>IF(DayWeekNo($A$2&amp;"1101")=T29,1,IF(DayWeekNo($A$2&amp;"1101")&lt;T29,S32+1,""))</f>
        <v/>
      </c>
      <c r="U32" s="89" t="str">
        <f>IF(DayWeekNo($A$2&amp;"1101")=U29,1,IF(DayWeekNo($A$2&amp;"1101")&lt;U29,T32+1,""))</f>
        <v/>
      </c>
      <c r="V32" s="89">
        <f>IF(DayWeekNo($A$2&amp;"1101")=V29,1,IF(DayWeekNo($A$2&amp;"1101")&lt;V29,U32+1,""))</f>
        <v>1</v>
      </c>
      <c r="W32" s="93"/>
      <c r="Y32" s="101"/>
      <c r="Z32" s="89" t="str">
        <f>IF(DayWeekNo($A$2&amp;"1201")=Z29,1,IF(DayWeekNo($A$2&amp;"1201")&lt;Z29,Y32+1,""))</f>
        <v/>
      </c>
      <c r="AA32" s="89">
        <f>IF(DayWeekNo($A$2&amp;"1201")=AA29,1,IF(DayWeekNo($A$2&amp;"1201")&lt;AA29,Z32+1,""))</f>
        <v>1</v>
      </c>
      <c r="AB32" s="89">
        <f>IF(DayWeekNo($A$2&amp;"1201")=AB29,1,IF(DayWeekNo($A$2&amp;"1201")&lt;AB29,AA32+1,""))</f>
        <v>2</v>
      </c>
      <c r="AC32" s="89">
        <f>IF(DayWeekNo($A$2&amp;"1201")=AC29,1,IF(DayWeekNo($A$2&amp;"1201")&lt;AC29,AB32+1,""))</f>
        <v>3</v>
      </c>
      <c r="AD32" s="89">
        <f>IF(DayWeekNo($A$2&amp;"1201")=AD29,1,IF(DayWeekNo($A$2&amp;"1201")&lt;AD29,AC32+1,""))</f>
        <v>4</v>
      </c>
      <c r="AE32" s="89">
        <f>IF(DayWeekNo($A$2&amp;"1201")=AE29,1,IF(DayWeekNo($A$2&amp;"1201")&lt;AE29,AD32+1,""))</f>
        <v>5</v>
      </c>
      <c r="AF32" s="89">
        <f>IF(DayWeekNo($A$2&amp;"1201")=AF29,1,IF(DayWeekNo($A$2&amp;"1201")&lt;AF29,AE32+1,""))</f>
        <v>6</v>
      </c>
      <c r="AG32" s="93"/>
    </row>
    <row r="33" spans="4:33" ht="21">
      <c r="D33" s="284"/>
      <c r="E33" s="101"/>
      <c r="F33" s="89">
        <f>IFERROR(IF(L32+1&lt;=30,L32+1,""),"")</f>
        <v>4</v>
      </c>
      <c r="G33" s="89">
        <f>IFERROR(IF(F33+1&lt;=30,F33+1,""),"")</f>
        <v>5</v>
      </c>
      <c r="H33" s="89">
        <f t="shared" ref="H33:L33" si="54">IFERROR(IF(G33+1&lt;=30,G33+1,""),"")</f>
        <v>6</v>
      </c>
      <c r="I33" s="89">
        <f t="shared" si="54"/>
        <v>7</v>
      </c>
      <c r="J33" s="89">
        <f t="shared" si="54"/>
        <v>8</v>
      </c>
      <c r="K33" s="89">
        <f t="shared" si="54"/>
        <v>9</v>
      </c>
      <c r="L33" s="89">
        <f t="shared" si="54"/>
        <v>10</v>
      </c>
      <c r="M33" s="93"/>
      <c r="O33" s="101"/>
      <c r="P33" s="89">
        <f>IFERROR(IF(V32+1&lt;=30,V32+1,""),"")</f>
        <v>2</v>
      </c>
      <c r="Q33" s="89">
        <f>IFERROR(IF(P33+1&lt;=30,P33+1,""),"")</f>
        <v>3</v>
      </c>
      <c r="R33" s="89">
        <f t="shared" ref="R33:V33" si="55">IFERROR(IF(Q33+1&lt;=30,Q33+1,""),"")</f>
        <v>4</v>
      </c>
      <c r="S33" s="89">
        <f t="shared" si="55"/>
        <v>5</v>
      </c>
      <c r="T33" s="89">
        <f t="shared" si="55"/>
        <v>6</v>
      </c>
      <c r="U33" s="89">
        <f t="shared" si="55"/>
        <v>7</v>
      </c>
      <c r="V33" s="89">
        <f t="shared" si="55"/>
        <v>8</v>
      </c>
      <c r="W33" s="93"/>
      <c r="Y33" s="101"/>
      <c r="Z33" s="89">
        <f>IFERROR(IF(AF32+1&lt;=29,AF32+1,""),"")</f>
        <v>7</v>
      </c>
      <c r="AA33" s="89">
        <f>IFERROR(IF(Z33+1&lt;=29,Z33+1,""),"")</f>
        <v>8</v>
      </c>
      <c r="AB33" s="89">
        <f t="shared" ref="AB33:AF33" si="56">IFERROR(IF(AA33+1&lt;=29,AA33+1,""),"")</f>
        <v>9</v>
      </c>
      <c r="AC33" s="89">
        <f t="shared" si="56"/>
        <v>10</v>
      </c>
      <c r="AD33" s="89">
        <f t="shared" si="56"/>
        <v>11</v>
      </c>
      <c r="AE33" s="89">
        <f t="shared" si="56"/>
        <v>12</v>
      </c>
      <c r="AF33" s="89">
        <f t="shared" si="56"/>
        <v>13</v>
      </c>
      <c r="AG33" s="93"/>
    </row>
    <row r="34" spans="4:33" ht="21">
      <c r="D34" s="284"/>
      <c r="E34" s="101"/>
      <c r="F34" s="89">
        <f t="shared" ref="F34:F37" si="57">IFERROR(IF(L33+1&lt;=30,L33+1,""),"")</f>
        <v>11</v>
      </c>
      <c r="G34" s="89">
        <f t="shared" ref="G34:L34" si="58">IFERROR(IF(F34+1&lt;=30,F34+1,""),"")</f>
        <v>12</v>
      </c>
      <c r="H34" s="89">
        <f t="shared" si="58"/>
        <v>13</v>
      </c>
      <c r="I34" s="89">
        <f t="shared" si="58"/>
        <v>14</v>
      </c>
      <c r="J34" s="89">
        <f t="shared" si="58"/>
        <v>15</v>
      </c>
      <c r="K34" s="89">
        <f t="shared" si="58"/>
        <v>16</v>
      </c>
      <c r="L34" s="89">
        <f t="shared" si="58"/>
        <v>17</v>
      </c>
      <c r="M34" s="93"/>
      <c r="O34" s="101"/>
      <c r="P34" s="89">
        <f t="shared" ref="P34:P37" si="59">IFERROR(IF(V33+1&lt;=30,V33+1,""),"")</f>
        <v>9</v>
      </c>
      <c r="Q34" s="89">
        <f t="shared" ref="Q34:V34" si="60">IFERROR(IF(P34+1&lt;=30,P34+1,""),"")</f>
        <v>10</v>
      </c>
      <c r="R34" s="89">
        <f t="shared" si="60"/>
        <v>11</v>
      </c>
      <c r="S34" s="89">
        <f t="shared" si="60"/>
        <v>12</v>
      </c>
      <c r="T34" s="89">
        <f t="shared" si="60"/>
        <v>13</v>
      </c>
      <c r="U34" s="89">
        <f t="shared" si="60"/>
        <v>14</v>
      </c>
      <c r="V34" s="89">
        <f t="shared" si="60"/>
        <v>15</v>
      </c>
      <c r="W34" s="93"/>
      <c r="Y34" s="101"/>
      <c r="Z34" s="89">
        <f t="shared" ref="Z34:Z36" si="61">IFERROR(IF(AF33+1&lt;=29,AF33+1,""),"")</f>
        <v>14</v>
      </c>
      <c r="AA34" s="89">
        <f t="shared" ref="AA34:AF34" si="62">IFERROR(IF(Z34+1&lt;=29,Z34+1,""),"")</f>
        <v>15</v>
      </c>
      <c r="AB34" s="89">
        <f t="shared" si="62"/>
        <v>16</v>
      </c>
      <c r="AC34" s="89">
        <f t="shared" si="62"/>
        <v>17</v>
      </c>
      <c r="AD34" s="89">
        <f t="shared" si="62"/>
        <v>18</v>
      </c>
      <c r="AE34" s="89">
        <f t="shared" si="62"/>
        <v>19</v>
      </c>
      <c r="AF34" s="89">
        <f t="shared" si="62"/>
        <v>20</v>
      </c>
      <c r="AG34" s="93"/>
    </row>
    <row r="35" spans="4:33" ht="21">
      <c r="D35" s="284"/>
      <c r="E35" s="101"/>
      <c r="F35" s="89">
        <f t="shared" si="57"/>
        <v>18</v>
      </c>
      <c r="G35" s="89">
        <f t="shared" ref="G35:L35" si="63">IFERROR(IF(F35+1&lt;=30,F35+1,""),"")</f>
        <v>19</v>
      </c>
      <c r="H35" s="89">
        <f t="shared" si="63"/>
        <v>20</v>
      </c>
      <c r="I35" s="89">
        <f t="shared" si="63"/>
        <v>21</v>
      </c>
      <c r="J35" s="89">
        <f t="shared" si="63"/>
        <v>22</v>
      </c>
      <c r="K35" s="89">
        <f t="shared" si="63"/>
        <v>23</v>
      </c>
      <c r="L35" s="89">
        <f t="shared" si="63"/>
        <v>24</v>
      </c>
      <c r="M35" s="93"/>
      <c r="O35" s="101"/>
      <c r="P35" s="89">
        <f t="shared" si="59"/>
        <v>16</v>
      </c>
      <c r="Q35" s="89">
        <f t="shared" ref="Q35:V35" si="64">IFERROR(IF(P35+1&lt;=30,P35+1,""),"")</f>
        <v>17</v>
      </c>
      <c r="R35" s="89">
        <f t="shared" si="64"/>
        <v>18</v>
      </c>
      <c r="S35" s="89">
        <f t="shared" si="64"/>
        <v>19</v>
      </c>
      <c r="T35" s="89">
        <f t="shared" si="64"/>
        <v>20</v>
      </c>
      <c r="U35" s="89">
        <f t="shared" si="64"/>
        <v>21</v>
      </c>
      <c r="V35" s="89">
        <f t="shared" si="64"/>
        <v>22</v>
      </c>
      <c r="W35" s="93"/>
      <c r="Y35" s="101"/>
      <c r="Z35" s="89">
        <f t="shared" si="61"/>
        <v>21</v>
      </c>
      <c r="AA35" s="89">
        <f t="shared" ref="AA35:AF35" si="65">IFERROR(IF(Z35+1&lt;=29,Z35+1,""),"")</f>
        <v>22</v>
      </c>
      <c r="AB35" s="89">
        <f t="shared" si="65"/>
        <v>23</v>
      </c>
      <c r="AC35" s="89">
        <f t="shared" si="65"/>
        <v>24</v>
      </c>
      <c r="AD35" s="89">
        <f t="shared" si="65"/>
        <v>25</v>
      </c>
      <c r="AE35" s="89">
        <f t="shared" si="65"/>
        <v>26</v>
      </c>
      <c r="AF35" s="89">
        <f t="shared" si="65"/>
        <v>27</v>
      </c>
      <c r="AG35" s="93"/>
    </row>
    <row r="36" spans="4:33" ht="21">
      <c r="D36" s="284"/>
      <c r="E36" s="101"/>
      <c r="F36" s="89">
        <f t="shared" si="57"/>
        <v>25</v>
      </c>
      <c r="G36" s="89">
        <f t="shared" ref="G36:L36" si="66">IFERROR(IF(F36+1&lt;=30,F36+1,""),"")</f>
        <v>26</v>
      </c>
      <c r="H36" s="89">
        <f t="shared" si="66"/>
        <v>27</v>
      </c>
      <c r="I36" s="89">
        <f t="shared" si="66"/>
        <v>28</v>
      </c>
      <c r="J36" s="89">
        <f t="shared" si="66"/>
        <v>29</v>
      </c>
      <c r="K36" s="89">
        <f t="shared" si="66"/>
        <v>30</v>
      </c>
      <c r="L36" s="89" t="str">
        <f t="shared" si="66"/>
        <v/>
      </c>
      <c r="M36" s="93"/>
      <c r="O36" s="101"/>
      <c r="P36" s="89">
        <f t="shared" si="59"/>
        <v>23</v>
      </c>
      <c r="Q36" s="89">
        <f t="shared" ref="Q36:V36" si="67">IFERROR(IF(P36+1&lt;=30,P36+1,""),"")</f>
        <v>24</v>
      </c>
      <c r="R36" s="89">
        <f t="shared" si="67"/>
        <v>25</v>
      </c>
      <c r="S36" s="89">
        <f t="shared" si="67"/>
        <v>26</v>
      </c>
      <c r="T36" s="89">
        <f t="shared" si="67"/>
        <v>27</v>
      </c>
      <c r="U36" s="89">
        <f t="shared" si="67"/>
        <v>28</v>
      </c>
      <c r="V36" s="89">
        <f t="shared" si="67"/>
        <v>29</v>
      </c>
      <c r="W36" s="93"/>
      <c r="Y36" s="101"/>
      <c r="Z36" s="89">
        <f t="shared" si="61"/>
        <v>28</v>
      </c>
      <c r="AA36" s="89">
        <f t="shared" ref="AA36:AF36" si="68">IFERROR(IF(Z36+1&lt;=29,Z36+1,""),"")</f>
        <v>29</v>
      </c>
      <c r="AB36" s="89" t="str">
        <f t="shared" si="68"/>
        <v/>
      </c>
      <c r="AC36" s="89" t="str">
        <f t="shared" si="68"/>
        <v/>
      </c>
      <c r="AD36" s="89" t="str">
        <f t="shared" si="68"/>
        <v/>
      </c>
      <c r="AE36" s="89" t="str">
        <f t="shared" si="68"/>
        <v/>
      </c>
      <c r="AF36" s="89" t="str">
        <f t="shared" si="68"/>
        <v/>
      </c>
      <c r="AG36" s="93"/>
    </row>
    <row r="37" spans="4:33" ht="21">
      <c r="D37" s="284"/>
      <c r="E37" s="102"/>
      <c r="F37" s="89" t="str">
        <f t="shared" si="57"/>
        <v/>
      </c>
      <c r="G37" s="89" t="str">
        <f t="shared" ref="G37:L37" si="69">IFERROR(IF(F37+1&lt;=30,F37+1,""),"")</f>
        <v/>
      </c>
      <c r="H37" s="89" t="str">
        <f t="shared" si="69"/>
        <v/>
      </c>
      <c r="I37" s="89" t="str">
        <f t="shared" si="69"/>
        <v/>
      </c>
      <c r="J37" s="89" t="str">
        <f t="shared" si="69"/>
        <v/>
      </c>
      <c r="K37" s="89" t="str">
        <f t="shared" si="69"/>
        <v/>
      </c>
      <c r="L37" s="89" t="str">
        <f t="shared" si="69"/>
        <v/>
      </c>
      <c r="O37" s="102"/>
      <c r="P37" s="89">
        <f t="shared" si="59"/>
        <v>30</v>
      </c>
      <c r="Q37" s="89" t="str">
        <f t="shared" ref="Q37:V37" si="70">IFERROR(IF(P37+1&lt;=30,P37+1,""),"")</f>
        <v/>
      </c>
      <c r="R37" s="89" t="str">
        <f t="shared" si="70"/>
        <v/>
      </c>
      <c r="S37" s="89" t="str">
        <f t="shared" si="70"/>
        <v/>
      </c>
      <c r="T37" s="89" t="str">
        <f t="shared" si="70"/>
        <v/>
      </c>
      <c r="U37" s="89" t="str">
        <f t="shared" si="70"/>
        <v/>
      </c>
      <c r="V37" s="89" t="str">
        <f t="shared" si="70"/>
        <v/>
      </c>
      <c r="Y37" s="102"/>
      <c r="Z37" s="89" t="str">
        <f>IFERROR(IF(AF36+1&lt;=29,AF36+1,""),"")</f>
        <v/>
      </c>
      <c r="AA37" s="89" t="str">
        <f t="shared" ref="AA37:AF37" si="71">IFERROR(IF(Z37+1&lt;=29,Z37+1,""),"")</f>
        <v/>
      </c>
      <c r="AB37" s="89" t="str">
        <f t="shared" si="71"/>
        <v/>
      </c>
      <c r="AC37" s="89" t="str">
        <f t="shared" si="71"/>
        <v/>
      </c>
      <c r="AD37" s="89" t="str">
        <f t="shared" si="71"/>
        <v/>
      </c>
      <c r="AE37" s="89" t="str">
        <f t="shared" si="71"/>
        <v/>
      </c>
      <c r="AF37" s="89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44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A4" sqref="A4"/>
    </sheetView>
  </sheetViews>
  <sheetFormatPr defaultRowHeight="15"/>
  <cols>
    <col min="1" max="1" width="29.7109375" style="160" customWidth="1"/>
    <col min="2" max="2" width="0.7109375" style="235" customWidth="1"/>
    <col min="3" max="3" width="4.5703125" style="234" customWidth="1"/>
    <col min="4" max="4" width="30" style="169" customWidth="1"/>
    <col min="5" max="5" width="36.5703125" style="169" customWidth="1"/>
    <col min="6" max="6" width="9.140625" style="169" customWidth="1"/>
    <col min="7" max="7" width="18.28515625" style="169" customWidth="1"/>
    <col min="8" max="8" width="23.5703125" style="169" customWidth="1"/>
    <col min="9" max="9" width="36.5703125" style="169" customWidth="1"/>
    <col min="10" max="11" width="18.28515625" style="169" customWidth="1"/>
    <col min="12" max="12" width="29.85546875" style="234" customWidth="1"/>
    <col min="13" max="13" width="36.7109375" style="234" customWidth="1"/>
    <col min="14" max="14" width="18.42578125" style="234" customWidth="1"/>
    <col min="15" max="15" width="23.5703125" style="234" customWidth="1"/>
    <col min="16" max="16" width="36.7109375" style="234" customWidth="1"/>
    <col min="17" max="17" width="18.42578125" style="234" customWidth="1"/>
    <col min="18" max="16384" width="9.140625" style="234"/>
  </cols>
  <sheetData>
    <row r="1" spans="1:11" ht="15.75">
      <c r="A1" s="233" t="s">
        <v>1042</v>
      </c>
      <c r="B1" s="160"/>
      <c r="D1" s="381" t="s">
        <v>980</v>
      </c>
      <c r="E1" s="382" t="s">
        <v>1043</v>
      </c>
      <c r="F1" s="382"/>
      <c r="G1" s="383"/>
      <c r="H1" s="238"/>
      <c r="I1" s="238"/>
      <c r="J1" s="238"/>
      <c r="K1" s="238"/>
    </row>
    <row r="2" spans="1:11" ht="30">
      <c r="A2" s="112"/>
      <c r="B2" s="160"/>
      <c r="D2" s="170" t="s">
        <v>965</v>
      </c>
      <c r="E2" s="170" t="s">
        <v>17</v>
      </c>
      <c r="F2" s="170" t="s">
        <v>1064</v>
      </c>
      <c r="G2" s="171" t="s">
        <v>1070</v>
      </c>
      <c r="H2" s="170" t="s">
        <v>990</v>
      </c>
      <c r="I2" s="170" t="s">
        <v>1096</v>
      </c>
      <c r="J2" s="170" t="s">
        <v>983</v>
      </c>
      <c r="K2" s="170" t="s">
        <v>978</v>
      </c>
    </row>
    <row r="3" spans="1:11" ht="18.75">
      <c r="A3" s="134" t="s">
        <v>8</v>
      </c>
      <c r="B3" s="160"/>
      <c r="D3" s="172" t="s">
        <v>971</v>
      </c>
      <c r="E3" s="172" t="s">
        <v>981</v>
      </c>
      <c r="F3" s="172" t="s">
        <v>1065</v>
      </c>
      <c r="G3" s="173">
        <v>50000000</v>
      </c>
      <c r="H3" s="172" t="s">
        <v>1037</v>
      </c>
      <c r="I3" s="172"/>
      <c r="J3" s="172" t="s">
        <v>1038</v>
      </c>
      <c r="K3" s="174" t="s">
        <v>1032</v>
      </c>
    </row>
    <row r="4" spans="1:11" ht="19.5" thickBot="1">
      <c r="A4" s="135" t="s">
        <v>113</v>
      </c>
      <c r="B4" s="160"/>
      <c r="D4" s="175" t="s">
        <v>971</v>
      </c>
      <c r="E4" s="175" t="s">
        <v>1002</v>
      </c>
      <c r="F4" s="175" t="s">
        <v>1068</v>
      </c>
      <c r="G4" s="176"/>
      <c r="H4" s="175" t="s">
        <v>1037</v>
      </c>
      <c r="I4" s="175"/>
      <c r="J4" s="175"/>
      <c r="K4" s="177"/>
    </row>
    <row r="5" spans="1:11" ht="18.75">
      <c r="A5" s="138" t="s">
        <v>1184</v>
      </c>
      <c r="B5" s="160"/>
      <c r="D5" s="178" t="s">
        <v>966</v>
      </c>
      <c r="E5" s="178" t="s">
        <v>1000</v>
      </c>
      <c r="F5" s="178"/>
      <c r="G5" s="179"/>
      <c r="H5" s="180" t="s">
        <v>992</v>
      </c>
      <c r="I5" s="178" t="s">
        <v>1001</v>
      </c>
      <c r="J5" s="181" t="s">
        <v>1040</v>
      </c>
      <c r="K5" s="182"/>
    </row>
    <row r="6" spans="1:11" ht="19.5" thickBot="1">
      <c r="A6" s="384" t="s">
        <v>1185</v>
      </c>
      <c r="B6" s="160"/>
      <c r="D6" s="183" t="s">
        <v>966</v>
      </c>
      <c r="E6" s="184" t="s">
        <v>999</v>
      </c>
      <c r="F6" s="184"/>
      <c r="G6" s="185"/>
      <c r="H6" s="184" t="s">
        <v>992</v>
      </c>
      <c r="I6" s="184"/>
      <c r="J6" s="184"/>
      <c r="K6" s="184"/>
    </row>
    <row r="7" spans="1:11" ht="19.5" thickBot="1">
      <c r="A7" s="386" t="s">
        <v>1186</v>
      </c>
      <c r="B7" s="160"/>
      <c r="D7" s="186" t="s">
        <v>972</v>
      </c>
      <c r="E7" s="187" t="s">
        <v>993</v>
      </c>
      <c r="F7" s="183" t="s">
        <v>1067</v>
      </c>
      <c r="G7" s="176"/>
      <c r="H7" s="175" t="s">
        <v>1037</v>
      </c>
      <c r="I7" s="186"/>
      <c r="J7" s="188"/>
      <c r="K7" s="189"/>
    </row>
    <row r="8" spans="1:11" ht="19.5" thickBot="1">
      <c r="A8" s="389" t="s">
        <v>1187</v>
      </c>
      <c r="B8" s="160"/>
      <c r="D8" s="187" t="s">
        <v>973</v>
      </c>
      <c r="E8" s="187" t="s">
        <v>994</v>
      </c>
      <c r="F8" s="191" t="s">
        <v>1067</v>
      </c>
      <c r="G8" s="190"/>
      <c r="H8" s="191" t="s">
        <v>1037</v>
      </c>
      <c r="I8" s="187"/>
      <c r="J8" s="192"/>
      <c r="K8" s="192"/>
    </row>
    <row r="9" spans="1:11" ht="18.75">
      <c r="A9" s="387" t="s">
        <v>7</v>
      </c>
      <c r="B9" s="160"/>
      <c r="D9" s="193" t="s">
        <v>975</v>
      </c>
      <c r="E9" s="193" t="s">
        <v>995</v>
      </c>
      <c r="F9" s="178"/>
      <c r="G9" s="194"/>
      <c r="H9" s="178" t="s">
        <v>996</v>
      </c>
      <c r="I9" s="193"/>
      <c r="J9" s="181" t="s">
        <v>1039</v>
      </c>
      <c r="K9" s="195"/>
    </row>
    <row r="10" spans="1:11" ht="19.5" thickBot="1">
      <c r="A10" s="388" t="s">
        <v>100</v>
      </c>
      <c r="B10" s="160"/>
      <c r="D10" s="196" t="s">
        <v>975</v>
      </c>
      <c r="E10" s="196" t="s">
        <v>1014</v>
      </c>
      <c r="F10" s="258"/>
      <c r="G10" s="173"/>
      <c r="H10" s="183" t="s">
        <v>1037</v>
      </c>
      <c r="I10" s="196"/>
      <c r="J10" s="183"/>
      <c r="K10" s="197"/>
    </row>
    <row r="11" spans="1:11" ht="15.75" thickBot="1">
      <c r="A11" s="112"/>
      <c r="B11" s="160"/>
      <c r="D11" s="198" t="s">
        <v>974</v>
      </c>
      <c r="E11" s="198" t="s">
        <v>1016</v>
      </c>
      <c r="F11" s="259"/>
      <c r="G11" s="190"/>
      <c r="H11" s="191" t="s">
        <v>1037</v>
      </c>
      <c r="I11" s="198"/>
      <c r="J11" s="191"/>
      <c r="K11" s="199"/>
    </row>
    <row r="12" spans="1:11">
      <c r="A12" s="112"/>
      <c r="B12" s="160"/>
      <c r="D12" s="193" t="s">
        <v>976</v>
      </c>
      <c r="E12" s="193" t="s">
        <v>1003</v>
      </c>
      <c r="F12" s="178"/>
      <c r="G12" s="194"/>
      <c r="H12" s="200" t="s">
        <v>1037</v>
      </c>
      <c r="I12" s="193"/>
      <c r="J12" s="181"/>
      <c r="K12" s="195"/>
    </row>
    <row r="13" spans="1:11" ht="15.75" thickBot="1">
      <c r="A13" s="112"/>
      <c r="B13" s="160"/>
      <c r="D13" s="196" t="s">
        <v>976</v>
      </c>
      <c r="E13" s="196" t="s">
        <v>997</v>
      </c>
      <c r="F13" s="201"/>
      <c r="G13" s="185"/>
      <c r="H13" s="201" t="s">
        <v>998</v>
      </c>
      <c r="I13" s="196"/>
      <c r="J13" s="183" t="s">
        <v>987</v>
      </c>
      <c r="K13" s="197"/>
    </row>
    <row r="14" spans="1:11" ht="30">
      <c r="A14" s="112"/>
      <c r="D14" s="193" t="s">
        <v>1007</v>
      </c>
      <c r="E14" s="193" t="s">
        <v>1005</v>
      </c>
      <c r="F14" s="178"/>
      <c r="G14" s="179"/>
      <c r="H14" s="200" t="s">
        <v>1037</v>
      </c>
      <c r="I14" s="193"/>
      <c r="J14" s="181"/>
      <c r="K14" s="195"/>
    </row>
    <row r="15" spans="1:11" ht="15.75" thickBot="1">
      <c r="D15" s="196" t="s">
        <v>1007</v>
      </c>
      <c r="E15" s="196" t="s">
        <v>1004</v>
      </c>
      <c r="F15" s="201"/>
      <c r="G15" s="185"/>
      <c r="H15" s="202" t="s">
        <v>1037</v>
      </c>
      <c r="I15" s="196"/>
      <c r="J15" s="183"/>
      <c r="K15" s="197"/>
    </row>
    <row r="16" spans="1:11" ht="30.75" thickBot="1">
      <c r="D16" s="198" t="s">
        <v>1009</v>
      </c>
      <c r="E16" s="198" t="s">
        <v>1006</v>
      </c>
      <c r="F16" s="259"/>
      <c r="G16" s="203"/>
      <c r="H16" s="204" t="s">
        <v>1037</v>
      </c>
      <c r="I16" s="198" t="s">
        <v>1011</v>
      </c>
      <c r="J16" s="183" t="s">
        <v>121</v>
      </c>
      <c r="K16" s="199"/>
    </row>
    <row r="17" spans="4:11" ht="15.75" thickBot="1">
      <c r="D17" s="198" t="s">
        <v>982</v>
      </c>
      <c r="E17" s="198" t="s">
        <v>1012</v>
      </c>
      <c r="F17" s="259"/>
      <c r="G17" s="203"/>
      <c r="H17" s="205" t="s">
        <v>1037</v>
      </c>
      <c r="I17" s="198"/>
      <c r="J17" s="183"/>
      <c r="K17" s="199"/>
    </row>
    <row r="18" spans="4:11" ht="15.75" thickBot="1">
      <c r="D18" s="206"/>
      <c r="E18" s="206"/>
      <c r="F18" s="206"/>
      <c r="G18" s="207"/>
      <c r="H18" s="206"/>
      <c r="I18" s="206"/>
      <c r="J18" s="206"/>
      <c r="K18" s="206"/>
    </row>
    <row r="19" spans="4:11" ht="16.5" thickTop="1" thickBot="1">
      <c r="D19" s="208" t="s">
        <v>967</v>
      </c>
      <c r="E19" s="208" t="s">
        <v>1013</v>
      </c>
      <c r="F19" s="208"/>
      <c r="G19" s="209">
        <v>-45000000</v>
      </c>
      <c r="H19" s="208" t="s">
        <v>1018</v>
      </c>
      <c r="I19" s="208"/>
      <c r="J19" s="208" t="s">
        <v>985</v>
      </c>
      <c r="K19" s="210"/>
    </row>
    <row r="20" spans="4:11" ht="15.75" thickBot="1">
      <c r="D20" s="211" t="s">
        <v>969</v>
      </c>
      <c r="E20" s="211" t="s">
        <v>1017</v>
      </c>
      <c r="F20" s="211"/>
      <c r="G20" s="212"/>
      <c r="H20" s="213" t="s">
        <v>1019</v>
      </c>
      <c r="I20" s="183"/>
      <c r="J20" s="183"/>
      <c r="K20" s="189"/>
    </row>
    <row r="21" spans="4:11" ht="30.75" thickBot="1">
      <c r="D21" s="187" t="s">
        <v>1008</v>
      </c>
      <c r="E21" s="187" t="s">
        <v>1020</v>
      </c>
      <c r="F21" s="191"/>
      <c r="G21" s="214"/>
      <c r="H21" s="187" t="s">
        <v>1019</v>
      </c>
      <c r="I21" s="187"/>
      <c r="J21" s="187" t="s">
        <v>121</v>
      </c>
      <c r="K21" s="215"/>
    </row>
    <row r="22" spans="4:11" ht="45.75" thickBot="1">
      <c r="D22" s="211" t="s">
        <v>1010</v>
      </c>
      <c r="E22" s="211" t="s">
        <v>1021</v>
      </c>
      <c r="F22" s="183" t="s">
        <v>1065</v>
      </c>
      <c r="G22" s="185"/>
      <c r="H22" s="187" t="s">
        <v>1019</v>
      </c>
      <c r="I22" s="183" t="s">
        <v>1022</v>
      </c>
      <c r="J22" s="183"/>
      <c r="K22" s="183"/>
    </row>
    <row r="23" spans="4:11">
      <c r="D23" s="216" t="s">
        <v>970</v>
      </c>
      <c r="E23" s="216" t="s">
        <v>1024</v>
      </c>
      <c r="F23" s="181"/>
      <c r="G23" s="179"/>
      <c r="H23" s="186" t="s">
        <v>1025</v>
      </c>
      <c r="I23" s="181"/>
      <c r="J23" s="181" t="s">
        <v>986</v>
      </c>
      <c r="K23" s="181"/>
    </row>
    <row r="24" spans="4:11" ht="30.75" thickBot="1">
      <c r="D24" s="211" t="s">
        <v>970</v>
      </c>
      <c r="E24" s="188" t="s">
        <v>1023</v>
      </c>
      <c r="F24" s="260"/>
      <c r="G24" s="217"/>
      <c r="H24" s="218" t="s">
        <v>1025</v>
      </c>
      <c r="I24" s="211"/>
      <c r="J24" s="211"/>
      <c r="K24" s="189"/>
    </row>
    <row r="25" spans="4:11" ht="15.75" thickBot="1">
      <c r="D25" s="187" t="s">
        <v>977</v>
      </c>
      <c r="E25" s="187" t="s">
        <v>1024</v>
      </c>
      <c r="F25" s="187"/>
      <c r="G25" s="219"/>
      <c r="H25" s="187" t="s">
        <v>1025</v>
      </c>
      <c r="I25" s="187"/>
      <c r="J25" s="187"/>
      <c r="K25" s="187"/>
    </row>
    <row r="26" spans="4:11" ht="15.75" thickBot="1">
      <c r="D26" s="220" t="s">
        <v>991</v>
      </c>
      <c r="E26" s="221" t="s">
        <v>1026</v>
      </c>
      <c r="F26" s="221"/>
      <c r="G26" s="222"/>
      <c r="H26" s="221" t="s">
        <v>1027</v>
      </c>
      <c r="I26" s="221"/>
      <c r="J26" s="221"/>
      <c r="K26" s="223"/>
    </row>
    <row r="27" spans="4:11" ht="16.5" thickTop="1" thickBot="1">
      <c r="D27" s="224" t="s">
        <v>968</v>
      </c>
      <c r="E27" s="224" t="s">
        <v>1029</v>
      </c>
      <c r="F27" s="224"/>
      <c r="G27" s="225"/>
      <c r="H27" s="224" t="s">
        <v>1031</v>
      </c>
      <c r="I27" s="224" t="s">
        <v>1030</v>
      </c>
      <c r="J27" s="224"/>
      <c r="K27" s="226"/>
    </row>
    <row r="28" spans="4:11" ht="15.75" thickBot="1">
      <c r="D28" s="183" t="s">
        <v>968</v>
      </c>
      <c r="E28" s="183" t="s">
        <v>1033</v>
      </c>
      <c r="F28" s="183"/>
      <c r="G28" s="185"/>
      <c r="H28" s="183" t="s">
        <v>1031</v>
      </c>
      <c r="I28" s="183" t="s">
        <v>1034</v>
      </c>
      <c r="J28" s="183"/>
      <c r="K28" s="227"/>
    </row>
    <row r="29" spans="4:11" ht="15.75" thickBot="1">
      <c r="D29" s="228" t="s">
        <v>968</v>
      </c>
      <c r="E29" s="228" t="s">
        <v>1035</v>
      </c>
      <c r="F29" s="228"/>
      <c r="G29" s="229"/>
      <c r="H29" s="228" t="s">
        <v>1036</v>
      </c>
      <c r="I29" s="228"/>
      <c r="J29" s="228" t="s">
        <v>988</v>
      </c>
      <c r="K29" s="228"/>
    </row>
    <row r="30" spans="4:11" ht="16.5" thickTop="1" thickBot="1">
      <c r="D30" s="221" t="s">
        <v>968</v>
      </c>
      <c r="E30" s="221" t="s">
        <v>1015</v>
      </c>
      <c r="F30" s="221"/>
      <c r="G30" s="222">
        <v>-5000000</v>
      </c>
      <c r="H30" s="221"/>
      <c r="I30" s="221" t="s">
        <v>1028</v>
      </c>
      <c r="J30" s="221"/>
      <c r="K30" s="221"/>
    </row>
    <row r="31" spans="4:11" ht="15.75" thickTop="1">
      <c r="D31" s="231"/>
      <c r="E31" s="230" t="s">
        <v>979</v>
      </c>
      <c r="F31" s="230"/>
      <c r="G31" s="232">
        <f>SUBTOTAL(109,BudgetTable[مبلغ بودجه (ریال)])</f>
        <v>0</v>
      </c>
      <c r="H31" s="230"/>
      <c r="I31" s="230"/>
      <c r="J31" s="230"/>
      <c r="K31" s="231"/>
    </row>
    <row r="87" spans="1:1">
      <c r="A87" s="160" t="s">
        <v>121</v>
      </c>
    </row>
  </sheetData>
  <mergeCells count="1">
    <mergeCell ref="E1:F1"/>
  </mergeCells>
  <conditionalFormatting sqref="D3:K30">
    <cfRule type="expression" dxfId="43" priority="1">
      <formula xml:space="preserve"> "پرداخت شد" = $J3</formula>
    </cfRule>
    <cfRule type="expression" dxfId="42" priority="2">
      <formula xml:space="preserve"> "صادر شد" = $J3</formula>
    </cfRule>
    <cfRule type="expression" dxfId="41" priority="3">
      <formula xml:space="preserve"> "خریداری شد" = $J3</formula>
    </cfRule>
    <cfRule type="expression" dxfId="40" priority="4">
      <formula xml:space="preserve"> "دریافت شد" = $J3</formula>
    </cfRule>
    <cfRule type="expression" dxfId="39" priority="5">
      <formula xml:space="preserve"> "باطل شد" = $J3</formula>
    </cfRule>
    <cfRule type="expression" dxfId="38" priority="14">
      <formula xml:space="preserve"> "به فروش رسید" = $J3</formula>
    </cfRule>
    <cfRule type="expression" dxfId="37" priority="15">
      <formula xml:space="preserve"> "----------" = $J3</formula>
    </cfRule>
    <cfRule type="expression" dxfId="36" priority="16">
      <formula xml:space="preserve"> "-" = $J3</formula>
    </cfRule>
    <cfRule type="expression" dxfId="35" priority="17">
      <formula xml:space="preserve"> "S" = $F3</formula>
    </cfRule>
    <cfRule type="expression" dxfId="34" priority="18">
      <formula xml:space="preserve"> "A" = $F3</formula>
    </cfRule>
    <cfRule type="expression" dxfId="33" priority="19">
      <formula xml:space="preserve"> "B" = $F3</formula>
    </cfRule>
    <cfRule type="expression" dxfId="32" priority="20">
      <formula xml:space="preserve"> "C" = $F3</formula>
    </cfRule>
    <cfRule type="expression" dxfId="31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>
      <selection activeCell="A5" sqref="A5"/>
    </sheetView>
  </sheetViews>
  <sheetFormatPr defaultRowHeight="15"/>
  <cols>
    <col min="1" max="1" width="29.85546875" style="160" customWidth="1"/>
    <col min="2" max="2" width="0.7109375" style="235" customWidth="1"/>
    <col min="3" max="3" width="4.5703125" style="234" customWidth="1"/>
    <col min="4" max="4" width="6.85546875" style="250" customWidth="1"/>
    <col min="5" max="5" width="18.28515625" style="251" customWidth="1"/>
    <col min="6" max="6" width="36.5703125" style="251" customWidth="1"/>
    <col min="7" max="8" width="18.28515625" style="252" customWidth="1"/>
    <col min="9" max="10" width="18.28515625" style="251" customWidth="1"/>
    <col min="11" max="11" width="36.5703125" style="251" customWidth="1"/>
    <col min="12" max="12" width="4.5703125" style="239" customWidth="1"/>
    <col min="13" max="13" width="30" style="239" customWidth="1"/>
    <col min="14" max="14" width="36.5703125" style="239" customWidth="1"/>
    <col min="15" max="15" width="9.140625" style="240" customWidth="1"/>
    <col min="16" max="16" width="18.28515625" style="240" customWidth="1"/>
    <col min="17" max="17" width="23.5703125" style="240" customWidth="1"/>
    <col min="18" max="18" width="36.5703125" style="240" customWidth="1"/>
    <col min="19" max="20" width="18.28515625" style="240" customWidth="1"/>
    <col min="21" max="21" width="4.5703125" style="240" customWidth="1"/>
    <col min="22" max="35" width="18.28515625" style="240" customWidth="1"/>
    <col min="36" max="16384" width="9.140625" style="240"/>
  </cols>
  <sheetData>
    <row r="1" spans="1:50" ht="15.75">
      <c r="A1" s="233" t="s">
        <v>1041</v>
      </c>
      <c r="B1" s="160"/>
      <c r="D1" s="379" t="s">
        <v>1183</v>
      </c>
      <c r="E1" s="379"/>
      <c r="F1" s="379"/>
      <c r="M1" s="380" t="s">
        <v>1151</v>
      </c>
      <c r="N1" s="334" t="s">
        <v>1043</v>
      </c>
      <c r="O1" s="334"/>
      <c r="P1" s="306"/>
      <c r="Q1" s="306"/>
      <c r="R1" s="306"/>
      <c r="S1" s="306"/>
      <c r="T1" s="306"/>
      <c r="AW1" s="239"/>
      <c r="AX1" s="239"/>
    </row>
    <row r="2" spans="1:50" ht="30">
      <c r="B2" s="160"/>
      <c r="D2" s="241" t="s">
        <v>1</v>
      </c>
      <c r="E2" s="242" t="s">
        <v>0</v>
      </c>
      <c r="F2" s="242" t="s">
        <v>1045</v>
      </c>
      <c r="G2" s="243" t="s">
        <v>2</v>
      </c>
      <c r="H2" s="243" t="s">
        <v>6</v>
      </c>
      <c r="I2" s="242" t="s">
        <v>5</v>
      </c>
      <c r="J2" s="242" t="s">
        <v>1046</v>
      </c>
      <c r="K2" s="242" t="s">
        <v>1096</v>
      </c>
      <c r="M2" s="170" t="s">
        <v>965</v>
      </c>
      <c r="N2" s="170" t="s">
        <v>17</v>
      </c>
      <c r="O2" s="170" t="s">
        <v>1064</v>
      </c>
      <c r="P2" s="171" t="s">
        <v>1070</v>
      </c>
      <c r="Q2" s="170" t="s">
        <v>990</v>
      </c>
      <c r="R2" s="170" t="s">
        <v>1096</v>
      </c>
      <c r="S2" s="170" t="s">
        <v>983</v>
      </c>
      <c r="T2" s="170" t="s">
        <v>978</v>
      </c>
      <c r="AW2" s="239"/>
      <c r="AX2" s="239"/>
    </row>
    <row r="3" spans="1:50" ht="18.75">
      <c r="A3" s="134" t="s">
        <v>8</v>
      </c>
      <c r="B3" s="160"/>
      <c r="D3" s="244">
        <v>1</v>
      </c>
      <c r="E3" s="245" t="s">
        <v>1054</v>
      </c>
      <c r="F3" s="245" t="s">
        <v>1058</v>
      </c>
      <c r="G3" s="246">
        <v>6000000</v>
      </c>
      <c r="H3" s="246" t="s">
        <v>1047</v>
      </c>
      <c r="I3" s="245" t="s">
        <v>1060</v>
      </c>
      <c r="J3" s="245"/>
      <c r="K3" s="245"/>
      <c r="M3" s="172" t="s">
        <v>1072</v>
      </c>
      <c r="N3" s="172" t="s">
        <v>1075</v>
      </c>
      <c r="O3" s="172" t="s">
        <v>1065</v>
      </c>
      <c r="P3" s="173">
        <v>4000000</v>
      </c>
      <c r="Q3" s="172" t="s">
        <v>1037</v>
      </c>
      <c r="R3" s="172"/>
      <c r="S3" s="172" t="s">
        <v>1038</v>
      </c>
      <c r="T3" s="263" t="s">
        <v>1074</v>
      </c>
      <c r="AW3" s="239"/>
      <c r="AX3" s="239"/>
    </row>
    <row r="4" spans="1:50" ht="18.75">
      <c r="A4" s="135" t="s">
        <v>113</v>
      </c>
      <c r="B4" s="160"/>
      <c r="D4" s="244">
        <v>2</v>
      </c>
      <c r="E4" s="245" t="s">
        <v>1054</v>
      </c>
      <c r="F4" s="245" t="s">
        <v>1059</v>
      </c>
      <c r="G4" s="246">
        <v>6000000</v>
      </c>
      <c r="H4" s="246" t="s">
        <v>1048</v>
      </c>
      <c r="I4" s="245" t="s">
        <v>1060</v>
      </c>
      <c r="J4" s="245"/>
      <c r="K4" s="245"/>
      <c r="M4" s="172" t="s">
        <v>1072</v>
      </c>
      <c r="N4" s="172" t="s">
        <v>1075</v>
      </c>
      <c r="O4" s="172" t="s">
        <v>1065</v>
      </c>
      <c r="P4" s="173">
        <v>4000000</v>
      </c>
      <c r="Q4" s="172" t="s">
        <v>1077</v>
      </c>
      <c r="R4" s="258"/>
      <c r="S4" s="265" t="s">
        <v>121</v>
      </c>
      <c r="T4" s="264"/>
      <c r="AW4" s="239"/>
      <c r="AX4" s="239"/>
    </row>
    <row r="5" spans="1:50" ht="19.5" thickBot="1">
      <c r="A5" s="138" t="s">
        <v>1184</v>
      </c>
      <c r="B5" s="160"/>
      <c r="D5" s="244">
        <v>3</v>
      </c>
      <c r="E5" s="245" t="s">
        <v>1054</v>
      </c>
      <c r="F5" s="245" t="s">
        <v>1055</v>
      </c>
      <c r="G5" s="246">
        <v>-10000000</v>
      </c>
      <c r="H5" s="246" t="s">
        <v>1060</v>
      </c>
      <c r="I5" s="245" t="s">
        <v>1052</v>
      </c>
      <c r="J5" s="245"/>
      <c r="K5" s="245"/>
      <c r="M5" s="183" t="s">
        <v>1072</v>
      </c>
      <c r="N5" s="183" t="s">
        <v>1075</v>
      </c>
      <c r="O5" s="183" t="s">
        <v>1065</v>
      </c>
      <c r="P5" s="185">
        <v>4000000</v>
      </c>
      <c r="Q5" s="183" t="s">
        <v>1078</v>
      </c>
      <c r="R5" s="201"/>
      <c r="S5" s="175"/>
      <c r="T5" s="227"/>
      <c r="AW5" s="239"/>
      <c r="AX5" s="239"/>
    </row>
    <row r="6" spans="1:50" ht="19.5" thickBot="1">
      <c r="A6" s="384" t="s">
        <v>1185</v>
      </c>
      <c r="B6" s="160"/>
      <c r="D6" s="244">
        <v>4</v>
      </c>
      <c r="E6" s="245" t="s">
        <v>1054</v>
      </c>
      <c r="F6" s="245" t="s">
        <v>1056</v>
      </c>
      <c r="G6" s="246">
        <v>-1000000</v>
      </c>
      <c r="H6" s="246" t="s">
        <v>1060</v>
      </c>
      <c r="I6" s="245" t="s">
        <v>1051</v>
      </c>
      <c r="J6" s="245"/>
      <c r="K6" s="245"/>
      <c r="M6" s="183" t="s">
        <v>966</v>
      </c>
      <c r="N6" s="183" t="s">
        <v>1079</v>
      </c>
      <c r="O6" s="183" t="s">
        <v>1069</v>
      </c>
      <c r="P6" s="185"/>
      <c r="Q6" s="183" t="s">
        <v>992</v>
      </c>
      <c r="R6" s="183"/>
      <c r="S6" s="183" t="s">
        <v>1040</v>
      </c>
      <c r="T6" s="227"/>
      <c r="AW6" s="239"/>
      <c r="AX6" s="239"/>
    </row>
    <row r="7" spans="1:50" ht="19.5" thickBot="1">
      <c r="A7" s="386" t="s">
        <v>1186</v>
      </c>
      <c r="B7" s="160"/>
      <c r="D7" s="244">
        <v>5</v>
      </c>
      <c r="E7" s="245" t="s">
        <v>1054</v>
      </c>
      <c r="F7" s="245" t="s">
        <v>1057</v>
      </c>
      <c r="G7" s="246">
        <v>-1000000</v>
      </c>
      <c r="H7" s="246" t="s">
        <v>1060</v>
      </c>
      <c r="I7" s="245" t="s">
        <v>1052</v>
      </c>
      <c r="J7" s="245"/>
      <c r="K7" s="245"/>
      <c r="M7" s="206"/>
      <c r="N7" s="206"/>
      <c r="O7" s="206"/>
      <c r="P7" s="207"/>
      <c r="Q7" s="206"/>
      <c r="R7" s="206"/>
      <c r="S7" s="206"/>
      <c r="T7" s="206"/>
      <c r="AW7" s="239"/>
      <c r="AX7" s="239"/>
    </row>
    <row r="8" spans="1:50" ht="19.5" thickTop="1">
      <c r="A8" s="389" t="s">
        <v>1187</v>
      </c>
      <c r="B8" s="160"/>
      <c r="D8" s="244" t="s">
        <v>140</v>
      </c>
      <c r="E8" s="248"/>
      <c r="F8" s="248"/>
      <c r="G8" s="246">
        <f>SUBTOTAL(109,CommonBillTable[مبلغ (ریال)])</f>
        <v>0</v>
      </c>
      <c r="H8" s="249"/>
      <c r="I8" s="248"/>
      <c r="J8" s="248"/>
      <c r="K8" s="248"/>
      <c r="M8" s="266" t="s">
        <v>220</v>
      </c>
      <c r="N8" s="266" t="s">
        <v>1076</v>
      </c>
      <c r="O8" s="266" t="s">
        <v>1065</v>
      </c>
      <c r="P8" s="267">
        <v>-7000000</v>
      </c>
      <c r="Q8" s="266" t="s">
        <v>1018</v>
      </c>
      <c r="R8" s="266"/>
      <c r="S8" s="266"/>
      <c r="T8" s="268"/>
      <c r="AW8" s="239"/>
      <c r="AX8" s="239"/>
    </row>
    <row r="9" spans="1:50" ht="18.75">
      <c r="A9" s="387" t="s">
        <v>7</v>
      </c>
      <c r="B9" s="160"/>
      <c r="K9" s="261"/>
      <c r="M9" s="272" t="s">
        <v>967</v>
      </c>
      <c r="N9" s="272" t="s">
        <v>1056</v>
      </c>
      <c r="O9" s="265" t="s">
        <v>1068</v>
      </c>
      <c r="P9" s="273"/>
      <c r="Q9" s="172" t="s">
        <v>1018</v>
      </c>
      <c r="R9" s="272"/>
      <c r="S9" s="265"/>
      <c r="T9" s="269"/>
      <c r="AW9" s="239"/>
      <c r="AX9" s="239"/>
    </row>
    <row r="10" spans="1:50" ht="18.75">
      <c r="A10" s="388" t="s">
        <v>100</v>
      </c>
      <c r="B10" s="160"/>
      <c r="K10" s="261"/>
      <c r="M10" s="272" t="s">
        <v>967</v>
      </c>
      <c r="N10" s="272" t="s">
        <v>1080</v>
      </c>
      <c r="O10" s="265" t="s">
        <v>1068</v>
      </c>
      <c r="P10" s="273"/>
      <c r="Q10" s="172" t="s">
        <v>1018</v>
      </c>
      <c r="R10" s="272"/>
      <c r="S10" s="265"/>
      <c r="T10" s="269"/>
      <c r="AW10" s="239"/>
      <c r="AX10" s="239"/>
    </row>
    <row r="11" spans="1:50">
      <c r="B11" s="160"/>
      <c r="K11" s="261"/>
      <c r="M11" s="172" t="s">
        <v>967</v>
      </c>
      <c r="N11" s="172" t="s">
        <v>1057</v>
      </c>
      <c r="O11" s="172" t="s">
        <v>1068</v>
      </c>
      <c r="P11" s="173"/>
      <c r="Q11" s="172" t="s">
        <v>1018</v>
      </c>
      <c r="R11" s="172"/>
      <c r="S11" s="172"/>
      <c r="T11" s="174"/>
      <c r="AW11" s="239"/>
      <c r="AX11" s="239"/>
    </row>
    <row r="12" spans="1:50" ht="15.75">
      <c r="A12" s="254" t="s">
        <v>1044</v>
      </c>
      <c r="B12" s="160"/>
      <c r="K12" s="261"/>
      <c r="M12" s="258" t="s">
        <v>967</v>
      </c>
      <c r="N12" s="258" t="s">
        <v>1081</v>
      </c>
      <c r="O12" s="265" t="s">
        <v>1066</v>
      </c>
      <c r="P12" s="273"/>
      <c r="Q12" s="172" t="s">
        <v>1018</v>
      </c>
      <c r="R12" s="272"/>
      <c r="S12" s="265"/>
      <c r="T12" s="274"/>
      <c r="AW12" s="239"/>
      <c r="AX12" s="239"/>
    </row>
    <row r="13" spans="1:50" ht="16.5" thickBot="1">
      <c r="A13" s="278">
        <f>CommonBillTable[[#Totals],[مبلغ (ریال)]]</f>
        <v>0</v>
      </c>
      <c r="B13" s="160"/>
      <c r="K13" s="261"/>
      <c r="M13" s="201" t="s">
        <v>967</v>
      </c>
      <c r="N13" s="201" t="s">
        <v>1082</v>
      </c>
      <c r="O13" s="183" t="s">
        <v>1067</v>
      </c>
      <c r="P13" s="275"/>
      <c r="Q13" s="183" t="s">
        <v>1018</v>
      </c>
      <c r="R13" s="276"/>
      <c r="S13" s="183"/>
      <c r="T13" s="227"/>
      <c r="AW13" s="239"/>
      <c r="AX13" s="239"/>
    </row>
    <row r="14" spans="1:50" ht="15.75" thickBot="1">
      <c r="K14" s="261"/>
      <c r="M14" s="259" t="s">
        <v>969</v>
      </c>
      <c r="N14" s="259" t="s">
        <v>1087</v>
      </c>
      <c r="O14" s="191" t="s">
        <v>1066</v>
      </c>
      <c r="P14" s="203"/>
      <c r="Q14" s="191" t="s">
        <v>1018</v>
      </c>
      <c r="R14" s="259"/>
      <c r="S14" s="191"/>
      <c r="T14" s="277"/>
      <c r="AW14" s="239"/>
      <c r="AX14" s="239"/>
    </row>
    <row r="15" spans="1:50">
      <c r="K15" s="261"/>
      <c r="M15" s="258" t="s">
        <v>968</v>
      </c>
      <c r="N15" s="258" t="s">
        <v>1085</v>
      </c>
      <c r="O15" s="172"/>
      <c r="P15" s="271"/>
      <c r="Q15" s="270" t="s">
        <v>1036</v>
      </c>
      <c r="R15" s="270"/>
      <c r="S15" s="172"/>
      <c r="T15" s="274"/>
      <c r="AW15" s="239"/>
      <c r="AX15" s="239"/>
    </row>
    <row r="16" spans="1:50">
      <c r="K16" s="261"/>
      <c r="M16" s="258" t="s">
        <v>968</v>
      </c>
      <c r="N16" s="258" t="s">
        <v>1086</v>
      </c>
      <c r="O16" s="265"/>
      <c r="P16" s="273"/>
      <c r="Q16" s="272" t="s">
        <v>1018</v>
      </c>
      <c r="R16" s="272"/>
      <c r="S16" s="265"/>
      <c r="T16" s="274"/>
      <c r="AW16" s="239"/>
      <c r="AX16" s="239"/>
    </row>
    <row r="17" spans="1:50" ht="15.75" thickBot="1">
      <c r="K17" s="261"/>
      <c r="M17" s="221" t="s">
        <v>991</v>
      </c>
      <c r="N17" s="221" t="s">
        <v>1083</v>
      </c>
      <c r="O17" s="221" t="s">
        <v>1069</v>
      </c>
      <c r="P17" s="222"/>
      <c r="Q17" s="221" t="s">
        <v>1084</v>
      </c>
      <c r="R17" s="221"/>
      <c r="S17" s="221"/>
      <c r="T17" s="221" t="s">
        <v>121</v>
      </c>
      <c r="AW17" s="239"/>
      <c r="AX17" s="239"/>
    </row>
    <row r="18" spans="1:50" ht="15.75" thickTop="1">
      <c r="K18" s="261"/>
      <c r="M18" s="231"/>
      <c r="N18" s="230" t="s">
        <v>979</v>
      </c>
      <c r="O18" s="230"/>
      <c r="P18" s="232">
        <f>SUBTOTAL(109,CommonEnvironmentBudgetTable140010[مبلغ بودجه (ریال)])</f>
        <v>5000000</v>
      </c>
      <c r="Q18" s="230"/>
      <c r="R18" s="230"/>
      <c r="S18" s="230"/>
      <c r="T18" s="231"/>
      <c r="AW18" s="239"/>
      <c r="AX18" s="239"/>
    </row>
    <row r="19" spans="1:50">
      <c r="K19" s="261"/>
      <c r="AW19" s="239"/>
      <c r="AX19" s="239"/>
    </row>
    <row r="20" spans="1:50">
      <c r="K20" s="261"/>
      <c r="AW20" s="239"/>
      <c r="AX20" s="239"/>
    </row>
    <row r="21" spans="1:50">
      <c r="K21" s="261"/>
      <c r="AW21" s="239"/>
      <c r="AX21" s="239"/>
    </row>
    <row r="22" spans="1:50">
      <c r="K22" s="261"/>
      <c r="AW22" s="239"/>
      <c r="AX22" s="239"/>
    </row>
    <row r="23" spans="1:50">
      <c r="K23" s="261"/>
      <c r="AW23" s="239"/>
      <c r="AX23" s="239"/>
    </row>
    <row r="24" spans="1:50">
      <c r="K24" s="261"/>
      <c r="AW24" s="239"/>
      <c r="AX24" s="239"/>
    </row>
    <row r="25" spans="1:50">
      <c r="A25" s="295"/>
      <c r="K25" s="261"/>
      <c r="AW25" s="239"/>
      <c r="AX25" s="239"/>
    </row>
    <row r="26" spans="1:50">
      <c r="A26" s="295"/>
      <c r="K26" s="261"/>
      <c r="AW26" s="239"/>
      <c r="AX26" s="239"/>
    </row>
    <row r="27" spans="1:50">
      <c r="A27" s="295"/>
      <c r="K27" s="261"/>
      <c r="AW27" s="239"/>
      <c r="AX27" s="239"/>
    </row>
    <row r="28" spans="1:50">
      <c r="A28" s="295"/>
      <c r="AW28" s="239"/>
      <c r="AX28" s="239"/>
    </row>
    <row r="29" spans="1:50">
      <c r="A29" s="295"/>
      <c r="AW29" s="239"/>
      <c r="AX29" s="239"/>
    </row>
    <row r="30" spans="1:50">
      <c r="A30" s="295"/>
      <c r="AW30" s="239"/>
      <c r="AX30" s="239"/>
    </row>
    <row r="31" spans="1:50">
      <c r="AW31" s="239"/>
      <c r="AX31" s="239"/>
    </row>
    <row r="32" spans="1:50">
      <c r="AW32" s="239"/>
      <c r="AX32" s="239"/>
    </row>
    <row r="33" spans="49:50">
      <c r="AW33" s="239"/>
      <c r="AX33" s="239"/>
    </row>
    <row r="34" spans="49:50">
      <c r="AW34" s="239"/>
      <c r="AX34" s="239"/>
    </row>
    <row r="35" spans="49:50">
      <c r="AW35" s="239"/>
      <c r="AX35" s="239"/>
    </row>
    <row r="36" spans="49:50">
      <c r="AW36" s="239"/>
      <c r="AX36" s="239"/>
    </row>
    <row r="37" spans="49:50">
      <c r="AW37" s="239"/>
      <c r="AX37" s="239"/>
    </row>
    <row r="38" spans="49:50">
      <c r="AW38" s="239"/>
      <c r="AX38" s="239"/>
    </row>
    <row r="39" spans="49:50">
      <c r="AW39" s="239"/>
      <c r="AX39" s="239"/>
    </row>
    <row r="40" spans="49:50">
      <c r="AW40" s="239"/>
      <c r="AX40" s="239"/>
    </row>
    <row r="41" spans="49:50">
      <c r="AW41" s="239"/>
      <c r="AX41" s="239"/>
    </row>
    <row r="42" spans="49:50">
      <c r="AW42" s="239"/>
      <c r="AX42" s="239"/>
    </row>
    <row r="43" spans="49:50">
      <c r="AW43" s="239"/>
      <c r="AX43" s="239"/>
    </row>
    <row r="44" spans="49:50">
      <c r="AW44" s="239"/>
      <c r="AX44" s="239"/>
    </row>
    <row r="45" spans="49:50">
      <c r="AW45" s="239"/>
      <c r="AX45" s="239"/>
    </row>
    <row r="46" spans="49:50">
      <c r="AW46" s="239"/>
      <c r="AX46" s="239"/>
    </row>
    <row r="47" spans="49:50">
      <c r="AW47" s="239"/>
      <c r="AX47" s="239"/>
    </row>
    <row r="48" spans="49:50">
      <c r="AW48" s="239"/>
      <c r="AX48" s="239"/>
    </row>
    <row r="49" spans="1:50">
      <c r="AW49" s="239"/>
      <c r="AX49" s="239"/>
    </row>
    <row r="50" spans="1:50">
      <c r="AW50" s="239"/>
      <c r="AX50" s="239"/>
    </row>
    <row r="51" spans="1:50">
      <c r="AW51" s="239"/>
      <c r="AX51" s="239"/>
    </row>
    <row r="52" spans="1:50">
      <c r="AW52" s="239"/>
      <c r="AX52" s="239"/>
    </row>
    <row r="53" spans="1:50">
      <c r="AW53" s="239"/>
      <c r="AX53" s="239"/>
    </row>
    <row r="54" spans="1:50">
      <c r="AW54" s="239"/>
      <c r="AX54" s="239"/>
    </row>
    <row r="55" spans="1:50">
      <c r="AW55" s="239"/>
      <c r="AX55" s="239"/>
    </row>
    <row r="56" spans="1:50">
      <c r="AW56" s="239"/>
      <c r="AX56" s="239"/>
    </row>
    <row r="57" spans="1:50">
      <c r="A57" s="253"/>
      <c r="AW57" s="239"/>
      <c r="AX57" s="239"/>
    </row>
    <row r="58" spans="1:50">
      <c r="A58" s="253"/>
      <c r="AW58" s="239"/>
      <c r="AX58" s="239"/>
    </row>
    <row r="59" spans="1:50">
      <c r="A59" s="253"/>
      <c r="AW59" s="239"/>
      <c r="AX59" s="239"/>
    </row>
    <row r="60" spans="1:50">
      <c r="A60" s="253"/>
      <c r="AW60" s="239"/>
      <c r="AX60" s="239"/>
    </row>
    <row r="61" spans="1:50">
      <c r="A61" s="253"/>
      <c r="AW61" s="239"/>
      <c r="AX61" s="239"/>
    </row>
    <row r="62" spans="1:50">
      <c r="A62" s="253"/>
      <c r="AW62" s="239"/>
      <c r="AX62" s="239"/>
    </row>
    <row r="63" spans="1:50">
      <c r="A63" s="253"/>
      <c r="AW63" s="239"/>
      <c r="AX63" s="239"/>
    </row>
    <row r="64" spans="1:50">
      <c r="A64" s="253"/>
      <c r="AW64" s="239"/>
      <c r="AX64" s="239"/>
    </row>
    <row r="65" spans="1:50">
      <c r="A65" s="253"/>
      <c r="AW65" s="239"/>
      <c r="AX65" s="239"/>
    </row>
    <row r="66" spans="1:50">
      <c r="A66" s="253"/>
      <c r="AW66" s="239"/>
      <c r="AX66" s="239"/>
    </row>
    <row r="67" spans="1:50">
      <c r="A67" s="253"/>
      <c r="AW67" s="239"/>
      <c r="AX67" s="239"/>
    </row>
    <row r="68" spans="1:50">
      <c r="A68" s="253"/>
      <c r="AW68" s="239"/>
      <c r="AX68" s="239"/>
    </row>
    <row r="69" spans="1:50">
      <c r="A69" s="253"/>
      <c r="AW69" s="239"/>
      <c r="AX69" s="239"/>
    </row>
    <row r="70" spans="1:50">
      <c r="A70" s="253"/>
      <c r="AW70" s="239"/>
      <c r="AX70" s="239"/>
    </row>
    <row r="71" spans="1:50">
      <c r="A71" s="253"/>
      <c r="AW71" s="239"/>
      <c r="AX71" s="239"/>
    </row>
    <row r="72" spans="1:50">
      <c r="A72" s="253"/>
      <c r="AW72" s="239"/>
      <c r="AX72" s="239"/>
    </row>
    <row r="73" spans="1:50">
      <c r="A73" s="253"/>
      <c r="AW73" s="239"/>
      <c r="AX73" s="239"/>
    </row>
    <row r="74" spans="1:50">
      <c r="A74" s="253"/>
      <c r="AW74" s="239"/>
      <c r="AX74" s="239"/>
    </row>
    <row r="75" spans="1:50">
      <c r="A75" s="253"/>
      <c r="AW75" s="239"/>
      <c r="AX75" s="239"/>
    </row>
    <row r="76" spans="1:50">
      <c r="A76" s="253"/>
      <c r="AW76" s="239"/>
      <c r="AX76" s="239"/>
    </row>
    <row r="77" spans="1:50">
      <c r="A77" s="253"/>
      <c r="AW77" s="239"/>
      <c r="AX77" s="239"/>
    </row>
    <row r="78" spans="1:50">
      <c r="A78" s="253"/>
      <c r="AW78" s="239"/>
      <c r="AX78" s="239"/>
    </row>
    <row r="79" spans="1:50">
      <c r="A79" s="253"/>
      <c r="AW79" s="239"/>
      <c r="AX79" s="239"/>
    </row>
    <row r="80" spans="1:50">
      <c r="A80" s="253"/>
      <c r="AW80" s="239"/>
      <c r="AX80" s="239"/>
    </row>
    <row r="81" spans="1:50">
      <c r="A81" s="253"/>
      <c r="AW81" s="239"/>
      <c r="AX81" s="239"/>
    </row>
    <row r="82" spans="1:50">
      <c r="A82" s="253"/>
      <c r="AW82" s="239"/>
      <c r="AX82" s="239"/>
    </row>
    <row r="83" spans="1:50">
      <c r="A83" s="253"/>
      <c r="AW83" s="239"/>
      <c r="AX83" s="239"/>
    </row>
    <row r="84" spans="1:50">
      <c r="A84" s="253"/>
      <c r="AW84" s="239"/>
      <c r="AX84" s="239"/>
    </row>
    <row r="85" spans="1:50">
      <c r="A85" s="253" t="s">
        <v>121</v>
      </c>
      <c r="AW85" s="239"/>
      <c r="AX85" s="239"/>
    </row>
    <row r="86" spans="1:50">
      <c r="AW86" s="239"/>
      <c r="AX86" s="239"/>
    </row>
    <row r="87" spans="1:50">
      <c r="AW87" s="239"/>
      <c r="AX87" s="239"/>
    </row>
    <row r="88" spans="1:50">
      <c r="AW88" s="239"/>
      <c r="AX88" s="239"/>
    </row>
    <row r="89" spans="1:50">
      <c r="AW89" s="239"/>
      <c r="AX89" s="239"/>
    </row>
    <row r="90" spans="1:50">
      <c r="AW90" s="239"/>
      <c r="AX90" s="239"/>
    </row>
    <row r="91" spans="1:50">
      <c r="AW91" s="239"/>
      <c r="AX91" s="239"/>
    </row>
    <row r="92" spans="1:50">
      <c r="AW92" s="239"/>
      <c r="AX92" s="239"/>
    </row>
    <row r="93" spans="1:50">
      <c r="AW93" s="239"/>
      <c r="AX93" s="239"/>
    </row>
    <row r="94" spans="1:50">
      <c r="AW94" s="239"/>
      <c r="AX94" s="239"/>
    </row>
    <row r="95" spans="1:50">
      <c r="AW95" s="239"/>
      <c r="AX95" s="239"/>
    </row>
    <row r="96" spans="1:50">
      <c r="AW96" s="239"/>
      <c r="AX96" s="239"/>
    </row>
    <row r="97" spans="49:50">
      <c r="AW97" s="239"/>
      <c r="AX97" s="239"/>
    </row>
    <row r="98" spans="49:50">
      <c r="AW98" s="239"/>
      <c r="AX98" s="239"/>
    </row>
    <row r="99" spans="49:50">
      <c r="AW99" s="239"/>
      <c r="AX99" s="239"/>
    </row>
    <row r="100" spans="49:50">
      <c r="AW100" s="239"/>
      <c r="AX100" s="239"/>
    </row>
    <row r="101" spans="49:50">
      <c r="AW101" s="239"/>
      <c r="AX101" s="239"/>
    </row>
    <row r="102" spans="49:50">
      <c r="AW102" s="239"/>
      <c r="AX102" s="239"/>
    </row>
    <row r="103" spans="49:50">
      <c r="AW103" s="239"/>
      <c r="AX103" s="239"/>
    </row>
    <row r="104" spans="49:50">
      <c r="AW104" s="239"/>
      <c r="AX104" s="239"/>
    </row>
    <row r="105" spans="49:50">
      <c r="AW105" s="239"/>
      <c r="AX105" s="239"/>
    </row>
    <row r="106" spans="49:50">
      <c r="AW106" s="239"/>
      <c r="AX106" s="239"/>
    </row>
    <row r="107" spans="49:50">
      <c r="AW107" s="239"/>
      <c r="AX107" s="239"/>
    </row>
    <row r="108" spans="49:50">
      <c r="AW108" s="239"/>
      <c r="AX108" s="239"/>
    </row>
    <row r="109" spans="49:50">
      <c r="AW109" s="239"/>
      <c r="AX109" s="239"/>
    </row>
    <row r="110" spans="49:50">
      <c r="AW110" s="239"/>
      <c r="AX110" s="239"/>
    </row>
    <row r="111" spans="49:50">
      <c r="AW111" s="239"/>
      <c r="AX111" s="239"/>
    </row>
    <row r="112" spans="49:50">
      <c r="AW112" s="239"/>
      <c r="AX112" s="239"/>
    </row>
    <row r="113" spans="49:50">
      <c r="AW113" s="239"/>
      <c r="AX113" s="239"/>
    </row>
    <row r="114" spans="49:50">
      <c r="AW114" s="239"/>
      <c r="AX114" s="239"/>
    </row>
    <row r="115" spans="49:50">
      <c r="AW115" s="239"/>
      <c r="AX115" s="239"/>
    </row>
    <row r="116" spans="49:50">
      <c r="AW116" s="239"/>
      <c r="AX116" s="239"/>
    </row>
    <row r="117" spans="49:50">
      <c r="AW117" s="239"/>
      <c r="AX117" s="239"/>
    </row>
    <row r="118" spans="49:50">
      <c r="AW118" s="239"/>
      <c r="AX118" s="239"/>
    </row>
    <row r="119" spans="49:50">
      <c r="AW119" s="239"/>
      <c r="AX119" s="239"/>
    </row>
    <row r="120" spans="49:50">
      <c r="AW120" s="239"/>
      <c r="AX120" s="239"/>
    </row>
    <row r="121" spans="49:50">
      <c r="AW121" s="239"/>
      <c r="AX121" s="239"/>
    </row>
    <row r="122" spans="49:50">
      <c r="AW122" s="239"/>
      <c r="AX122" s="239"/>
    </row>
    <row r="123" spans="49:50">
      <c r="AW123" s="239"/>
      <c r="AX123" s="239"/>
    </row>
    <row r="124" spans="49:50">
      <c r="AW124" s="239"/>
      <c r="AX124" s="239"/>
    </row>
    <row r="125" spans="49:50">
      <c r="AW125" s="239"/>
      <c r="AX125" s="239"/>
    </row>
    <row r="126" spans="49:50">
      <c r="AW126" s="239"/>
      <c r="AX126" s="239"/>
    </row>
    <row r="127" spans="49:50">
      <c r="AW127" s="239"/>
      <c r="AX127" s="239"/>
    </row>
    <row r="128" spans="49:50">
      <c r="AW128" s="239"/>
      <c r="AX128" s="239"/>
    </row>
    <row r="129" spans="49:50">
      <c r="AW129" s="239"/>
      <c r="AX129" s="239"/>
    </row>
    <row r="130" spans="49:50">
      <c r="AW130" s="239"/>
      <c r="AX130" s="239"/>
    </row>
    <row r="131" spans="49:50">
      <c r="AW131" s="239"/>
      <c r="AX131" s="239"/>
    </row>
    <row r="132" spans="49:50">
      <c r="AW132" s="239"/>
      <c r="AX132" s="239"/>
    </row>
    <row r="133" spans="49:50">
      <c r="AW133" s="239"/>
      <c r="AX133" s="239"/>
    </row>
    <row r="134" spans="49:50">
      <c r="AW134" s="239"/>
      <c r="AX134" s="239"/>
    </row>
    <row r="135" spans="49:50">
      <c r="AW135" s="239"/>
      <c r="AX135" s="239"/>
    </row>
    <row r="136" spans="49:50">
      <c r="AW136" s="239"/>
      <c r="AX136" s="239"/>
    </row>
    <row r="137" spans="49:50">
      <c r="AW137" s="239"/>
      <c r="AX137" s="239"/>
    </row>
    <row r="138" spans="49:50">
      <c r="AW138" s="239"/>
      <c r="AX138" s="239"/>
    </row>
    <row r="139" spans="49:50">
      <c r="AW139" s="239"/>
      <c r="AX139" s="239"/>
    </row>
    <row r="140" spans="49:50">
      <c r="AW140" s="239"/>
      <c r="AX140" s="239"/>
    </row>
    <row r="141" spans="49:50">
      <c r="AW141" s="239"/>
      <c r="AX141" s="239"/>
    </row>
    <row r="142" spans="49:50">
      <c r="AW142" s="239"/>
      <c r="AX142" s="239"/>
    </row>
    <row r="143" spans="49:50">
      <c r="AW143" s="239"/>
      <c r="AX143" s="239"/>
    </row>
    <row r="144" spans="49:50">
      <c r="AW144" s="239"/>
      <c r="AX144" s="239"/>
    </row>
    <row r="145" spans="49:50">
      <c r="AW145" s="239"/>
      <c r="AX145" s="239"/>
    </row>
    <row r="146" spans="49:50">
      <c r="AW146" s="239"/>
      <c r="AX146" s="239"/>
    </row>
    <row r="147" spans="49:50">
      <c r="AW147" s="239"/>
      <c r="AX147" s="239"/>
    </row>
    <row r="148" spans="49:50">
      <c r="AW148" s="239"/>
      <c r="AX148" s="239"/>
    </row>
    <row r="149" spans="49:50">
      <c r="AW149" s="239"/>
      <c r="AX149" s="239"/>
    </row>
    <row r="150" spans="49:50">
      <c r="AW150" s="239"/>
      <c r="AX150" s="239"/>
    </row>
    <row r="151" spans="49:50">
      <c r="AW151" s="239"/>
      <c r="AX151" s="239"/>
    </row>
    <row r="152" spans="49:50">
      <c r="AW152" s="239"/>
      <c r="AX152" s="239"/>
    </row>
    <row r="153" spans="49:50">
      <c r="AW153" s="239"/>
      <c r="AX153" s="239"/>
    </row>
    <row r="154" spans="49:50">
      <c r="AW154" s="239"/>
      <c r="AX154" s="239"/>
    </row>
    <row r="155" spans="49:50">
      <c r="AW155" s="239"/>
      <c r="AX155" s="239"/>
    </row>
    <row r="156" spans="49:50">
      <c r="AW156" s="239"/>
      <c r="AX156" s="239"/>
    </row>
    <row r="157" spans="49:50">
      <c r="AW157" s="239"/>
      <c r="AX157" s="239"/>
    </row>
    <row r="158" spans="49:50">
      <c r="AW158" s="239"/>
      <c r="AX158" s="239"/>
    </row>
    <row r="159" spans="49:50">
      <c r="AW159" s="239"/>
      <c r="AX159" s="239"/>
    </row>
    <row r="160" spans="49:50">
      <c r="AW160" s="239"/>
      <c r="AX160" s="239"/>
    </row>
    <row r="161" spans="49:50">
      <c r="AW161" s="239"/>
      <c r="AX161" s="239"/>
    </row>
    <row r="162" spans="49:50">
      <c r="AW162" s="239"/>
      <c r="AX162" s="239"/>
    </row>
    <row r="163" spans="49:50">
      <c r="AW163" s="239"/>
      <c r="AX163" s="239"/>
    </row>
    <row r="164" spans="49:50">
      <c r="AW164" s="239"/>
      <c r="AX164" s="239"/>
    </row>
    <row r="165" spans="49:50">
      <c r="AW165" s="239"/>
      <c r="AX165" s="239"/>
    </row>
    <row r="166" spans="49:50">
      <c r="AW166" s="239"/>
      <c r="AX166" s="239"/>
    </row>
    <row r="167" spans="49:50">
      <c r="AW167" s="239"/>
      <c r="AX167" s="239"/>
    </row>
    <row r="168" spans="49:50">
      <c r="AW168" s="239"/>
      <c r="AX168" s="239"/>
    </row>
    <row r="169" spans="49:50">
      <c r="AW169" s="239"/>
      <c r="AX169" s="239"/>
    </row>
    <row r="170" spans="49:50">
      <c r="AW170" s="239"/>
      <c r="AX170" s="239"/>
    </row>
    <row r="171" spans="49:50">
      <c r="AW171" s="239"/>
      <c r="AX171" s="239"/>
    </row>
    <row r="172" spans="49:50">
      <c r="AW172" s="239"/>
      <c r="AX172" s="239"/>
    </row>
    <row r="173" spans="49:50">
      <c r="AW173" s="239"/>
      <c r="AX173" s="239"/>
    </row>
    <row r="174" spans="49:50">
      <c r="AW174" s="239"/>
      <c r="AX174" s="239"/>
    </row>
    <row r="175" spans="49:50">
      <c r="AW175" s="239"/>
      <c r="AX175" s="239"/>
    </row>
    <row r="176" spans="49:50">
      <c r="AW176" s="239"/>
      <c r="AX176" s="239"/>
    </row>
    <row r="177" spans="49:50">
      <c r="AW177" s="239"/>
      <c r="AX177" s="239"/>
    </row>
    <row r="178" spans="49:50">
      <c r="AW178" s="239"/>
      <c r="AX178" s="239"/>
    </row>
    <row r="179" spans="49:50">
      <c r="AW179" s="239"/>
      <c r="AX179" s="239"/>
    </row>
    <row r="180" spans="49:50">
      <c r="AW180" s="239"/>
      <c r="AX180" s="239"/>
    </row>
    <row r="181" spans="49:50">
      <c r="AW181" s="239"/>
      <c r="AX181" s="239"/>
    </row>
    <row r="182" spans="49:50">
      <c r="AW182" s="239"/>
      <c r="AX182" s="239"/>
    </row>
    <row r="183" spans="49:50">
      <c r="AW183" s="239"/>
      <c r="AX183" s="239"/>
    </row>
    <row r="184" spans="49:50">
      <c r="AW184" s="239"/>
      <c r="AX184" s="239"/>
    </row>
    <row r="185" spans="49:50">
      <c r="AW185" s="239"/>
      <c r="AX185" s="239"/>
    </row>
    <row r="186" spans="49:50">
      <c r="AW186" s="239"/>
      <c r="AX186" s="239"/>
    </row>
    <row r="187" spans="49:50">
      <c r="AW187" s="239"/>
      <c r="AX187" s="239"/>
    </row>
    <row r="188" spans="49:50">
      <c r="AW188" s="239"/>
      <c r="AX188" s="239"/>
    </row>
    <row r="189" spans="49:50">
      <c r="AW189" s="239"/>
      <c r="AX189" s="239"/>
    </row>
    <row r="190" spans="49:50">
      <c r="AW190" s="239"/>
      <c r="AX190" s="239"/>
    </row>
    <row r="191" spans="49:50">
      <c r="AW191" s="239"/>
      <c r="AX191" s="239"/>
    </row>
    <row r="192" spans="49:50">
      <c r="AW192" s="239"/>
      <c r="AX192" s="239"/>
    </row>
    <row r="193" spans="49:50">
      <c r="AW193" s="239"/>
      <c r="AX193" s="239"/>
    </row>
    <row r="194" spans="49:50">
      <c r="AW194" s="239"/>
      <c r="AX194" s="239"/>
    </row>
    <row r="195" spans="49:50">
      <c r="AW195" s="239"/>
      <c r="AX195" s="239"/>
    </row>
    <row r="196" spans="49:50">
      <c r="AW196" s="239"/>
      <c r="AX196" s="239"/>
    </row>
    <row r="197" spans="49:50">
      <c r="AW197" s="239"/>
      <c r="AX197" s="239"/>
    </row>
    <row r="198" spans="49:50">
      <c r="AW198" s="239"/>
      <c r="AX198" s="239"/>
    </row>
    <row r="199" spans="49:50">
      <c r="AW199" s="239"/>
      <c r="AX199" s="239"/>
    </row>
    <row r="200" spans="49:50">
      <c r="AW200" s="239"/>
      <c r="AX200" s="239"/>
    </row>
    <row r="201" spans="49:50">
      <c r="AW201" s="239"/>
      <c r="AX201" s="239"/>
    </row>
    <row r="202" spans="49:50">
      <c r="AW202" s="239"/>
      <c r="AX202" s="239"/>
    </row>
    <row r="203" spans="49:50">
      <c r="AW203" s="239"/>
      <c r="AX203" s="239"/>
    </row>
    <row r="204" spans="49:50">
      <c r="AW204" s="239"/>
      <c r="AX204" s="239"/>
    </row>
    <row r="205" spans="49:50">
      <c r="AW205" s="239"/>
      <c r="AX205" s="239"/>
    </row>
    <row r="206" spans="49:50">
      <c r="AW206" s="239"/>
      <c r="AX206" s="239"/>
    </row>
    <row r="207" spans="49:50">
      <c r="AW207" s="239"/>
      <c r="AX207" s="239"/>
    </row>
    <row r="208" spans="49:50">
      <c r="AW208" s="239"/>
      <c r="AX208" s="239"/>
    </row>
    <row r="209" spans="49:50">
      <c r="AW209" s="239"/>
      <c r="AX209" s="239"/>
    </row>
    <row r="210" spans="49:50">
      <c r="AW210" s="239"/>
      <c r="AX210" s="239"/>
    </row>
    <row r="211" spans="49:50">
      <c r="AW211" s="239"/>
      <c r="AX211" s="239"/>
    </row>
    <row r="212" spans="49:50">
      <c r="AW212" s="239"/>
      <c r="AX212" s="239"/>
    </row>
    <row r="213" spans="49:50">
      <c r="AW213" s="239"/>
      <c r="AX213" s="239"/>
    </row>
    <row r="214" spans="49:50">
      <c r="AW214" s="239"/>
      <c r="AX214" s="239"/>
    </row>
    <row r="215" spans="49:50">
      <c r="AW215" s="239"/>
      <c r="AX215" s="239"/>
    </row>
    <row r="216" spans="49:50">
      <c r="AW216" s="239"/>
      <c r="AX216" s="239"/>
    </row>
    <row r="217" spans="49:50">
      <c r="AW217" s="239"/>
      <c r="AX217" s="239"/>
    </row>
    <row r="218" spans="49:50">
      <c r="AW218" s="239"/>
      <c r="AX218" s="239"/>
    </row>
    <row r="219" spans="49:50">
      <c r="AW219" s="239"/>
      <c r="AX219" s="239"/>
    </row>
    <row r="220" spans="49:50">
      <c r="AW220" s="239"/>
      <c r="AX220" s="239"/>
    </row>
    <row r="221" spans="49:50">
      <c r="AW221" s="239"/>
      <c r="AX221" s="239"/>
    </row>
    <row r="222" spans="49:50">
      <c r="AW222" s="239"/>
      <c r="AX222" s="239"/>
    </row>
    <row r="223" spans="49:50">
      <c r="AW223" s="239"/>
      <c r="AX223" s="239"/>
    </row>
    <row r="224" spans="49:50">
      <c r="AW224" s="239"/>
      <c r="AX224" s="239"/>
    </row>
    <row r="225" spans="49:50">
      <c r="AW225" s="239"/>
      <c r="AX225" s="239"/>
    </row>
    <row r="226" spans="49:50">
      <c r="AW226" s="239"/>
      <c r="AX226" s="239"/>
    </row>
    <row r="227" spans="49:50">
      <c r="AW227" s="239"/>
      <c r="AX227" s="239"/>
    </row>
    <row r="228" spans="49:50">
      <c r="AW228" s="239"/>
      <c r="AX228" s="239"/>
    </row>
    <row r="229" spans="49:50">
      <c r="AW229" s="239"/>
      <c r="AX229" s="239"/>
    </row>
    <row r="230" spans="49:50">
      <c r="AW230" s="239"/>
      <c r="AX230" s="239"/>
    </row>
    <row r="231" spans="49:50">
      <c r="AW231" s="239"/>
      <c r="AX231" s="239"/>
    </row>
    <row r="232" spans="49:50">
      <c r="AW232" s="239"/>
      <c r="AX232" s="239"/>
    </row>
    <row r="233" spans="49:50">
      <c r="AW233" s="239"/>
      <c r="AX233" s="239"/>
    </row>
    <row r="234" spans="49:50">
      <c r="AW234" s="239"/>
      <c r="AX234" s="239"/>
    </row>
    <row r="235" spans="49:50">
      <c r="AW235" s="239"/>
      <c r="AX235" s="239"/>
    </row>
    <row r="236" spans="49:50">
      <c r="AW236" s="239"/>
      <c r="AX236" s="239"/>
    </row>
    <row r="237" spans="49:50">
      <c r="AW237" s="239"/>
      <c r="AX237" s="239"/>
    </row>
    <row r="238" spans="49:50">
      <c r="AW238" s="239"/>
      <c r="AX238" s="239"/>
    </row>
    <row r="239" spans="49:50">
      <c r="AW239" s="239"/>
      <c r="AX239" s="239"/>
    </row>
    <row r="240" spans="49:50">
      <c r="AW240" s="239"/>
      <c r="AX240" s="239"/>
    </row>
    <row r="241" spans="49:50">
      <c r="AW241" s="239"/>
      <c r="AX241" s="239"/>
    </row>
    <row r="242" spans="49:50">
      <c r="AW242" s="239"/>
      <c r="AX242" s="239"/>
    </row>
    <row r="243" spans="49:50">
      <c r="AW243" s="239"/>
      <c r="AX243" s="239"/>
    </row>
    <row r="244" spans="49:50">
      <c r="AW244" s="239"/>
      <c r="AX244" s="239"/>
    </row>
    <row r="245" spans="49:50">
      <c r="AW245" s="239"/>
      <c r="AX245" s="239"/>
    </row>
    <row r="246" spans="49:50">
      <c r="AW246" s="239"/>
      <c r="AX246" s="239"/>
    </row>
    <row r="247" spans="49:50">
      <c r="AW247" s="239"/>
      <c r="AX247" s="239"/>
    </row>
    <row r="248" spans="49:50">
      <c r="AW248" s="239"/>
      <c r="AX248" s="239"/>
    </row>
    <row r="249" spans="49:50">
      <c r="AW249" s="239"/>
      <c r="AX249" s="239"/>
    </row>
    <row r="250" spans="49:50">
      <c r="AW250" s="239"/>
      <c r="AX250" s="239"/>
    </row>
    <row r="251" spans="49:50">
      <c r="AW251" s="239"/>
      <c r="AX251" s="239"/>
    </row>
    <row r="252" spans="49:50">
      <c r="AW252" s="239"/>
      <c r="AX252" s="239"/>
    </row>
    <row r="253" spans="49:50">
      <c r="AW253" s="239"/>
      <c r="AX253" s="239"/>
    </row>
    <row r="254" spans="49:50">
      <c r="AW254" s="239"/>
      <c r="AX254" s="239"/>
    </row>
    <row r="255" spans="49:50">
      <c r="AW255" s="239"/>
      <c r="AX255" s="239"/>
    </row>
    <row r="256" spans="49:50">
      <c r="AW256" s="239"/>
      <c r="AX256" s="239"/>
    </row>
    <row r="257" spans="49:50">
      <c r="AW257" s="239"/>
      <c r="AX257" s="239"/>
    </row>
    <row r="258" spans="49:50">
      <c r="AW258" s="239"/>
      <c r="AX258" s="239"/>
    </row>
    <row r="259" spans="49:50">
      <c r="AW259" s="239"/>
      <c r="AX259" s="239"/>
    </row>
    <row r="260" spans="49:50">
      <c r="AW260" s="239"/>
      <c r="AX260" s="239"/>
    </row>
    <row r="261" spans="49:50">
      <c r="AW261" s="239"/>
      <c r="AX261" s="239"/>
    </row>
    <row r="262" spans="49:50">
      <c r="AW262" s="239"/>
      <c r="AX262" s="239"/>
    </row>
    <row r="263" spans="49:50">
      <c r="AW263" s="239"/>
      <c r="AX263" s="239"/>
    </row>
    <row r="264" spans="49:50">
      <c r="AW264" s="239"/>
      <c r="AX264" s="239"/>
    </row>
    <row r="265" spans="49:50">
      <c r="AW265" s="239"/>
      <c r="AX265" s="239"/>
    </row>
    <row r="266" spans="49:50">
      <c r="AW266" s="239"/>
      <c r="AX266" s="239"/>
    </row>
    <row r="267" spans="49:50">
      <c r="AW267" s="239"/>
      <c r="AX267" s="239"/>
    </row>
    <row r="268" spans="49:50">
      <c r="AW268" s="239"/>
      <c r="AX268" s="239"/>
    </row>
    <row r="269" spans="49:50">
      <c r="AW269" s="239"/>
      <c r="AX269" s="239"/>
    </row>
    <row r="270" spans="49:50">
      <c r="AW270" s="239"/>
      <c r="AX270" s="239"/>
    </row>
    <row r="271" spans="49:50">
      <c r="AW271" s="239"/>
      <c r="AX271" s="239"/>
    </row>
    <row r="272" spans="49:50">
      <c r="AW272" s="239"/>
      <c r="AX272" s="239"/>
    </row>
    <row r="273" spans="49:50">
      <c r="AW273" s="239"/>
      <c r="AX273" s="239"/>
    </row>
    <row r="274" spans="49:50">
      <c r="AW274" s="239"/>
      <c r="AX274" s="239"/>
    </row>
    <row r="275" spans="49:50">
      <c r="AW275" s="239"/>
      <c r="AX275" s="239"/>
    </row>
    <row r="276" spans="49:50">
      <c r="AW276" s="239"/>
      <c r="AX276" s="239"/>
    </row>
    <row r="277" spans="49:50">
      <c r="AW277" s="239"/>
      <c r="AX277" s="239"/>
    </row>
    <row r="278" spans="49:50">
      <c r="AW278" s="239"/>
      <c r="AX278" s="239"/>
    </row>
    <row r="279" spans="49:50">
      <c r="AW279" s="239"/>
      <c r="AX279" s="239"/>
    </row>
    <row r="280" spans="49:50">
      <c r="AW280" s="239"/>
      <c r="AX280" s="239"/>
    </row>
    <row r="281" spans="49:50">
      <c r="AW281" s="239"/>
      <c r="AX281" s="239"/>
    </row>
    <row r="282" spans="49:50">
      <c r="AW282" s="239"/>
      <c r="AX282" s="239"/>
    </row>
    <row r="283" spans="49:50">
      <c r="AW283" s="239"/>
      <c r="AX283" s="239"/>
    </row>
    <row r="284" spans="49:50">
      <c r="AW284" s="239"/>
      <c r="AX284" s="239"/>
    </row>
    <row r="285" spans="49:50">
      <c r="AW285" s="239"/>
      <c r="AX285" s="239"/>
    </row>
    <row r="286" spans="49:50">
      <c r="AW286" s="239"/>
      <c r="AX286" s="239"/>
    </row>
    <row r="287" spans="49:50">
      <c r="AW287" s="239"/>
      <c r="AX287" s="239"/>
    </row>
    <row r="288" spans="49:50">
      <c r="AW288" s="239"/>
      <c r="AX288" s="239"/>
    </row>
    <row r="289" spans="49:50">
      <c r="AW289" s="239"/>
      <c r="AX289" s="239"/>
    </row>
    <row r="290" spans="49:50">
      <c r="AW290" s="239"/>
      <c r="AX290" s="239"/>
    </row>
    <row r="291" spans="49:50">
      <c r="AW291" s="239"/>
      <c r="AX291" s="239"/>
    </row>
    <row r="292" spans="49:50">
      <c r="AW292" s="239"/>
      <c r="AX292" s="239"/>
    </row>
    <row r="293" spans="49:50">
      <c r="AW293" s="239"/>
      <c r="AX293" s="239"/>
    </row>
    <row r="294" spans="49:50">
      <c r="AW294" s="239"/>
      <c r="AX294" s="239"/>
    </row>
    <row r="295" spans="49:50">
      <c r="AW295" s="239"/>
      <c r="AX295" s="239"/>
    </row>
    <row r="296" spans="49:50">
      <c r="AW296" s="239"/>
      <c r="AX296" s="239"/>
    </row>
    <row r="297" spans="49:50">
      <c r="AW297" s="239"/>
      <c r="AX297" s="239"/>
    </row>
    <row r="298" spans="49:50">
      <c r="AW298" s="239"/>
      <c r="AX298" s="239"/>
    </row>
    <row r="299" spans="49:50">
      <c r="AW299" s="239"/>
      <c r="AX299" s="239"/>
    </row>
    <row r="300" spans="49:50">
      <c r="AW300" s="239"/>
      <c r="AX300" s="239"/>
    </row>
    <row r="301" spans="49:50">
      <c r="AW301" s="239"/>
      <c r="AX301" s="239"/>
    </row>
    <row r="302" spans="49:50">
      <c r="AW302" s="239"/>
      <c r="AX302" s="239"/>
    </row>
    <row r="303" spans="49:50">
      <c r="AW303" s="239"/>
      <c r="AX303" s="239"/>
    </row>
    <row r="304" spans="49:50">
      <c r="AW304" s="239"/>
      <c r="AX304" s="239"/>
    </row>
    <row r="305" spans="49:50">
      <c r="AW305" s="239"/>
      <c r="AX305" s="239"/>
    </row>
    <row r="306" spans="49:50">
      <c r="AW306" s="239"/>
      <c r="AX306" s="239"/>
    </row>
    <row r="307" spans="49:50">
      <c r="AW307" s="239"/>
      <c r="AX307" s="239"/>
    </row>
    <row r="308" spans="49:50">
      <c r="AW308" s="239"/>
      <c r="AX308" s="239"/>
    </row>
    <row r="309" spans="49:50">
      <c r="AW309" s="239"/>
      <c r="AX309" s="239"/>
    </row>
    <row r="310" spans="49:50">
      <c r="AW310" s="239"/>
      <c r="AX310" s="239"/>
    </row>
    <row r="311" spans="49:50">
      <c r="AW311" s="239"/>
      <c r="AX311" s="239"/>
    </row>
    <row r="312" spans="49:50">
      <c r="AW312" s="239"/>
      <c r="AX312" s="239"/>
    </row>
    <row r="313" spans="49:50">
      <c r="AW313" s="239"/>
      <c r="AX313" s="239"/>
    </row>
    <row r="314" spans="49:50">
      <c r="AW314" s="239"/>
      <c r="AX314" s="239"/>
    </row>
    <row r="315" spans="49:50">
      <c r="AW315" s="239"/>
      <c r="AX315" s="239"/>
    </row>
    <row r="316" spans="49:50">
      <c r="AW316" s="239"/>
      <c r="AX316" s="239"/>
    </row>
    <row r="317" spans="49:50">
      <c r="AW317" s="239"/>
      <c r="AX317" s="239"/>
    </row>
    <row r="318" spans="49:50">
      <c r="AW318" s="239"/>
      <c r="AX318" s="239"/>
    </row>
    <row r="319" spans="49:50">
      <c r="AW319" s="239"/>
      <c r="AX319" s="239"/>
    </row>
    <row r="320" spans="49:50">
      <c r="AW320" s="239"/>
      <c r="AX320" s="239"/>
    </row>
    <row r="321" spans="49:50">
      <c r="AW321" s="239"/>
      <c r="AX321" s="239"/>
    </row>
    <row r="322" spans="49:50">
      <c r="AW322" s="239"/>
      <c r="AX322" s="239"/>
    </row>
    <row r="323" spans="49:50">
      <c r="AW323" s="239"/>
      <c r="AX323" s="239"/>
    </row>
    <row r="324" spans="49:50">
      <c r="AW324" s="239"/>
      <c r="AX324" s="239"/>
    </row>
    <row r="325" spans="49:50">
      <c r="AW325" s="239"/>
      <c r="AX325" s="239"/>
    </row>
    <row r="326" spans="49:50">
      <c r="AW326" s="239"/>
      <c r="AX326" s="239"/>
    </row>
    <row r="327" spans="49:50">
      <c r="AW327" s="239"/>
      <c r="AX327" s="239"/>
    </row>
    <row r="328" spans="49:50">
      <c r="AW328" s="239"/>
      <c r="AX328" s="239"/>
    </row>
    <row r="329" spans="49:50">
      <c r="AW329" s="239"/>
      <c r="AX329" s="239"/>
    </row>
    <row r="330" spans="49:50">
      <c r="AW330" s="239"/>
      <c r="AX330" s="239"/>
    </row>
    <row r="331" spans="49:50">
      <c r="AW331" s="239"/>
      <c r="AX331" s="239"/>
    </row>
    <row r="332" spans="49:50">
      <c r="AW332" s="239"/>
      <c r="AX332" s="239"/>
    </row>
    <row r="333" spans="49:50">
      <c r="AW333" s="239"/>
      <c r="AX333" s="239"/>
    </row>
    <row r="334" spans="49:50">
      <c r="AW334" s="239"/>
      <c r="AX334" s="239"/>
    </row>
    <row r="335" spans="49:50">
      <c r="AW335" s="239"/>
      <c r="AX335" s="239"/>
    </row>
    <row r="336" spans="49:50">
      <c r="AW336" s="239"/>
      <c r="AX336" s="239"/>
    </row>
    <row r="337" spans="49:50">
      <c r="AW337" s="239"/>
      <c r="AX337" s="239"/>
    </row>
    <row r="338" spans="49:50">
      <c r="AW338" s="239"/>
      <c r="AX338" s="239"/>
    </row>
    <row r="339" spans="49:50">
      <c r="AW339" s="239"/>
      <c r="AX339" s="239"/>
    </row>
    <row r="340" spans="49:50">
      <c r="AW340" s="239"/>
      <c r="AX340" s="239"/>
    </row>
    <row r="341" spans="49:50">
      <c r="AW341" s="239"/>
      <c r="AX341" s="239"/>
    </row>
    <row r="342" spans="49:50">
      <c r="AW342" s="239"/>
      <c r="AX342" s="239"/>
    </row>
    <row r="343" spans="49:50">
      <c r="AW343" s="239"/>
      <c r="AX343" s="239"/>
    </row>
    <row r="344" spans="49:50">
      <c r="AW344" s="239"/>
      <c r="AX344" s="239"/>
    </row>
    <row r="345" spans="49:50">
      <c r="AW345" s="239"/>
      <c r="AX345" s="239"/>
    </row>
    <row r="346" spans="49:50">
      <c r="AW346" s="239"/>
      <c r="AX346" s="239"/>
    </row>
    <row r="347" spans="49:50">
      <c r="AW347" s="239"/>
      <c r="AX347" s="239"/>
    </row>
    <row r="348" spans="49:50">
      <c r="AW348" s="239"/>
      <c r="AX348" s="239"/>
    </row>
    <row r="349" spans="49:50">
      <c r="AW349" s="239"/>
      <c r="AX349" s="239"/>
    </row>
    <row r="350" spans="49:50">
      <c r="AW350" s="239"/>
      <c r="AX350" s="239"/>
    </row>
    <row r="351" spans="49:50">
      <c r="AW351" s="239"/>
      <c r="AX351" s="239"/>
    </row>
    <row r="352" spans="49:50">
      <c r="AW352" s="239"/>
      <c r="AX352" s="239"/>
    </row>
    <row r="353" spans="49:50">
      <c r="AW353" s="239"/>
      <c r="AX353" s="239"/>
    </row>
    <row r="354" spans="49:50">
      <c r="AW354" s="239"/>
      <c r="AX354" s="239"/>
    </row>
    <row r="355" spans="49:50">
      <c r="AW355" s="239"/>
      <c r="AX355" s="239"/>
    </row>
    <row r="356" spans="49:50">
      <c r="AW356" s="239"/>
      <c r="AX356" s="239"/>
    </row>
    <row r="357" spans="49:50">
      <c r="AW357" s="239"/>
      <c r="AX357" s="239"/>
    </row>
    <row r="358" spans="49:50">
      <c r="AW358" s="239"/>
      <c r="AX358" s="239"/>
    </row>
    <row r="359" spans="49:50">
      <c r="AW359" s="239"/>
      <c r="AX359" s="239"/>
    </row>
    <row r="360" spans="49:50">
      <c r="AW360" s="239"/>
      <c r="AX360" s="239"/>
    </row>
    <row r="361" spans="49:50">
      <c r="AW361" s="239"/>
      <c r="AX361" s="239"/>
    </row>
    <row r="362" spans="49:50">
      <c r="AW362" s="239"/>
      <c r="AX362" s="239"/>
    </row>
    <row r="363" spans="49:50">
      <c r="AW363" s="239"/>
      <c r="AX363" s="239"/>
    </row>
    <row r="364" spans="49:50">
      <c r="AW364" s="239"/>
      <c r="AX364" s="239"/>
    </row>
    <row r="365" spans="49:50">
      <c r="AW365" s="239"/>
      <c r="AX365" s="239"/>
    </row>
    <row r="366" spans="49:50">
      <c r="AW366" s="239"/>
      <c r="AX366" s="239"/>
    </row>
    <row r="367" spans="49:50">
      <c r="AW367" s="239"/>
      <c r="AX367" s="239"/>
    </row>
    <row r="368" spans="49:50">
      <c r="AW368" s="239"/>
      <c r="AX368" s="239"/>
    </row>
    <row r="369" spans="49:50">
      <c r="AW369" s="239"/>
      <c r="AX369" s="239"/>
    </row>
    <row r="370" spans="49:50">
      <c r="AW370" s="239"/>
      <c r="AX370" s="239"/>
    </row>
    <row r="371" spans="49:50">
      <c r="AW371" s="239"/>
      <c r="AX371" s="239"/>
    </row>
    <row r="372" spans="49:50">
      <c r="AW372" s="239"/>
      <c r="AX372" s="239"/>
    </row>
    <row r="373" spans="49:50">
      <c r="AW373" s="239"/>
      <c r="AX373" s="239"/>
    </row>
    <row r="374" spans="49:50">
      <c r="AW374" s="239"/>
      <c r="AX374" s="239"/>
    </row>
    <row r="375" spans="49:50">
      <c r="AW375" s="239"/>
      <c r="AX375" s="239"/>
    </row>
    <row r="376" spans="49:50">
      <c r="AW376" s="239"/>
      <c r="AX376" s="239"/>
    </row>
    <row r="377" spans="49:50">
      <c r="AW377" s="239"/>
      <c r="AX377" s="239"/>
    </row>
    <row r="378" spans="49:50">
      <c r="AW378" s="239"/>
      <c r="AX378" s="239"/>
    </row>
    <row r="379" spans="49:50">
      <c r="AW379" s="239"/>
      <c r="AX379" s="239"/>
    </row>
    <row r="380" spans="49:50">
      <c r="AW380" s="239"/>
      <c r="AX380" s="239"/>
    </row>
    <row r="381" spans="49:50">
      <c r="AW381" s="239"/>
      <c r="AX381" s="239"/>
    </row>
    <row r="382" spans="49:50">
      <c r="AW382" s="239"/>
      <c r="AX382" s="239"/>
    </row>
    <row r="383" spans="49:50">
      <c r="AW383" s="239"/>
      <c r="AX383" s="239"/>
    </row>
    <row r="384" spans="49:50">
      <c r="AW384" s="239"/>
      <c r="AX384" s="239"/>
    </row>
    <row r="385" spans="49:50">
      <c r="AW385" s="239"/>
      <c r="AX385" s="239"/>
    </row>
    <row r="386" spans="49:50">
      <c r="AW386" s="239"/>
      <c r="AX386" s="239"/>
    </row>
    <row r="387" spans="49:50">
      <c r="AW387" s="239"/>
      <c r="AX387" s="239"/>
    </row>
    <row r="388" spans="49:50">
      <c r="AW388" s="239"/>
      <c r="AX388" s="239"/>
    </row>
    <row r="389" spans="49:50">
      <c r="AW389" s="239"/>
      <c r="AX389" s="239"/>
    </row>
    <row r="390" spans="49:50">
      <c r="AW390" s="239"/>
      <c r="AX390" s="239"/>
    </row>
    <row r="391" spans="49:50">
      <c r="AW391" s="239"/>
      <c r="AX391" s="239"/>
    </row>
    <row r="392" spans="49:50">
      <c r="AW392" s="239"/>
      <c r="AX392" s="239"/>
    </row>
    <row r="393" spans="49:50">
      <c r="AW393" s="239"/>
      <c r="AX393" s="239"/>
    </row>
    <row r="394" spans="49:50">
      <c r="AW394" s="239"/>
      <c r="AX394" s="239"/>
    </row>
    <row r="395" spans="49:50">
      <c r="AW395" s="239"/>
      <c r="AX395" s="239"/>
    </row>
    <row r="396" spans="49:50">
      <c r="AW396" s="239"/>
      <c r="AX396" s="239"/>
    </row>
    <row r="397" spans="49:50">
      <c r="AW397" s="239"/>
      <c r="AX397" s="239"/>
    </row>
    <row r="398" spans="49:50">
      <c r="AW398" s="239"/>
      <c r="AX398" s="239"/>
    </row>
    <row r="399" spans="49:50">
      <c r="AW399" s="239"/>
      <c r="AX399" s="239"/>
    </row>
    <row r="400" spans="49:50">
      <c r="AW400" s="239"/>
      <c r="AX400" s="239"/>
    </row>
    <row r="401" spans="49:50">
      <c r="AW401" s="239"/>
      <c r="AX401" s="239"/>
    </row>
    <row r="402" spans="49:50">
      <c r="AW402" s="239"/>
      <c r="AX402" s="239"/>
    </row>
    <row r="403" spans="49:50">
      <c r="AW403" s="239"/>
      <c r="AX403" s="239"/>
    </row>
    <row r="404" spans="49:50">
      <c r="AW404" s="239"/>
      <c r="AX404" s="239"/>
    </row>
    <row r="405" spans="49:50">
      <c r="AW405" s="239"/>
      <c r="AX405" s="239"/>
    </row>
    <row r="406" spans="49:50">
      <c r="AW406" s="239"/>
      <c r="AX406" s="239"/>
    </row>
    <row r="407" spans="49:50">
      <c r="AW407" s="239"/>
      <c r="AX407" s="239"/>
    </row>
    <row r="408" spans="49:50">
      <c r="AW408" s="239"/>
      <c r="AX408" s="239"/>
    </row>
    <row r="409" spans="49:50">
      <c r="AW409" s="239"/>
      <c r="AX409" s="239"/>
    </row>
    <row r="410" spans="49:50">
      <c r="AW410" s="239"/>
      <c r="AX410" s="239"/>
    </row>
    <row r="411" spans="49:50">
      <c r="AW411" s="239"/>
      <c r="AX411" s="239"/>
    </row>
    <row r="412" spans="49:50">
      <c r="AW412" s="239"/>
      <c r="AX412" s="239"/>
    </row>
    <row r="413" spans="49:50">
      <c r="AW413" s="239"/>
      <c r="AX413" s="239"/>
    </row>
    <row r="414" spans="49:50">
      <c r="AW414" s="239"/>
      <c r="AX414" s="239"/>
    </row>
    <row r="415" spans="49:50">
      <c r="AW415" s="239"/>
      <c r="AX415" s="239"/>
    </row>
    <row r="416" spans="49:50">
      <c r="AW416" s="239"/>
      <c r="AX416" s="239"/>
    </row>
    <row r="417" spans="49:50">
      <c r="AW417" s="239"/>
      <c r="AX417" s="239"/>
    </row>
    <row r="418" spans="49:50">
      <c r="AW418" s="239"/>
      <c r="AX418" s="239"/>
    </row>
    <row r="419" spans="49:50">
      <c r="AW419" s="239"/>
      <c r="AX419" s="239"/>
    </row>
    <row r="420" spans="49:50">
      <c r="AW420" s="239"/>
      <c r="AX420" s="239"/>
    </row>
    <row r="421" spans="49:50">
      <c r="AW421" s="239"/>
      <c r="AX421" s="239"/>
    </row>
    <row r="422" spans="49:50">
      <c r="AW422" s="239"/>
      <c r="AX422" s="239"/>
    </row>
    <row r="423" spans="49:50">
      <c r="AW423" s="239"/>
      <c r="AX423" s="239"/>
    </row>
    <row r="424" spans="49:50">
      <c r="AW424" s="239"/>
      <c r="AX424" s="239"/>
    </row>
    <row r="425" spans="49:50">
      <c r="AW425" s="239"/>
      <c r="AX425" s="239"/>
    </row>
    <row r="426" spans="49:50">
      <c r="AW426" s="239"/>
      <c r="AX426" s="239"/>
    </row>
    <row r="427" spans="49:50">
      <c r="AW427" s="239"/>
      <c r="AX427" s="239"/>
    </row>
    <row r="428" spans="49:50">
      <c r="AW428" s="239"/>
      <c r="AX428" s="239"/>
    </row>
    <row r="429" spans="49:50">
      <c r="AW429" s="239"/>
      <c r="AX429" s="239"/>
    </row>
    <row r="430" spans="49:50">
      <c r="AW430" s="239"/>
      <c r="AX430" s="239"/>
    </row>
    <row r="431" spans="49:50">
      <c r="AW431" s="239"/>
      <c r="AX431" s="239"/>
    </row>
    <row r="432" spans="49:50">
      <c r="AW432" s="239"/>
      <c r="AX432" s="239"/>
    </row>
    <row r="433" spans="49:50">
      <c r="AW433" s="239"/>
      <c r="AX433" s="239"/>
    </row>
    <row r="434" spans="49:50">
      <c r="AW434" s="239"/>
      <c r="AX434" s="239"/>
    </row>
    <row r="435" spans="49:50">
      <c r="AW435" s="239"/>
      <c r="AX435" s="239"/>
    </row>
    <row r="436" spans="49:50">
      <c r="AW436" s="239"/>
      <c r="AX436" s="239"/>
    </row>
    <row r="437" spans="49:50">
      <c r="AW437" s="239"/>
      <c r="AX437" s="239"/>
    </row>
    <row r="438" spans="49:50">
      <c r="AW438" s="239"/>
      <c r="AX438" s="239"/>
    </row>
    <row r="439" spans="49:50">
      <c r="AW439" s="239"/>
      <c r="AX439" s="239"/>
    </row>
    <row r="440" spans="49:50">
      <c r="AW440" s="239"/>
      <c r="AX440" s="239"/>
    </row>
    <row r="441" spans="49:50">
      <c r="AW441" s="239"/>
      <c r="AX441" s="239"/>
    </row>
    <row r="442" spans="49:50">
      <c r="AW442" s="239"/>
      <c r="AX442" s="239"/>
    </row>
    <row r="443" spans="49:50">
      <c r="AW443" s="239"/>
      <c r="AX443" s="239"/>
    </row>
    <row r="444" spans="49:50">
      <c r="AW444" s="239"/>
      <c r="AX444" s="239"/>
    </row>
    <row r="445" spans="49:50">
      <c r="AW445" s="239"/>
      <c r="AX445" s="239"/>
    </row>
    <row r="446" spans="49:50">
      <c r="AW446" s="239"/>
      <c r="AX446" s="239"/>
    </row>
    <row r="447" spans="49:50">
      <c r="AW447" s="239"/>
      <c r="AX447" s="239"/>
    </row>
    <row r="448" spans="49:50">
      <c r="AW448" s="239"/>
      <c r="AX448" s="239"/>
    </row>
    <row r="449" spans="49:50">
      <c r="AW449" s="239"/>
      <c r="AX449" s="239"/>
    </row>
    <row r="450" spans="49:50">
      <c r="AW450" s="239"/>
      <c r="AX450" s="239"/>
    </row>
    <row r="451" spans="49:50">
      <c r="AW451" s="239"/>
      <c r="AX451" s="239"/>
    </row>
    <row r="452" spans="49:50">
      <c r="AW452" s="239"/>
      <c r="AX452" s="239"/>
    </row>
    <row r="453" spans="49:50">
      <c r="AW453" s="239"/>
      <c r="AX453" s="239"/>
    </row>
    <row r="454" spans="49:50">
      <c r="AW454" s="239"/>
      <c r="AX454" s="239"/>
    </row>
    <row r="455" spans="49:50">
      <c r="AW455" s="239"/>
      <c r="AX455" s="239"/>
    </row>
    <row r="456" spans="49:50">
      <c r="AW456" s="239"/>
      <c r="AX456" s="239"/>
    </row>
    <row r="457" spans="49:50">
      <c r="AW457" s="239"/>
      <c r="AX457" s="239"/>
    </row>
    <row r="458" spans="49:50">
      <c r="AW458" s="239"/>
      <c r="AX458" s="239"/>
    </row>
    <row r="459" spans="49:50">
      <c r="AW459" s="239"/>
      <c r="AX459" s="239"/>
    </row>
    <row r="460" spans="49:50">
      <c r="AW460" s="239"/>
      <c r="AX460" s="239"/>
    </row>
    <row r="461" spans="49:50">
      <c r="AW461" s="239"/>
      <c r="AX461" s="239"/>
    </row>
    <row r="462" spans="49:50">
      <c r="AW462" s="239"/>
      <c r="AX462" s="239"/>
    </row>
    <row r="463" spans="49:50">
      <c r="AW463" s="239"/>
      <c r="AX463" s="239"/>
    </row>
    <row r="464" spans="49:50">
      <c r="AW464" s="239"/>
      <c r="AX464" s="239"/>
    </row>
    <row r="465" spans="49:50">
      <c r="AW465" s="239"/>
      <c r="AX465" s="239"/>
    </row>
    <row r="466" spans="49:50">
      <c r="AW466" s="239"/>
      <c r="AX466" s="239"/>
    </row>
    <row r="467" spans="49:50">
      <c r="AW467" s="239"/>
      <c r="AX467" s="239"/>
    </row>
    <row r="468" spans="49:50">
      <c r="AW468" s="239"/>
      <c r="AX468" s="239"/>
    </row>
    <row r="469" spans="49:50">
      <c r="AW469" s="239"/>
      <c r="AX469" s="239"/>
    </row>
    <row r="470" spans="49:50">
      <c r="AW470" s="239"/>
      <c r="AX470" s="239"/>
    </row>
    <row r="471" spans="49:50">
      <c r="AW471" s="239"/>
      <c r="AX471" s="239"/>
    </row>
    <row r="472" spans="49:50">
      <c r="AW472" s="239"/>
      <c r="AX472" s="239"/>
    </row>
    <row r="473" spans="49:50">
      <c r="AW473" s="239"/>
      <c r="AX473" s="239"/>
    </row>
    <row r="474" spans="49:50">
      <c r="AW474" s="239"/>
      <c r="AX474" s="239"/>
    </row>
    <row r="475" spans="49:50">
      <c r="AW475" s="239"/>
      <c r="AX475" s="239"/>
    </row>
    <row r="476" spans="49:50">
      <c r="AW476" s="239"/>
      <c r="AX476" s="239"/>
    </row>
    <row r="477" spans="49:50">
      <c r="AW477" s="239"/>
      <c r="AX477" s="239"/>
    </row>
    <row r="478" spans="49:50">
      <c r="AW478" s="239"/>
      <c r="AX478" s="239"/>
    </row>
    <row r="479" spans="49:50">
      <c r="AW479" s="239"/>
      <c r="AX479" s="239"/>
    </row>
    <row r="480" spans="49:50">
      <c r="AW480" s="239"/>
      <c r="AX480" s="239"/>
    </row>
    <row r="481" spans="49:50">
      <c r="AW481" s="239"/>
      <c r="AX481" s="239"/>
    </row>
    <row r="482" spans="49:50">
      <c r="AW482" s="239"/>
      <c r="AX482" s="239"/>
    </row>
    <row r="483" spans="49:50">
      <c r="AW483" s="239"/>
      <c r="AX483" s="239"/>
    </row>
    <row r="484" spans="49:50">
      <c r="AW484" s="239"/>
      <c r="AX484" s="239"/>
    </row>
    <row r="485" spans="49:50">
      <c r="AW485" s="239"/>
      <c r="AX485" s="239"/>
    </row>
    <row r="486" spans="49:50">
      <c r="AW486" s="239"/>
      <c r="AX486" s="239"/>
    </row>
    <row r="487" spans="49:50">
      <c r="AW487" s="239"/>
      <c r="AX487" s="239"/>
    </row>
    <row r="488" spans="49:50">
      <c r="AW488" s="239"/>
      <c r="AX488" s="239"/>
    </row>
    <row r="489" spans="49:50">
      <c r="AW489" s="239"/>
      <c r="AX489" s="239"/>
    </row>
    <row r="490" spans="49:50">
      <c r="AW490" s="239"/>
      <c r="AX490" s="239"/>
    </row>
    <row r="491" spans="49:50">
      <c r="AW491" s="239"/>
      <c r="AX491" s="239"/>
    </row>
    <row r="492" spans="49:50">
      <c r="AW492" s="239"/>
      <c r="AX492" s="239"/>
    </row>
    <row r="493" spans="49:50">
      <c r="AW493" s="239"/>
      <c r="AX493" s="239"/>
    </row>
    <row r="494" spans="49:50">
      <c r="AW494" s="239"/>
      <c r="AX494" s="239"/>
    </row>
    <row r="495" spans="49:50">
      <c r="AW495" s="239"/>
      <c r="AX495" s="239"/>
    </row>
    <row r="496" spans="49:50">
      <c r="AW496" s="239"/>
      <c r="AX496" s="239"/>
    </row>
    <row r="497" spans="49:50">
      <c r="AW497" s="239"/>
      <c r="AX497" s="239"/>
    </row>
    <row r="498" spans="49:50">
      <c r="AW498" s="239"/>
      <c r="AX498" s="239"/>
    </row>
    <row r="499" spans="49:50">
      <c r="AW499" s="239"/>
      <c r="AX499" s="239"/>
    </row>
    <row r="500" spans="49:50">
      <c r="AW500" s="239"/>
      <c r="AX500" s="239"/>
    </row>
    <row r="501" spans="49:50">
      <c r="AW501" s="239"/>
      <c r="AX501" s="239"/>
    </row>
    <row r="502" spans="49:50">
      <c r="AW502" s="239"/>
      <c r="AX502" s="239"/>
    </row>
    <row r="503" spans="49:50">
      <c r="AW503" s="239"/>
      <c r="AX503" s="239"/>
    </row>
    <row r="504" spans="49:50">
      <c r="AW504" s="239"/>
      <c r="AX504" s="239"/>
    </row>
    <row r="505" spans="49:50">
      <c r="AW505" s="239"/>
      <c r="AX505" s="239"/>
    </row>
    <row r="506" spans="49:50">
      <c r="AW506" s="239"/>
      <c r="AX506" s="239"/>
    </row>
    <row r="507" spans="49:50">
      <c r="AW507" s="239"/>
      <c r="AX507" s="239"/>
    </row>
    <row r="508" spans="49:50">
      <c r="AW508" s="239"/>
      <c r="AX508" s="239"/>
    </row>
    <row r="509" spans="49:50">
      <c r="AW509" s="239"/>
      <c r="AX509" s="239"/>
    </row>
    <row r="510" spans="49:50">
      <c r="AW510" s="239"/>
      <c r="AX510" s="239"/>
    </row>
    <row r="511" spans="49:50">
      <c r="AW511" s="239"/>
      <c r="AX511" s="239"/>
    </row>
    <row r="512" spans="49:50">
      <c r="AW512" s="239"/>
      <c r="AX512" s="239"/>
    </row>
    <row r="513" spans="49:50">
      <c r="AW513" s="239"/>
      <c r="AX513" s="239"/>
    </row>
    <row r="514" spans="49:50">
      <c r="AW514" s="239"/>
      <c r="AX514" s="239"/>
    </row>
    <row r="515" spans="49:50">
      <c r="AW515" s="239"/>
      <c r="AX515" s="239"/>
    </row>
    <row r="516" spans="49:50">
      <c r="AW516" s="239"/>
      <c r="AX516" s="239"/>
    </row>
    <row r="517" spans="49:50">
      <c r="AW517" s="239"/>
      <c r="AX517" s="239"/>
    </row>
    <row r="518" spans="49:50">
      <c r="AW518" s="239"/>
      <c r="AX518" s="239"/>
    </row>
    <row r="519" spans="49:50">
      <c r="AW519" s="239"/>
      <c r="AX519" s="239"/>
    </row>
    <row r="520" spans="49:50">
      <c r="AW520" s="239"/>
      <c r="AX520" s="239"/>
    </row>
    <row r="521" spans="49:50">
      <c r="AW521" s="239"/>
      <c r="AX521" s="239"/>
    </row>
    <row r="522" spans="49:50">
      <c r="AW522" s="239"/>
      <c r="AX522" s="239"/>
    </row>
    <row r="523" spans="49:50">
      <c r="AW523" s="239"/>
      <c r="AX523" s="239"/>
    </row>
    <row r="524" spans="49:50">
      <c r="AW524" s="239"/>
      <c r="AX524" s="239"/>
    </row>
    <row r="525" spans="49:50">
      <c r="AW525" s="239"/>
      <c r="AX525" s="239"/>
    </row>
    <row r="526" spans="49:50">
      <c r="AW526" s="239"/>
      <c r="AX526" s="239"/>
    </row>
    <row r="527" spans="49:50">
      <c r="AW527" s="239"/>
      <c r="AX527" s="239"/>
    </row>
    <row r="528" spans="49:50">
      <c r="AW528" s="239"/>
      <c r="AX528" s="239"/>
    </row>
    <row r="529" spans="49:50">
      <c r="AW529" s="239"/>
      <c r="AX529" s="239"/>
    </row>
    <row r="530" spans="49:50">
      <c r="AW530" s="239"/>
      <c r="AX530" s="239"/>
    </row>
    <row r="531" spans="49:50">
      <c r="AW531" s="239"/>
      <c r="AX531" s="239"/>
    </row>
    <row r="532" spans="49:50">
      <c r="AW532" s="239"/>
      <c r="AX532" s="239"/>
    </row>
    <row r="533" spans="49:50">
      <c r="AW533" s="239"/>
      <c r="AX533" s="239"/>
    </row>
    <row r="534" spans="49:50">
      <c r="AW534" s="239"/>
      <c r="AX534" s="239"/>
    </row>
    <row r="535" spans="49:50">
      <c r="AW535" s="239"/>
      <c r="AX535" s="239"/>
    </row>
    <row r="536" spans="49:50">
      <c r="AW536" s="239"/>
      <c r="AX536" s="239"/>
    </row>
    <row r="537" spans="49:50">
      <c r="AW537" s="239"/>
      <c r="AX537" s="239"/>
    </row>
    <row r="538" spans="49:50">
      <c r="AW538" s="239"/>
      <c r="AX538" s="239"/>
    </row>
    <row r="539" spans="49:50">
      <c r="AW539" s="239"/>
      <c r="AX539" s="239"/>
    </row>
    <row r="540" spans="49:50">
      <c r="AW540" s="239"/>
      <c r="AX540" s="239"/>
    </row>
    <row r="541" spans="49:50">
      <c r="AW541" s="239"/>
      <c r="AX541" s="239"/>
    </row>
    <row r="542" spans="49:50">
      <c r="AW542" s="239"/>
      <c r="AX542" s="239"/>
    </row>
    <row r="543" spans="49:50">
      <c r="AW543" s="239"/>
      <c r="AX543" s="239"/>
    </row>
    <row r="544" spans="49:50">
      <c r="AW544" s="239"/>
      <c r="AX544" s="239"/>
    </row>
    <row r="545" spans="49:50">
      <c r="AW545" s="239"/>
      <c r="AX545" s="239"/>
    </row>
    <row r="546" spans="49:50">
      <c r="AW546" s="239"/>
      <c r="AX546" s="239"/>
    </row>
    <row r="547" spans="49:50">
      <c r="AW547" s="239"/>
      <c r="AX547" s="239"/>
    </row>
    <row r="548" spans="49:50">
      <c r="AW548" s="239"/>
      <c r="AX548" s="239"/>
    </row>
    <row r="549" spans="49:50">
      <c r="AW549" s="239"/>
      <c r="AX549" s="239"/>
    </row>
    <row r="550" spans="49:50">
      <c r="AW550" s="239"/>
      <c r="AX550" s="239"/>
    </row>
    <row r="551" spans="49:50">
      <c r="AW551" s="239"/>
      <c r="AX551" s="239"/>
    </row>
    <row r="552" spans="49:50">
      <c r="AW552" s="239"/>
      <c r="AX552" s="239"/>
    </row>
    <row r="553" spans="49:50">
      <c r="AW553" s="239"/>
      <c r="AX553" s="239"/>
    </row>
    <row r="554" spans="49:50">
      <c r="AW554" s="239"/>
      <c r="AX554" s="239"/>
    </row>
    <row r="555" spans="49:50">
      <c r="AW555" s="239"/>
      <c r="AX555" s="239"/>
    </row>
    <row r="556" spans="49:50">
      <c r="AW556" s="239"/>
      <c r="AX556" s="239"/>
    </row>
    <row r="557" spans="49:50">
      <c r="AW557" s="239"/>
      <c r="AX557" s="239"/>
    </row>
    <row r="558" spans="49:50">
      <c r="AW558" s="239"/>
      <c r="AX558" s="239"/>
    </row>
    <row r="559" spans="49:50">
      <c r="AW559" s="239"/>
      <c r="AX559" s="239"/>
    </row>
    <row r="560" spans="49:50">
      <c r="AW560" s="239"/>
      <c r="AX560" s="239"/>
    </row>
    <row r="561" spans="49:50">
      <c r="AW561" s="239"/>
      <c r="AX561" s="239"/>
    </row>
    <row r="562" spans="49:50">
      <c r="AW562" s="239"/>
      <c r="AX562" s="239"/>
    </row>
    <row r="563" spans="49:50">
      <c r="AW563" s="239"/>
      <c r="AX563" s="239"/>
    </row>
    <row r="564" spans="49:50">
      <c r="AW564" s="239"/>
      <c r="AX564" s="239"/>
    </row>
    <row r="565" spans="49:50">
      <c r="AW565" s="239"/>
      <c r="AX565" s="239"/>
    </row>
    <row r="566" spans="49:50">
      <c r="AW566" s="239"/>
      <c r="AX566" s="239"/>
    </row>
    <row r="567" spans="49:50">
      <c r="AW567" s="239"/>
      <c r="AX567" s="239"/>
    </row>
    <row r="568" spans="49:50">
      <c r="AW568" s="239"/>
      <c r="AX568" s="239"/>
    </row>
    <row r="569" spans="49:50">
      <c r="AW569" s="239"/>
      <c r="AX569" s="239"/>
    </row>
    <row r="570" spans="49:50">
      <c r="AW570" s="239"/>
      <c r="AX570" s="239"/>
    </row>
    <row r="571" spans="49:50">
      <c r="AW571" s="239"/>
      <c r="AX571" s="239"/>
    </row>
    <row r="572" spans="49:50">
      <c r="AW572" s="239"/>
      <c r="AX572" s="239"/>
    </row>
    <row r="573" spans="49:50">
      <c r="AW573" s="239"/>
      <c r="AX573" s="239"/>
    </row>
    <row r="574" spans="49:50">
      <c r="AW574" s="239"/>
      <c r="AX574" s="239"/>
    </row>
    <row r="575" spans="49:50">
      <c r="AW575" s="239"/>
      <c r="AX575" s="239"/>
    </row>
    <row r="576" spans="49:50">
      <c r="AW576" s="239"/>
      <c r="AX576" s="239"/>
    </row>
    <row r="577" spans="49:50">
      <c r="AW577" s="239"/>
      <c r="AX577" s="239"/>
    </row>
    <row r="578" spans="49:50">
      <c r="AW578" s="239"/>
      <c r="AX578" s="239"/>
    </row>
    <row r="579" spans="49:50">
      <c r="AW579" s="239"/>
      <c r="AX579" s="239"/>
    </row>
    <row r="580" spans="49:50">
      <c r="AW580" s="239"/>
      <c r="AX580" s="239"/>
    </row>
    <row r="581" spans="49:50">
      <c r="AW581" s="239"/>
      <c r="AX581" s="239"/>
    </row>
    <row r="582" spans="49:50">
      <c r="AW582" s="239"/>
      <c r="AX582" s="239"/>
    </row>
    <row r="583" spans="49:50">
      <c r="AW583" s="239"/>
      <c r="AX583" s="239"/>
    </row>
    <row r="584" spans="49:50">
      <c r="AW584" s="239"/>
      <c r="AX584" s="239"/>
    </row>
    <row r="585" spans="49:50">
      <c r="AW585" s="239"/>
      <c r="AX585" s="239"/>
    </row>
    <row r="586" spans="49:50">
      <c r="AW586" s="239"/>
      <c r="AX586" s="239"/>
    </row>
    <row r="587" spans="49:50">
      <c r="AW587" s="239"/>
      <c r="AX587" s="239"/>
    </row>
    <row r="588" spans="49:50">
      <c r="AW588" s="239"/>
      <c r="AX588" s="239"/>
    </row>
    <row r="589" spans="49:50">
      <c r="AW589" s="239"/>
      <c r="AX589" s="239"/>
    </row>
    <row r="590" spans="49:50">
      <c r="AW590" s="239"/>
      <c r="AX590" s="239"/>
    </row>
    <row r="591" spans="49:50">
      <c r="AW591" s="239"/>
      <c r="AX591" s="239"/>
    </row>
    <row r="592" spans="49:50">
      <c r="AW592" s="239"/>
      <c r="AX592" s="239"/>
    </row>
    <row r="593" spans="49:50">
      <c r="AW593" s="239"/>
      <c r="AX593" s="239"/>
    </row>
    <row r="594" spans="49:50">
      <c r="AW594" s="239"/>
      <c r="AX594" s="239"/>
    </row>
    <row r="595" spans="49:50">
      <c r="AW595" s="239"/>
      <c r="AX595" s="239"/>
    </row>
    <row r="596" spans="49:50">
      <c r="AW596" s="239"/>
      <c r="AX596" s="239"/>
    </row>
    <row r="597" spans="49:50">
      <c r="AW597" s="239"/>
      <c r="AX597" s="239"/>
    </row>
    <row r="598" spans="49:50">
      <c r="AW598" s="239"/>
      <c r="AX598" s="239"/>
    </row>
    <row r="599" spans="49:50">
      <c r="AW599" s="239"/>
      <c r="AX599" s="239"/>
    </row>
    <row r="600" spans="49:50">
      <c r="AW600" s="239"/>
      <c r="AX600" s="239"/>
    </row>
    <row r="601" spans="49:50">
      <c r="AW601" s="239"/>
      <c r="AX601" s="239"/>
    </row>
    <row r="602" spans="49:50">
      <c r="AW602" s="239"/>
      <c r="AX602" s="239"/>
    </row>
    <row r="603" spans="49:50">
      <c r="AW603" s="239"/>
      <c r="AX603" s="239"/>
    </row>
    <row r="604" spans="49:50">
      <c r="AW604" s="239"/>
      <c r="AX604" s="239"/>
    </row>
    <row r="605" spans="49:50">
      <c r="AW605" s="239"/>
      <c r="AX605" s="239"/>
    </row>
    <row r="606" spans="49:50">
      <c r="AW606" s="239"/>
      <c r="AX606" s="239"/>
    </row>
    <row r="607" spans="49:50">
      <c r="AW607" s="239"/>
      <c r="AX607" s="239"/>
    </row>
    <row r="608" spans="49:50">
      <c r="AW608" s="239"/>
      <c r="AX608" s="239"/>
    </row>
    <row r="609" spans="49:50">
      <c r="AW609" s="239"/>
      <c r="AX609" s="239"/>
    </row>
    <row r="610" spans="49:50">
      <c r="AW610" s="239"/>
      <c r="AX610" s="239"/>
    </row>
    <row r="611" spans="49:50">
      <c r="AW611" s="239"/>
      <c r="AX611" s="239"/>
    </row>
    <row r="612" spans="49:50">
      <c r="AW612" s="239"/>
      <c r="AX612" s="239"/>
    </row>
    <row r="613" spans="49:50">
      <c r="AW613" s="239"/>
      <c r="AX613" s="239"/>
    </row>
    <row r="614" spans="49:50">
      <c r="AW614" s="239"/>
      <c r="AX614" s="239"/>
    </row>
    <row r="615" spans="49:50">
      <c r="AW615" s="239"/>
      <c r="AX615" s="239"/>
    </row>
    <row r="616" spans="49:50">
      <c r="AW616" s="239"/>
      <c r="AX616" s="239"/>
    </row>
    <row r="617" spans="49:50">
      <c r="AW617" s="239"/>
      <c r="AX617" s="239"/>
    </row>
    <row r="618" spans="49:50">
      <c r="AW618" s="239"/>
      <c r="AX618" s="239"/>
    </row>
    <row r="619" spans="49:50">
      <c r="AW619" s="239"/>
      <c r="AX619" s="239"/>
    </row>
    <row r="620" spans="49:50">
      <c r="AW620" s="239"/>
      <c r="AX620" s="239"/>
    </row>
    <row r="621" spans="49:50">
      <c r="AW621" s="239"/>
      <c r="AX621" s="239"/>
    </row>
    <row r="622" spans="49:50">
      <c r="AW622" s="239"/>
      <c r="AX622" s="239"/>
    </row>
    <row r="623" spans="49:50">
      <c r="AW623" s="239"/>
      <c r="AX623" s="239"/>
    </row>
    <row r="624" spans="49:50">
      <c r="AW624" s="239"/>
      <c r="AX624" s="239"/>
    </row>
    <row r="625" spans="49:50">
      <c r="AW625" s="239"/>
      <c r="AX625" s="239"/>
    </row>
    <row r="626" spans="49:50">
      <c r="AW626" s="239"/>
      <c r="AX626" s="239"/>
    </row>
    <row r="627" spans="49:50">
      <c r="AW627" s="239"/>
      <c r="AX627" s="239"/>
    </row>
    <row r="628" spans="49:50">
      <c r="AW628" s="239"/>
      <c r="AX628" s="239"/>
    </row>
    <row r="629" spans="49:50">
      <c r="AW629" s="239"/>
      <c r="AX629" s="239"/>
    </row>
    <row r="630" spans="49:50">
      <c r="AW630" s="239"/>
      <c r="AX630" s="239"/>
    </row>
    <row r="631" spans="49:50">
      <c r="AW631" s="239"/>
      <c r="AX631" s="239"/>
    </row>
    <row r="632" spans="49:50">
      <c r="AW632" s="239"/>
      <c r="AX632" s="239"/>
    </row>
    <row r="633" spans="49:50">
      <c r="AW633" s="239"/>
      <c r="AX633" s="239"/>
    </row>
    <row r="634" spans="49:50">
      <c r="AW634" s="239"/>
      <c r="AX634" s="239"/>
    </row>
    <row r="635" spans="49:50">
      <c r="AW635" s="239"/>
      <c r="AX635" s="239"/>
    </row>
    <row r="636" spans="49:50">
      <c r="AW636" s="239"/>
      <c r="AX636" s="239"/>
    </row>
    <row r="637" spans="49:50">
      <c r="AW637" s="239"/>
      <c r="AX637" s="239"/>
    </row>
    <row r="638" spans="49:50">
      <c r="AW638" s="239"/>
      <c r="AX638" s="239"/>
    </row>
    <row r="639" spans="49:50">
      <c r="AW639" s="239"/>
      <c r="AX639" s="239"/>
    </row>
    <row r="640" spans="49:50">
      <c r="AW640" s="239"/>
      <c r="AX640" s="239"/>
    </row>
    <row r="641" spans="49:50">
      <c r="AW641" s="239"/>
      <c r="AX641" s="239"/>
    </row>
    <row r="642" spans="49:50">
      <c r="AW642" s="239"/>
      <c r="AX642" s="239"/>
    </row>
    <row r="643" spans="49:50">
      <c r="AW643" s="239"/>
      <c r="AX643" s="239"/>
    </row>
    <row r="644" spans="49:50">
      <c r="AW644" s="239"/>
      <c r="AX644" s="239"/>
    </row>
    <row r="645" spans="49:50">
      <c r="AW645" s="239"/>
      <c r="AX645" s="239"/>
    </row>
    <row r="646" spans="49:50">
      <c r="AW646" s="239"/>
      <c r="AX646" s="239"/>
    </row>
    <row r="647" spans="49:50">
      <c r="AW647" s="239"/>
      <c r="AX647" s="239"/>
    </row>
    <row r="648" spans="49:50">
      <c r="AW648" s="239"/>
      <c r="AX648" s="239"/>
    </row>
    <row r="649" spans="49:50">
      <c r="AW649" s="239"/>
      <c r="AX649" s="239"/>
    </row>
    <row r="650" spans="49:50">
      <c r="AW650" s="239"/>
      <c r="AX650" s="239"/>
    </row>
    <row r="651" spans="49:50">
      <c r="AW651" s="239"/>
      <c r="AX651" s="239"/>
    </row>
    <row r="652" spans="49:50">
      <c r="AW652" s="239"/>
      <c r="AX652" s="239"/>
    </row>
    <row r="653" spans="49:50">
      <c r="AW653" s="239"/>
      <c r="AX653" s="239"/>
    </row>
    <row r="654" spans="49:50">
      <c r="AW654" s="239"/>
      <c r="AX654" s="239"/>
    </row>
    <row r="655" spans="49:50">
      <c r="AW655" s="239"/>
      <c r="AX655" s="239"/>
    </row>
    <row r="656" spans="49:50">
      <c r="AW656" s="239"/>
      <c r="AX656" s="239"/>
    </row>
    <row r="657" spans="49:50">
      <c r="AW657" s="239"/>
      <c r="AX657" s="239"/>
    </row>
    <row r="658" spans="49:50">
      <c r="AW658" s="239"/>
      <c r="AX658" s="239"/>
    </row>
    <row r="659" spans="49:50">
      <c r="AW659" s="239"/>
      <c r="AX659" s="239"/>
    </row>
    <row r="660" spans="49:50">
      <c r="AW660" s="239"/>
      <c r="AX660" s="239"/>
    </row>
    <row r="661" spans="49:50">
      <c r="AW661" s="239"/>
      <c r="AX661" s="239"/>
    </row>
    <row r="662" spans="49:50">
      <c r="AW662" s="239"/>
      <c r="AX662" s="239"/>
    </row>
    <row r="663" spans="49:50">
      <c r="AW663" s="239"/>
      <c r="AX663" s="239"/>
    </row>
    <row r="664" spans="49:50">
      <c r="AW664" s="239"/>
      <c r="AX664" s="239"/>
    </row>
    <row r="665" spans="49:50">
      <c r="AW665" s="239"/>
      <c r="AX665" s="239"/>
    </row>
    <row r="666" spans="49:50">
      <c r="AW666" s="239"/>
      <c r="AX666" s="239"/>
    </row>
    <row r="667" spans="49:50">
      <c r="AW667" s="239"/>
      <c r="AX667" s="239"/>
    </row>
    <row r="668" spans="49:50">
      <c r="AW668" s="239"/>
      <c r="AX668" s="239"/>
    </row>
    <row r="669" spans="49:50">
      <c r="AW669" s="239"/>
      <c r="AX669" s="239"/>
    </row>
    <row r="670" spans="49:50">
      <c r="AW670" s="239"/>
      <c r="AX670" s="239"/>
    </row>
    <row r="671" spans="49:50">
      <c r="AW671" s="239"/>
      <c r="AX671" s="239"/>
    </row>
    <row r="672" spans="49:50">
      <c r="AW672" s="239"/>
      <c r="AX672" s="239"/>
    </row>
    <row r="673" spans="49:50">
      <c r="AW673" s="239"/>
      <c r="AX673" s="239"/>
    </row>
    <row r="674" spans="49:50">
      <c r="AW674" s="239"/>
      <c r="AX674" s="239"/>
    </row>
    <row r="675" spans="49:50">
      <c r="AW675" s="239"/>
      <c r="AX675" s="239"/>
    </row>
    <row r="676" spans="49:50">
      <c r="AW676" s="239"/>
      <c r="AX676" s="239"/>
    </row>
    <row r="677" spans="49:50">
      <c r="AW677" s="239"/>
      <c r="AX677" s="239"/>
    </row>
    <row r="678" spans="49:50">
      <c r="AW678" s="239"/>
      <c r="AX678" s="239"/>
    </row>
    <row r="679" spans="49:50">
      <c r="AW679" s="239"/>
      <c r="AX679" s="239"/>
    </row>
    <row r="680" spans="49:50">
      <c r="AW680" s="239"/>
      <c r="AX680" s="239"/>
    </row>
    <row r="681" spans="49:50">
      <c r="AW681" s="239"/>
      <c r="AX681" s="239"/>
    </row>
    <row r="682" spans="49:50">
      <c r="AW682" s="239"/>
      <c r="AX682" s="239"/>
    </row>
    <row r="683" spans="49:50">
      <c r="AW683" s="239"/>
      <c r="AX683" s="239"/>
    </row>
    <row r="684" spans="49:50">
      <c r="AW684" s="239"/>
      <c r="AX684" s="239"/>
    </row>
    <row r="685" spans="49:50">
      <c r="AW685" s="239"/>
      <c r="AX685" s="239"/>
    </row>
    <row r="686" spans="49:50">
      <c r="AW686" s="239"/>
      <c r="AX686" s="239"/>
    </row>
    <row r="687" spans="49:50">
      <c r="AW687" s="239"/>
      <c r="AX687" s="239"/>
    </row>
    <row r="688" spans="49:50">
      <c r="AW688" s="239"/>
      <c r="AX688" s="239"/>
    </row>
    <row r="689" spans="49:50">
      <c r="AW689" s="239"/>
      <c r="AX689" s="239"/>
    </row>
    <row r="690" spans="49:50">
      <c r="AW690" s="239"/>
      <c r="AX690" s="239"/>
    </row>
    <row r="691" spans="49:50">
      <c r="AW691" s="239"/>
      <c r="AX691" s="239"/>
    </row>
    <row r="692" spans="49:50">
      <c r="AW692" s="239"/>
      <c r="AX692" s="239"/>
    </row>
    <row r="693" spans="49:50">
      <c r="AW693" s="239"/>
      <c r="AX693" s="239"/>
    </row>
    <row r="694" spans="49:50">
      <c r="AW694" s="239"/>
      <c r="AX694" s="239"/>
    </row>
    <row r="695" spans="49:50">
      <c r="AW695" s="239"/>
      <c r="AX695" s="239"/>
    </row>
    <row r="696" spans="49:50">
      <c r="AW696" s="239"/>
      <c r="AX696" s="239"/>
    </row>
    <row r="697" spans="49:50">
      <c r="AW697" s="239"/>
      <c r="AX697" s="239"/>
    </row>
    <row r="698" spans="49:50">
      <c r="AW698" s="239"/>
      <c r="AX698" s="239"/>
    </row>
    <row r="699" spans="49:50">
      <c r="AW699" s="239"/>
      <c r="AX699" s="239"/>
    </row>
    <row r="700" spans="49:50">
      <c r="AW700" s="239"/>
      <c r="AX700" s="239"/>
    </row>
    <row r="701" spans="49:50">
      <c r="AW701" s="239"/>
      <c r="AX701" s="239"/>
    </row>
    <row r="702" spans="49:50">
      <c r="AW702" s="239"/>
      <c r="AX702" s="239"/>
    </row>
    <row r="703" spans="49:50">
      <c r="AW703" s="239"/>
      <c r="AX703" s="239"/>
    </row>
    <row r="704" spans="49:50">
      <c r="AW704" s="239"/>
      <c r="AX704" s="239"/>
    </row>
    <row r="705" spans="49:50">
      <c r="AW705" s="239"/>
      <c r="AX705" s="239"/>
    </row>
    <row r="706" spans="49:50">
      <c r="AW706" s="239"/>
      <c r="AX706" s="239"/>
    </row>
    <row r="707" spans="49:50">
      <c r="AW707" s="239"/>
      <c r="AX707" s="239"/>
    </row>
    <row r="708" spans="49:50">
      <c r="AW708" s="239"/>
      <c r="AX708" s="239"/>
    </row>
    <row r="709" spans="49:50">
      <c r="AW709" s="239"/>
      <c r="AX709" s="239"/>
    </row>
    <row r="710" spans="49:50">
      <c r="AW710" s="239"/>
      <c r="AX710" s="239"/>
    </row>
    <row r="711" spans="49:50">
      <c r="AW711" s="239"/>
      <c r="AX711" s="239"/>
    </row>
    <row r="712" spans="49:50">
      <c r="AW712" s="239"/>
      <c r="AX712" s="239"/>
    </row>
    <row r="713" spans="49:50">
      <c r="AW713" s="239"/>
      <c r="AX713" s="239"/>
    </row>
    <row r="714" spans="49:50">
      <c r="AW714" s="239"/>
      <c r="AX714" s="239"/>
    </row>
    <row r="715" spans="49:50">
      <c r="AW715" s="239"/>
      <c r="AX715" s="239"/>
    </row>
    <row r="716" spans="49:50">
      <c r="AW716" s="239"/>
      <c r="AX716" s="239"/>
    </row>
    <row r="717" spans="49:50">
      <c r="AW717" s="239"/>
      <c r="AX717" s="239"/>
    </row>
    <row r="718" spans="49:50">
      <c r="AW718" s="239"/>
      <c r="AX718" s="239"/>
    </row>
    <row r="719" spans="49:50">
      <c r="AW719" s="239"/>
      <c r="AX719" s="239"/>
    </row>
    <row r="720" spans="49:50">
      <c r="AW720" s="239"/>
      <c r="AX720" s="239"/>
    </row>
    <row r="721" spans="49:50">
      <c r="AW721" s="239"/>
      <c r="AX721" s="239"/>
    </row>
    <row r="722" spans="49:50">
      <c r="AW722" s="239"/>
      <c r="AX722" s="239"/>
    </row>
    <row r="723" spans="49:50">
      <c r="AW723" s="239"/>
      <c r="AX723" s="239"/>
    </row>
    <row r="724" spans="49:50">
      <c r="AW724" s="239"/>
      <c r="AX724" s="239"/>
    </row>
    <row r="725" spans="49:50">
      <c r="AW725" s="239"/>
      <c r="AX725" s="239"/>
    </row>
    <row r="726" spans="49:50">
      <c r="AW726" s="239"/>
      <c r="AX726" s="239"/>
    </row>
    <row r="727" spans="49:50">
      <c r="AW727" s="239"/>
      <c r="AX727" s="239"/>
    </row>
    <row r="728" spans="49:50">
      <c r="AW728" s="239"/>
      <c r="AX728" s="239"/>
    </row>
    <row r="729" spans="49:50">
      <c r="AW729" s="239"/>
      <c r="AX729" s="239"/>
    </row>
    <row r="730" spans="49:50">
      <c r="AW730" s="239"/>
      <c r="AX730" s="239"/>
    </row>
    <row r="731" spans="49:50">
      <c r="AW731" s="239"/>
      <c r="AX731" s="239"/>
    </row>
    <row r="732" spans="49:50">
      <c r="AW732" s="239"/>
      <c r="AX732" s="239"/>
    </row>
    <row r="733" spans="49:50">
      <c r="AW733" s="239"/>
      <c r="AX733" s="239"/>
    </row>
    <row r="734" spans="49:50">
      <c r="AW734" s="239"/>
      <c r="AX734" s="239"/>
    </row>
    <row r="735" spans="49:50">
      <c r="AW735" s="239"/>
      <c r="AX735" s="239"/>
    </row>
    <row r="736" spans="49:50">
      <c r="AW736" s="239"/>
      <c r="AX736" s="239"/>
    </row>
    <row r="737" spans="49:50">
      <c r="AW737" s="239"/>
      <c r="AX737" s="239"/>
    </row>
    <row r="738" spans="49:50">
      <c r="AW738" s="239"/>
      <c r="AX738" s="239"/>
    </row>
    <row r="739" spans="49:50">
      <c r="AW739" s="239"/>
      <c r="AX739" s="239"/>
    </row>
    <row r="740" spans="49:50">
      <c r="AW740" s="239"/>
      <c r="AX740" s="239"/>
    </row>
    <row r="741" spans="49:50">
      <c r="AW741" s="239"/>
      <c r="AX741" s="239"/>
    </row>
    <row r="742" spans="49:50">
      <c r="AW742" s="239"/>
      <c r="AX742" s="239"/>
    </row>
    <row r="743" spans="49:50">
      <c r="AW743" s="239"/>
      <c r="AX743" s="239"/>
    </row>
    <row r="744" spans="49:50">
      <c r="AW744" s="239"/>
      <c r="AX744" s="239"/>
    </row>
    <row r="745" spans="49:50">
      <c r="AW745" s="239"/>
      <c r="AX745" s="239"/>
    </row>
    <row r="746" spans="49:50">
      <c r="AW746" s="239"/>
      <c r="AX746" s="239"/>
    </row>
    <row r="747" spans="49:50">
      <c r="AW747" s="239"/>
      <c r="AX747" s="239"/>
    </row>
    <row r="748" spans="49:50">
      <c r="AW748" s="239"/>
      <c r="AX748" s="239"/>
    </row>
    <row r="749" spans="49:50">
      <c r="AW749" s="239"/>
      <c r="AX749" s="239"/>
    </row>
    <row r="750" spans="49:50">
      <c r="AW750" s="239"/>
      <c r="AX750" s="239"/>
    </row>
    <row r="751" spans="49:50">
      <c r="AW751" s="239"/>
      <c r="AX751" s="239"/>
    </row>
    <row r="752" spans="49:50">
      <c r="AW752" s="239"/>
      <c r="AX752" s="239"/>
    </row>
    <row r="753" spans="49:50">
      <c r="AW753" s="239"/>
      <c r="AX753" s="239"/>
    </row>
    <row r="754" spans="49:50">
      <c r="AW754" s="239"/>
      <c r="AX754" s="239"/>
    </row>
    <row r="755" spans="49:50">
      <c r="AW755" s="239"/>
      <c r="AX755" s="239"/>
    </row>
    <row r="756" spans="49:50">
      <c r="AW756" s="239"/>
      <c r="AX756" s="239"/>
    </row>
    <row r="757" spans="49:50">
      <c r="AW757" s="239"/>
      <c r="AX757" s="239"/>
    </row>
    <row r="758" spans="49:50">
      <c r="AW758" s="239"/>
      <c r="AX758" s="239"/>
    </row>
    <row r="759" spans="49:50">
      <c r="AW759" s="239"/>
      <c r="AX759" s="239"/>
    </row>
    <row r="760" spans="49:50">
      <c r="AW760" s="239"/>
      <c r="AX760" s="239"/>
    </row>
    <row r="761" spans="49:50">
      <c r="AW761" s="239"/>
      <c r="AX761" s="239"/>
    </row>
    <row r="762" spans="49:50">
      <c r="AW762" s="239"/>
      <c r="AX762" s="239"/>
    </row>
    <row r="763" spans="49:50">
      <c r="AW763" s="239"/>
      <c r="AX763" s="239"/>
    </row>
    <row r="764" spans="49:50">
      <c r="AW764" s="239"/>
      <c r="AX764" s="239"/>
    </row>
    <row r="765" spans="49:50">
      <c r="AW765" s="239"/>
      <c r="AX765" s="239"/>
    </row>
    <row r="766" spans="49:50">
      <c r="AW766" s="239"/>
      <c r="AX766" s="239"/>
    </row>
    <row r="767" spans="49:50">
      <c r="AW767" s="239"/>
      <c r="AX767" s="239"/>
    </row>
    <row r="768" spans="49:50">
      <c r="AW768" s="239"/>
      <c r="AX768" s="239"/>
    </row>
    <row r="769" spans="49:50">
      <c r="AW769" s="239"/>
      <c r="AX769" s="239"/>
    </row>
    <row r="770" spans="49:50">
      <c r="AW770" s="239"/>
      <c r="AX770" s="239"/>
    </row>
    <row r="771" spans="49:50">
      <c r="AW771" s="239"/>
      <c r="AX771" s="239"/>
    </row>
    <row r="772" spans="49:50">
      <c r="AW772" s="239"/>
      <c r="AX772" s="239"/>
    </row>
    <row r="773" spans="49:50">
      <c r="AW773" s="239"/>
      <c r="AX773" s="239"/>
    </row>
    <row r="774" spans="49:50">
      <c r="AW774" s="239"/>
      <c r="AX774" s="239"/>
    </row>
    <row r="775" spans="49:50">
      <c r="AW775" s="239"/>
      <c r="AX775" s="239"/>
    </row>
    <row r="776" spans="49:50">
      <c r="AW776" s="239"/>
      <c r="AX776" s="239"/>
    </row>
    <row r="777" spans="49:50">
      <c r="AW777" s="239"/>
      <c r="AX777" s="239"/>
    </row>
    <row r="778" spans="49:50">
      <c r="AW778" s="239"/>
      <c r="AX778" s="239"/>
    </row>
    <row r="779" spans="49:50">
      <c r="AW779" s="239"/>
      <c r="AX779" s="239"/>
    </row>
    <row r="780" spans="49:50">
      <c r="AW780" s="239"/>
      <c r="AX780" s="239"/>
    </row>
    <row r="781" spans="49:50">
      <c r="AW781" s="239"/>
      <c r="AX781" s="239"/>
    </row>
    <row r="782" spans="49:50">
      <c r="AW782" s="239"/>
      <c r="AX782" s="239"/>
    </row>
    <row r="783" spans="49:50">
      <c r="AW783" s="239"/>
      <c r="AX783" s="239"/>
    </row>
    <row r="784" spans="49:50">
      <c r="AW784" s="239"/>
      <c r="AX784" s="239"/>
    </row>
    <row r="785" spans="49:50">
      <c r="AW785" s="239"/>
      <c r="AX785" s="239"/>
    </row>
    <row r="786" spans="49:50">
      <c r="AW786" s="239"/>
      <c r="AX786" s="239"/>
    </row>
    <row r="787" spans="49:50">
      <c r="AW787" s="239"/>
      <c r="AX787" s="239"/>
    </row>
    <row r="788" spans="49:50">
      <c r="AW788" s="239"/>
      <c r="AX788" s="239"/>
    </row>
    <row r="789" spans="49:50">
      <c r="AW789" s="239"/>
      <c r="AX789" s="239"/>
    </row>
    <row r="790" spans="49:50">
      <c r="AW790" s="239"/>
      <c r="AX790" s="239"/>
    </row>
    <row r="791" spans="49:50">
      <c r="AW791" s="239"/>
      <c r="AX791" s="239"/>
    </row>
    <row r="792" spans="49:50">
      <c r="AW792" s="239"/>
      <c r="AX792" s="239"/>
    </row>
    <row r="793" spans="49:50">
      <c r="AW793" s="239"/>
      <c r="AX793" s="239"/>
    </row>
    <row r="794" spans="49:50">
      <c r="AW794" s="239"/>
      <c r="AX794" s="239"/>
    </row>
    <row r="795" spans="49:50">
      <c r="AW795" s="239"/>
      <c r="AX795" s="239"/>
    </row>
    <row r="796" spans="49:50">
      <c r="AW796" s="239"/>
      <c r="AX796" s="239"/>
    </row>
    <row r="797" spans="49:50">
      <c r="AW797" s="239"/>
      <c r="AX797" s="239"/>
    </row>
    <row r="798" spans="49:50">
      <c r="AW798" s="239"/>
      <c r="AX798" s="239"/>
    </row>
    <row r="799" spans="49:50">
      <c r="AW799" s="239"/>
      <c r="AX799" s="239"/>
    </row>
    <row r="800" spans="49:50">
      <c r="AW800" s="239"/>
      <c r="AX800" s="239"/>
    </row>
    <row r="801" spans="49:50">
      <c r="AW801" s="239"/>
      <c r="AX801" s="239"/>
    </row>
    <row r="802" spans="49:50">
      <c r="AW802" s="239"/>
      <c r="AX802" s="239"/>
    </row>
    <row r="803" spans="49:50">
      <c r="AW803" s="239"/>
      <c r="AX803" s="239"/>
    </row>
    <row r="804" spans="49:50">
      <c r="AW804" s="239"/>
      <c r="AX804" s="239"/>
    </row>
    <row r="805" spans="49:50">
      <c r="AW805" s="239"/>
      <c r="AX805" s="239"/>
    </row>
    <row r="806" spans="49:50">
      <c r="AW806" s="239"/>
      <c r="AX806" s="239"/>
    </row>
    <row r="807" spans="49:50">
      <c r="AW807" s="239"/>
      <c r="AX807" s="239"/>
    </row>
    <row r="808" spans="49:50">
      <c r="AW808" s="239"/>
      <c r="AX808" s="239"/>
    </row>
    <row r="809" spans="49:50">
      <c r="AW809" s="239"/>
      <c r="AX809" s="239"/>
    </row>
    <row r="810" spans="49:50">
      <c r="AW810" s="239"/>
      <c r="AX810" s="239"/>
    </row>
    <row r="811" spans="49:50">
      <c r="AW811" s="239"/>
      <c r="AX811" s="239"/>
    </row>
    <row r="812" spans="49:50">
      <c r="AW812" s="239"/>
      <c r="AX812" s="239"/>
    </row>
    <row r="813" spans="49:50">
      <c r="AW813" s="239"/>
      <c r="AX813" s="239"/>
    </row>
    <row r="814" spans="49:50">
      <c r="AW814" s="239"/>
      <c r="AX814" s="239"/>
    </row>
    <row r="815" spans="49:50">
      <c r="AW815" s="239"/>
      <c r="AX815" s="239"/>
    </row>
    <row r="816" spans="49:50">
      <c r="AW816" s="239"/>
      <c r="AX816" s="239"/>
    </row>
    <row r="817" spans="49:50">
      <c r="AW817" s="239"/>
      <c r="AX817" s="239"/>
    </row>
    <row r="818" spans="49:50">
      <c r="AW818" s="239"/>
      <c r="AX818" s="239"/>
    </row>
    <row r="819" spans="49:50">
      <c r="AW819" s="239"/>
      <c r="AX819" s="239"/>
    </row>
    <row r="820" spans="49:50">
      <c r="AW820" s="239"/>
      <c r="AX820" s="239"/>
    </row>
    <row r="821" spans="49:50">
      <c r="AW821" s="239"/>
      <c r="AX821" s="239"/>
    </row>
    <row r="822" spans="49:50">
      <c r="AW822" s="239"/>
      <c r="AX822" s="239"/>
    </row>
    <row r="823" spans="49:50">
      <c r="AW823" s="239"/>
      <c r="AX823" s="239"/>
    </row>
    <row r="824" spans="49:50">
      <c r="AW824" s="239"/>
      <c r="AX824" s="239"/>
    </row>
    <row r="825" spans="49:50">
      <c r="AW825" s="239"/>
      <c r="AX825" s="239"/>
    </row>
    <row r="826" spans="49:50">
      <c r="AW826" s="239"/>
      <c r="AX826" s="239"/>
    </row>
    <row r="827" spans="49:50">
      <c r="AW827" s="239"/>
      <c r="AX827" s="239"/>
    </row>
    <row r="828" spans="49:50">
      <c r="AW828" s="239"/>
      <c r="AX828" s="239"/>
    </row>
    <row r="829" spans="49:50">
      <c r="AW829" s="239"/>
      <c r="AX829" s="239"/>
    </row>
    <row r="830" spans="49:50">
      <c r="AW830" s="239"/>
      <c r="AX830" s="239"/>
    </row>
    <row r="831" spans="49:50">
      <c r="AW831" s="239"/>
      <c r="AX831" s="239"/>
    </row>
    <row r="832" spans="49:50">
      <c r="AW832" s="239"/>
      <c r="AX832" s="239"/>
    </row>
    <row r="833" spans="49:50">
      <c r="AW833" s="239"/>
      <c r="AX833" s="239"/>
    </row>
    <row r="834" spans="49:50">
      <c r="AW834" s="239"/>
      <c r="AX834" s="239"/>
    </row>
    <row r="835" spans="49:50">
      <c r="AW835" s="239"/>
      <c r="AX835" s="239"/>
    </row>
    <row r="836" spans="49:50">
      <c r="AW836" s="239"/>
      <c r="AX836" s="239"/>
    </row>
    <row r="837" spans="49:50">
      <c r="AW837" s="239"/>
      <c r="AX837" s="239"/>
    </row>
    <row r="838" spans="49:50">
      <c r="AW838" s="239"/>
      <c r="AX838" s="239"/>
    </row>
    <row r="839" spans="49:50">
      <c r="AW839" s="239"/>
      <c r="AX839" s="239"/>
    </row>
    <row r="840" spans="49:50">
      <c r="AW840" s="239"/>
      <c r="AX840" s="239"/>
    </row>
    <row r="841" spans="49:50">
      <c r="AW841" s="239"/>
      <c r="AX841" s="239"/>
    </row>
    <row r="842" spans="49:50">
      <c r="AW842" s="239"/>
      <c r="AX842" s="239"/>
    </row>
    <row r="843" spans="49:50">
      <c r="AW843" s="239"/>
      <c r="AX843" s="239"/>
    </row>
    <row r="844" spans="49:50">
      <c r="AW844" s="239"/>
      <c r="AX844" s="239"/>
    </row>
    <row r="845" spans="49:50">
      <c r="AW845" s="239"/>
      <c r="AX845" s="239"/>
    </row>
    <row r="846" spans="49:50">
      <c r="AW846" s="239"/>
      <c r="AX846" s="239"/>
    </row>
    <row r="847" spans="49:50">
      <c r="AW847" s="239"/>
      <c r="AX847" s="239"/>
    </row>
    <row r="848" spans="49:50">
      <c r="AW848" s="239"/>
      <c r="AX848" s="239"/>
    </row>
    <row r="849" spans="49:50">
      <c r="AW849" s="239"/>
      <c r="AX849" s="239"/>
    </row>
    <row r="850" spans="49:50">
      <c r="AW850" s="239"/>
      <c r="AX850" s="239"/>
    </row>
    <row r="851" spans="49:50">
      <c r="AW851" s="239"/>
      <c r="AX851" s="239"/>
    </row>
    <row r="852" spans="49:50">
      <c r="AW852" s="239"/>
      <c r="AX852" s="239"/>
    </row>
    <row r="853" spans="49:50">
      <c r="AW853" s="239"/>
      <c r="AX853" s="239"/>
    </row>
    <row r="854" spans="49:50">
      <c r="AW854" s="239"/>
      <c r="AX854" s="239"/>
    </row>
    <row r="855" spans="49:50">
      <c r="AW855" s="239"/>
      <c r="AX855" s="239"/>
    </row>
    <row r="856" spans="49:50">
      <c r="AW856" s="239"/>
      <c r="AX856" s="239"/>
    </row>
    <row r="857" spans="49:50">
      <c r="AW857" s="239"/>
      <c r="AX857" s="239"/>
    </row>
    <row r="858" spans="49:50">
      <c r="AW858" s="239"/>
      <c r="AX858" s="239"/>
    </row>
    <row r="859" spans="49:50">
      <c r="AW859" s="239"/>
      <c r="AX859" s="239"/>
    </row>
    <row r="860" spans="49:50">
      <c r="AW860" s="239"/>
      <c r="AX860" s="239"/>
    </row>
    <row r="861" spans="49:50">
      <c r="AW861" s="239"/>
      <c r="AX861" s="239"/>
    </row>
    <row r="862" spans="49:50">
      <c r="AW862" s="239"/>
      <c r="AX862" s="239"/>
    </row>
    <row r="863" spans="49:50">
      <c r="AW863" s="239"/>
      <c r="AX863" s="239"/>
    </row>
    <row r="864" spans="49:50">
      <c r="AW864" s="239"/>
      <c r="AX864" s="239"/>
    </row>
    <row r="865" spans="49:50">
      <c r="AW865" s="239"/>
      <c r="AX865" s="239"/>
    </row>
    <row r="866" spans="49:50">
      <c r="AW866" s="239"/>
      <c r="AX866" s="239"/>
    </row>
    <row r="867" spans="49:50">
      <c r="AW867" s="239"/>
      <c r="AX867" s="239"/>
    </row>
    <row r="868" spans="49:50">
      <c r="AW868" s="239"/>
      <c r="AX868" s="239"/>
    </row>
    <row r="869" spans="49:50">
      <c r="AW869" s="239"/>
      <c r="AX869" s="239"/>
    </row>
    <row r="870" spans="49:50">
      <c r="AW870" s="239"/>
      <c r="AX870" s="239"/>
    </row>
    <row r="871" spans="49:50">
      <c r="AW871" s="239"/>
      <c r="AX871" s="239"/>
    </row>
    <row r="872" spans="49:50">
      <c r="AW872" s="239"/>
      <c r="AX872" s="239"/>
    </row>
    <row r="873" spans="49:50">
      <c r="AW873" s="239"/>
      <c r="AX873" s="239"/>
    </row>
    <row r="874" spans="49:50">
      <c r="AW874" s="239"/>
      <c r="AX874" s="239"/>
    </row>
    <row r="875" spans="49:50">
      <c r="AW875" s="239"/>
      <c r="AX875" s="239"/>
    </row>
    <row r="876" spans="49:50">
      <c r="AW876" s="239"/>
      <c r="AX876" s="239"/>
    </row>
    <row r="877" spans="49:50">
      <c r="AW877" s="239"/>
      <c r="AX877" s="239"/>
    </row>
    <row r="878" spans="49:50">
      <c r="AW878" s="239"/>
      <c r="AX878" s="239"/>
    </row>
    <row r="879" spans="49:50">
      <c r="AW879" s="239"/>
      <c r="AX879" s="239"/>
    </row>
    <row r="880" spans="49:50">
      <c r="AW880" s="239"/>
      <c r="AX880" s="239"/>
    </row>
    <row r="881" spans="49:50">
      <c r="AW881" s="239"/>
      <c r="AX881" s="239"/>
    </row>
    <row r="882" spans="49:50">
      <c r="AW882" s="239"/>
      <c r="AX882" s="239"/>
    </row>
    <row r="883" spans="49:50">
      <c r="AW883" s="239"/>
      <c r="AX883" s="239"/>
    </row>
    <row r="884" spans="49:50">
      <c r="AW884" s="239"/>
      <c r="AX884" s="239"/>
    </row>
    <row r="885" spans="49:50">
      <c r="AW885" s="239"/>
      <c r="AX885" s="239"/>
    </row>
    <row r="886" spans="49:50">
      <c r="AW886" s="239"/>
      <c r="AX886" s="239"/>
    </row>
    <row r="887" spans="49:50">
      <c r="AW887" s="239"/>
      <c r="AX887" s="239"/>
    </row>
    <row r="888" spans="49:50">
      <c r="AW888" s="239"/>
      <c r="AX888" s="239"/>
    </row>
    <row r="889" spans="49:50">
      <c r="AW889" s="239"/>
      <c r="AX889" s="239"/>
    </row>
    <row r="890" spans="49:50">
      <c r="AW890" s="239"/>
      <c r="AX890" s="239"/>
    </row>
    <row r="891" spans="49:50">
      <c r="AW891" s="239"/>
      <c r="AX891" s="239"/>
    </row>
    <row r="892" spans="49:50">
      <c r="AW892" s="239"/>
      <c r="AX892" s="239"/>
    </row>
    <row r="893" spans="49:50">
      <c r="AW893" s="239"/>
      <c r="AX893" s="239"/>
    </row>
    <row r="894" spans="49:50">
      <c r="AW894" s="239"/>
      <c r="AX894" s="239"/>
    </row>
    <row r="895" spans="49:50">
      <c r="AW895" s="239"/>
      <c r="AX895" s="239"/>
    </row>
    <row r="896" spans="49:50">
      <c r="AW896" s="239"/>
      <c r="AX896" s="239"/>
    </row>
    <row r="897" spans="49:50">
      <c r="AW897" s="239"/>
      <c r="AX897" s="239"/>
    </row>
    <row r="898" spans="49:50">
      <c r="AW898" s="239"/>
      <c r="AX898" s="239"/>
    </row>
    <row r="899" spans="49:50">
      <c r="AW899" s="239"/>
      <c r="AX899" s="239"/>
    </row>
    <row r="900" spans="49:50">
      <c r="AW900" s="239"/>
      <c r="AX900" s="239"/>
    </row>
    <row r="901" spans="49:50">
      <c r="AW901" s="239"/>
      <c r="AX901" s="239"/>
    </row>
    <row r="902" spans="49:50">
      <c r="AW902" s="239"/>
      <c r="AX902" s="239"/>
    </row>
    <row r="903" spans="49:50">
      <c r="AW903" s="239"/>
      <c r="AX903" s="239"/>
    </row>
    <row r="904" spans="49:50">
      <c r="AW904" s="239"/>
      <c r="AX904" s="239"/>
    </row>
    <row r="905" spans="49:50">
      <c r="AW905" s="239"/>
      <c r="AX905" s="239"/>
    </row>
    <row r="906" spans="49:50">
      <c r="AW906" s="239"/>
      <c r="AX906" s="239"/>
    </row>
    <row r="907" spans="49:50">
      <c r="AW907" s="239"/>
      <c r="AX907" s="239"/>
    </row>
    <row r="908" spans="49:50">
      <c r="AW908" s="239"/>
      <c r="AX908" s="239"/>
    </row>
    <row r="909" spans="49:50">
      <c r="AW909" s="239"/>
      <c r="AX909" s="239"/>
    </row>
    <row r="910" spans="49:50">
      <c r="AW910" s="239"/>
      <c r="AX910" s="239"/>
    </row>
    <row r="911" spans="49:50">
      <c r="AW911" s="239"/>
      <c r="AX911" s="239"/>
    </row>
    <row r="912" spans="49:50">
      <c r="AW912" s="239"/>
      <c r="AX912" s="239"/>
    </row>
    <row r="913" spans="49:50">
      <c r="AW913" s="239"/>
      <c r="AX913" s="239"/>
    </row>
    <row r="914" spans="49:50">
      <c r="AW914" s="239"/>
      <c r="AX914" s="239"/>
    </row>
    <row r="915" spans="49:50">
      <c r="AW915" s="239"/>
      <c r="AX915" s="239"/>
    </row>
    <row r="916" spans="49:50">
      <c r="AW916" s="239"/>
      <c r="AX916" s="239"/>
    </row>
    <row r="917" spans="49:50">
      <c r="AW917" s="239"/>
      <c r="AX917" s="239"/>
    </row>
    <row r="918" spans="49:50">
      <c r="AW918" s="239"/>
      <c r="AX918" s="239"/>
    </row>
    <row r="919" spans="49:50">
      <c r="AW919" s="239"/>
      <c r="AX919" s="239"/>
    </row>
    <row r="920" spans="49:50">
      <c r="AW920" s="239"/>
      <c r="AX920" s="239"/>
    </row>
    <row r="921" spans="49:50">
      <c r="AW921" s="239"/>
      <c r="AX921" s="239"/>
    </row>
    <row r="922" spans="49:50">
      <c r="AW922" s="239"/>
      <c r="AX922" s="239"/>
    </row>
    <row r="923" spans="49:50">
      <c r="AW923" s="239"/>
      <c r="AX923" s="239"/>
    </row>
    <row r="924" spans="49:50">
      <c r="AW924" s="239"/>
      <c r="AX924" s="239"/>
    </row>
    <row r="925" spans="49:50">
      <c r="AW925" s="239"/>
      <c r="AX925" s="239"/>
    </row>
    <row r="926" spans="49:50">
      <c r="AW926" s="239"/>
      <c r="AX926" s="239"/>
    </row>
    <row r="927" spans="49:50">
      <c r="AW927" s="239"/>
      <c r="AX927" s="239"/>
    </row>
    <row r="928" spans="49:50">
      <c r="AW928" s="239"/>
      <c r="AX928" s="239"/>
    </row>
    <row r="929" spans="49:50">
      <c r="AW929" s="239"/>
      <c r="AX929" s="239"/>
    </row>
    <row r="930" spans="49:50">
      <c r="AW930" s="239"/>
      <c r="AX930" s="239"/>
    </row>
    <row r="931" spans="49:50">
      <c r="AW931" s="239"/>
      <c r="AX931" s="239"/>
    </row>
    <row r="932" spans="49:50">
      <c r="AW932" s="239"/>
      <c r="AX932" s="239"/>
    </row>
    <row r="933" spans="49:50">
      <c r="AW933" s="239"/>
      <c r="AX933" s="239"/>
    </row>
    <row r="934" spans="49:50">
      <c r="AW934" s="239"/>
      <c r="AX934" s="239"/>
    </row>
    <row r="935" spans="49:50">
      <c r="AW935" s="239"/>
      <c r="AX935" s="239"/>
    </row>
    <row r="936" spans="49:50">
      <c r="AW936" s="239"/>
      <c r="AX936" s="239"/>
    </row>
    <row r="937" spans="49:50">
      <c r="AW937" s="239"/>
      <c r="AX937" s="239"/>
    </row>
    <row r="938" spans="49:50">
      <c r="AW938" s="239"/>
      <c r="AX938" s="239"/>
    </row>
    <row r="939" spans="49:50">
      <c r="AW939" s="239"/>
      <c r="AX939" s="239"/>
    </row>
    <row r="940" spans="49:50">
      <c r="AW940" s="239"/>
      <c r="AX940" s="239"/>
    </row>
    <row r="941" spans="49:50">
      <c r="AW941" s="239"/>
      <c r="AX941" s="239"/>
    </row>
    <row r="942" spans="49:50">
      <c r="AW942" s="239"/>
      <c r="AX942" s="239"/>
    </row>
    <row r="943" spans="49:50">
      <c r="AW943" s="239"/>
      <c r="AX943" s="239"/>
    </row>
    <row r="944" spans="49:50">
      <c r="AW944" s="239"/>
      <c r="AX944" s="239"/>
    </row>
    <row r="945" spans="49:50">
      <c r="AW945" s="239"/>
      <c r="AX945" s="239"/>
    </row>
    <row r="946" spans="49:50">
      <c r="AW946" s="239"/>
      <c r="AX946" s="239"/>
    </row>
    <row r="947" spans="49:50">
      <c r="AW947" s="239"/>
      <c r="AX947" s="239"/>
    </row>
    <row r="948" spans="49:50">
      <c r="AW948" s="239"/>
      <c r="AX948" s="239"/>
    </row>
    <row r="949" spans="49:50">
      <c r="AW949" s="239"/>
      <c r="AX949" s="239"/>
    </row>
    <row r="950" spans="49:50">
      <c r="AW950" s="239"/>
      <c r="AX950" s="239"/>
    </row>
    <row r="951" spans="49:50">
      <c r="AW951" s="239"/>
      <c r="AX951" s="239"/>
    </row>
    <row r="952" spans="49:50">
      <c r="AW952" s="239"/>
      <c r="AX952" s="239"/>
    </row>
    <row r="953" spans="49:50">
      <c r="AW953" s="239"/>
      <c r="AX953" s="239"/>
    </row>
    <row r="954" spans="49:50">
      <c r="AW954" s="239"/>
      <c r="AX954" s="239"/>
    </row>
    <row r="955" spans="49:50">
      <c r="AW955" s="239"/>
      <c r="AX955" s="239"/>
    </row>
    <row r="956" spans="49:50">
      <c r="AW956" s="239"/>
      <c r="AX956" s="239"/>
    </row>
    <row r="957" spans="49:50">
      <c r="AW957" s="239"/>
      <c r="AX957" s="239"/>
    </row>
    <row r="958" spans="49:50">
      <c r="AW958" s="239"/>
      <c r="AX958" s="239"/>
    </row>
    <row r="959" spans="49:50">
      <c r="AW959" s="239"/>
      <c r="AX959" s="239"/>
    </row>
    <row r="960" spans="49:50">
      <c r="AW960" s="239"/>
      <c r="AX960" s="239"/>
    </row>
    <row r="961" spans="49:50">
      <c r="AW961" s="239"/>
      <c r="AX961" s="239"/>
    </row>
    <row r="962" spans="49:50">
      <c r="AW962" s="239"/>
      <c r="AX962" s="239"/>
    </row>
    <row r="963" spans="49:50">
      <c r="AW963" s="239"/>
      <c r="AX963" s="239"/>
    </row>
    <row r="964" spans="49:50">
      <c r="AW964" s="239"/>
      <c r="AX964" s="239"/>
    </row>
    <row r="965" spans="49:50">
      <c r="AW965" s="239"/>
      <c r="AX965" s="239"/>
    </row>
    <row r="966" spans="49:50">
      <c r="AW966" s="239"/>
      <c r="AX966" s="239"/>
    </row>
    <row r="967" spans="49:50">
      <c r="AW967" s="239"/>
      <c r="AX967" s="239"/>
    </row>
    <row r="968" spans="49:50">
      <c r="AW968" s="239"/>
      <c r="AX968" s="239"/>
    </row>
    <row r="969" spans="49:50">
      <c r="AW969" s="239"/>
      <c r="AX969" s="239"/>
    </row>
    <row r="970" spans="49:50">
      <c r="AW970" s="239"/>
      <c r="AX970" s="239"/>
    </row>
    <row r="971" spans="49:50">
      <c r="AW971" s="239"/>
      <c r="AX971" s="239"/>
    </row>
    <row r="972" spans="49:50">
      <c r="AW972" s="239"/>
      <c r="AX972" s="239"/>
    </row>
    <row r="973" spans="49:50">
      <c r="AW973" s="239"/>
      <c r="AX973" s="239"/>
    </row>
    <row r="974" spans="49:50">
      <c r="AW974" s="239"/>
      <c r="AX974" s="239"/>
    </row>
    <row r="975" spans="49:50">
      <c r="AW975" s="239"/>
      <c r="AX975" s="239"/>
    </row>
    <row r="976" spans="49:50">
      <c r="AW976" s="239"/>
      <c r="AX976" s="239"/>
    </row>
    <row r="977" spans="49:50">
      <c r="AW977" s="239"/>
      <c r="AX977" s="239"/>
    </row>
    <row r="978" spans="49:50">
      <c r="AW978" s="239"/>
      <c r="AX978" s="239"/>
    </row>
    <row r="979" spans="49:50">
      <c r="AW979" s="239"/>
      <c r="AX979" s="239"/>
    </row>
    <row r="980" spans="49:50">
      <c r="AW980" s="239"/>
      <c r="AX980" s="239"/>
    </row>
    <row r="981" spans="49:50">
      <c r="AW981" s="239"/>
      <c r="AX981" s="239"/>
    </row>
    <row r="982" spans="49:50">
      <c r="AW982" s="239"/>
      <c r="AX982" s="239"/>
    </row>
    <row r="983" spans="49:50">
      <c r="AW983" s="239"/>
      <c r="AX983" s="239"/>
    </row>
    <row r="984" spans="49:50">
      <c r="AW984" s="239"/>
      <c r="AX984" s="239"/>
    </row>
    <row r="985" spans="49:50">
      <c r="AW985" s="239"/>
      <c r="AX985" s="239"/>
    </row>
    <row r="986" spans="49:50">
      <c r="AW986" s="239"/>
      <c r="AX986" s="239"/>
    </row>
    <row r="987" spans="49:50">
      <c r="AW987" s="239"/>
      <c r="AX987" s="239"/>
    </row>
    <row r="988" spans="49:50">
      <c r="AW988" s="239"/>
      <c r="AX988" s="239"/>
    </row>
    <row r="989" spans="49:50">
      <c r="AW989" s="239"/>
      <c r="AX989" s="239"/>
    </row>
    <row r="990" spans="49:50">
      <c r="AW990" s="239"/>
      <c r="AX990" s="239"/>
    </row>
    <row r="991" spans="49:50">
      <c r="AW991" s="239"/>
      <c r="AX991" s="239"/>
    </row>
    <row r="992" spans="49:50">
      <c r="AW992" s="239"/>
      <c r="AX992" s="239"/>
    </row>
    <row r="993" spans="49:50">
      <c r="AW993" s="239"/>
      <c r="AX993" s="239"/>
    </row>
    <row r="994" spans="49:50">
      <c r="AW994" s="239"/>
      <c r="AX994" s="239"/>
    </row>
    <row r="995" spans="49:50">
      <c r="AW995" s="239"/>
      <c r="AX995" s="239"/>
    </row>
    <row r="996" spans="49:50">
      <c r="AW996" s="239"/>
      <c r="AX996" s="239"/>
    </row>
    <row r="997" spans="49:50">
      <c r="AW997" s="239"/>
      <c r="AX997" s="239"/>
    </row>
    <row r="998" spans="49:50">
      <c r="AW998" s="239"/>
      <c r="AX998" s="239"/>
    </row>
    <row r="999" spans="49:50">
      <c r="AW999" s="239"/>
      <c r="AX999" s="239"/>
    </row>
    <row r="1000" spans="49:50">
      <c r="AW1000" s="239"/>
      <c r="AX1000" s="239"/>
    </row>
    <row r="1001" spans="49:50">
      <c r="AW1001" s="239"/>
      <c r="AX1001" s="239"/>
    </row>
    <row r="1002" spans="49:50">
      <c r="AW1002" s="239"/>
      <c r="AX1002" s="239"/>
    </row>
    <row r="1003" spans="49:50">
      <c r="AW1003" s="239"/>
      <c r="AX1003" s="239"/>
    </row>
    <row r="1004" spans="49:50">
      <c r="AW1004" s="239"/>
      <c r="AX1004" s="239"/>
    </row>
    <row r="1005" spans="49:50">
      <c r="AW1005" s="239"/>
      <c r="AX1005" s="239"/>
    </row>
    <row r="1006" spans="49:50">
      <c r="AW1006" s="239"/>
      <c r="AX1006" s="239"/>
    </row>
    <row r="1007" spans="49:50">
      <c r="AW1007" s="239"/>
      <c r="AX1007" s="239"/>
    </row>
    <row r="1008" spans="49:50">
      <c r="AW1008" s="239"/>
      <c r="AX1008" s="239"/>
    </row>
    <row r="1009" spans="49:50">
      <c r="AW1009" s="239"/>
      <c r="AX1009" s="239"/>
    </row>
    <row r="1010" spans="49:50">
      <c r="AW1010" s="239"/>
      <c r="AX1010" s="239"/>
    </row>
    <row r="1011" spans="49:50">
      <c r="AW1011" s="239"/>
      <c r="AX1011" s="239"/>
    </row>
    <row r="1012" spans="49:50">
      <c r="AW1012" s="239"/>
      <c r="AX1012" s="239"/>
    </row>
    <row r="1013" spans="49:50">
      <c r="AW1013" s="239"/>
      <c r="AX1013" s="239"/>
    </row>
    <row r="1014" spans="49:50">
      <c r="AW1014" s="239"/>
      <c r="AX1014" s="239"/>
    </row>
    <row r="1015" spans="49:50">
      <c r="AW1015" s="239"/>
      <c r="AX1015" s="239"/>
    </row>
    <row r="1016" spans="49:50">
      <c r="AW1016" s="239"/>
      <c r="AX1016" s="239"/>
    </row>
    <row r="1017" spans="49:50">
      <c r="AW1017" s="239"/>
      <c r="AX1017" s="239"/>
    </row>
    <row r="1018" spans="49:50">
      <c r="AW1018" s="239"/>
      <c r="AX1018" s="239"/>
    </row>
    <row r="1019" spans="49:50">
      <c r="AW1019" s="239"/>
      <c r="AX1019" s="239"/>
    </row>
    <row r="1020" spans="49:50">
      <c r="AW1020" s="239"/>
      <c r="AX1020" s="239"/>
    </row>
    <row r="1021" spans="49:50">
      <c r="AW1021" s="239"/>
      <c r="AX1021" s="239"/>
    </row>
    <row r="1022" spans="49:50">
      <c r="AW1022" s="239"/>
      <c r="AX1022" s="239"/>
    </row>
    <row r="1023" spans="49:50">
      <c r="AW1023" s="239"/>
      <c r="AX1023" s="239"/>
    </row>
    <row r="1024" spans="49:50">
      <c r="AW1024" s="239"/>
      <c r="AX1024" s="239"/>
    </row>
    <row r="1025" spans="49:50">
      <c r="AW1025" s="239"/>
      <c r="AX1025" s="239"/>
    </row>
    <row r="1026" spans="49:50">
      <c r="AW1026" s="239"/>
      <c r="AX1026" s="239"/>
    </row>
    <row r="1027" spans="49:50">
      <c r="AW1027" s="239"/>
      <c r="AX1027" s="239"/>
    </row>
    <row r="1028" spans="49:50">
      <c r="AW1028" s="239"/>
      <c r="AX1028" s="239"/>
    </row>
    <row r="1029" spans="49:50">
      <c r="AW1029" s="239"/>
      <c r="AX1029" s="239"/>
    </row>
    <row r="1030" spans="49:50">
      <c r="AW1030" s="239"/>
      <c r="AX1030" s="239"/>
    </row>
    <row r="1031" spans="49:50">
      <c r="AW1031" s="239"/>
      <c r="AX1031" s="239"/>
    </row>
    <row r="1032" spans="49:50">
      <c r="AW1032" s="239"/>
      <c r="AX1032" s="239"/>
    </row>
    <row r="1033" spans="49:50">
      <c r="AW1033" s="239"/>
      <c r="AX1033" s="239"/>
    </row>
    <row r="1034" spans="49:50">
      <c r="AW1034" s="239"/>
      <c r="AX1034" s="239"/>
    </row>
    <row r="1035" spans="49:50">
      <c r="AW1035" s="239"/>
      <c r="AX1035" s="239"/>
    </row>
    <row r="1036" spans="49:50">
      <c r="AW1036" s="239"/>
      <c r="AX1036" s="239"/>
    </row>
    <row r="1037" spans="49:50">
      <c r="AW1037" s="239"/>
      <c r="AX1037" s="239"/>
    </row>
    <row r="1038" spans="49:50">
      <c r="AW1038" s="239"/>
      <c r="AX1038" s="239"/>
    </row>
    <row r="1039" spans="49:50">
      <c r="AW1039" s="239"/>
      <c r="AX1039" s="239"/>
    </row>
    <row r="1040" spans="49:50">
      <c r="AW1040" s="239"/>
      <c r="AX1040" s="239"/>
    </row>
    <row r="1041" spans="49:50">
      <c r="AW1041" s="239"/>
      <c r="AX1041" s="239"/>
    </row>
    <row r="1042" spans="49:50">
      <c r="AW1042" s="239"/>
      <c r="AX1042" s="239"/>
    </row>
    <row r="1043" spans="49:50">
      <c r="AW1043" s="239"/>
      <c r="AX1043" s="239"/>
    </row>
    <row r="1044" spans="49:50">
      <c r="AW1044" s="239"/>
      <c r="AX1044" s="239"/>
    </row>
    <row r="1045" spans="49:50">
      <c r="AW1045" s="239"/>
      <c r="AX1045" s="239"/>
    </row>
    <row r="1046" spans="49:50">
      <c r="AW1046" s="239"/>
      <c r="AX1046" s="239"/>
    </row>
    <row r="1047" spans="49:50">
      <c r="AW1047" s="239"/>
      <c r="AX1047" s="239"/>
    </row>
    <row r="1048" spans="49:50">
      <c r="AW1048" s="239"/>
      <c r="AX1048" s="239"/>
    </row>
    <row r="1049" spans="49:50">
      <c r="AW1049" s="239"/>
      <c r="AX1049" s="239"/>
    </row>
    <row r="1050" spans="49:50">
      <c r="AW1050" s="239"/>
      <c r="AX1050" s="239"/>
    </row>
    <row r="1051" spans="49:50">
      <c r="AW1051" s="239"/>
      <c r="AX1051" s="239"/>
    </row>
    <row r="1052" spans="49:50">
      <c r="AW1052" s="239"/>
      <c r="AX1052" s="239"/>
    </row>
    <row r="1053" spans="49:50">
      <c r="AW1053" s="239"/>
      <c r="AX1053" s="239"/>
    </row>
    <row r="1054" spans="49:50">
      <c r="AW1054" s="239"/>
      <c r="AX1054" s="239"/>
    </row>
    <row r="1055" spans="49:50">
      <c r="AW1055" s="239"/>
      <c r="AX1055" s="239"/>
    </row>
    <row r="1056" spans="49:50">
      <c r="AW1056" s="239"/>
      <c r="AX1056" s="239"/>
    </row>
    <row r="1057" spans="49:50">
      <c r="AW1057" s="239"/>
      <c r="AX1057" s="239"/>
    </row>
    <row r="1058" spans="49:50">
      <c r="AW1058" s="239"/>
      <c r="AX1058" s="239"/>
    </row>
    <row r="1059" spans="49:50">
      <c r="AW1059" s="239"/>
      <c r="AX1059" s="239"/>
    </row>
    <row r="1060" spans="49:50">
      <c r="AW1060" s="239"/>
      <c r="AX1060" s="239"/>
    </row>
    <row r="1061" spans="49:50">
      <c r="AW1061" s="239"/>
      <c r="AX1061" s="239"/>
    </row>
    <row r="1062" spans="49:50">
      <c r="AW1062" s="239"/>
      <c r="AX1062" s="239"/>
    </row>
    <row r="1063" spans="49:50">
      <c r="AW1063" s="239"/>
      <c r="AX1063" s="239"/>
    </row>
    <row r="1064" spans="49:50">
      <c r="AW1064" s="239"/>
      <c r="AX1064" s="239"/>
    </row>
    <row r="1065" spans="49:50">
      <c r="AW1065" s="239"/>
      <c r="AX1065" s="239"/>
    </row>
    <row r="1066" spans="49:50">
      <c r="AW1066" s="239"/>
      <c r="AX1066" s="239"/>
    </row>
    <row r="1067" spans="49:50">
      <c r="AW1067" s="239"/>
      <c r="AX1067" s="239"/>
    </row>
    <row r="1068" spans="49:50">
      <c r="AW1068" s="239"/>
      <c r="AX1068" s="239"/>
    </row>
    <row r="1069" spans="49:50">
      <c r="AW1069" s="239"/>
      <c r="AX1069" s="239"/>
    </row>
    <row r="1070" spans="49:50">
      <c r="AW1070" s="239"/>
      <c r="AX1070" s="239"/>
    </row>
    <row r="1071" spans="49:50">
      <c r="AW1071" s="239"/>
      <c r="AX1071" s="239"/>
    </row>
    <row r="1072" spans="49:50">
      <c r="AW1072" s="239"/>
      <c r="AX1072" s="239"/>
    </row>
    <row r="1073" spans="49:50">
      <c r="AW1073" s="239"/>
      <c r="AX1073" s="239"/>
    </row>
    <row r="1074" spans="49:50">
      <c r="AW1074" s="239"/>
      <c r="AX1074" s="239"/>
    </row>
    <row r="1075" spans="49:50">
      <c r="AW1075" s="239"/>
      <c r="AX1075" s="239"/>
    </row>
    <row r="1076" spans="49:50">
      <c r="AW1076" s="239"/>
      <c r="AX1076" s="239"/>
    </row>
    <row r="1077" spans="49:50">
      <c r="AW1077" s="239"/>
      <c r="AX1077" s="239"/>
    </row>
    <row r="1078" spans="49:50">
      <c r="AW1078" s="239"/>
      <c r="AX1078" s="239"/>
    </row>
    <row r="1079" spans="49:50">
      <c r="AW1079" s="239"/>
      <c r="AX1079" s="239"/>
    </row>
    <row r="1080" spans="49:50">
      <c r="AW1080" s="239"/>
      <c r="AX1080" s="239"/>
    </row>
    <row r="1081" spans="49:50">
      <c r="AW1081" s="239"/>
      <c r="AX1081" s="239"/>
    </row>
    <row r="1082" spans="49:50">
      <c r="AW1082" s="239"/>
      <c r="AX1082" s="239"/>
    </row>
    <row r="1083" spans="49:50">
      <c r="AW1083" s="239"/>
      <c r="AX1083" s="239"/>
    </row>
    <row r="1084" spans="49:50">
      <c r="AW1084" s="239"/>
      <c r="AX1084" s="239"/>
    </row>
    <row r="1085" spans="49:50">
      <c r="AW1085" s="239"/>
      <c r="AX1085" s="239"/>
    </row>
    <row r="1086" spans="49:50">
      <c r="AW1086" s="239"/>
      <c r="AX1086" s="239"/>
    </row>
    <row r="1087" spans="49:50">
      <c r="AW1087" s="239"/>
      <c r="AX1087" s="239"/>
    </row>
    <row r="1088" spans="49:50">
      <c r="AW1088" s="239"/>
      <c r="AX1088" s="239"/>
    </row>
    <row r="1089" spans="49:50">
      <c r="AW1089" s="239"/>
      <c r="AX1089" s="239"/>
    </row>
    <row r="1090" spans="49:50">
      <c r="AW1090" s="239"/>
      <c r="AX1090" s="239"/>
    </row>
    <row r="1091" spans="49:50">
      <c r="AW1091" s="239"/>
      <c r="AX1091" s="239"/>
    </row>
    <row r="1092" spans="49:50">
      <c r="AW1092" s="239"/>
      <c r="AX1092" s="239"/>
    </row>
    <row r="1093" spans="49:50">
      <c r="AW1093" s="239"/>
      <c r="AX1093" s="239"/>
    </row>
    <row r="1094" spans="49:50">
      <c r="AW1094" s="239"/>
      <c r="AX1094" s="239"/>
    </row>
    <row r="1095" spans="49:50">
      <c r="AW1095" s="239"/>
      <c r="AX1095" s="239"/>
    </row>
    <row r="1096" spans="49:50">
      <c r="AW1096" s="239"/>
      <c r="AX1096" s="239"/>
    </row>
    <row r="1097" spans="49:50">
      <c r="AW1097" s="239"/>
      <c r="AX1097" s="239"/>
    </row>
    <row r="1098" spans="49:50">
      <c r="AW1098" s="239"/>
      <c r="AX1098" s="239"/>
    </row>
    <row r="1099" spans="49:50">
      <c r="AW1099" s="239"/>
      <c r="AX1099" s="239"/>
    </row>
    <row r="1100" spans="49:50">
      <c r="AW1100" s="239"/>
      <c r="AX1100" s="239"/>
    </row>
    <row r="1101" spans="49:50">
      <c r="AW1101" s="239"/>
      <c r="AX1101" s="239"/>
    </row>
    <row r="1102" spans="49:50">
      <c r="AW1102" s="239"/>
      <c r="AX1102" s="239"/>
    </row>
    <row r="1103" spans="49:50">
      <c r="AW1103" s="239"/>
      <c r="AX1103" s="239"/>
    </row>
    <row r="1104" spans="49:50">
      <c r="AW1104" s="239"/>
      <c r="AX1104" s="239"/>
    </row>
    <row r="1105" spans="49:50">
      <c r="AW1105" s="239"/>
      <c r="AX1105" s="239"/>
    </row>
    <row r="1106" spans="49:50">
      <c r="AW1106" s="239"/>
      <c r="AX1106" s="239"/>
    </row>
    <row r="1107" spans="49:50">
      <c r="AW1107" s="239"/>
      <c r="AX1107" s="239"/>
    </row>
    <row r="1108" spans="49:50">
      <c r="AW1108" s="239"/>
      <c r="AX1108" s="239"/>
    </row>
    <row r="1109" spans="49:50">
      <c r="AW1109" s="239"/>
      <c r="AX1109" s="239"/>
    </row>
    <row r="1110" spans="49:50">
      <c r="AW1110" s="239"/>
      <c r="AX1110" s="239"/>
    </row>
    <row r="1111" spans="49:50">
      <c r="AW1111" s="239"/>
      <c r="AX1111" s="239"/>
    </row>
    <row r="1112" spans="49:50">
      <c r="AW1112" s="239"/>
      <c r="AX1112" s="239"/>
    </row>
    <row r="1113" spans="49:50">
      <c r="AW1113" s="239"/>
      <c r="AX1113" s="239"/>
    </row>
    <row r="1114" spans="49:50">
      <c r="AW1114" s="239"/>
      <c r="AX1114" s="239"/>
    </row>
    <row r="1115" spans="49:50">
      <c r="AW1115" s="239"/>
      <c r="AX1115" s="239"/>
    </row>
    <row r="1116" spans="49:50">
      <c r="AW1116" s="239"/>
      <c r="AX1116" s="239"/>
    </row>
    <row r="1117" spans="49:50">
      <c r="AW1117" s="239"/>
      <c r="AX1117" s="239"/>
    </row>
    <row r="1118" spans="49:50">
      <c r="AW1118" s="239"/>
      <c r="AX1118" s="239"/>
    </row>
    <row r="1119" spans="49:50">
      <c r="AW1119" s="239"/>
      <c r="AX1119" s="239"/>
    </row>
    <row r="1120" spans="49:50">
      <c r="AW1120" s="239"/>
      <c r="AX1120" s="239"/>
    </row>
    <row r="1121" spans="49:50">
      <c r="AW1121" s="239"/>
      <c r="AX1121" s="239"/>
    </row>
    <row r="1122" spans="49:50">
      <c r="AW1122" s="239"/>
      <c r="AX1122" s="239"/>
    </row>
    <row r="1123" spans="49:50">
      <c r="AW1123" s="239"/>
      <c r="AX1123" s="239"/>
    </row>
    <row r="1124" spans="49:50">
      <c r="AW1124" s="239"/>
      <c r="AX1124" s="239"/>
    </row>
    <row r="1125" spans="49:50">
      <c r="AW1125" s="239"/>
      <c r="AX1125" s="239"/>
    </row>
    <row r="1126" spans="49:50">
      <c r="AW1126" s="239"/>
      <c r="AX1126" s="239"/>
    </row>
    <row r="1127" spans="49:50">
      <c r="AW1127" s="239"/>
      <c r="AX1127" s="239"/>
    </row>
    <row r="1128" spans="49:50">
      <c r="AW1128" s="239"/>
      <c r="AX1128" s="239"/>
    </row>
    <row r="1129" spans="49:50">
      <c r="AW1129" s="239"/>
      <c r="AX1129" s="239"/>
    </row>
    <row r="1130" spans="49:50">
      <c r="AW1130" s="239"/>
      <c r="AX1130" s="239"/>
    </row>
    <row r="1131" spans="49:50">
      <c r="AW1131" s="239"/>
      <c r="AX1131" s="239"/>
    </row>
    <row r="1132" spans="49:50">
      <c r="AW1132" s="239"/>
      <c r="AX1132" s="239"/>
    </row>
    <row r="1133" spans="49:50">
      <c r="AW1133" s="239"/>
      <c r="AX1133" s="239"/>
    </row>
    <row r="1134" spans="49:50">
      <c r="AW1134" s="239"/>
      <c r="AX1134" s="239"/>
    </row>
    <row r="1135" spans="49:50">
      <c r="AW1135" s="239"/>
      <c r="AX1135" s="239"/>
    </row>
    <row r="1136" spans="49:50">
      <c r="AW1136" s="239"/>
      <c r="AX1136" s="239"/>
    </row>
    <row r="1137" spans="49:50">
      <c r="AW1137" s="239"/>
      <c r="AX1137" s="239"/>
    </row>
    <row r="1138" spans="49:50">
      <c r="AW1138" s="239"/>
      <c r="AX1138" s="239"/>
    </row>
    <row r="1139" spans="49:50">
      <c r="AW1139" s="239"/>
      <c r="AX1139" s="239"/>
    </row>
    <row r="1140" spans="49:50">
      <c r="AW1140" s="239"/>
      <c r="AX1140" s="239"/>
    </row>
    <row r="1141" spans="49:50">
      <c r="AW1141" s="239"/>
      <c r="AX1141" s="239"/>
    </row>
    <row r="1142" spans="49:50">
      <c r="AW1142" s="239"/>
      <c r="AX1142" s="239"/>
    </row>
    <row r="1143" spans="49:50">
      <c r="AW1143" s="239"/>
      <c r="AX1143" s="239"/>
    </row>
    <row r="1144" spans="49:50">
      <c r="AW1144" s="239"/>
      <c r="AX1144" s="239"/>
    </row>
    <row r="1145" spans="49:50">
      <c r="AW1145" s="239"/>
      <c r="AX1145" s="239"/>
    </row>
    <row r="1146" spans="49:50">
      <c r="AW1146" s="239"/>
      <c r="AX1146" s="239"/>
    </row>
    <row r="1147" spans="49:50">
      <c r="AW1147" s="239"/>
      <c r="AX1147" s="239"/>
    </row>
    <row r="1148" spans="49:50">
      <c r="AW1148" s="239"/>
      <c r="AX1148" s="239"/>
    </row>
    <row r="1149" spans="49:50">
      <c r="AW1149" s="239"/>
      <c r="AX1149" s="239"/>
    </row>
    <row r="1150" spans="49:50">
      <c r="AW1150" s="239"/>
      <c r="AX1150" s="239"/>
    </row>
    <row r="1151" spans="49:50">
      <c r="AW1151" s="239"/>
      <c r="AX1151" s="239"/>
    </row>
    <row r="1152" spans="49:50">
      <c r="AW1152" s="239"/>
      <c r="AX1152" s="239"/>
    </row>
    <row r="1153" spans="49:50">
      <c r="AW1153" s="239"/>
      <c r="AX1153" s="239"/>
    </row>
    <row r="1154" spans="49:50">
      <c r="AW1154" s="239"/>
      <c r="AX1154" s="239"/>
    </row>
    <row r="1155" spans="49:50">
      <c r="AW1155" s="239"/>
      <c r="AX1155" s="239"/>
    </row>
    <row r="1156" spans="49:50">
      <c r="AW1156" s="239"/>
      <c r="AX1156" s="239"/>
    </row>
    <row r="1157" spans="49:50">
      <c r="AW1157" s="239"/>
      <c r="AX1157" s="239"/>
    </row>
    <row r="1158" spans="49:50">
      <c r="AW1158" s="239"/>
      <c r="AX1158" s="239"/>
    </row>
    <row r="1159" spans="49:50">
      <c r="AW1159" s="239"/>
      <c r="AX1159" s="239"/>
    </row>
    <row r="1160" spans="49:50">
      <c r="AW1160" s="239"/>
      <c r="AX1160" s="239"/>
    </row>
    <row r="1161" spans="49:50">
      <c r="AW1161" s="239"/>
      <c r="AX1161" s="239"/>
    </row>
    <row r="1162" spans="49:50">
      <c r="AW1162" s="239"/>
      <c r="AX1162" s="239"/>
    </row>
    <row r="1163" spans="49:50">
      <c r="AW1163" s="239"/>
      <c r="AX1163" s="239"/>
    </row>
    <row r="1164" spans="49:50">
      <c r="AW1164" s="239"/>
      <c r="AX1164" s="239"/>
    </row>
    <row r="1165" spans="49:50">
      <c r="AW1165" s="239"/>
      <c r="AX1165" s="239"/>
    </row>
    <row r="1166" spans="49:50">
      <c r="AW1166" s="239"/>
      <c r="AX1166" s="239"/>
    </row>
    <row r="1167" spans="49:50">
      <c r="AW1167" s="239"/>
      <c r="AX1167" s="239"/>
    </row>
    <row r="1168" spans="49:50">
      <c r="AW1168" s="239"/>
      <c r="AX1168" s="239"/>
    </row>
    <row r="1169" spans="49:50">
      <c r="AW1169" s="239"/>
      <c r="AX1169" s="239"/>
    </row>
    <row r="1170" spans="49:50">
      <c r="AW1170" s="239"/>
      <c r="AX1170" s="239"/>
    </row>
    <row r="1171" spans="49:50">
      <c r="AW1171" s="239"/>
      <c r="AX1171" s="239"/>
    </row>
    <row r="1172" spans="49:50">
      <c r="AW1172" s="239"/>
      <c r="AX1172" s="239"/>
    </row>
    <row r="1173" spans="49:50">
      <c r="AW1173" s="239"/>
      <c r="AX1173" s="239"/>
    </row>
    <row r="1174" spans="49:50">
      <c r="AW1174" s="239"/>
      <c r="AX1174" s="239"/>
    </row>
    <row r="1175" spans="49:50">
      <c r="AW1175" s="239"/>
      <c r="AX1175" s="239"/>
    </row>
    <row r="1176" spans="49:50">
      <c r="AW1176" s="239"/>
      <c r="AX1176" s="239"/>
    </row>
    <row r="1177" spans="49:50">
      <c r="AW1177" s="239"/>
      <c r="AX1177" s="239"/>
    </row>
    <row r="1178" spans="49:50">
      <c r="AW1178" s="239"/>
      <c r="AX1178" s="239"/>
    </row>
    <row r="1179" spans="49:50">
      <c r="AW1179" s="239"/>
      <c r="AX1179" s="239"/>
    </row>
    <row r="1180" spans="49:50">
      <c r="AW1180" s="239"/>
      <c r="AX1180" s="239"/>
    </row>
    <row r="1181" spans="49:50">
      <c r="AW1181" s="239"/>
      <c r="AX1181" s="239"/>
    </row>
    <row r="1182" spans="49:50">
      <c r="AW1182" s="239"/>
      <c r="AX1182" s="239"/>
    </row>
    <row r="1183" spans="49:50">
      <c r="AW1183" s="239"/>
      <c r="AX1183" s="239"/>
    </row>
    <row r="1184" spans="49:50">
      <c r="AW1184" s="239"/>
      <c r="AX1184" s="239"/>
    </row>
    <row r="1185" spans="49:50">
      <c r="AW1185" s="239"/>
      <c r="AX1185" s="239"/>
    </row>
    <row r="1186" spans="49:50">
      <c r="AW1186" s="239"/>
      <c r="AX1186" s="239"/>
    </row>
    <row r="1187" spans="49:50">
      <c r="AW1187" s="239"/>
      <c r="AX1187" s="239"/>
    </row>
    <row r="1188" spans="49:50">
      <c r="AW1188" s="239"/>
      <c r="AX1188" s="239"/>
    </row>
    <row r="1189" spans="49:50">
      <c r="AW1189" s="239"/>
      <c r="AX1189" s="239"/>
    </row>
    <row r="1190" spans="49:50">
      <c r="AW1190" s="239"/>
      <c r="AX1190" s="239"/>
    </row>
    <row r="1191" spans="49:50">
      <c r="AW1191" s="239"/>
      <c r="AX1191" s="239"/>
    </row>
    <row r="1192" spans="49:50">
      <c r="AW1192" s="239"/>
      <c r="AX1192" s="239"/>
    </row>
    <row r="1193" spans="49:50">
      <c r="AW1193" s="239"/>
      <c r="AX1193" s="239"/>
    </row>
    <row r="1194" spans="49:50">
      <c r="AW1194" s="239"/>
      <c r="AX1194" s="239"/>
    </row>
    <row r="1195" spans="49:50">
      <c r="AW1195" s="239"/>
      <c r="AX1195" s="239"/>
    </row>
    <row r="1196" spans="49:50">
      <c r="AW1196" s="239"/>
      <c r="AX1196" s="239"/>
    </row>
    <row r="1197" spans="49:50">
      <c r="AW1197" s="239"/>
      <c r="AX1197" s="239"/>
    </row>
    <row r="1198" spans="49:50">
      <c r="AW1198" s="239"/>
      <c r="AX1198" s="239"/>
    </row>
    <row r="1199" spans="49:50">
      <c r="AW1199" s="239"/>
      <c r="AX1199" s="239"/>
    </row>
    <row r="1200" spans="49:50">
      <c r="AW1200" s="239"/>
      <c r="AX1200" s="239"/>
    </row>
    <row r="1201" spans="49:50">
      <c r="AW1201" s="239"/>
      <c r="AX1201" s="239"/>
    </row>
    <row r="1202" spans="49:50">
      <c r="AW1202" s="239"/>
      <c r="AX1202" s="239"/>
    </row>
    <row r="1203" spans="49:50">
      <c r="AW1203" s="239"/>
      <c r="AX1203" s="239"/>
    </row>
    <row r="1204" spans="49:50">
      <c r="AW1204" s="239"/>
      <c r="AX1204" s="239"/>
    </row>
    <row r="1205" spans="49:50">
      <c r="AW1205" s="239"/>
      <c r="AX1205" s="239"/>
    </row>
    <row r="1206" spans="49:50">
      <c r="AW1206" s="239"/>
      <c r="AX1206" s="239"/>
    </row>
    <row r="1207" spans="49:50">
      <c r="AW1207" s="239"/>
      <c r="AX1207" s="239"/>
    </row>
    <row r="1208" spans="49:50">
      <c r="AW1208" s="239"/>
      <c r="AX1208" s="239"/>
    </row>
    <row r="1209" spans="49:50">
      <c r="AW1209" s="239"/>
      <c r="AX1209" s="239"/>
    </row>
    <row r="1210" spans="49:50">
      <c r="AW1210" s="239"/>
      <c r="AX1210" s="239"/>
    </row>
    <row r="1211" spans="49:50">
      <c r="AW1211" s="239"/>
      <c r="AX1211" s="239"/>
    </row>
    <row r="1212" spans="49:50">
      <c r="AW1212" s="239"/>
      <c r="AX1212" s="239"/>
    </row>
    <row r="1213" spans="49:50">
      <c r="AW1213" s="239"/>
      <c r="AX1213" s="239"/>
    </row>
    <row r="1214" spans="49:50">
      <c r="AW1214" s="239"/>
      <c r="AX1214" s="239"/>
    </row>
    <row r="1215" spans="49:50">
      <c r="AW1215" s="239"/>
      <c r="AX1215" s="239"/>
    </row>
    <row r="1216" spans="49:50">
      <c r="AW1216" s="239"/>
      <c r="AX1216" s="239"/>
    </row>
    <row r="1217" spans="49:50">
      <c r="AW1217" s="239"/>
      <c r="AX1217" s="239"/>
    </row>
    <row r="1218" spans="49:50">
      <c r="AW1218" s="239"/>
      <c r="AX1218" s="239"/>
    </row>
    <row r="1219" spans="49:50">
      <c r="AW1219" s="239"/>
      <c r="AX1219" s="239"/>
    </row>
    <row r="1220" spans="49:50">
      <c r="AW1220" s="239"/>
      <c r="AX1220" s="239"/>
    </row>
    <row r="1221" spans="49:50">
      <c r="AW1221" s="239"/>
      <c r="AX1221" s="239"/>
    </row>
    <row r="1222" spans="49:50">
      <c r="AW1222" s="239"/>
      <c r="AX1222" s="239"/>
    </row>
    <row r="1223" spans="49:50">
      <c r="AW1223" s="239"/>
      <c r="AX1223" s="239"/>
    </row>
    <row r="1224" spans="49:50">
      <c r="AW1224" s="239"/>
      <c r="AX1224" s="239"/>
    </row>
    <row r="1225" spans="49:50">
      <c r="AW1225" s="239"/>
      <c r="AX1225" s="239"/>
    </row>
    <row r="1226" spans="49:50">
      <c r="AW1226" s="239"/>
      <c r="AX1226" s="239"/>
    </row>
    <row r="1227" spans="49:50">
      <c r="AW1227" s="239"/>
      <c r="AX1227" s="239"/>
    </row>
    <row r="1228" spans="49:50">
      <c r="AW1228" s="239"/>
      <c r="AX1228" s="239"/>
    </row>
    <row r="1229" spans="49:50">
      <c r="AW1229" s="239"/>
      <c r="AX1229" s="239"/>
    </row>
    <row r="1230" spans="49:50">
      <c r="AW1230" s="239"/>
      <c r="AX1230" s="239"/>
    </row>
    <row r="1231" spans="49:50">
      <c r="AW1231" s="239"/>
      <c r="AX1231" s="239"/>
    </row>
    <row r="1232" spans="49:50">
      <c r="AW1232" s="239"/>
      <c r="AX1232" s="239"/>
    </row>
    <row r="1233" spans="49:50">
      <c r="AW1233" s="239"/>
      <c r="AX1233" s="239"/>
    </row>
    <row r="1234" spans="49:50">
      <c r="AW1234" s="239"/>
      <c r="AX1234" s="239"/>
    </row>
    <row r="1235" spans="49:50">
      <c r="AW1235" s="239"/>
      <c r="AX1235" s="239"/>
    </row>
    <row r="1236" spans="49:50">
      <c r="AW1236" s="239"/>
      <c r="AX1236" s="239"/>
    </row>
    <row r="1237" spans="49:50">
      <c r="AW1237" s="239"/>
      <c r="AX1237" s="239"/>
    </row>
    <row r="1238" spans="49:50">
      <c r="AW1238" s="239"/>
      <c r="AX1238" s="239"/>
    </row>
    <row r="1239" spans="49:50">
      <c r="AW1239" s="239"/>
      <c r="AX1239" s="239"/>
    </row>
    <row r="1240" spans="49:50">
      <c r="AW1240" s="239"/>
      <c r="AX1240" s="239"/>
    </row>
    <row r="1241" spans="49:50">
      <c r="AW1241" s="239"/>
      <c r="AX1241" s="239"/>
    </row>
    <row r="1242" spans="49:50">
      <c r="AW1242" s="239"/>
      <c r="AX1242" s="239"/>
    </row>
    <row r="1243" spans="49:50">
      <c r="AW1243" s="239"/>
      <c r="AX1243" s="239"/>
    </row>
    <row r="1244" spans="49:50">
      <c r="AW1244" s="239"/>
      <c r="AX1244" s="239"/>
    </row>
    <row r="1245" spans="49:50">
      <c r="AW1245" s="239"/>
      <c r="AX1245" s="239"/>
    </row>
    <row r="1246" spans="49:50">
      <c r="AW1246" s="239"/>
      <c r="AX1246" s="239"/>
    </row>
    <row r="1247" spans="49:50">
      <c r="AW1247" s="239"/>
      <c r="AX1247" s="239"/>
    </row>
    <row r="1248" spans="49:50">
      <c r="AW1248" s="239"/>
      <c r="AX1248" s="239"/>
    </row>
    <row r="1249" spans="49:50">
      <c r="AW1249" s="239"/>
      <c r="AX1249" s="239"/>
    </row>
    <row r="1250" spans="49:50">
      <c r="AW1250" s="239"/>
      <c r="AX1250" s="239"/>
    </row>
    <row r="1251" spans="49:50">
      <c r="AW1251" s="239"/>
      <c r="AX1251" s="239"/>
    </row>
    <row r="1252" spans="49:50">
      <c r="AW1252" s="239"/>
      <c r="AX1252" s="239"/>
    </row>
    <row r="1253" spans="49:50">
      <c r="AW1253" s="239"/>
      <c r="AX1253" s="239"/>
    </row>
    <row r="1254" spans="49:50">
      <c r="AW1254" s="239"/>
      <c r="AX1254" s="239"/>
    </row>
    <row r="1255" spans="49:50">
      <c r="AW1255" s="239"/>
      <c r="AX1255" s="239"/>
    </row>
    <row r="1256" spans="49:50">
      <c r="AW1256" s="239"/>
      <c r="AX1256" s="239"/>
    </row>
    <row r="1257" spans="49:50">
      <c r="AW1257" s="239"/>
      <c r="AX1257" s="239"/>
    </row>
    <row r="1258" spans="49:50">
      <c r="AW1258" s="239"/>
      <c r="AX1258" s="239"/>
    </row>
    <row r="1259" spans="49:50">
      <c r="AW1259" s="239"/>
      <c r="AX1259" s="239"/>
    </row>
    <row r="1260" spans="49:50">
      <c r="AW1260" s="239"/>
      <c r="AX1260" s="239"/>
    </row>
    <row r="1261" spans="49:50">
      <c r="AW1261" s="239"/>
      <c r="AX1261" s="239"/>
    </row>
    <row r="1262" spans="49:50">
      <c r="AW1262" s="239"/>
      <c r="AX1262" s="239"/>
    </row>
    <row r="1263" spans="49:50">
      <c r="AW1263" s="239"/>
      <c r="AX1263" s="239"/>
    </row>
    <row r="1264" spans="49:50">
      <c r="AW1264" s="239"/>
      <c r="AX1264" s="239"/>
    </row>
    <row r="1265" spans="49:50">
      <c r="AW1265" s="239"/>
      <c r="AX1265" s="239"/>
    </row>
    <row r="1266" spans="49:50">
      <c r="AW1266" s="239"/>
      <c r="AX1266" s="239"/>
    </row>
    <row r="1267" spans="49:50">
      <c r="AW1267" s="239"/>
      <c r="AX1267" s="239"/>
    </row>
    <row r="1268" spans="49:50">
      <c r="AW1268" s="239"/>
      <c r="AX1268" s="239"/>
    </row>
    <row r="1269" spans="49:50">
      <c r="AW1269" s="239"/>
      <c r="AX1269" s="239"/>
    </row>
    <row r="1270" spans="49:50">
      <c r="AW1270" s="239"/>
      <c r="AX1270" s="239"/>
    </row>
    <row r="1271" spans="49:50">
      <c r="AW1271" s="239"/>
      <c r="AX1271" s="239"/>
    </row>
    <row r="1272" spans="49:50">
      <c r="AW1272" s="239"/>
      <c r="AX1272" s="239"/>
    </row>
    <row r="1273" spans="49:50">
      <c r="AW1273" s="239"/>
      <c r="AX1273" s="239"/>
    </row>
    <row r="1274" spans="49:50">
      <c r="AW1274" s="239"/>
      <c r="AX1274" s="239"/>
    </row>
    <row r="1275" spans="49:50">
      <c r="AW1275" s="239"/>
      <c r="AX1275" s="239"/>
    </row>
    <row r="1276" spans="49:50">
      <c r="AW1276" s="239"/>
      <c r="AX1276" s="239"/>
    </row>
    <row r="1277" spans="49:50">
      <c r="AW1277" s="239"/>
      <c r="AX1277" s="239"/>
    </row>
    <row r="1278" spans="49:50">
      <c r="AW1278" s="239"/>
      <c r="AX1278" s="239"/>
    </row>
    <row r="1279" spans="49:50">
      <c r="AW1279" s="239"/>
      <c r="AX1279" s="239"/>
    </row>
    <row r="1280" spans="49:50">
      <c r="AW1280" s="239"/>
      <c r="AX1280" s="239"/>
    </row>
    <row r="1281" spans="49:50">
      <c r="AW1281" s="239"/>
      <c r="AX1281" s="239"/>
    </row>
    <row r="1282" spans="49:50">
      <c r="AW1282" s="239"/>
      <c r="AX1282" s="239"/>
    </row>
    <row r="1283" spans="49:50">
      <c r="AW1283" s="239"/>
      <c r="AX1283" s="239"/>
    </row>
    <row r="1284" spans="49:50">
      <c r="AW1284" s="239"/>
      <c r="AX1284" s="239"/>
    </row>
    <row r="1285" spans="49:50">
      <c r="AW1285" s="239"/>
      <c r="AX1285" s="239"/>
    </row>
    <row r="1286" spans="49:50">
      <c r="AW1286" s="239"/>
      <c r="AX1286" s="239"/>
    </row>
    <row r="1287" spans="49:50">
      <c r="AW1287" s="239"/>
      <c r="AX1287" s="239"/>
    </row>
    <row r="1288" spans="49:50">
      <c r="AW1288" s="239"/>
      <c r="AX1288" s="239"/>
    </row>
    <row r="1289" spans="49:50">
      <c r="AW1289" s="239"/>
      <c r="AX1289" s="239"/>
    </row>
    <row r="1290" spans="49:50">
      <c r="AW1290" s="239"/>
      <c r="AX1290" s="239"/>
    </row>
    <row r="1291" spans="49:50">
      <c r="AW1291" s="239"/>
      <c r="AX1291" s="239"/>
    </row>
    <row r="1292" spans="49:50">
      <c r="AW1292" s="239"/>
      <c r="AX1292" s="239"/>
    </row>
    <row r="1293" spans="49:50">
      <c r="AW1293" s="239"/>
      <c r="AX1293" s="239"/>
    </row>
    <row r="1294" spans="49:50">
      <c r="AW1294" s="239"/>
      <c r="AX1294" s="239"/>
    </row>
    <row r="1295" spans="49:50">
      <c r="AW1295" s="239"/>
      <c r="AX1295" s="239"/>
    </row>
    <row r="1296" spans="49:50">
      <c r="AW1296" s="239"/>
      <c r="AX1296" s="239"/>
    </row>
    <row r="1297" spans="49:50">
      <c r="AW1297" s="239"/>
      <c r="AX1297" s="239"/>
    </row>
    <row r="1298" spans="49:50">
      <c r="AW1298" s="239"/>
      <c r="AX1298" s="239"/>
    </row>
    <row r="1299" spans="49:50">
      <c r="AW1299" s="239"/>
      <c r="AX1299" s="239"/>
    </row>
    <row r="1300" spans="49:50">
      <c r="AW1300" s="239"/>
      <c r="AX1300" s="239"/>
    </row>
    <row r="1301" spans="49:50">
      <c r="AW1301" s="239"/>
      <c r="AX1301" s="239"/>
    </row>
    <row r="1302" spans="49:50">
      <c r="AW1302" s="239"/>
      <c r="AX1302" s="239"/>
    </row>
    <row r="1303" spans="49:50">
      <c r="AW1303" s="239"/>
      <c r="AX1303" s="239"/>
    </row>
    <row r="1304" spans="49:50">
      <c r="AW1304" s="239"/>
      <c r="AX1304" s="239"/>
    </row>
    <row r="1305" spans="49:50">
      <c r="AW1305" s="239"/>
      <c r="AX1305" s="239"/>
    </row>
    <row r="1306" spans="49:50">
      <c r="AW1306" s="239"/>
      <c r="AX1306" s="239"/>
    </row>
    <row r="1307" spans="49:50">
      <c r="AW1307" s="239"/>
      <c r="AX1307" s="239"/>
    </row>
    <row r="1308" spans="49:50">
      <c r="AW1308" s="239"/>
      <c r="AX1308" s="239"/>
    </row>
    <row r="1309" spans="49:50">
      <c r="AW1309" s="239"/>
      <c r="AX1309" s="239"/>
    </row>
    <row r="1310" spans="49:50">
      <c r="AW1310" s="239"/>
      <c r="AX1310" s="239"/>
    </row>
    <row r="1311" spans="49:50">
      <c r="AW1311" s="239"/>
      <c r="AX1311" s="239"/>
    </row>
    <row r="1312" spans="49:50">
      <c r="AW1312" s="239"/>
      <c r="AX1312" s="239"/>
    </row>
    <row r="1313" spans="49:50">
      <c r="AW1313" s="239"/>
      <c r="AX1313" s="239"/>
    </row>
    <row r="1314" spans="49:50">
      <c r="AW1314" s="239"/>
      <c r="AX1314" s="239"/>
    </row>
    <row r="1315" spans="49:50">
      <c r="AW1315" s="239"/>
      <c r="AX1315" s="239"/>
    </row>
    <row r="1316" spans="49:50">
      <c r="AW1316" s="239"/>
      <c r="AX1316" s="239"/>
    </row>
    <row r="1317" spans="49:50">
      <c r="AW1317" s="239"/>
      <c r="AX1317" s="239"/>
    </row>
    <row r="1318" spans="49:50">
      <c r="AW1318" s="239"/>
      <c r="AX1318" s="239"/>
    </row>
    <row r="1319" spans="49:50">
      <c r="AW1319" s="239"/>
      <c r="AX1319" s="239"/>
    </row>
    <row r="1320" spans="49:50">
      <c r="AW1320" s="239"/>
      <c r="AX1320" s="239"/>
    </row>
    <row r="1321" spans="49:50">
      <c r="AW1321" s="239"/>
      <c r="AX1321" s="239"/>
    </row>
    <row r="1322" spans="49:50">
      <c r="AW1322" s="239"/>
      <c r="AX1322" s="239"/>
    </row>
    <row r="1323" spans="49:50">
      <c r="AW1323" s="239"/>
      <c r="AX1323" s="239"/>
    </row>
    <row r="1324" spans="49:50">
      <c r="AW1324" s="239"/>
      <c r="AX1324" s="239"/>
    </row>
    <row r="1325" spans="49:50">
      <c r="AW1325" s="239"/>
      <c r="AX1325" s="239"/>
    </row>
    <row r="1326" spans="49:50">
      <c r="AW1326" s="239"/>
      <c r="AX1326" s="239"/>
    </row>
    <row r="1327" spans="49:50">
      <c r="AW1327" s="239"/>
      <c r="AX1327" s="239"/>
    </row>
    <row r="1328" spans="49:50">
      <c r="AW1328" s="239"/>
      <c r="AX1328" s="239"/>
    </row>
    <row r="1329" spans="49:50">
      <c r="AW1329" s="239"/>
      <c r="AX1329" s="239"/>
    </row>
    <row r="1330" spans="49:50">
      <c r="AW1330" s="239"/>
      <c r="AX1330" s="239"/>
    </row>
    <row r="1331" spans="49:50">
      <c r="AW1331" s="239"/>
      <c r="AX1331" s="239"/>
    </row>
    <row r="1332" spans="49:50">
      <c r="AW1332" s="239"/>
      <c r="AX1332" s="239"/>
    </row>
    <row r="1333" spans="49:50">
      <c r="AW1333" s="239"/>
      <c r="AX1333" s="239"/>
    </row>
    <row r="1334" spans="49:50">
      <c r="AW1334" s="239"/>
      <c r="AX1334" s="239"/>
    </row>
    <row r="1335" spans="49:50">
      <c r="AW1335" s="239"/>
      <c r="AX1335" s="239"/>
    </row>
    <row r="1336" spans="49:50">
      <c r="AW1336" s="239"/>
      <c r="AX1336" s="239"/>
    </row>
    <row r="1337" spans="49:50">
      <c r="AW1337" s="239"/>
      <c r="AX1337" s="239"/>
    </row>
    <row r="1338" spans="49:50">
      <c r="AW1338" s="239"/>
      <c r="AX1338" s="239"/>
    </row>
    <row r="1339" spans="49:50">
      <c r="AW1339" s="239"/>
      <c r="AX1339" s="239"/>
    </row>
    <row r="1340" spans="49:50">
      <c r="AW1340" s="239"/>
      <c r="AX1340" s="239"/>
    </row>
    <row r="1341" spans="49:50">
      <c r="AW1341" s="239"/>
      <c r="AX1341" s="239"/>
    </row>
    <row r="1342" spans="49:50">
      <c r="AW1342" s="239"/>
      <c r="AX1342" s="239"/>
    </row>
    <row r="1343" spans="49:50">
      <c r="AW1343" s="239"/>
      <c r="AX1343" s="239"/>
    </row>
    <row r="1344" spans="49:50">
      <c r="AW1344" s="239"/>
      <c r="AX1344" s="239"/>
    </row>
    <row r="1345" spans="49:50">
      <c r="AW1345" s="239"/>
      <c r="AX1345" s="239"/>
    </row>
    <row r="1346" spans="49:50">
      <c r="AW1346" s="239"/>
      <c r="AX1346" s="239"/>
    </row>
    <row r="1347" spans="49:50">
      <c r="AW1347" s="239"/>
      <c r="AX1347" s="239"/>
    </row>
    <row r="1348" spans="49:50">
      <c r="AW1348" s="239"/>
      <c r="AX1348" s="239"/>
    </row>
    <row r="1349" spans="49:50">
      <c r="AW1349" s="239"/>
      <c r="AX1349" s="239"/>
    </row>
    <row r="1350" spans="49:50">
      <c r="AW1350" s="239"/>
      <c r="AX1350" s="239"/>
    </row>
    <row r="1351" spans="49:50">
      <c r="AW1351" s="239"/>
      <c r="AX1351" s="239"/>
    </row>
    <row r="1352" spans="49:50">
      <c r="AW1352" s="239"/>
      <c r="AX1352" s="239"/>
    </row>
    <row r="1353" spans="49:50">
      <c r="AW1353" s="239"/>
      <c r="AX1353" s="239"/>
    </row>
    <row r="1354" spans="49:50">
      <c r="AW1354" s="239"/>
      <c r="AX1354" s="239"/>
    </row>
    <row r="1355" spans="49:50">
      <c r="AW1355" s="239"/>
      <c r="AX1355" s="239"/>
    </row>
    <row r="1356" spans="49:50">
      <c r="AW1356" s="239"/>
      <c r="AX1356" s="239"/>
    </row>
    <row r="1357" spans="49:50">
      <c r="AW1357" s="239"/>
      <c r="AX1357" s="239"/>
    </row>
    <row r="1358" spans="49:50">
      <c r="AW1358" s="239"/>
      <c r="AX1358" s="239"/>
    </row>
    <row r="1359" spans="49:50">
      <c r="AW1359" s="239"/>
      <c r="AX1359" s="239"/>
    </row>
    <row r="1360" spans="49:50">
      <c r="AW1360" s="239"/>
      <c r="AX1360" s="239"/>
    </row>
    <row r="1361" spans="49:50">
      <c r="AW1361" s="239"/>
      <c r="AX1361" s="239"/>
    </row>
    <row r="1362" spans="49:50">
      <c r="AW1362" s="239"/>
      <c r="AX1362" s="239"/>
    </row>
    <row r="1363" spans="49:50">
      <c r="AW1363" s="239"/>
      <c r="AX1363" s="239"/>
    </row>
    <row r="1364" spans="49:50">
      <c r="AW1364" s="239"/>
      <c r="AX1364" s="239"/>
    </row>
    <row r="1365" spans="49:50">
      <c r="AW1365" s="239"/>
      <c r="AX1365" s="239"/>
    </row>
    <row r="1366" spans="49:50">
      <c r="AW1366" s="239"/>
      <c r="AX1366" s="239"/>
    </row>
    <row r="1367" spans="49:50">
      <c r="AW1367" s="239"/>
      <c r="AX1367" s="239"/>
    </row>
    <row r="1368" spans="49:50">
      <c r="AW1368" s="239"/>
      <c r="AX1368" s="239"/>
    </row>
    <row r="1369" spans="49:50">
      <c r="AW1369" s="239"/>
      <c r="AX1369" s="239"/>
    </row>
    <row r="1370" spans="49:50">
      <c r="AW1370" s="239"/>
      <c r="AX1370" s="239"/>
    </row>
    <row r="1371" spans="49:50">
      <c r="AW1371" s="239"/>
      <c r="AX1371" s="239"/>
    </row>
    <row r="1372" spans="49:50">
      <c r="AW1372" s="239"/>
      <c r="AX1372" s="239"/>
    </row>
    <row r="1373" spans="49:50">
      <c r="AW1373" s="239"/>
      <c r="AX1373" s="239"/>
    </row>
    <row r="1374" spans="49:50">
      <c r="AW1374" s="239"/>
      <c r="AX1374" s="239"/>
    </row>
    <row r="1375" spans="49:50">
      <c r="AW1375" s="239"/>
      <c r="AX1375" s="239"/>
    </row>
    <row r="1376" spans="49:50">
      <c r="AW1376" s="239"/>
      <c r="AX1376" s="239"/>
    </row>
    <row r="1377" spans="49:50">
      <c r="AW1377" s="239"/>
      <c r="AX1377" s="239"/>
    </row>
    <row r="1378" spans="49:50">
      <c r="AW1378" s="239"/>
      <c r="AX1378" s="239"/>
    </row>
    <row r="1379" spans="49:50">
      <c r="AW1379" s="239"/>
      <c r="AX1379" s="239"/>
    </row>
    <row r="1380" spans="49:50">
      <c r="AW1380" s="239"/>
      <c r="AX1380" s="239"/>
    </row>
    <row r="1381" spans="49:50">
      <c r="AW1381" s="239"/>
      <c r="AX1381" s="239"/>
    </row>
    <row r="1382" spans="49:50">
      <c r="AW1382" s="239"/>
      <c r="AX1382" s="239"/>
    </row>
    <row r="1383" spans="49:50">
      <c r="AW1383" s="239"/>
      <c r="AX1383" s="239"/>
    </row>
    <row r="1384" spans="49:50">
      <c r="AW1384" s="239"/>
      <c r="AX1384" s="239"/>
    </row>
    <row r="1385" spans="49:50">
      <c r="AW1385" s="239"/>
      <c r="AX1385" s="239"/>
    </row>
    <row r="1386" spans="49:50">
      <c r="AW1386" s="239"/>
      <c r="AX1386" s="239"/>
    </row>
    <row r="1387" spans="49:50">
      <c r="AW1387" s="239"/>
      <c r="AX1387" s="239"/>
    </row>
    <row r="1388" spans="49:50">
      <c r="AW1388" s="239"/>
      <c r="AX1388" s="239"/>
    </row>
    <row r="1389" spans="49:50">
      <c r="AW1389" s="239"/>
      <c r="AX1389" s="239"/>
    </row>
    <row r="1390" spans="49:50">
      <c r="AW1390" s="239"/>
      <c r="AX1390" s="239"/>
    </row>
    <row r="1391" spans="49:50">
      <c r="AW1391" s="239"/>
      <c r="AX1391" s="239"/>
    </row>
    <row r="1392" spans="49:50">
      <c r="AW1392" s="239"/>
      <c r="AX1392" s="239"/>
    </row>
    <row r="1393" spans="49:50">
      <c r="AW1393" s="239"/>
      <c r="AX1393" s="239"/>
    </row>
    <row r="1394" spans="49:50">
      <c r="AW1394" s="239"/>
      <c r="AX1394" s="239"/>
    </row>
    <row r="1395" spans="49:50">
      <c r="AW1395" s="239"/>
      <c r="AX1395" s="239"/>
    </row>
    <row r="1396" spans="49:50">
      <c r="AW1396" s="239"/>
      <c r="AX1396" s="239"/>
    </row>
    <row r="1397" spans="49:50">
      <c r="AW1397" s="239"/>
      <c r="AX1397" s="239"/>
    </row>
    <row r="1398" spans="49:50">
      <c r="AW1398" s="239"/>
      <c r="AX1398" s="239"/>
    </row>
    <row r="1399" spans="49:50">
      <c r="AW1399" s="239"/>
      <c r="AX1399" s="239"/>
    </row>
    <row r="1400" spans="49:50">
      <c r="AW1400" s="239"/>
      <c r="AX1400" s="239"/>
    </row>
    <row r="1401" spans="49:50">
      <c r="AW1401" s="239"/>
      <c r="AX1401" s="239"/>
    </row>
    <row r="1402" spans="49:50">
      <c r="AW1402" s="239"/>
      <c r="AX1402" s="239"/>
    </row>
    <row r="1403" spans="49:50">
      <c r="AW1403" s="239"/>
      <c r="AX1403" s="239"/>
    </row>
    <row r="1404" spans="49:50">
      <c r="AW1404" s="239"/>
      <c r="AX1404" s="239"/>
    </row>
    <row r="1405" spans="49:50">
      <c r="AW1405" s="239"/>
      <c r="AX1405" s="239"/>
    </row>
    <row r="1406" spans="49:50">
      <c r="AW1406" s="239"/>
      <c r="AX1406" s="239"/>
    </row>
    <row r="1407" spans="49:50">
      <c r="AW1407" s="239"/>
      <c r="AX1407" s="239"/>
    </row>
    <row r="1408" spans="49:50">
      <c r="AW1408" s="239"/>
      <c r="AX1408" s="239"/>
    </row>
    <row r="1409" spans="49:50">
      <c r="AW1409" s="239"/>
      <c r="AX1409" s="239"/>
    </row>
    <row r="1410" spans="49:50">
      <c r="AW1410" s="239"/>
      <c r="AX1410" s="239"/>
    </row>
    <row r="1411" spans="49:50">
      <c r="AW1411" s="239"/>
      <c r="AX1411" s="239"/>
    </row>
    <row r="1412" spans="49:50">
      <c r="AW1412" s="239"/>
      <c r="AX1412" s="239"/>
    </row>
    <row r="1413" spans="49:50">
      <c r="AW1413" s="239"/>
      <c r="AX1413" s="239"/>
    </row>
    <row r="1414" spans="49:50">
      <c r="AW1414" s="239"/>
      <c r="AX1414" s="239"/>
    </row>
    <row r="1415" spans="49:50">
      <c r="AW1415" s="239"/>
      <c r="AX1415" s="239"/>
    </row>
    <row r="1416" spans="49:50">
      <c r="AW1416" s="239"/>
      <c r="AX1416" s="239"/>
    </row>
    <row r="1417" spans="49:50">
      <c r="AW1417" s="239"/>
      <c r="AX1417" s="239"/>
    </row>
    <row r="1418" spans="49:50">
      <c r="AW1418" s="239"/>
      <c r="AX1418" s="239"/>
    </row>
    <row r="1419" spans="49:50">
      <c r="AW1419" s="239"/>
      <c r="AX1419" s="239"/>
    </row>
    <row r="1420" spans="49:50">
      <c r="AW1420" s="239"/>
      <c r="AX1420" s="239"/>
    </row>
    <row r="1421" spans="49:50">
      <c r="AW1421" s="239"/>
      <c r="AX1421" s="239"/>
    </row>
    <row r="1422" spans="49:50">
      <c r="AW1422" s="239"/>
      <c r="AX1422" s="239"/>
    </row>
    <row r="1423" spans="49:50">
      <c r="AW1423" s="239"/>
      <c r="AX1423" s="239"/>
    </row>
    <row r="1424" spans="49:50">
      <c r="AW1424" s="239"/>
      <c r="AX1424" s="239"/>
    </row>
    <row r="1425" spans="49:50">
      <c r="AW1425" s="239"/>
      <c r="AX1425" s="239"/>
    </row>
    <row r="1426" spans="49:50">
      <c r="AW1426" s="239"/>
      <c r="AX1426" s="239"/>
    </row>
    <row r="1427" spans="49:50">
      <c r="AW1427" s="239"/>
      <c r="AX1427" s="239"/>
    </row>
    <row r="1428" spans="49:50">
      <c r="AW1428" s="239"/>
      <c r="AX1428" s="239"/>
    </row>
    <row r="1429" spans="49:50">
      <c r="AW1429" s="239"/>
      <c r="AX1429" s="239"/>
    </row>
    <row r="1430" spans="49:50">
      <c r="AW1430" s="239"/>
      <c r="AX1430" s="239"/>
    </row>
    <row r="1431" spans="49:50">
      <c r="AW1431" s="239"/>
      <c r="AX1431" s="239"/>
    </row>
    <row r="1432" spans="49:50">
      <c r="AW1432" s="239"/>
      <c r="AX1432" s="239"/>
    </row>
    <row r="1433" spans="49:50">
      <c r="AW1433" s="239"/>
      <c r="AX1433" s="239"/>
    </row>
    <row r="1434" spans="49:50">
      <c r="AW1434" s="239"/>
      <c r="AX1434" s="239"/>
    </row>
    <row r="1435" spans="49:50">
      <c r="AW1435" s="239"/>
      <c r="AX1435" s="239"/>
    </row>
    <row r="1436" spans="49:50">
      <c r="AW1436" s="239"/>
      <c r="AX1436" s="239"/>
    </row>
    <row r="1437" spans="49:50">
      <c r="AW1437" s="239"/>
      <c r="AX1437" s="239"/>
    </row>
    <row r="1438" spans="49:50">
      <c r="AW1438" s="239"/>
      <c r="AX1438" s="239"/>
    </row>
    <row r="1439" spans="49:50">
      <c r="AW1439" s="239"/>
      <c r="AX1439" s="239"/>
    </row>
    <row r="1440" spans="49:50">
      <c r="AW1440" s="239"/>
      <c r="AX1440" s="239"/>
    </row>
    <row r="1441" spans="49:50">
      <c r="AW1441" s="239"/>
      <c r="AX1441" s="239"/>
    </row>
    <row r="1442" spans="49:50">
      <c r="AW1442" s="239"/>
      <c r="AX1442" s="239"/>
    </row>
    <row r="1443" spans="49:50">
      <c r="AW1443" s="239"/>
      <c r="AX1443" s="239"/>
    </row>
    <row r="1444" spans="49:50">
      <c r="AW1444" s="239"/>
      <c r="AX1444" s="239"/>
    </row>
    <row r="1445" spans="49:50">
      <c r="AW1445" s="239"/>
      <c r="AX1445" s="239"/>
    </row>
    <row r="1446" spans="49:50">
      <c r="AW1446" s="239"/>
      <c r="AX1446" s="239"/>
    </row>
    <row r="1447" spans="49:50">
      <c r="AW1447" s="239"/>
      <c r="AX1447" s="239"/>
    </row>
    <row r="1448" spans="49:50">
      <c r="AW1448" s="239"/>
      <c r="AX1448" s="239"/>
    </row>
    <row r="1449" spans="49:50">
      <c r="AW1449" s="239"/>
      <c r="AX1449" s="239"/>
    </row>
    <row r="1450" spans="49:50">
      <c r="AW1450" s="239"/>
      <c r="AX1450" s="239"/>
    </row>
    <row r="1451" spans="49:50">
      <c r="AW1451" s="239"/>
      <c r="AX1451" s="239"/>
    </row>
    <row r="1452" spans="49:50">
      <c r="AW1452" s="239"/>
      <c r="AX1452" s="239"/>
    </row>
    <row r="1453" spans="49:50">
      <c r="AW1453" s="239"/>
      <c r="AX1453" s="239"/>
    </row>
    <row r="1454" spans="49:50">
      <c r="AW1454" s="239"/>
      <c r="AX1454" s="239"/>
    </row>
    <row r="1455" spans="49:50">
      <c r="AW1455" s="239"/>
      <c r="AX1455" s="239"/>
    </row>
    <row r="1456" spans="49:50">
      <c r="AW1456" s="239"/>
      <c r="AX1456" s="239"/>
    </row>
    <row r="1457" spans="49:50">
      <c r="AW1457" s="239"/>
      <c r="AX1457" s="239"/>
    </row>
    <row r="1458" spans="49:50">
      <c r="AW1458" s="239"/>
      <c r="AX1458" s="239"/>
    </row>
    <row r="1459" spans="49:50">
      <c r="AW1459" s="239"/>
      <c r="AX1459" s="239"/>
    </row>
    <row r="1460" spans="49:50">
      <c r="AW1460" s="239"/>
      <c r="AX1460" s="239"/>
    </row>
    <row r="1461" spans="49:50">
      <c r="AW1461" s="239"/>
      <c r="AX1461" s="239"/>
    </row>
    <row r="1462" spans="49:50">
      <c r="AW1462" s="239"/>
      <c r="AX1462" s="239"/>
    </row>
    <row r="1463" spans="49:50">
      <c r="AW1463" s="239"/>
      <c r="AX1463" s="239"/>
    </row>
    <row r="1464" spans="49:50">
      <c r="AW1464" s="239"/>
      <c r="AX1464" s="239"/>
    </row>
    <row r="1465" spans="49:50">
      <c r="AW1465" s="239"/>
      <c r="AX1465" s="239"/>
    </row>
    <row r="1466" spans="49:50">
      <c r="AW1466" s="239"/>
      <c r="AX1466" s="239"/>
    </row>
    <row r="1467" spans="49:50">
      <c r="AW1467" s="239"/>
      <c r="AX1467" s="239"/>
    </row>
    <row r="1468" spans="49:50">
      <c r="AW1468" s="239"/>
      <c r="AX1468" s="239"/>
    </row>
    <row r="1469" spans="49:50">
      <c r="AW1469" s="239"/>
      <c r="AX1469" s="239"/>
    </row>
    <row r="1470" spans="49:50">
      <c r="AW1470" s="239"/>
      <c r="AX1470" s="239"/>
    </row>
    <row r="1471" spans="49:50">
      <c r="AW1471" s="239"/>
      <c r="AX1471" s="239"/>
    </row>
    <row r="1472" spans="49:50">
      <c r="AW1472" s="239"/>
      <c r="AX1472" s="239"/>
    </row>
    <row r="1473" spans="49:50">
      <c r="AW1473" s="239"/>
      <c r="AX1473" s="239"/>
    </row>
    <row r="1474" spans="49:50">
      <c r="AW1474" s="239"/>
      <c r="AX1474" s="239"/>
    </row>
    <row r="1475" spans="49:50">
      <c r="AW1475" s="239"/>
      <c r="AX1475" s="239"/>
    </row>
    <row r="1476" spans="49:50">
      <c r="AW1476" s="239"/>
      <c r="AX1476" s="239"/>
    </row>
    <row r="1477" spans="49:50">
      <c r="AW1477" s="239"/>
      <c r="AX1477" s="239"/>
    </row>
    <row r="1478" spans="49:50">
      <c r="AW1478" s="239"/>
      <c r="AX1478" s="239"/>
    </row>
    <row r="1479" spans="49:50">
      <c r="AW1479" s="239"/>
      <c r="AX1479" s="239"/>
    </row>
    <row r="1480" spans="49:50">
      <c r="AW1480" s="239"/>
      <c r="AX1480" s="239"/>
    </row>
    <row r="1481" spans="49:50">
      <c r="AW1481" s="239"/>
      <c r="AX1481" s="239"/>
    </row>
    <row r="1482" spans="49:50">
      <c r="AW1482" s="239"/>
      <c r="AX1482" s="239"/>
    </row>
    <row r="1483" spans="49:50">
      <c r="AW1483" s="239"/>
      <c r="AX1483" s="239"/>
    </row>
    <row r="1484" spans="49:50">
      <c r="AW1484" s="239"/>
      <c r="AX1484" s="239"/>
    </row>
    <row r="1485" spans="49:50">
      <c r="AW1485" s="239"/>
      <c r="AX1485" s="239"/>
    </row>
    <row r="1486" spans="49:50">
      <c r="AW1486" s="239"/>
      <c r="AX1486" s="239"/>
    </row>
    <row r="1487" spans="49:50">
      <c r="AW1487" s="239"/>
      <c r="AX1487" s="239"/>
    </row>
    <row r="1488" spans="49:50">
      <c r="AW1488" s="239"/>
      <c r="AX1488" s="239"/>
    </row>
    <row r="1489" spans="49:50">
      <c r="AW1489" s="239"/>
      <c r="AX1489" s="239"/>
    </row>
    <row r="1490" spans="49:50">
      <c r="AW1490" s="239"/>
      <c r="AX1490" s="239"/>
    </row>
    <row r="1491" spans="49:50">
      <c r="AW1491" s="239"/>
      <c r="AX1491" s="239"/>
    </row>
    <row r="1492" spans="49:50">
      <c r="AW1492" s="239"/>
      <c r="AX1492" s="239"/>
    </row>
    <row r="1493" spans="49:50">
      <c r="AW1493" s="239"/>
      <c r="AX1493" s="239"/>
    </row>
    <row r="1494" spans="49:50">
      <c r="AW1494" s="239"/>
      <c r="AX1494" s="239"/>
    </row>
    <row r="1495" spans="49:50">
      <c r="AW1495" s="239"/>
      <c r="AX1495" s="239"/>
    </row>
    <row r="1496" spans="49:50">
      <c r="AW1496" s="239"/>
      <c r="AX1496" s="239"/>
    </row>
    <row r="1497" spans="49:50">
      <c r="AW1497" s="239"/>
      <c r="AX1497" s="239"/>
    </row>
    <row r="1498" spans="49:50">
      <c r="AW1498" s="239"/>
      <c r="AX1498" s="239"/>
    </row>
    <row r="1499" spans="49:50">
      <c r="AW1499" s="239"/>
      <c r="AX1499" s="239"/>
    </row>
    <row r="1500" spans="49:50">
      <c r="AW1500" s="239"/>
      <c r="AX1500" s="239"/>
    </row>
    <row r="1501" spans="49:50">
      <c r="AW1501" s="239"/>
      <c r="AX1501" s="239"/>
    </row>
    <row r="1502" spans="49:50">
      <c r="AW1502" s="239"/>
      <c r="AX1502" s="239"/>
    </row>
    <row r="1503" spans="49:50">
      <c r="AW1503" s="239"/>
      <c r="AX1503" s="239"/>
    </row>
    <row r="1504" spans="49:50">
      <c r="AW1504" s="239"/>
      <c r="AX1504" s="239"/>
    </row>
    <row r="1505" spans="49:50">
      <c r="AW1505" s="239"/>
      <c r="AX1505" s="239"/>
    </row>
    <row r="1506" spans="49:50">
      <c r="AW1506" s="239"/>
      <c r="AX1506" s="239"/>
    </row>
    <row r="1507" spans="49:50">
      <c r="AW1507" s="239"/>
      <c r="AX1507" s="239"/>
    </row>
    <row r="1508" spans="49:50">
      <c r="AW1508" s="239"/>
      <c r="AX1508" s="239"/>
    </row>
    <row r="1509" spans="49:50">
      <c r="AW1509" s="239"/>
      <c r="AX1509" s="239"/>
    </row>
    <row r="1510" spans="49:50">
      <c r="AW1510" s="239"/>
      <c r="AX1510" s="239"/>
    </row>
    <row r="1511" spans="49:50">
      <c r="AW1511" s="239"/>
      <c r="AX1511" s="239"/>
    </row>
    <row r="1512" spans="49:50">
      <c r="AW1512" s="239"/>
      <c r="AX1512" s="239"/>
    </row>
    <row r="1513" spans="49:50">
      <c r="AW1513" s="239"/>
      <c r="AX1513" s="239"/>
    </row>
    <row r="1514" spans="49:50">
      <c r="AW1514" s="239"/>
      <c r="AX1514" s="239"/>
    </row>
    <row r="1515" spans="49:50">
      <c r="AW1515" s="239"/>
      <c r="AX1515" s="239"/>
    </row>
    <row r="1516" spans="49:50">
      <c r="AW1516" s="239"/>
      <c r="AX1516" s="239"/>
    </row>
    <row r="1517" spans="49:50">
      <c r="AW1517" s="239"/>
      <c r="AX1517" s="239"/>
    </row>
    <row r="1518" spans="49:50">
      <c r="AW1518" s="239"/>
      <c r="AX1518" s="239"/>
    </row>
    <row r="1519" spans="49:50">
      <c r="AW1519" s="239"/>
      <c r="AX1519" s="239"/>
    </row>
    <row r="1520" spans="49:50">
      <c r="AW1520" s="239"/>
      <c r="AX1520" s="239"/>
    </row>
    <row r="1521" spans="49:50">
      <c r="AW1521" s="239"/>
      <c r="AX1521" s="239"/>
    </row>
    <row r="1522" spans="49:50">
      <c r="AW1522" s="239"/>
      <c r="AX1522" s="239"/>
    </row>
    <row r="1523" spans="49:50">
      <c r="AW1523" s="239"/>
      <c r="AX1523" s="239"/>
    </row>
    <row r="1524" spans="49:50">
      <c r="AW1524" s="239"/>
      <c r="AX1524" s="239"/>
    </row>
    <row r="1525" spans="49:50">
      <c r="AW1525" s="239"/>
      <c r="AX1525" s="239"/>
    </row>
    <row r="1526" spans="49:50">
      <c r="AW1526" s="239"/>
      <c r="AX1526" s="239"/>
    </row>
    <row r="1527" spans="49:50">
      <c r="AW1527" s="239"/>
      <c r="AX1527" s="239"/>
    </row>
    <row r="1528" spans="49:50">
      <c r="AW1528" s="239"/>
      <c r="AX1528" s="239"/>
    </row>
    <row r="1529" spans="49:50">
      <c r="AW1529" s="239"/>
      <c r="AX1529" s="239"/>
    </row>
    <row r="1530" spans="49:50">
      <c r="AW1530" s="239"/>
      <c r="AX1530" s="239"/>
    </row>
    <row r="1531" spans="49:50">
      <c r="AW1531" s="239"/>
      <c r="AX1531" s="239"/>
    </row>
    <row r="1532" spans="49:50">
      <c r="AW1532" s="239"/>
      <c r="AX1532" s="239"/>
    </row>
    <row r="1533" spans="49:50">
      <c r="AW1533" s="239"/>
      <c r="AX1533" s="239"/>
    </row>
    <row r="1534" spans="49:50">
      <c r="AW1534" s="239"/>
      <c r="AX1534" s="239"/>
    </row>
    <row r="1535" spans="49:50">
      <c r="AW1535" s="239"/>
      <c r="AX1535" s="239"/>
    </row>
    <row r="1536" spans="49:50">
      <c r="AW1536" s="239"/>
      <c r="AX1536" s="239"/>
    </row>
    <row r="1537" spans="49:50">
      <c r="AW1537" s="239"/>
      <c r="AX1537" s="239"/>
    </row>
    <row r="1538" spans="49:50">
      <c r="AW1538" s="239"/>
      <c r="AX1538" s="239"/>
    </row>
    <row r="1539" spans="49:50">
      <c r="AW1539" s="239"/>
      <c r="AX1539" s="239"/>
    </row>
    <row r="1540" spans="49:50">
      <c r="AW1540" s="239"/>
      <c r="AX1540" s="239"/>
    </row>
    <row r="1541" spans="49:50">
      <c r="AW1541" s="239"/>
      <c r="AX1541" s="239"/>
    </row>
    <row r="1542" spans="49:50">
      <c r="AW1542" s="239"/>
      <c r="AX1542" s="239"/>
    </row>
    <row r="1543" spans="49:50">
      <c r="AW1543" s="239"/>
      <c r="AX1543" s="239"/>
    </row>
    <row r="1544" spans="49:50">
      <c r="AW1544" s="239"/>
      <c r="AX1544" s="239"/>
    </row>
    <row r="1545" spans="49:50">
      <c r="AW1545" s="239"/>
      <c r="AX1545" s="239"/>
    </row>
    <row r="1546" spans="49:50">
      <c r="AW1546" s="239"/>
      <c r="AX1546" s="239"/>
    </row>
    <row r="1547" spans="49:50">
      <c r="AW1547" s="239"/>
      <c r="AX1547" s="239"/>
    </row>
    <row r="1548" spans="49:50">
      <c r="AW1548" s="239"/>
      <c r="AX1548" s="239"/>
    </row>
    <row r="1549" spans="49:50">
      <c r="AW1549" s="239"/>
      <c r="AX1549" s="239"/>
    </row>
    <row r="1550" spans="49:50">
      <c r="AW1550" s="239"/>
      <c r="AX1550" s="239"/>
    </row>
    <row r="1551" spans="49:50">
      <c r="AW1551" s="239"/>
      <c r="AX1551" s="239"/>
    </row>
    <row r="1552" spans="49:50">
      <c r="AW1552" s="239"/>
      <c r="AX1552" s="239"/>
    </row>
    <row r="1553" spans="49:50">
      <c r="AW1553" s="239"/>
      <c r="AX1553" s="239"/>
    </row>
    <row r="1554" spans="49:50">
      <c r="AW1554" s="239"/>
      <c r="AX1554" s="239"/>
    </row>
    <row r="1555" spans="49:50">
      <c r="AW1555" s="239"/>
      <c r="AX1555" s="239"/>
    </row>
    <row r="1556" spans="49:50">
      <c r="AW1556" s="239"/>
      <c r="AX1556" s="239"/>
    </row>
    <row r="1557" spans="49:50">
      <c r="AW1557" s="239"/>
      <c r="AX1557" s="239"/>
    </row>
    <row r="1558" spans="49:50">
      <c r="AW1558" s="239"/>
      <c r="AX1558" s="239"/>
    </row>
    <row r="1559" spans="49:50">
      <c r="AW1559" s="239"/>
      <c r="AX1559" s="239"/>
    </row>
    <row r="1560" spans="49:50">
      <c r="AW1560" s="239"/>
      <c r="AX1560" s="239"/>
    </row>
    <row r="1561" spans="49:50">
      <c r="AW1561" s="239"/>
      <c r="AX1561" s="239"/>
    </row>
    <row r="1562" spans="49:50">
      <c r="AW1562" s="239"/>
      <c r="AX1562" s="239"/>
    </row>
    <row r="1563" spans="49:50">
      <c r="AW1563" s="239"/>
      <c r="AX1563" s="239"/>
    </row>
    <row r="1564" spans="49:50">
      <c r="AW1564" s="239"/>
      <c r="AX1564" s="239"/>
    </row>
    <row r="1565" spans="49:50">
      <c r="AW1565" s="239"/>
      <c r="AX1565" s="239"/>
    </row>
    <row r="1566" spans="49:50">
      <c r="AW1566" s="239"/>
      <c r="AX1566" s="239"/>
    </row>
    <row r="1567" spans="49:50">
      <c r="AW1567" s="239"/>
      <c r="AX1567" s="239"/>
    </row>
    <row r="1568" spans="49:50">
      <c r="AW1568" s="239"/>
      <c r="AX1568" s="239"/>
    </row>
    <row r="1569" spans="49:50">
      <c r="AW1569" s="239"/>
      <c r="AX1569" s="239"/>
    </row>
    <row r="1570" spans="49:50">
      <c r="AW1570" s="239"/>
      <c r="AX1570" s="239"/>
    </row>
    <row r="1571" spans="49:50">
      <c r="AW1571" s="239"/>
      <c r="AX1571" s="239"/>
    </row>
    <row r="1572" spans="49:50">
      <c r="AW1572" s="239"/>
      <c r="AX1572" s="239"/>
    </row>
    <row r="1573" spans="49:50">
      <c r="AW1573" s="239"/>
      <c r="AX1573" s="239"/>
    </row>
    <row r="1574" spans="49:50">
      <c r="AW1574" s="239"/>
      <c r="AX1574" s="239"/>
    </row>
    <row r="1575" spans="49:50">
      <c r="AW1575" s="239"/>
      <c r="AX1575" s="239"/>
    </row>
    <row r="1576" spans="49:50">
      <c r="AW1576" s="239"/>
      <c r="AX1576" s="239"/>
    </row>
    <row r="1577" spans="49:50">
      <c r="AW1577" s="239"/>
      <c r="AX1577" s="239"/>
    </row>
    <row r="1578" spans="49:50">
      <c r="AW1578" s="239"/>
      <c r="AX1578" s="239"/>
    </row>
    <row r="1579" spans="49:50">
      <c r="AW1579" s="239"/>
      <c r="AX1579" s="239"/>
    </row>
    <row r="1580" spans="49:50">
      <c r="AW1580" s="239"/>
      <c r="AX1580" s="239"/>
    </row>
    <row r="1581" spans="49:50">
      <c r="AW1581" s="239"/>
      <c r="AX1581" s="239"/>
    </row>
    <row r="1582" spans="49:50">
      <c r="AW1582" s="239"/>
      <c r="AX1582" s="239"/>
    </row>
    <row r="1583" spans="49:50">
      <c r="AW1583" s="239"/>
      <c r="AX1583" s="239"/>
    </row>
    <row r="1584" spans="49:50">
      <c r="AW1584" s="239"/>
      <c r="AX1584" s="239"/>
    </row>
    <row r="1585" spans="49:50">
      <c r="AW1585" s="239"/>
      <c r="AX1585" s="239"/>
    </row>
    <row r="1586" spans="49:50">
      <c r="AW1586" s="239"/>
      <c r="AX1586" s="239"/>
    </row>
    <row r="1587" spans="49:50">
      <c r="AW1587" s="239"/>
      <c r="AX1587" s="239"/>
    </row>
    <row r="1588" spans="49:50">
      <c r="AW1588" s="239"/>
      <c r="AX1588" s="239"/>
    </row>
    <row r="1589" spans="49:50">
      <c r="AW1589" s="239"/>
      <c r="AX1589" s="239"/>
    </row>
    <row r="1590" spans="49:50">
      <c r="AW1590" s="239"/>
      <c r="AX1590" s="239"/>
    </row>
    <row r="1591" spans="49:50">
      <c r="AW1591" s="239"/>
      <c r="AX1591" s="239"/>
    </row>
    <row r="1592" spans="49:50">
      <c r="AW1592" s="239"/>
      <c r="AX1592" s="239"/>
    </row>
    <row r="1593" spans="49:50">
      <c r="AW1593" s="239"/>
      <c r="AX1593" s="239"/>
    </row>
    <row r="1594" spans="49:50">
      <c r="AW1594" s="239"/>
      <c r="AX1594" s="239"/>
    </row>
    <row r="1595" spans="49:50">
      <c r="AW1595" s="239"/>
      <c r="AX1595" s="239"/>
    </row>
    <row r="1596" spans="49:50">
      <c r="AW1596" s="239"/>
      <c r="AX1596" s="239"/>
    </row>
    <row r="1597" spans="49:50">
      <c r="AW1597" s="239"/>
      <c r="AX1597" s="239"/>
    </row>
    <row r="1598" spans="49:50">
      <c r="AW1598" s="239"/>
      <c r="AX1598" s="239"/>
    </row>
    <row r="1599" spans="49:50">
      <c r="AW1599" s="239"/>
      <c r="AX1599" s="239"/>
    </row>
    <row r="1600" spans="49:50">
      <c r="AW1600" s="239"/>
      <c r="AX1600" s="239"/>
    </row>
    <row r="1601" spans="49:50">
      <c r="AW1601" s="239"/>
      <c r="AX1601" s="239"/>
    </row>
    <row r="1602" spans="49:50">
      <c r="AW1602" s="239"/>
      <c r="AX1602" s="239"/>
    </row>
    <row r="1603" spans="49:50">
      <c r="AW1603" s="239"/>
      <c r="AX1603" s="239"/>
    </row>
    <row r="1604" spans="49:50">
      <c r="AW1604" s="239"/>
      <c r="AX1604" s="239"/>
    </row>
    <row r="1605" spans="49:50">
      <c r="AW1605" s="239"/>
      <c r="AX1605" s="239"/>
    </row>
    <row r="1606" spans="49:50">
      <c r="AW1606" s="239"/>
      <c r="AX1606" s="239"/>
    </row>
    <row r="1607" spans="49:50">
      <c r="AW1607" s="239"/>
      <c r="AX1607" s="239"/>
    </row>
    <row r="1608" spans="49:50">
      <c r="AW1608" s="239"/>
      <c r="AX1608" s="239"/>
    </row>
    <row r="1609" spans="49:50">
      <c r="AW1609" s="239"/>
      <c r="AX1609" s="239"/>
    </row>
    <row r="1610" spans="49:50">
      <c r="AW1610" s="239"/>
      <c r="AX1610" s="239"/>
    </row>
    <row r="1611" spans="49:50">
      <c r="AW1611" s="239"/>
      <c r="AX1611" s="239"/>
    </row>
    <row r="1612" spans="49:50">
      <c r="AW1612" s="239"/>
      <c r="AX1612" s="239"/>
    </row>
    <row r="1613" spans="49:50">
      <c r="AW1613" s="239"/>
      <c r="AX1613" s="239"/>
    </row>
    <row r="1614" spans="49:50">
      <c r="AW1614" s="239"/>
      <c r="AX1614" s="239"/>
    </row>
    <row r="1615" spans="49:50">
      <c r="AW1615" s="239"/>
      <c r="AX1615" s="239"/>
    </row>
    <row r="1616" spans="49:50">
      <c r="AW1616" s="239"/>
      <c r="AX1616" s="239"/>
    </row>
    <row r="1617" spans="49:50">
      <c r="AW1617" s="239"/>
      <c r="AX1617" s="239"/>
    </row>
    <row r="1618" spans="49:50">
      <c r="AW1618" s="239"/>
      <c r="AX1618" s="239"/>
    </row>
    <row r="1619" spans="49:50">
      <c r="AW1619" s="239"/>
      <c r="AX1619" s="239"/>
    </row>
    <row r="1620" spans="49:50">
      <c r="AW1620" s="239"/>
      <c r="AX1620" s="239"/>
    </row>
    <row r="1621" spans="49:50">
      <c r="AW1621" s="239"/>
      <c r="AX1621" s="239"/>
    </row>
    <row r="1622" spans="49:50">
      <c r="AW1622" s="239"/>
      <c r="AX1622" s="239"/>
    </row>
    <row r="1623" spans="49:50">
      <c r="AW1623" s="239"/>
      <c r="AX1623" s="239"/>
    </row>
    <row r="1624" spans="49:50">
      <c r="AW1624" s="239"/>
      <c r="AX1624" s="239"/>
    </row>
    <row r="1625" spans="49:50">
      <c r="AW1625" s="239"/>
      <c r="AX1625" s="239"/>
    </row>
    <row r="1626" spans="49:50">
      <c r="AW1626" s="239"/>
      <c r="AX1626" s="239"/>
    </row>
    <row r="1627" spans="49:50">
      <c r="AW1627" s="239"/>
      <c r="AX1627" s="239"/>
    </row>
    <row r="1628" spans="49:50">
      <c r="AW1628" s="239"/>
      <c r="AX1628" s="239"/>
    </row>
    <row r="1629" spans="49:50">
      <c r="AW1629" s="239"/>
      <c r="AX1629" s="239"/>
    </row>
    <row r="1630" spans="49:50">
      <c r="AW1630" s="239"/>
      <c r="AX1630" s="239"/>
    </row>
    <row r="1631" spans="49:50">
      <c r="AW1631" s="239"/>
      <c r="AX1631" s="239"/>
    </row>
    <row r="1632" spans="49:50">
      <c r="AW1632" s="239"/>
      <c r="AX1632" s="239"/>
    </row>
    <row r="1633" spans="49:50">
      <c r="AW1633" s="239"/>
      <c r="AX1633" s="239"/>
    </row>
    <row r="1634" spans="49:50">
      <c r="AW1634" s="239"/>
      <c r="AX1634" s="239"/>
    </row>
    <row r="1635" spans="49:50">
      <c r="AW1635" s="239"/>
      <c r="AX1635" s="239"/>
    </row>
    <row r="1636" spans="49:50">
      <c r="AW1636" s="239"/>
      <c r="AX1636" s="239"/>
    </row>
    <row r="1637" spans="49:50">
      <c r="AW1637" s="239"/>
      <c r="AX1637" s="239"/>
    </row>
    <row r="1638" spans="49:50">
      <c r="AW1638" s="239"/>
      <c r="AX1638" s="239"/>
    </row>
    <row r="1639" spans="49:50">
      <c r="AW1639" s="239"/>
      <c r="AX1639" s="239"/>
    </row>
    <row r="1640" spans="49:50">
      <c r="AW1640" s="239"/>
      <c r="AX1640" s="239"/>
    </row>
    <row r="1641" spans="49:50">
      <c r="AW1641" s="239"/>
      <c r="AX1641" s="239"/>
    </row>
    <row r="1642" spans="49:50">
      <c r="AW1642" s="239"/>
      <c r="AX1642" s="239"/>
    </row>
    <row r="1643" spans="49:50">
      <c r="AW1643" s="239"/>
      <c r="AX1643" s="239"/>
    </row>
    <row r="1644" spans="49:50">
      <c r="AW1644" s="239"/>
      <c r="AX1644" s="239"/>
    </row>
    <row r="1645" spans="49:50">
      <c r="AW1645" s="239"/>
      <c r="AX1645" s="239"/>
    </row>
    <row r="1646" spans="49:50">
      <c r="AW1646" s="239"/>
      <c r="AX1646" s="239"/>
    </row>
    <row r="1647" spans="49:50">
      <c r="AW1647" s="239"/>
      <c r="AX1647" s="239"/>
    </row>
    <row r="1648" spans="49:50">
      <c r="AW1648" s="239"/>
      <c r="AX1648" s="239"/>
    </row>
    <row r="1649" spans="49:50">
      <c r="AW1649" s="239"/>
      <c r="AX1649" s="239"/>
    </row>
    <row r="1650" spans="49:50">
      <c r="AW1650" s="239"/>
      <c r="AX1650" s="239"/>
    </row>
    <row r="1651" spans="49:50">
      <c r="AW1651" s="239"/>
      <c r="AX1651" s="239"/>
    </row>
    <row r="1652" spans="49:50">
      <c r="AW1652" s="239"/>
      <c r="AX1652" s="239"/>
    </row>
    <row r="1653" spans="49:50">
      <c r="AW1653" s="239"/>
      <c r="AX1653" s="239"/>
    </row>
    <row r="1654" spans="49:50">
      <c r="AW1654" s="239"/>
      <c r="AX1654" s="239"/>
    </row>
    <row r="1655" spans="49:50">
      <c r="AW1655" s="239"/>
      <c r="AX1655" s="239"/>
    </row>
    <row r="1656" spans="49:50">
      <c r="AW1656" s="239"/>
      <c r="AX1656" s="239"/>
    </row>
    <row r="1657" spans="49:50">
      <c r="AW1657" s="239"/>
      <c r="AX1657" s="239"/>
    </row>
    <row r="1658" spans="49:50">
      <c r="AW1658" s="239"/>
      <c r="AX1658" s="239"/>
    </row>
    <row r="1659" spans="49:50">
      <c r="AW1659" s="239"/>
      <c r="AX1659" s="239"/>
    </row>
    <row r="1660" spans="49:50">
      <c r="AW1660" s="239"/>
      <c r="AX1660" s="239"/>
    </row>
    <row r="1661" spans="49:50">
      <c r="AW1661" s="239"/>
      <c r="AX1661" s="239"/>
    </row>
    <row r="1662" spans="49:50">
      <c r="AW1662" s="239"/>
      <c r="AX1662" s="239"/>
    </row>
    <row r="1663" spans="49:50">
      <c r="AW1663" s="239"/>
      <c r="AX1663" s="239"/>
    </row>
    <row r="1664" spans="49:50">
      <c r="AW1664" s="239"/>
      <c r="AX1664" s="239"/>
    </row>
    <row r="1665" spans="49:50">
      <c r="AW1665" s="239"/>
      <c r="AX1665" s="239"/>
    </row>
    <row r="1666" spans="49:50">
      <c r="AW1666" s="239"/>
      <c r="AX1666" s="239"/>
    </row>
    <row r="1667" spans="49:50">
      <c r="AW1667" s="239"/>
      <c r="AX1667" s="239"/>
    </row>
    <row r="1668" spans="49:50">
      <c r="AW1668" s="239"/>
      <c r="AX1668" s="239"/>
    </row>
    <row r="1669" spans="49:50">
      <c r="AW1669" s="239"/>
      <c r="AX1669" s="239"/>
    </row>
    <row r="1670" spans="49:50">
      <c r="AW1670" s="239"/>
      <c r="AX1670" s="239"/>
    </row>
    <row r="1671" spans="49:50">
      <c r="AW1671" s="239"/>
      <c r="AX1671" s="239"/>
    </row>
    <row r="1672" spans="49:50">
      <c r="AW1672" s="239"/>
      <c r="AX1672" s="239"/>
    </row>
    <row r="1673" spans="49:50">
      <c r="AW1673" s="239"/>
      <c r="AX1673" s="239"/>
    </row>
    <row r="1674" spans="49:50">
      <c r="AW1674" s="239"/>
      <c r="AX1674" s="239"/>
    </row>
    <row r="1675" spans="49:50">
      <c r="AW1675" s="239"/>
      <c r="AX1675" s="239"/>
    </row>
    <row r="1676" spans="49:50">
      <c r="AW1676" s="239"/>
      <c r="AX1676" s="239"/>
    </row>
    <row r="1677" spans="49:50">
      <c r="AW1677" s="239"/>
      <c r="AX1677" s="239"/>
    </row>
    <row r="1678" spans="49:50">
      <c r="AW1678" s="239"/>
      <c r="AX1678" s="239"/>
    </row>
    <row r="1679" spans="49:50">
      <c r="AW1679" s="239"/>
      <c r="AX1679" s="239"/>
    </row>
    <row r="1680" spans="49:50">
      <c r="AW1680" s="239"/>
      <c r="AX1680" s="239"/>
    </row>
    <row r="1681" spans="49:50">
      <c r="AW1681" s="239"/>
      <c r="AX1681" s="239"/>
    </row>
    <row r="1682" spans="49:50">
      <c r="AW1682" s="239"/>
      <c r="AX1682" s="239"/>
    </row>
    <row r="1683" spans="49:50">
      <c r="AW1683" s="239"/>
      <c r="AX1683" s="239"/>
    </row>
    <row r="1684" spans="49:50">
      <c r="AW1684" s="239"/>
      <c r="AX1684" s="239"/>
    </row>
    <row r="1685" spans="49:50">
      <c r="AW1685" s="239"/>
      <c r="AX1685" s="239"/>
    </row>
    <row r="1686" spans="49:50">
      <c r="AW1686" s="239"/>
      <c r="AX1686" s="239"/>
    </row>
    <row r="1687" spans="49:50">
      <c r="AW1687" s="239"/>
      <c r="AX1687" s="239"/>
    </row>
    <row r="1688" spans="49:50">
      <c r="AW1688" s="239"/>
      <c r="AX1688" s="239"/>
    </row>
    <row r="1689" spans="49:50">
      <c r="AW1689" s="239"/>
      <c r="AX1689" s="239"/>
    </row>
    <row r="1690" spans="49:50">
      <c r="AW1690" s="239"/>
      <c r="AX1690" s="239"/>
    </row>
    <row r="1691" spans="49:50">
      <c r="AW1691" s="239"/>
      <c r="AX1691" s="239"/>
    </row>
    <row r="1692" spans="49:50">
      <c r="AW1692" s="239"/>
      <c r="AX1692" s="239"/>
    </row>
    <row r="1693" spans="49:50">
      <c r="AW1693" s="239"/>
      <c r="AX1693" s="239"/>
    </row>
    <row r="1694" spans="49:50">
      <c r="AW1694" s="239"/>
      <c r="AX1694" s="239"/>
    </row>
    <row r="1695" spans="49:50">
      <c r="AW1695" s="239"/>
      <c r="AX1695" s="239"/>
    </row>
    <row r="1696" spans="49:50">
      <c r="AW1696" s="239"/>
      <c r="AX1696" s="239"/>
    </row>
    <row r="1697" spans="49:50">
      <c r="AW1697" s="239"/>
      <c r="AX1697" s="239"/>
    </row>
    <row r="1698" spans="49:50">
      <c r="AW1698" s="239"/>
      <c r="AX1698" s="239"/>
    </row>
    <row r="1699" spans="49:50">
      <c r="AW1699" s="239"/>
      <c r="AX1699" s="239"/>
    </row>
    <row r="1700" spans="49:50">
      <c r="AW1700" s="239"/>
      <c r="AX1700" s="239"/>
    </row>
    <row r="1701" spans="49:50">
      <c r="AW1701" s="239"/>
      <c r="AX1701" s="239"/>
    </row>
    <row r="1702" spans="49:50">
      <c r="AW1702" s="239"/>
      <c r="AX1702" s="239"/>
    </row>
    <row r="1703" spans="49:50">
      <c r="AW1703" s="239"/>
      <c r="AX1703" s="239"/>
    </row>
    <row r="1704" spans="49:50">
      <c r="AW1704" s="239"/>
      <c r="AX1704" s="239"/>
    </row>
    <row r="1705" spans="49:50">
      <c r="AW1705" s="239"/>
      <c r="AX1705" s="239"/>
    </row>
    <row r="1706" spans="49:50">
      <c r="AW1706" s="239"/>
      <c r="AX1706" s="239"/>
    </row>
    <row r="1707" spans="49:50">
      <c r="AW1707" s="239"/>
      <c r="AX1707" s="239"/>
    </row>
    <row r="1708" spans="49:50">
      <c r="AW1708" s="239"/>
      <c r="AX1708" s="239"/>
    </row>
    <row r="1709" spans="49:50">
      <c r="AW1709" s="239"/>
      <c r="AX1709" s="239"/>
    </row>
    <row r="1710" spans="49:50">
      <c r="AW1710" s="239"/>
      <c r="AX1710" s="239"/>
    </row>
    <row r="1711" spans="49:50">
      <c r="AW1711" s="239"/>
      <c r="AX1711" s="239"/>
    </row>
    <row r="1712" spans="49:50">
      <c r="AW1712" s="239"/>
      <c r="AX1712" s="239"/>
    </row>
    <row r="1713" spans="49:50">
      <c r="AW1713" s="239"/>
      <c r="AX1713" s="239"/>
    </row>
    <row r="1714" spans="49:50">
      <c r="AW1714" s="239"/>
      <c r="AX1714" s="239"/>
    </row>
    <row r="1715" spans="49:50">
      <c r="AW1715" s="239"/>
      <c r="AX1715" s="239"/>
    </row>
    <row r="1716" spans="49:50">
      <c r="AW1716" s="239"/>
      <c r="AX1716" s="239"/>
    </row>
    <row r="1717" spans="49:50">
      <c r="AW1717" s="239"/>
      <c r="AX1717" s="239"/>
    </row>
    <row r="1718" spans="49:50">
      <c r="AW1718" s="239"/>
      <c r="AX1718" s="239"/>
    </row>
    <row r="1719" spans="49:50">
      <c r="AW1719" s="239"/>
      <c r="AX1719" s="239"/>
    </row>
    <row r="1720" spans="49:50">
      <c r="AW1720" s="239"/>
      <c r="AX1720" s="239"/>
    </row>
    <row r="1721" spans="49:50">
      <c r="AW1721" s="239"/>
      <c r="AX1721" s="239"/>
    </row>
    <row r="1722" spans="49:50">
      <c r="AW1722" s="239"/>
      <c r="AX1722" s="239"/>
    </row>
    <row r="1723" spans="49:50">
      <c r="AW1723" s="239"/>
      <c r="AX1723" s="239"/>
    </row>
    <row r="1724" spans="49:50">
      <c r="AW1724" s="239"/>
      <c r="AX1724" s="239"/>
    </row>
    <row r="1725" spans="49:50">
      <c r="AW1725" s="239"/>
      <c r="AX1725" s="239"/>
    </row>
    <row r="1726" spans="49:50">
      <c r="AW1726" s="239"/>
      <c r="AX1726" s="239"/>
    </row>
    <row r="1727" spans="49:50">
      <c r="AW1727" s="239"/>
      <c r="AX1727" s="239"/>
    </row>
    <row r="1728" spans="49:50">
      <c r="AW1728" s="239"/>
      <c r="AX1728" s="239"/>
    </row>
    <row r="1729" spans="49:50">
      <c r="AW1729" s="239"/>
      <c r="AX1729" s="239"/>
    </row>
    <row r="1730" spans="49:50">
      <c r="AW1730" s="239"/>
      <c r="AX1730" s="239"/>
    </row>
    <row r="1731" spans="49:50">
      <c r="AW1731" s="239"/>
      <c r="AX1731" s="239"/>
    </row>
    <row r="1732" spans="49:50">
      <c r="AW1732" s="239"/>
      <c r="AX1732" s="239"/>
    </row>
    <row r="1733" spans="49:50">
      <c r="AW1733" s="239"/>
      <c r="AX1733" s="239"/>
    </row>
    <row r="1734" spans="49:50">
      <c r="AW1734" s="239"/>
      <c r="AX1734" s="239"/>
    </row>
    <row r="1735" spans="49:50">
      <c r="AW1735" s="239"/>
      <c r="AX1735" s="239"/>
    </row>
    <row r="1736" spans="49:50">
      <c r="AW1736" s="239"/>
      <c r="AX1736" s="239"/>
    </row>
    <row r="1737" spans="49:50">
      <c r="AW1737" s="239"/>
      <c r="AX1737" s="239"/>
    </row>
    <row r="1738" spans="49:50">
      <c r="AW1738" s="239"/>
      <c r="AX1738" s="239"/>
    </row>
    <row r="1739" spans="49:50">
      <c r="AW1739" s="239"/>
      <c r="AX1739" s="239"/>
    </row>
    <row r="1740" spans="49:50">
      <c r="AW1740" s="239"/>
      <c r="AX1740" s="239"/>
    </row>
    <row r="1741" spans="49:50">
      <c r="AW1741" s="239"/>
      <c r="AX1741" s="239"/>
    </row>
    <row r="1742" spans="49:50">
      <c r="AW1742" s="239"/>
      <c r="AX1742" s="239"/>
    </row>
    <row r="1743" spans="49:50">
      <c r="AW1743" s="239"/>
      <c r="AX1743" s="239"/>
    </row>
    <row r="1744" spans="49:50">
      <c r="AW1744" s="239"/>
      <c r="AX1744" s="239"/>
    </row>
    <row r="1745" spans="49:50">
      <c r="AW1745" s="239"/>
      <c r="AX1745" s="239"/>
    </row>
    <row r="1746" spans="49:50">
      <c r="AW1746" s="239"/>
      <c r="AX1746" s="239"/>
    </row>
    <row r="1747" spans="49:50">
      <c r="AW1747" s="239"/>
      <c r="AX1747" s="239"/>
    </row>
    <row r="1748" spans="49:50">
      <c r="AW1748" s="239"/>
      <c r="AX1748" s="239"/>
    </row>
    <row r="1749" spans="49:50">
      <c r="AW1749" s="239"/>
      <c r="AX1749" s="239"/>
    </row>
    <row r="1750" spans="49:50">
      <c r="AW1750" s="239"/>
      <c r="AX1750" s="239"/>
    </row>
    <row r="1751" spans="49:50">
      <c r="AW1751" s="239"/>
      <c r="AX1751" s="239"/>
    </row>
    <row r="1752" spans="49:50">
      <c r="AW1752" s="239"/>
      <c r="AX1752" s="239"/>
    </row>
    <row r="1753" spans="49:50">
      <c r="AW1753" s="239"/>
      <c r="AX1753" s="239"/>
    </row>
    <row r="1754" spans="49:50">
      <c r="AW1754" s="239"/>
      <c r="AX1754" s="239"/>
    </row>
    <row r="1755" spans="49:50">
      <c r="AW1755" s="239"/>
      <c r="AX1755" s="239"/>
    </row>
    <row r="1756" spans="49:50">
      <c r="AW1756" s="239"/>
      <c r="AX1756" s="239"/>
    </row>
    <row r="1757" spans="49:50">
      <c r="AW1757" s="239"/>
      <c r="AX1757" s="239"/>
    </row>
    <row r="1758" spans="49:50">
      <c r="AW1758" s="239"/>
      <c r="AX1758" s="239"/>
    </row>
    <row r="1759" spans="49:50">
      <c r="AW1759" s="239"/>
      <c r="AX1759" s="239"/>
    </row>
    <row r="1760" spans="49:50">
      <c r="AW1760" s="239"/>
      <c r="AX1760" s="239"/>
    </row>
    <row r="1761" spans="49:50">
      <c r="AW1761" s="239"/>
      <c r="AX1761" s="239"/>
    </row>
    <row r="1762" spans="49:50">
      <c r="AW1762" s="239"/>
      <c r="AX1762" s="239"/>
    </row>
    <row r="1763" spans="49:50">
      <c r="AW1763" s="239"/>
      <c r="AX1763" s="239"/>
    </row>
    <row r="1764" spans="49:50">
      <c r="AW1764" s="239"/>
      <c r="AX1764" s="239"/>
    </row>
    <row r="1765" spans="49:50">
      <c r="AW1765" s="239"/>
      <c r="AX1765" s="239"/>
    </row>
    <row r="1766" spans="49:50">
      <c r="AW1766" s="239"/>
      <c r="AX1766" s="239"/>
    </row>
    <row r="1767" spans="49:50">
      <c r="AW1767" s="239"/>
      <c r="AX1767" s="239"/>
    </row>
    <row r="1768" spans="49:50">
      <c r="AW1768" s="239"/>
      <c r="AX1768" s="239"/>
    </row>
    <row r="1769" spans="49:50">
      <c r="AW1769" s="239"/>
      <c r="AX1769" s="239"/>
    </row>
    <row r="1770" spans="49:50">
      <c r="AW1770" s="239"/>
      <c r="AX1770" s="239"/>
    </row>
    <row r="1771" spans="49:50">
      <c r="AW1771" s="239"/>
      <c r="AX1771" s="239"/>
    </row>
    <row r="1772" spans="49:50">
      <c r="AW1772" s="239"/>
      <c r="AX1772" s="239"/>
    </row>
    <row r="1773" spans="49:50">
      <c r="AW1773" s="239"/>
      <c r="AX1773" s="239"/>
    </row>
    <row r="1774" spans="49:50">
      <c r="AW1774" s="239"/>
      <c r="AX1774" s="239"/>
    </row>
    <row r="1775" spans="49:50">
      <c r="AW1775" s="239"/>
      <c r="AX1775" s="239"/>
    </row>
    <row r="1776" spans="49:50">
      <c r="AW1776" s="239"/>
      <c r="AX1776" s="239"/>
    </row>
    <row r="1777" spans="49:50">
      <c r="AW1777" s="239"/>
      <c r="AX1777" s="239"/>
    </row>
    <row r="1778" spans="49:50">
      <c r="AW1778" s="239"/>
      <c r="AX1778" s="239"/>
    </row>
    <row r="1779" spans="49:50">
      <c r="AW1779" s="239"/>
      <c r="AX1779" s="239"/>
    </row>
    <row r="1780" spans="49:50">
      <c r="AW1780" s="239"/>
      <c r="AX1780" s="239"/>
    </row>
    <row r="1781" spans="49:50">
      <c r="AW1781" s="239"/>
      <c r="AX1781" s="239"/>
    </row>
    <row r="1782" spans="49:50">
      <c r="AW1782" s="239"/>
      <c r="AX1782" s="239"/>
    </row>
    <row r="1783" spans="49:50">
      <c r="AW1783" s="239"/>
      <c r="AX1783" s="239"/>
    </row>
    <row r="1784" spans="49:50">
      <c r="AW1784" s="239"/>
      <c r="AX1784" s="239"/>
    </row>
    <row r="1785" spans="49:50">
      <c r="AW1785" s="239"/>
      <c r="AX1785" s="239"/>
    </row>
    <row r="1786" spans="49:50">
      <c r="AW1786" s="239"/>
      <c r="AX1786" s="239"/>
    </row>
    <row r="1787" spans="49:50">
      <c r="AW1787" s="239"/>
      <c r="AX1787" s="239"/>
    </row>
    <row r="1788" spans="49:50">
      <c r="AW1788" s="239"/>
      <c r="AX1788" s="239"/>
    </row>
    <row r="1789" spans="49:50">
      <c r="AW1789" s="239"/>
      <c r="AX1789" s="239"/>
    </row>
    <row r="1790" spans="49:50">
      <c r="AW1790" s="239"/>
      <c r="AX1790" s="239"/>
    </row>
    <row r="1791" spans="49:50">
      <c r="AW1791" s="239"/>
      <c r="AX1791" s="239"/>
    </row>
    <row r="1792" spans="49:50">
      <c r="AW1792" s="239"/>
      <c r="AX1792" s="239"/>
    </row>
    <row r="1793" spans="49:50">
      <c r="AW1793" s="239"/>
      <c r="AX1793" s="239"/>
    </row>
    <row r="1794" spans="49:50">
      <c r="AW1794" s="239"/>
      <c r="AX1794" s="239"/>
    </row>
    <row r="1795" spans="49:50">
      <c r="AW1795" s="239"/>
      <c r="AX1795" s="239"/>
    </row>
    <row r="1796" spans="49:50">
      <c r="AW1796" s="239"/>
      <c r="AX1796" s="239"/>
    </row>
    <row r="1797" spans="49:50">
      <c r="AW1797" s="239"/>
      <c r="AX1797" s="239"/>
    </row>
    <row r="1798" spans="49:50">
      <c r="AW1798" s="239"/>
      <c r="AX1798" s="239"/>
    </row>
    <row r="1799" spans="49:50">
      <c r="AW1799" s="239"/>
      <c r="AX1799" s="239"/>
    </row>
    <row r="1800" spans="49:50">
      <c r="AW1800" s="239"/>
      <c r="AX1800" s="239"/>
    </row>
    <row r="1801" spans="49:50">
      <c r="AW1801" s="239"/>
      <c r="AX1801" s="239"/>
    </row>
    <row r="1802" spans="49:50">
      <c r="AW1802" s="239"/>
      <c r="AX1802" s="239"/>
    </row>
    <row r="1803" spans="49:50">
      <c r="AW1803" s="239"/>
      <c r="AX1803" s="239"/>
    </row>
    <row r="1804" spans="49:50">
      <c r="AW1804" s="239"/>
      <c r="AX1804" s="239"/>
    </row>
    <row r="1805" spans="49:50">
      <c r="AW1805" s="239"/>
      <c r="AX1805" s="239"/>
    </row>
    <row r="1806" spans="49:50">
      <c r="AW1806" s="239"/>
      <c r="AX1806" s="239"/>
    </row>
    <row r="1807" spans="49:50">
      <c r="AW1807" s="239"/>
      <c r="AX1807" s="239"/>
    </row>
    <row r="1808" spans="49:50">
      <c r="AW1808" s="239"/>
      <c r="AX1808" s="239"/>
    </row>
    <row r="1809" spans="49:50">
      <c r="AW1809" s="239"/>
      <c r="AX1809" s="239"/>
    </row>
    <row r="1810" spans="49:50">
      <c r="AW1810" s="239"/>
      <c r="AX1810" s="239"/>
    </row>
    <row r="1811" spans="49:50">
      <c r="AW1811" s="239"/>
      <c r="AX1811" s="239"/>
    </row>
    <row r="1812" spans="49:50">
      <c r="AW1812" s="239"/>
      <c r="AX1812" s="239"/>
    </row>
    <row r="1813" spans="49:50">
      <c r="AW1813" s="239"/>
      <c r="AX1813" s="239"/>
    </row>
    <row r="1814" spans="49:50">
      <c r="AW1814" s="239"/>
      <c r="AX1814" s="239"/>
    </row>
    <row r="1815" spans="49:50">
      <c r="AW1815" s="239"/>
      <c r="AX1815" s="239"/>
    </row>
    <row r="1816" spans="49:50">
      <c r="AW1816" s="239"/>
      <c r="AX1816" s="239"/>
    </row>
    <row r="1817" spans="49:50">
      <c r="AW1817" s="239"/>
      <c r="AX1817" s="239"/>
    </row>
    <row r="1818" spans="49:50">
      <c r="AW1818" s="239"/>
      <c r="AX1818" s="239"/>
    </row>
    <row r="1819" spans="49:50">
      <c r="AW1819" s="239"/>
      <c r="AX1819" s="239"/>
    </row>
    <row r="1820" spans="49:50">
      <c r="AW1820" s="239"/>
      <c r="AX1820" s="239"/>
    </row>
    <row r="1821" spans="49:50">
      <c r="AW1821" s="239"/>
      <c r="AX1821" s="239"/>
    </row>
    <row r="1822" spans="49:50">
      <c r="AW1822" s="239"/>
      <c r="AX1822" s="239"/>
    </row>
    <row r="1823" spans="49:50">
      <c r="AW1823" s="239"/>
      <c r="AX1823" s="239"/>
    </row>
    <row r="1824" spans="49:50">
      <c r="AW1824" s="239"/>
      <c r="AX1824" s="239"/>
    </row>
    <row r="1825" spans="49:50">
      <c r="AW1825" s="239"/>
      <c r="AX1825" s="239"/>
    </row>
    <row r="1826" spans="49:50">
      <c r="AW1826" s="239"/>
      <c r="AX1826" s="239"/>
    </row>
    <row r="1827" spans="49:50">
      <c r="AW1827" s="239"/>
      <c r="AX1827" s="239"/>
    </row>
    <row r="1828" spans="49:50">
      <c r="AW1828" s="239"/>
      <c r="AX1828" s="239"/>
    </row>
    <row r="1829" spans="49:50">
      <c r="AW1829" s="239"/>
      <c r="AX1829" s="239"/>
    </row>
    <row r="1830" spans="49:50">
      <c r="AW1830" s="239"/>
      <c r="AX1830" s="239"/>
    </row>
    <row r="1831" spans="49:50">
      <c r="AW1831" s="239"/>
      <c r="AX1831" s="239"/>
    </row>
    <row r="1832" spans="49:50">
      <c r="AW1832" s="239"/>
      <c r="AX1832" s="239"/>
    </row>
    <row r="1833" spans="49:50">
      <c r="AW1833" s="239"/>
      <c r="AX1833" s="239"/>
    </row>
    <row r="1834" spans="49:50">
      <c r="AW1834" s="239"/>
      <c r="AX1834" s="239"/>
    </row>
    <row r="1835" spans="49:50">
      <c r="AW1835" s="239"/>
      <c r="AX1835" s="239"/>
    </row>
    <row r="1836" spans="49:50">
      <c r="AW1836" s="239"/>
      <c r="AX1836" s="239"/>
    </row>
    <row r="1837" spans="49:50">
      <c r="AW1837" s="239"/>
      <c r="AX1837" s="239"/>
    </row>
    <row r="1838" spans="49:50">
      <c r="AW1838" s="239"/>
      <c r="AX1838" s="239"/>
    </row>
    <row r="1839" spans="49:50">
      <c r="AW1839" s="239"/>
      <c r="AX1839" s="239"/>
    </row>
    <row r="1840" spans="49:50">
      <c r="AW1840" s="239"/>
      <c r="AX1840" s="239"/>
    </row>
    <row r="1841" spans="49:50">
      <c r="AW1841" s="239"/>
      <c r="AX1841" s="239"/>
    </row>
    <row r="1842" spans="49:50">
      <c r="AW1842" s="239"/>
      <c r="AX1842" s="239"/>
    </row>
    <row r="1843" spans="49:50">
      <c r="AW1843" s="239"/>
      <c r="AX1843" s="239"/>
    </row>
    <row r="1844" spans="49:50">
      <c r="AW1844" s="239"/>
      <c r="AX1844" s="239"/>
    </row>
    <row r="1845" spans="49:50">
      <c r="AW1845" s="239"/>
      <c r="AX1845" s="239"/>
    </row>
    <row r="1846" spans="49:50">
      <c r="AW1846" s="239"/>
      <c r="AX1846" s="239"/>
    </row>
    <row r="1847" spans="49:50">
      <c r="AW1847" s="239"/>
      <c r="AX1847" s="239"/>
    </row>
    <row r="1848" spans="49:50">
      <c r="AW1848" s="239"/>
      <c r="AX1848" s="239"/>
    </row>
    <row r="1849" spans="49:50">
      <c r="AW1849" s="239"/>
      <c r="AX1849" s="239"/>
    </row>
    <row r="1850" spans="49:50">
      <c r="AW1850" s="239"/>
      <c r="AX1850" s="239"/>
    </row>
    <row r="1851" spans="49:50">
      <c r="AW1851" s="239"/>
      <c r="AX1851" s="239"/>
    </row>
    <row r="1852" spans="49:50">
      <c r="AW1852" s="239"/>
      <c r="AX1852" s="239"/>
    </row>
    <row r="1853" spans="49:50">
      <c r="AW1853" s="239"/>
      <c r="AX1853" s="239"/>
    </row>
    <row r="1854" spans="49:50">
      <c r="AW1854" s="239"/>
      <c r="AX1854" s="239"/>
    </row>
    <row r="1855" spans="49:50">
      <c r="AW1855" s="239"/>
      <c r="AX1855" s="239"/>
    </row>
    <row r="1856" spans="49:50">
      <c r="AW1856" s="239"/>
      <c r="AX1856" s="239"/>
    </row>
    <row r="1857" spans="49:50">
      <c r="AW1857" s="239"/>
      <c r="AX1857" s="239"/>
    </row>
    <row r="1858" spans="49:50">
      <c r="AW1858" s="239"/>
      <c r="AX1858" s="239"/>
    </row>
    <row r="1859" spans="49:50">
      <c r="AW1859" s="239"/>
      <c r="AX1859" s="239"/>
    </row>
    <row r="1860" spans="49:50">
      <c r="AW1860" s="239"/>
      <c r="AX1860" s="239"/>
    </row>
    <row r="1861" spans="49:50">
      <c r="AW1861" s="239"/>
      <c r="AX1861" s="239"/>
    </row>
    <row r="1862" spans="49:50">
      <c r="AW1862" s="239"/>
      <c r="AX1862" s="239"/>
    </row>
    <row r="1863" spans="49:50">
      <c r="AW1863" s="239"/>
      <c r="AX1863" s="239"/>
    </row>
    <row r="1864" spans="49:50">
      <c r="AW1864" s="239"/>
      <c r="AX1864" s="239"/>
    </row>
    <row r="1865" spans="49:50">
      <c r="AW1865" s="239"/>
      <c r="AX1865" s="239"/>
    </row>
    <row r="1866" spans="49:50">
      <c r="AW1866" s="239"/>
      <c r="AX1866" s="239"/>
    </row>
    <row r="1867" spans="49:50">
      <c r="AW1867" s="239"/>
      <c r="AX1867" s="239"/>
    </row>
    <row r="1868" spans="49:50">
      <c r="AW1868" s="239"/>
      <c r="AX1868" s="239"/>
    </row>
    <row r="1869" spans="49:50">
      <c r="AW1869" s="239"/>
      <c r="AX1869" s="239"/>
    </row>
    <row r="1870" spans="49:50">
      <c r="AW1870" s="239"/>
      <c r="AX1870" s="239"/>
    </row>
    <row r="1871" spans="49:50">
      <c r="AW1871" s="239"/>
      <c r="AX1871" s="239"/>
    </row>
    <row r="1872" spans="49:50">
      <c r="AW1872" s="239"/>
      <c r="AX1872" s="239"/>
    </row>
    <row r="1873" spans="49:50">
      <c r="AW1873" s="239"/>
      <c r="AX1873" s="239"/>
    </row>
    <row r="1874" spans="49:50">
      <c r="AW1874" s="239"/>
      <c r="AX1874" s="239"/>
    </row>
    <row r="1875" spans="49:50">
      <c r="AW1875" s="239"/>
      <c r="AX1875" s="239"/>
    </row>
    <row r="1876" spans="49:50">
      <c r="AW1876" s="239"/>
      <c r="AX1876" s="239"/>
    </row>
    <row r="1877" spans="49:50">
      <c r="AW1877" s="239"/>
      <c r="AX1877" s="239"/>
    </row>
    <row r="1878" spans="49:50">
      <c r="AW1878" s="239"/>
      <c r="AX1878" s="239"/>
    </row>
    <row r="1879" spans="49:50">
      <c r="AW1879" s="239"/>
      <c r="AX1879" s="239"/>
    </row>
    <row r="1880" spans="49:50">
      <c r="AW1880" s="239"/>
      <c r="AX1880" s="239"/>
    </row>
    <row r="1881" spans="49:50">
      <c r="AW1881" s="239"/>
      <c r="AX1881" s="239"/>
    </row>
    <row r="1882" spans="49:50">
      <c r="AW1882" s="239"/>
      <c r="AX1882" s="239"/>
    </row>
    <row r="1883" spans="49:50">
      <c r="AW1883" s="239"/>
      <c r="AX1883" s="239"/>
    </row>
    <row r="1884" spans="49:50">
      <c r="AW1884" s="239"/>
      <c r="AX1884" s="239"/>
    </row>
    <row r="1885" spans="49:50">
      <c r="AW1885" s="239"/>
      <c r="AX1885" s="239"/>
    </row>
    <row r="1886" spans="49:50">
      <c r="AW1886" s="239"/>
      <c r="AX1886" s="239"/>
    </row>
    <row r="1887" spans="49:50">
      <c r="AW1887" s="239"/>
      <c r="AX1887" s="239"/>
    </row>
    <row r="1888" spans="49:50">
      <c r="AW1888" s="239"/>
      <c r="AX1888" s="239"/>
    </row>
    <row r="1889" spans="49:50">
      <c r="AW1889" s="239"/>
      <c r="AX1889" s="239"/>
    </row>
    <row r="1890" spans="49:50">
      <c r="AW1890" s="239"/>
      <c r="AX1890" s="239"/>
    </row>
    <row r="1891" spans="49:50">
      <c r="AW1891" s="239"/>
      <c r="AX1891" s="239"/>
    </row>
    <row r="1892" spans="49:50">
      <c r="AW1892" s="239"/>
      <c r="AX1892" s="239"/>
    </row>
    <row r="1893" spans="49:50">
      <c r="AW1893" s="239"/>
      <c r="AX1893" s="239"/>
    </row>
    <row r="1894" spans="49:50">
      <c r="AW1894" s="239"/>
      <c r="AX1894" s="239"/>
    </row>
    <row r="1895" spans="49:50">
      <c r="AW1895" s="239"/>
      <c r="AX1895" s="239"/>
    </row>
    <row r="1896" spans="49:50">
      <c r="AW1896" s="239"/>
      <c r="AX1896" s="239"/>
    </row>
    <row r="1897" spans="49:50">
      <c r="AW1897" s="239"/>
      <c r="AX1897" s="239"/>
    </row>
    <row r="1898" spans="49:50">
      <c r="AW1898" s="239"/>
      <c r="AX1898" s="239"/>
    </row>
    <row r="1899" spans="49:50">
      <c r="AW1899" s="239"/>
      <c r="AX1899" s="239"/>
    </row>
    <row r="1900" spans="49:50">
      <c r="AW1900" s="239"/>
      <c r="AX1900" s="239"/>
    </row>
    <row r="1901" spans="49:50">
      <c r="AW1901" s="239"/>
      <c r="AX1901" s="239"/>
    </row>
    <row r="1902" spans="49:50">
      <c r="AW1902" s="239"/>
      <c r="AX1902" s="239"/>
    </row>
    <row r="1903" spans="49:50">
      <c r="AW1903" s="239"/>
      <c r="AX1903" s="239"/>
    </row>
    <row r="1904" spans="49:50">
      <c r="AW1904" s="239"/>
      <c r="AX1904" s="239"/>
    </row>
    <row r="1905" spans="49:50">
      <c r="AW1905" s="239"/>
      <c r="AX1905" s="239"/>
    </row>
    <row r="1906" spans="49:50">
      <c r="AW1906" s="239"/>
      <c r="AX1906" s="239"/>
    </row>
    <row r="1907" spans="49:50">
      <c r="AW1907" s="239"/>
      <c r="AX1907" s="239"/>
    </row>
    <row r="1908" spans="49:50">
      <c r="AW1908" s="239"/>
      <c r="AX1908" s="239"/>
    </row>
    <row r="1909" spans="49:50">
      <c r="AW1909" s="239"/>
      <c r="AX1909" s="239"/>
    </row>
    <row r="1910" spans="49:50">
      <c r="AW1910" s="239"/>
      <c r="AX1910" s="239"/>
    </row>
    <row r="1911" spans="49:50">
      <c r="AW1911" s="239"/>
      <c r="AX1911" s="239"/>
    </row>
    <row r="1912" spans="49:50">
      <c r="AW1912" s="239"/>
      <c r="AX1912" s="239"/>
    </row>
    <row r="1913" spans="49:50">
      <c r="AW1913" s="239"/>
      <c r="AX1913" s="239"/>
    </row>
    <row r="1914" spans="49:50">
      <c r="AW1914" s="239"/>
      <c r="AX1914" s="239"/>
    </row>
    <row r="1915" spans="49:50">
      <c r="AW1915" s="239"/>
      <c r="AX1915" s="239"/>
    </row>
    <row r="1916" spans="49:50">
      <c r="AW1916" s="239"/>
      <c r="AX1916" s="239"/>
    </row>
    <row r="1917" spans="49:50">
      <c r="AW1917" s="239"/>
      <c r="AX1917" s="239"/>
    </row>
    <row r="1918" spans="49:50">
      <c r="AW1918" s="239"/>
      <c r="AX1918" s="239"/>
    </row>
    <row r="1919" spans="49:50">
      <c r="AW1919" s="239"/>
      <c r="AX1919" s="239"/>
    </row>
    <row r="1920" spans="49:50">
      <c r="AW1920" s="239"/>
      <c r="AX1920" s="239"/>
    </row>
    <row r="1921" spans="49:50">
      <c r="AW1921" s="239"/>
      <c r="AX1921" s="239"/>
    </row>
    <row r="1922" spans="49:50">
      <c r="AW1922" s="239"/>
      <c r="AX1922" s="239"/>
    </row>
    <row r="1923" spans="49:50">
      <c r="AW1923" s="239"/>
      <c r="AX1923" s="239"/>
    </row>
    <row r="1924" spans="49:50">
      <c r="AW1924" s="239"/>
      <c r="AX1924" s="239"/>
    </row>
    <row r="1925" spans="49:50">
      <c r="AW1925" s="239"/>
      <c r="AX1925" s="239"/>
    </row>
    <row r="1926" spans="49:50">
      <c r="AW1926" s="239"/>
      <c r="AX1926" s="239"/>
    </row>
    <row r="1927" spans="49:50">
      <c r="AW1927" s="239"/>
      <c r="AX1927" s="239"/>
    </row>
    <row r="1928" spans="49:50">
      <c r="AW1928" s="239"/>
      <c r="AX1928" s="239"/>
    </row>
    <row r="1929" spans="49:50">
      <c r="AW1929" s="239"/>
      <c r="AX1929" s="239"/>
    </row>
    <row r="1930" spans="49:50">
      <c r="AW1930" s="239"/>
      <c r="AX1930" s="239"/>
    </row>
    <row r="1931" spans="49:50">
      <c r="AW1931" s="239"/>
      <c r="AX1931" s="239"/>
    </row>
    <row r="1932" spans="49:50">
      <c r="AW1932" s="239"/>
      <c r="AX1932" s="239"/>
    </row>
    <row r="1933" spans="49:50">
      <c r="AW1933" s="239"/>
      <c r="AX1933" s="239"/>
    </row>
    <row r="1934" spans="49:50">
      <c r="AW1934" s="239"/>
      <c r="AX1934" s="239"/>
    </row>
    <row r="1935" spans="49:50">
      <c r="AW1935" s="239"/>
      <c r="AX1935" s="239"/>
    </row>
    <row r="1936" spans="49:50">
      <c r="AW1936" s="239"/>
      <c r="AX1936" s="239"/>
    </row>
    <row r="1937" spans="49:50">
      <c r="AW1937" s="239"/>
      <c r="AX1937" s="239"/>
    </row>
    <row r="1938" spans="49:50">
      <c r="AW1938" s="239"/>
      <c r="AX1938" s="239"/>
    </row>
    <row r="1939" spans="49:50">
      <c r="AW1939" s="239"/>
      <c r="AX1939" s="239"/>
    </row>
    <row r="1940" spans="49:50">
      <c r="AW1940" s="239"/>
      <c r="AX1940" s="239"/>
    </row>
    <row r="1941" spans="49:50">
      <c r="AW1941" s="239"/>
      <c r="AX1941" s="239"/>
    </row>
    <row r="1942" spans="49:50">
      <c r="AW1942" s="239"/>
      <c r="AX1942" s="239"/>
    </row>
    <row r="1943" spans="49:50">
      <c r="AW1943" s="239"/>
      <c r="AX1943" s="239"/>
    </row>
    <row r="1944" spans="49:50">
      <c r="AW1944" s="239"/>
      <c r="AX1944" s="239"/>
    </row>
    <row r="1945" spans="49:50">
      <c r="AW1945" s="239"/>
      <c r="AX1945" s="239"/>
    </row>
    <row r="1946" spans="49:50">
      <c r="AW1946" s="239"/>
      <c r="AX1946" s="239"/>
    </row>
    <row r="1947" spans="49:50">
      <c r="AW1947" s="239"/>
      <c r="AX1947" s="239"/>
    </row>
    <row r="1948" spans="49:50">
      <c r="AW1948" s="239"/>
      <c r="AX1948" s="239"/>
    </row>
    <row r="1949" spans="49:50">
      <c r="AW1949" s="239"/>
      <c r="AX1949" s="239"/>
    </row>
    <row r="1950" spans="49:50">
      <c r="AW1950" s="239"/>
      <c r="AX1950" s="239"/>
    </row>
    <row r="1951" spans="49:50">
      <c r="AW1951" s="239"/>
      <c r="AX1951" s="239"/>
    </row>
    <row r="1952" spans="49:50">
      <c r="AW1952" s="239"/>
      <c r="AX1952" s="239"/>
    </row>
    <row r="1953" spans="49:50">
      <c r="AW1953" s="239"/>
      <c r="AX1953" s="239"/>
    </row>
    <row r="1954" spans="49:50">
      <c r="AW1954" s="239"/>
      <c r="AX1954" s="239"/>
    </row>
    <row r="1955" spans="49:50">
      <c r="AW1955" s="239"/>
      <c r="AX1955" s="239"/>
    </row>
    <row r="1956" spans="49:50">
      <c r="AW1956" s="239"/>
      <c r="AX1956" s="239"/>
    </row>
    <row r="1957" spans="49:50">
      <c r="AW1957" s="239"/>
      <c r="AX1957" s="239"/>
    </row>
    <row r="1958" spans="49:50">
      <c r="AW1958" s="239"/>
      <c r="AX1958" s="239"/>
    </row>
    <row r="1959" spans="49:50">
      <c r="AW1959" s="239"/>
      <c r="AX1959" s="239"/>
    </row>
    <row r="1960" spans="49:50">
      <c r="AW1960" s="239"/>
      <c r="AX1960" s="239"/>
    </row>
    <row r="1961" spans="49:50">
      <c r="AW1961" s="239"/>
      <c r="AX1961" s="239"/>
    </row>
    <row r="1962" spans="49:50">
      <c r="AW1962" s="239"/>
      <c r="AX1962" s="239"/>
    </row>
    <row r="1963" spans="49:50">
      <c r="AW1963" s="239"/>
      <c r="AX1963" s="239"/>
    </row>
    <row r="1964" spans="49:50">
      <c r="AW1964" s="239"/>
      <c r="AX1964" s="239"/>
    </row>
    <row r="1965" spans="49:50">
      <c r="AW1965" s="239"/>
      <c r="AX1965" s="239"/>
    </row>
    <row r="1966" spans="49:50">
      <c r="AW1966" s="239"/>
      <c r="AX1966" s="239"/>
    </row>
    <row r="1967" spans="49:50">
      <c r="AW1967" s="239"/>
      <c r="AX1967" s="239"/>
    </row>
    <row r="1968" spans="49:50">
      <c r="AW1968" s="239"/>
      <c r="AX1968" s="239"/>
    </row>
    <row r="1969" spans="49:50">
      <c r="AW1969" s="239"/>
      <c r="AX1969" s="239"/>
    </row>
    <row r="1970" spans="49:50">
      <c r="AW1970" s="239"/>
      <c r="AX1970" s="239"/>
    </row>
    <row r="1971" spans="49:50">
      <c r="AW1971" s="239"/>
      <c r="AX1971" s="239"/>
    </row>
    <row r="1972" spans="49:50">
      <c r="AW1972" s="239"/>
      <c r="AX1972" s="239"/>
    </row>
    <row r="1973" spans="49:50">
      <c r="AW1973" s="239"/>
      <c r="AX1973" s="239"/>
    </row>
    <row r="1974" spans="49:50">
      <c r="AW1974" s="239"/>
      <c r="AX1974" s="239"/>
    </row>
    <row r="1975" spans="49:50">
      <c r="AW1975" s="239"/>
      <c r="AX1975" s="239"/>
    </row>
    <row r="1976" spans="49:50">
      <c r="AW1976" s="239"/>
      <c r="AX1976" s="239"/>
    </row>
    <row r="1977" spans="49:50">
      <c r="AW1977" s="239"/>
      <c r="AX1977" s="239"/>
    </row>
    <row r="1978" spans="49:50">
      <c r="AW1978" s="239"/>
      <c r="AX1978" s="239"/>
    </row>
    <row r="1979" spans="49:50">
      <c r="AW1979" s="239"/>
      <c r="AX1979" s="239"/>
    </row>
    <row r="1980" spans="49:50">
      <c r="AW1980" s="239"/>
      <c r="AX1980" s="239"/>
    </row>
    <row r="1981" spans="49:50">
      <c r="AW1981" s="239"/>
      <c r="AX1981" s="239"/>
    </row>
    <row r="1982" spans="49:50">
      <c r="AW1982" s="239"/>
      <c r="AX1982" s="239"/>
    </row>
    <row r="1983" spans="49:50">
      <c r="AW1983" s="239"/>
      <c r="AX1983" s="239"/>
    </row>
    <row r="1984" spans="49:50">
      <c r="AW1984" s="239"/>
      <c r="AX1984" s="239"/>
    </row>
    <row r="1985" spans="49:50">
      <c r="AW1985" s="239"/>
      <c r="AX1985" s="239"/>
    </row>
    <row r="1986" spans="49:50">
      <c r="AW1986" s="239"/>
      <c r="AX1986" s="239"/>
    </row>
    <row r="1987" spans="49:50">
      <c r="AW1987" s="239"/>
      <c r="AX1987" s="239"/>
    </row>
    <row r="1988" spans="49:50">
      <c r="AW1988" s="239"/>
      <c r="AX1988" s="239"/>
    </row>
    <row r="1989" spans="49:50">
      <c r="AW1989" s="239"/>
      <c r="AX1989" s="239"/>
    </row>
    <row r="1990" spans="49:50">
      <c r="AW1990" s="239"/>
      <c r="AX1990" s="239"/>
    </row>
    <row r="1991" spans="49:50">
      <c r="AW1991" s="239"/>
      <c r="AX1991" s="239"/>
    </row>
    <row r="1992" spans="49:50">
      <c r="AW1992" s="239"/>
      <c r="AX1992" s="239"/>
    </row>
    <row r="1993" spans="49:50">
      <c r="AW1993" s="239"/>
      <c r="AX1993" s="239"/>
    </row>
    <row r="1994" spans="49:50">
      <c r="AW1994" s="239"/>
      <c r="AX1994" s="239"/>
    </row>
    <row r="1995" spans="49:50">
      <c r="AW1995" s="239"/>
      <c r="AX1995" s="239"/>
    </row>
    <row r="1996" spans="49:50">
      <c r="AW1996" s="239"/>
      <c r="AX1996" s="239"/>
    </row>
    <row r="1997" spans="49:50">
      <c r="AW1997" s="239"/>
      <c r="AX1997" s="239"/>
    </row>
    <row r="1998" spans="49:50">
      <c r="AW1998" s="239"/>
      <c r="AX1998" s="239"/>
    </row>
    <row r="1999" spans="49:50">
      <c r="AW1999" s="239"/>
      <c r="AX1999" s="239"/>
    </row>
    <row r="2000" spans="49:50">
      <c r="AW2000" s="239"/>
      <c r="AX2000" s="239"/>
    </row>
    <row r="2001" spans="49:50">
      <c r="AW2001" s="239"/>
      <c r="AX2001" s="239"/>
    </row>
    <row r="2002" spans="49:50">
      <c r="AW2002" s="239"/>
      <c r="AX2002" s="239"/>
    </row>
    <row r="2003" spans="49:50">
      <c r="AW2003" s="239"/>
      <c r="AX2003" s="239"/>
    </row>
    <row r="2004" spans="49:50">
      <c r="AW2004" s="239"/>
      <c r="AX2004" s="239"/>
    </row>
    <row r="2005" spans="49:50">
      <c r="AW2005" s="239"/>
      <c r="AX2005" s="239"/>
    </row>
    <row r="2006" spans="49:50">
      <c r="AW2006" s="239"/>
      <c r="AX2006" s="239"/>
    </row>
    <row r="2007" spans="49:50">
      <c r="AW2007" s="239"/>
      <c r="AX2007" s="239"/>
    </row>
    <row r="2008" spans="49:50">
      <c r="AW2008" s="239"/>
      <c r="AX2008" s="239"/>
    </row>
    <row r="2009" spans="49:50">
      <c r="AW2009" s="239"/>
      <c r="AX2009" s="239"/>
    </row>
    <row r="2010" spans="49:50">
      <c r="AW2010" s="239"/>
      <c r="AX2010" s="239"/>
    </row>
    <row r="2011" spans="49:50">
      <c r="AW2011" s="239"/>
      <c r="AX2011" s="239"/>
    </row>
    <row r="2012" spans="49:50">
      <c r="AW2012" s="239"/>
      <c r="AX2012" s="239"/>
    </row>
    <row r="2013" spans="49:50">
      <c r="AW2013" s="239"/>
      <c r="AX2013" s="239"/>
    </row>
    <row r="2014" spans="49:50">
      <c r="AW2014" s="239"/>
      <c r="AX2014" s="239"/>
    </row>
    <row r="2015" spans="49:50">
      <c r="AW2015" s="239"/>
      <c r="AX2015" s="239"/>
    </row>
    <row r="2016" spans="49:50">
      <c r="AW2016" s="239"/>
      <c r="AX2016" s="239"/>
    </row>
    <row r="2017" spans="49:50">
      <c r="AW2017" s="239"/>
      <c r="AX2017" s="239"/>
    </row>
    <row r="2018" spans="49:50">
      <c r="AW2018" s="239"/>
      <c r="AX2018" s="239"/>
    </row>
    <row r="2019" spans="49:50">
      <c r="AW2019" s="239"/>
      <c r="AX2019" s="239"/>
    </row>
    <row r="2020" spans="49:50">
      <c r="AW2020" s="239"/>
      <c r="AX2020" s="239"/>
    </row>
    <row r="2021" spans="49:50">
      <c r="AW2021" s="239"/>
      <c r="AX2021" s="239"/>
    </row>
    <row r="2022" spans="49:50">
      <c r="AW2022" s="239"/>
      <c r="AX2022" s="239"/>
    </row>
    <row r="2023" spans="49:50">
      <c r="AW2023" s="239"/>
      <c r="AX2023" s="239"/>
    </row>
    <row r="2024" spans="49:50">
      <c r="AW2024" s="239"/>
      <c r="AX2024" s="239"/>
    </row>
    <row r="2025" spans="49:50">
      <c r="AW2025" s="239"/>
      <c r="AX2025" s="239"/>
    </row>
    <row r="2026" spans="49:50">
      <c r="AW2026" s="239"/>
      <c r="AX2026" s="239"/>
    </row>
    <row r="2027" spans="49:50">
      <c r="AW2027" s="239"/>
      <c r="AX2027" s="239"/>
    </row>
    <row r="2028" spans="49:50">
      <c r="AW2028" s="239"/>
      <c r="AX2028" s="239"/>
    </row>
    <row r="2029" spans="49:50">
      <c r="AW2029" s="239"/>
      <c r="AX2029" s="239"/>
    </row>
    <row r="2030" spans="49:50">
      <c r="AW2030" s="239"/>
      <c r="AX2030" s="239"/>
    </row>
    <row r="2031" spans="49:50">
      <c r="AW2031" s="239"/>
      <c r="AX2031" s="239"/>
    </row>
    <row r="2032" spans="49:50">
      <c r="AW2032" s="239"/>
      <c r="AX2032" s="239"/>
    </row>
    <row r="2033" spans="49:50">
      <c r="AW2033" s="239"/>
      <c r="AX2033" s="239"/>
    </row>
    <row r="2034" spans="49:50">
      <c r="AW2034" s="239"/>
      <c r="AX2034" s="239"/>
    </row>
    <row r="2035" spans="49:50">
      <c r="AW2035" s="239"/>
      <c r="AX2035" s="239"/>
    </row>
    <row r="2036" spans="49:50">
      <c r="AW2036" s="239"/>
      <c r="AX2036" s="239"/>
    </row>
    <row r="2037" spans="49:50">
      <c r="AW2037" s="239"/>
      <c r="AX2037" s="239"/>
    </row>
    <row r="2038" spans="49:50">
      <c r="AW2038" s="239"/>
      <c r="AX2038" s="239"/>
    </row>
    <row r="2039" spans="49:50">
      <c r="AW2039" s="239"/>
      <c r="AX2039" s="239"/>
    </row>
    <row r="2040" spans="49:50">
      <c r="AW2040" s="239"/>
      <c r="AX2040" s="239"/>
    </row>
    <row r="2041" spans="49:50">
      <c r="AW2041" s="239"/>
      <c r="AX2041" s="239"/>
    </row>
    <row r="2042" spans="49:50">
      <c r="AW2042" s="239"/>
      <c r="AX2042" s="239"/>
    </row>
    <row r="2043" spans="49:50">
      <c r="AW2043" s="239"/>
      <c r="AX2043" s="239"/>
    </row>
    <row r="2044" spans="49:50">
      <c r="AW2044" s="239"/>
      <c r="AX2044" s="239"/>
    </row>
    <row r="2045" spans="49:50">
      <c r="AW2045" s="239"/>
      <c r="AX2045" s="239"/>
    </row>
    <row r="2046" spans="49:50">
      <c r="AW2046" s="239"/>
      <c r="AX2046" s="239"/>
    </row>
    <row r="2047" spans="49:50">
      <c r="AW2047" s="239"/>
      <c r="AX2047" s="239"/>
    </row>
    <row r="2048" spans="49:50">
      <c r="AW2048" s="239"/>
      <c r="AX2048" s="239"/>
    </row>
    <row r="2049" spans="49:50">
      <c r="AW2049" s="239"/>
      <c r="AX2049" s="239"/>
    </row>
    <row r="2050" spans="49:50">
      <c r="AW2050" s="239"/>
      <c r="AX2050" s="239"/>
    </row>
    <row r="2051" spans="49:50">
      <c r="AW2051" s="239"/>
      <c r="AX2051" s="239"/>
    </row>
    <row r="2052" spans="49:50">
      <c r="AW2052" s="239"/>
      <c r="AX2052" s="239"/>
    </row>
    <row r="2053" spans="49:50">
      <c r="AW2053" s="239"/>
      <c r="AX2053" s="239"/>
    </row>
    <row r="2054" spans="49:50">
      <c r="AW2054" s="239"/>
      <c r="AX2054" s="239"/>
    </row>
    <row r="2055" spans="49:50">
      <c r="AW2055" s="239"/>
      <c r="AX2055" s="239"/>
    </row>
    <row r="2056" spans="49:50">
      <c r="AW2056" s="239"/>
      <c r="AX2056" s="239"/>
    </row>
    <row r="2057" spans="49:50">
      <c r="AW2057" s="239"/>
      <c r="AX2057" s="239"/>
    </row>
    <row r="2058" spans="49:50">
      <c r="AW2058" s="239"/>
      <c r="AX2058" s="239"/>
    </row>
    <row r="2059" spans="49:50">
      <c r="AW2059" s="239"/>
      <c r="AX2059" s="239"/>
    </row>
    <row r="2060" spans="49:50">
      <c r="AW2060" s="239"/>
      <c r="AX2060" s="239"/>
    </row>
    <row r="2061" spans="49:50">
      <c r="AW2061" s="239"/>
      <c r="AX2061" s="239"/>
    </row>
    <row r="2062" spans="49:50">
      <c r="AW2062" s="239"/>
      <c r="AX2062" s="239"/>
    </row>
    <row r="2063" spans="49:50">
      <c r="AW2063" s="239"/>
      <c r="AX2063" s="239"/>
    </row>
    <row r="2064" spans="49:50">
      <c r="AW2064" s="239"/>
      <c r="AX2064" s="239"/>
    </row>
    <row r="2065" spans="49:50">
      <c r="AW2065" s="239"/>
      <c r="AX2065" s="239"/>
    </row>
    <row r="2066" spans="49:50">
      <c r="AW2066" s="239"/>
      <c r="AX2066" s="239"/>
    </row>
    <row r="2067" spans="49:50">
      <c r="AW2067" s="239"/>
      <c r="AX2067" s="239"/>
    </row>
    <row r="2068" spans="49:50">
      <c r="AW2068" s="239"/>
      <c r="AX2068" s="239"/>
    </row>
    <row r="2069" spans="49:50">
      <c r="AW2069" s="239"/>
      <c r="AX2069" s="239"/>
    </row>
    <row r="2070" spans="49:50">
      <c r="AW2070" s="239"/>
      <c r="AX2070" s="239"/>
    </row>
    <row r="2071" spans="49:50">
      <c r="AW2071" s="239"/>
      <c r="AX2071" s="239"/>
    </row>
    <row r="2072" spans="49:50">
      <c r="AW2072" s="239"/>
      <c r="AX2072" s="239"/>
    </row>
    <row r="2073" spans="49:50">
      <c r="AW2073" s="239"/>
      <c r="AX2073" s="239"/>
    </row>
    <row r="2074" spans="49:50">
      <c r="AW2074" s="239"/>
      <c r="AX2074" s="239"/>
    </row>
    <row r="2075" spans="49:50">
      <c r="AW2075" s="239"/>
      <c r="AX2075" s="239"/>
    </row>
    <row r="2076" spans="49:50">
      <c r="AW2076" s="239"/>
      <c r="AX2076" s="239"/>
    </row>
    <row r="2077" spans="49:50">
      <c r="AW2077" s="239"/>
      <c r="AX2077" s="239"/>
    </row>
    <row r="2078" spans="49:50">
      <c r="AW2078" s="239"/>
      <c r="AX2078" s="239"/>
    </row>
    <row r="2079" spans="49:50">
      <c r="AW2079" s="239"/>
      <c r="AX2079" s="239"/>
    </row>
    <row r="2080" spans="49:50">
      <c r="AW2080" s="239"/>
      <c r="AX2080" s="239"/>
    </row>
    <row r="2081" spans="49:50">
      <c r="AW2081" s="239"/>
      <c r="AX2081" s="239"/>
    </row>
    <row r="2082" spans="49:50">
      <c r="AW2082" s="239"/>
      <c r="AX2082" s="239"/>
    </row>
    <row r="2083" spans="49:50">
      <c r="AW2083" s="239"/>
      <c r="AX2083" s="239"/>
    </row>
    <row r="2084" spans="49:50">
      <c r="AW2084" s="239"/>
      <c r="AX2084" s="239"/>
    </row>
    <row r="2085" spans="49:50">
      <c r="AW2085" s="239"/>
      <c r="AX2085" s="239"/>
    </row>
    <row r="2086" spans="49:50">
      <c r="AW2086" s="239"/>
      <c r="AX2086" s="239"/>
    </row>
    <row r="2087" spans="49:50">
      <c r="AW2087" s="239"/>
      <c r="AX2087" s="239"/>
    </row>
    <row r="2088" spans="49:50">
      <c r="AW2088" s="239"/>
      <c r="AX2088" s="239"/>
    </row>
    <row r="2089" spans="49:50">
      <c r="AW2089" s="239"/>
      <c r="AX2089" s="239"/>
    </row>
    <row r="2090" spans="49:50">
      <c r="AW2090" s="239"/>
      <c r="AX2090" s="239"/>
    </row>
    <row r="2091" spans="49:50">
      <c r="AW2091" s="239"/>
      <c r="AX2091" s="239"/>
    </row>
    <row r="2092" spans="49:50">
      <c r="AW2092" s="239"/>
      <c r="AX2092" s="239"/>
    </row>
    <row r="2093" spans="49:50">
      <c r="AW2093" s="239"/>
      <c r="AX2093" s="239"/>
    </row>
    <row r="2094" spans="49:50">
      <c r="AW2094" s="239"/>
      <c r="AX2094" s="239"/>
    </row>
    <row r="2095" spans="49:50">
      <c r="AW2095" s="239"/>
      <c r="AX2095" s="239"/>
    </row>
    <row r="2096" spans="49:50">
      <c r="AW2096" s="239"/>
      <c r="AX2096" s="239"/>
    </row>
    <row r="2097" spans="49:50">
      <c r="AW2097" s="239"/>
      <c r="AX2097" s="239"/>
    </row>
    <row r="2098" spans="49:50">
      <c r="AW2098" s="239"/>
      <c r="AX2098" s="239"/>
    </row>
    <row r="2099" spans="49:50">
      <c r="AW2099" s="239"/>
      <c r="AX2099" s="239"/>
    </row>
    <row r="2100" spans="49:50">
      <c r="AW2100" s="239"/>
      <c r="AX2100" s="239"/>
    </row>
    <row r="2101" spans="49:50">
      <c r="AW2101" s="239"/>
      <c r="AX2101" s="239"/>
    </row>
    <row r="2102" spans="49:50">
      <c r="AW2102" s="239"/>
      <c r="AX2102" s="239"/>
    </row>
    <row r="2103" spans="49:50">
      <c r="AW2103" s="239"/>
      <c r="AX2103" s="239"/>
    </row>
    <row r="2104" spans="49:50">
      <c r="AW2104" s="239"/>
      <c r="AX2104" s="239"/>
    </row>
    <row r="2105" spans="49:50">
      <c r="AW2105" s="239"/>
      <c r="AX2105" s="239"/>
    </row>
    <row r="2106" spans="49:50">
      <c r="AW2106" s="239"/>
      <c r="AX2106" s="239"/>
    </row>
    <row r="2107" spans="49:50">
      <c r="AW2107" s="239"/>
      <c r="AX2107" s="239"/>
    </row>
    <row r="2108" spans="49:50">
      <c r="AW2108" s="239"/>
      <c r="AX2108" s="239"/>
    </row>
    <row r="2109" spans="49:50">
      <c r="AW2109" s="239"/>
      <c r="AX2109" s="239"/>
    </row>
    <row r="2110" spans="49:50">
      <c r="AW2110" s="239"/>
      <c r="AX2110" s="239"/>
    </row>
  </sheetData>
  <mergeCells count="2">
    <mergeCell ref="D1:F1"/>
    <mergeCell ref="N1:O1"/>
  </mergeCells>
  <phoneticPr fontId="29" type="noConversion"/>
  <conditionalFormatting sqref="M3:T17">
    <cfRule type="expression" dxfId="30" priority="3">
      <formula xml:space="preserve"> "----------" = $S3</formula>
    </cfRule>
    <cfRule type="expression" dxfId="29" priority="5">
      <formula xml:space="preserve"> "پرداخت شد" = $S3</formula>
    </cfRule>
    <cfRule type="expression" dxfId="28" priority="6">
      <formula xml:space="preserve"> "خریداری شد" = $S3</formula>
    </cfRule>
    <cfRule type="expression" dxfId="27" priority="9">
      <formula xml:space="preserve"> "دریافت شد" = $S3</formula>
    </cfRule>
    <cfRule type="expression" dxfId="26" priority="10">
      <formula xml:space="preserve"> "-" = $S3</formula>
    </cfRule>
    <cfRule type="expression" dxfId="25" priority="11">
      <formula xml:space="preserve"> "S" = $O3</formula>
    </cfRule>
    <cfRule type="expression" dxfId="24" priority="12">
      <formula xml:space="preserve"> "A" = $O3</formula>
    </cfRule>
    <cfRule type="expression" dxfId="23" priority="13">
      <formula xml:space="preserve"> "B" = $O3</formula>
    </cfRule>
    <cfRule type="expression" dxfId="22" priority="14">
      <formula xml:space="preserve"> "C" = $O3</formula>
    </cfRule>
    <cfRule type="expression" dxfId="21" priority="15">
      <formula xml:space="preserve"> "D" = $O3</formula>
    </cfRule>
  </conditionalFormatting>
  <conditionalFormatting sqref="D3:K7">
    <cfRule type="expression" dxfId="20" priority="1">
      <formula xml:space="preserve"> $G3 &lt; 0</formula>
    </cfRule>
    <cfRule type="expression" dxfId="19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>
      <selection activeCell="A6" sqref="A6"/>
    </sheetView>
  </sheetViews>
  <sheetFormatPr defaultRowHeight="15"/>
  <cols>
    <col min="1" max="1" width="30" style="112" customWidth="1"/>
    <col min="2" max="2" width="0.7109375" style="112" customWidth="1"/>
    <col min="3" max="3" width="4.5703125" style="261" customWidth="1"/>
    <col min="4" max="4" width="6.85546875" style="261" customWidth="1"/>
    <col min="5" max="6" width="18.28515625" style="261" customWidth="1"/>
    <col min="7" max="7" width="36.5703125" style="261" customWidth="1"/>
    <col min="8" max="8" width="9.140625" style="261" customWidth="1"/>
    <col min="9" max="9" width="18.28515625" style="261" customWidth="1"/>
    <col min="10" max="10" width="21" style="261" customWidth="1"/>
    <col min="11" max="12" width="18.28515625" style="261" customWidth="1"/>
    <col min="13" max="13" width="36.5703125" style="261" customWidth="1"/>
    <col min="14" max="14" width="18.28515625" style="261" customWidth="1"/>
    <col min="15" max="15" width="4.5703125" style="261" customWidth="1"/>
    <col min="16" max="16" width="6.85546875" style="261" customWidth="1"/>
    <col min="17" max="17" width="15.28515625" style="261" customWidth="1"/>
    <col min="18" max="18" width="36.5703125" style="261" customWidth="1"/>
    <col min="19" max="19" width="9.140625" style="261" customWidth="1"/>
    <col min="20" max="20" width="36.5703125" style="261" customWidth="1"/>
    <col min="21" max="21" width="6.85546875" style="261" customWidth="1"/>
    <col min="22" max="27" width="15.28515625" style="261" customWidth="1"/>
    <col min="28" max="28" width="36.5703125" style="261" customWidth="1"/>
    <col min="29" max="29" width="4.5703125" style="261" customWidth="1"/>
    <col min="30" max="30" width="6.85546875" style="314" customWidth="1"/>
    <col min="31" max="31" width="18.28515625" style="313" customWidth="1"/>
    <col min="32" max="32" width="36.5703125" style="313" customWidth="1"/>
    <col min="33" max="35" width="18.28515625" style="313" customWidth="1"/>
    <col min="36" max="36" width="36.5703125" style="313" customWidth="1"/>
    <col min="37" max="37" width="4.5703125" style="261" customWidth="1"/>
    <col min="38" max="38" width="6.85546875" style="261" customWidth="1"/>
    <col min="39" max="39" width="18.28515625" style="261" customWidth="1"/>
    <col min="40" max="42" width="36.5703125" style="261" customWidth="1"/>
    <col min="43" max="43" width="18.28515625" style="261" customWidth="1"/>
    <col min="44" max="44" width="36.5703125" style="261" customWidth="1"/>
    <col min="45" max="45" width="4.5703125" style="261" customWidth="1"/>
    <col min="46" max="46" width="9.140625" style="313"/>
    <col min="47" max="48" width="18.28515625" style="313" customWidth="1"/>
    <col min="49" max="49" width="36.5703125" style="313" customWidth="1"/>
    <col min="50" max="50" width="18.28515625" style="313" customWidth="1"/>
    <col min="51" max="51" width="9.140625" style="314"/>
    <col min="52" max="52" width="24.28515625" style="313" customWidth="1"/>
    <col min="53" max="53" width="18.28515625" style="315" customWidth="1"/>
    <col min="54" max="55" width="20" style="315" customWidth="1"/>
    <col min="56" max="56" width="17.7109375" style="315" customWidth="1"/>
    <col min="57" max="57" width="23" style="314" customWidth="1"/>
    <col min="58" max="58" width="23" style="315" customWidth="1"/>
    <col min="59" max="59" width="25.85546875" style="261" customWidth="1"/>
    <col min="60" max="60" width="36.5703125" style="261" customWidth="1"/>
    <col min="61" max="61" width="0.7109375" style="261" customWidth="1"/>
    <col min="62" max="16384" width="9.140625" style="261"/>
  </cols>
  <sheetData>
    <row r="1" spans="1:58" ht="19.5" customHeight="1">
      <c r="A1" s="296" t="s">
        <v>1088</v>
      </c>
      <c r="D1" s="362" t="s">
        <v>1139</v>
      </c>
      <c r="E1" s="362"/>
      <c r="F1" s="362"/>
      <c r="G1" s="362"/>
      <c r="H1" s="308"/>
      <c r="I1" s="308"/>
      <c r="J1" s="308"/>
      <c r="K1" s="308"/>
      <c r="L1" s="308"/>
      <c r="M1" s="308"/>
      <c r="N1" s="308"/>
      <c r="P1" s="361" t="s">
        <v>1145</v>
      </c>
      <c r="Q1" s="361"/>
      <c r="R1" s="361"/>
      <c r="S1" s="361"/>
      <c r="T1" s="367"/>
      <c r="U1" s="307"/>
      <c r="V1" s="307"/>
      <c r="W1" s="307"/>
      <c r="X1" s="307"/>
      <c r="Y1" s="307"/>
      <c r="Z1" s="307"/>
      <c r="AA1" s="307"/>
      <c r="AB1" s="307"/>
      <c r="AD1" s="363" t="s">
        <v>1146</v>
      </c>
      <c r="AE1" s="363"/>
      <c r="AF1" s="363"/>
      <c r="AG1" s="312"/>
      <c r="AH1" s="312"/>
      <c r="AI1" s="312"/>
      <c r="AJ1" s="312"/>
    </row>
    <row r="2" spans="1:58">
      <c r="D2" s="62" t="s">
        <v>1</v>
      </c>
      <c r="E2" s="62" t="s">
        <v>0</v>
      </c>
      <c r="F2" s="62" t="s">
        <v>1089</v>
      </c>
      <c r="G2" s="62" t="s">
        <v>1090</v>
      </c>
      <c r="H2" s="62" t="s">
        <v>1091</v>
      </c>
      <c r="I2" s="62" t="s">
        <v>1092</v>
      </c>
      <c r="J2" s="62" t="s">
        <v>1093</v>
      </c>
      <c r="K2" s="62" t="s">
        <v>1094</v>
      </c>
      <c r="L2" s="62" t="s">
        <v>1095</v>
      </c>
      <c r="M2" s="62" t="s">
        <v>1096</v>
      </c>
      <c r="N2" s="62" t="s">
        <v>1097</v>
      </c>
      <c r="P2" s="298" t="s">
        <v>1</v>
      </c>
      <c r="Q2" s="298" t="s">
        <v>1089</v>
      </c>
      <c r="R2" s="298" t="s">
        <v>1090</v>
      </c>
      <c r="S2" s="298" t="s">
        <v>1064</v>
      </c>
      <c r="T2" s="298" t="s">
        <v>1169</v>
      </c>
      <c r="U2" s="299" t="s">
        <v>1102</v>
      </c>
      <c r="V2" s="298" t="s">
        <v>1141</v>
      </c>
      <c r="W2" s="300" t="s">
        <v>1140</v>
      </c>
      <c r="X2" s="300" t="s">
        <v>1142</v>
      </c>
      <c r="Y2" s="300" t="s">
        <v>1143</v>
      </c>
      <c r="Z2" s="300" t="s">
        <v>1144</v>
      </c>
      <c r="AA2" s="301" t="s">
        <v>1103</v>
      </c>
      <c r="AB2" s="301" t="s">
        <v>1096</v>
      </c>
      <c r="AD2" s="297" t="s">
        <v>1</v>
      </c>
      <c r="AE2" s="297" t="s">
        <v>1089</v>
      </c>
      <c r="AF2" s="297" t="s">
        <v>1090</v>
      </c>
      <c r="AG2" s="297" t="s">
        <v>1098</v>
      </c>
      <c r="AH2" s="297" t="s">
        <v>1099</v>
      </c>
      <c r="AI2" s="297" t="s">
        <v>1100</v>
      </c>
      <c r="AJ2" s="297" t="s">
        <v>1101</v>
      </c>
    </row>
    <row r="3" spans="1:58" ht="30">
      <c r="A3" s="134" t="s">
        <v>8</v>
      </c>
      <c r="D3" s="244">
        <v>1</v>
      </c>
      <c r="E3" s="245" t="s">
        <v>1166</v>
      </c>
      <c r="F3" s="245" t="s">
        <v>1133</v>
      </c>
      <c r="G3" s="245" t="s">
        <v>1162</v>
      </c>
      <c r="H3" s="364">
        <v>-1</v>
      </c>
      <c r="I3" s="245" t="s">
        <v>1104</v>
      </c>
      <c r="J3" s="245" t="s">
        <v>1105</v>
      </c>
      <c r="K3" s="245" t="s">
        <v>1047</v>
      </c>
      <c r="L3" s="245" t="s">
        <v>1048</v>
      </c>
      <c r="M3" s="245" t="s">
        <v>1040</v>
      </c>
      <c r="N3" s="309" t="s">
        <v>1161</v>
      </c>
      <c r="P3" s="244">
        <v>1</v>
      </c>
      <c r="Q3" s="245" t="s">
        <v>1133</v>
      </c>
      <c r="R3" s="245" t="s">
        <v>1168</v>
      </c>
      <c r="S3" s="245" t="s">
        <v>1068</v>
      </c>
      <c r="T3" s="245" t="s">
        <v>1174</v>
      </c>
      <c r="U3" s="244">
        <v>1</v>
      </c>
      <c r="V3" s="310">
        <v>300000000</v>
      </c>
      <c r="W3" s="311">
        <f>IFERROR(Table74[[#This Row],[تعداد]]*Table74[[#This Row],[قیمت واحد]],0)</f>
        <v>300000000</v>
      </c>
      <c r="X3" s="310">
        <v>200000000</v>
      </c>
      <c r="Y3" s="311">
        <f>IFERROR(Table74[[#This Row],[قیمت کل]]-Table74[[#This Row],[مبلغ تهیه شده]],0)</f>
        <v>100000000</v>
      </c>
      <c r="Z3" s="310"/>
      <c r="AA3" s="245" t="s">
        <v>1176</v>
      </c>
      <c r="AB3" s="245"/>
      <c r="AD3" s="302">
        <v>1</v>
      </c>
      <c r="AE3" s="303" t="s">
        <v>1106</v>
      </c>
      <c r="AF3" s="303" t="s">
        <v>1177</v>
      </c>
      <c r="AG3" s="303" t="s">
        <v>1178</v>
      </c>
      <c r="AH3" s="303" t="s">
        <v>1179</v>
      </c>
      <c r="AI3" s="303" t="s">
        <v>1125</v>
      </c>
      <c r="AJ3" s="303" t="s">
        <v>1107</v>
      </c>
    </row>
    <row r="4" spans="1:58" ht="45">
      <c r="A4" s="135" t="s">
        <v>113</v>
      </c>
      <c r="D4" s="244">
        <v>2</v>
      </c>
      <c r="E4" s="245" t="s">
        <v>1166</v>
      </c>
      <c r="F4" s="245" t="s">
        <v>1138</v>
      </c>
      <c r="G4" s="245" t="s">
        <v>1164</v>
      </c>
      <c r="H4" s="364">
        <v>1</v>
      </c>
      <c r="I4" s="245" t="s">
        <v>1109</v>
      </c>
      <c r="J4" s="245" t="s">
        <v>1110</v>
      </c>
      <c r="K4" s="245" t="s">
        <v>1158</v>
      </c>
      <c r="L4" s="245" t="s">
        <v>1047</v>
      </c>
      <c r="M4" s="366" t="s">
        <v>1165</v>
      </c>
      <c r="N4" s="309" t="s">
        <v>1167</v>
      </c>
      <c r="P4" s="244">
        <v>2</v>
      </c>
      <c r="Q4" s="245" t="s">
        <v>1114</v>
      </c>
      <c r="R4" s="245" t="s">
        <v>1171</v>
      </c>
      <c r="S4" s="245" t="s">
        <v>1065</v>
      </c>
      <c r="T4" s="245" t="s">
        <v>1040</v>
      </c>
      <c r="U4" s="244">
        <v>1</v>
      </c>
      <c r="V4" s="310">
        <v>20000000</v>
      </c>
      <c r="W4" s="311">
        <f>IFERROR(Table74[[#This Row],[تعداد]]*Table74[[#This Row],[قیمت واحد]],0)</f>
        <v>20000000</v>
      </c>
      <c r="X4" s="310">
        <v>20000000</v>
      </c>
      <c r="Y4" s="311">
        <f>IFERROR(Table74[[#This Row],[قیمت کل]]-Table74[[#This Row],[مبلغ تهیه شده]],0)</f>
        <v>0</v>
      </c>
      <c r="Z4" s="310"/>
      <c r="AA4" s="245" t="s">
        <v>1127</v>
      </c>
      <c r="AB4" s="245"/>
      <c r="AD4" s="371">
        <v>2</v>
      </c>
      <c r="AE4" s="372" t="s">
        <v>1133</v>
      </c>
      <c r="AF4" s="372" t="s">
        <v>1180</v>
      </c>
      <c r="AG4" s="372" t="s">
        <v>1040</v>
      </c>
      <c r="AH4" s="372" t="s">
        <v>1040</v>
      </c>
      <c r="AI4" s="372" t="s">
        <v>1112</v>
      </c>
      <c r="AJ4" s="303" t="s">
        <v>1107</v>
      </c>
    </row>
    <row r="5" spans="1:58" ht="30">
      <c r="A5" s="138" t="s">
        <v>1184</v>
      </c>
      <c r="D5" s="244">
        <v>3</v>
      </c>
      <c r="E5" s="245"/>
      <c r="F5" s="245"/>
      <c r="G5" s="245"/>
      <c r="H5" s="364"/>
      <c r="I5" s="245"/>
      <c r="J5" s="245"/>
      <c r="K5" s="245"/>
      <c r="L5" s="245"/>
      <c r="M5" s="245"/>
      <c r="N5" s="309"/>
      <c r="P5" s="244">
        <v>3</v>
      </c>
      <c r="Q5" s="245"/>
      <c r="R5" s="245" t="s">
        <v>1172</v>
      </c>
      <c r="S5" s="245" t="s">
        <v>1067</v>
      </c>
      <c r="T5" s="245" t="s">
        <v>1173</v>
      </c>
      <c r="U5" s="244">
        <v>1</v>
      </c>
      <c r="V5" s="310">
        <v>20000000</v>
      </c>
      <c r="W5" s="311">
        <f>IFERROR(Table74[[#This Row],[تعداد]]*Table74[[#This Row],[قیمت واحد]],0)</f>
        <v>20000000</v>
      </c>
      <c r="X5" s="310">
        <v>20000000</v>
      </c>
      <c r="Y5" s="311">
        <f>IFERROR(Table74[[#This Row],[قیمت کل]]-Table74[[#This Row],[مبلغ تهیه شده]],0)</f>
        <v>0</v>
      </c>
      <c r="Z5" s="310">
        <v>19500000</v>
      </c>
      <c r="AA5" s="245" t="s">
        <v>1113</v>
      </c>
      <c r="AB5" s="245"/>
      <c r="AD5" s="371">
        <v>3</v>
      </c>
      <c r="AE5" s="372" t="s">
        <v>1133</v>
      </c>
      <c r="AF5" s="372" t="s">
        <v>257</v>
      </c>
      <c r="AG5" s="372" t="s">
        <v>1040</v>
      </c>
      <c r="AH5" s="372" t="s">
        <v>1040</v>
      </c>
      <c r="AI5" s="372" t="s">
        <v>1126</v>
      </c>
      <c r="AJ5" s="303" t="s">
        <v>1107</v>
      </c>
    </row>
    <row r="6" spans="1:58" ht="45">
      <c r="A6" s="384" t="s">
        <v>1185</v>
      </c>
      <c r="D6" s="244">
        <v>4</v>
      </c>
      <c r="E6" s="245"/>
      <c r="F6" s="245"/>
      <c r="G6" s="245"/>
      <c r="H6" s="364"/>
      <c r="I6" s="245"/>
      <c r="J6" s="245"/>
      <c r="K6" s="245"/>
      <c r="L6" s="245"/>
      <c r="M6" s="245"/>
      <c r="N6" s="309"/>
      <c r="P6" s="244">
        <v>4</v>
      </c>
      <c r="Q6" s="245" t="s">
        <v>1138</v>
      </c>
      <c r="R6" s="245" t="s">
        <v>1164</v>
      </c>
      <c r="S6" s="245" t="s">
        <v>1066</v>
      </c>
      <c r="T6" s="245" t="s">
        <v>1170</v>
      </c>
      <c r="U6" s="244">
        <v>1</v>
      </c>
      <c r="V6" s="310">
        <v>550000</v>
      </c>
      <c r="W6" s="311">
        <f>IFERROR(Table74[[#This Row],[تعداد]]*Table74[[#This Row],[قیمت واحد]],0)</f>
        <v>550000</v>
      </c>
      <c r="X6" s="310">
        <v>550000</v>
      </c>
      <c r="Y6" s="311">
        <f>IFERROR(Table74[[#This Row],[قیمت کل]]-Table74[[#This Row],[مبلغ تهیه شده]],0)</f>
        <v>0</v>
      </c>
      <c r="Z6" s="310">
        <v>450000</v>
      </c>
      <c r="AA6" s="245" t="s">
        <v>1108</v>
      </c>
      <c r="AB6" s="245"/>
      <c r="AD6" s="375"/>
      <c r="AE6" s="376"/>
      <c r="AF6" s="376"/>
      <c r="AG6" s="376"/>
      <c r="AH6" s="376"/>
      <c r="AI6" s="376"/>
      <c r="AJ6" s="376"/>
      <c r="AL6" s="373"/>
      <c r="AM6" s="374"/>
      <c r="AN6" s="374"/>
      <c r="AO6" s="374"/>
      <c r="AP6" s="374"/>
      <c r="AQ6" s="374"/>
      <c r="AR6" s="374"/>
    </row>
    <row r="7" spans="1:58" ht="18.75">
      <c r="A7" s="386" t="s">
        <v>1186</v>
      </c>
      <c r="D7" s="244">
        <v>5</v>
      </c>
      <c r="E7" s="245"/>
      <c r="F7" s="245"/>
      <c r="G7" s="245"/>
      <c r="H7" s="364"/>
      <c r="I7" s="245"/>
      <c r="J7" s="245"/>
      <c r="K7" s="245"/>
      <c r="L7" s="245"/>
      <c r="M7" s="245"/>
      <c r="N7" s="309"/>
      <c r="P7" s="244">
        <v>5</v>
      </c>
      <c r="Q7" s="245" t="s">
        <v>1106</v>
      </c>
      <c r="R7" s="245" t="s">
        <v>1175</v>
      </c>
      <c r="S7" s="245" t="s">
        <v>1069</v>
      </c>
      <c r="T7" s="245" t="s">
        <v>1040</v>
      </c>
      <c r="U7" s="244">
        <v>1</v>
      </c>
      <c r="V7" s="310">
        <v>70000000</v>
      </c>
      <c r="W7" s="311">
        <f>IFERROR(Table74[[#This Row],[تعداد]]*Table74[[#This Row],[قیمت واحد]],0)</f>
        <v>70000000</v>
      </c>
      <c r="X7" s="310">
        <v>0</v>
      </c>
      <c r="Y7" s="311">
        <f>IFERROR(Table74[[#This Row],[قیمت کل]]-Table74[[#This Row],[مبلغ تهیه شده]],0)</f>
        <v>70000000</v>
      </c>
      <c r="Z7" s="310"/>
      <c r="AA7" s="245" t="s">
        <v>1182</v>
      </c>
      <c r="AB7" s="245"/>
      <c r="AD7" s="375"/>
      <c r="AE7" s="376"/>
      <c r="AF7" s="376"/>
      <c r="AG7" s="376"/>
      <c r="AH7" s="376"/>
      <c r="AI7" s="376"/>
      <c r="AJ7" s="376"/>
      <c r="AL7" s="373"/>
      <c r="AM7" s="374"/>
      <c r="AN7" s="374"/>
      <c r="AO7" s="374"/>
      <c r="AP7" s="374"/>
      <c r="AQ7" s="374"/>
      <c r="AR7" s="374"/>
    </row>
    <row r="8" spans="1:58" ht="18.75">
      <c r="A8" s="389" t="s">
        <v>1187</v>
      </c>
      <c r="D8" s="244">
        <v>6</v>
      </c>
      <c r="E8" s="245"/>
      <c r="F8" s="245"/>
      <c r="G8" s="245"/>
      <c r="H8" s="364"/>
      <c r="I8" s="245"/>
      <c r="J8" s="245"/>
      <c r="K8" s="245"/>
      <c r="L8" s="245"/>
      <c r="M8" s="245"/>
      <c r="N8" s="309"/>
      <c r="P8" s="247" t="s">
        <v>140</v>
      </c>
      <c r="Q8" s="368"/>
      <c r="R8" s="368"/>
      <c r="S8" s="368"/>
      <c r="T8" s="368"/>
      <c r="U8" s="244">
        <f>SUBTOTAL(109,Table74[تعداد])</f>
        <v>5</v>
      </c>
      <c r="V8" s="368"/>
      <c r="W8" s="369"/>
      <c r="X8" s="368"/>
      <c r="Y8" s="369"/>
      <c r="Z8" s="368"/>
      <c r="AA8" s="368"/>
      <c r="AB8" s="368"/>
      <c r="AD8" s="375"/>
      <c r="AE8" s="376"/>
      <c r="AF8" s="376"/>
      <c r="AG8" s="376"/>
      <c r="AH8" s="376"/>
      <c r="AI8" s="376"/>
      <c r="AJ8" s="376"/>
      <c r="AL8" s="373"/>
      <c r="AM8" s="374"/>
      <c r="AN8" s="374"/>
      <c r="AO8" s="374"/>
      <c r="AP8" s="374"/>
      <c r="AQ8" s="374"/>
      <c r="AR8" s="374"/>
    </row>
    <row r="9" spans="1:58" ht="18.75">
      <c r="A9" s="387" t="s">
        <v>7</v>
      </c>
      <c r="D9" s="244">
        <v>7</v>
      </c>
      <c r="E9" s="245"/>
      <c r="F9" s="245"/>
      <c r="G9" s="245"/>
      <c r="H9" s="364"/>
      <c r="I9" s="245"/>
      <c r="J9" s="245"/>
      <c r="K9" s="245"/>
      <c r="L9" s="245"/>
      <c r="M9" s="245"/>
      <c r="N9" s="309"/>
      <c r="P9" s="375"/>
      <c r="Q9" s="376"/>
      <c r="R9" s="376"/>
      <c r="S9" s="376"/>
      <c r="T9" s="376"/>
      <c r="U9" s="375"/>
      <c r="V9" s="377"/>
      <c r="W9" s="378"/>
      <c r="X9" s="377"/>
      <c r="Y9" s="378"/>
      <c r="Z9" s="377"/>
      <c r="AA9" s="376"/>
      <c r="AB9" s="376"/>
      <c r="AD9" s="375"/>
      <c r="AE9" s="376"/>
      <c r="AF9" s="376"/>
      <c r="AG9" s="376"/>
      <c r="AH9" s="376"/>
      <c r="AI9" s="376"/>
      <c r="AJ9" s="376"/>
      <c r="AL9" s="373"/>
      <c r="AM9" s="374"/>
      <c r="AN9" s="374"/>
      <c r="AO9" s="374"/>
      <c r="AP9" s="374"/>
      <c r="AQ9" s="374"/>
      <c r="AR9" s="374"/>
    </row>
    <row r="10" spans="1:58" ht="18.75">
      <c r="A10" s="388" t="s">
        <v>100</v>
      </c>
      <c r="D10" s="247" t="s">
        <v>140</v>
      </c>
      <c r="E10" s="365"/>
      <c r="F10" s="365"/>
      <c r="G10" s="365"/>
      <c r="H10" s="364">
        <f>SUBTOTAL(109,CommodityInputandOutputTable[تعداد کالا])</f>
        <v>0</v>
      </c>
      <c r="I10" s="365"/>
      <c r="J10" s="365"/>
      <c r="K10" s="365"/>
      <c r="L10" s="365"/>
      <c r="M10" s="365"/>
      <c r="N10" s="365">
        <f>SUBTOTAL(103,CommodityInputandOutputTable[لینک تصویر کالا])</f>
        <v>2</v>
      </c>
      <c r="P10" s="375"/>
      <c r="Q10" s="376"/>
      <c r="R10" s="376"/>
      <c r="S10" s="376"/>
      <c r="T10" s="376"/>
      <c r="U10" s="375"/>
      <c r="V10" s="377"/>
      <c r="W10" s="378"/>
      <c r="X10" s="377"/>
      <c r="Y10" s="378"/>
      <c r="Z10" s="377"/>
      <c r="AA10" s="376"/>
      <c r="AB10" s="376"/>
      <c r="AD10" s="318"/>
      <c r="AE10" s="319"/>
      <c r="AF10" s="319"/>
      <c r="AG10" s="319"/>
      <c r="AH10" s="319"/>
      <c r="AI10" s="319"/>
      <c r="AJ10" s="319"/>
    </row>
    <row r="11" spans="1:58"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7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D11" s="318"/>
      <c r="AE11" s="319"/>
      <c r="AF11" s="319"/>
      <c r="AG11" s="319"/>
      <c r="AH11" s="319"/>
      <c r="AI11" s="319"/>
      <c r="AJ11" s="319"/>
    </row>
    <row r="12" spans="1:58"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7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D12" s="318"/>
      <c r="AE12" s="319"/>
      <c r="AF12" s="319"/>
      <c r="AG12" s="319"/>
      <c r="AH12" s="319"/>
      <c r="AI12" s="319"/>
      <c r="AJ12" s="319"/>
    </row>
    <row r="13" spans="1:58">
      <c r="A13" s="295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7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D13" s="318"/>
      <c r="AE13" s="319"/>
      <c r="AF13" s="319"/>
      <c r="AG13" s="319"/>
      <c r="AH13" s="319"/>
      <c r="AI13" s="319"/>
      <c r="AJ13" s="319"/>
    </row>
    <row r="14" spans="1:58" ht="15.75">
      <c r="A14" s="360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7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  <c r="AA14" s="316"/>
      <c r="AB14" s="316"/>
      <c r="AD14" s="318"/>
      <c r="AE14" s="319"/>
      <c r="AF14" s="319"/>
      <c r="AG14" s="319"/>
      <c r="AH14" s="319"/>
      <c r="AI14" s="319"/>
      <c r="AJ14" s="319"/>
    </row>
    <row r="15" spans="1:58">
      <c r="A15" s="295"/>
      <c r="D15" s="316"/>
      <c r="E15" s="316"/>
      <c r="F15" s="316"/>
      <c r="G15" s="316"/>
      <c r="H15" s="316"/>
      <c r="I15" s="316"/>
      <c r="J15" s="316"/>
      <c r="K15" s="316"/>
      <c r="L15" s="316"/>
      <c r="M15" s="316"/>
      <c r="N15" s="316"/>
      <c r="P15" s="316"/>
      <c r="Q15" s="316"/>
      <c r="R15" s="316"/>
      <c r="S15" s="316"/>
      <c r="T15" s="316"/>
      <c r="U15" s="316"/>
      <c r="V15" s="316"/>
      <c r="W15" s="316"/>
      <c r="X15" s="316"/>
      <c r="Y15" s="316"/>
      <c r="Z15" s="316"/>
      <c r="AA15" s="316"/>
      <c r="AB15" s="316"/>
      <c r="AD15" s="318"/>
      <c r="AE15" s="319"/>
      <c r="AF15" s="319"/>
      <c r="AG15" s="319"/>
      <c r="AH15" s="319"/>
      <c r="AI15" s="319"/>
      <c r="AJ15" s="319"/>
    </row>
    <row r="16" spans="1:58">
      <c r="A16" s="295"/>
      <c r="P16" s="316"/>
      <c r="Q16" s="316"/>
      <c r="R16" s="316"/>
      <c r="S16" s="316"/>
      <c r="T16" s="316"/>
      <c r="U16" s="316"/>
      <c r="V16" s="316"/>
      <c r="W16" s="316"/>
      <c r="X16" s="316"/>
      <c r="Y16" s="316"/>
      <c r="Z16" s="316"/>
      <c r="AA16" s="316"/>
      <c r="AB16" s="316"/>
      <c r="AD16" s="318"/>
      <c r="AE16" s="319"/>
      <c r="AF16" s="319"/>
      <c r="AG16" s="319"/>
      <c r="AH16" s="319"/>
      <c r="AI16" s="319"/>
      <c r="AJ16" s="319"/>
      <c r="AT16" s="261"/>
      <c r="AU16" s="261"/>
      <c r="AV16" s="261"/>
      <c r="AW16" s="261"/>
      <c r="AX16" s="261"/>
      <c r="AY16" s="261"/>
      <c r="AZ16" s="261"/>
      <c r="BA16" s="261"/>
      <c r="BB16" s="261"/>
      <c r="BC16" s="261"/>
      <c r="BD16" s="261"/>
      <c r="BE16" s="261"/>
      <c r="BF16" s="261"/>
    </row>
    <row r="17" spans="1:58"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  <c r="AA17" s="316"/>
      <c r="AB17" s="316"/>
      <c r="AD17" s="318"/>
      <c r="AE17" s="319"/>
      <c r="AF17" s="319"/>
      <c r="AG17" s="319"/>
      <c r="AH17" s="319"/>
      <c r="AI17" s="319"/>
      <c r="AJ17" s="319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58"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  <c r="AA18" s="316"/>
      <c r="AB18" s="316"/>
      <c r="AD18" s="318"/>
      <c r="AE18" s="319"/>
      <c r="AF18" s="319"/>
      <c r="AG18" s="319"/>
      <c r="AH18" s="319"/>
      <c r="AI18" s="319"/>
      <c r="AJ18" s="319"/>
      <c r="AT18" s="261"/>
      <c r="AU18" s="261"/>
      <c r="AV18" s="261"/>
      <c r="AW18" s="261"/>
      <c r="AX18" s="261"/>
      <c r="AY18" s="261"/>
      <c r="AZ18" s="261"/>
      <c r="BA18" s="261"/>
      <c r="BB18" s="261"/>
      <c r="BC18" s="261"/>
      <c r="BD18" s="261"/>
      <c r="BE18" s="261"/>
      <c r="BF18" s="261"/>
    </row>
    <row r="19" spans="1:58">
      <c r="A19" s="295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  <c r="AA19" s="316"/>
      <c r="AB19" s="316"/>
      <c r="AD19" s="318"/>
      <c r="AE19" s="319"/>
      <c r="AF19" s="319"/>
      <c r="AG19" s="319"/>
      <c r="AH19" s="319"/>
      <c r="AI19" s="319"/>
      <c r="AJ19" s="319"/>
      <c r="AT19" s="261"/>
      <c r="AU19" s="261"/>
      <c r="AV19" s="261"/>
      <c r="AW19" s="261"/>
      <c r="AX19" s="261"/>
      <c r="AY19" s="261"/>
      <c r="AZ19" s="261"/>
      <c r="BA19" s="261"/>
      <c r="BB19" s="261"/>
      <c r="BC19" s="261"/>
      <c r="BD19" s="261"/>
      <c r="BE19" s="261"/>
      <c r="BF19" s="261"/>
    </row>
    <row r="20" spans="1:58">
      <c r="P20" s="316"/>
      <c r="Q20" s="316"/>
      <c r="R20" s="316"/>
      <c r="S20" s="316"/>
      <c r="T20" s="316"/>
      <c r="U20" s="316"/>
      <c r="V20" s="316"/>
      <c r="W20" s="316"/>
      <c r="X20" s="316"/>
      <c r="Y20" s="316"/>
      <c r="Z20" s="316"/>
      <c r="AA20" s="316"/>
      <c r="AB20" s="316"/>
      <c r="AD20" s="318"/>
      <c r="AE20" s="319"/>
      <c r="AF20" s="319"/>
      <c r="AG20" s="319"/>
      <c r="AH20" s="319"/>
      <c r="AI20" s="319"/>
      <c r="AJ20" s="319"/>
      <c r="AT20" s="261"/>
      <c r="AU20" s="261"/>
      <c r="AV20" s="261"/>
      <c r="AW20" s="261"/>
      <c r="AX20" s="261"/>
      <c r="AY20" s="261"/>
      <c r="AZ20" s="261"/>
      <c r="BA20" s="261"/>
      <c r="BB20" s="261"/>
      <c r="BC20" s="261"/>
      <c r="BD20" s="261"/>
      <c r="BE20" s="261"/>
      <c r="BF20" s="261"/>
    </row>
    <row r="21" spans="1:58">
      <c r="P21" s="316"/>
      <c r="Q21" s="316"/>
      <c r="R21" s="316"/>
      <c r="S21" s="316"/>
      <c r="T21" s="316"/>
      <c r="U21" s="316"/>
      <c r="V21" s="316"/>
      <c r="W21" s="316"/>
      <c r="X21" s="316"/>
      <c r="Y21" s="316"/>
      <c r="Z21" s="316"/>
      <c r="AA21" s="316"/>
      <c r="AB21" s="316"/>
      <c r="AD21" s="318"/>
      <c r="AE21" s="319"/>
      <c r="AF21" s="319"/>
      <c r="AG21" s="319"/>
      <c r="AH21" s="319"/>
      <c r="AI21" s="319"/>
      <c r="AJ21" s="319"/>
      <c r="AT21" s="261"/>
      <c r="AU21" s="261"/>
      <c r="AV21" s="261"/>
      <c r="AW21" s="261"/>
      <c r="AX21" s="261"/>
      <c r="AY21" s="261"/>
      <c r="AZ21" s="261"/>
      <c r="BA21" s="261"/>
      <c r="BB21" s="261"/>
      <c r="BC21" s="261"/>
      <c r="BD21" s="261"/>
      <c r="BE21" s="261"/>
      <c r="BF21" s="261"/>
    </row>
    <row r="22" spans="1:58"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  <c r="AA22" s="316"/>
      <c r="AB22" s="316"/>
      <c r="AD22" s="318"/>
      <c r="AE22" s="319"/>
      <c r="AF22" s="319"/>
      <c r="AG22" s="319"/>
      <c r="AH22" s="319"/>
      <c r="AI22" s="319"/>
      <c r="AJ22" s="319"/>
      <c r="AT22" s="261"/>
      <c r="AU22" s="261"/>
      <c r="AV22" s="261"/>
      <c r="AW22" s="261"/>
      <c r="AX22" s="261"/>
      <c r="AY22" s="261"/>
      <c r="AZ22" s="261"/>
      <c r="BA22" s="261"/>
      <c r="BB22" s="261"/>
      <c r="BC22" s="261"/>
      <c r="BD22" s="261"/>
      <c r="BE22" s="261"/>
      <c r="BF22" s="261"/>
    </row>
    <row r="23" spans="1:58"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  <c r="AA23" s="316"/>
      <c r="AB23" s="316"/>
      <c r="AD23" s="318"/>
      <c r="AE23" s="319"/>
      <c r="AF23" s="319"/>
      <c r="AG23" s="319"/>
      <c r="AH23" s="319"/>
      <c r="AI23" s="319"/>
      <c r="AJ23" s="319"/>
      <c r="AT23" s="261"/>
      <c r="AU23" s="261"/>
      <c r="AV23" s="261"/>
      <c r="AW23" s="261"/>
      <c r="AX23" s="261"/>
      <c r="AY23" s="261"/>
      <c r="AZ23" s="261"/>
      <c r="BA23" s="261"/>
      <c r="BB23" s="261"/>
      <c r="BC23" s="261"/>
      <c r="BD23" s="261"/>
      <c r="BE23" s="261"/>
      <c r="BF23" s="261"/>
    </row>
    <row r="24" spans="1:58">
      <c r="A24" s="295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D24" s="318"/>
      <c r="AE24" s="319"/>
      <c r="AF24" s="319"/>
      <c r="AG24" s="319"/>
      <c r="AH24" s="319"/>
      <c r="AI24" s="319"/>
      <c r="AJ24" s="319"/>
      <c r="AT24" s="261"/>
      <c r="AU24" s="261"/>
      <c r="AV24" s="261"/>
      <c r="AW24" s="261"/>
      <c r="AX24" s="261"/>
      <c r="AY24" s="261"/>
      <c r="AZ24" s="261"/>
      <c r="BA24" s="261"/>
      <c r="BB24" s="261"/>
      <c r="BC24" s="261"/>
      <c r="BD24" s="261"/>
      <c r="BE24" s="261"/>
      <c r="BF24" s="261"/>
    </row>
    <row r="25" spans="1:58">
      <c r="A25" s="295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  <c r="AA25" s="316"/>
      <c r="AB25" s="316"/>
      <c r="AD25" s="318"/>
      <c r="AE25" s="319"/>
      <c r="AF25" s="319"/>
      <c r="AG25" s="319"/>
      <c r="AH25" s="319"/>
      <c r="AI25" s="319"/>
      <c r="AJ25" s="319"/>
      <c r="AT25" s="261"/>
      <c r="AU25" s="261"/>
      <c r="AV25" s="261"/>
      <c r="AW25" s="261"/>
      <c r="AX25" s="261"/>
      <c r="AY25" s="261"/>
      <c r="AZ25" s="261"/>
      <c r="BA25" s="261"/>
      <c r="BB25" s="261"/>
      <c r="BC25" s="261"/>
      <c r="BD25" s="261"/>
      <c r="BE25" s="261"/>
      <c r="BF25" s="261"/>
    </row>
    <row r="26" spans="1:58">
      <c r="A26" s="295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D26" s="318"/>
      <c r="AE26" s="319"/>
      <c r="AF26" s="319"/>
      <c r="AG26" s="319"/>
      <c r="AH26" s="319"/>
      <c r="AI26" s="319"/>
      <c r="AJ26" s="319"/>
      <c r="AT26" s="261"/>
      <c r="AU26" s="261"/>
      <c r="AV26" s="261"/>
      <c r="AW26" s="261"/>
      <c r="AX26" s="261"/>
      <c r="AY26" s="261"/>
      <c r="AZ26" s="261"/>
      <c r="BA26" s="261"/>
      <c r="BB26" s="261"/>
      <c r="BC26" s="261"/>
      <c r="BD26" s="261"/>
      <c r="BE26" s="261"/>
      <c r="BF26" s="261"/>
    </row>
    <row r="27" spans="1:58">
      <c r="P27" s="316"/>
      <c r="Q27" s="316"/>
      <c r="R27" s="316"/>
      <c r="S27" s="316"/>
      <c r="T27" s="316"/>
      <c r="U27" s="316"/>
      <c r="V27" s="316"/>
      <c r="W27" s="316"/>
      <c r="X27" s="316"/>
      <c r="Y27" s="316"/>
      <c r="Z27" s="316"/>
      <c r="AA27" s="316"/>
      <c r="AB27" s="316"/>
      <c r="AD27" s="318"/>
      <c r="AE27" s="319"/>
      <c r="AF27" s="319"/>
      <c r="AG27" s="319"/>
      <c r="AH27" s="319"/>
      <c r="AI27" s="319"/>
      <c r="AJ27" s="319"/>
      <c r="AT27" s="261"/>
      <c r="AU27" s="261"/>
      <c r="AV27" s="261"/>
      <c r="AW27" s="261"/>
      <c r="AX27" s="261"/>
      <c r="AY27" s="261"/>
      <c r="AZ27" s="261"/>
      <c r="BA27" s="261"/>
      <c r="BB27" s="261"/>
      <c r="BC27" s="261"/>
      <c r="BD27" s="261"/>
      <c r="BE27" s="261"/>
      <c r="BF27" s="261"/>
    </row>
    <row r="28" spans="1:58"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D28" s="318"/>
      <c r="AE28" s="319"/>
      <c r="AF28" s="319"/>
      <c r="AG28" s="319"/>
      <c r="AH28" s="319"/>
      <c r="AI28" s="319"/>
      <c r="AJ28" s="319"/>
      <c r="AT28" s="261"/>
      <c r="AU28" s="261"/>
      <c r="AV28" s="261"/>
      <c r="AW28" s="261"/>
      <c r="AX28" s="261"/>
      <c r="AY28" s="261"/>
      <c r="AZ28" s="261"/>
      <c r="BA28" s="261"/>
      <c r="BB28" s="261"/>
      <c r="BC28" s="261"/>
      <c r="BD28" s="261"/>
      <c r="BE28" s="261"/>
      <c r="BF28" s="261"/>
    </row>
    <row r="29" spans="1:58"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D29" s="318"/>
      <c r="AE29" s="319"/>
      <c r="AF29" s="319"/>
      <c r="AG29" s="319"/>
      <c r="AH29" s="319"/>
      <c r="AI29" s="319"/>
      <c r="AJ29" s="319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</row>
    <row r="30" spans="1:58">
      <c r="P30" s="316"/>
      <c r="Q30" s="316"/>
      <c r="R30" s="316"/>
      <c r="S30" s="316"/>
      <c r="T30" s="316"/>
      <c r="U30" s="316"/>
      <c r="V30" s="316"/>
      <c r="W30" s="316"/>
      <c r="X30" s="316"/>
      <c r="Y30" s="316"/>
      <c r="Z30" s="316"/>
      <c r="AA30" s="316"/>
      <c r="AB30" s="316"/>
      <c r="AD30" s="318"/>
      <c r="AE30" s="319"/>
      <c r="AF30" s="319"/>
      <c r="AG30" s="319"/>
      <c r="AH30" s="319"/>
      <c r="AI30" s="319"/>
      <c r="AJ30" s="319"/>
      <c r="AT30" s="261"/>
      <c r="AU30" s="261"/>
      <c r="AV30" s="261"/>
      <c r="AW30" s="261"/>
      <c r="AX30" s="261"/>
      <c r="AY30" s="261"/>
      <c r="AZ30" s="261"/>
      <c r="BA30" s="261"/>
      <c r="BB30" s="261"/>
      <c r="BC30" s="261"/>
      <c r="BD30" s="261"/>
      <c r="BE30" s="261"/>
      <c r="BF30" s="261"/>
    </row>
    <row r="31" spans="1:58">
      <c r="P31" s="316"/>
      <c r="Q31" s="316"/>
      <c r="R31" s="316"/>
      <c r="S31" s="316"/>
      <c r="T31" s="316"/>
      <c r="U31" s="316"/>
      <c r="V31" s="316"/>
      <c r="W31" s="316"/>
      <c r="X31" s="316"/>
      <c r="Y31" s="316"/>
      <c r="Z31" s="316"/>
      <c r="AA31" s="316"/>
      <c r="AB31" s="316"/>
      <c r="AD31" s="318"/>
      <c r="AE31" s="319"/>
      <c r="AF31" s="319"/>
      <c r="AG31" s="319"/>
      <c r="AH31" s="319"/>
      <c r="AI31" s="319"/>
      <c r="AJ31" s="319"/>
      <c r="AT31" s="261"/>
      <c r="AU31" s="261"/>
      <c r="AV31" s="261"/>
      <c r="AW31" s="261"/>
      <c r="AX31" s="261"/>
      <c r="AY31" s="261"/>
      <c r="AZ31" s="261"/>
      <c r="BA31" s="261"/>
      <c r="BB31" s="261"/>
      <c r="BC31" s="261"/>
      <c r="BD31" s="261"/>
      <c r="BE31" s="261"/>
      <c r="BF31" s="261"/>
    </row>
    <row r="32" spans="1:58"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  <c r="AA32" s="316"/>
      <c r="AB32" s="316"/>
      <c r="AD32" s="318"/>
      <c r="AE32" s="319"/>
      <c r="AF32" s="319"/>
      <c r="AG32" s="319"/>
      <c r="AH32" s="319"/>
      <c r="AI32" s="319"/>
      <c r="AJ32" s="319"/>
      <c r="AT32" s="261"/>
      <c r="AU32" s="261"/>
      <c r="AV32" s="261"/>
      <c r="AW32" s="261"/>
      <c r="AX32" s="261"/>
      <c r="AY32" s="261"/>
      <c r="AZ32" s="261"/>
      <c r="BA32" s="261"/>
      <c r="BB32" s="261"/>
      <c r="BC32" s="261"/>
      <c r="BD32" s="261"/>
      <c r="BE32" s="261"/>
      <c r="BF32" s="261"/>
    </row>
    <row r="33" spans="1:58">
      <c r="P33" s="316"/>
      <c r="Q33" s="316"/>
      <c r="R33" s="316"/>
      <c r="S33" s="316"/>
      <c r="T33" s="316"/>
      <c r="U33" s="316"/>
      <c r="V33" s="316"/>
      <c r="W33" s="316"/>
      <c r="X33" s="316"/>
      <c r="Y33" s="316"/>
      <c r="Z33" s="316"/>
      <c r="AA33" s="316"/>
      <c r="AB33" s="316"/>
      <c r="AD33" s="318"/>
      <c r="AE33" s="319"/>
      <c r="AF33" s="319"/>
      <c r="AG33" s="319"/>
      <c r="AH33" s="319"/>
      <c r="AI33" s="319"/>
      <c r="AJ33" s="319"/>
      <c r="AT33" s="261"/>
      <c r="AU33" s="261"/>
      <c r="AV33" s="261"/>
      <c r="AW33" s="261"/>
      <c r="AX33" s="261"/>
      <c r="AY33" s="261"/>
      <c r="AZ33" s="261"/>
      <c r="BA33" s="261"/>
      <c r="BB33" s="261"/>
      <c r="BC33" s="261"/>
      <c r="BD33" s="261"/>
      <c r="BE33" s="261"/>
      <c r="BF33" s="261"/>
    </row>
    <row r="34" spans="1:58">
      <c r="A34" s="295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6"/>
      <c r="AB34" s="316"/>
      <c r="AD34" s="318"/>
      <c r="AE34" s="319"/>
      <c r="AF34" s="319"/>
      <c r="AG34" s="319"/>
      <c r="AH34" s="319"/>
      <c r="AI34" s="319"/>
      <c r="AJ34" s="319"/>
      <c r="AT34" s="261"/>
      <c r="AU34" s="261"/>
      <c r="AV34" s="261"/>
      <c r="AW34" s="261"/>
      <c r="AX34" s="261"/>
      <c r="AY34" s="261"/>
      <c r="AZ34" s="261"/>
      <c r="BA34" s="261"/>
      <c r="BB34" s="261"/>
      <c r="BC34" s="261"/>
      <c r="BD34" s="261"/>
      <c r="BE34" s="261"/>
      <c r="BF34" s="261"/>
    </row>
    <row r="35" spans="1:58">
      <c r="A35" s="295"/>
      <c r="B35" s="295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316"/>
      <c r="AA35" s="316"/>
      <c r="AB35" s="316"/>
      <c r="AD35" s="318"/>
      <c r="AE35" s="319"/>
      <c r="AF35" s="319"/>
      <c r="AG35" s="319"/>
      <c r="AH35" s="319"/>
      <c r="AI35" s="319"/>
      <c r="AJ35" s="319"/>
      <c r="AT35" s="261"/>
      <c r="AU35" s="261"/>
      <c r="AV35" s="261"/>
      <c r="AW35" s="261"/>
      <c r="AX35" s="261"/>
      <c r="AY35" s="261"/>
      <c r="AZ35" s="261"/>
      <c r="BA35" s="261"/>
      <c r="BB35" s="261"/>
      <c r="BC35" s="261"/>
      <c r="BD35" s="261"/>
      <c r="BE35" s="261"/>
      <c r="BF35" s="261"/>
    </row>
    <row r="36" spans="1:58">
      <c r="A36" s="295"/>
      <c r="B36" s="295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D36" s="318"/>
      <c r="AE36" s="319"/>
      <c r="AF36" s="319"/>
      <c r="AG36" s="319"/>
      <c r="AH36" s="319"/>
      <c r="AI36" s="319"/>
      <c r="AJ36" s="319"/>
      <c r="AT36" s="261"/>
      <c r="AU36" s="261"/>
      <c r="AV36" s="261"/>
      <c r="AW36" s="261"/>
      <c r="AX36" s="261"/>
      <c r="AY36" s="261"/>
      <c r="AZ36" s="261"/>
      <c r="BA36" s="261"/>
      <c r="BB36" s="261"/>
      <c r="BC36" s="261"/>
      <c r="BD36" s="261"/>
      <c r="BE36" s="261"/>
      <c r="BF36" s="261"/>
    </row>
    <row r="37" spans="1:58">
      <c r="B37" s="295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6"/>
      <c r="AB37" s="316"/>
      <c r="AD37" s="318"/>
      <c r="AE37" s="319"/>
      <c r="AF37" s="319"/>
      <c r="AG37" s="319"/>
      <c r="AH37" s="319"/>
      <c r="AI37" s="319"/>
      <c r="AJ37" s="319"/>
      <c r="AT37" s="261"/>
      <c r="AU37" s="261"/>
      <c r="AV37" s="261"/>
      <c r="AW37" s="261"/>
      <c r="AX37" s="261"/>
      <c r="AY37" s="261"/>
      <c r="AZ37" s="261"/>
      <c r="BA37" s="261"/>
      <c r="BB37" s="261"/>
      <c r="BC37" s="261"/>
      <c r="BD37" s="261"/>
      <c r="BE37" s="261"/>
      <c r="BF37" s="261"/>
    </row>
    <row r="38" spans="1:58">
      <c r="B38" s="295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6"/>
      <c r="AB38" s="316"/>
      <c r="AD38" s="318"/>
      <c r="AE38" s="319"/>
      <c r="AF38" s="319"/>
      <c r="AG38" s="319"/>
      <c r="AH38" s="319"/>
      <c r="AI38" s="319"/>
      <c r="AJ38" s="319"/>
      <c r="AT38" s="261"/>
      <c r="AU38" s="261"/>
      <c r="AV38" s="261"/>
      <c r="AW38" s="261"/>
      <c r="AX38" s="261"/>
      <c r="AY38" s="261"/>
      <c r="AZ38" s="261"/>
      <c r="BA38" s="261"/>
      <c r="BB38" s="261"/>
      <c r="BC38" s="261"/>
      <c r="BD38" s="261"/>
      <c r="BE38" s="261"/>
      <c r="BF38" s="261"/>
    </row>
    <row r="39" spans="1:58">
      <c r="B39" s="304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Z39" s="316"/>
      <c r="AA39" s="316"/>
      <c r="AB39" s="316"/>
      <c r="AD39" s="318"/>
      <c r="AE39" s="319"/>
      <c r="AF39" s="319"/>
      <c r="AG39" s="319"/>
      <c r="AH39" s="319"/>
      <c r="AI39" s="319"/>
      <c r="AJ39" s="319"/>
      <c r="AT39" s="261"/>
      <c r="AU39" s="261"/>
      <c r="AV39" s="261"/>
      <c r="AW39" s="261"/>
      <c r="AX39" s="261"/>
      <c r="AY39" s="261"/>
      <c r="AZ39" s="261"/>
      <c r="BA39" s="261"/>
      <c r="BB39" s="261"/>
      <c r="BC39" s="261"/>
      <c r="BD39" s="261"/>
      <c r="BE39" s="261"/>
      <c r="BF39" s="261"/>
    </row>
    <row r="40" spans="1:58">
      <c r="B40" s="304"/>
      <c r="P40" s="316"/>
      <c r="Q40" s="316"/>
      <c r="R40" s="316"/>
      <c r="S40" s="316"/>
      <c r="T40" s="316"/>
      <c r="U40" s="316"/>
      <c r="V40" s="316"/>
      <c r="W40" s="316"/>
      <c r="X40" s="316"/>
      <c r="Y40" s="316"/>
      <c r="Z40" s="316"/>
      <c r="AA40" s="316"/>
      <c r="AB40" s="316"/>
      <c r="AD40" s="318"/>
      <c r="AE40" s="319"/>
      <c r="AF40" s="319"/>
      <c r="AG40" s="319"/>
      <c r="AH40" s="319"/>
      <c r="AI40" s="319"/>
      <c r="AJ40" s="319"/>
      <c r="AT40" s="261"/>
      <c r="AU40" s="261"/>
      <c r="AV40" s="261"/>
      <c r="AW40" s="261"/>
      <c r="AX40" s="261"/>
      <c r="AY40" s="261"/>
      <c r="AZ40" s="261"/>
      <c r="BA40" s="261"/>
      <c r="BB40" s="261"/>
      <c r="BC40" s="261"/>
      <c r="BD40" s="261"/>
      <c r="BE40" s="261"/>
      <c r="BF40" s="261"/>
    </row>
    <row r="41" spans="1:58">
      <c r="B41" s="304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6"/>
      <c r="AB41" s="316"/>
      <c r="AD41" s="318"/>
      <c r="AE41" s="319"/>
      <c r="AF41" s="319"/>
      <c r="AG41" s="319"/>
      <c r="AH41" s="319"/>
      <c r="AI41" s="319"/>
      <c r="AJ41" s="319"/>
      <c r="AT41" s="261"/>
      <c r="AU41" s="261"/>
      <c r="AV41" s="261"/>
      <c r="AW41" s="261"/>
      <c r="AX41" s="261"/>
      <c r="AY41" s="261"/>
      <c r="AZ41" s="261"/>
      <c r="BA41" s="261"/>
      <c r="BB41" s="261"/>
      <c r="BC41" s="261"/>
      <c r="BD41" s="261"/>
      <c r="BE41" s="261"/>
      <c r="BF41" s="261"/>
    </row>
    <row r="42" spans="1:58">
      <c r="B42" s="304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D42" s="318"/>
      <c r="AE42" s="319"/>
      <c r="AF42" s="319"/>
      <c r="AG42" s="319"/>
      <c r="AH42" s="319"/>
      <c r="AI42" s="319"/>
      <c r="AJ42" s="319"/>
      <c r="AT42" s="261"/>
      <c r="AU42" s="261"/>
      <c r="AV42" s="261"/>
      <c r="AW42" s="261"/>
      <c r="AX42" s="261"/>
      <c r="AY42" s="261"/>
      <c r="AZ42" s="261"/>
      <c r="BA42" s="261"/>
      <c r="BB42" s="261"/>
      <c r="BC42" s="261"/>
      <c r="BD42" s="261"/>
      <c r="BE42" s="261"/>
      <c r="BF42" s="261"/>
    </row>
    <row r="43" spans="1:58">
      <c r="B43" s="304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  <c r="AA43" s="316"/>
      <c r="AB43" s="316"/>
      <c r="AD43" s="318"/>
      <c r="AE43" s="319"/>
      <c r="AF43" s="319"/>
      <c r="AG43" s="319"/>
      <c r="AH43" s="319"/>
      <c r="AI43" s="319"/>
      <c r="AJ43" s="319"/>
      <c r="AT43" s="261"/>
      <c r="AU43" s="261"/>
      <c r="AV43" s="261"/>
      <c r="AW43" s="261"/>
      <c r="AX43" s="261"/>
      <c r="AY43" s="261"/>
      <c r="AZ43" s="261"/>
      <c r="BA43" s="261"/>
      <c r="BB43" s="261"/>
      <c r="BC43" s="261"/>
      <c r="BD43" s="261"/>
      <c r="BE43" s="261"/>
      <c r="BF43" s="261"/>
    </row>
    <row r="44" spans="1:58"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Z44" s="316"/>
      <c r="AA44" s="316"/>
      <c r="AB44" s="316"/>
      <c r="AD44" s="318"/>
      <c r="AE44" s="319"/>
      <c r="AF44" s="319"/>
      <c r="AG44" s="319"/>
      <c r="AH44" s="319"/>
      <c r="AI44" s="319"/>
      <c r="AJ44" s="319"/>
      <c r="AT44" s="261"/>
      <c r="AU44" s="261"/>
      <c r="AV44" s="261"/>
      <c r="AW44" s="261"/>
      <c r="AX44" s="261"/>
      <c r="AY44" s="261"/>
      <c r="AZ44" s="261"/>
      <c r="BA44" s="261"/>
      <c r="BB44" s="261"/>
      <c r="BC44" s="261"/>
      <c r="BD44" s="261"/>
      <c r="BE44" s="261"/>
      <c r="BF44" s="261"/>
    </row>
    <row r="45" spans="1:58">
      <c r="P45" s="316"/>
      <c r="Q45" s="316"/>
      <c r="R45" s="316"/>
      <c r="S45" s="316"/>
      <c r="T45" s="316"/>
      <c r="U45" s="316"/>
      <c r="V45" s="316"/>
      <c r="W45" s="316"/>
      <c r="X45" s="316"/>
      <c r="Y45" s="316"/>
      <c r="Z45" s="316"/>
      <c r="AA45" s="316"/>
      <c r="AB45" s="316"/>
      <c r="AD45" s="318"/>
      <c r="AE45" s="319"/>
      <c r="AF45" s="319"/>
      <c r="AG45" s="319"/>
      <c r="AH45" s="319"/>
      <c r="AI45" s="319"/>
      <c r="AJ45" s="319"/>
      <c r="AT45" s="261"/>
      <c r="AU45" s="261"/>
      <c r="AV45" s="261"/>
      <c r="AW45" s="261"/>
      <c r="AX45" s="261"/>
      <c r="AY45" s="261"/>
      <c r="AZ45" s="261"/>
      <c r="BA45" s="261"/>
      <c r="BB45" s="261"/>
      <c r="BC45" s="261"/>
      <c r="BD45" s="261"/>
      <c r="BE45" s="261"/>
      <c r="BF45" s="261"/>
    </row>
    <row r="46" spans="1:58">
      <c r="A46" s="295"/>
      <c r="P46" s="316"/>
      <c r="Q46" s="316"/>
      <c r="R46" s="316"/>
      <c r="S46" s="316"/>
      <c r="T46" s="316"/>
      <c r="U46" s="316"/>
      <c r="V46" s="316"/>
      <c r="W46" s="316"/>
      <c r="X46" s="316"/>
      <c r="Y46" s="316"/>
      <c r="Z46" s="316"/>
      <c r="AA46" s="316"/>
      <c r="AB46" s="316"/>
      <c r="AD46" s="318"/>
      <c r="AE46" s="319"/>
      <c r="AF46" s="319"/>
      <c r="AG46" s="319"/>
      <c r="AH46" s="319"/>
      <c r="AI46" s="319"/>
      <c r="AJ46" s="319"/>
      <c r="AT46" s="261"/>
      <c r="AU46" s="261"/>
      <c r="AV46" s="261"/>
      <c r="AW46" s="261"/>
      <c r="AX46" s="261"/>
      <c r="AY46" s="261"/>
      <c r="AZ46" s="261"/>
      <c r="BA46" s="261"/>
      <c r="BB46" s="261"/>
      <c r="BC46" s="261"/>
      <c r="BD46" s="261"/>
      <c r="BE46" s="261"/>
      <c r="BF46" s="261"/>
    </row>
    <row r="47" spans="1:58">
      <c r="A47" s="304"/>
      <c r="P47" s="316"/>
      <c r="Q47" s="316"/>
      <c r="R47" s="316"/>
      <c r="S47" s="316"/>
      <c r="T47" s="316"/>
      <c r="U47" s="316"/>
      <c r="V47" s="316"/>
      <c r="W47" s="316"/>
      <c r="X47" s="316"/>
      <c r="Y47" s="316"/>
      <c r="Z47" s="316"/>
      <c r="AA47" s="316"/>
      <c r="AB47" s="316"/>
      <c r="AT47" s="261"/>
      <c r="AU47" s="261"/>
      <c r="AV47" s="261"/>
      <c r="AW47" s="261"/>
      <c r="AX47" s="261"/>
      <c r="AY47" s="261"/>
      <c r="AZ47" s="261"/>
      <c r="BA47" s="261"/>
      <c r="BB47" s="261"/>
      <c r="BC47" s="261"/>
      <c r="BD47" s="261"/>
      <c r="BE47" s="261"/>
      <c r="BF47" s="261"/>
    </row>
    <row r="48" spans="1:58">
      <c r="A48" s="304"/>
      <c r="P48" s="316"/>
      <c r="Q48" s="316"/>
      <c r="R48" s="316"/>
      <c r="S48" s="316"/>
      <c r="T48" s="316"/>
      <c r="U48" s="316"/>
      <c r="V48" s="316"/>
      <c r="W48" s="316"/>
      <c r="X48" s="316"/>
      <c r="Y48" s="316"/>
      <c r="Z48" s="316"/>
      <c r="AA48" s="316"/>
      <c r="AB48" s="316"/>
      <c r="AT48" s="261"/>
      <c r="AU48" s="261"/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</row>
    <row r="49" spans="1:58"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Z49" s="316"/>
      <c r="AA49" s="316"/>
      <c r="AB49" s="316"/>
      <c r="AT49" s="261"/>
      <c r="AU49" s="261"/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</row>
    <row r="50" spans="1:58"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  <c r="AA50" s="316"/>
      <c r="AB50" s="316"/>
      <c r="AT50" s="261"/>
      <c r="AU50" s="261"/>
      <c r="AV50" s="261"/>
      <c r="AW50" s="261"/>
      <c r="AX50" s="261"/>
      <c r="AY50" s="261"/>
      <c r="AZ50" s="261"/>
      <c r="BA50" s="261"/>
      <c r="BB50" s="261"/>
      <c r="BC50" s="261"/>
      <c r="BD50" s="261"/>
      <c r="BE50" s="261"/>
      <c r="BF50" s="261"/>
    </row>
    <row r="51" spans="1:58">
      <c r="P51" s="316"/>
      <c r="Q51" s="316"/>
      <c r="R51" s="316"/>
      <c r="S51" s="316"/>
      <c r="T51" s="316"/>
      <c r="U51" s="316"/>
      <c r="V51" s="316"/>
      <c r="W51" s="316"/>
      <c r="X51" s="316"/>
      <c r="Y51" s="316"/>
      <c r="Z51" s="316"/>
      <c r="AA51" s="316"/>
      <c r="AB51" s="316"/>
      <c r="AT51" s="261"/>
      <c r="AU51" s="261"/>
      <c r="AV51" s="261"/>
      <c r="AW51" s="261"/>
      <c r="AX51" s="261"/>
      <c r="AY51" s="261"/>
      <c r="AZ51" s="261"/>
      <c r="BA51" s="261"/>
      <c r="BB51" s="261"/>
      <c r="BC51" s="261"/>
      <c r="BD51" s="261"/>
      <c r="BE51" s="261"/>
      <c r="BF51" s="261"/>
    </row>
    <row r="52" spans="1:58"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  <c r="AA52" s="316"/>
      <c r="AB52" s="316"/>
      <c r="AT52" s="261"/>
      <c r="AU52" s="261"/>
      <c r="AV52" s="261"/>
      <c r="AW52" s="261"/>
      <c r="AX52" s="261"/>
      <c r="AY52" s="261"/>
      <c r="AZ52" s="261"/>
      <c r="BA52" s="261"/>
      <c r="BB52" s="261"/>
      <c r="BC52" s="261"/>
      <c r="BD52" s="261"/>
      <c r="BE52" s="261"/>
      <c r="BF52" s="261"/>
    </row>
    <row r="53" spans="1:58"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  <c r="AA53" s="316"/>
      <c r="AB53" s="316"/>
      <c r="AT53" s="261"/>
      <c r="AU53" s="261"/>
      <c r="AV53" s="261"/>
      <c r="AW53" s="261"/>
      <c r="AX53" s="261"/>
      <c r="AY53" s="261"/>
      <c r="AZ53" s="261"/>
      <c r="BA53" s="261"/>
      <c r="BB53" s="261"/>
      <c r="BC53" s="261"/>
      <c r="BD53" s="261"/>
      <c r="BE53" s="261"/>
      <c r="BF53" s="261"/>
    </row>
    <row r="54" spans="1:58">
      <c r="A54" s="295"/>
      <c r="P54" s="316"/>
      <c r="Q54" s="316"/>
      <c r="R54" s="316"/>
      <c r="S54" s="316"/>
      <c r="T54" s="316"/>
      <c r="U54" s="316"/>
      <c r="V54" s="316"/>
      <c r="W54" s="316"/>
      <c r="X54" s="316"/>
      <c r="Y54" s="316"/>
      <c r="Z54" s="316"/>
      <c r="AA54" s="316"/>
      <c r="AB54" s="316"/>
      <c r="AT54" s="261"/>
      <c r="AU54" s="261"/>
      <c r="AV54" s="261"/>
      <c r="AW54" s="261"/>
      <c r="AX54" s="261"/>
      <c r="AY54" s="261"/>
      <c r="AZ54" s="261"/>
      <c r="BA54" s="261"/>
      <c r="BB54" s="261"/>
      <c r="BC54" s="261"/>
      <c r="BD54" s="261"/>
      <c r="BE54" s="261"/>
      <c r="BF54" s="261"/>
    </row>
    <row r="55" spans="1:58">
      <c r="A55" s="295"/>
      <c r="P55" s="316"/>
      <c r="Q55" s="316"/>
      <c r="R55" s="316"/>
      <c r="S55" s="316"/>
      <c r="T55" s="316"/>
      <c r="U55" s="316"/>
      <c r="V55" s="316"/>
      <c r="W55" s="316"/>
      <c r="X55" s="316"/>
      <c r="Y55" s="316"/>
      <c r="Z55" s="316"/>
      <c r="AA55" s="316"/>
      <c r="AB55" s="316"/>
      <c r="AT55" s="261"/>
      <c r="AU55" s="261"/>
      <c r="AV55" s="261"/>
      <c r="AW55" s="261"/>
      <c r="AX55" s="261"/>
      <c r="AY55" s="261"/>
      <c r="AZ55" s="261"/>
      <c r="BA55" s="261"/>
      <c r="BB55" s="261"/>
      <c r="BC55" s="261"/>
      <c r="BD55" s="261"/>
      <c r="BE55" s="261"/>
      <c r="BF55" s="261"/>
    </row>
    <row r="56" spans="1:58">
      <c r="A56" s="295"/>
      <c r="P56" s="316"/>
      <c r="Q56" s="316"/>
      <c r="R56" s="316"/>
      <c r="S56" s="316"/>
      <c r="T56" s="316"/>
      <c r="U56" s="316"/>
      <c r="V56" s="316"/>
      <c r="W56" s="316"/>
      <c r="X56" s="316"/>
      <c r="Y56" s="316"/>
      <c r="Z56" s="316"/>
      <c r="AA56" s="316"/>
      <c r="AB56" s="316"/>
      <c r="AT56" s="261"/>
      <c r="AU56" s="261"/>
      <c r="AV56" s="261"/>
      <c r="AW56" s="261"/>
      <c r="AX56" s="261"/>
      <c r="AY56" s="261"/>
      <c r="AZ56" s="261"/>
      <c r="BA56" s="261"/>
      <c r="BB56" s="261"/>
      <c r="BC56" s="261"/>
      <c r="BD56" s="261"/>
      <c r="BE56" s="261"/>
      <c r="BF56" s="261"/>
    </row>
    <row r="57" spans="1:58"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T57" s="261"/>
      <c r="AU57" s="261"/>
      <c r="AV57" s="261"/>
      <c r="AW57" s="261"/>
      <c r="AX57" s="261"/>
      <c r="AY57" s="261"/>
      <c r="AZ57" s="261"/>
      <c r="BA57" s="261"/>
      <c r="BB57" s="261"/>
      <c r="BC57" s="261"/>
      <c r="BD57" s="261"/>
      <c r="BE57" s="261"/>
      <c r="BF57" s="261"/>
    </row>
    <row r="58" spans="1:58">
      <c r="P58" s="316"/>
      <c r="Q58" s="316"/>
      <c r="R58" s="316"/>
      <c r="S58" s="316"/>
      <c r="T58" s="316"/>
      <c r="U58" s="316"/>
      <c r="V58" s="316"/>
      <c r="W58" s="316"/>
      <c r="X58" s="316"/>
      <c r="Y58" s="316"/>
      <c r="Z58" s="316"/>
      <c r="AA58" s="316"/>
      <c r="AB58" s="316"/>
      <c r="AT58" s="261"/>
      <c r="AU58" s="261"/>
      <c r="AV58" s="261"/>
      <c r="AW58" s="261"/>
      <c r="AX58" s="261"/>
      <c r="AY58" s="261"/>
      <c r="AZ58" s="261"/>
      <c r="BA58" s="261"/>
      <c r="BB58" s="261"/>
      <c r="BC58" s="261"/>
      <c r="BD58" s="261"/>
      <c r="BE58" s="261"/>
      <c r="BF58" s="261"/>
    </row>
    <row r="59" spans="1:58">
      <c r="P59" s="316"/>
      <c r="Q59" s="316"/>
      <c r="R59" s="316"/>
      <c r="S59" s="316"/>
      <c r="T59" s="316"/>
      <c r="U59" s="316"/>
      <c r="V59" s="316"/>
      <c r="W59" s="316"/>
      <c r="X59" s="316"/>
      <c r="Y59" s="316"/>
      <c r="Z59" s="316"/>
      <c r="AA59" s="316"/>
      <c r="AB59" s="316"/>
      <c r="AT59" s="261"/>
      <c r="AU59" s="261"/>
      <c r="AV59" s="261"/>
      <c r="AW59" s="261"/>
      <c r="AX59" s="261"/>
      <c r="AY59" s="261"/>
      <c r="AZ59" s="261"/>
      <c r="BA59" s="261"/>
      <c r="BB59" s="261"/>
      <c r="BC59" s="261"/>
      <c r="BD59" s="261"/>
      <c r="BE59" s="261"/>
      <c r="BF59" s="261"/>
    </row>
    <row r="60" spans="1:58"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  <c r="AA60" s="316"/>
      <c r="AB60" s="316"/>
      <c r="AT60" s="261"/>
      <c r="AU60" s="261"/>
      <c r="AV60" s="261"/>
      <c r="AW60" s="261"/>
      <c r="AX60" s="261"/>
      <c r="AY60" s="261"/>
      <c r="AZ60" s="261"/>
      <c r="BA60" s="261"/>
      <c r="BB60" s="261"/>
      <c r="BC60" s="261"/>
      <c r="BD60" s="261"/>
      <c r="BE60" s="261"/>
      <c r="BF60" s="261"/>
    </row>
    <row r="61" spans="1:58"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  <c r="AA61" s="316"/>
      <c r="AB61" s="316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1"/>
    </row>
    <row r="62" spans="1:58"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  <c r="AA62" s="316"/>
      <c r="AB62" s="316"/>
      <c r="AT62" s="261"/>
      <c r="AU62" s="261"/>
      <c r="AV62" s="261"/>
      <c r="AW62" s="261"/>
      <c r="AX62" s="261"/>
      <c r="AY62" s="261"/>
      <c r="AZ62" s="261"/>
      <c r="BA62" s="261"/>
      <c r="BB62" s="261"/>
      <c r="BC62" s="261"/>
      <c r="BD62" s="261"/>
      <c r="BE62" s="261"/>
      <c r="BF62" s="261"/>
    </row>
    <row r="63" spans="1:58">
      <c r="A63" s="295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  <c r="AA63" s="316"/>
      <c r="AB63" s="316"/>
      <c r="AT63" s="261"/>
      <c r="AU63" s="261"/>
      <c r="AV63" s="261"/>
      <c r="AW63" s="261"/>
      <c r="AX63" s="261"/>
      <c r="AY63" s="261"/>
      <c r="AZ63" s="261"/>
      <c r="BA63" s="261"/>
      <c r="BB63" s="261"/>
      <c r="BC63" s="261"/>
      <c r="BD63" s="261"/>
      <c r="BE63" s="261"/>
      <c r="BF63" s="261"/>
    </row>
    <row r="64" spans="1:58">
      <c r="A64" s="295"/>
      <c r="P64" s="316"/>
      <c r="Q64" s="316"/>
      <c r="R64" s="316"/>
      <c r="S64" s="316"/>
      <c r="T64" s="316"/>
      <c r="U64" s="316"/>
      <c r="V64" s="316"/>
      <c r="W64" s="316"/>
      <c r="X64" s="316"/>
      <c r="Y64" s="316"/>
      <c r="Z64" s="316"/>
      <c r="AA64" s="316"/>
      <c r="AB64" s="316"/>
      <c r="AT64" s="261"/>
      <c r="AU64" s="261"/>
      <c r="AV64" s="261"/>
      <c r="AW64" s="261"/>
      <c r="AX64" s="261"/>
      <c r="AY64" s="261"/>
      <c r="AZ64" s="261"/>
      <c r="BA64" s="261"/>
      <c r="BB64" s="261"/>
      <c r="BC64" s="261"/>
      <c r="BD64" s="261"/>
      <c r="BE64" s="261"/>
      <c r="BF64" s="261"/>
    </row>
    <row r="65" spans="1:58">
      <c r="A65" s="295"/>
      <c r="P65" s="316"/>
      <c r="Q65" s="316"/>
      <c r="R65" s="316"/>
      <c r="S65" s="316"/>
      <c r="T65" s="316"/>
      <c r="U65" s="316"/>
      <c r="V65" s="316"/>
      <c r="W65" s="316"/>
      <c r="X65" s="316"/>
      <c r="Y65" s="316"/>
      <c r="Z65" s="316"/>
      <c r="AA65" s="316"/>
      <c r="AB65" s="316"/>
      <c r="AT65" s="261"/>
      <c r="AU65" s="261"/>
      <c r="AV65" s="261"/>
      <c r="AW65" s="261"/>
      <c r="AX65" s="261"/>
      <c r="AY65" s="261"/>
      <c r="AZ65" s="261"/>
      <c r="BA65" s="261"/>
      <c r="BB65" s="261"/>
      <c r="BC65" s="261"/>
      <c r="BD65" s="261"/>
      <c r="BE65" s="261"/>
      <c r="BF65" s="261"/>
    </row>
    <row r="66" spans="1:58">
      <c r="A66" s="295"/>
      <c r="P66" s="316"/>
      <c r="Q66" s="316"/>
      <c r="R66" s="316"/>
      <c r="S66" s="316"/>
      <c r="T66" s="316"/>
      <c r="U66" s="316"/>
      <c r="V66" s="316"/>
      <c r="W66" s="316"/>
      <c r="X66" s="316"/>
      <c r="Y66" s="316"/>
      <c r="Z66" s="316"/>
      <c r="AA66" s="316"/>
      <c r="AB66" s="316"/>
      <c r="AT66" s="261"/>
      <c r="AU66" s="261"/>
      <c r="AV66" s="261"/>
      <c r="AW66" s="261"/>
      <c r="AX66" s="261"/>
      <c r="AY66" s="261"/>
      <c r="AZ66" s="261"/>
      <c r="BA66" s="261"/>
      <c r="BB66" s="261"/>
      <c r="BC66" s="261"/>
      <c r="BD66" s="261"/>
      <c r="BE66" s="261"/>
      <c r="BF66" s="261"/>
    </row>
    <row r="67" spans="1:58">
      <c r="A67" s="295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  <c r="AA67" s="316"/>
      <c r="AB67" s="316"/>
      <c r="AT67" s="261"/>
      <c r="AU67" s="261"/>
      <c r="AV67" s="261"/>
      <c r="AW67" s="261"/>
      <c r="AX67" s="261"/>
      <c r="AY67" s="261"/>
      <c r="AZ67" s="261"/>
      <c r="BA67" s="261"/>
      <c r="BB67" s="261"/>
      <c r="BC67" s="261"/>
      <c r="BD67" s="261"/>
      <c r="BE67" s="261"/>
      <c r="BF67" s="261"/>
    </row>
    <row r="68" spans="1:58">
      <c r="A68" s="295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  <c r="AA68" s="316"/>
      <c r="AB68" s="316"/>
      <c r="AT68" s="261"/>
      <c r="AU68" s="261"/>
      <c r="AV68" s="261"/>
      <c r="AW68" s="261"/>
      <c r="AX68" s="261"/>
      <c r="AY68" s="261"/>
      <c r="AZ68" s="261"/>
      <c r="BA68" s="261"/>
      <c r="BB68" s="261"/>
      <c r="BC68" s="261"/>
      <c r="BD68" s="261"/>
      <c r="BE68" s="261"/>
      <c r="BF68" s="261"/>
    </row>
    <row r="69" spans="1:58">
      <c r="A69" s="295"/>
      <c r="P69" s="316"/>
      <c r="Q69" s="316"/>
      <c r="R69" s="316"/>
      <c r="S69" s="316"/>
      <c r="T69" s="316"/>
      <c r="U69" s="316"/>
      <c r="V69" s="316"/>
      <c r="W69" s="316"/>
      <c r="X69" s="316"/>
      <c r="Y69" s="316"/>
      <c r="Z69" s="316"/>
      <c r="AA69" s="316"/>
      <c r="AB69" s="316"/>
      <c r="AT69" s="261"/>
      <c r="AU69" s="261"/>
      <c r="AV69" s="261"/>
      <c r="AW69" s="261"/>
      <c r="AX69" s="261"/>
      <c r="AY69" s="261"/>
      <c r="AZ69" s="261"/>
      <c r="BA69" s="261"/>
      <c r="BB69" s="261"/>
      <c r="BC69" s="261"/>
      <c r="BD69" s="261"/>
      <c r="BE69" s="261"/>
      <c r="BF69" s="261"/>
    </row>
    <row r="70" spans="1:58">
      <c r="A70" s="295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  <c r="AA70" s="316"/>
      <c r="AB70" s="316"/>
      <c r="AT70" s="261"/>
      <c r="AU70" s="261"/>
      <c r="AV70" s="261"/>
      <c r="AW70" s="261"/>
      <c r="AX70" s="261"/>
      <c r="AY70" s="261"/>
      <c r="AZ70" s="261"/>
      <c r="BA70" s="261"/>
      <c r="BB70" s="261"/>
      <c r="BC70" s="261"/>
      <c r="BD70" s="261"/>
      <c r="BE70" s="261"/>
      <c r="BF70" s="261"/>
    </row>
    <row r="71" spans="1:58">
      <c r="A71" s="295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T71" s="261"/>
      <c r="AU71" s="261"/>
      <c r="AV71" s="261"/>
      <c r="AW71" s="261"/>
      <c r="AX71" s="261"/>
      <c r="AY71" s="261"/>
      <c r="AZ71" s="261"/>
      <c r="BA71" s="261"/>
      <c r="BB71" s="261"/>
      <c r="BC71" s="261"/>
      <c r="BD71" s="261"/>
      <c r="BE71" s="261"/>
      <c r="BF71" s="261"/>
    </row>
    <row r="72" spans="1:58">
      <c r="A72" s="295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T72" s="261"/>
      <c r="AU72" s="261"/>
      <c r="AV72" s="261"/>
      <c r="AW72" s="261"/>
      <c r="AX72" s="261"/>
      <c r="AY72" s="261"/>
      <c r="AZ72" s="261"/>
      <c r="BA72" s="261"/>
      <c r="BB72" s="261"/>
      <c r="BC72" s="261"/>
      <c r="BD72" s="261"/>
      <c r="BE72" s="261"/>
      <c r="BF72" s="261"/>
    </row>
    <row r="73" spans="1:58"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  <c r="AA73" s="316"/>
      <c r="AB73" s="316"/>
      <c r="AT73" s="261"/>
      <c r="AU73" s="261"/>
      <c r="AV73" s="261"/>
      <c r="AW73" s="261"/>
      <c r="AX73" s="261"/>
      <c r="AY73" s="261"/>
      <c r="AZ73" s="261"/>
      <c r="BA73" s="261"/>
      <c r="BB73" s="261"/>
      <c r="BC73" s="261"/>
      <c r="BD73" s="261"/>
      <c r="BE73" s="261"/>
      <c r="BF73" s="261"/>
    </row>
    <row r="74" spans="1:58"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  <c r="AA74" s="316"/>
      <c r="AB74" s="316"/>
      <c r="AT74" s="261"/>
      <c r="AU74" s="261"/>
      <c r="AV74" s="261"/>
      <c r="AW74" s="261"/>
      <c r="AX74" s="261"/>
      <c r="AY74" s="261"/>
      <c r="AZ74" s="261"/>
      <c r="BA74" s="261"/>
      <c r="BB74" s="261"/>
      <c r="BC74" s="261"/>
      <c r="BD74" s="261"/>
      <c r="BE74" s="261"/>
      <c r="BF74" s="261"/>
    </row>
    <row r="75" spans="1:58"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  <c r="AA75" s="316"/>
      <c r="AB75" s="316"/>
      <c r="AT75" s="261"/>
      <c r="AU75" s="261"/>
      <c r="AV75" s="261"/>
      <c r="AW75" s="261"/>
      <c r="AX75" s="261"/>
      <c r="AY75" s="261"/>
      <c r="AZ75" s="261"/>
      <c r="BA75" s="261"/>
      <c r="BB75" s="261"/>
      <c r="BC75" s="261"/>
      <c r="BD75" s="261"/>
      <c r="BE75" s="261"/>
      <c r="BF75" s="261"/>
    </row>
    <row r="76" spans="1:58">
      <c r="P76" s="316"/>
      <c r="Q76" s="316"/>
      <c r="R76" s="316"/>
      <c r="S76" s="316"/>
      <c r="T76" s="316"/>
      <c r="U76" s="316"/>
      <c r="V76" s="316"/>
      <c r="W76" s="316"/>
      <c r="X76" s="316"/>
      <c r="Y76" s="316"/>
      <c r="Z76" s="316"/>
      <c r="AA76" s="316"/>
      <c r="AB76" s="316"/>
      <c r="AT76" s="261"/>
      <c r="AU76" s="261"/>
      <c r="AV76" s="261"/>
      <c r="AW76" s="261"/>
      <c r="AX76" s="261"/>
      <c r="AY76" s="261"/>
      <c r="AZ76" s="261"/>
      <c r="BA76" s="261"/>
      <c r="BB76" s="261"/>
      <c r="BC76" s="261"/>
      <c r="BD76" s="261"/>
      <c r="BE76" s="261"/>
      <c r="BF76" s="261"/>
    </row>
    <row r="77" spans="1:58">
      <c r="P77" s="316"/>
      <c r="Q77" s="316"/>
      <c r="R77" s="316"/>
      <c r="S77" s="316"/>
      <c r="T77" s="316"/>
      <c r="U77" s="316"/>
      <c r="V77" s="316"/>
      <c r="W77" s="316"/>
      <c r="X77" s="316"/>
      <c r="Y77" s="316"/>
      <c r="Z77" s="316"/>
      <c r="AA77" s="316"/>
      <c r="AB77" s="316"/>
      <c r="AT77" s="261"/>
      <c r="AU77" s="261"/>
      <c r="AV77" s="261"/>
      <c r="AW77" s="261"/>
      <c r="AX77" s="261"/>
      <c r="AY77" s="261"/>
      <c r="AZ77" s="261"/>
      <c r="BA77" s="261"/>
      <c r="BB77" s="261"/>
      <c r="BC77" s="261"/>
      <c r="BD77" s="261"/>
      <c r="BE77" s="261"/>
      <c r="BF77" s="261"/>
    </row>
    <row r="78" spans="1:58"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T78" s="261"/>
      <c r="AU78" s="261"/>
      <c r="AV78" s="261"/>
      <c r="AW78" s="261"/>
      <c r="AX78" s="261"/>
      <c r="AY78" s="261"/>
      <c r="AZ78" s="261"/>
      <c r="BA78" s="261"/>
      <c r="BB78" s="261"/>
      <c r="BC78" s="261"/>
      <c r="BD78" s="261"/>
      <c r="BE78" s="261"/>
      <c r="BF78" s="261"/>
    </row>
    <row r="79" spans="1:58"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  <c r="AA79" s="316"/>
      <c r="AB79" s="316"/>
      <c r="AT79" s="261"/>
      <c r="AU79" s="261"/>
      <c r="AV79" s="261"/>
      <c r="AW79" s="261"/>
      <c r="AX79" s="261"/>
      <c r="AY79" s="261"/>
      <c r="AZ79" s="261"/>
      <c r="BA79" s="261"/>
      <c r="BB79" s="261"/>
      <c r="BC79" s="261"/>
      <c r="BD79" s="261"/>
      <c r="BE79" s="261"/>
      <c r="BF79" s="261"/>
    </row>
    <row r="80" spans="1:58"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  <c r="AA80" s="316"/>
      <c r="AB80" s="316"/>
      <c r="AT80" s="261"/>
      <c r="AU80" s="261"/>
      <c r="AV80" s="261"/>
      <c r="AW80" s="261"/>
      <c r="AX80" s="261"/>
      <c r="AY80" s="261"/>
      <c r="AZ80" s="261"/>
      <c r="BA80" s="261"/>
      <c r="BB80" s="261"/>
      <c r="BC80" s="261"/>
      <c r="BD80" s="261"/>
      <c r="BE80" s="261"/>
      <c r="BF80" s="261"/>
    </row>
    <row r="81" spans="16:58"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  <c r="AA81" s="316"/>
      <c r="AB81" s="316"/>
      <c r="AT81" s="261"/>
      <c r="AU81" s="261"/>
      <c r="AV81" s="261"/>
      <c r="AW81" s="261"/>
      <c r="AX81" s="261"/>
      <c r="AY81" s="261"/>
      <c r="AZ81" s="261"/>
      <c r="BA81" s="261"/>
      <c r="BB81" s="261"/>
      <c r="BC81" s="261"/>
      <c r="BD81" s="261"/>
      <c r="BE81" s="261"/>
      <c r="BF81" s="261"/>
    </row>
    <row r="82" spans="16:58"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6"/>
      <c r="AB82" s="316"/>
      <c r="AT82" s="261"/>
      <c r="AU82" s="261"/>
      <c r="AV82" s="261"/>
      <c r="AW82" s="261"/>
      <c r="AX82" s="261"/>
      <c r="AY82" s="261"/>
      <c r="AZ82" s="261"/>
      <c r="BA82" s="261"/>
      <c r="BB82" s="261"/>
      <c r="BC82" s="261"/>
      <c r="BD82" s="261"/>
      <c r="BE82" s="261"/>
      <c r="BF82" s="261"/>
    </row>
    <row r="83" spans="16:58"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  <c r="AA83" s="316"/>
      <c r="AB83" s="316"/>
      <c r="AT83" s="261"/>
      <c r="AU83" s="261"/>
      <c r="AV83" s="261"/>
      <c r="AW83" s="261"/>
      <c r="AX83" s="261"/>
      <c r="AY83" s="261"/>
      <c r="AZ83" s="261"/>
      <c r="BA83" s="261"/>
      <c r="BB83" s="261"/>
      <c r="BC83" s="261"/>
      <c r="BD83" s="261"/>
      <c r="BE83" s="261"/>
      <c r="BF83" s="261"/>
    </row>
    <row r="84" spans="16:58"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6"/>
      <c r="AB84" s="316"/>
      <c r="AT84" s="261"/>
      <c r="AU84" s="261"/>
      <c r="AV84" s="261"/>
      <c r="AW84" s="261"/>
      <c r="AX84" s="261"/>
      <c r="AY84" s="261"/>
      <c r="AZ84" s="261"/>
      <c r="BA84" s="261"/>
      <c r="BB84" s="261"/>
      <c r="BC84" s="261"/>
      <c r="BD84" s="261"/>
      <c r="BE84" s="261"/>
      <c r="BF84" s="261"/>
    </row>
    <row r="85" spans="16:58"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6"/>
      <c r="AB85" s="316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</row>
    <row r="86" spans="16:58"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  <c r="AB86" s="316"/>
      <c r="AT86" s="261"/>
      <c r="AU86" s="261"/>
      <c r="AV86" s="261"/>
      <c r="AW86" s="261"/>
      <c r="AX86" s="261"/>
      <c r="AY86" s="261"/>
      <c r="AZ86" s="261"/>
      <c r="BA86" s="261"/>
      <c r="BB86" s="261"/>
      <c r="BC86" s="261"/>
      <c r="BD86" s="261"/>
      <c r="BE86" s="261"/>
      <c r="BF86" s="261"/>
    </row>
    <row r="87" spans="16:58"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T87" s="261"/>
      <c r="AU87" s="261"/>
      <c r="AV87" s="261"/>
      <c r="AW87" s="261"/>
      <c r="AX87" s="261"/>
      <c r="AY87" s="261"/>
      <c r="AZ87" s="261"/>
      <c r="BA87" s="261"/>
      <c r="BB87" s="261"/>
      <c r="BC87" s="261"/>
      <c r="BD87" s="261"/>
      <c r="BE87" s="261"/>
      <c r="BF87" s="261"/>
    </row>
    <row r="88" spans="16:58"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316"/>
      <c r="AT88" s="261"/>
      <c r="AU88" s="261"/>
      <c r="AV88" s="261"/>
      <c r="AW88" s="261"/>
      <c r="AX88" s="261"/>
      <c r="AY88" s="261"/>
      <c r="AZ88" s="261"/>
      <c r="BA88" s="261"/>
      <c r="BB88" s="261"/>
      <c r="BC88" s="261"/>
      <c r="BD88" s="261"/>
      <c r="BE88" s="261"/>
      <c r="BF88" s="261"/>
    </row>
    <row r="89" spans="16:58"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316"/>
      <c r="AT89" s="261"/>
      <c r="AU89" s="261"/>
      <c r="AV89" s="261"/>
      <c r="AW89" s="261"/>
      <c r="AX89" s="261"/>
      <c r="AY89" s="261"/>
      <c r="AZ89" s="261"/>
      <c r="BA89" s="261"/>
      <c r="BB89" s="261"/>
      <c r="BC89" s="261"/>
      <c r="BD89" s="261"/>
      <c r="BE89" s="261"/>
      <c r="BF89" s="261"/>
    </row>
    <row r="90" spans="16:58"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  <c r="AB90" s="316"/>
      <c r="AT90" s="261"/>
      <c r="AU90" s="261"/>
      <c r="AV90" s="261"/>
      <c r="AW90" s="261"/>
      <c r="AX90" s="261"/>
      <c r="AY90" s="261"/>
      <c r="AZ90" s="261"/>
      <c r="BA90" s="261"/>
      <c r="BB90" s="261"/>
      <c r="BC90" s="261"/>
      <c r="BD90" s="261"/>
      <c r="BE90" s="261"/>
      <c r="BF90" s="261"/>
    </row>
    <row r="91" spans="16:58"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T91" s="261"/>
      <c r="AU91" s="261"/>
      <c r="AV91" s="261"/>
      <c r="AW91" s="261"/>
      <c r="AX91" s="261"/>
      <c r="AY91" s="261"/>
      <c r="AZ91" s="261"/>
      <c r="BA91" s="261"/>
      <c r="BB91" s="261"/>
      <c r="BC91" s="261"/>
      <c r="BD91" s="261"/>
      <c r="BE91" s="261"/>
      <c r="BF91" s="261"/>
    </row>
    <row r="92" spans="16:58"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T92" s="261"/>
      <c r="AU92" s="261"/>
      <c r="AV92" s="261"/>
      <c r="AW92" s="261"/>
      <c r="AX92" s="261"/>
      <c r="AY92" s="261"/>
      <c r="AZ92" s="261"/>
      <c r="BA92" s="261"/>
      <c r="BB92" s="261"/>
      <c r="BC92" s="261"/>
      <c r="BD92" s="261"/>
      <c r="BE92" s="261"/>
      <c r="BF92" s="261"/>
    </row>
    <row r="93" spans="16:58"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T93" s="261"/>
      <c r="AU93" s="261"/>
      <c r="AV93" s="261"/>
      <c r="AW93" s="261"/>
      <c r="AX93" s="261"/>
      <c r="AY93" s="261"/>
      <c r="AZ93" s="261"/>
      <c r="BA93" s="261"/>
      <c r="BB93" s="261"/>
      <c r="BC93" s="261"/>
      <c r="BD93" s="261"/>
      <c r="BE93" s="261"/>
      <c r="BF93" s="261"/>
    </row>
    <row r="94" spans="16:58"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T94" s="261"/>
      <c r="AU94" s="261"/>
      <c r="AV94" s="261"/>
      <c r="AW94" s="261"/>
      <c r="AX94" s="261"/>
      <c r="AY94" s="261"/>
      <c r="AZ94" s="261"/>
      <c r="BA94" s="261"/>
      <c r="BB94" s="261"/>
      <c r="BC94" s="261"/>
      <c r="BD94" s="261"/>
      <c r="BE94" s="261"/>
      <c r="BF94" s="261"/>
    </row>
    <row r="95" spans="16:58"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  <c r="AA95" s="316"/>
      <c r="AB95" s="316"/>
      <c r="AT95" s="261"/>
      <c r="AU95" s="261"/>
      <c r="AV95" s="261"/>
      <c r="AW95" s="261"/>
      <c r="AX95" s="261"/>
      <c r="AY95" s="261"/>
      <c r="AZ95" s="261"/>
      <c r="BA95" s="261"/>
      <c r="BB95" s="261"/>
      <c r="BC95" s="261"/>
      <c r="BD95" s="261"/>
      <c r="BE95" s="261"/>
      <c r="BF95" s="261"/>
    </row>
    <row r="96" spans="16:58"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316"/>
      <c r="AT96" s="261"/>
      <c r="AU96" s="261"/>
      <c r="AV96" s="261"/>
      <c r="AW96" s="261"/>
      <c r="AX96" s="261"/>
      <c r="AY96" s="261"/>
      <c r="AZ96" s="261"/>
      <c r="BA96" s="261"/>
      <c r="BB96" s="261"/>
      <c r="BC96" s="261"/>
      <c r="BD96" s="261"/>
      <c r="BE96" s="261"/>
      <c r="BF96" s="261"/>
    </row>
    <row r="97" spans="16:58"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316"/>
      <c r="AT97" s="261"/>
      <c r="AU97" s="261"/>
      <c r="AV97" s="261"/>
      <c r="AW97" s="261"/>
      <c r="AX97" s="261"/>
      <c r="AY97" s="261"/>
      <c r="AZ97" s="261"/>
      <c r="BA97" s="261"/>
      <c r="BB97" s="261"/>
      <c r="BC97" s="261"/>
      <c r="BD97" s="261"/>
      <c r="BE97" s="261"/>
      <c r="BF97" s="261"/>
    </row>
    <row r="98" spans="16:58"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316"/>
      <c r="AT98" s="261"/>
      <c r="AU98" s="261"/>
      <c r="AV98" s="261"/>
      <c r="AW98" s="261"/>
      <c r="AX98" s="261"/>
      <c r="AY98" s="261"/>
      <c r="AZ98" s="261"/>
      <c r="BA98" s="261"/>
      <c r="BB98" s="261"/>
      <c r="BC98" s="261"/>
      <c r="BD98" s="261"/>
      <c r="BE98" s="261"/>
      <c r="BF98" s="261"/>
    </row>
    <row r="99" spans="16:58"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316"/>
      <c r="AT99" s="261"/>
      <c r="AU99" s="261"/>
      <c r="AV99" s="261"/>
      <c r="AW99" s="261"/>
      <c r="AX99" s="261"/>
      <c r="AY99" s="261"/>
      <c r="AZ99" s="261"/>
      <c r="BA99" s="261"/>
      <c r="BB99" s="261"/>
      <c r="BC99" s="261"/>
      <c r="BD99" s="261"/>
      <c r="BE99" s="261"/>
      <c r="BF99" s="261"/>
    </row>
    <row r="100" spans="16:58"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6"/>
      <c r="AB100" s="316"/>
      <c r="AT100" s="261"/>
      <c r="AU100" s="261"/>
      <c r="AV100" s="261"/>
      <c r="AW100" s="261"/>
      <c r="AX100" s="261"/>
      <c r="AY100" s="261"/>
      <c r="AZ100" s="261"/>
      <c r="BA100" s="261"/>
      <c r="BB100" s="261"/>
      <c r="BC100" s="261"/>
      <c r="BD100" s="261"/>
      <c r="BE100" s="261"/>
      <c r="BF100" s="261"/>
    </row>
    <row r="101" spans="16:58"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316"/>
      <c r="AT101" s="261"/>
      <c r="AU101" s="261"/>
      <c r="AV101" s="261"/>
      <c r="AW101" s="261"/>
      <c r="AX101" s="261"/>
      <c r="AY101" s="261"/>
      <c r="AZ101" s="261"/>
      <c r="BA101" s="261"/>
      <c r="BB101" s="261"/>
      <c r="BC101" s="261"/>
      <c r="BD101" s="261"/>
      <c r="BE101" s="261"/>
      <c r="BF101" s="261"/>
    </row>
    <row r="102" spans="16:58"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T102" s="261"/>
      <c r="AU102" s="261"/>
      <c r="AV102" s="261"/>
      <c r="AW102" s="261"/>
      <c r="AX102" s="261"/>
      <c r="AY102" s="261"/>
      <c r="AZ102" s="261"/>
      <c r="BA102" s="261"/>
      <c r="BB102" s="261"/>
      <c r="BC102" s="261"/>
      <c r="BD102" s="261"/>
      <c r="BE102" s="261"/>
      <c r="BF102" s="261"/>
    </row>
    <row r="103" spans="16:58"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  <c r="AB103" s="316"/>
      <c r="AT103" s="261"/>
      <c r="AU103" s="261"/>
      <c r="AV103" s="261"/>
      <c r="AW103" s="261"/>
      <c r="AX103" s="261"/>
      <c r="AY103" s="261"/>
      <c r="AZ103" s="261"/>
      <c r="BA103" s="261"/>
      <c r="BB103" s="261"/>
      <c r="BC103" s="261"/>
      <c r="BD103" s="261"/>
      <c r="BE103" s="261"/>
      <c r="BF103" s="261"/>
    </row>
    <row r="104" spans="16:58"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  <c r="AA104" s="316"/>
      <c r="AB104" s="316"/>
      <c r="AT104" s="261"/>
      <c r="AU104" s="261"/>
      <c r="AV104" s="261"/>
      <c r="AW104" s="261"/>
      <c r="AX104" s="261"/>
      <c r="AY104" s="261"/>
      <c r="AZ104" s="261"/>
      <c r="BA104" s="261"/>
      <c r="BB104" s="261"/>
      <c r="BC104" s="261"/>
      <c r="BD104" s="261"/>
      <c r="BE104" s="261"/>
      <c r="BF104" s="261"/>
    </row>
    <row r="105" spans="16:58"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6"/>
      <c r="AB105" s="316"/>
      <c r="AT105" s="261"/>
      <c r="AU105" s="261"/>
      <c r="AV105" s="261"/>
      <c r="AW105" s="261"/>
      <c r="AX105" s="261"/>
      <c r="AY105" s="261"/>
      <c r="AZ105" s="261"/>
      <c r="BA105" s="261"/>
      <c r="BB105" s="261"/>
      <c r="BC105" s="261"/>
      <c r="BD105" s="261"/>
      <c r="BE105" s="261"/>
      <c r="BF105" s="261"/>
    </row>
    <row r="106" spans="16:58"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  <c r="AB106" s="316"/>
      <c r="AT106" s="261"/>
      <c r="AU106" s="261"/>
      <c r="AV106" s="261"/>
      <c r="AW106" s="261"/>
      <c r="AX106" s="261"/>
      <c r="AY106" s="261"/>
      <c r="AZ106" s="261"/>
      <c r="BA106" s="261"/>
      <c r="BB106" s="261"/>
      <c r="BC106" s="261"/>
      <c r="BD106" s="261"/>
      <c r="BE106" s="261"/>
      <c r="BF106" s="261"/>
    </row>
    <row r="107" spans="16:58"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  <c r="AB107" s="316"/>
      <c r="AT107" s="261"/>
      <c r="AU107" s="261"/>
      <c r="AV107" s="261"/>
      <c r="AW107" s="261"/>
      <c r="AX107" s="261"/>
      <c r="AY107" s="261"/>
      <c r="AZ107" s="261"/>
      <c r="BA107" s="261"/>
      <c r="BB107" s="261"/>
      <c r="BC107" s="261"/>
      <c r="BD107" s="261"/>
      <c r="BE107" s="261"/>
      <c r="BF107" s="261"/>
    </row>
    <row r="108" spans="16:58"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  <c r="AA108" s="316"/>
      <c r="AB108" s="316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</row>
    <row r="109" spans="16:58"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1"/>
    </row>
    <row r="110" spans="16:58"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  <c r="AA110" s="316"/>
      <c r="AB110" s="316"/>
      <c r="AT110" s="261"/>
      <c r="AU110" s="261"/>
      <c r="AV110" s="261"/>
      <c r="AW110" s="261"/>
      <c r="AX110" s="261"/>
      <c r="AY110" s="261"/>
      <c r="AZ110" s="261"/>
      <c r="BA110" s="261"/>
      <c r="BB110" s="261"/>
      <c r="BC110" s="261"/>
      <c r="BD110" s="261"/>
      <c r="BE110" s="261"/>
      <c r="BF110" s="261"/>
    </row>
    <row r="111" spans="16:58"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  <c r="AA111" s="316"/>
      <c r="AB111" s="316"/>
      <c r="AT111" s="261"/>
      <c r="AU111" s="261"/>
      <c r="AV111" s="261"/>
      <c r="AW111" s="261"/>
      <c r="AX111" s="261"/>
      <c r="AY111" s="261"/>
      <c r="AZ111" s="261"/>
      <c r="BA111" s="261"/>
      <c r="BB111" s="261"/>
      <c r="BC111" s="261"/>
      <c r="BD111" s="261"/>
      <c r="BE111" s="261"/>
      <c r="BF111" s="261"/>
    </row>
    <row r="112" spans="16:58"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  <c r="AA112" s="316"/>
      <c r="AB112" s="316"/>
      <c r="AT112" s="261"/>
      <c r="AU112" s="261"/>
      <c r="AV112" s="261"/>
      <c r="AW112" s="261"/>
      <c r="AX112" s="261"/>
      <c r="AY112" s="261"/>
      <c r="AZ112" s="261"/>
      <c r="BA112" s="261"/>
      <c r="BB112" s="261"/>
      <c r="BC112" s="261"/>
      <c r="BD112" s="261"/>
      <c r="BE112" s="261"/>
      <c r="BF112" s="261"/>
    </row>
    <row r="113" spans="16:58"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  <c r="AA113" s="316"/>
      <c r="AB113" s="316"/>
      <c r="AT113" s="261"/>
      <c r="AU113" s="261"/>
      <c r="AV113" s="261"/>
      <c r="AW113" s="261"/>
      <c r="AX113" s="261"/>
      <c r="AY113" s="261"/>
      <c r="AZ113" s="261"/>
      <c r="BA113" s="261"/>
      <c r="BB113" s="261"/>
      <c r="BC113" s="261"/>
      <c r="BD113" s="261"/>
      <c r="BE113" s="261"/>
      <c r="BF113" s="261"/>
    </row>
    <row r="114" spans="16:58"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  <c r="AA114" s="316"/>
      <c r="AB114" s="316"/>
      <c r="AT114" s="261"/>
      <c r="AU114" s="261"/>
      <c r="AV114" s="261"/>
      <c r="AW114" s="261"/>
      <c r="AX114" s="261"/>
      <c r="AY114" s="261"/>
      <c r="AZ114" s="261"/>
      <c r="BA114" s="261"/>
      <c r="BB114" s="261"/>
      <c r="BC114" s="261"/>
      <c r="BD114" s="261"/>
      <c r="BE114" s="261"/>
      <c r="BF114" s="261"/>
    </row>
    <row r="115" spans="16:58"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316"/>
      <c r="AT115" s="261"/>
      <c r="AU115" s="261"/>
      <c r="AV115" s="261"/>
      <c r="AW115" s="261"/>
      <c r="AX115" s="261"/>
      <c r="AY115" s="261"/>
      <c r="AZ115" s="261"/>
      <c r="BA115" s="261"/>
      <c r="BB115" s="261"/>
      <c r="BC115" s="261"/>
      <c r="BD115" s="261"/>
      <c r="BE115" s="261"/>
      <c r="BF115" s="261"/>
    </row>
    <row r="116" spans="16:58"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  <c r="AB116" s="316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</row>
    <row r="117" spans="16:58"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T117" s="261"/>
      <c r="AU117" s="261"/>
      <c r="AV117" s="261"/>
      <c r="AW117" s="261"/>
      <c r="AX117" s="261"/>
      <c r="AY117" s="261"/>
      <c r="AZ117" s="261"/>
      <c r="BA117" s="261"/>
      <c r="BB117" s="261"/>
      <c r="BC117" s="261"/>
      <c r="BD117" s="261"/>
      <c r="BE117" s="261"/>
      <c r="BF117" s="261"/>
    </row>
    <row r="118" spans="16:58"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  <c r="AA118" s="316"/>
      <c r="AB118" s="316"/>
      <c r="AT118" s="261"/>
      <c r="AU118" s="261"/>
      <c r="AV118" s="261"/>
      <c r="AW118" s="261"/>
      <c r="AX118" s="261"/>
      <c r="AY118" s="261"/>
      <c r="AZ118" s="261"/>
      <c r="BA118" s="261"/>
      <c r="BB118" s="261"/>
      <c r="BC118" s="261"/>
      <c r="BD118" s="261"/>
      <c r="BE118" s="261"/>
      <c r="BF118" s="261"/>
    </row>
    <row r="119" spans="16:58"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  <c r="AA119" s="316"/>
      <c r="AB119" s="316"/>
      <c r="AT119" s="261"/>
      <c r="AU119" s="261"/>
      <c r="AV119" s="261"/>
      <c r="AW119" s="261"/>
      <c r="AX119" s="261"/>
      <c r="AY119" s="261"/>
      <c r="AZ119" s="261"/>
      <c r="BA119" s="261"/>
      <c r="BB119" s="261"/>
      <c r="BC119" s="261"/>
      <c r="BD119" s="261"/>
      <c r="BE119" s="261"/>
      <c r="BF119" s="261"/>
    </row>
    <row r="120" spans="16:58"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  <c r="AA120" s="316"/>
      <c r="AB120" s="316"/>
      <c r="AT120" s="261"/>
      <c r="AU120" s="261"/>
      <c r="AV120" s="261"/>
      <c r="AW120" s="261"/>
      <c r="AX120" s="261"/>
      <c r="AY120" s="261"/>
      <c r="AZ120" s="261"/>
      <c r="BA120" s="261"/>
      <c r="BB120" s="261"/>
      <c r="BC120" s="261"/>
      <c r="BD120" s="261"/>
      <c r="BE120" s="261"/>
      <c r="BF120" s="261"/>
    </row>
    <row r="121" spans="16:58"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  <c r="AA121" s="316"/>
      <c r="AB121" s="316"/>
      <c r="AT121" s="261"/>
      <c r="AU121" s="261"/>
      <c r="AV121" s="261"/>
      <c r="AW121" s="261"/>
      <c r="AX121" s="261"/>
      <c r="AY121" s="261"/>
      <c r="AZ121" s="261"/>
      <c r="BA121" s="261"/>
      <c r="BB121" s="261"/>
      <c r="BC121" s="261"/>
      <c r="BD121" s="261"/>
      <c r="BE121" s="261"/>
      <c r="BF121" s="261"/>
    </row>
    <row r="122" spans="16:58"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  <c r="AA122" s="316"/>
      <c r="AB122" s="316"/>
      <c r="AT122" s="261"/>
      <c r="AU122" s="261"/>
      <c r="AV122" s="261"/>
      <c r="AW122" s="261"/>
      <c r="AX122" s="261"/>
      <c r="AY122" s="261"/>
      <c r="AZ122" s="261"/>
      <c r="BA122" s="261"/>
      <c r="BB122" s="261"/>
      <c r="BC122" s="261"/>
      <c r="BD122" s="261"/>
      <c r="BE122" s="261"/>
      <c r="BF122" s="261"/>
    </row>
    <row r="123" spans="16:58"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  <c r="AA123" s="316"/>
      <c r="AB123" s="316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</row>
    <row r="124" spans="16:58"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  <c r="AA124" s="316"/>
      <c r="AB124" s="316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</row>
    <row r="125" spans="16:58"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  <c r="AA125" s="316"/>
      <c r="AB125" s="316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</row>
    <row r="126" spans="16:58"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  <c r="AA126" s="316"/>
      <c r="AB126" s="316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</row>
    <row r="127" spans="16:58"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  <c r="AA127" s="316"/>
      <c r="AB127" s="316"/>
      <c r="AT127" s="261"/>
      <c r="AU127" s="261"/>
      <c r="AV127" s="261"/>
      <c r="AW127" s="261"/>
      <c r="AX127" s="261"/>
      <c r="AY127" s="261"/>
      <c r="AZ127" s="261"/>
      <c r="BA127" s="261"/>
      <c r="BB127" s="261"/>
      <c r="BC127" s="261"/>
      <c r="BD127" s="261"/>
      <c r="BE127" s="261"/>
      <c r="BF127" s="261"/>
    </row>
    <row r="128" spans="16:58"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  <c r="AA128" s="316"/>
      <c r="AB128" s="316"/>
      <c r="AT128" s="261"/>
      <c r="AU128" s="261"/>
      <c r="AV128" s="261"/>
      <c r="AW128" s="261"/>
      <c r="AX128" s="261"/>
      <c r="AY128" s="261"/>
      <c r="AZ128" s="261"/>
      <c r="BA128" s="261"/>
      <c r="BB128" s="261"/>
      <c r="BC128" s="261"/>
      <c r="BD128" s="261"/>
      <c r="BE128" s="261"/>
      <c r="BF128" s="261"/>
    </row>
    <row r="129" spans="16:58">
      <c r="P129" s="316"/>
      <c r="Q129" s="316"/>
      <c r="R129" s="316"/>
      <c r="S129" s="316"/>
      <c r="T129" s="316"/>
      <c r="U129" s="316"/>
      <c r="V129" s="316"/>
      <c r="W129" s="316"/>
      <c r="X129" s="316"/>
      <c r="Y129" s="316"/>
      <c r="Z129" s="316"/>
      <c r="AA129" s="316"/>
      <c r="AB129" s="316"/>
      <c r="AT129" s="261"/>
      <c r="AU129" s="261"/>
      <c r="AV129" s="261"/>
      <c r="AW129" s="261"/>
      <c r="AX129" s="261"/>
      <c r="AY129" s="261"/>
      <c r="AZ129" s="261"/>
      <c r="BA129" s="261"/>
      <c r="BB129" s="261"/>
      <c r="BC129" s="261"/>
      <c r="BD129" s="261"/>
      <c r="BE129" s="261"/>
      <c r="BF129" s="261"/>
    </row>
    <row r="130" spans="16:58">
      <c r="P130" s="316"/>
      <c r="Q130" s="316"/>
      <c r="R130" s="316"/>
      <c r="S130" s="316"/>
      <c r="T130" s="316"/>
      <c r="U130" s="316"/>
      <c r="V130" s="316"/>
      <c r="W130" s="316"/>
      <c r="X130" s="316"/>
      <c r="Y130" s="316"/>
      <c r="Z130" s="316"/>
      <c r="AA130" s="316"/>
      <c r="AB130" s="316"/>
      <c r="AT130" s="261"/>
      <c r="AU130" s="261"/>
      <c r="AV130" s="261"/>
      <c r="AW130" s="261"/>
      <c r="AX130" s="261"/>
      <c r="AY130" s="261"/>
      <c r="AZ130" s="261"/>
      <c r="BA130" s="261"/>
      <c r="BB130" s="261"/>
      <c r="BC130" s="261"/>
      <c r="BD130" s="261"/>
      <c r="BE130" s="261"/>
      <c r="BF130" s="261"/>
    </row>
    <row r="131" spans="16:58"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T131" s="261"/>
      <c r="AU131" s="261"/>
      <c r="AV131" s="261"/>
      <c r="AW131" s="261"/>
      <c r="AX131" s="261"/>
      <c r="AY131" s="261"/>
      <c r="AZ131" s="261"/>
      <c r="BA131" s="261"/>
      <c r="BB131" s="261"/>
      <c r="BC131" s="261"/>
      <c r="BD131" s="261"/>
      <c r="BE131" s="261"/>
      <c r="BF131" s="261"/>
    </row>
    <row r="132" spans="16:58">
      <c r="P132" s="316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  <c r="AA132" s="316"/>
      <c r="AB132" s="316"/>
      <c r="AT132" s="261"/>
      <c r="AU132" s="261"/>
      <c r="AV132" s="261"/>
      <c r="AW132" s="261"/>
      <c r="AX132" s="261"/>
      <c r="AY132" s="261"/>
      <c r="AZ132" s="261"/>
      <c r="BA132" s="261"/>
      <c r="BB132" s="261"/>
      <c r="BC132" s="261"/>
      <c r="BD132" s="261"/>
      <c r="BE132" s="261"/>
      <c r="BF132" s="261"/>
    </row>
    <row r="133" spans="16:58"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  <c r="AA133" s="316"/>
      <c r="AB133" s="316"/>
      <c r="AT133" s="261"/>
      <c r="AU133" s="261"/>
      <c r="AV133" s="261"/>
      <c r="AW133" s="261"/>
      <c r="AX133" s="261"/>
      <c r="AY133" s="261"/>
      <c r="AZ133" s="261"/>
      <c r="BA133" s="261"/>
      <c r="BB133" s="261"/>
      <c r="BC133" s="261"/>
      <c r="BD133" s="261"/>
      <c r="BE133" s="261"/>
      <c r="BF133" s="261"/>
    </row>
    <row r="134" spans="16:58"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  <c r="AA134" s="316"/>
      <c r="AB134" s="316"/>
      <c r="AT134" s="261"/>
      <c r="AU134" s="261"/>
      <c r="AV134" s="261"/>
      <c r="AW134" s="261"/>
      <c r="AX134" s="261"/>
      <c r="AY134" s="261"/>
      <c r="AZ134" s="261"/>
      <c r="BA134" s="261"/>
      <c r="BB134" s="261"/>
      <c r="BC134" s="261"/>
      <c r="BD134" s="261"/>
      <c r="BE134" s="261"/>
      <c r="BF134" s="261"/>
    </row>
    <row r="135" spans="16:58"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  <c r="AA135" s="316"/>
      <c r="AB135" s="316"/>
      <c r="AT135" s="261"/>
      <c r="AU135" s="261"/>
      <c r="AV135" s="261"/>
      <c r="AW135" s="261"/>
      <c r="AX135" s="261"/>
      <c r="AY135" s="261"/>
      <c r="AZ135" s="261"/>
      <c r="BA135" s="261"/>
      <c r="BB135" s="261"/>
      <c r="BC135" s="261"/>
      <c r="BD135" s="261"/>
      <c r="BE135" s="261"/>
      <c r="BF135" s="261"/>
    </row>
    <row r="136" spans="16:58"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  <c r="AA136" s="316"/>
      <c r="AB136" s="316"/>
      <c r="AT136" s="261"/>
      <c r="AU136" s="261"/>
      <c r="AV136" s="261"/>
      <c r="AW136" s="261"/>
      <c r="AX136" s="261"/>
      <c r="AY136" s="261"/>
      <c r="AZ136" s="261"/>
      <c r="BA136" s="261"/>
      <c r="BB136" s="261"/>
      <c r="BC136" s="261"/>
      <c r="BD136" s="261"/>
      <c r="BE136" s="261"/>
      <c r="BF136" s="261"/>
    </row>
    <row r="137" spans="16:58"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316"/>
      <c r="AT137" s="261"/>
      <c r="AU137" s="261"/>
      <c r="AV137" s="261"/>
      <c r="AW137" s="261"/>
      <c r="AX137" s="261"/>
      <c r="AY137" s="261"/>
      <c r="AZ137" s="261"/>
      <c r="BA137" s="261"/>
      <c r="BB137" s="261"/>
      <c r="BC137" s="261"/>
      <c r="BD137" s="261"/>
      <c r="BE137" s="261"/>
      <c r="BF137" s="261"/>
    </row>
    <row r="138" spans="16:58"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  <c r="AA138" s="316"/>
      <c r="AB138" s="316"/>
      <c r="AT138" s="261"/>
      <c r="AU138" s="261"/>
      <c r="AV138" s="261"/>
      <c r="AW138" s="261"/>
      <c r="AX138" s="261"/>
      <c r="AY138" s="261"/>
      <c r="AZ138" s="261"/>
      <c r="BA138" s="261"/>
      <c r="BB138" s="261"/>
      <c r="BC138" s="261"/>
      <c r="BD138" s="261"/>
      <c r="BE138" s="261"/>
      <c r="BF138" s="261"/>
    </row>
    <row r="139" spans="16:58"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  <c r="AA139" s="316"/>
      <c r="AB139" s="316"/>
      <c r="AT139" s="261"/>
      <c r="AU139" s="261"/>
      <c r="AV139" s="261"/>
      <c r="AW139" s="261"/>
      <c r="AX139" s="261"/>
      <c r="AY139" s="261"/>
      <c r="AZ139" s="261"/>
      <c r="BA139" s="261"/>
      <c r="BB139" s="261"/>
      <c r="BC139" s="261"/>
      <c r="BD139" s="261"/>
      <c r="BE139" s="261"/>
      <c r="BF139" s="261"/>
    </row>
    <row r="140" spans="16:58"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  <c r="AA140" s="316"/>
      <c r="AB140" s="316"/>
      <c r="AT140" s="261"/>
      <c r="AU140" s="261"/>
      <c r="AV140" s="261"/>
      <c r="AW140" s="261"/>
      <c r="AX140" s="261"/>
      <c r="AY140" s="261"/>
      <c r="AZ140" s="261"/>
      <c r="BA140" s="261"/>
      <c r="BB140" s="261"/>
      <c r="BC140" s="261"/>
      <c r="BD140" s="261"/>
      <c r="BE140" s="261"/>
      <c r="BF140" s="261"/>
    </row>
    <row r="141" spans="16:58"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  <c r="AA141" s="316"/>
      <c r="AB141" s="316"/>
      <c r="AT141" s="261"/>
      <c r="AU141" s="261"/>
      <c r="AV141" s="261"/>
      <c r="AW141" s="261"/>
      <c r="AX141" s="261"/>
      <c r="AY141" s="261"/>
      <c r="AZ141" s="261"/>
      <c r="BA141" s="261"/>
      <c r="BB141" s="261"/>
      <c r="BC141" s="261"/>
      <c r="BD141" s="261"/>
      <c r="BE141" s="261"/>
      <c r="BF141" s="261"/>
    </row>
    <row r="142" spans="16:58"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  <c r="AA142" s="316"/>
      <c r="AB142" s="316"/>
      <c r="AT142" s="261"/>
      <c r="AU142" s="261"/>
      <c r="AV142" s="261"/>
      <c r="AW142" s="261"/>
      <c r="AX142" s="261"/>
      <c r="AY142" s="261"/>
      <c r="AZ142" s="261"/>
      <c r="BA142" s="261"/>
      <c r="BB142" s="261"/>
      <c r="BC142" s="261"/>
      <c r="BD142" s="261"/>
      <c r="BE142" s="261"/>
      <c r="BF142" s="261"/>
    </row>
    <row r="143" spans="16:58"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  <c r="AA143" s="316"/>
      <c r="AB143" s="316"/>
      <c r="AT143" s="261"/>
      <c r="AU143" s="261"/>
      <c r="AV143" s="261"/>
      <c r="AW143" s="261"/>
      <c r="AX143" s="261"/>
      <c r="AY143" s="261"/>
      <c r="AZ143" s="261"/>
      <c r="BA143" s="261"/>
      <c r="BB143" s="261"/>
      <c r="BC143" s="261"/>
      <c r="BD143" s="261"/>
      <c r="BE143" s="261"/>
      <c r="BF143" s="261"/>
    </row>
    <row r="144" spans="16:58"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  <c r="AA144" s="316"/>
      <c r="AB144" s="316"/>
      <c r="AT144" s="261"/>
      <c r="AU144" s="261"/>
      <c r="AV144" s="261"/>
      <c r="AW144" s="261"/>
      <c r="AX144" s="261"/>
      <c r="AY144" s="261"/>
      <c r="AZ144" s="261"/>
      <c r="BA144" s="261"/>
      <c r="BB144" s="261"/>
      <c r="BC144" s="261"/>
      <c r="BD144" s="261"/>
      <c r="BE144" s="261"/>
      <c r="BF144" s="261"/>
    </row>
    <row r="145" spans="16:58"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  <c r="AA145" s="316"/>
      <c r="AB145" s="316"/>
      <c r="AT145" s="261"/>
      <c r="AU145" s="261"/>
      <c r="AV145" s="261"/>
      <c r="AW145" s="261"/>
      <c r="AX145" s="261"/>
      <c r="AY145" s="261"/>
      <c r="AZ145" s="261"/>
      <c r="BA145" s="261"/>
      <c r="BB145" s="261"/>
      <c r="BC145" s="261"/>
      <c r="BD145" s="261"/>
      <c r="BE145" s="261"/>
      <c r="BF145" s="261"/>
    </row>
    <row r="146" spans="16:58">
      <c r="P146" s="316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  <c r="AA146" s="316"/>
      <c r="AB146" s="316"/>
      <c r="AT146" s="261"/>
      <c r="AU146" s="261"/>
      <c r="AV146" s="261"/>
      <c r="AW146" s="261"/>
      <c r="AX146" s="261"/>
      <c r="AY146" s="261"/>
      <c r="AZ146" s="261"/>
      <c r="BA146" s="261"/>
      <c r="BB146" s="261"/>
      <c r="BC146" s="261"/>
      <c r="BD146" s="261"/>
      <c r="BE146" s="261"/>
      <c r="BF146" s="261"/>
    </row>
    <row r="147" spans="16:58">
      <c r="P147" s="316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  <c r="AA147" s="316"/>
      <c r="AB147" s="316"/>
      <c r="AT147" s="261"/>
      <c r="AU147" s="261"/>
      <c r="AV147" s="261"/>
      <c r="AW147" s="261"/>
      <c r="AX147" s="261"/>
      <c r="AY147" s="261"/>
      <c r="AZ147" s="261"/>
      <c r="BA147" s="261"/>
      <c r="BB147" s="261"/>
      <c r="BC147" s="261"/>
      <c r="BD147" s="261"/>
      <c r="BE147" s="261"/>
      <c r="BF147" s="261"/>
    </row>
    <row r="148" spans="16:58">
      <c r="P148" s="316"/>
      <c r="Q148" s="316"/>
      <c r="R148" s="316"/>
      <c r="S148" s="316"/>
      <c r="T148" s="316"/>
      <c r="U148" s="316"/>
      <c r="V148" s="316"/>
      <c r="W148" s="316"/>
      <c r="X148" s="316"/>
      <c r="Y148" s="316"/>
      <c r="Z148" s="316"/>
      <c r="AA148" s="316"/>
      <c r="AB148" s="316"/>
      <c r="AT148" s="261"/>
      <c r="AU148" s="261"/>
      <c r="AV148" s="261"/>
      <c r="AW148" s="261"/>
      <c r="AX148" s="261"/>
      <c r="AY148" s="261"/>
      <c r="AZ148" s="261"/>
      <c r="BA148" s="261"/>
      <c r="BB148" s="261"/>
      <c r="BC148" s="261"/>
      <c r="BD148" s="261"/>
      <c r="BE148" s="261"/>
      <c r="BF148" s="261"/>
    </row>
    <row r="149" spans="16:58"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  <c r="AA149" s="316"/>
      <c r="AB149" s="316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</row>
    <row r="150" spans="16:58"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  <c r="AA150" s="316"/>
      <c r="AB150" s="316"/>
      <c r="AT150" s="261"/>
      <c r="AU150" s="261"/>
      <c r="AV150" s="261"/>
      <c r="AW150" s="261"/>
      <c r="AX150" s="261"/>
      <c r="AY150" s="261"/>
      <c r="AZ150" s="261"/>
      <c r="BA150" s="261"/>
      <c r="BB150" s="261"/>
      <c r="BC150" s="261"/>
      <c r="BD150" s="261"/>
      <c r="BE150" s="261"/>
      <c r="BF150" s="261"/>
    </row>
    <row r="151" spans="16:58"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316"/>
      <c r="AT151" s="261"/>
      <c r="AU151" s="261"/>
      <c r="AV151" s="261"/>
      <c r="AW151" s="261"/>
      <c r="AX151" s="261"/>
      <c r="AY151" s="261"/>
      <c r="AZ151" s="261"/>
      <c r="BA151" s="261"/>
      <c r="BB151" s="261"/>
      <c r="BC151" s="261"/>
      <c r="BD151" s="261"/>
      <c r="BE151" s="261"/>
      <c r="BF151" s="261"/>
    </row>
    <row r="152" spans="16:58">
      <c r="P152" s="316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  <c r="AA152" s="316"/>
      <c r="AB152" s="316"/>
      <c r="AT152" s="261"/>
      <c r="AU152" s="261"/>
      <c r="AV152" s="261"/>
      <c r="AW152" s="261"/>
      <c r="AX152" s="261"/>
      <c r="AY152" s="261"/>
      <c r="AZ152" s="261"/>
      <c r="BA152" s="261"/>
      <c r="BB152" s="261"/>
      <c r="BC152" s="261"/>
      <c r="BD152" s="261"/>
      <c r="BE152" s="261"/>
      <c r="BF152" s="261"/>
    </row>
    <row r="153" spans="16:58"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  <c r="AA153" s="316"/>
      <c r="AB153" s="316"/>
      <c r="AT153" s="261"/>
      <c r="AU153" s="261"/>
      <c r="AV153" s="261"/>
      <c r="AW153" s="261"/>
      <c r="AX153" s="261"/>
      <c r="AY153" s="261"/>
      <c r="AZ153" s="261"/>
      <c r="BA153" s="261"/>
      <c r="BB153" s="261"/>
      <c r="BC153" s="261"/>
      <c r="BD153" s="261"/>
      <c r="BE153" s="261"/>
      <c r="BF153" s="261"/>
    </row>
    <row r="154" spans="16:58"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  <c r="AA154" s="316"/>
      <c r="AB154" s="316"/>
      <c r="AT154" s="261"/>
      <c r="AU154" s="261"/>
      <c r="AV154" s="261"/>
      <c r="AW154" s="261"/>
      <c r="AX154" s="261"/>
      <c r="AY154" s="261"/>
      <c r="AZ154" s="261"/>
      <c r="BA154" s="261"/>
      <c r="BB154" s="261"/>
      <c r="BC154" s="261"/>
      <c r="BD154" s="261"/>
      <c r="BE154" s="261"/>
      <c r="BF154" s="261"/>
    </row>
    <row r="155" spans="16:58"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  <c r="AA155" s="316"/>
      <c r="AB155" s="316"/>
      <c r="AT155" s="261"/>
      <c r="AU155" s="261"/>
      <c r="AV155" s="261"/>
      <c r="AW155" s="261"/>
      <c r="AX155" s="261"/>
      <c r="AY155" s="261"/>
      <c r="AZ155" s="261"/>
      <c r="BA155" s="261"/>
      <c r="BB155" s="261"/>
      <c r="BC155" s="261"/>
      <c r="BD155" s="261"/>
      <c r="BE155" s="261"/>
      <c r="BF155" s="261"/>
    </row>
    <row r="156" spans="16:58"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316"/>
      <c r="AT156" s="261"/>
      <c r="AU156" s="261"/>
      <c r="AV156" s="261"/>
      <c r="AW156" s="261"/>
      <c r="AX156" s="261"/>
      <c r="AY156" s="261"/>
      <c r="AZ156" s="261"/>
      <c r="BA156" s="261"/>
      <c r="BB156" s="261"/>
      <c r="BC156" s="261"/>
      <c r="BD156" s="261"/>
      <c r="BE156" s="261"/>
      <c r="BF156" s="261"/>
    </row>
    <row r="157" spans="16:58"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316"/>
      <c r="AT157" s="261"/>
      <c r="AU157" s="261"/>
      <c r="AV157" s="261"/>
      <c r="AW157" s="261"/>
      <c r="AX157" s="261"/>
      <c r="AY157" s="261"/>
      <c r="AZ157" s="261"/>
      <c r="BA157" s="261"/>
      <c r="BB157" s="261"/>
      <c r="BC157" s="261"/>
      <c r="BD157" s="261"/>
      <c r="BE157" s="261"/>
      <c r="BF157" s="261"/>
    </row>
    <row r="158" spans="16:58"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  <c r="AA158" s="316"/>
      <c r="AB158" s="316"/>
      <c r="AT158" s="261"/>
      <c r="AU158" s="261"/>
      <c r="AV158" s="261"/>
      <c r="AW158" s="261"/>
      <c r="AX158" s="261"/>
      <c r="AY158" s="261"/>
      <c r="AZ158" s="261"/>
      <c r="BA158" s="261"/>
      <c r="BB158" s="261"/>
      <c r="BC158" s="261"/>
      <c r="BD158" s="261"/>
      <c r="BE158" s="261"/>
      <c r="BF158" s="261"/>
    </row>
    <row r="159" spans="16:58"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  <c r="AA159" s="316"/>
      <c r="AB159" s="316"/>
      <c r="AT159" s="261"/>
      <c r="AU159" s="261"/>
      <c r="AV159" s="261"/>
      <c r="AW159" s="261"/>
      <c r="AX159" s="261"/>
      <c r="AY159" s="261"/>
      <c r="AZ159" s="261"/>
      <c r="BA159" s="261"/>
      <c r="BB159" s="261"/>
      <c r="BC159" s="261"/>
      <c r="BD159" s="261"/>
      <c r="BE159" s="261"/>
      <c r="BF159" s="261"/>
    </row>
    <row r="160" spans="16:58"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  <c r="AA160" s="316"/>
      <c r="AB160" s="316"/>
      <c r="AT160" s="261"/>
      <c r="AU160" s="261"/>
      <c r="AV160" s="261"/>
      <c r="AW160" s="261"/>
      <c r="AX160" s="261"/>
      <c r="AY160" s="261"/>
      <c r="AZ160" s="261"/>
      <c r="BA160" s="261"/>
      <c r="BB160" s="261"/>
      <c r="BC160" s="261"/>
      <c r="BD160" s="261"/>
      <c r="BE160" s="261"/>
      <c r="BF160" s="261"/>
    </row>
    <row r="161" spans="16:58"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316"/>
      <c r="AT161" s="261"/>
      <c r="AU161" s="261"/>
      <c r="AV161" s="261"/>
      <c r="AW161" s="261"/>
      <c r="AX161" s="261"/>
      <c r="AY161" s="261"/>
      <c r="AZ161" s="261"/>
      <c r="BA161" s="261"/>
      <c r="BB161" s="261"/>
      <c r="BC161" s="261"/>
      <c r="BD161" s="261"/>
      <c r="BE161" s="261"/>
      <c r="BF161" s="261"/>
    </row>
    <row r="162" spans="16:58"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316"/>
      <c r="AT162" s="261"/>
      <c r="AU162" s="261"/>
      <c r="AV162" s="261"/>
      <c r="AW162" s="261"/>
      <c r="AX162" s="261"/>
      <c r="AY162" s="261"/>
      <c r="AZ162" s="261"/>
      <c r="BA162" s="261"/>
      <c r="BB162" s="261"/>
      <c r="BC162" s="261"/>
      <c r="BD162" s="261"/>
      <c r="BE162" s="261"/>
      <c r="BF162" s="261"/>
    </row>
    <row r="163" spans="16:58"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316"/>
      <c r="AT163" s="261"/>
      <c r="AU163" s="261"/>
      <c r="AV163" s="261"/>
      <c r="AW163" s="261"/>
      <c r="AX163" s="261"/>
      <c r="AY163" s="261"/>
      <c r="AZ163" s="261"/>
      <c r="BA163" s="261"/>
      <c r="BB163" s="261"/>
      <c r="BC163" s="261"/>
      <c r="BD163" s="261"/>
      <c r="BE163" s="261"/>
      <c r="BF163" s="261"/>
    </row>
    <row r="164" spans="16:58"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  <c r="AA164" s="316"/>
      <c r="AB164" s="316"/>
      <c r="AT164" s="261"/>
      <c r="AU164" s="261"/>
      <c r="AV164" s="261"/>
      <c r="AW164" s="261"/>
      <c r="AX164" s="261"/>
      <c r="AY164" s="261"/>
      <c r="AZ164" s="261"/>
      <c r="BA164" s="261"/>
      <c r="BB164" s="261"/>
      <c r="BC164" s="261"/>
      <c r="BD164" s="261"/>
      <c r="BE164" s="261"/>
      <c r="BF164" s="261"/>
    </row>
    <row r="165" spans="16:58"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  <c r="AA165" s="316"/>
      <c r="AB165" s="316"/>
      <c r="AT165" s="261"/>
      <c r="AU165" s="261"/>
      <c r="AV165" s="261"/>
      <c r="AW165" s="261"/>
      <c r="AX165" s="261"/>
      <c r="AY165" s="261"/>
      <c r="AZ165" s="261"/>
      <c r="BA165" s="261"/>
      <c r="BB165" s="261"/>
      <c r="BC165" s="261"/>
      <c r="BD165" s="261"/>
      <c r="BE165" s="261"/>
      <c r="BF165" s="261"/>
    </row>
    <row r="166" spans="16:58"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T166" s="261"/>
      <c r="AU166" s="261"/>
      <c r="AV166" s="261"/>
      <c r="AW166" s="261"/>
      <c r="AX166" s="261"/>
      <c r="AY166" s="261"/>
      <c r="AZ166" s="261"/>
      <c r="BA166" s="261"/>
      <c r="BB166" s="261"/>
      <c r="BC166" s="261"/>
      <c r="BD166" s="261"/>
      <c r="BE166" s="261"/>
      <c r="BF166" s="261"/>
    </row>
    <row r="167" spans="16:58"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T167" s="261"/>
      <c r="AU167" s="261"/>
      <c r="AV167" s="261"/>
      <c r="AW167" s="261"/>
      <c r="AX167" s="261"/>
      <c r="AY167" s="261"/>
      <c r="AZ167" s="261"/>
      <c r="BA167" s="261"/>
      <c r="BB167" s="261"/>
      <c r="BC167" s="261"/>
      <c r="BD167" s="261"/>
      <c r="BE167" s="261"/>
      <c r="BF167" s="261"/>
    </row>
    <row r="168" spans="16:58"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316"/>
      <c r="AT168" s="261"/>
      <c r="AU168" s="261"/>
      <c r="AV168" s="261"/>
      <c r="AW168" s="261"/>
      <c r="AX168" s="261"/>
      <c r="AY168" s="261"/>
      <c r="AZ168" s="261"/>
      <c r="BA168" s="261"/>
      <c r="BB168" s="261"/>
      <c r="BC168" s="261"/>
      <c r="BD168" s="261"/>
      <c r="BE168" s="261"/>
      <c r="BF168" s="261"/>
    </row>
    <row r="169" spans="16:58"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316"/>
      <c r="AT169" s="261"/>
      <c r="AU169" s="261"/>
      <c r="AV169" s="261"/>
      <c r="AW169" s="261"/>
      <c r="AX169" s="261"/>
      <c r="AY169" s="261"/>
      <c r="AZ169" s="261"/>
      <c r="BA169" s="261"/>
      <c r="BB169" s="261"/>
      <c r="BC169" s="261"/>
      <c r="BD169" s="261"/>
      <c r="BE169" s="261"/>
      <c r="BF169" s="261"/>
    </row>
    <row r="170" spans="16:58"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316"/>
      <c r="AT170" s="261"/>
      <c r="AU170" s="261"/>
      <c r="AV170" s="261"/>
      <c r="AW170" s="261"/>
      <c r="AX170" s="261"/>
      <c r="AY170" s="261"/>
      <c r="AZ170" s="261"/>
      <c r="BA170" s="261"/>
      <c r="BB170" s="261"/>
      <c r="BC170" s="261"/>
      <c r="BD170" s="261"/>
      <c r="BE170" s="261"/>
      <c r="BF170" s="261"/>
    </row>
    <row r="171" spans="16:58"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T171" s="261"/>
      <c r="AU171" s="261"/>
      <c r="AV171" s="261"/>
      <c r="AW171" s="261"/>
      <c r="AX171" s="261"/>
      <c r="AY171" s="261"/>
      <c r="AZ171" s="261"/>
      <c r="BA171" s="261"/>
      <c r="BB171" s="261"/>
      <c r="BC171" s="261"/>
      <c r="BD171" s="261"/>
      <c r="BE171" s="261"/>
      <c r="BF171" s="261"/>
    </row>
    <row r="172" spans="16:58"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T172" s="261"/>
      <c r="AU172" s="261"/>
      <c r="AV172" s="261"/>
      <c r="AW172" s="261"/>
      <c r="AX172" s="261"/>
      <c r="AY172" s="261"/>
      <c r="AZ172" s="261"/>
      <c r="BA172" s="261"/>
      <c r="BB172" s="261"/>
      <c r="BC172" s="261"/>
      <c r="BD172" s="261"/>
      <c r="BE172" s="261"/>
      <c r="BF172" s="261"/>
    </row>
    <row r="173" spans="16:58"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316"/>
      <c r="AT173" s="261"/>
      <c r="AU173" s="261"/>
      <c r="AV173" s="261"/>
      <c r="AW173" s="261"/>
      <c r="AX173" s="261"/>
      <c r="AY173" s="261"/>
      <c r="AZ173" s="261"/>
      <c r="BA173" s="261"/>
      <c r="BB173" s="261"/>
      <c r="BC173" s="261"/>
      <c r="BD173" s="261"/>
      <c r="BE173" s="261"/>
      <c r="BF173" s="261"/>
    </row>
    <row r="174" spans="16:58"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316"/>
      <c r="AT174" s="261"/>
      <c r="AU174" s="261"/>
      <c r="AV174" s="261"/>
      <c r="AW174" s="261"/>
      <c r="AX174" s="261"/>
      <c r="AY174" s="261"/>
      <c r="AZ174" s="261"/>
      <c r="BA174" s="261"/>
      <c r="BB174" s="261"/>
      <c r="BC174" s="261"/>
      <c r="BD174" s="261"/>
      <c r="BE174" s="261"/>
      <c r="BF174" s="261"/>
    </row>
    <row r="175" spans="16:58"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  <c r="AB175" s="316"/>
      <c r="AT175" s="261"/>
      <c r="AU175" s="261"/>
      <c r="AV175" s="261"/>
      <c r="AW175" s="261"/>
      <c r="AX175" s="261"/>
      <c r="AY175" s="261"/>
      <c r="AZ175" s="261"/>
      <c r="BA175" s="261"/>
      <c r="BB175" s="261"/>
      <c r="BC175" s="261"/>
      <c r="BD175" s="261"/>
      <c r="BE175" s="261"/>
      <c r="BF175" s="261"/>
    </row>
    <row r="176" spans="16:58"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316"/>
      <c r="AT176" s="261"/>
      <c r="AU176" s="261"/>
      <c r="AV176" s="261"/>
      <c r="AW176" s="261"/>
      <c r="AX176" s="261"/>
      <c r="AY176" s="261"/>
      <c r="AZ176" s="261"/>
      <c r="BA176" s="261"/>
      <c r="BB176" s="261"/>
      <c r="BC176" s="261"/>
      <c r="BD176" s="261"/>
      <c r="BE176" s="261"/>
      <c r="BF176" s="261"/>
    </row>
    <row r="177" spans="16:58"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316"/>
      <c r="AT177" s="261"/>
      <c r="AU177" s="261"/>
      <c r="AV177" s="261"/>
      <c r="AW177" s="261"/>
      <c r="AX177" s="261"/>
      <c r="AY177" s="261"/>
      <c r="AZ177" s="261"/>
      <c r="BA177" s="261"/>
      <c r="BB177" s="261"/>
      <c r="BC177" s="261"/>
      <c r="BD177" s="261"/>
      <c r="BE177" s="261"/>
      <c r="BF177" s="261"/>
    </row>
    <row r="178" spans="16:58"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  <c r="AB178" s="316"/>
      <c r="AT178" s="261"/>
      <c r="AU178" s="261"/>
      <c r="AV178" s="261"/>
      <c r="AW178" s="261"/>
      <c r="AX178" s="261"/>
      <c r="AY178" s="261"/>
      <c r="AZ178" s="261"/>
      <c r="BA178" s="261"/>
      <c r="BB178" s="261"/>
      <c r="BC178" s="261"/>
      <c r="BD178" s="261"/>
      <c r="BE178" s="261"/>
      <c r="BF178" s="261"/>
    </row>
    <row r="179" spans="16:58"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  <c r="AA179" s="316"/>
      <c r="AB179" s="316"/>
      <c r="AT179" s="261"/>
      <c r="AU179" s="261"/>
      <c r="AV179" s="261"/>
      <c r="AW179" s="261"/>
      <c r="AX179" s="261"/>
      <c r="AY179" s="261"/>
      <c r="AZ179" s="261"/>
      <c r="BA179" s="261"/>
      <c r="BB179" s="261"/>
      <c r="BC179" s="261"/>
      <c r="BD179" s="261"/>
      <c r="BE179" s="261"/>
      <c r="BF179" s="261"/>
    </row>
    <row r="180" spans="16:58"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316"/>
      <c r="AT180" s="261"/>
      <c r="AU180" s="261"/>
      <c r="AV180" s="261"/>
      <c r="AW180" s="261"/>
      <c r="AX180" s="261"/>
      <c r="AY180" s="261"/>
      <c r="AZ180" s="261"/>
      <c r="BA180" s="261"/>
      <c r="BB180" s="261"/>
      <c r="BC180" s="261"/>
      <c r="BD180" s="261"/>
      <c r="BE180" s="261"/>
      <c r="BF180" s="261"/>
    </row>
    <row r="181" spans="16:58"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316"/>
      <c r="AT181" s="261"/>
      <c r="AU181" s="261"/>
      <c r="AV181" s="261"/>
      <c r="AW181" s="261"/>
      <c r="AX181" s="261"/>
      <c r="AY181" s="261"/>
      <c r="AZ181" s="261"/>
      <c r="BA181" s="261"/>
      <c r="BB181" s="261"/>
      <c r="BC181" s="261"/>
      <c r="BD181" s="261"/>
      <c r="BE181" s="261"/>
      <c r="BF181" s="261"/>
    </row>
    <row r="182" spans="16:58"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316"/>
      <c r="AT182" s="261"/>
      <c r="AU182" s="261"/>
      <c r="AV182" s="261"/>
      <c r="AW182" s="261"/>
      <c r="AX182" s="261"/>
      <c r="AY182" s="261"/>
      <c r="AZ182" s="261"/>
      <c r="BA182" s="261"/>
      <c r="BB182" s="261"/>
      <c r="BC182" s="261"/>
      <c r="BD182" s="261"/>
      <c r="BE182" s="261"/>
      <c r="BF182" s="261"/>
    </row>
    <row r="183" spans="16:58"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  <c r="AA183" s="316"/>
      <c r="AB183" s="316"/>
      <c r="AT183" s="261"/>
      <c r="AU183" s="261"/>
      <c r="AV183" s="261"/>
      <c r="AW183" s="261"/>
      <c r="AX183" s="261"/>
      <c r="AY183" s="261"/>
      <c r="AZ183" s="261"/>
      <c r="BA183" s="261"/>
      <c r="BB183" s="261"/>
      <c r="BC183" s="261"/>
      <c r="BD183" s="261"/>
      <c r="BE183" s="261"/>
      <c r="BF183" s="261"/>
    </row>
    <row r="184" spans="16:58"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  <c r="AA184" s="316"/>
      <c r="AB184" s="316"/>
      <c r="AT184" s="261"/>
      <c r="AU184" s="261"/>
      <c r="AV184" s="261"/>
      <c r="AW184" s="261"/>
      <c r="AX184" s="261"/>
      <c r="AY184" s="261"/>
      <c r="AZ184" s="261"/>
      <c r="BA184" s="261"/>
      <c r="BB184" s="261"/>
      <c r="BC184" s="261"/>
      <c r="BD184" s="261"/>
      <c r="BE184" s="261"/>
      <c r="BF184" s="261"/>
    </row>
    <row r="185" spans="16:58"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  <c r="AA185" s="316"/>
      <c r="AB185" s="316"/>
      <c r="AT185" s="261"/>
      <c r="AU185" s="261"/>
      <c r="AV185" s="261"/>
      <c r="AW185" s="261"/>
      <c r="AX185" s="261"/>
      <c r="AY185" s="261"/>
      <c r="AZ185" s="261"/>
      <c r="BA185" s="261"/>
      <c r="BB185" s="261"/>
      <c r="BC185" s="261"/>
      <c r="BD185" s="261"/>
      <c r="BE185" s="261"/>
      <c r="BF185" s="261"/>
    </row>
    <row r="186" spans="16:58"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T186" s="261"/>
      <c r="AU186" s="261"/>
      <c r="AV186" s="261"/>
      <c r="AW186" s="261"/>
      <c r="AX186" s="261"/>
      <c r="AY186" s="261"/>
      <c r="AZ186" s="261"/>
      <c r="BA186" s="261"/>
      <c r="BB186" s="261"/>
      <c r="BC186" s="261"/>
      <c r="BD186" s="261"/>
      <c r="BE186" s="261"/>
      <c r="BF186" s="261"/>
    </row>
    <row r="187" spans="16:58"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  <c r="AA187" s="316"/>
      <c r="AB187" s="316"/>
      <c r="AT187" s="261"/>
      <c r="AU187" s="261"/>
      <c r="AV187" s="261"/>
      <c r="AW187" s="261"/>
      <c r="AX187" s="261"/>
      <c r="AY187" s="261"/>
      <c r="AZ187" s="261"/>
      <c r="BA187" s="261"/>
      <c r="BB187" s="261"/>
      <c r="BC187" s="261"/>
      <c r="BD187" s="261"/>
      <c r="BE187" s="261"/>
      <c r="BF187" s="261"/>
    </row>
    <row r="188" spans="16:58"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  <c r="AA188" s="316"/>
      <c r="AB188" s="316"/>
      <c r="AT188" s="261"/>
      <c r="AU188" s="261"/>
      <c r="AV188" s="261"/>
      <c r="AW188" s="261"/>
      <c r="AX188" s="261"/>
      <c r="AY188" s="261"/>
      <c r="AZ188" s="261"/>
      <c r="BA188" s="261"/>
      <c r="BB188" s="261"/>
      <c r="BC188" s="261"/>
      <c r="BD188" s="261"/>
      <c r="BE188" s="261"/>
      <c r="BF188" s="261"/>
    </row>
    <row r="189" spans="16:58"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  <c r="AA189" s="316"/>
      <c r="AB189" s="316"/>
      <c r="AT189" s="261"/>
      <c r="AU189" s="261"/>
      <c r="AV189" s="261"/>
      <c r="AW189" s="261"/>
      <c r="AX189" s="261"/>
      <c r="AY189" s="261"/>
      <c r="AZ189" s="261"/>
      <c r="BA189" s="261"/>
      <c r="BB189" s="261"/>
      <c r="BC189" s="261"/>
      <c r="BD189" s="261"/>
      <c r="BE189" s="261"/>
      <c r="BF189" s="261"/>
    </row>
    <row r="190" spans="16:58"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  <c r="AA190" s="316"/>
      <c r="AB190" s="316"/>
      <c r="AT190" s="261"/>
      <c r="AU190" s="261"/>
      <c r="AV190" s="261"/>
      <c r="AW190" s="261"/>
      <c r="AX190" s="261"/>
      <c r="AY190" s="261"/>
      <c r="AZ190" s="261"/>
      <c r="BA190" s="261"/>
      <c r="BB190" s="261"/>
      <c r="BC190" s="261"/>
      <c r="BD190" s="261"/>
      <c r="BE190" s="261"/>
      <c r="BF190" s="261"/>
    </row>
    <row r="191" spans="16:58"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  <c r="AA191" s="316"/>
      <c r="AB191" s="316"/>
      <c r="AT191" s="261"/>
      <c r="AU191" s="261"/>
      <c r="AV191" s="261"/>
      <c r="AW191" s="261"/>
      <c r="AX191" s="261"/>
      <c r="AY191" s="261"/>
      <c r="AZ191" s="261"/>
      <c r="BA191" s="261"/>
      <c r="BB191" s="261"/>
      <c r="BC191" s="261"/>
      <c r="BD191" s="261"/>
      <c r="BE191" s="261"/>
      <c r="BF191" s="261"/>
    </row>
    <row r="192" spans="16:58"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  <c r="AA192" s="316"/>
      <c r="AB192" s="316"/>
      <c r="AT192" s="261"/>
      <c r="AU192" s="261"/>
      <c r="AV192" s="261"/>
      <c r="AW192" s="261"/>
      <c r="AX192" s="261"/>
      <c r="AY192" s="261"/>
      <c r="AZ192" s="261"/>
      <c r="BA192" s="261"/>
      <c r="BB192" s="261"/>
      <c r="BC192" s="261"/>
      <c r="BD192" s="261"/>
      <c r="BE192" s="261"/>
      <c r="BF192" s="261"/>
    </row>
    <row r="193" spans="16:58"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  <c r="AA193" s="316"/>
      <c r="AB193" s="316"/>
      <c r="AT193" s="261"/>
      <c r="AU193" s="261"/>
      <c r="AV193" s="261"/>
      <c r="AW193" s="261"/>
      <c r="AX193" s="261"/>
      <c r="AY193" s="261"/>
      <c r="AZ193" s="261"/>
      <c r="BA193" s="261"/>
      <c r="BB193" s="261"/>
      <c r="BC193" s="261"/>
      <c r="BD193" s="261"/>
      <c r="BE193" s="261"/>
      <c r="BF193" s="261"/>
    </row>
    <row r="194" spans="16:58"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  <c r="AA194" s="316"/>
      <c r="AB194" s="316"/>
      <c r="AT194" s="261"/>
      <c r="AU194" s="261"/>
      <c r="AV194" s="261"/>
      <c r="AW194" s="261"/>
      <c r="AX194" s="261"/>
      <c r="AY194" s="261"/>
      <c r="AZ194" s="261"/>
      <c r="BA194" s="261"/>
      <c r="BB194" s="261"/>
      <c r="BC194" s="261"/>
      <c r="BD194" s="261"/>
      <c r="BE194" s="261"/>
      <c r="BF194" s="261"/>
    </row>
    <row r="195" spans="16:58"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  <c r="AA195" s="316"/>
      <c r="AB195" s="316"/>
      <c r="AT195" s="261"/>
      <c r="AU195" s="261"/>
      <c r="AV195" s="261"/>
      <c r="AW195" s="261"/>
      <c r="AX195" s="261"/>
      <c r="AY195" s="261"/>
      <c r="AZ195" s="261"/>
      <c r="BA195" s="261"/>
      <c r="BB195" s="261"/>
      <c r="BC195" s="261"/>
      <c r="BD195" s="261"/>
      <c r="BE195" s="261"/>
      <c r="BF195" s="261"/>
    </row>
    <row r="196" spans="16:58"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  <c r="AA196" s="316"/>
      <c r="AB196" s="316"/>
      <c r="AT196" s="261"/>
      <c r="AU196" s="261"/>
      <c r="AV196" s="261"/>
      <c r="AW196" s="261"/>
      <c r="AX196" s="261"/>
      <c r="AY196" s="261"/>
      <c r="AZ196" s="261"/>
      <c r="BA196" s="261"/>
      <c r="BB196" s="261"/>
      <c r="BC196" s="261"/>
      <c r="BD196" s="261"/>
      <c r="BE196" s="261"/>
      <c r="BF196" s="261"/>
    </row>
    <row r="197" spans="16:58"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  <c r="AA197" s="316"/>
      <c r="AB197" s="316"/>
      <c r="AT197" s="261"/>
      <c r="AU197" s="261"/>
      <c r="AV197" s="261"/>
      <c r="AW197" s="261"/>
      <c r="AX197" s="261"/>
      <c r="AY197" s="261"/>
      <c r="AZ197" s="261"/>
      <c r="BA197" s="261"/>
      <c r="BB197" s="261"/>
      <c r="BC197" s="261"/>
      <c r="BD197" s="261"/>
      <c r="BE197" s="261"/>
      <c r="BF197" s="261"/>
    </row>
    <row r="198" spans="16:58">
      <c r="P198" s="316"/>
      <c r="Q198" s="316"/>
      <c r="R198" s="316"/>
      <c r="S198" s="316"/>
      <c r="T198" s="316"/>
      <c r="U198" s="316"/>
      <c r="V198" s="316"/>
      <c r="W198" s="316"/>
      <c r="X198" s="316"/>
      <c r="Y198" s="316"/>
      <c r="Z198" s="316"/>
      <c r="AA198" s="316"/>
      <c r="AB198" s="316"/>
      <c r="AT198" s="261"/>
      <c r="AU198" s="261"/>
      <c r="AV198" s="261"/>
      <c r="AW198" s="261"/>
      <c r="AX198" s="261"/>
      <c r="AY198" s="261"/>
      <c r="AZ198" s="261"/>
      <c r="BA198" s="261"/>
      <c r="BB198" s="261"/>
      <c r="BC198" s="261"/>
      <c r="BD198" s="261"/>
      <c r="BE198" s="261"/>
      <c r="BF198" s="261"/>
    </row>
    <row r="199" spans="16:58"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  <c r="AA199" s="316"/>
      <c r="AB199" s="316"/>
      <c r="AT199" s="261"/>
      <c r="AU199" s="261"/>
      <c r="AV199" s="261"/>
      <c r="AW199" s="261"/>
      <c r="AX199" s="261"/>
      <c r="AY199" s="261"/>
      <c r="AZ199" s="261"/>
      <c r="BA199" s="261"/>
      <c r="BB199" s="261"/>
      <c r="BC199" s="261"/>
      <c r="BD199" s="261"/>
      <c r="BE199" s="261"/>
      <c r="BF199" s="261"/>
    </row>
    <row r="200" spans="16:58"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  <c r="AA200" s="316"/>
      <c r="AB200" s="316"/>
      <c r="AT200" s="261"/>
      <c r="AU200" s="261"/>
      <c r="AV200" s="261"/>
      <c r="AW200" s="261"/>
      <c r="AX200" s="261"/>
      <c r="AY200" s="261"/>
      <c r="AZ200" s="261"/>
      <c r="BA200" s="261"/>
      <c r="BB200" s="261"/>
      <c r="BC200" s="261"/>
      <c r="BD200" s="261"/>
      <c r="BE200" s="261"/>
      <c r="BF200" s="261"/>
    </row>
    <row r="201" spans="16:58">
      <c r="P201" s="316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  <c r="AA201" s="316"/>
      <c r="AB201" s="316"/>
      <c r="AT201" s="261"/>
      <c r="AU201" s="261"/>
      <c r="AV201" s="261"/>
      <c r="AW201" s="261"/>
      <c r="AX201" s="261"/>
      <c r="AY201" s="261"/>
      <c r="AZ201" s="261"/>
      <c r="BA201" s="261"/>
      <c r="BB201" s="261"/>
      <c r="BC201" s="261"/>
      <c r="BD201" s="261"/>
      <c r="BE201" s="261"/>
      <c r="BF201" s="261"/>
    </row>
    <row r="202" spans="16:58"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A202" s="316"/>
      <c r="AB202" s="316"/>
      <c r="AT202" s="261"/>
      <c r="AU202" s="261"/>
      <c r="AV202" s="261"/>
      <c r="AW202" s="261"/>
      <c r="AX202" s="261"/>
      <c r="AY202" s="261"/>
      <c r="AZ202" s="261"/>
      <c r="BA202" s="261"/>
      <c r="BB202" s="261"/>
      <c r="BC202" s="261"/>
      <c r="BD202" s="261"/>
      <c r="BE202" s="261"/>
      <c r="BF202" s="261"/>
    </row>
    <row r="203" spans="16:58"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T203" s="261"/>
      <c r="AU203" s="261"/>
      <c r="AV203" s="261"/>
      <c r="AW203" s="261"/>
      <c r="AX203" s="261"/>
      <c r="AY203" s="261"/>
      <c r="AZ203" s="261"/>
      <c r="BA203" s="261"/>
      <c r="BB203" s="261"/>
      <c r="BC203" s="261"/>
      <c r="BD203" s="261"/>
      <c r="BE203" s="261"/>
      <c r="BF203" s="261"/>
    </row>
    <row r="204" spans="16:58"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  <c r="AA204" s="316"/>
      <c r="AB204" s="316"/>
      <c r="AT204" s="261"/>
      <c r="AU204" s="261"/>
      <c r="AV204" s="261"/>
      <c r="AW204" s="261"/>
      <c r="AX204" s="261"/>
      <c r="AY204" s="261"/>
      <c r="AZ204" s="261"/>
      <c r="BA204" s="261"/>
      <c r="BB204" s="261"/>
      <c r="BC204" s="261"/>
      <c r="BD204" s="261"/>
      <c r="BE204" s="261"/>
      <c r="BF204" s="261"/>
    </row>
    <row r="205" spans="16:58"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  <c r="AA205" s="316"/>
      <c r="AB205" s="316"/>
      <c r="AT205" s="261"/>
      <c r="AU205" s="261"/>
      <c r="AV205" s="261"/>
      <c r="AW205" s="261"/>
      <c r="AX205" s="261"/>
      <c r="AY205" s="261"/>
      <c r="AZ205" s="261"/>
      <c r="BA205" s="261"/>
      <c r="BB205" s="261"/>
      <c r="BC205" s="261"/>
      <c r="BD205" s="261"/>
      <c r="BE205" s="261"/>
      <c r="BF205" s="261"/>
    </row>
    <row r="206" spans="16:58"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  <c r="AA206" s="316"/>
      <c r="AB206" s="316"/>
      <c r="AT206" s="261"/>
      <c r="AU206" s="261"/>
      <c r="AV206" s="261"/>
      <c r="AW206" s="261"/>
      <c r="AX206" s="261"/>
      <c r="AY206" s="261"/>
      <c r="AZ206" s="261"/>
      <c r="BA206" s="261"/>
      <c r="BB206" s="261"/>
      <c r="BC206" s="261"/>
      <c r="BD206" s="261"/>
      <c r="BE206" s="261"/>
      <c r="BF206" s="261"/>
    </row>
    <row r="207" spans="16:58"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  <c r="AA207" s="316"/>
      <c r="AB207" s="316"/>
      <c r="AT207" s="261"/>
      <c r="AU207" s="261"/>
      <c r="AV207" s="261"/>
      <c r="AW207" s="261"/>
      <c r="AX207" s="261"/>
      <c r="AY207" s="261"/>
      <c r="AZ207" s="261"/>
      <c r="BA207" s="261"/>
      <c r="BB207" s="261"/>
      <c r="BC207" s="261"/>
      <c r="BD207" s="261"/>
      <c r="BE207" s="261"/>
      <c r="BF207" s="261"/>
    </row>
    <row r="208" spans="16:58"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  <c r="AA208" s="316"/>
      <c r="AB208" s="316"/>
      <c r="AT208" s="261"/>
      <c r="AU208" s="261"/>
      <c r="AV208" s="261"/>
      <c r="AW208" s="261"/>
      <c r="AX208" s="261"/>
      <c r="AY208" s="261"/>
      <c r="AZ208" s="261"/>
      <c r="BA208" s="261"/>
      <c r="BB208" s="261"/>
      <c r="BC208" s="261"/>
      <c r="BD208" s="261"/>
      <c r="BE208" s="261"/>
      <c r="BF208" s="261"/>
    </row>
    <row r="209" spans="16:58"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  <c r="AA209" s="316"/>
      <c r="AB209" s="316"/>
      <c r="AT209" s="261"/>
      <c r="AU209" s="261"/>
      <c r="AV209" s="261"/>
      <c r="AW209" s="261"/>
      <c r="AX209" s="261"/>
      <c r="AY209" s="261"/>
      <c r="AZ209" s="261"/>
      <c r="BA209" s="261"/>
      <c r="BB209" s="261"/>
      <c r="BC209" s="261"/>
      <c r="BD209" s="261"/>
      <c r="BE209" s="261"/>
      <c r="BF209" s="261"/>
    </row>
    <row r="210" spans="16:58"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  <c r="AA210" s="316"/>
      <c r="AB210" s="316"/>
      <c r="AT210" s="261"/>
      <c r="AU210" s="261"/>
      <c r="AV210" s="261"/>
      <c r="AW210" s="261"/>
      <c r="AX210" s="261"/>
      <c r="AY210" s="261"/>
      <c r="AZ210" s="261"/>
      <c r="BA210" s="261"/>
      <c r="BB210" s="261"/>
      <c r="BC210" s="261"/>
      <c r="BD210" s="261"/>
      <c r="BE210" s="261"/>
      <c r="BF210" s="261"/>
    </row>
    <row r="211" spans="16:58"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  <c r="AB211" s="316"/>
      <c r="AT211" s="261"/>
      <c r="AU211" s="261"/>
      <c r="AV211" s="261"/>
      <c r="AW211" s="261"/>
      <c r="AX211" s="261"/>
      <c r="AY211" s="261"/>
      <c r="AZ211" s="261"/>
      <c r="BA211" s="261"/>
      <c r="BB211" s="261"/>
      <c r="BC211" s="261"/>
      <c r="BD211" s="261"/>
      <c r="BE211" s="261"/>
      <c r="BF211" s="261"/>
    </row>
    <row r="212" spans="16:58"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  <c r="AB212" s="316"/>
      <c r="AT212" s="261"/>
      <c r="AU212" s="261"/>
      <c r="AV212" s="261"/>
      <c r="AW212" s="261"/>
      <c r="AX212" s="261"/>
      <c r="AY212" s="261"/>
      <c r="AZ212" s="261"/>
      <c r="BA212" s="261"/>
      <c r="BB212" s="261"/>
      <c r="BC212" s="261"/>
      <c r="BD212" s="261"/>
      <c r="BE212" s="261"/>
      <c r="BF212" s="261"/>
    </row>
    <row r="213" spans="16:58"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  <c r="AA213" s="316"/>
      <c r="AB213" s="316"/>
      <c r="AT213" s="261"/>
      <c r="AU213" s="261"/>
      <c r="AV213" s="261"/>
      <c r="AW213" s="261"/>
      <c r="AX213" s="261"/>
      <c r="AY213" s="261"/>
      <c r="AZ213" s="261"/>
      <c r="BA213" s="261"/>
      <c r="BB213" s="261"/>
      <c r="BC213" s="261"/>
      <c r="BD213" s="261"/>
      <c r="BE213" s="261"/>
      <c r="BF213" s="261"/>
    </row>
    <row r="214" spans="16:58"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  <c r="AA214" s="316"/>
      <c r="AB214" s="316"/>
      <c r="AT214" s="261"/>
      <c r="AU214" s="261"/>
      <c r="AV214" s="261"/>
      <c r="AW214" s="261"/>
      <c r="AX214" s="261"/>
      <c r="AY214" s="261"/>
      <c r="AZ214" s="261"/>
      <c r="BA214" s="261"/>
      <c r="BB214" s="261"/>
      <c r="BC214" s="261"/>
      <c r="BD214" s="261"/>
      <c r="BE214" s="261"/>
      <c r="BF214" s="261"/>
    </row>
    <row r="215" spans="16:58"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  <c r="AB215" s="316"/>
      <c r="AT215" s="261"/>
      <c r="AU215" s="261"/>
      <c r="AV215" s="261"/>
      <c r="AW215" s="261"/>
      <c r="AX215" s="261"/>
      <c r="AY215" s="261"/>
      <c r="AZ215" s="261"/>
      <c r="BA215" s="261"/>
      <c r="BB215" s="261"/>
      <c r="BC215" s="261"/>
      <c r="BD215" s="261"/>
      <c r="BE215" s="261"/>
      <c r="BF215" s="261"/>
    </row>
    <row r="216" spans="16:58"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  <c r="AA216" s="316"/>
      <c r="AB216" s="316"/>
      <c r="AT216" s="261"/>
      <c r="AU216" s="261"/>
      <c r="AV216" s="261"/>
      <c r="AW216" s="261"/>
      <c r="AX216" s="261"/>
      <c r="AY216" s="261"/>
      <c r="AZ216" s="261"/>
      <c r="BA216" s="261"/>
      <c r="BB216" s="261"/>
      <c r="BC216" s="261"/>
      <c r="BD216" s="261"/>
      <c r="BE216" s="261"/>
      <c r="BF216" s="261"/>
    </row>
    <row r="217" spans="16:58"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  <c r="AA217" s="316"/>
      <c r="AB217" s="316"/>
      <c r="AT217" s="261"/>
      <c r="AU217" s="261"/>
      <c r="AV217" s="261"/>
      <c r="AW217" s="261"/>
      <c r="AX217" s="261"/>
      <c r="AY217" s="261"/>
      <c r="AZ217" s="261"/>
      <c r="BA217" s="261"/>
      <c r="BB217" s="261"/>
      <c r="BC217" s="261"/>
      <c r="BD217" s="261"/>
      <c r="BE217" s="261"/>
      <c r="BF217" s="261"/>
    </row>
    <row r="218" spans="16:58"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  <c r="AA218" s="316"/>
      <c r="AB218" s="316"/>
      <c r="AT218" s="261"/>
      <c r="AU218" s="261"/>
      <c r="AV218" s="261"/>
      <c r="AW218" s="261"/>
      <c r="AX218" s="261"/>
      <c r="AY218" s="261"/>
      <c r="AZ218" s="261"/>
      <c r="BA218" s="261"/>
      <c r="BB218" s="261"/>
      <c r="BC218" s="261"/>
      <c r="BD218" s="261"/>
      <c r="BE218" s="261"/>
      <c r="BF218" s="261"/>
    </row>
    <row r="219" spans="16:58"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  <c r="AA219" s="316"/>
      <c r="AB219" s="316"/>
      <c r="AT219" s="261"/>
      <c r="AU219" s="261"/>
      <c r="AV219" s="261"/>
      <c r="AW219" s="261"/>
      <c r="AX219" s="261"/>
      <c r="AY219" s="261"/>
      <c r="AZ219" s="261"/>
      <c r="BA219" s="261"/>
      <c r="BB219" s="261"/>
      <c r="BC219" s="261"/>
      <c r="BD219" s="261"/>
      <c r="BE219" s="261"/>
      <c r="BF219" s="261"/>
    </row>
    <row r="220" spans="16:58"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  <c r="AA220" s="316"/>
      <c r="AB220" s="316"/>
      <c r="AT220" s="261"/>
      <c r="AU220" s="261"/>
      <c r="AV220" s="261"/>
      <c r="AW220" s="261"/>
      <c r="AX220" s="261"/>
      <c r="AY220" s="261"/>
      <c r="AZ220" s="261"/>
      <c r="BA220" s="261"/>
      <c r="BB220" s="261"/>
      <c r="BC220" s="261"/>
      <c r="BD220" s="261"/>
      <c r="BE220" s="261"/>
      <c r="BF220" s="261"/>
    </row>
    <row r="221" spans="16:58"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  <c r="AA221" s="316"/>
      <c r="AB221" s="316"/>
      <c r="AT221" s="261"/>
      <c r="AU221" s="261"/>
      <c r="AV221" s="261"/>
      <c r="AW221" s="261"/>
      <c r="AX221" s="261"/>
      <c r="AY221" s="261"/>
      <c r="AZ221" s="261"/>
      <c r="BA221" s="261"/>
      <c r="BB221" s="261"/>
      <c r="BC221" s="261"/>
      <c r="BD221" s="261"/>
      <c r="BE221" s="261"/>
      <c r="BF221" s="261"/>
    </row>
    <row r="222" spans="16:58"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16"/>
      <c r="AB222" s="316"/>
      <c r="AT222" s="261"/>
      <c r="AU222" s="261"/>
      <c r="AV222" s="261"/>
      <c r="AW222" s="261"/>
      <c r="AX222" s="261"/>
      <c r="AY222" s="261"/>
      <c r="AZ222" s="261"/>
      <c r="BA222" s="261"/>
      <c r="BB222" s="261"/>
      <c r="BC222" s="261"/>
      <c r="BD222" s="261"/>
      <c r="BE222" s="261"/>
      <c r="BF222" s="261"/>
    </row>
    <row r="223" spans="16:58"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  <c r="AA223" s="316"/>
      <c r="AB223" s="316"/>
      <c r="AT223" s="261"/>
      <c r="AU223" s="261"/>
      <c r="AV223" s="261"/>
      <c r="AW223" s="261"/>
      <c r="AX223" s="261"/>
      <c r="AY223" s="261"/>
      <c r="AZ223" s="261"/>
      <c r="BA223" s="261"/>
      <c r="BB223" s="261"/>
      <c r="BC223" s="261"/>
      <c r="BD223" s="261"/>
      <c r="BE223" s="261"/>
      <c r="BF223" s="261"/>
    </row>
    <row r="224" spans="16:58"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16"/>
      <c r="AB224" s="316"/>
      <c r="AT224" s="261"/>
      <c r="AU224" s="261"/>
      <c r="AV224" s="261"/>
      <c r="AW224" s="261"/>
      <c r="AX224" s="261"/>
      <c r="AY224" s="261"/>
      <c r="AZ224" s="261"/>
      <c r="BA224" s="261"/>
      <c r="BB224" s="261"/>
      <c r="BC224" s="261"/>
      <c r="BD224" s="261"/>
      <c r="BE224" s="261"/>
      <c r="BF224" s="261"/>
    </row>
    <row r="225" spans="16:28"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  <c r="AA225" s="316"/>
      <c r="AB225" s="316"/>
    </row>
  </sheetData>
  <mergeCells count="3">
    <mergeCell ref="D1:G1"/>
    <mergeCell ref="P1:S1"/>
    <mergeCell ref="AD1:AF1"/>
  </mergeCells>
  <conditionalFormatting sqref="A1:A2 A47:A48 A15 A19 A24:A26 A34:A36 A13">
    <cfRule type="duplicateValues" dxfId="18" priority="12"/>
  </conditionalFormatting>
  <conditionalFormatting sqref="D3:N9">
    <cfRule type="expression" dxfId="17" priority="10">
      <formula xml:space="preserve"> "کالای_ورودی" = $I3</formula>
    </cfRule>
    <cfRule type="expression" dxfId="16" priority="11">
      <formula xml:space="preserve"> "کالای_خروجی" = $I3</formula>
    </cfRule>
  </conditionalFormatting>
  <conditionalFormatting sqref="P3:AB7 P9:AB10">
    <cfRule type="expression" dxfId="15" priority="6">
      <formula xml:space="preserve"> "کالا تهیه شد" = $AA3</formula>
    </cfRule>
    <cfRule type="expression" dxfId="14" priority="7">
      <formula xml:space="preserve"> "سفارش کالا" = $AA3</formula>
    </cfRule>
    <cfRule type="expression" dxfId="13" priority="8">
      <formula xml:space="preserve"> "بودجه تهیه شد" = $AA3</formula>
    </cfRule>
    <cfRule type="expression" dxfId="12" priority="9">
      <formula xml:space="preserve"> "در حال تهیه بودجه" = $AA3</formula>
    </cfRule>
  </conditionalFormatting>
  <conditionalFormatting sqref="AD3:AJ5">
    <cfRule type="expression" dxfId="11" priority="29">
      <formula xml:space="preserve"> "غیر قابل تعمیر" = $AI3</formula>
    </cfRule>
    <cfRule type="expression" dxfId="10" priority="30">
      <formula xml:space="preserve"> "تعمیر شد" = $AI3</formula>
    </cfRule>
    <cfRule type="expression" dxfId="9" priority="31">
      <formula xml:space="preserve"> "در دست تعمیر" = $AI3</formula>
    </cfRule>
  </conditionalFormatting>
  <conditionalFormatting sqref="P3:AB7">
    <cfRule type="expression" dxfId="8" priority="1">
      <formula xml:space="preserve"> "انصراف از خرید" = $AA3</formula>
    </cfRule>
    <cfRule type="expression" dxfId="7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16" width="36.5703125" customWidth="1"/>
    <col min="17" max="17" width="0.7109375" style="36" customWidth="1"/>
    <col min="18" max="25" width="36.5703125" customWidth="1"/>
  </cols>
  <sheetData>
    <row r="1" spans="1:23" ht="18.75">
      <c r="A1" s="7" t="s">
        <v>8</v>
      </c>
      <c r="B1" s="32" t="s">
        <v>113</v>
      </c>
      <c r="C1" s="45"/>
      <c r="D1" s="36"/>
      <c r="F1" s="36"/>
      <c r="H1" s="36"/>
      <c r="J1" s="36"/>
      <c r="L1" s="36"/>
      <c r="N1" s="36"/>
      <c r="P1" s="36"/>
      <c r="R1" s="36"/>
      <c r="S1" s="36"/>
      <c r="T1" s="36"/>
      <c r="U1" s="36"/>
      <c r="V1" s="36"/>
      <c r="W1" s="36"/>
    </row>
    <row r="2" spans="1:23" s="36" customFormat="1" ht="3.75" customHeight="1"/>
    <row r="3" spans="1:23" ht="15.75">
      <c r="A3" s="287" t="s">
        <v>152</v>
      </c>
      <c r="B3" s="287"/>
      <c r="D3" s="36"/>
      <c r="F3" s="36"/>
      <c r="H3" s="36"/>
      <c r="J3" s="36"/>
      <c r="L3" s="36"/>
      <c r="N3" s="36"/>
      <c r="P3" s="43"/>
      <c r="Q3" s="43"/>
      <c r="R3" s="36"/>
      <c r="S3" s="36"/>
      <c r="T3" s="36"/>
      <c r="U3" s="36"/>
      <c r="V3" s="36"/>
      <c r="W3" s="36"/>
    </row>
    <row r="4" spans="1:23" ht="15.75" customHeight="1">
      <c r="A4" s="38" t="s">
        <v>151</v>
      </c>
      <c r="B4" s="38" t="s">
        <v>163</v>
      </c>
      <c r="D4" s="36"/>
      <c r="F4" s="36"/>
      <c r="H4" s="36"/>
      <c r="J4" s="36"/>
      <c r="L4" s="36"/>
      <c r="N4" s="36"/>
      <c r="P4" s="43"/>
      <c r="Q4" s="43"/>
      <c r="R4" s="36"/>
      <c r="S4" s="36"/>
      <c r="T4" s="36"/>
      <c r="U4" s="36"/>
      <c r="V4" s="36"/>
      <c r="W4" s="36"/>
    </row>
    <row r="5" spans="1:23" ht="15.75">
      <c r="A5" s="37">
        <v>1</v>
      </c>
      <c r="B5" s="37" t="s">
        <v>301</v>
      </c>
      <c r="D5" s="62" t="s">
        <v>301</v>
      </c>
      <c r="F5" s="62" t="s">
        <v>153</v>
      </c>
      <c r="G5" s="43"/>
      <c r="H5" s="62" t="s">
        <v>155</v>
      </c>
      <c r="I5" s="43"/>
      <c r="J5" s="62" t="s">
        <v>157</v>
      </c>
      <c r="K5" s="43"/>
      <c r="L5" s="62" t="s">
        <v>159</v>
      </c>
      <c r="N5" s="62" t="s">
        <v>160</v>
      </c>
      <c r="O5" s="43"/>
      <c r="P5" s="62" t="s">
        <v>158</v>
      </c>
      <c r="Q5" s="43"/>
      <c r="R5" s="63" t="s">
        <v>311</v>
      </c>
    </row>
    <row r="6" spans="1:23" ht="15.75">
      <c r="A6" s="37">
        <v>2</v>
      </c>
      <c r="B6" s="60" t="s">
        <v>153</v>
      </c>
      <c r="D6" s="62" t="s">
        <v>312</v>
      </c>
      <c r="F6" s="62" t="s">
        <v>154</v>
      </c>
      <c r="G6" s="43"/>
      <c r="H6" s="62" t="s">
        <v>156</v>
      </c>
      <c r="I6" s="43"/>
      <c r="J6" s="62" t="s">
        <v>313</v>
      </c>
      <c r="K6" s="43"/>
      <c r="L6" s="62" t="s">
        <v>312</v>
      </c>
      <c r="M6" s="43"/>
      <c r="N6" s="62" t="s">
        <v>148</v>
      </c>
      <c r="O6" s="43"/>
      <c r="P6" s="62" t="s">
        <v>314</v>
      </c>
      <c r="Q6" s="43"/>
      <c r="R6" s="61" t="s">
        <v>309</v>
      </c>
    </row>
    <row r="7" spans="1:23" ht="15.75">
      <c r="A7" s="37">
        <v>3</v>
      </c>
      <c r="B7" s="37" t="s">
        <v>305</v>
      </c>
      <c r="F7" s="42"/>
      <c r="G7" s="43"/>
      <c r="H7" s="42"/>
      <c r="I7" s="43"/>
      <c r="J7" s="42"/>
      <c r="K7" s="43"/>
      <c r="L7" s="62" t="s">
        <v>306</v>
      </c>
      <c r="M7" s="43"/>
      <c r="N7" s="42"/>
      <c r="O7" s="43"/>
      <c r="P7" s="42"/>
      <c r="Q7" s="43"/>
    </row>
    <row r="8" spans="1:23" ht="15.75">
      <c r="A8" s="37">
        <v>4</v>
      </c>
      <c r="B8" s="37" t="s">
        <v>302</v>
      </c>
      <c r="F8" s="42"/>
      <c r="G8" s="43"/>
      <c r="H8" s="42"/>
      <c r="I8" s="43"/>
      <c r="J8" s="42"/>
      <c r="K8" s="43"/>
      <c r="L8" s="62" t="s">
        <v>307</v>
      </c>
      <c r="M8" s="43"/>
      <c r="N8" s="42"/>
      <c r="O8" s="43"/>
      <c r="P8" s="42"/>
      <c r="Q8" s="43"/>
    </row>
    <row r="9" spans="1:23" ht="15.75">
      <c r="A9" s="37">
        <v>5</v>
      </c>
      <c r="B9" s="37" t="s">
        <v>308</v>
      </c>
      <c r="H9" s="42"/>
      <c r="I9" s="43"/>
      <c r="J9" s="42"/>
      <c r="K9" s="43"/>
      <c r="L9" s="42"/>
      <c r="M9" s="43"/>
      <c r="N9" s="42"/>
      <c r="O9" s="43"/>
    </row>
    <row r="10" spans="1:23" ht="15.75">
      <c r="A10" s="37">
        <v>6</v>
      </c>
      <c r="B10" s="37" t="s">
        <v>303</v>
      </c>
      <c r="L10" s="42"/>
    </row>
    <row r="11" spans="1:23" ht="15.75">
      <c r="A11" s="37">
        <v>7</v>
      </c>
      <c r="B11" s="37" t="s">
        <v>304</v>
      </c>
      <c r="L11" s="42"/>
    </row>
    <row r="12" spans="1:23" ht="15.75">
      <c r="A12" s="37">
        <v>8</v>
      </c>
      <c r="B12" s="37" t="s">
        <v>310</v>
      </c>
    </row>
    <row r="13" spans="1:23" ht="15.75">
      <c r="A13" s="37"/>
      <c r="B13" s="37"/>
    </row>
    <row r="14" spans="1:23" ht="15.75">
      <c r="A14" s="37"/>
      <c r="B14" s="37"/>
    </row>
    <row r="15" spans="1:23" ht="15.75">
      <c r="A15" s="37"/>
      <c r="B15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137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5" customWidth="1"/>
    <col min="6" max="6" width="21.42578125" customWidth="1"/>
    <col min="7" max="7" width="0.7109375" style="55" customWidth="1"/>
    <col min="8" max="8" width="15.7109375" customWidth="1"/>
    <col min="9" max="9" width="0.7109375" style="55" customWidth="1"/>
    <col min="10" max="10" width="20.7109375" customWidth="1"/>
    <col min="11" max="11" width="0.7109375" style="55" customWidth="1"/>
    <col min="12" max="12" width="21.42578125" customWidth="1"/>
    <col min="13" max="13" width="0.7109375" style="55" customWidth="1"/>
    <col min="14" max="14" width="14.28515625" customWidth="1"/>
    <col min="15" max="15" width="0.7109375" style="55" customWidth="1"/>
    <col min="16" max="16" width="18.85546875" customWidth="1"/>
    <col min="17" max="17" width="0.7109375" style="55" customWidth="1"/>
    <col min="18" max="18" width="17.140625" customWidth="1"/>
    <col min="19" max="19" width="0.7109375" style="55" customWidth="1"/>
    <col min="20" max="20" width="17.140625" customWidth="1"/>
    <col min="21" max="21" width="0.7109375" style="55" customWidth="1"/>
    <col min="22" max="22" width="30.7109375" customWidth="1"/>
    <col min="23" max="23" width="0.7109375" style="55" customWidth="1"/>
    <col min="24" max="24" width="22.85546875" customWidth="1"/>
    <col min="25" max="25" width="0.7109375" style="55" customWidth="1"/>
    <col min="26" max="26" width="17.140625" customWidth="1"/>
    <col min="27" max="27" width="0.7109375" style="55" customWidth="1"/>
    <col min="28" max="28" width="22.85546875" customWidth="1"/>
    <col min="29" max="29" width="0.7109375" style="55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22.85546875" customWidth="1"/>
    <col min="35" max="35" width="0.7109375" style="36" customWidth="1"/>
    <col min="36" max="36" width="17.140625" customWidth="1"/>
    <col min="37" max="37" width="0.7109375" style="36" customWidth="1"/>
    <col min="38" max="38" width="22.85546875" customWidth="1"/>
    <col min="39" max="39" width="0.7109375" style="36" customWidth="1"/>
    <col min="40" max="40" width="21.42578125" customWidth="1"/>
    <col min="41" max="41" width="0.7109375" style="36" customWidth="1"/>
    <col min="42" max="42" width="17.140625" customWidth="1"/>
    <col min="43" max="43" width="0.7109375" style="36" customWidth="1"/>
    <col min="44" max="44" width="18.85546875" customWidth="1"/>
    <col min="45" max="45" width="0.7109375" style="36" customWidth="1"/>
    <col min="46" max="46" width="17.140625" customWidth="1"/>
    <col min="47" max="47" width="0.7109375" style="36" customWidth="1"/>
    <col min="48" max="48" width="17.140625" customWidth="1"/>
    <col min="49" max="49" width="0.7109375" style="36" customWidth="1"/>
    <col min="50" max="50" width="19.5703125" customWidth="1"/>
  </cols>
  <sheetData>
    <row r="1" spans="1:55" ht="18.75" hidden="1" customHeight="1">
      <c r="A1" s="7" t="s">
        <v>8</v>
      </c>
      <c r="B1" s="32" t="s">
        <v>113</v>
      </c>
      <c r="C1" s="44"/>
      <c r="D1" s="55"/>
      <c r="F1" s="36"/>
      <c r="H1" s="36"/>
      <c r="J1" s="36"/>
      <c r="L1" s="36"/>
      <c r="N1" s="55"/>
      <c r="P1" s="55"/>
      <c r="R1" s="55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X1" s="36"/>
      <c r="AY1" s="36"/>
      <c r="AZ1" s="36"/>
      <c r="BA1" s="36"/>
      <c r="BB1" s="36"/>
      <c r="BC1" s="36"/>
    </row>
    <row r="2" spans="1:55" ht="18.75" customHeight="1">
      <c r="A2" s="7" t="s">
        <v>8</v>
      </c>
      <c r="B2" s="32" t="s">
        <v>113</v>
      </c>
      <c r="C2" s="44"/>
      <c r="D2" s="55"/>
      <c r="F2" s="36"/>
      <c r="H2" s="36"/>
      <c r="J2" s="36"/>
      <c r="L2" s="36"/>
      <c r="N2" s="55"/>
      <c r="P2" s="55"/>
      <c r="R2" s="55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X2" s="36"/>
      <c r="AY2" s="36"/>
      <c r="AZ2" s="36"/>
      <c r="BA2" s="36"/>
      <c r="BB2" s="36"/>
      <c r="BC2" s="36"/>
    </row>
    <row r="3" spans="1:55" s="36" customFormat="1" ht="3.75" customHeight="1">
      <c r="D3" s="55"/>
      <c r="E3" s="55"/>
      <c r="G3" s="55"/>
      <c r="I3" s="55"/>
      <c r="K3" s="55"/>
      <c r="M3" s="55"/>
      <c r="N3" s="55"/>
      <c r="O3" s="55"/>
      <c r="P3" s="55"/>
      <c r="Q3" s="55"/>
      <c r="R3" s="55"/>
      <c r="S3" s="55"/>
      <c r="U3" s="55"/>
      <c r="W3" s="55"/>
      <c r="Y3" s="55"/>
      <c r="AA3" s="55"/>
      <c r="AC3" s="55"/>
    </row>
    <row r="4" spans="1:55" ht="15.75">
      <c r="A4" s="288" t="s">
        <v>161</v>
      </c>
      <c r="B4" s="288"/>
      <c r="D4" s="37" t="s">
        <v>179</v>
      </c>
      <c r="E4" s="56"/>
      <c r="F4" s="37" t="s">
        <v>183</v>
      </c>
      <c r="G4" s="56"/>
      <c r="H4" s="37" t="s">
        <v>177</v>
      </c>
      <c r="I4" s="56"/>
      <c r="J4" s="37" t="s">
        <v>167</v>
      </c>
      <c r="K4" s="56"/>
      <c r="L4" s="37" t="s">
        <v>166</v>
      </c>
      <c r="M4" s="56"/>
      <c r="N4" s="37" t="s">
        <v>168</v>
      </c>
      <c r="O4" s="56"/>
      <c r="P4" s="37" t="s">
        <v>172</v>
      </c>
      <c r="Q4" s="56"/>
      <c r="R4" s="37" t="s">
        <v>178</v>
      </c>
      <c r="S4" s="56"/>
      <c r="T4" s="37" t="s">
        <v>193</v>
      </c>
      <c r="U4" s="56"/>
      <c r="V4" s="37" t="s">
        <v>176</v>
      </c>
      <c r="W4" s="56"/>
      <c r="X4" s="37" t="s">
        <v>255</v>
      </c>
      <c r="Y4" s="56"/>
      <c r="Z4" s="37" t="s">
        <v>180</v>
      </c>
      <c r="AA4" s="56"/>
      <c r="AB4" s="37" t="s">
        <v>197</v>
      </c>
      <c r="AC4" s="56"/>
      <c r="AD4" s="37" t="s">
        <v>265</v>
      </c>
      <c r="AE4" s="57"/>
      <c r="AF4" s="37" t="s">
        <v>268</v>
      </c>
      <c r="AG4" s="57"/>
      <c r="AH4" s="37" t="s">
        <v>270</v>
      </c>
      <c r="AI4" s="57"/>
      <c r="AJ4" s="37" t="s">
        <v>170</v>
      </c>
      <c r="AK4" s="57"/>
      <c r="AL4" s="37" t="s">
        <v>219</v>
      </c>
      <c r="AM4" s="57"/>
      <c r="AN4" s="37" t="s">
        <v>233</v>
      </c>
      <c r="AO4" s="57"/>
      <c r="AP4" s="37" t="s">
        <v>169</v>
      </c>
      <c r="AQ4" s="57"/>
      <c r="AR4" s="37" t="s">
        <v>271</v>
      </c>
      <c r="AS4" s="57"/>
      <c r="AT4" s="37" t="s">
        <v>238</v>
      </c>
      <c r="AU4" s="57"/>
      <c r="AV4" s="37" t="s">
        <v>171</v>
      </c>
      <c r="AW4" s="43"/>
      <c r="AX4" s="42" t="s">
        <v>165</v>
      </c>
      <c r="AY4" s="42"/>
      <c r="AZ4" s="42"/>
      <c r="BA4" s="42"/>
    </row>
    <row r="5" spans="1:55" ht="15.75">
      <c r="A5" s="37" t="s">
        <v>162</v>
      </c>
      <c r="B5" s="37" t="s">
        <v>164</v>
      </c>
      <c r="D5" s="37" t="s">
        <v>258</v>
      </c>
      <c r="E5" s="56"/>
      <c r="F5" s="37" t="s">
        <v>188</v>
      </c>
      <c r="G5" s="56"/>
      <c r="H5" s="37" t="s">
        <v>207</v>
      </c>
      <c r="I5" s="56"/>
      <c r="J5" s="37" t="s">
        <v>212</v>
      </c>
      <c r="K5" s="56"/>
      <c r="L5" s="37" t="s">
        <v>216</v>
      </c>
      <c r="M5" s="56"/>
      <c r="N5" s="37" t="s">
        <v>194</v>
      </c>
      <c r="O5" s="56"/>
      <c r="P5" s="37" t="s">
        <v>261</v>
      </c>
      <c r="Q5" s="56"/>
      <c r="R5" s="37" t="s">
        <v>229</v>
      </c>
      <c r="S5" s="56"/>
      <c r="T5" s="37" t="s">
        <v>198</v>
      </c>
      <c r="U5" s="56"/>
      <c r="V5" s="37" t="s">
        <v>203</v>
      </c>
      <c r="W5" s="56"/>
      <c r="X5" s="37" t="s">
        <v>262</v>
      </c>
      <c r="Y5" s="56"/>
      <c r="Z5" s="37" t="s">
        <v>263</v>
      </c>
      <c r="AA5" s="56"/>
      <c r="AB5" s="37" t="s">
        <v>260</v>
      </c>
      <c r="AC5" s="56"/>
      <c r="AD5" s="37" t="s">
        <v>274</v>
      </c>
      <c r="AE5" s="57"/>
      <c r="AF5" s="37" t="s">
        <v>269</v>
      </c>
      <c r="AG5" s="57"/>
      <c r="AH5" s="37" t="s">
        <v>297</v>
      </c>
      <c r="AI5" s="57"/>
      <c r="AJ5" s="37" t="s">
        <v>247</v>
      </c>
      <c r="AK5" s="57"/>
      <c r="AL5" s="37" t="s">
        <v>245</v>
      </c>
      <c r="AM5" s="57"/>
      <c r="AN5" s="37" t="s">
        <v>235</v>
      </c>
      <c r="AO5" s="57"/>
      <c r="AP5" s="37" t="s">
        <v>193</v>
      </c>
      <c r="AQ5" s="57"/>
      <c r="AR5" s="37" t="s">
        <v>272</v>
      </c>
      <c r="AS5" s="57"/>
      <c r="AT5" s="37" t="s">
        <v>240</v>
      </c>
      <c r="AU5" s="57"/>
      <c r="AV5" s="37" t="s">
        <v>250</v>
      </c>
      <c r="AW5" s="43"/>
      <c r="AX5" s="42" t="s">
        <v>293</v>
      </c>
      <c r="AY5" s="42"/>
      <c r="AZ5" s="42"/>
      <c r="BA5" s="42"/>
    </row>
    <row r="6" spans="1:55" ht="15.75">
      <c r="A6" s="37">
        <v>1</v>
      </c>
      <c r="B6" s="53" t="s">
        <v>179</v>
      </c>
      <c r="D6" s="37" t="s">
        <v>259</v>
      </c>
      <c r="E6" s="56"/>
      <c r="F6" s="37" t="s">
        <v>187</v>
      </c>
      <c r="G6" s="56"/>
      <c r="H6" s="37" t="s">
        <v>208</v>
      </c>
      <c r="I6" s="56"/>
      <c r="J6" s="37" t="s">
        <v>215</v>
      </c>
      <c r="K6" s="56"/>
      <c r="L6" s="37" t="s">
        <v>217</v>
      </c>
      <c r="M6" s="56"/>
      <c r="N6" s="37" t="s">
        <v>193</v>
      </c>
      <c r="O6" s="56"/>
      <c r="P6" s="37" t="s">
        <v>148</v>
      </c>
      <c r="Q6" s="56"/>
      <c r="R6" s="37" t="s">
        <v>230</v>
      </c>
      <c r="S6" s="56"/>
      <c r="T6" s="37" t="s">
        <v>202</v>
      </c>
      <c r="U6" s="56"/>
      <c r="V6" s="37" t="s">
        <v>204</v>
      </c>
      <c r="W6" s="56"/>
      <c r="X6" s="37" t="s">
        <v>148</v>
      </c>
      <c r="Y6" s="56"/>
      <c r="Z6" s="37" t="s">
        <v>264</v>
      </c>
      <c r="AA6" s="56"/>
      <c r="AB6" s="37" t="s">
        <v>225</v>
      </c>
      <c r="AC6" s="56"/>
      <c r="AD6" s="37" t="s">
        <v>273</v>
      </c>
      <c r="AE6" s="57"/>
      <c r="AF6" s="37" t="s">
        <v>296</v>
      </c>
      <c r="AG6" s="57"/>
      <c r="AH6" s="37" t="s">
        <v>312</v>
      </c>
      <c r="AI6" s="57"/>
      <c r="AJ6" s="37" t="s">
        <v>246</v>
      </c>
      <c r="AK6" s="57"/>
      <c r="AL6" s="37" t="s">
        <v>220</v>
      </c>
      <c r="AM6" s="57"/>
      <c r="AN6" s="37" t="s">
        <v>234</v>
      </c>
      <c r="AO6" s="57"/>
      <c r="AP6" s="37" t="s">
        <v>242</v>
      </c>
      <c r="AQ6" s="57"/>
      <c r="AR6" s="37" t="s">
        <v>298</v>
      </c>
      <c r="AS6" s="57"/>
      <c r="AT6" s="37" t="s">
        <v>239</v>
      </c>
      <c r="AU6" s="57"/>
      <c r="AV6" s="37" t="s">
        <v>251</v>
      </c>
      <c r="AW6" s="43"/>
      <c r="AX6" s="42" t="s">
        <v>292</v>
      </c>
      <c r="AY6" s="42"/>
      <c r="AZ6" s="42"/>
      <c r="BA6" s="42"/>
    </row>
    <row r="7" spans="1:55" ht="15.75">
      <c r="A7" s="37">
        <v>2</v>
      </c>
      <c r="B7" s="54" t="s">
        <v>277</v>
      </c>
      <c r="D7" s="37" t="s">
        <v>256</v>
      </c>
      <c r="E7" s="56"/>
      <c r="F7" s="37" t="s">
        <v>186</v>
      </c>
      <c r="G7" s="56"/>
      <c r="H7" s="37" t="s">
        <v>209</v>
      </c>
      <c r="I7" s="56"/>
      <c r="J7" s="37" t="s">
        <v>213</v>
      </c>
      <c r="K7" s="56"/>
      <c r="L7" s="37"/>
      <c r="M7" s="56"/>
      <c r="N7" s="37" t="s">
        <v>195</v>
      </c>
      <c r="O7" s="56"/>
      <c r="P7" s="37"/>
      <c r="Q7" s="56"/>
      <c r="R7" s="37" t="s">
        <v>231</v>
      </c>
      <c r="S7" s="56"/>
      <c r="T7" s="37" t="s">
        <v>199</v>
      </c>
      <c r="U7" s="56"/>
      <c r="V7" s="37" t="s">
        <v>205</v>
      </c>
      <c r="W7" s="56"/>
      <c r="X7" s="37"/>
      <c r="Y7" s="56"/>
      <c r="Z7" s="37"/>
      <c r="AA7" s="56"/>
      <c r="AB7" s="37"/>
      <c r="AC7" s="56"/>
      <c r="AD7" s="37" t="s">
        <v>266</v>
      </c>
      <c r="AE7" s="57"/>
      <c r="AF7" s="37"/>
      <c r="AG7" s="57"/>
      <c r="AH7" s="37"/>
      <c r="AI7" s="57"/>
      <c r="AJ7" s="37"/>
      <c r="AK7" s="57"/>
      <c r="AL7" s="37" t="s">
        <v>221</v>
      </c>
      <c r="AM7" s="57"/>
      <c r="AN7" s="37" t="s">
        <v>236</v>
      </c>
      <c r="AO7" s="57"/>
      <c r="AP7" s="37" t="s">
        <v>243</v>
      </c>
      <c r="AQ7" s="57"/>
      <c r="AR7" s="37"/>
      <c r="AS7" s="57"/>
      <c r="AT7" s="37" t="s">
        <v>241</v>
      </c>
      <c r="AU7" s="57"/>
      <c r="AV7" s="37" t="s">
        <v>252</v>
      </c>
      <c r="AW7" s="43"/>
      <c r="AX7" s="42" t="s">
        <v>294</v>
      </c>
      <c r="AY7" s="42"/>
      <c r="AZ7" s="42"/>
      <c r="BA7" s="42"/>
    </row>
    <row r="8" spans="1:55" ht="15.75">
      <c r="A8" s="37">
        <v>3</v>
      </c>
      <c r="B8" s="54" t="s">
        <v>278</v>
      </c>
      <c r="D8" s="37" t="s">
        <v>257</v>
      </c>
      <c r="E8" s="56"/>
      <c r="F8" s="37" t="s">
        <v>184</v>
      </c>
      <c r="G8" s="56"/>
      <c r="H8" s="37" t="s">
        <v>210</v>
      </c>
      <c r="I8" s="56"/>
      <c r="J8" s="37" t="s">
        <v>218</v>
      </c>
      <c r="K8" s="56"/>
      <c r="L8" s="37"/>
      <c r="M8" s="56"/>
      <c r="N8" s="37" t="s">
        <v>196</v>
      </c>
      <c r="O8" s="56"/>
      <c r="P8" s="37"/>
      <c r="Q8" s="56"/>
      <c r="R8" s="37" t="s">
        <v>232</v>
      </c>
      <c r="S8" s="56"/>
      <c r="T8" s="37" t="s">
        <v>200</v>
      </c>
      <c r="U8" s="56"/>
      <c r="V8" s="37" t="s">
        <v>206</v>
      </c>
      <c r="W8" s="56"/>
      <c r="X8" s="37"/>
      <c r="Y8" s="56"/>
      <c r="Z8" s="37"/>
      <c r="AA8" s="56"/>
      <c r="AB8" s="37"/>
      <c r="AC8" s="56"/>
      <c r="AD8" s="37" t="s">
        <v>267</v>
      </c>
      <c r="AE8" s="57"/>
      <c r="AF8" s="37"/>
      <c r="AG8" s="57"/>
      <c r="AH8" s="37"/>
      <c r="AI8" s="57"/>
      <c r="AJ8" s="37"/>
      <c r="AK8" s="57"/>
      <c r="AL8" s="37" t="s">
        <v>222</v>
      </c>
      <c r="AM8" s="57"/>
      <c r="AN8" s="37" t="s">
        <v>237</v>
      </c>
      <c r="AO8" s="57"/>
      <c r="AP8" s="37" t="s">
        <v>244</v>
      </c>
      <c r="AQ8" s="57"/>
      <c r="AR8" s="37"/>
      <c r="AS8" s="57"/>
      <c r="AT8" s="37"/>
      <c r="AU8" s="57"/>
      <c r="AV8" s="37" t="s">
        <v>248</v>
      </c>
      <c r="AW8" s="43"/>
      <c r="AX8" s="42"/>
      <c r="AY8" s="42"/>
      <c r="AZ8" s="42"/>
      <c r="BA8" s="42"/>
    </row>
    <row r="9" spans="1:55" ht="15.75">
      <c r="A9" s="37">
        <v>4</v>
      </c>
      <c r="B9" s="53" t="s">
        <v>279</v>
      </c>
      <c r="D9" s="37"/>
      <c r="E9" s="56"/>
      <c r="F9" s="37" t="s">
        <v>185</v>
      </c>
      <c r="G9" s="56"/>
      <c r="H9" s="37" t="s">
        <v>211</v>
      </c>
      <c r="I9" s="56"/>
      <c r="J9" s="37" t="s">
        <v>214</v>
      </c>
      <c r="K9" s="56"/>
      <c r="L9" s="37"/>
      <c r="M9" s="56"/>
      <c r="N9" s="37"/>
      <c r="O9" s="56"/>
      <c r="P9" s="37"/>
      <c r="Q9" s="56"/>
      <c r="R9" s="37"/>
      <c r="S9" s="56"/>
      <c r="T9" s="37" t="s">
        <v>201</v>
      </c>
      <c r="U9" s="56"/>
      <c r="V9" s="37"/>
      <c r="W9" s="56"/>
      <c r="X9" s="37"/>
      <c r="Y9" s="56"/>
      <c r="Z9" s="37"/>
      <c r="AA9" s="56"/>
      <c r="AB9" s="37"/>
      <c r="AC9" s="56"/>
      <c r="AD9" s="37"/>
      <c r="AE9" s="57"/>
      <c r="AF9" s="37"/>
      <c r="AG9" s="57"/>
      <c r="AH9" s="37"/>
      <c r="AI9" s="57"/>
      <c r="AJ9" s="37"/>
      <c r="AK9" s="57"/>
      <c r="AL9" s="37" t="s">
        <v>228</v>
      </c>
      <c r="AM9" s="57"/>
      <c r="AN9" s="37"/>
      <c r="AO9" s="57"/>
      <c r="AP9" s="37"/>
      <c r="AQ9" s="57"/>
      <c r="AR9" s="37"/>
      <c r="AS9" s="57"/>
      <c r="AT9" s="37"/>
      <c r="AU9" s="57"/>
      <c r="AV9" s="37" t="s">
        <v>249</v>
      </c>
      <c r="AW9" s="43"/>
      <c r="AX9" s="42"/>
      <c r="AY9" s="42"/>
      <c r="AZ9" s="42"/>
      <c r="BA9" s="42"/>
    </row>
    <row r="10" spans="1:55" ht="15.75">
      <c r="A10" s="37">
        <v>5</v>
      </c>
      <c r="B10" s="53" t="s">
        <v>280</v>
      </c>
      <c r="D10" s="37"/>
      <c r="E10" s="56"/>
      <c r="F10" s="37" t="s">
        <v>189</v>
      </c>
      <c r="G10" s="56"/>
      <c r="H10" s="37"/>
      <c r="I10" s="56"/>
      <c r="J10" s="37"/>
      <c r="K10" s="56"/>
      <c r="L10" s="37"/>
      <c r="M10" s="56"/>
      <c r="N10" s="37"/>
      <c r="O10" s="56"/>
      <c r="P10" s="37"/>
      <c r="Q10" s="56"/>
      <c r="R10" s="37"/>
      <c r="S10" s="56"/>
      <c r="T10" s="37"/>
      <c r="U10" s="56"/>
      <c r="V10" s="37"/>
      <c r="W10" s="56"/>
      <c r="X10" s="37"/>
      <c r="Y10" s="56"/>
      <c r="Z10" s="37"/>
      <c r="AA10" s="56"/>
      <c r="AB10" s="37"/>
      <c r="AC10" s="56"/>
      <c r="AD10" s="37"/>
      <c r="AE10" s="57"/>
      <c r="AF10" s="37"/>
      <c r="AG10" s="57"/>
      <c r="AH10" s="37"/>
      <c r="AI10" s="57"/>
      <c r="AJ10" s="37"/>
      <c r="AK10" s="57"/>
      <c r="AL10" s="37" t="s">
        <v>223</v>
      </c>
      <c r="AM10" s="57"/>
      <c r="AN10" s="37"/>
      <c r="AO10" s="57"/>
      <c r="AP10" s="37"/>
      <c r="AQ10" s="57"/>
      <c r="AR10" s="37"/>
      <c r="AS10" s="57"/>
      <c r="AT10" s="37"/>
      <c r="AU10" s="57"/>
      <c r="AV10" s="37" t="s">
        <v>253</v>
      </c>
      <c r="AW10" s="43"/>
      <c r="AX10" s="42"/>
      <c r="AY10" s="42"/>
      <c r="AZ10" s="42"/>
      <c r="BA10" s="42"/>
    </row>
    <row r="11" spans="1:55" ht="15.75">
      <c r="A11" s="37">
        <v>6</v>
      </c>
      <c r="B11" s="54" t="s">
        <v>168</v>
      </c>
      <c r="D11" s="37"/>
      <c r="E11" s="56"/>
      <c r="F11" s="37" t="s">
        <v>192</v>
      </c>
      <c r="G11" s="56"/>
      <c r="H11" s="37"/>
      <c r="I11" s="56"/>
      <c r="J11" s="37"/>
      <c r="K11" s="56"/>
      <c r="L11" s="37"/>
      <c r="M11" s="56"/>
      <c r="N11" s="37"/>
      <c r="O11" s="56"/>
      <c r="P11" s="37"/>
      <c r="Q11" s="56"/>
      <c r="R11" s="37"/>
      <c r="S11" s="56"/>
      <c r="T11" s="37"/>
      <c r="U11" s="56"/>
      <c r="V11" s="37"/>
      <c r="W11" s="56"/>
      <c r="X11" s="37"/>
      <c r="Y11" s="56"/>
      <c r="Z11" s="37"/>
      <c r="AA11" s="56"/>
      <c r="AB11" s="37"/>
      <c r="AC11" s="56"/>
      <c r="AD11" s="37"/>
      <c r="AE11" s="57"/>
      <c r="AF11" s="37"/>
      <c r="AG11" s="57"/>
      <c r="AH11" s="37"/>
      <c r="AI11" s="57"/>
      <c r="AJ11" s="37"/>
      <c r="AK11" s="57"/>
      <c r="AL11" s="37" t="s">
        <v>227</v>
      </c>
      <c r="AM11" s="57"/>
      <c r="AN11" s="37"/>
      <c r="AO11" s="57"/>
      <c r="AP11" s="37"/>
      <c r="AQ11" s="57"/>
      <c r="AR11" s="37"/>
      <c r="AS11" s="57"/>
      <c r="AT11" s="37"/>
      <c r="AU11" s="57"/>
      <c r="AV11" s="37" t="s">
        <v>254</v>
      </c>
      <c r="AW11" s="43"/>
      <c r="AX11" s="42"/>
      <c r="AY11" s="42"/>
      <c r="AZ11" s="42"/>
      <c r="BA11" s="42"/>
    </row>
    <row r="12" spans="1:55" ht="15.75">
      <c r="A12" s="37">
        <v>7</v>
      </c>
      <c r="B12" s="54" t="s">
        <v>281</v>
      </c>
      <c r="D12" s="37"/>
      <c r="E12" s="56"/>
      <c r="F12" s="37" t="s">
        <v>190</v>
      </c>
      <c r="G12" s="56"/>
      <c r="H12" s="37"/>
      <c r="I12" s="56"/>
      <c r="J12" s="37"/>
      <c r="K12" s="56"/>
      <c r="L12" s="37"/>
      <c r="M12" s="56"/>
      <c r="N12" s="37"/>
      <c r="O12" s="56"/>
      <c r="P12" s="37"/>
      <c r="Q12" s="56"/>
      <c r="R12" s="37"/>
      <c r="S12" s="56"/>
      <c r="T12" s="37"/>
      <c r="U12" s="56"/>
      <c r="V12" s="37"/>
      <c r="W12" s="56"/>
      <c r="X12" s="37"/>
      <c r="Y12" s="56"/>
      <c r="Z12" s="37"/>
      <c r="AA12" s="56"/>
      <c r="AB12" s="37"/>
      <c r="AC12" s="56"/>
      <c r="AD12" s="37"/>
      <c r="AE12" s="57"/>
      <c r="AF12" s="37"/>
      <c r="AG12" s="57"/>
      <c r="AH12" s="37"/>
      <c r="AI12" s="57"/>
      <c r="AJ12" s="37"/>
      <c r="AK12" s="57"/>
      <c r="AL12" s="37" t="s">
        <v>242</v>
      </c>
      <c r="AM12" s="57"/>
      <c r="AN12" s="37"/>
      <c r="AO12" s="57"/>
      <c r="AP12" s="37"/>
      <c r="AQ12" s="57"/>
      <c r="AR12" s="37"/>
      <c r="AS12" s="57"/>
      <c r="AT12" s="37"/>
      <c r="AU12" s="57"/>
      <c r="AV12" s="37"/>
      <c r="AW12" s="43"/>
      <c r="AX12" s="42"/>
      <c r="AY12" s="42"/>
      <c r="AZ12" s="42"/>
      <c r="BA12" s="42"/>
    </row>
    <row r="13" spans="1:55" ht="15.75">
      <c r="A13" s="37">
        <v>8</v>
      </c>
      <c r="B13" s="54" t="s">
        <v>282</v>
      </c>
      <c r="D13" s="37"/>
      <c r="E13" s="56"/>
      <c r="F13" s="37" t="s">
        <v>191</v>
      </c>
      <c r="G13" s="56"/>
      <c r="H13" s="37"/>
      <c r="I13" s="56"/>
      <c r="J13" s="37"/>
      <c r="K13" s="56"/>
      <c r="L13" s="37"/>
      <c r="M13" s="56"/>
      <c r="N13" s="37"/>
      <c r="O13" s="56"/>
      <c r="P13" s="37"/>
      <c r="Q13" s="56"/>
      <c r="R13" s="37"/>
      <c r="S13" s="58"/>
      <c r="T13" s="37"/>
      <c r="U13" s="56"/>
      <c r="V13" s="37"/>
      <c r="W13" s="56"/>
      <c r="X13" s="37"/>
      <c r="Y13" s="56"/>
      <c r="Z13" s="37"/>
      <c r="AA13" s="56"/>
      <c r="AB13" s="37"/>
      <c r="AC13" s="56"/>
      <c r="AD13" s="37"/>
      <c r="AE13" s="57"/>
      <c r="AF13" s="37"/>
      <c r="AG13" s="57"/>
      <c r="AH13" s="37"/>
      <c r="AI13" s="57"/>
      <c r="AJ13" s="37"/>
      <c r="AK13" s="57"/>
      <c r="AL13" s="37" t="s">
        <v>226</v>
      </c>
      <c r="AM13" s="57"/>
      <c r="AN13" s="37"/>
      <c r="AO13" s="57"/>
      <c r="AP13" s="37"/>
      <c r="AQ13" s="57"/>
      <c r="AR13" s="37"/>
      <c r="AS13" s="57"/>
      <c r="AT13" s="37"/>
      <c r="AU13" s="57"/>
      <c r="AV13" s="37"/>
      <c r="AW13" s="43"/>
      <c r="AX13" s="42"/>
      <c r="AY13" s="42"/>
      <c r="AZ13" s="42"/>
      <c r="BA13" s="42"/>
    </row>
    <row r="14" spans="1:55" ht="15.75">
      <c r="A14" s="37">
        <v>9</v>
      </c>
      <c r="B14" s="53" t="s">
        <v>193</v>
      </c>
      <c r="D14" s="37"/>
      <c r="E14" s="56"/>
      <c r="F14" s="37"/>
      <c r="G14" s="56"/>
      <c r="H14" s="37"/>
      <c r="I14" s="56"/>
      <c r="J14" s="37"/>
      <c r="K14" s="56"/>
      <c r="L14" s="37"/>
      <c r="M14" s="56"/>
      <c r="N14" s="37"/>
      <c r="O14" s="56"/>
      <c r="P14" s="37"/>
      <c r="Q14" s="56"/>
      <c r="R14" s="37"/>
      <c r="S14" s="56"/>
      <c r="T14" s="37"/>
      <c r="U14" s="56"/>
      <c r="V14" s="37"/>
      <c r="W14" s="56"/>
      <c r="X14" s="37"/>
      <c r="Y14" s="56"/>
      <c r="Z14" s="37"/>
      <c r="AA14" s="56"/>
      <c r="AB14" s="37"/>
      <c r="AC14" s="56"/>
      <c r="AD14" s="37"/>
      <c r="AE14" s="57"/>
      <c r="AF14" s="37"/>
      <c r="AG14" s="57"/>
      <c r="AH14" s="37"/>
      <c r="AI14" s="57"/>
      <c r="AJ14" s="37"/>
      <c r="AK14" s="57"/>
      <c r="AL14" s="37" t="s">
        <v>224</v>
      </c>
      <c r="AM14" s="57"/>
      <c r="AN14" s="37"/>
      <c r="AO14" s="57"/>
      <c r="AP14" s="37"/>
      <c r="AQ14" s="57"/>
      <c r="AR14" s="37"/>
      <c r="AS14" s="57"/>
      <c r="AT14" s="37"/>
      <c r="AU14" s="57"/>
      <c r="AV14" s="37"/>
      <c r="AW14" s="43"/>
      <c r="AX14" s="42"/>
      <c r="AY14" s="42"/>
      <c r="AZ14" s="42"/>
      <c r="BA14" s="42"/>
    </row>
    <row r="15" spans="1:55" ht="15.75">
      <c r="A15" s="37">
        <v>10</v>
      </c>
      <c r="B15" s="54" t="s">
        <v>283</v>
      </c>
      <c r="D15" s="37"/>
      <c r="E15" s="56"/>
      <c r="F15" s="37"/>
      <c r="G15" s="56"/>
      <c r="H15" s="37"/>
      <c r="I15" s="56"/>
      <c r="J15" s="37"/>
      <c r="K15" s="56"/>
      <c r="L15" s="37"/>
      <c r="M15" s="56"/>
      <c r="N15" s="37"/>
      <c r="O15" s="56"/>
      <c r="P15" s="37"/>
      <c r="Q15" s="56"/>
      <c r="R15" s="37"/>
      <c r="S15" s="56"/>
      <c r="T15" s="37"/>
      <c r="U15" s="56"/>
      <c r="V15" s="37"/>
      <c r="W15" s="56"/>
      <c r="X15" s="37"/>
      <c r="Y15" s="56"/>
      <c r="Z15" s="37"/>
      <c r="AA15" s="56"/>
      <c r="AB15" s="37"/>
      <c r="AC15" s="56"/>
      <c r="AD15" s="37"/>
      <c r="AE15" s="57"/>
      <c r="AF15" s="37"/>
      <c r="AG15" s="57"/>
      <c r="AH15" s="37"/>
      <c r="AI15" s="57"/>
      <c r="AJ15" s="37"/>
      <c r="AK15" s="57"/>
      <c r="AL15" s="37" t="s">
        <v>225</v>
      </c>
      <c r="AM15" s="57"/>
      <c r="AN15" s="37"/>
      <c r="AO15" s="57"/>
      <c r="AP15" s="37"/>
      <c r="AQ15" s="57"/>
      <c r="AR15" s="37"/>
      <c r="AS15" s="57"/>
      <c r="AT15" s="37"/>
      <c r="AU15" s="57"/>
      <c r="AV15" s="37"/>
      <c r="AW15" s="43"/>
      <c r="AX15" s="42"/>
      <c r="AY15" s="42"/>
      <c r="AZ15" s="42"/>
      <c r="BA15" s="42"/>
    </row>
    <row r="16" spans="1:55" ht="15.75">
      <c r="A16" s="37">
        <v>11</v>
      </c>
      <c r="B16" s="54" t="s">
        <v>276</v>
      </c>
      <c r="D16" s="37"/>
      <c r="E16" s="56"/>
      <c r="F16" s="37"/>
      <c r="G16" s="56"/>
      <c r="H16" s="37"/>
      <c r="I16" s="56"/>
      <c r="J16" s="37"/>
      <c r="K16" s="56"/>
      <c r="L16" s="37"/>
      <c r="M16" s="56"/>
      <c r="N16" s="37"/>
      <c r="O16" s="56"/>
      <c r="P16" s="37"/>
      <c r="Q16" s="56"/>
      <c r="R16" s="37"/>
      <c r="S16" s="56"/>
      <c r="T16" s="37"/>
      <c r="U16" s="56"/>
      <c r="V16" s="37"/>
      <c r="W16" s="56"/>
      <c r="X16" s="37"/>
      <c r="Y16" s="56"/>
      <c r="Z16" s="37"/>
      <c r="AA16" s="56"/>
      <c r="AB16" s="37"/>
      <c r="AC16" s="56"/>
      <c r="AD16" s="37"/>
      <c r="AE16" s="57"/>
      <c r="AF16" s="37"/>
      <c r="AG16" s="57"/>
      <c r="AH16" s="37"/>
      <c r="AI16" s="57"/>
      <c r="AJ16" s="37"/>
      <c r="AK16" s="57"/>
      <c r="AL16" s="37"/>
      <c r="AM16" s="57"/>
      <c r="AN16" s="37"/>
      <c r="AO16" s="57"/>
      <c r="AP16" s="37"/>
      <c r="AQ16" s="57"/>
      <c r="AR16" s="37"/>
      <c r="AS16" s="57"/>
      <c r="AT16" s="37"/>
      <c r="AU16" s="57"/>
      <c r="AV16" s="37"/>
      <c r="AW16" s="43"/>
      <c r="AX16" s="42"/>
      <c r="AY16" s="42"/>
      <c r="AZ16" s="42"/>
      <c r="BA16" s="42"/>
    </row>
    <row r="17" spans="1:53" ht="15.75">
      <c r="A17" s="37">
        <v>12</v>
      </c>
      <c r="B17" s="54" t="s">
        <v>180</v>
      </c>
      <c r="D17" s="42"/>
      <c r="E17" s="59"/>
      <c r="F17" s="42"/>
      <c r="G17" s="59"/>
      <c r="H17" s="42"/>
      <c r="I17" s="59"/>
      <c r="J17" s="42"/>
      <c r="K17" s="59"/>
      <c r="L17" s="42"/>
      <c r="M17" s="59"/>
      <c r="N17" s="42"/>
      <c r="O17" s="59"/>
      <c r="P17" s="42"/>
      <c r="Q17" s="59"/>
      <c r="R17" s="42"/>
      <c r="S17" s="59"/>
      <c r="T17" s="42"/>
      <c r="U17" s="59"/>
      <c r="V17" s="42"/>
      <c r="W17" s="59"/>
      <c r="X17" s="42"/>
      <c r="Y17" s="59"/>
      <c r="Z17" s="42"/>
      <c r="AA17" s="59"/>
      <c r="AB17" s="42"/>
      <c r="AC17" s="59"/>
      <c r="AD17" s="42"/>
      <c r="AE17" s="43"/>
      <c r="AF17" s="42"/>
      <c r="AG17" s="43"/>
      <c r="AH17" s="42"/>
      <c r="AI17" s="43"/>
      <c r="AJ17" s="42"/>
      <c r="AK17" s="43"/>
      <c r="AL17" s="42"/>
      <c r="AM17" s="43"/>
      <c r="AN17" s="42"/>
      <c r="AO17" s="43"/>
      <c r="AP17" s="42"/>
      <c r="AQ17" s="43"/>
      <c r="AR17" s="42"/>
      <c r="AS17" s="43"/>
      <c r="AT17" s="42"/>
      <c r="AU17" s="43"/>
      <c r="AV17" s="42"/>
      <c r="AW17" s="43"/>
      <c r="AX17" s="42"/>
      <c r="AY17" s="42"/>
      <c r="AZ17" s="42"/>
      <c r="BA17" s="42"/>
    </row>
    <row r="18" spans="1:53" ht="15.75">
      <c r="A18" s="37">
        <v>13</v>
      </c>
      <c r="B18" s="53" t="s">
        <v>197</v>
      </c>
      <c r="D18" s="42"/>
      <c r="E18" s="59"/>
      <c r="F18" s="42"/>
      <c r="G18" s="59"/>
      <c r="H18" s="42"/>
      <c r="I18" s="59"/>
      <c r="J18" s="42"/>
      <c r="K18" s="59"/>
      <c r="L18" s="42"/>
      <c r="M18" s="59"/>
      <c r="N18" s="42"/>
      <c r="O18" s="59"/>
      <c r="P18" s="42"/>
      <c r="Q18" s="59"/>
      <c r="R18" s="42"/>
      <c r="S18" s="59"/>
      <c r="T18" s="42"/>
      <c r="U18" s="59"/>
      <c r="V18" s="42"/>
      <c r="W18" s="59"/>
      <c r="X18" s="42"/>
      <c r="Y18" s="59"/>
      <c r="Z18" s="42"/>
      <c r="AA18" s="59"/>
      <c r="AB18" s="42"/>
      <c r="AC18" s="59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N18" s="42"/>
      <c r="AO18" s="43"/>
      <c r="AP18" s="42"/>
      <c r="AQ18" s="43"/>
      <c r="AR18" s="42"/>
      <c r="AS18" s="43"/>
      <c r="AT18" s="42"/>
      <c r="AU18" s="43"/>
      <c r="AV18" s="42"/>
      <c r="AW18" s="43"/>
      <c r="AX18" s="42"/>
      <c r="AY18" s="42"/>
      <c r="AZ18" s="42"/>
      <c r="BA18" s="42"/>
    </row>
    <row r="19" spans="1:53" ht="15.75">
      <c r="A19" s="37">
        <v>14</v>
      </c>
      <c r="B19" s="54" t="s">
        <v>284</v>
      </c>
      <c r="D19" s="42"/>
      <c r="E19" s="59"/>
      <c r="F19" s="42"/>
      <c r="G19" s="59"/>
      <c r="H19" s="42"/>
      <c r="I19" s="59"/>
      <c r="J19" s="42"/>
      <c r="K19" s="59"/>
      <c r="L19" s="42"/>
      <c r="M19" s="59"/>
      <c r="N19" s="42"/>
      <c r="O19" s="59"/>
      <c r="P19" s="42"/>
      <c r="Q19" s="59"/>
      <c r="R19" s="42"/>
      <c r="S19" s="59"/>
      <c r="T19" s="42"/>
      <c r="U19" s="59"/>
      <c r="V19" s="42"/>
      <c r="W19" s="59"/>
      <c r="X19" s="42"/>
      <c r="Y19" s="59"/>
      <c r="Z19" s="42"/>
      <c r="AA19" s="59"/>
      <c r="AB19" s="42"/>
      <c r="AC19" s="59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N19" s="42"/>
      <c r="AO19" s="43"/>
      <c r="AP19" s="42"/>
      <c r="AQ19" s="43"/>
      <c r="AR19" s="42"/>
      <c r="AS19" s="43"/>
      <c r="AT19" s="42"/>
      <c r="AU19" s="43"/>
      <c r="AV19" s="42"/>
      <c r="AW19" s="43"/>
      <c r="AX19" s="42"/>
      <c r="AY19" s="42"/>
      <c r="AZ19" s="42"/>
      <c r="BA19" s="42"/>
    </row>
    <row r="20" spans="1:53" ht="15.75">
      <c r="A20" s="37">
        <v>15</v>
      </c>
      <c r="B20" s="54" t="s">
        <v>285</v>
      </c>
      <c r="D20" s="42"/>
      <c r="E20" s="59"/>
      <c r="F20" s="42"/>
      <c r="G20" s="59"/>
      <c r="H20" s="42"/>
      <c r="I20" s="59"/>
      <c r="J20" s="42"/>
      <c r="K20" s="59"/>
      <c r="L20" s="42"/>
      <c r="M20" s="59"/>
      <c r="N20" s="42"/>
      <c r="O20" s="59"/>
      <c r="P20" s="42"/>
      <c r="Q20" s="59"/>
      <c r="R20" s="42"/>
      <c r="S20" s="59"/>
      <c r="T20" s="42"/>
      <c r="U20" s="59"/>
      <c r="V20" s="42"/>
      <c r="W20" s="59"/>
      <c r="X20" s="42"/>
      <c r="Y20" s="59"/>
      <c r="Z20" s="42"/>
      <c r="AA20" s="59"/>
      <c r="AB20" s="42"/>
      <c r="AC20" s="59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2"/>
      <c r="AZ20" s="42"/>
      <c r="BA20" s="42"/>
    </row>
    <row r="21" spans="1:53" ht="15.75">
      <c r="A21" s="37">
        <v>16</v>
      </c>
      <c r="B21" s="54" t="s">
        <v>286</v>
      </c>
      <c r="D21" s="42"/>
      <c r="E21" s="59"/>
      <c r="F21" s="42"/>
      <c r="G21" s="59"/>
      <c r="H21" s="42"/>
      <c r="I21" s="59"/>
      <c r="J21" s="42"/>
      <c r="K21" s="59"/>
      <c r="L21" s="42"/>
      <c r="M21" s="59"/>
      <c r="N21" s="42"/>
      <c r="O21" s="59"/>
      <c r="P21" s="42"/>
      <c r="Q21" s="59"/>
      <c r="R21" s="42"/>
      <c r="S21" s="59"/>
      <c r="T21" s="42"/>
      <c r="U21" s="59"/>
      <c r="V21" s="42"/>
      <c r="W21" s="59"/>
      <c r="X21" s="42"/>
      <c r="Y21" s="59"/>
      <c r="Z21" s="42"/>
      <c r="AA21" s="59"/>
      <c r="AB21" s="42"/>
      <c r="AC21" s="59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N21" s="42"/>
      <c r="AO21" s="43"/>
      <c r="AP21" s="42"/>
      <c r="AQ21" s="43"/>
      <c r="AR21" s="42"/>
      <c r="AS21" s="43"/>
      <c r="AT21" s="42"/>
      <c r="AU21" s="43"/>
      <c r="AV21" s="42"/>
      <c r="AW21" s="43"/>
      <c r="AX21" s="42"/>
      <c r="AY21" s="42"/>
      <c r="AZ21" s="42"/>
      <c r="BA21" s="42"/>
    </row>
    <row r="22" spans="1:53" ht="15.75">
      <c r="A22" s="37">
        <v>17</v>
      </c>
      <c r="B22" s="54" t="s">
        <v>287</v>
      </c>
      <c r="D22" s="42"/>
      <c r="E22" s="59"/>
      <c r="F22" s="42"/>
      <c r="G22" s="59"/>
      <c r="H22" s="42"/>
      <c r="I22" s="59"/>
      <c r="J22" s="42"/>
      <c r="K22" s="59"/>
      <c r="L22" s="42"/>
      <c r="M22" s="59"/>
      <c r="N22" s="42"/>
      <c r="O22" s="59"/>
      <c r="P22" s="42"/>
      <c r="Q22" s="59"/>
      <c r="R22" s="42"/>
      <c r="S22" s="59"/>
      <c r="T22" s="42"/>
      <c r="U22" s="59"/>
      <c r="V22" s="42"/>
      <c r="W22" s="59"/>
      <c r="X22" s="42"/>
      <c r="Y22" s="59"/>
      <c r="Z22" s="42"/>
      <c r="AA22" s="59"/>
      <c r="AB22" s="42"/>
      <c r="AC22" s="59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N22" s="42"/>
      <c r="AO22" s="43"/>
      <c r="AP22" s="42"/>
      <c r="AQ22" s="43"/>
      <c r="AR22" s="42"/>
      <c r="AS22" s="43"/>
      <c r="AT22" s="42"/>
      <c r="AU22" s="43"/>
      <c r="AV22" s="42"/>
      <c r="AW22" s="43"/>
      <c r="AX22" s="42"/>
      <c r="AY22" s="42"/>
      <c r="AZ22" s="42"/>
      <c r="BA22" s="42"/>
    </row>
    <row r="23" spans="1:53" ht="15.75">
      <c r="A23" s="37">
        <v>18</v>
      </c>
      <c r="B23" s="53" t="s">
        <v>295</v>
      </c>
    </row>
    <row r="24" spans="1:53" ht="15.75">
      <c r="A24" s="37">
        <v>19</v>
      </c>
      <c r="B24" s="54" t="s">
        <v>288</v>
      </c>
    </row>
    <row r="25" spans="1:53" ht="15.75">
      <c r="A25" s="37">
        <v>20</v>
      </c>
      <c r="B25" s="54" t="s">
        <v>169</v>
      </c>
    </row>
    <row r="26" spans="1:53" ht="15.75">
      <c r="A26" s="37">
        <v>21</v>
      </c>
      <c r="B26" s="54" t="s">
        <v>289</v>
      </c>
    </row>
    <row r="27" spans="1:53" ht="15.75">
      <c r="A27" s="37">
        <v>22</v>
      </c>
      <c r="B27" s="54" t="s">
        <v>290</v>
      </c>
    </row>
    <row r="28" spans="1:53" ht="15.75">
      <c r="A28" s="37">
        <v>23</v>
      </c>
      <c r="B28" s="53" t="s">
        <v>238</v>
      </c>
    </row>
    <row r="29" spans="1:53" ht="15.75">
      <c r="A29" s="37">
        <v>24</v>
      </c>
      <c r="B29" s="54" t="s">
        <v>291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138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173</v>
      </c>
    </row>
    <row r="5" spans="4:4">
      <c r="D5" t="s">
        <v>174</v>
      </c>
    </row>
    <row r="6" spans="4:4">
      <c r="D6" t="s">
        <v>175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7" sqref="A7"/>
    </sheetView>
  </sheetViews>
  <sheetFormatPr defaultRowHeight="15"/>
  <cols>
    <col min="1" max="1" width="32.7109375" style="128" customWidth="1"/>
    <col min="2" max="2" width="0.7109375" style="128" customWidth="1"/>
    <col min="3" max="3" width="4.5703125" style="129" customWidth="1"/>
    <col min="4" max="4" width="36.5703125" style="166" customWidth="1"/>
    <col min="5" max="5" width="4.5703125" style="167" customWidth="1"/>
    <col min="6" max="6" width="36.5703125" style="358" customWidth="1"/>
    <col min="7" max="7" width="4.5703125" style="167" customWidth="1"/>
    <col min="8" max="8" width="30.5703125" style="358" bestFit="1" customWidth="1"/>
    <col min="9" max="9" width="11" style="167" customWidth="1"/>
    <col min="10" max="10" width="17.7109375" style="167" customWidth="1"/>
    <col min="11" max="11" width="27.28515625" style="167" customWidth="1"/>
    <col min="12" max="12" width="10.7109375" style="167" customWidth="1"/>
    <col min="13" max="13" width="11.85546875" style="167" customWidth="1"/>
    <col min="14" max="15" width="18.28515625" style="167" customWidth="1"/>
    <col min="16" max="16384" width="9.140625" style="167"/>
  </cols>
  <sheetData>
    <row r="1" spans="1:10" ht="24" customHeight="1">
      <c r="A1" s="143" t="s">
        <v>958</v>
      </c>
      <c r="C1" s="167"/>
      <c r="D1" s="51"/>
      <c r="E1" s="36"/>
      <c r="F1" s="51"/>
      <c r="G1" s="36"/>
      <c r="H1" s="51"/>
      <c r="I1" s="36"/>
      <c r="J1" s="36"/>
    </row>
    <row r="2" spans="1:10" ht="3.75" customHeight="1">
      <c r="D2" s="356"/>
      <c r="F2" s="356"/>
      <c r="H2" s="356"/>
    </row>
    <row r="3" spans="1:10" ht="30">
      <c r="A3" s="134" t="s">
        <v>8</v>
      </c>
      <c r="D3" s="39" t="s">
        <v>963</v>
      </c>
      <c r="F3" s="247" t="s">
        <v>1154</v>
      </c>
      <c r="H3" s="247" t="s">
        <v>1159</v>
      </c>
    </row>
    <row r="4" spans="1:10" ht="19.5" thickBot="1">
      <c r="A4" s="135" t="s">
        <v>113</v>
      </c>
      <c r="D4" s="24" t="s">
        <v>133</v>
      </c>
      <c r="F4" s="255" t="s">
        <v>1060</v>
      </c>
      <c r="G4" s="168"/>
      <c r="H4" s="247" t="s">
        <v>1047</v>
      </c>
      <c r="I4" s="168"/>
    </row>
    <row r="5" spans="1:10" ht="19.5" thickTop="1">
      <c r="A5" s="138" t="s">
        <v>1184</v>
      </c>
      <c r="D5" s="24" t="s">
        <v>932</v>
      </c>
      <c r="F5" s="345" t="s">
        <v>1047</v>
      </c>
      <c r="G5" s="168"/>
      <c r="H5" s="247" t="s">
        <v>1048</v>
      </c>
      <c r="I5" s="168"/>
    </row>
    <row r="6" spans="1:10" ht="18.75">
      <c r="A6" s="384" t="s">
        <v>1185</v>
      </c>
      <c r="D6" s="24" t="s">
        <v>950</v>
      </c>
      <c r="F6" s="345" t="s">
        <v>1048</v>
      </c>
      <c r="G6" s="168"/>
      <c r="H6" s="247" t="s">
        <v>1071</v>
      </c>
      <c r="I6" s="168"/>
    </row>
    <row r="7" spans="1:10" ht="19.5" thickBot="1">
      <c r="A7" s="386" t="s">
        <v>1186</v>
      </c>
      <c r="D7" s="24" t="s">
        <v>933</v>
      </c>
      <c r="F7" s="255" t="s">
        <v>1071</v>
      </c>
      <c r="G7" s="168"/>
      <c r="H7" s="247" t="s">
        <v>1156</v>
      </c>
      <c r="I7" s="168"/>
    </row>
    <row r="8" spans="1:10" ht="19.5" thickTop="1">
      <c r="A8" s="389" t="s">
        <v>1187</v>
      </c>
      <c r="D8" s="24" t="s">
        <v>315</v>
      </c>
      <c r="F8" s="247" t="s">
        <v>1049</v>
      </c>
      <c r="G8" s="168"/>
      <c r="H8" s="247" t="s">
        <v>1157</v>
      </c>
      <c r="I8" s="168"/>
    </row>
    <row r="9" spans="1:10" ht="18.75">
      <c r="A9" s="387" t="s">
        <v>7</v>
      </c>
      <c r="D9" s="24" t="s">
        <v>939</v>
      </c>
      <c r="F9" s="247" t="s">
        <v>1050</v>
      </c>
      <c r="G9" s="168"/>
      <c r="H9" s="247" t="s">
        <v>1158</v>
      </c>
      <c r="I9" s="168"/>
    </row>
    <row r="10" spans="1:10" ht="18.75">
      <c r="A10" s="388" t="s">
        <v>100</v>
      </c>
      <c r="D10" s="24" t="s">
        <v>942</v>
      </c>
      <c r="F10" s="247" t="s">
        <v>1051</v>
      </c>
      <c r="G10" s="168"/>
      <c r="H10" s="359"/>
      <c r="I10" s="168"/>
    </row>
    <row r="11" spans="1:10" ht="15.75">
      <c r="A11" s="112"/>
      <c r="D11" s="24" t="s">
        <v>943</v>
      </c>
      <c r="F11" s="247" t="s">
        <v>1052</v>
      </c>
      <c r="G11" s="168"/>
      <c r="H11" s="359"/>
    </row>
    <row r="12" spans="1:10" ht="15.75">
      <c r="A12" s="112"/>
      <c r="D12" s="24" t="s">
        <v>944</v>
      </c>
      <c r="F12" s="247" t="s">
        <v>1053</v>
      </c>
      <c r="G12" s="168"/>
      <c r="H12" s="359"/>
    </row>
    <row r="13" spans="1:10" ht="15.75">
      <c r="A13" s="112"/>
      <c r="D13" s="24" t="s">
        <v>948</v>
      </c>
      <c r="F13" s="247" t="s">
        <v>1063</v>
      </c>
      <c r="G13" s="168"/>
      <c r="H13" s="359"/>
    </row>
    <row r="14" spans="1:10" ht="15.75">
      <c r="A14" s="112"/>
      <c r="D14" s="24" t="s">
        <v>959</v>
      </c>
      <c r="F14" s="247" t="s">
        <v>1062</v>
      </c>
      <c r="G14" s="168"/>
      <c r="H14" s="359"/>
    </row>
    <row r="15" spans="1:10" ht="15.75">
      <c r="A15" s="112"/>
      <c r="D15" s="24" t="s">
        <v>960</v>
      </c>
      <c r="F15" s="247" t="s">
        <v>1061</v>
      </c>
      <c r="G15" s="168"/>
      <c r="H15" s="359"/>
    </row>
    <row r="16" spans="1:10" ht="15.75">
      <c r="A16" s="112"/>
      <c r="D16" s="24" t="s">
        <v>961</v>
      </c>
      <c r="F16" s="357"/>
      <c r="G16" s="168"/>
      <c r="H16" s="357"/>
    </row>
    <row r="17" spans="1:7" ht="15.75">
      <c r="A17" s="160"/>
      <c r="D17" s="24" t="s">
        <v>962</v>
      </c>
      <c r="F17" s="357"/>
      <c r="G17" s="168"/>
    </row>
    <row r="18" spans="1:7" ht="15.75">
      <c r="A18" s="160"/>
      <c r="D18" s="24" t="s">
        <v>964</v>
      </c>
      <c r="F18" s="357"/>
    </row>
    <row r="19" spans="1:7" ht="15.75">
      <c r="A19" s="160"/>
      <c r="D19" s="24"/>
      <c r="F19" s="357"/>
    </row>
    <row r="20" spans="1:7" ht="15.75">
      <c r="A20" s="160"/>
      <c r="D20" s="24"/>
      <c r="F20" s="357"/>
    </row>
    <row r="21" spans="1:7" ht="15.75">
      <c r="A21" s="160"/>
      <c r="D21" s="24"/>
    </row>
    <row r="22" spans="1:7" ht="15.75">
      <c r="A22" s="160"/>
      <c r="D22" s="24"/>
    </row>
    <row r="23" spans="1:7" ht="15.75">
      <c r="A23" s="160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6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>
      <selection activeCell="A4" sqref="A4"/>
    </sheetView>
  </sheetViews>
  <sheetFormatPr defaultRowHeight="15"/>
  <cols>
    <col min="1" max="1" width="32.7109375" style="128" customWidth="1"/>
    <col min="2" max="2" width="0.7109375" style="128" customWidth="1"/>
    <col min="3" max="3" width="4.5703125" style="129" customWidth="1"/>
    <col min="4" max="4" width="5.85546875" style="129" customWidth="1"/>
    <col min="5" max="5" width="44" style="129" customWidth="1"/>
    <col min="6" max="6" width="28.5703125" style="129" customWidth="1"/>
    <col min="7" max="7" width="18.28515625" style="129" customWidth="1"/>
    <col min="8" max="8" width="36.5703125" style="129" customWidth="1"/>
    <col min="9" max="9" width="32" style="129" customWidth="1"/>
    <col min="10" max="10" width="18.28515625" style="129" customWidth="1"/>
    <col min="11" max="11" width="34.28515625" style="129" customWidth="1"/>
    <col min="12" max="12" width="30" style="129" customWidth="1"/>
    <col min="13" max="13" width="31.42578125" style="129" customWidth="1"/>
    <col min="14" max="14" width="39.42578125" style="129" customWidth="1"/>
    <col min="15" max="15" width="21.42578125" style="129" customWidth="1"/>
    <col min="16" max="16" width="24.42578125" style="129" bestFit="1" customWidth="1"/>
    <col min="17" max="17" width="18.28515625" style="129" customWidth="1"/>
    <col min="18" max="19" width="9.140625" style="129"/>
    <col min="20" max="16384" width="9.140625" style="133"/>
  </cols>
  <sheetData>
    <row r="1" spans="1:18" ht="24" customHeight="1">
      <c r="A1" s="143" t="s">
        <v>382</v>
      </c>
      <c r="D1" s="289" t="s">
        <v>385</v>
      </c>
      <c r="E1" s="289"/>
      <c r="F1" s="289"/>
      <c r="G1" s="289"/>
      <c r="H1" s="289"/>
      <c r="I1" s="289"/>
      <c r="J1" s="289"/>
      <c r="K1" s="130"/>
      <c r="L1" s="131"/>
      <c r="M1" s="132"/>
    </row>
    <row r="2" spans="1:18" ht="3.75" customHeight="1">
      <c r="F2" s="129" t="s">
        <v>3</v>
      </c>
    </row>
    <row r="3" spans="1:18" ht="18.75">
      <c r="A3" s="134" t="s">
        <v>8</v>
      </c>
      <c r="D3" s="108" t="s">
        <v>122</v>
      </c>
      <c r="E3" s="108" t="s">
        <v>115</v>
      </c>
      <c r="F3" s="108" t="s">
        <v>126</v>
      </c>
      <c r="G3" s="108" t="s">
        <v>127</v>
      </c>
      <c r="H3" s="108" t="s">
        <v>1152</v>
      </c>
      <c r="I3" s="108" t="s">
        <v>128</v>
      </c>
      <c r="J3" s="108" t="s">
        <v>129</v>
      </c>
      <c r="K3" s="108" t="s">
        <v>130</v>
      </c>
      <c r="L3" s="108" t="s">
        <v>1096</v>
      </c>
    </row>
    <row r="4" spans="1:18" ht="18.75">
      <c r="A4" s="135" t="s">
        <v>113</v>
      </c>
      <c r="D4" s="24">
        <v>0</v>
      </c>
      <c r="E4" s="24" t="s">
        <v>1047</v>
      </c>
      <c r="F4" s="141">
        <v>1234567890</v>
      </c>
      <c r="G4" s="28" t="s">
        <v>930</v>
      </c>
      <c r="H4" s="142" t="s">
        <v>931</v>
      </c>
      <c r="I4" s="28" t="s">
        <v>1163</v>
      </c>
      <c r="J4" s="24"/>
      <c r="K4" s="24"/>
      <c r="L4" s="24"/>
    </row>
    <row r="5" spans="1:18" ht="24" customHeight="1">
      <c r="A5" s="138" t="s">
        <v>1184</v>
      </c>
    </row>
    <row r="6" spans="1:18" ht="34.5" customHeight="1">
      <c r="A6" s="384" t="s">
        <v>1185</v>
      </c>
    </row>
    <row r="7" spans="1:18" ht="18.75">
      <c r="A7" s="386" t="s">
        <v>1186</v>
      </c>
      <c r="D7" s="144"/>
      <c r="E7" s="144"/>
      <c r="F7" s="144"/>
      <c r="G7" s="144"/>
      <c r="H7" s="144"/>
      <c r="I7" s="144"/>
      <c r="J7" s="144"/>
    </row>
    <row r="8" spans="1:18" ht="18.75">
      <c r="A8" s="389" t="s">
        <v>1187</v>
      </c>
      <c r="D8" s="109" t="s">
        <v>122</v>
      </c>
      <c r="E8" s="109" t="s">
        <v>123</v>
      </c>
      <c r="F8" s="109" t="s">
        <v>934</v>
      </c>
      <c r="G8" s="110" t="s">
        <v>125</v>
      </c>
      <c r="H8" s="109" t="s">
        <v>318</v>
      </c>
      <c r="I8" s="109" t="s">
        <v>317</v>
      </c>
      <c r="J8" s="109" t="s">
        <v>319</v>
      </c>
      <c r="K8" s="109" t="s">
        <v>320</v>
      </c>
      <c r="L8" s="109" t="s">
        <v>383</v>
      </c>
      <c r="M8" s="109" t="s">
        <v>124</v>
      </c>
      <c r="N8" s="109" t="s">
        <v>118</v>
      </c>
      <c r="O8" s="109" t="s">
        <v>384</v>
      </c>
      <c r="P8" s="111" t="s">
        <v>119</v>
      </c>
      <c r="Q8" s="111" t="s">
        <v>131</v>
      </c>
      <c r="R8" s="109" t="s">
        <v>120</v>
      </c>
    </row>
    <row r="9" spans="1:18" ht="18.75">
      <c r="A9" s="387" t="s">
        <v>7</v>
      </c>
      <c r="D9" s="24">
        <v>0</v>
      </c>
      <c r="E9" s="24" t="s">
        <v>133</v>
      </c>
      <c r="F9" s="24" t="s">
        <v>941</v>
      </c>
      <c r="G9" s="22">
        <v>0</v>
      </c>
      <c r="H9" s="145">
        <f>SUMIF(Tarakonesh[پرداخت کننده],FinancialAccountsTable[[#This Row],[نام حساب]],Tarakonesh[مبلغ (ریال)])</f>
        <v>0</v>
      </c>
      <c r="I9" s="145">
        <f>SUMIF(Tarakonesh[دریافت کننده],FinancialAccountsTable[[#This Row],[نام حساب]],Tarakonesh[مبلغ (ریال)])</f>
        <v>0</v>
      </c>
      <c r="J9" s="145">
        <f>(FinancialAccountsTable[[#This Row],[جمع دریافتی]]+FinancialAccountsTable[[#This Row],[موجودی اولیه]])-FinancialAccountsTable[[#This Row],[جمع پرداختی]]</f>
        <v>0</v>
      </c>
      <c r="K9" s="123" t="str">
        <f>IF(FinancialAccountsTable[[#This Row],[مانده]]=0,"",IF(FinancialAccountsTable[[#This Row],[مانده]]&gt;0,"بدهکار","بستانکار"))</f>
        <v/>
      </c>
      <c r="L9" s="24" t="s">
        <v>121</v>
      </c>
      <c r="M9" s="24" t="s">
        <v>121</v>
      </c>
      <c r="N9" s="24" t="s">
        <v>121</v>
      </c>
      <c r="O9" s="24" t="s">
        <v>121</v>
      </c>
      <c r="P9" s="28" t="s">
        <v>121</v>
      </c>
      <c r="Q9" s="28" t="s">
        <v>121</v>
      </c>
      <c r="R9" s="24" t="s">
        <v>121</v>
      </c>
    </row>
    <row r="10" spans="1:18" ht="31.5">
      <c r="A10" s="388" t="s">
        <v>100</v>
      </c>
      <c r="D10" s="24">
        <v>1</v>
      </c>
      <c r="E10" s="24" t="s">
        <v>932</v>
      </c>
      <c r="F10" s="24" t="s">
        <v>938</v>
      </c>
      <c r="G10" s="22">
        <v>0</v>
      </c>
      <c r="H10" s="145">
        <f>SUMIF(Tarakonesh[پرداخت کننده],FinancialAccountsTable[[#This Row],[نام حساب]],Tarakonesh[مبلغ (ریال)])</f>
        <v>0</v>
      </c>
      <c r="I10" s="145">
        <f>SUMIF(Tarakonesh[دریافت کننده],FinancialAccountsTable[[#This Row],[نام حساب]],Tarakonesh[مبلغ (ریال)])</f>
        <v>0</v>
      </c>
      <c r="J10" s="145">
        <f>(FinancialAccountsTable[[#This Row],[جمع دریافتی]]+FinancialAccountsTable[[#This Row],[موجودی اولیه]])-FinancialAccountsTable[[#This Row],[جمع پرداختی]]</f>
        <v>0</v>
      </c>
      <c r="K10" s="123" t="str">
        <f>IF(FinancialAccountsTable[[#This Row],[مانده]]=0,"",IF(FinancialAccountsTable[[#This Row],[مانده]]&gt;0,"بدهکار","بستانکار"))</f>
        <v/>
      </c>
      <c r="L10" s="24" t="s">
        <v>951</v>
      </c>
      <c r="M10" s="24" t="s">
        <v>956</v>
      </c>
      <c r="N10" s="24"/>
      <c r="O10" s="24"/>
      <c r="P10" s="28"/>
      <c r="Q10" s="28"/>
      <c r="R10" s="24"/>
    </row>
    <row r="11" spans="1:18" ht="31.5">
      <c r="A11" s="112"/>
      <c r="D11" s="24">
        <v>2</v>
      </c>
      <c r="E11" s="24" t="s">
        <v>950</v>
      </c>
      <c r="F11" s="24" t="s">
        <v>935</v>
      </c>
      <c r="G11" s="22">
        <v>0</v>
      </c>
      <c r="H11" s="145">
        <f>SUMIF(Tarakonesh[پرداخت کننده],FinancialAccountsTable[[#This Row],[نام حساب]],Tarakonesh[مبلغ (ریال)])</f>
        <v>0</v>
      </c>
      <c r="I11" s="145">
        <f>SUMIF(Tarakonesh[دریافت کننده],FinancialAccountsTable[[#This Row],[نام حساب]],Tarakonesh[مبلغ (ریال)])</f>
        <v>0</v>
      </c>
      <c r="J11" s="145">
        <f>(FinancialAccountsTable[[#This Row],[جمع دریافتی]]+FinancialAccountsTable[[#This Row],[موجودی اولیه]])-FinancialAccountsTable[[#This Row],[جمع پرداختی]]</f>
        <v>0</v>
      </c>
      <c r="K11" s="123" t="str">
        <f>IF(FinancialAccountsTable[[#This Row],[مانده]]=0,"",IF(FinancialAccountsTable[[#This Row],[مانده]]&gt;0,"بدهکار","بستانکار"))</f>
        <v/>
      </c>
      <c r="L11" s="24" t="s">
        <v>952</v>
      </c>
      <c r="M11" s="24"/>
      <c r="N11" s="24"/>
      <c r="O11" s="24"/>
      <c r="P11" s="28"/>
      <c r="Q11" s="28"/>
      <c r="R11" s="24"/>
    </row>
    <row r="12" spans="1:18" ht="24" customHeight="1">
      <c r="A12" s="112"/>
      <c r="D12" s="24">
        <v>3</v>
      </c>
      <c r="E12" s="24" t="s">
        <v>933</v>
      </c>
      <c r="F12" s="24" t="s">
        <v>936</v>
      </c>
      <c r="G12" s="22">
        <v>0</v>
      </c>
      <c r="H12" s="145">
        <f>SUMIF(Tarakonesh[پرداخت کننده],FinancialAccountsTable[[#This Row],[نام حساب]],Tarakonesh[مبلغ (ریال)])</f>
        <v>0</v>
      </c>
      <c r="I12" s="145">
        <f>SUMIF(Tarakonesh[دریافت کننده],FinancialAccountsTable[[#This Row],[نام حساب]],Tarakonesh[مبلغ (ریال)])</f>
        <v>0</v>
      </c>
      <c r="J12" s="145">
        <f>(FinancialAccountsTable[[#This Row],[جمع دریافتی]]+FinancialAccountsTable[[#This Row],[موجودی اولیه]])-FinancialAccountsTable[[#This Row],[جمع پرداختی]]</f>
        <v>0</v>
      </c>
      <c r="K12" s="123" t="str">
        <f>IF(FinancialAccountsTable[[#This Row],[مانده]]=0,"",IF(FinancialAccountsTable[[#This Row],[مانده]]&gt;0,"بدهکار","بستانکار"))</f>
        <v/>
      </c>
      <c r="L12" s="24" t="s">
        <v>953</v>
      </c>
      <c r="M12" s="24"/>
      <c r="N12" s="24"/>
      <c r="O12" s="24"/>
      <c r="P12" s="28"/>
      <c r="Q12" s="28"/>
      <c r="R12" s="24"/>
    </row>
    <row r="13" spans="1:18" ht="24" customHeight="1">
      <c r="A13" s="112"/>
      <c r="D13" s="24">
        <v>4</v>
      </c>
      <c r="E13" s="24" t="s">
        <v>315</v>
      </c>
      <c r="F13" s="24" t="s">
        <v>937</v>
      </c>
      <c r="G13" s="22">
        <v>0</v>
      </c>
      <c r="H13" s="145">
        <f>SUMIF(Tarakonesh[پرداخت کننده],FinancialAccountsTable[[#This Row],[نام حساب]],Tarakonesh[مبلغ (ریال)])</f>
        <v>0</v>
      </c>
      <c r="I13" s="145">
        <f>SUMIF(Tarakonesh[دریافت کننده],FinancialAccountsTable[[#This Row],[نام حساب]],Tarakonesh[مبلغ (ریال)])</f>
        <v>0</v>
      </c>
      <c r="J13" s="145">
        <f>(FinancialAccountsTable[[#This Row],[جمع دریافتی]]+FinancialAccountsTable[[#This Row],[موجودی اولیه]])-FinancialAccountsTable[[#This Row],[جمع پرداختی]]</f>
        <v>0</v>
      </c>
      <c r="K13" s="123" t="str">
        <f>IF(FinancialAccountsTable[[#This Row],[مانده]]=0,"",IF(FinancialAccountsTable[[#This Row],[مانده]]&gt;0,"بدهکار","بستانکار"))</f>
        <v/>
      </c>
      <c r="L13" s="24" t="s">
        <v>954</v>
      </c>
      <c r="M13" s="24"/>
      <c r="N13" s="24"/>
      <c r="O13" s="24"/>
      <c r="P13" s="28"/>
      <c r="Q13" s="28"/>
      <c r="R13" s="24"/>
    </row>
    <row r="14" spans="1:18" ht="34.5" customHeight="1">
      <c r="A14" s="112"/>
      <c r="D14" s="24">
        <v>5</v>
      </c>
      <c r="E14" s="24" t="s">
        <v>939</v>
      </c>
      <c r="F14" s="24" t="s">
        <v>940</v>
      </c>
      <c r="G14" s="22">
        <v>0</v>
      </c>
      <c r="H14" s="145">
        <f>SUMIF(Tarakonesh[پرداخت کننده],FinancialAccountsTable[[#This Row],[نام حساب]],Tarakonesh[مبلغ (ریال)])</f>
        <v>0</v>
      </c>
      <c r="I14" s="145">
        <f>SUMIF(Tarakonesh[دریافت کننده],FinancialAccountsTable[[#This Row],[نام حساب]],Tarakonesh[مبلغ (ریال)])</f>
        <v>0</v>
      </c>
      <c r="J14" s="145">
        <f>(FinancialAccountsTable[[#This Row],[جمع دریافتی]]+FinancialAccountsTable[[#This Row],[موجودی اولیه]])-FinancialAccountsTable[[#This Row],[جمع پرداختی]]</f>
        <v>0</v>
      </c>
      <c r="K14" s="123" t="str">
        <f>IF(FinancialAccountsTable[[#This Row],[مانده]]=0,"",IF(FinancialAccountsTable[[#This Row],[مانده]]&gt;0,"بدهکار","بستانکار"))</f>
        <v/>
      </c>
      <c r="L14" s="24" t="s">
        <v>955</v>
      </c>
      <c r="M14" s="24"/>
      <c r="N14" s="24"/>
      <c r="O14" s="24"/>
      <c r="P14" s="28"/>
      <c r="Q14" s="28"/>
      <c r="R14" s="24"/>
    </row>
    <row r="15" spans="1:18" ht="24" customHeight="1">
      <c r="A15" s="112"/>
      <c r="D15" s="24">
        <v>6</v>
      </c>
      <c r="E15" s="24" t="s">
        <v>942</v>
      </c>
      <c r="F15" s="24" t="s">
        <v>947</v>
      </c>
      <c r="G15" s="22">
        <v>0</v>
      </c>
      <c r="H15" s="145">
        <f>SUMIF(Tarakonesh[پرداخت کننده],FinancialAccountsTable[[#This Row],[نام حساب]],Tarakonesh[مبلغ (ریال)])</f>
        <v>0</v>
      </c>
      <c r="I15" s="145">
        <f>SUMIF(Tarakonesh[دریافت کننده],FinancialAccountsTable[[#This Row],[نام حساب]],Tarakonesh[مبلغ (ریال)])</f>
        <v>0</v>
      </c>
      <c r="J15" s="145">
        <f>(FinancialAccountsTable[[#This Row],[جمع دریافتی]]+FinancialAccountsTable[[#This Row],[موجودی اولیه]])-FinancialAccountsTable[[#This Row],[جمع پرداختی]]</f>
        <v>0</v>
      </c>
      <c r="K15" s="146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112"/>
      <c r="D16" s="24">
        <v>7</v>
      </c>
      <c r="E16" s="24" t="s">
        <v>943</v>
      </c>
      <c r="F16" s="24" t="s">
        <v>945</v>
      </c>
      <c r="G16" s="22">
        <v>0</v>
      </c>
      <c r="H16" s="145">
        <f>SUMIF(Tarakonesh[پرداخت کننده],FinancialAccountsTable[[#This Row],[نام حساب]],Tarakonesh[مبلغ (ریال)])</f>
        <v>0</v>
      </c>
      <c r="I16" s="145">
        <f>SUMIF(Tarakonesh[دریافت کننده],FinancialAccountsTable[[#This Row],[نام حساب]],Tarakonesh[مبلغ (ریال)])</f>
        <v>0</v>
      </c>
      <c r="J16" s="145">
        <f>(FinancialAccountsTable[[#This Row],[جمع دریافتی]]+FinancialAccountsTable[[#This Row],[موجودی اولیه]])-FinancialAccountsTable[[#This Row],[جمع پرداختی]]</f>
        <v>0</v>
      </c>
      <c r="K16" s="146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112"/>
      <c r="D17" s="24">
        <v>8</v>
      </c>
      <c r="E17" s="24" t="s">
        <v>944</v>
      </c>
      <c r="F17" s="24" t="s">
        <v>946</v>
      </c>
      <c r="G17" s="22">
        <v>0</v>
      </c>
      <c r="H17" s="145">
        <f>SUMIF(Tarakonesh[پرداخت کننده],FinancialAccountsTable[[#This Row],[نام حساب]],Tarakonesh[مبلغ (ریال)])</f>
        <v>0</v>
      </c>
      <c r="I17" s="145">
        <f>SUMIF(Tarakonesh[دریافت کننده],FinancialAccountsTable[[#This Row],[نام حساب]],Tarakonesh[مبلغ (ریال)])</f>
        <v>0</v>
      </c>
      <c r="J17" s="145">
        <f>(FinancialAccountsTable[[#This Row],[جمع دریافتی]]+FinancialAccountsTable[[#This Row],[موجودی اولیه]])-FinancialAccountsTable[[#This Row],[جمع پرداختی]]</f>
        <v>0</v>
      </c>
      <c r="K17" s="146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112"/>
      <c r="D18" s="24">
        <v>9</v>
      </c>
      <c r="E18" s="24" t="s">
        <v>948</v>
      </c>
      <c r="F18" s="24" t="s">
        <v>949</v>
      </c>
      <c r="G18" s="22">
        <v>0</v>
      </c>
      <c r="H18" s="145">
        <f>SUMIF(Tarakonesh[پرداخت کننده],FinancialAccountsTable[[#This Row],[نام حساب]],Tarakonesh[مبلغ (ریال)])</f>
        <v>0</v>
      </c>
      <c r="I18" s="145">
        <f>SUMIF(Tarakonesh[دریافت کننده],FinancialAccountsTable[[#This Row],[نام حساب]],Tarakonesh[مبلغ (ریال)])</f>
        <v>0</v>
      </c>
      <c r="J18" s="145">
        <f>(FinancialAccountsTable[[#This Row],[جمع دریافتی]]+FinancialAccountsTable[[#This Row],[موجودی اولیه]])-FinancialAccountsTable[[#This Row],[جمع پرداختی]]</f>
        <v>0</v>
      </c>
      <c r="K18" s="146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112"/>
      <c r="D19" s="123" t="s">
        <v>140</v>
      </c>
      <c r="E19" s="147"/>
      <c r="F19" s="147"/>
      <c r="G19" s="145">
        <f>SUBTOTAL(109,FinancialAccountsTable[موجودی اولیه])</f>
        <v>0</v>
      </c>
      <c r="H19" s="145">
        <f>SUBTOTAL(109,FinancialAccountsTable[جمع پرداختی])-H14</f>
        <v>0</v>
      </c>
      <c r="I19" s="145">
        <f>SUBTOTAL(109,FinancialAccountsTable[جمع دریافتی])-I14</f>
        <v>0</v>
      </c>
      <c r="J19" s="145">
        <f>SUBTOTAL(109,FinancialAccountsTable[مانده])-J14</f>
        <v>0</v>
      </c>
      <c r="K19" s="147"/>
      <c r="L19" s="147"/>
      <c r="M19" s="147"/>
      <c r="N19" s="148"/>
      <c r="O19" s="148"/>
      <c r="P19" s="148"/>
      <c r="Q19" s="148"/>
      <c r="R19" s="148"/>
    </row>
    <row r="20" spans="1:18">
      <c r="A20" s="112"/>
    </row>
    <row r="21" spans="1:18">
      <c r="A21" s="112"/>
    </row>
    <row r="22" spans="1:18">
      <c r="A22" s="112"/>
    </row>
    <row r="23" spans="1:18" ht="15.75">
      <c r="A23" s="112"/>
      <c r="D23" s="125"/>
      <c r="E23" s="125"/>
      <c r="F23" s="125"/>
      <c r="G23" s="150"/>
      <c r="H23" s="118"/>
      <c r="I23" s="151"/>
      <c r="J23" s="152"/>
      <c r="K23" s="125"/>
    </row>
    <row r="24" spans="1:18">
      <c r="D24" s="339"/>
      <c r="I24" s="149"/>
      <c r="K24" s="149"/>
    </row>
    <row r="25" spans="1:18">
      <c r="D25" s="340"/>
      <c r="E25" s="340"/>
      <c r="F25" s="340"/>
      <c r="G25" s="340"/>
      <c r="H25" s="340"/>
      <c r="I25" s="340"/>
      <c r="J25" s="340"/>
      <c r="K25" s="340"/>
      <c r="L25" s="340"/>
    </row>
    <row r="26" spans="1:18">
      <c r="D26" s="340"/>
      <c r="E26" s="340"/>
      <c r="F26" s="340"/>
      <c r="G26" s="340"/>
      <c r="H26" s="340"/>
      <c r="I26" s="340"/>
      <c r="J26" s="340"/>
      <c r="K26" s="340"/>
      <c r="L26" s="340"/>
    </row>
    <row r="27" spans="1:18">
      <c r="D27" s="340"/>
      <c r="E27" s="340"/>
      <c r="F27" s="340"/>
      <c r="G27" s="340"/>
      <c r="H27" s="340"/>
      <c r="I27" s="340"/>
      <c r="J27" s="340"/>
      <c r="K27" s="340"/>
      <c r="L27" s="340"/>
    </row>
    <row r="28" spans="1:18">
      <c r="D28" s="340"/>
      <c r="E28" s="340"/>
      <c r="F28" s="340"/>
      <c r="G28" s="340"/>
      <c r="H28" s="340"/>
      <c r="I28" s="340"/>
      <c r="J28" s="340"/>
      <c r="K28" s="340"/>
      <c r="L28" s="340"/>
    </row>
    <row r="29" spans="1:18">
      <c r="D29" s="340"/>
      <c r="E29" s="340"/>
      <c r="F29" s="340"/>
      <c r="G29" s="340"/>
      <c r="H29" s="340"/>
      <c r="I29" s="340"/>
      <c r="J29" s="340"/>
      <c r="K29" s="340"/>
      <c r="L29" s="34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>
      <selection activeCell="A9" sqref="A9"/>
    </sheetView>
  </sheetViews>
  <sheetFormatPr defaultRowHeight="15"/>
  <cols>
    <col min="1" max="1" width="29.7109375" style="119" customWidth="1"/>
    <col min="2" max="2" width="0.7109375" style="120" customWidth="1"/>
    <col min="3" max="3" width="4.5703125" style="118" customWidth="1"/>
    <col min="4" max="4" width="4.5703125" style="326" customWidth="1"/>
    <col min="5" max="5" width="18.42578125" style="326" customWidth="1"/>
    <col min="6" max="6" width="4.5703125" style="326" customWidth="1"/>
    <col min="7" max="8" width="18.28515625" style="326" customWidth="1"/>
    <col min="9" max="9" width="4.5703125" style="326" customWidth="1"/>
    <col min="10" max="10" width="4.5703125" style="36" customWidth="1"/>
    <col min="11" max="11" width="9.140625" style="370"/>
    <col min="12" max="12" width="18.28515625" style="370" customWidth="1"/>
    <col min="13" max="13" width="4.5703125" style="257" customWidth="1"/>
    <col min="14" max="15" width="18.28515625" style="257" customWidth="1"/>
    <col min="16" max="16" width="4.5703125" style="257" customWidth="1"/>
    <col min="17" max="17" width="4.5703125" style="118" customWidth="1"/>
    <col min="18" max="18" width="4.5703125" style="337" customWidth="1"/>
    <col min="19" max="19" width="36.5703125" style="337" customWidth="1"/>
    <col min="20" max="20" width="4.5703125" style="337" customWidth="1"/>
    <col min="21" max="21" width="4.5703125" style="36" customWidth="1"/>
    <col min="22" max="22" width="4.5703125" style="343" customWidth="1"/>
    <col min="23" max="23" width="36.5703125" style="342" customWidth="1"/>
    <col min="24" max="24" width="4.5703125" style="341" customWidth="1"/>
    <col min="25" max="25" width="4.5703125" style="36" customWidth="1"/>
    <col min="26" max="26" width="4.5703125" style="346" customWidth="1"/>
    <col min="27" max="27" width="36.5703125" style="346" customWidth="1"/>
    <col min="28" max="28" width="4.5703125" style="346" customWidth="1"/>
    <col min="29" max="29" width="4.5703125" style="36" customWidth="1"/>
    <col min="30" max="30" width="4.5703125" style="348" customWidth="1"/>
    <col min="31" max="31" width="18.28515625" customWidth="1"/>
    <col min="32" max="32" width="18.28515625" style="118" customWidth="1"/>
    <col min="33" max="33" width="18.28515625" style="121" customWidth="1"/>
    <col min="34" max="34" width="4.5703125" style="349" customWidth="1"/>
    <col min="35" max="37" width="18.28515625" style="118" customWidth="1"/>
    <col min="38" max="38" width="4.5703125" style="349" customWidth="1"/>
    <col min="39" max="40" width="18.28515625" style="118" customWidth="1"/>
    <col min="41" max="41" width="4.5703125" style="349" customWidth="1"/>
    <col min="42" max="43" width="18.28515625" style="118" customWidth="1"/>
    <col min="44" max="44" width="4.5703125" style="349" customWidth="1"/>
    <col min="45" max="46" width="18.28515625" style="118" customWidth="1"/>
    <col min="47" max="47" width="4.5703125" style="349" customWidth="1"/>
    <col min="48" max="48" width="18.28515625" style="118" customWidth="1"/>
    <col min="49" max="49" width="5.42578125" style="118" customWidth="1"/>
    <col min="50" max="16384" width="9.140625" style="118"/>
  </cols>
  <sheetData>
    <row r="1" spans="1:46" ht="24" customHeight="1" thickBot="1">
      <c r="A1" s="115" t="s">
        <v>381</v>
      </c>
      <c r="B1" s="116"/>
      <c r="C1" s="117"/>
      <c r="K1" s="257"/>
      <c r="L1" s="257"/>
      <c r="Q1" s="36"/>
      <c r="R1" s="336"/>
      <c r="S1" s="336"/>
      <c r="T1" s="336"/>
      <c r="V1" s="341"/>
      <c r="AE1" s="348"/>
      <c r="AF1" s="349"/>
      <c r="AG1" s="350"/>
      <c r="AI1" s="349"/>
      <c r="AJ1" s="349"/>
      <c r="AK1" s="349"/>
      <c r="AM1" s="349"/>
      <c r="AN1" s="349"/>
      <c r="AP1" s="349"/>
      <c r="AQ1" s="349"/>
      <c r="AS1" s="349"/>
      <c r="AT1" s="349"/>
    </row>
    <row r="2" spans="1:46" ht="24" customHeight="1" thickBot="1">
      <c r="A2" s="112"/>
      <c r="E2" s="327" t="s">
        <v>1148</v>
      </c>
      <c r="F2" s="328"/>
      <c r="G2" s="328"/>
      <c r="H2" s="329"/>
      <c r="K2" s="257"/>
      <c r="L2" s="323" t="s">
        <v>1147</v>
      </c>
      <c r="M2" s="324"/>
      <c r="N2" s="324"/>
      <c r="O2" s="325"/>
      <c r="S2" s="338" t="s">
        <v>1150</v>
      </c>
      <c r="W2" s="344" t="s">
        <v>1153</v>
      </c>
      <c r="AA2" s="347" t="s">
        <v>1155</v>
      </c>
      <c r="AE2" s="353" t="s">
        <v>1160</v>
      </c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5"/>
    </row>
    <row r="3" spans="1:46" ht="18.75">
      <c r="A3" s="134" t="s">
        <v>8</v>
      </c>
      <c r="K3" s="257"/>
      <c r="L3" s="257"/>
      <c r="M3" s="320"/>
      <c r="O3" s="321"/>
      <c r="AE3" s="348"/>
      <c r="AF3" s="349"/>
      <c r="AG3" s="350"/>
      <c r="AI3" s="349"/>
      <c r="AJ3" s="349"/>
      <c r="AK3" s="349"/>
      <c r="AM3" s="349"/>
      <c r="AN3" s="349"/>
      <c r="AP3" s="349"/>
      <c r="AQ3" s="349"/>
      <c r="AS3" s="349"/>
      <c r="AT3" s="349"/>
    </row>
    <row r="4" spans="1:46" ht="30" customHeight="1">
      <c r="A4" s="135" t="s">
        <v>113</v>
      </c>
      <c r="E4" s="333" t="s">
        <v>1149</v>
      </c>
      <c r="G4" s="330" t="s">
        <v>377</v>
      </c>
      <c r="H4" s="330"/>
      <c r="K4" s="257"/>
      <c r="L4" s="335" t="s">
        <v>134</v>
      </c>
      <c r="M4" s="322"/>
      <c r="N4" s="334" t="s">
        <v>372</v>
      </c>
      <c r="O4" s="334"/>
      <c r="S4" s="122" t="s">
        <v>989</v>
      </c>
      <c r="W4" s="62" t="s">
        <v>1073</v>
      </c>
      <c r="AA4" s="62" t="s">
        <v>1116</v>
      </c>
      <c r="AE4" s="290" t="s">
        <v>346</v>
      </c>
      <c r="AF4" s="290"/>
      <c r="AG4" s="290"/>
      <c r="AH4" s="351"/>
      <c r="AI4" s="291" t="s">
        <v>347</v>
      </c>
      <c r="AJ4" s="291"/>
      <c r="AK4" s="291"/>
      <c r="AM4" s="292" t="s">
        <v>369</v>
      </c>
      <c r="AN4" s="292"/>
      <c r="AP4" s="256" t="s">
        <v>348</v>
      </c>
      <c r="AQ4" s="256"/>
      <c r="AS4" s="257" t="s">
        <v>349</v>
      </c>
      <c r="AT4" s="257"/>
    </row>
    <row r="5" spans="1:46" ht="18.75">
      <c r="A5" s="138" t="s">
        <v>1184</v>
      </c>
      <c r="E5" s="62" t="s">
        <v>1065</v>
      </c>
      <c r="G5" s="331" t="s">
        <v>122</v>
      </c>
      <c r="H5" s="332" t="s">
        <v>366</v>
      </c>
      <c r="K5" s="257"/>
      <c r="L5" s="123" t="s">
        <v>275</v>
      </c>
      <c r="M5" s="322"/>
      <c r="N5" s="122" t="s">
        <v>370</v>
      </c>
      <c r="O5" s="122" t="s">
        <v>371</v>
      </c>
      <c r="S5" s="122" t="s">
        <v>971</v>
      </c>
      <c r="W5" s="62" t="s">
        <v>1072</v>
      </c>
      <c r="AA5" s="62" t="s">
        <v>1109</v>
      </c>
      <c r="AE5" s="122" t="s">
        <v>350</v>
      </c>
      <c r="AF5" s="124" t="s">
        <v>363</v>
      </c>
      <c r="AG5" s="124" t="s">
        <v>362</v>
      </c>
      <c r="AH5" s="350"/>
      <c r="AI5" s="122" t="s">
        <v>351</v>
      </c>
      <c r="AJ5" s="122" t="s">
        <v>363</v>
      </c>
      <c r="AK5" s="122" t="s">
        <v>362</v>
      </c>
      <c r="AM5" s="122" t="s">
        <v>352</v>
      </c>
      <c r="AN5" s="122" t="s">
        <v>378</v>
      </c>
      <c r="AP5" s="122" t="s">
        <v>353</v>
      </c>
      <c r="AQ5" s="122" t="s">
        <v>378</v>
      </c>
      <c r="AS5" s="153" t="s">
        <v>354</v>
      </c>
      <c r="AT5" s="153" t="s">
        <v>378</v>
      </c>
    </row>
    <row r="6" spans="1:46" ht="30" customHeight="1" thickBot="1">
      <c r="A6" s="384" t="s">
        <v>1185</v>
      </c>
      <c r="E6" s="62" t="s">
        <v>1066</v>
      </c>
      <c r="G6" s="122">
        <v>0</v>
      </c>
      <c r="H6" s="124" t="s">
        <v>368</v>
      </c>
      <c r="K6" s="257"/>
      <c r="L6" s="123" t="s">
        <v>299</v>
      </c>
      <c r="M6" s="322"/>
      <c r="N6" s="122" t="s">
        <v>144</v>
      </c>
      <c r="O6" s="122"/>
      <c r="S6" s="122" t="s">
        <v>966</v>
      </c>
      <c r="W6" s="262" t="s">
        <v>966</v>
      </c>
      <c r="AA6" s="62" t="s">
        <v>1104</v>
      </c>
      <c r="AE6" s="124" t="s">
        <v>364</v>
      </c>
      <c r="AF6" s="124" t="s">
        <v>355</v>
      </c>
      <c r="AG6" s="122" t="str">
        <f>CONCATENATE(تقویم!$A$2,HolidayTable[[#This Row],[روز و ماه]])</f>
        <v>14000101</v>
      </c>
      <c r="AI6" s="154" t="s">
        <v>404</v>
      </c>
      <c r="AJ6" s="124" t="s">
        <v>356</v>
      </c>
      <c r="AK6" s="122" t="str">
        <f>CONCATENATE(تقویم!$A$2,EventsTable[[#This Row],[روز و ماه]])</f>
        <v>14000102</v>
      </c>
      <c r="AM6" s="124" t="s">
        <v>773</v>
      </c>
      <c r="AN6" s="124" t="s">
        <v>774</v>
      </c>
      <c r="AP6" s="154" t="s">
        <v>809</v>
      </c>
      <c r="AQ6" s="124" t="s">
        <v>355</v>
      </c>
      <c r="AS6" s="124" t="s">
        <v>890</v>
      </c>
      <c r="AT6" s="124" t="s">
        <v>355</v>
      </c>
    </row>
    <row r="7" spans="1:46" ht="30.75" thickTop="1">
      <c r="A7" s="386" t="s">
        <v>1186</v>
      </c>
      <c r="E7" s="62" t="s">
        <v>1067</v>
      </c>
      <c r="G7" s="122">
        <v>1</v>
      </c>
      <c r="H7" s="124"/>
      <c r="K7" s="257"/>
      <c r="L7" s="123" t="s">
        <v>135</v>
      </c>
      <c r="N7" s="122" t="s">
        <v>373</v>
      </c>
      <c r="O7" s="122"/>
      <c r="S7" s="122" t="s">
        <v>972</v>
      </c>
      <c r="W7" s="62" t="s">
        <v>220</v>
      </c>
      <c r="AE7" s="124" t="s">
        <v>365</v>
      </c>
      <c r="AF7" s="124" t="s">
        <v>356</v>
      </c>
      <c r="AG7" s="122" t="str">
        <f>CONCATENATE(تقویم!$A$2,HolidayTable[[#This Row],[روز و ماه]])</f>
        <v>14000102</v>
      </c>
      <c r="AI7" s="154" t="s">
        <v>405</v>
      </c>
      <c r="AJ7" s="124" t="s">
        <v>356</v>
      </c>
      <c r="AK7" s="122" t="str">
        <f>CONCATENATE(تقویم!$A$2,EventsTable[[#This Row],[روز و ماه]])</f>
        <v>14000102</v>
      </c>
      <c r="AM7" s="124" t="s">
        <v>775</v>
      </c>
      <c r="AN7" s="124" t="s">
        <v>776</v>
      </c>
      <c r="AP7" s="154" t="s">
        <v>810</v>
      </c>
      <c r="AQ7" s="124" t="s">
        <v>811</v>
      </c>
      <c r="AS7" s="124" t="s">
        <v>891</v>
      </c>
      <c r="AT7" s="124" t="s">
        <v>892</v>
      </c>
    </row>
    <row r="8" spans="1:46" ht="45">
      <c r="A8" s="389" t="s">
        <v>1187</v>
      </c>
      <c r="E8" s="62" t="s">
        <v>1068</v>
      </c>
      <c r="G8" s="122">
        <v>2</v>
      </c>
      <c r="H8" s="124"/>
      <c r="K8" s="257"/>
      <c r="L8" s="257"/>
      <c r="N8" s="122" t="s">
        <v>374</v>
      </c>
      <c r="O8" s="122"/>
      <c r="S8" s="122" t="s">
        <v>973</v>
      </c>
      <c r="W8" s="62" t="s">
        <v>967</v>
      </c>
      <c r="AA8" s="62" t="s">
        <v>1117</v>
      </c>
      <c r="AE8" s="124" t="s">
        <v>365</v>
      </c>
      <c r="AF8" s="124" t="s">
        <v>357</v>
      </c>
      <c r="AG8" s="122" t="str">
        <f>CONCATENATE(تقویم!$A$2,HolidayTable[[#This Row],[روز و ماه]])</f>
        <v>14000103</v>
      </c>
      <c r="AI8" s="154" t="s">
        <v>406</v>
      </c>
      <c r="AJ8" s="124" t="s">
        <v>407</v>
      </c>
      <c r="AK8" s="122" t="str">
        <f>CONCATENATE(تقویم!$A$2,EventsTable[[#This Row],[روز و ماه]])</f>
        <v>14000106</v>
      </c>
      <c r="AM8" s="124" t="s">
        <v>777</v>
      </c>
      <c r="AN8" s="124" t="s">
        <v>778</v>
      </c>
      <c r="AP8" s="154" t="s">
        <v>812</v>
      </c>
      <c r="AQ8" s="124" t="s">
        <v>359</v>
      </c>
      <c r="AS8" s="124" t="s">
        <v>893</v>
      </c>
      <c r="AT8" s="124" t="s">
        <v>894</v>
      </c>
    </row>
    <row r="9" spans="1:46" ht="45">
      <c r="A9" s="387" t="s">
        <v>7</v>
      </c>
      <c r="E9" s="62" t="s">
        <v>1069</v>
      </c>
      <c r="G9" s="122">
        <v>3</v>
      </c>
      <c r="H9" s="124"/>
      <c r="K9" s="257"/>
      <c r="L9" s="108" t="s">
        <v>110</v>
      </c>
      <c r="N9" s="122" t="s">
        <v>375</v>
      </c>
      <c r="O9" s="122"/>
      <c r="S9" s="122" t="s">
        <v>975</v>
      </c>
      <c r="W9" s="62" t="s">
        <v>969</v>
      </c>
      <c r="AA9" s="62" t="s">
        <v>1118</v>
      </c>
      <c r="AE9" s="124" t="s">
        <v>365</v>
      </c>
      <c r="AF9" s="124" t="s">
        <v>358</v>
      </c>
      <c r="AG9" s="122" t="str">
        <f>CONCATENATE(تقویم!$A$2,HolidayTable[[#This Row],[روز و ماه]])</f>
        <v>14000104</v>
      </c>
      <c r="AI9" s="154" t="s">
        <v>408</v>
      </c>
      <c r="AJ9" s="124" t="s">
        <v>409</v>
      </c>
      <c r="AK9" s="122" t="str">
        <f>CONCATENATE(تقویم!$A$2,EventsTable[[#This Row],[روز و ماه]])</f>
        <v>14000107</v>
      </c>
      <c r="AM9" s="124" t="s">
        <v>779</v>
      </c>
      <c r="AN9" s="124" t="s">
        <v>459</v>
      </c>
      <c r="AP9" s="154" t="s">
        <v>813</v>
      </c>
      <c r="AQ9" s="124" t="s">
        <v>421</v>
      </c>
      <c r="AS9" s="124" t="s">
        <v>895</v>
      </c>
      <c r="AT9" s="124" t="s">
        <v>896</v>
      </c>
    </row>
    <row r="10" spans="1:46" ht="60">
      <c r="A10" s="388" t="s">
        <v>100</v>
      </c>
      <c r="K10" s="257"/>
      <c r="L10" s="123" t="s">
        <v>111</v>
      </c>
      <c r="N10" s="122" t="s">
        <v>376</v>
      </c>
      <c r="O10" s="122"/>
      <c r="S10" s="122" t="s">
        <v>974</v>
      </c>
      <c r="W10" s="62" t="s">
        <v>968</v>
      </c>
      <c r="AA10" s="62" t="s">
        <v>1110</v>
      </c>
      <c r="AE10" s="124" t="s">
        <v>361</v>
      </c>
      <c r="AF10" s="124" t="s">
        <v>359</v>
      </c>
      <c r="AG10" s="122" t="str">
        <f>CONCATENATE(تقویم!$A$2,HolidayTable[[#This Row],[روز و ماه]])</f>
        <v>14000112</v>
      </c>
      <c r="AI10" s="154" t="s">
        <v>410</v>
      </c>
      <c r="AJ10" s="124" t="s">
        <v>401</v>
      </c>
      <c r="AK10" s="122" t="str">
        <f>CONCATENATE(تقویم!$A$2,EventsTable[[#This Row],[روز و ماه]])</f>
        <v>14000115</v>
      </c>
      <c r="AM10" s="124" t="s">
        <v>780</v>
      </c>
      <c r="AN10" s="124" t="s">
        <v>459</v>
      </c>
      <c r="AP10" s="154" t="s">
        <v>814</v>
      </c>
      <c r="AQ10" s="124" t="s">
        <v>437</v>
      </c>
      <c r="AS10" s="124" t="s">
        <v>897</v>
      </c>
      <c r="AT10" s="124" t="s">
        <v>898</v>
      </c>
    </row>
    <row r="11" spans="1:46" ht="30">
      <c r="A11" s="112"/>
      <c r="K11" s="257"/>
      <c r="L11" s="123" t="s">
        <v>112</v>
      </c>
      <c r="S11" s="122" t="s">
        <v>976</v>
      </c>
      <c r="W11" s="62" t="s">
        <v>991</v>
      </c>
      <c r="AA11" s="62" t="s">
        <v>1119</v>
      </c>
      <c r="AE11" s="124" t="s">
        <v>395</v>
      </c>
      <c r="AF11" s="124" t="s">
        <v>360</v>
      </c>
      <c r="AG11" s="122" t="str">
        <f>CONCATENATE(تقویم!$A$2,HolidayTable[[#This Row],[روز و ماه]])</f>
        <v>14000113</v>
      </c>
      <c r="AI11" s="155" t="s">
        <v>411</v>
      </c>
      <c r="AJ11" s="124" t="s">
        <v>412</v>
      </c>
      <c r="AK11" s="122" t="str">
        <f>CONCATENATE(تقویم!$A$2,EventsTable[[#This Row],[روز و ماه]])</f>
        <v>14000118</v>
      </c>
      <c r="AM11" s="124" t="s">
        <v>781</v>
      </c>
      <c r="AN11" s="124" t="s">
        <v>782</v>
      </c>
      <c r="AP11" s="124" t="s">
        <v>815</v>
      </c>
      <c r="AQ11" s="124" t="s">
        <v>816</v>
      </c>
      <c r="AS11" s="124" t="s">
        <v>899</v>
      </c>
      <c r="AT11" s="124" t="s">
        <v>535</v>
      </c>
    </row>
    <row r="12" spans="1:46" ht="90">
      <c r="A12" s="112"/>
      <c r="K12" s="257"/>
      <c r="L12" s="123" t="s">
        <v>136</v>
      </c>
      <c r="S12" s="122" t="s">
        <v>1007</v>
      </c>
      <c r="AE12" s="156" t="s">
        <v>396</v>
      </c>
      <c r="AF12" s="124" t="s">
        <v>400</v>
      </c>
      <c r="AG12" s="126" t="str">
        <f>CONCATENATE(تقویم!$A$2,HolidayTable[[#This Row],[روز و ماه]])</f>
        <v>14000314</v>
      </c>
      <c r="AI12" s="155" t="s">
        <v>413</v>
      </c>
      <c r="AJ12" s="124" t="s">
        <v>414</v>
      </c>
      <c r="AK12" s="126" t="str">
        <f>CONCATENATE(تقویم!$A$2,EventsTable[[#This Row],[روز و ماه]])</f>
        <v>14000119</v>
      </c>
      <c r="AM12" s="124" t="s">
        <v>783</v>
      </c>
      <c r="AN12" s="124" t="s">
        <v>784</v>
      </c>
      <c r="AP12" s="154" t="s">
        <v>817</v>
      </c>
      <c r="AQ12" s="124" t="s">
        <v>457</v>
      </c>
      <c r="AS12" s="124" t="s">
        <v>900</v>
      </c>
      <c r="AT12" s="124" t="s">
        <v>539</v>
      </c>
    </row>
    <row r="13" spans="1:46" ht="45">
      <c r="A13" s="112"/>
      <c r="K13" s="257"/>
      <c r="L13" s="257"/>
      <c r="S13" s="122" t="s">
        <v>1009</v>
      </c>
      <c r="W13" s="122" t="s">
        <v>984</v>
      </c>
      <c r="AA13" s="62" t="s">
        <v>1120</v>
      </c>
      <c r="AE13" s="124" t="s">
        <v>397</v>
      </c>
      <c r="AF13" s="124" t="s">
        <v>401</v>
      </c>
      <c r="AG13" s="126" t="str">
        <f>CONCATENATE(تقویم!$A$2,HolidayTable[[#This Row],[روز و ماه]])</f>
        <v>14000115</v>
      </c>
      <c r="AI13" s="155" t="s">
        <v>415</v>
      </c>
      <c r="AJ13" s="124" t="s">
        <v>416</v>
      </c>
      <c r="AK13" s="126" t="str">
        <f>CONCATENATE(تقویم!$A$2,EventsTable[[#This Row],[روز و ماه]])</f>
        <v>14000120</v>
      </c>
      <c r="AM13" s="124" t="s">
        <v>785</v>
      </c>
      <c r="AN13" s="124" t="s">
        <v>784</v>
      </c>
      <c r="AP13" s="154" t="s">
        <v>818</v>
      </c>
      <c r="AQ13" s="124" t="s">
        <v>465</v>
      </c>
      <c r="AS13" s="124" t="s">
        <v>901</v>
      </c>
      <c r="AT13" s="124" t="s">
        <v>554</v>
      </c>
    </row>
    <row r="14" spans="1:46" ht="60.75" thickBot="1">
      <c r="K14" s="257"/>
      <c r="L14" s="122" t="s">
        <v>142</v>
      </c>
      <c r="S14" s="236" t="s">
        <v>982</v>
      </c>
      <c r="W14" s="122" t="s">
        <v>121</v>
      </c>
      <c r="AA14" s="62" t="s">
        <v>1181</v>
      </c>
      <c r="AE14" s="124" t="s">
        <v>398</v>
      </c>
      <c r="AF14" s="124" t="s">
        <v>402</v>
      </c>
      <c r="AG14" s="126" t="str">
        <f>CONCATENATE(تقویم!$A$2,HolidayTable[[#This Row],[روز و ماه]])</f>
        <v>14001122</v>
      </c>
      <c r="AI14" s="155" t="s">
        <v>417</v>
      </c>
      <c r="AJ14" s="124" t="s">
        <v>416</v>
      </c>
      <c r="AK14" s="126" t="str">
        <f>CONCATENATE(تقویم!$A$2,EventsTable[[#This Row],[روز و ماه]])</f>
        <v>14000120</v>
      </c>
      <c r="AM14" s="124" t="s">
        <v>786</v>
      </c>
      <c r="AN14" s="124" t="s">
        <v>787</v>
      </c>
      <c r="AP14" s="154" t="s">
        <v>819</v>
      </c>
      <c r="AQ14" s="124" t="s">
        <v>820</v>
      </c>
      <c r="AS14" s="124" t="s">
        <v>902</v>
      </c>
      <c r="AT14" s="124" t="s">
        <v>569</v>
      </c>
    </row>
    <row r="15" spans="1:46" ht="60.75" thickTop="1">
      <c r="K15" s="257"/>
      <c r="L15" s="122" t="s">
        <v>146</v>
      </c>
      <c r="S15" s="122" t="s">
        <v>967</v>
      </c>
      <c r="W15" s="237" t="s">
        <v>1040</v>
      </c>
      <c r="AA15" s="62" t="s">
        <v>1105</v>
      </c>
      <c r="AE15" s="124" t="s">
        <v>399</v>
      </c>
      <c r="AF15" s="124" t="s">
        <v>403</v>
      </c>
      <c r="AG15" s="126" t="str">
        <f>CONCATENATE(تقویم!$A$2,HolidayTable[[#This Row],[روز و ماه]])</f>
        <v>14001229</v>
      </c>
      <c r="AI15" s="155" t="s">
        <v>418</v>
      </c>
      <c r="AJ15" s="124" t="s">
        <v>419</v>
      </c>
      <c r="AK15" s="126" t="str">
        <f>CONCATENATE(تقویم!$A$2,EventsTable[[#This Row],[روز و ماه]])</f>
        <v>14000121</v>
      </c>
      <c r="AM15" s="124" t="s">
        <v>788</v>
      </c>
      <c r="AN15" s="124" t="s">
        <v>787</v>
      </c>
      <c r="AP15" s="154" t="s">
        <v>821</v>
      </c>
      <c r="AQ15" s="124" t="s">
        <v>820</v>
      </c>
      <c r="AS15" s="124" t="s">
        <v>903</v>
      </c>
      <c r="AT15" s="124" t="s">
        <v>581</v>
      </c>
    </row>
    <row r="16" spans="1:46" ht="90">
      <c r="K16" s="257"/>
      <c r="L16" s="122" t="s">
        <v>143</v>
      </c>
      <c r="S16" s="122" t="s">
        <v>969</v>
      </c>
      <c r="W16" s="122" t="s">
        <v>1038</v>
      </c>
      <c r="AA16" s="62" t="s">
        <v>1122</v>
      </c>
      <c r="AE16" s="118"/>
      <c r="AF16" s="121"/>
      <c r="AG16" s="127"/>
      <c r="AI16" s="155" t="s">
        <v>420</v>
      </c>
      <c r="AJ16" s="124" t="s">
        <v>419</v>
      </c>
      <c r="AK16" s="126" t="str">
        <f>CONCATENATE(تقویم!$A$2,EventsTable[[#This Row],[روز و ماه]])</f>
        <v>14000121</v>
      </c>
      <c r="AM16" s="124" t="s">
        <v>789</v>
      </c>
      <c r="AN16" s="124" t="s">
        <v>577</v>
      </c>
      <c r="AP16" s="124" t="s">
        <v>822</v>
      </c>
      <c r="AQ16" s="124" t="s">
        <v>823</v>
      </c>
      <c r="AS16" s="124" t="s">
        <v>904</v>
      </c>
      <c r="AT16" s="124" t="s">
        <v>600</v>
      </c>
    </row>
    <row r="17" spans="11:46" ht="45">
      <c r="K17" s="257"/>
      <c r="L17" s="122" t="s">
        <v>144</v>
      </c>
      <c r="S17" s="122" t="s">
        <v>1008</v>
      </c>
      <c r="W17" s="122" t="s">
        <v>985</v>
      </c>
      <c r="AA17" s="62" t="s">
        <v>1123</v>
      </c>
      <c r="AE17" s="118"/>
      <c r="AF17" s="121"/>
      <c r="AG17" s="127"/>
      <c r="AI17" s="155" t="s">
        <v>806</v>
      </c>
      <c r="AJ17" s="124" t="s">
        <v>421</v>
      </c>
      <c r="AK17" s="126" t="str">
        <f>CONCATENATE(تقویم!$A$2,EventsTable[[#This Row],[روز و ماه]])</f>
        <v>14000125</v>
      </c>
      <c r="AM17" s="124" t="s">
        <v>790</v>
      </c>
      <c r="AN17" s="124" t="s">
        <v>625</v>
      </c>
      <c r="AP17" s="124" t="s">
        <v>824</v>
      </c>
      <c r="AQ17" s="124" t="s">
        <v>500</v>
      </c>
      <c r="AS17" s="124" t="s">
        <v>905</v>
      </c>
      <c r="AT17" s="124" t="s">
        <v>906</v>
      </c>
    </row>
    <row r="18" spans="11:46" ht="45">
      <c r="K18" s="257"/>
      <c r="L18" s="122" t="s">
        <v>300</v>
      </c>
      <c r="S18" s="122" t="s">
        <v>1010</v>
      </c>
      <c r="W18" s="122" t="s">
        <v>988</v>
      </c>
      <c r="AA18" s="62" t="s">
        <v>1121</v>
      </c>
      <c r="AE18" s="118"/>
      <c r="AF18" s="121"/>
      <c r="AG18" s="127"/>
      <c r="AI18" s="155" t="s">
        <v>422</v>
      </c>
      <c r="AJ18" s="124" t="s">
        <v>423</v>
      </c>
      <c r="AK18" s="126" t="str">
        <f>CONCATENATE(تقویم!$A$2,EventsTable[[#This Row],[روز و ماه]])</f>
        <v>14000129</v>
      </c>
      <c r="AM18" s="124" t="s">
        <v>791</v>
      </c>
      <c r="AN18" s="124" t="s">
        <v>792</v>
      </c>
      <c r="AP18" s="124" t="s">
        <v>825</v>
      </c>
      <c r="AQ18" s="124" t="s">
        <v>502</v>
      </c>
      <c r="AS18" s="124" t="s">
        <v>907</v>
      </c>
      <c r="AT18" s="124" t="s">
        <v>643</v>
      </c>
    </row>
    <row r="19" spans="11:46" ht="60">
      <c r="K19" s="257"/>
      <c r="L19" s="122" t="s">
        <v>147</v>
      </c>
      <c r="S19" s="122" t="s">
        <v>970</v>
      </c>
      <c r="AA19" s="62" t="s">
        <v>1124</v>
      </c>
      <c r="AE19" s="118"/>
      <c r="AF19" s="121"/>
      <c r="AG19" s="127"/>
      <c r="AI19" s="155" t="s">
        <v>424</v>
      </c>
      <c r="AJ19" s="124" t="s">
        <v>425</v>
      </c>
      <c r="AK19" s="126" t="str">
        <f>CONCATENATE(تقویم!$A$2,EventsTable[[#This Row],[روز و ماه]])</f>
        <v>14000201</v>
      </c>
      <c r="AM19" s="124" t="s">
        <v>793</v>
      </c>
      <c r="AN19" s="124" t="s">
        <v>794</v>
      </c>
      <c r="AP19" s="124" t="s">
        <v>826</v>
      </c>
      <c r="AQ19" s="124" t="s">
        <v>535</v>
      </c>
      <c r="AS19" s="124" t="s">
        <v>908</v>
      </c>
      <c r="AT19" s="124" t="s">
        <v>909</v>
      </c>
    </row>
    <row r="20" spans="11:46" ht="60">
      <c r="K20" s="257"/>
      <c r="L20" s="122" t="s">
        <v>77</v>
      </c>
      <c r="S20" s="122" t="s">
        <v>977</v>
      </c>
      <c r="AA20" s="62" t="s">
        <v>1111</v>
      </c>
      <c r="AE20" s="118"/>
      <c r="AF20" s="121"/>
      <c r="AG20" s="127"/>
      <c r="AI20" s="155" t="s">
        <v>426</v>
      </c>
      <c r="AJ20" s="124" t="s">
        <v>427</v>
      </c>
      <c r="AK20" s="126" t="str">
        <f>CONCATENATE(تقویم!$A$2,EventsTable[[#This Row],[روز و ماه]])</f>
        <v>14000202</v>
      </c>
      <c r="AM20" s="124" t="s">
        <v>795</v>
      </c>
      <c r="AN20" s="124" t="s">
        <v>796</v>
      </c>
      <c r="AP20" s="124" t="s">
        <v>827</v>
      </c>
      <c r="AQ20" s="124" t="s">
        <v>828</v>
      </c>
      <c r="AS20" s="124" t="s">
        <v>910</v>
      </c>
      <c r="AT20" s="124" t="s">
        <v>695</v>
      </c>
    </row>
    <row r="21" spans="11:46" ht="30">
      <c r="K21" s="257"/>
      <c r="L21" s="122" t="s">
        <v>145</v>
      </c>
      <c r="S21" s="124" t="s">
        <v>991</v>
      </c>
      <c r="AE21" s="118"/>
      <c r="AF21" s="121"/>
      <c r="AG21" s="127"/>
      <c r="AI21" s="155" t="s">
        <v>428</v>
      </c>
      <c r="AJ21" s="124" t="s">
        <v>427</v>
      </c>
      <c r="AK21" s="126" t="str">
        <f>CONCATENATE(تقویم!$A$2,EventsTable[[#This Row],[روز و ماه]])</f>
        <v>14000202</v>
      </c>
      <c r="AM21" s="124" t="s">
        <v>797</v>
      </c>
      <c r="AN21" s="124" t="s">
        <v>798</v>
      </c>
      <c r="AP21" s="124" t="s">
        <v>829</v>
      </c>
      <c r="AQ21" s="124" t="s">
        <v>595</v>
      </c>
      <c r="AS21" s="124" t="s">
        <v>911</v>
      </c>
      <c r="AT21" s="124" t="s">
        <v>700</v>
      </c>
    </row>
    <row r="22" spans="11:46" ht="30">
      <c r="K22" s="257"/>
      <c r="L22" s="257"/>
      <c r="S22" s="122" t="s">
        <v>968</v>
      </c>
      <c r="AA22" s="62" t="s">
        <v>1100</v>
      </c>
      <c r="AE22" s="118"/>
      <c r="AF22" s="121"/>
      <c r="AG22" s="127"/>
      <c r="AI22" s="155" t="s">
        <v>429</v>
      </c>
      <c r="AJ22" s="124" t="s">
        <v>427</v>
      </c>
      <c r="AK22" s="126" t="str">
        <f>CONCATENATE(تقویم!$A$2,EventsTable[[#This Row],[روز و ماه]])</f>
        <v>14000202</v>
      </c>
      <c r="AM22" s="124" t="s">
        <v>799</v>
      </c>
      <c r="AN22" s="124" t="s">
        <v>800</v>
      </c>
      <c r="AP22" s="124" t="s">
        <v>830</v>
      </c>
      <c r="AQ22" s="124" t="s">
        <v>595</v>
      </c>
      <c r="AS22" s="124" t="s">
        <v>912</v>
      </c>
      <c r="AT22" s="124" t="s">
        <v>700</v>
      </c>
    </row>
    <row r="23" spans="11:46" ht="45">
      <c r="K23" s="257"/>
      <c r="L23" s="257"/>
      <c r="AA23" s="62" t="s">
        <v>1125</v>
      </c>
      <c r="AE23" s="118"/>
      <c r="AF23" s="121"/>
      <c r="AG23" s="127"/>
      <c r="AI23" s="155" t="s">
        <v>430</v>
      </c>
      <c r="AJ23" s="124" t="s">
        <v>431</v>
      </c>
      <c r="AK23" s="126" t="str">
        <f>CONCATENATE(تقویم!$A$2,EventsTable[[#This Row],[روز و ماه]])</f>
        <v>14000203</v>
      </c>
      <c r="AM23" s="124" t="s">
        <v>801</v>
      </c>
      <c r="AN23" s="124" t="s">
        <v>802</v>
      </c>
      <c r="AP23" s="124" t="s">
        <v>831</v>
      </c>
      <c r="AQ23" s="124" t="s">
        <v>604</v>
      </c>
      <c r="AS23" s="124" t="s">
        <v>913</v>
      </c>
      <c r="AT23" s="124" t="s">
        <v>798</v>
      </c>
    </row>
    <row r="24" spans="11:46" ht="60">
      <c r="K24" s="257"/>
      <c r="L24" s="257"/>
      <c r="S24" s="122" t="s">
        <v>984</v>
      </c>
      <c r="AA24" s="62" t="s">
        <v>1112</v>
      </c>
      <c r="AE24" s="118"/>
      <c r="AF24" s="121"/>
      <c r="AG24" s="127"/>
      <c r="AI24" s="155" t="s">
        <v>432</v>
      </c>
      <c r="AJ24" s="124" t="s">
        <v>431</v>
      </c>
      <c r="AK24" s="126" t="str">
        <f>CONCATENATE(تقویم!$A$2,EventsTable[[#This Row],[روز و ماه]])</f>
        <v>14000203</v>
      </c>
      <c r="AM24" s="124" t="s">
        <v>803</v>
      </c>
      <c r="AN24" s="124" t="s">
        <v>804</v>
      </c>
      <c r="AP24" s="124" t="s">
        <v>832</v>
      </c>
      <c r="AQ24" s="124" t="s">
        <v>604</v>
      </c>
      <c r="AS24" s="124" t="s">
        <v>914</v>
      </c>
      <c r="AT24" s="124" t="s">
        <v>709</v>
      </c>
    </row>
    <row r="25" spans="11:46" ht="45">
      <c r="K25" s="257"/>
      <c r="L25" s="257"/>
      <c r="S25" s="122" t="s">
        <v>121</v>
      </c>
      <c r="AA25" s="62" t="s">
        <v>1126</v>
      </c>
      <c r="AE25" s="118"/>
      <c r="AF25" s="121"/>
      <c r="AG25" s="127"/>
      <c r="AI25" s="155" t="s">
        <v>433</v>
      </c>
      <c r="AJ25" s="124" t="s">
        <v>431</v>
      </c>
      <c r="AK25" s="126" t="str">
        <f>CONCATENATE(تقویم!$A$2,EventsTable[[#This Row],[روز و ماه]])</f>
        <v>14000203</v>
      </c>
      <c r="AM25" s="124" t="s">
        <v>805</v>
      </c>
      <c r="AN25" s="124" t="s">
        <v>761</v>
      </c>
      <c r="AP25" s="124" t="s">
        <v>833</v>
      </c>
      <c r="AQ25" s="124" t="s">
        <v>604</v>
      </c>
      <c r="AS25" s="124" t="s">
        <v>915</v>
      </c>
      <c r="AT25" s="124" t="s">
        <v>711</v>
      </c>
    </row>
    <row r="26" spans="11:46" ht="45">
      <c r="K26" s="257"/>
      <c r="L26" s="257"/>
      <c r="S26" s="237" t="s">
        <v>1040</v>
      </c>
      <c r="AE26" s="118"/>
      <c r="AF26" s="121"/>
      <c r="AG26" s="127"/>
      <c r="AI26" s="155" t="s">
        <v>434</v>
      </c>
      <c r="AJ26" s="124" t="s">
        <v>435</v>
      </c>
      <c r="AK26" s="126" t="str">
        <f>CONCATENATE(تقویم!$A$2,EventsTable[[#This Row],[روز و ماه]])</f>
        <v>14000205</v>
      </c>
      <c r="AP26" s="124" t="s">
        <v>834</v>
      </c>
      <c r="AQ26" s="124" t="s">
        <v>835</v>
      </c>
      <c r="AS26" s="124" t="s">
        <v>916</v>
      </c>
      <c r="AT26" s="124" t="s">
        <v>917</v>
      </c>
    </row>
    <row r="27" spans="11:46" ht="45">
      <c r="K27" s="257"/>
      <c r="L27" s="257"/>
      <c r="S27" s="122" t="s">
        <v>1038</v>
      </c>
      <c r="AA27" s="62" t="s">
        <v>1103</v>
      </c>
      <c r="AE27" s="118"/>
      <c r="AF27" s="121"/>
      <c r="AG27" s="127"/>
      <c r="AI27" s="155" t="s">
        <v>436</v>
      </c>
      <c r="AJ27" s="124" t="s">
        <v>437</v>
      </c>
      <c r="AK27" s="126" t="str">
        <f>CONCATENATE(تقویم!$A$2,EventsTable[[#This Row],[روز و ماه]])</f>
        <v>14000207</v>
      </c>
      <c r="AP27" s="124" t="s">
        <v>836</v>
      </c>
      <c r="AQ27" s="124" t="s">
        <v>837</v>
      </c>
      <c r="AS27" s="124" t="s">
        <v>918</v>
      </c>
      <c r="AT27" s="124" t="s">
        <v>919</v>
      </c>
    </row>
    <row r="28" spans="11:46" ht="60">
      <c r="K28" s="257"/>
      <c r="L28" s="257"/>
      <c r="S28" s="122" t="s">
        <v>985</v>
      </c>
      <c r="AA28" s="62" t="s">
        <v>1176</v>
      </c>
      <c r="AE28" s="118"/>
      <c r="AF28" s="121"/>
      <c r="AG28" s="127"/>
      <c r="AI28" s="155" t="s">
        <v>438</v>
      </c>
      <c r="AJ28" s="124" t="s">
        <v>439</v>
      </c>
      <c r="AK28" s="126" t="str">
        <f>CONCATENATE(تقویم!$A$2,EventsTable[[#This Row],[روز و ماه]])</f>
        <v>14000209</v>
      </c>
      <c r="AP28" s="124" t="s">
        <v>838</v>
      </c>
      <c r="AQ28" s="124" t="s">
        <v>839</v>
      </c>
      <c r="AS28" s="124" t="s">
        <v>920</v>
      </c>
      <c r="AT28" s="124" t="s">
        <v>921</v>
      </c>
    </row>
    <row r="29" spans="11:46" ht="30">
      <c r="K29" s="257"/>
      <c r="L29" s="257"/>
      <c r="S29" s="122" t="s">
        <v>986</v>
      </c>
      <c r="AA29" s="62" t="s">
        <v>1127</v>
      </c>
      <c r="AE29" s="118"/>
      <c r="AF29" s="121"/>
      <c r="AG29" s="127"/>
      <c r="AI29" s="155" t="s">
        <v>440</v>
      </c>
      <c r="AJ29" s="124" t="s">
        <v>441</v>
      </c>
      <c r="AK29" s="126" t="str">
        <f>CONCATENATE(تقویم!$A$2,EventsTable[[#This Row],[روز و ماه]])</f>
        <v>14000210</v>
      </c>
      <c r="AP29" s="124" t="s">
        <v>840</v>
      </c>
      <c r="AQ29" s="124" t="s">
        <v>625</v>
      </c>
      <c r="AS29" s="124" t="s">
        <v>922</v>
      </c>
      <c r="AT29" s="124" t="s">
        <v>923</v>
      </c>
    </row>
    <row r="30" spans="11:46" ht="30">
      <c r="K30" s="257"/>
      <c r="L30" s="257"/>
      <c r="S30" s="122" t="s">
        <v>1039</v>
      </c>
      <c r="AA30" s="62" t="s">
        <v>1113</v>
      </c>
      <c r="AE30" s="118"/>
      <c r="AF30" s="121"/>
      <c r="AG30" s="127"/>
      <c r="AI30" s="155" t="s">
        <v>442</v>
      </c>
      <c r="AJ30" s="124" t="s">
        <v>441</v>
      </c>
      <c r="AK30" s="126" t="str">
        <f>CONCATENATE(تقویم!$A$2,EventsTable[[#This Row],[روز و ماه]])</f>
        <v>14000210</v>
      </c>
      <c r="AP30" s="124" t="s">
        <v>841</v>
      </c>
      <c r="AQ30" s="124" t="s">
        <v>625</v>
      </c>
      <c r="AS30" s="124" t="s">
        <v>924</v>
      </c>
      <c r="AT30" s="124" t="s">
        <v>878</v>
      </c>
    </row>
    <row r="31" spans="11:46" ht="45">
      <c r="K31" s="257"/>
      <c r="L31" s="257"/>
      <c r="S31" s="122" t="s">
        <v>987</v>
      </c>
      <c r="AA31" s="62" t="s">
        <v>1108</v>
      </c>
      <c r="AE31" s="118"/>
      <c r="AF31" s="121"/>
      <c r="AG31" s="127"/>
      <c r="AI31" s="155" t="s">
        <v>443</v>
      </c>
      <c r="AJ31" s="124" t="s">
        <v>444</v>
      </c>
      <c r="AK31" s="126" t="str">
        <f>CONCATENATE(تقویم!$A$2,EventsTable[[#This Row],[روز و ماه]])</f>
        <v>14000212</v>
      </c>
      <c r="AP31" s="124" t="s">
        <v>842</v>
      </c>
      <c r="AQ31" s="124" t="s">
        <v>630</v>
      </c>
      <c r="AS31" s="124" t="s">
        <v>925</v>
      </c>
      <c r="AT31" s="124" t="s">
        <v>746</v>
      </c>
    </row>
    <row r="32" spans="11:46" ht="45">
      <c r="K32" s="257"/>
      <c r="L32" s="257"/>
      <c r="S32" s="122" t="s">
        <v>988</v>
      </c>
      <c r="AA32" s="62" t="s">
        <v>1182</v>
      </c>
      <c r="AE32" s="118"/>
      <c r="AF32" s="121"/>
      <c r="AG32" s="127"/>
      <c r="AI32" s="155" t="s">
        <v>445</v>
      </c>
      <c r="AJ32" s="124" t="s">
        <v>446</v>
      </c>
      <c r="AK32" s="126" t="str">
        <f>CONCATENATE(تقویم!$A$2,EventsTable[[#This Row],[روز و ماه]])</f>
        <v>14000215</v>
      </c>
      <c r="AP32" s="124" t="s">
        <v>843</v>
      </c>
      <c r="AQ32" s="124" t="s">
        <v>630</v>
      </c>
      <c r="AS32" s="124" t="s">
        <v>926</v>
      </c>
      <c r="AT32" s="124" t="s">
        <v>883</v>
      </c>
    </row>
    <row r="33" spans="11:46" ht="45">
      <c r="K33" s="257"/>
      <c r="L33" s="257"/>
      <c r="AE33" s="118"/>
      <c r="AF33" s="121"/>
      <c r="AG33" s="127"/>
      <c r="AI33" s="155" t="s">
        <v>447</v>
      </c>
      <c r="AJ33" s="124" t="s">
        <v>448</v>
      </c>
      <c r="AK33" s="126" t="str">
        <f>CONCATENATE(تقویم!$A$2,EventsTable[[#This Row],[روز و ماه]])</f>
        <v>14000218</v>
      </c>
      <c r="AP33" s="124" t="s">
        <v>844</v>
      </c>
      <c r="AQ33" s="124" t="s">
        <v>845</v>
      </c>
      <c r="AS33" s="124" t="s">
        <v>927</v>
      </c>
      <c r="AT33" s="124" t="s">
        <v>770</v>
      </c>
    </row>
    <row r="34" spans="11:46" ht="45">
      <c r="K34" s="257"/>
      <c r="L34" s="257"/>
      <c r="AA34" s="305" t="s">
        <v>1132</v>
      </c>
      <c r="AE34" s="118"/>
      <c r="AF34" s="121"/>
      <c r="AG34" s="127"/>
      <c r="AI34" s="155" t="s">
        <v>449</v>
      </c>
      <c r="AJ34" s="124" t="s">
        <v>450</v>
      </c>
      <c r="AK34" s="126" t="str">
        <f>CONCATENATE(تقویم!$A$2,EventsTable[[#This Row],[روز و ماه]])</f>
        <v>14000219</v>
      </c>
      <c r="AP34" s="124" t="s">
        <v>846</v>
      </c>
      <c r="AQ34" s="124" t="s">
        <v>847</v>
      </c>
    </row>
    <row r="35" spans="11:46" ht="60">
      <c r="K35" s="257"/>
      <c r="L35" s="257"/>
      <c r="AA35" s="305" t="s">
        <v>1133</v>
      </c>
      <c r="AE35" s="118"/>
      <c r="AF35" s="121"/>
      <c r="AG35" s="127"/>
      <c r="AI35" s="155" t="s">
        <v>451</v>
      </c>
      <c r="AJ35" s="124" t="s">
        <v>450</v>
      </c>
      <c r="AK35" s="126" t="str">
        <f>CONCATENATE(تقویم!$A$2,EventsTable[[#This Row],[روز و ماه]])</f>
        <v>14000219</v>
      </c>
      <c r="AP35" s="124" t="s">
        <v>848</v>
      </c>
      <c r="AQ35" s="124" t="s">
        <v>646</v>
      </c>
    </row>
    <row r="36" spans="11:46" ht="60">
      <c r="K36" s="257"/>
      <c r="L36" s="257"/>
      <c r="AA36" s="305" t="s">
        <v>1134</v>
      </c>
      <c r="AE36" s="118"/>
      <c r="AF36" s="121"/>
      <c r="AG36" s="127"/>
      <c r="AI36" s="155" t="s">
        <v>452</v>
      </c>
      <c r="AJ36" s="124" t="s">
        <v>453</v>
      </c>
      <c r="AK36" s="126" t="str">
        <f>CONCATENATE(تقویم!$A$2,EventsTable[[#This Row],[روز و ماه]])</f>
        <v>14000224</v>
      </c>
      <c r="AP36" s="124" t="s">
        <v>849</v>
      </c>
      <c r="AQ36" s="124" t="s">
        <v>850</v>
      </c>
    </row>
    <row r="37" spans="11:46" ht="45">
      <c r="AA37" s="305" t="s">
        <v>1114</v>
      </c>
      <c r="AE37" s="118"/>
      <c r="AF37" s="121"/>
      <c r="AG37" s="127"/>
      <c r="AI37" s="155" t="s">
        <v>454</v>
      </c>
      <c r="AJ37" s="124" t="s">
        <v>455</v>
      </c>
      <c r="AK37" s="126" t="str">
        <f>CONCATENATE(تقویم!$A$2,EventsTable[[#This Row],[روز و ماه]])</f>
        <v>14000225</v>
      </c>
      <c r="AP37" s="124" t="s">
        <v>851</v>
      </c>
      <c r="AQ37" s="124" t="s">
        <v>852</v>
      </c>
    </row>
    <row r="38" spans="11:46" ht="30">
      <c r="AA38" s="305" t="s">
        <v>1135</v>
      </c>
      <c r="AE38" s="118"/>
      <c r="AF38" s="121"/>
      <c r="AG38" s="127"/>
      <c r="AI38" s="155" t="s">
        <v>456</v>
      </c>
      <c r="AJ38" s="124" t="s">
        <v>457</v>
      </c>
      <c r="AK38" s="126" t="str">
        <f>CONCATENATE(تقویم!$A$2,EventsTable[[#This Row],[روز و ماه]])</f>
        <v>14000227</v>
      </c>
      <c r="AP38" s="124" t="s">
        <v>853</v>
      </c>
      <c r="AQ38" s="124" t="s">
        <v>794</v>
      </c>
    </row>
    <row r="39" spans="11:46" ht="30">
      <c r="AA39" s="305" t="s">
        <v>1136</v>
      </c>
      <c r="AE39" s="118"/>
      <c r="AF39" s="121"/>
      <c r="AG39" s="127"/>
      <c r="AI39" s="155" t="s">
        <v>458</v>
      </c>
      <c r="AJ39" s="124" t="s">
        <v>459</v>
      </c>
      <c r="AK39" s="126" t="str">
        <f>CONCATENATE(تقویم!$A$2,EventsTable[[#This Row],[روز و ماه]])</f>
        <v>14000228</v>
      </c>
      <c r="AP39" s="124" t="s">
        <v>854</v>
      </c>
      <c r="AQ39" s="124" t="s">
        <v>675</v>
      </c>
    </row>
    <row r="40" spans="11:46" ht="45">
      <c r="AA40" s="305" t="s">
        <v>1137</v>
      </c>
      <c r="AE40" s="118"/>
      <c r="AF40" s="121"/>
      <c r="AG40" s="127"/>
      <c r="AI40" s="155" t="s">
        <v>460</v>
      </c>
      <c r="AJ40" s="124" t="s">
        <v>461</v>
      </c>
      <c r="AK40" s="126" t="str">
        <f>CONCATENATE(تقویم!$A$2,EventsTable[[#This Row],[روز و ماه]])</f>
        <v>14000230</v>
      </c>
      <c r="AP40" s="124" t="s">
        <v>855</v>
      </c>
      <c r="AQ40" s="124" t="s">
        <v>856</v>
      </c>
    </row>
    <row r="41" spans="11:46" ht="30">
      <c r="AA41" s="305" t="s">
        <v>1106</v>
      </c>
      <c r="AE41" s="118"/>
      <c r="AF41" s="121"/>
      <c r="AG41" s="127"/>
      <c r="AI41" s="155" t="s">
        <v>462</v>
      </c>
      <c r="AJ41" s="124" t="s">
        <v>463</v>
      </c>
      <c r="AK41" s="126" t="str">
        <f>CONCATENATE(تقویم!$A$2,EventsTable[[#This Row],[روز و ماه]])</f>
        <v>14000231</v>
      </c>
      <c r="AP41" s="124" t="s">
        <v>857</v>
      </c>
      <c r="AQ41" s="124" t="s">
        <v>856</v>
      </c>
    </row>
    <row r="42" spans="11:46" ht="30">
      <c r="AA42" s="305" t="s">
        <v>1138</v>
      </c>
      <c r="AE42" s="118"/>
      <c r="AF42" s="121"/>
      <c r="AG42" s="127"/>
      <c r="AI42" s="155" t="s">
        <v>464</v>
      </c>
      <c r="AJ42" s="124" t="s">
        <v>465</v>
      </c>
      <c r="AK42" s="126" t="str">
        <f>CONCATENATE(تقویم!$A$2,EventsTable[[#This Row],[روز و ماه]])</f>
        <v>14000301</v>
      </c>
      <c r="AP42" s="124" t="s">
        <v>858</v>
      </c>
      <c r="AQ42" s="124" t="s">
        <v>685</v>
      </c>
    </row>
    <row r="43" spans="11:46" ht="45">
      <c r="AA43" s="305" t="s">
        <v>1115</v>
      </c>
      <c r="AE43" s="118"/>
      <c r="AF43" s="121"/>
      <c r="AG43" s="127"/>
      <c r="AI43" s="155" t="s">
        <v>466</v>
      </c>
      <c r="AJ43" s="124" t="s">
        <v>465</v>
      </c>
      <c r="AK43" s="126" t="str">
        <f>CONCATENATE(تقویم!$A$2,EventsTable[[#This Row],[روز و ماه]])</f>
        <v>14000301</v>
      </c>
      <c r="AP43" s="124" t="s">
        <v>859</v>
      </c>
      <c r="AQ43" s="124" t="s">
        <v>687</v>
      </c>
    </row>
    <row r="44" spans="11:46" ht="60">
      <c r="AE44" s="118"/>
      <c r="AF44" s="121"/>
      <c r="AG44" s="127"/>
      <c r="AI44" s="155" t="s">
        <v>467</v>
      </c>
      <c r="AJ44" s="124" t="s">
        <v>468</v>
      </c>
      <c r="AK44" s="126" t="str">
        <f>CONCATENATE(تقویم!$A$2,EventsTable[[#This Row],[روز و ماه]])</f>
        <v>14000303</v>
      </c>
      <c r="AP44" s="124" t="s">
        <v>858</v>
      </c>
      <c r="AQ44" s="124" t="s">
        <v>689</v>
      </c>
    </row>
    <row r="45" spans="11:46">
      <c r="AE45" s="118"/>
      <c r="AF45" s="121"/>
      <c r="AG45" s="127"/>
      <c r="AI45" s="155" t="s">
        <v>807</v>
      </c>
      <c r="AJ45" s="124" t="s">
        <v>469</v>
      </c>
      <c r="AK45" s="126" t="str">
        <f>CONCATENATE(تقویم!$A$2,EventsTable[[#This Row],[روز و ماه]])</f>
        <v>14000304</v>
      </c>
      <c r="AP45" s="124" t="s">
        <v>858</v>
      </c>
      <c r="AQ45" s="124" t="s">
        <v>860</v>
      </c>
    </row>
    <row r="46" spans="11:46" ht="60">
      <c r="AE46" s="118"/>
      <c r="AF46" s="121"/>
      <c r="AG46" s="127"/>
      <c r="AI46" s="155" t="s">
        <v>470</v>
      </c>
      <c r="AJ46" s="124" t="s">
        <v>469</v>
      </c>
      <c r="AK46" s="126" t="str">
        <f>CONCATENATE(تقویم!$A$2,EventsTable[[#This Row],[روز و ماه]])</f>
        <v>14000304</v>
      </c>
      <c r="AP46" s="124" t="s">
        <v>861</v>
      </c>
      <c r="AQ46" s="124" t="s">
        <v>862</v>
      </c>
    </row>
    <row r="47" spans="11:46" ht="45">
      <c r="AE47" s="118"/>
      <c r="AF47" s="121"/>
      <c r="AG47" s="127"/>
      <c r="AI47" s="155" t="s">
        <v>471</v>
      </c>
      <c r="AJ47" s="124" t="s">
        <v>472</v>
      </c>
      <c r="AK47" s="126" t="str">
        <f>CONCATENATE(تقویم!$A$2,EventsTable[[#This Row],[روز و ماه]])</f>
        <v>14000305</v>
      </c>
      <c r="AP47" s="124" t="s">
        <v>863</v>
      </c>
      <c r="AQ47" s="124" t="s">
        <v>716</v>
      </c>
    </row>
    <row r="48" spans="11:46" ht="45">
      <c r="AE48" s="118"/>
      <c r="AF48" s="121"/>
      <c r="AG48" s="127"/>
      <c r="AI48" s="155" t="s">
        <v>473</v>
      </c>
      <c r="AJ48" s="124" t="s">
        <v>474</v>
      </c>
      <c r="AK48" s="126" t="str">
        <f>CONCATENATE(تقویم!$A$2,EventsTable[[#This Row],[روز و ماه]])</f>
        <v>14000307</v>
      </c>
      <c r="AP48" s="124" t="s">
        <v>864</v>
      </c>
      <c r="AQ48" s="124" t="s">
        <v>865</v>
      </c>
    </row>
    <row r="49" spans="31:43" ht="60">
      <c r="AE49" s="118"/>
      <c r="AF49" s="121"/>
      <c r="AG49" s="127"/>
      <c r="AI49" s="155" t="s">
        <v>475</v>
      </c>
      <c r="AJ49" s="124" t="s">
        <v>400</v>
      </c>
      <c r="AK49" s="126" t="str">
        <f>CONCATENATE(تقویم!$A$2,EventsTable[[#This Row],[روز و ماه]])</f>
        <v>14000314</v>
      </c>
      <c r="AP49" s="124" t="s">
        <v>866</v>
      </c>
      <c r="AQ49" s="124" t="s">
        <v>867</v>
      </c>
    </row>
    <row r="50" spans="31:43" ht="75">
      <c r="AE50" s="118"/>
      <c r="AF50" s="121"/>
      <c r="AG50" s="127"/>
      <c r="AI50" s="155" t="s">
        <v>476</v>
      </c>
      <c r="AJ50" s="124" t="s">
        <v>477</v>
      </c>
      <c r="AK50" s="126" t="str">
        <f>CONCATENATE(تقویم!$A$2,EventsTable[[#This Row],[روز و ماه]])</f>
        <v>14000315</v>
      </c>
      <c r="AP50" s="124" t="s">
        <v>868</v>
      </c>
      <c r="AQ50" s="124" t="s">
        <v>869</v>
      </c>
    </row>
    <row r="51" spans="31:43" ht="45">
      <c r="AE51" s="118"/>
      <c r="AF51" s="121"/>
      <c r="AG51" s="127"/>
      <c r="AI51" s="155" t="s">
        <v>478</v>
      </c>
      <c r="AJ51" s="124" t="s">
        <v>479</v>
      </c>
      <c r="AK51" s="126" t="str">
        <f>CONCATENATE(تقویم!$A$2,EventsTable[[#This Row],[روز و ماه]])</f>
        <v>14000320</v>
      </c>
      <c r="AP51" s="124" t="s">
        <v>870</v>
      </c>
      <c r="AQ51" s="124" t="s">
        <v>869</v>
      </c>
    </row>
    <row r="52" spans="31:43" ht="60">
      <c r="AE52" s="118"/>
      <c r="AF52" s="121"/>
      <c r="AG52" s="127"/>
      <c r="AI52" s="155" t="s">
        <v>480</v>
      </c>
      <c r="AJ52" s="124" t="s">
        <v>479</v>
      </c>
      <c r="AK52" s="126" t="str">
        <f>CONCATENATE(تقویم!$A$2,EventsTable[[#This Row],[روز و ماه]])</f>
        <v>14000320</v>
      </c>
      <c r="AP52" s="124" t="s">
        <v>871</v>
      </c>
      <c r="AQ52" s="124" t="s">
        <v>731</v>
      </c>
    </row>
    <row r="53" spans="31:43" ht="60">
      <c r="AE53" s="118"/>
      <c r="AF53" s="121"/>
      <c r="AG53" s="127"/>
      <c r="AI53" s="155" t="s">
        <v>481</v>
      </c>
      <c r="AJ53" s="124" t="s">
        <v>482</v>
      </c>
      <c r="AK53" s="126" t="str">
        <f>CONCATENATE(تقویم!$A$2,EventsTable[[#This Row],[روز و ماه]])</f>
        <v>14000326</v>
      </c>
      <c r="AP53" s="124" t="s">
        <v>872</v>
      </c>
      <c r="AQ53" s="124" t="s">
        <v>873</v>
      </c>
    </row>
    <row r="54" spans="31:43" ht="90">
      <c r="AE54" s="118"/>
      <c r="AF54" s="121"/>
      <c r="AG54" s="127"/>
      <c r="AI54" s="155" t="s">
        <v>483</v>
      </c>
      <c r="AJ54" s="124" t="s">
        <v>484</v>
      </c>
      <c r="AK54" s="126" t="str">
        <f>CONCATENATE(تقویم!$A$2,EventsTable[[#This Row],[روز و ماه]])</f>
        <v>14000327</v>
      </c>
      <c r="AP54" s="124" t="s">
        <v>874</v>
      </c>
      <c r="AQ54" s="124" t="s">
        <v>743</v>
      </c>
    </row>
    <row r="55" spans="31:43" ht="60">
      <c r="AE55" s="118"/>
      <c r="AF55" s="121"/>
      <c r="AG55" s="127"/>
      <c r="AI55" s="155" t="s">
        <v>485</v>
      </c>
      <c r="AJ55" s="124" t="s">
        <v>486</v>
      </c>
      <c r="AK55" s="126" t="str">
        <f>CONCATENATE(تقویم!$A$2,EventsTable[[#This Row],[روز و ماه]])</f>
        <v>14000329</v>
      </c>
      <c r="AP55" s="124" t="s">
        <v>875</v>
      </c>
      <c r="AQ55" s="124" t="s">
        <v>876</v>
      </c>
    </row>
    <row r="56" spans="31:43" ht="75">
      <c r="AE56" s="118"/>
      <c r="AF56" s="121"/>
      <c r="AG56" s="127"/>
      <c r="AI56" s="155" t="s">
        <v>487</v>
      </c>
      <c r="AJ56" s="124" t="s">
        <v>488</v>
      </c>
      <c r="AK56" s="126" t="str">
        <f>CONCATENATE(تقویم!$A$2,EventsTable[[#This Row],[روز و ماه]])</f>
        <v>14000330</v>
      </c>
      <c r="AP56" s="124" t="s">
        <v>877</v>
      </c>
      <c r="AQ56" s="124" t="s">
        <v>878</v>
      </c>
    </row>
    <row r="57" spans="31:43" ht="30">
      <c r="AE57" s="118"/>
      <c r="AF57" s="121"/>
      <c r="AG57" s="127"/>
      <c r="AI57" s="155" t="s">
        <v>489</v>
      </c>
      <c r="AJ57" s="124" t="s">
        <v>490</v>
      </c>
      <c r="AK57" s="126" t="str">
        <f>CONCATENATE(تقویم!$A$2,EventsTable[[#This Row],[روز و ماه]])</f>
        <v>14000331</v>
      </c>
      <c r="AP57" s="124" t="s">
        <v>879</v>
      </c>
      <c r="AQ57" s="124" t="s">
        <v>878</v>
      </c>
    </row>
    <row r="58" spans="31:43" ht="90">
      <c r="AE58" s="118"/>
      <c r="AF58" s="121"/>
      <c r="AG58" s="127"/>
      <c r="AI58" s="155" t="s">
        <v>491</v>
      </c>
      <c r="AJ58" s="124" t="s">
        <v>490</v>
      </c>
      <c r="AK58" s="126" t="str">
        <f>CONCATENATE(تقویم!$A$2,EventsTable[[#This Row],[روز و ماه]])</f>
        <v>14000331</v>
      </c>
      <c r="AP58" s="124" t="s">
        <v>880</v>
      </c>
      <c r="AQ58" s="124" t="s">
        <v>881</v>
      </c>
    </row>
    <row r="59" spans="31:43" ht="90">
      <c r="AE59" s="118"/>
      <c r="AF59" s="121"/>
      <c r="AG59" s="127"/>
      <c r="AI59" s="155" t="s">
        <v>492</v>
      </c>
      <c r="AJ59" s="124" t="s">
        <v>493</v>
      </c>
      <c r="AK59" s="126" t="str">
        <f>CONCATENATE(تقویم!$A$2,EventsTable[[#This Row],[روز و ماه]])</f>
        <v>14000401</v>
      </c>
      <c r="AP59" s="124" t="s">
        <v>882</v>
      </c>
      <c r="AQ59" s="124" t="s">
        <v>883</v>
      </c>
    </row>
    <row r="60" spans="31:43">
      <c r="AE60" s="118"/>
      <c r="AF60" s="121"/>
      <c r="AG60" s="127"/>
      <c r="AI60" s="155" t="s">
        <v>494</v>
      </c>
      <c r="AJ60" s="124" t="s">
        <v>493</v>
      </c>
      <c r="AK60" s="126" t="str">
        <f>CONCATENATE(تقویم!$A$2,EventsTable[[#This Row],[روز و ماه]])</f>
        <v>14000401</v>
      </c>
      <c r="AP60" s="124" t="s">
        <v>884</v>
      </c>
      <c r="AQ60" s="124" t="s">
        <v>754</v>
      </c>
    </row>
    <row r="61" spans="31:43" ht="105">
      <c r="AE61" s="118"/>
      <c r="AF61" s="121"/>
      <c r="AG61" s="127"/>
      <c r="AI61" s="155" t="s">
        <v>495</v>
      </c>
      <c r="AJ61" s="124" t="s">
        <v>496</v>
      </c>
      <c r="AK61" s="126" t="str">
        <f>CONCATENATE(تقویم!$A$2,EventsTable[[#This Row],[روز و ماه]])</f>
        <v>14000407</v>
      </c>
      <c r="AP61" s="124" t="s">
        <v>885</v>
      </c>
      <c r="AQ61" s="124" t="s">
        <v>759</v>
      </c>
    </row>
    <row r="62" spans="31:43" ht="45">
      <c r="AE62" s="118"/>
      <c r="AF62" s="121"/>
      <c r="AG62" s="127"/>
      <c r="AI62" s="155" t="s">
        <v>497</v>
      </c>
      <c r="AJ62" s="124" t="s">
        <v>496</v>
      </c>
      <c r="AK62" s="126" t="str">
        <f>CONCATENATE(تقویم!$A$2,EventsTable[[#This Row],[روز و ماه]])</f>
        <v>14000407</v>
      </c>
      <c r="AP62" s="124" t="s">
        <v>886</v>
      </c>
      <c r="AQ62" s="124" t="s">
        <v>764</v>
      </c>
    </row>
    <row r="63" spans="31:43" ht="45">
      <c r="AE63" s="118"/>
      <c r="AF63" s="121"/>
      <c r="AG63" s="127"/>
      <c r="AI63" s="155" t="s">
        <v>498</v>
      </c>
      <c r="AJ63" s="124" t="s">
        <v>496</v>
      </c>
      <c r="AK63" s="126" t="str">
        <f>CONCATENATE(تقویم!$A$2,EventsTable[[#This Row],[روز و ماه]])</f>
        <v>14000407</v>
      </c>
      <c r="AP63" s="124" t="s">
        <v>887</v>
      </c>
      <c r="AQ63" s="124" t="s">
        <v>888</v>
      </c>
    </row>
    <row r="64" spans="31:43" ht="30">
      <c r="AE64" s="118"/>
      <c r="AF64" s="121"/>
      <c r="AG64" s="127"/>
      <c r="AI64" s="155" t="s">
        <v>499</v>
      </c>
      <c r="AJ64" s="124" t="s">
        <v>500</v>
      </c>
      <c r="AK64" s="126" t="str">
        <f>CONCATENATE(تقویم!$A$2,EventsTable[[#This Row],[روز و ماه]])</f>
        <v>14000408</v>
      </c>
      <c r="AP64" s="124" t="s">
        <v>889</v>
      </c>
      <c r="AQ64" s="124" t="s">
        <v>770</v>
      </c>
    </row>
    <row r="65" spans="31:37">
      <c r="AE65" s="118"/>
      <c r="AF65" s="121"/>
      <c r="AG65" s="127"/>
      <c r="AI65" s="155" t="s">
        <v>501</v>
      </c>
      <c r="AJ65" s="124" t="s">
        <v>502</v>
      </c>
      <c r="AK65" s="126" t="str">
        <f>CONCATENATE(تقویم!$A$2,EventsTable[[#This Row],[روز و ماه]])</f>
        <v>14000410</v>
      </c>
    </row>
    <row r="66" spans="31:37">
      <c r="AE66" s="118"/>
      <c r="AF66" s="121"/>
      <c r="AG66" s="127"/>
      <c r="AI66" s="155" t="s">
        <v>503</v>
      </c>
      <c r="AJ66" s="124" t="s">
        <v>502</v>
      </c>
      <c r="AK66" s="126" t="str">
        <f>CONCATENATE(تقویم!$A$2,EventsTable[[#This Row],[روز و ماه]])</f>
        <v>14000410</v>
      </c>
    </row>
    <row r="67" spans="31:37" ht="30">
      <c r="AE67" s="118"/>
      <c r="AF67" s="121"/>
      <c r="AG67" s="127"/>
      <c r="AI67" s="155" t="s">
        <v>504</v>
      </c>
      <c r="AJ67" s="124" t="s">
        <v>502</v>
      </c>
      <c r="AK67" s="126" t="str">
        <f>CONCATENATE(تقویم!$A$2,EventsTable[[#This Row],[روز و ماه]])</f>
        <v>14000410</v>
      </c>
    </row>
    <row r="68" spans="31:37" ht="60">
      <c r="AE68" s="118"/>
      <c r="AF68" s="121"/>
      <c r="AG68" s="127"/>
      <c r="AI68" s="155" t="s">
        <v>505</v>
      </c>
      <c r="AJ68" s="124" t="s">
        <v>506</v>
      </c>
      <c r="AK68" s="126" t="str">
        <f>CONCATENATE(تقویم!$A$2,EventsTable[[#This Row],[روز و ماه]])</f>
        <v>14000411</v>
      </c>
    </row>
    <row r="69" spans="31:37" ht="75">
      <c r="AE69" s="118"/>
      <c r="AF69" s="121"/>
      <c r="AG69" s="127"/>
      <c r="AI69" s="155" t="s">
        <v>507</v>
      </c>
      <c r="AJ69" s="124" t="s">
        <v>508</v>
      </c>
      <c r="AK69" s="126" t="str">
        <f>CONCATENATE(تقویم!$A$2,EventsTable[[#This Row],[روز و ماه]])</f>
        <v>14000412</v>
      </c>
    </row>
    <row r="70" spans="31:37" ht="30">
      <c r="AE70" s="118"/>
      <c r="AF70" s="121"/>
      <c r="AG70" s="127"/>
      <c r="AI70" s="155" t="s">
        <v>509</v>
      </c>
      <c r="AJ70" s="124" t="s">
        <v>508</v>
      </c>
      <c r="AK70" s="126" t="str">
        <f>CONCATENATE(تقویم!$A$2,EventsTable[[#This Row],[روز و ماه]])</f>
        <v>14000412</v>
      </c>
    </row>
    <row r="71" spans="31:37" ht="30">
      <c r="AE71" s="118"/>
      <c r="AF71" s="121"/>
      <c r="AG71" s="127"/>
      <c r="AI71" s="155" t="s">
        <v>510</v>
      </c>
      <c r="AJ71" s="124" t="s">
        <v>508</v>
      </c>
      <c r="AK71" s="126" t="str">
        <f>CONCATENATE(تقویم!$A$2,EventsTable[[#This Row],[روز و ماه]])</f>
        <v>14000412</v>
      </c>
    </row>
    <row r="72" spans="31:37">
      <c r="AE72" s="118"/>
      <c r="AF72" s="121"/>
      <c r="AG72" s="127"/>
      <c r="AI72" s="155" t="s">
        <v>928</v>
      </c>
      <c r="AJ72" s="124" t="s">
        <v>512</v>
      </c>
      <c r="AK72" s="126" t="str">
        <f>CONCATENATE(تقویم!$A$2,EventsTable[[#This Row],[روز و ماه]])</f>
        <v>14000414</v>
      </c>
    </row>
    <row r="73" spans="31:37">
      <c r="AE73" s="118"/>
      <c r="AF73" s="121"/>
      <c r="AG73" s="127"/>
      <c r="AI73" s="155" t="s">
        <v>511</v>
      </c>
      <c r="AJ73" s="124" t="s">
        <v>512</v>
      </c>
      <c r="AK73" s="126" t="str">
        <f>CONCATENATE(تقویم!$A$2,EventsTable[[#This Row],[روز و ماه]])</f>
        <v>14000414</v>
      </c>
    </row>
    <row r="74" spans="31:37">
      <c r="AE74" s="118"/>
      <c r="AF74" s="121"/>
      <c r="AG74" s="127"/>
      <c r="AI74" s="155" t="s">
        <v>513</v>
      </c>
      <c r="AJ74" s="124" t="s">
        <v>514</v>
      </c>
      <c r="AK74" s="126" t="str">
        <f>CONCATENATE(تقویم!$A$2,EventsTable[[#This Row],[روز و ماه]])</f>
        <v>14000416</v>
      </c>
    </row>
    <row r="75" spans="31:37" ht="30">
      <c r="AE75" s="118"/>
      <c r="AF75" s="121"/>
      <c r="AG75" s="127"/>
      <c r="AI75" s="155" t="s">
        <v>515</v>
      </c>
      <c r="AJ75" s="124" t="s">
        <v>516</v>
      </c>
      <c r="AK75" s="126" t="str">
        <f>CONCATENATE(تقویم!$A$2,EventsTable[[#This Row],[روز و ماه]])</f>
        <v>14000418</v>
      </c>
    </row>
    <row r="76" spans="31:37" ht="60">
      <c r="AE76" s="118"/>
      <c r="AF76" s="121"/>
      <c r="AG76" s="127"/>
      <c r="AI76" s="155" t="s">
        <v>517</v>
      </c>
      <c r="AJ76" s="124" t="s">
        <v>516</v>
      </c>
      <c r="AK76" s="126" t="str">
        <f>CONCATENATE(تقویم!$A$2,EventsTable[[#This Row],[روز و ماه]])</f>
        <v>14000418</v>
      </c>
    </row>
    <row r="77" spans="31:37">
      <c r="AE77" s="118"/>
      <c r="AF77" s="121"/>
      <c r="AG77" s="127"/>
      <c r="AI77" s="155" t="s">
        <v>518</v>
      </c>
      <c r="AJ77" s="124" t="s">
        <v>519</v>
      </c>
      <c r="AK77" s="126" t="str">
        <f>CONCATENATE(تقویم!$A$2,EventsTable[[#This Row],[روز و ماه]])</f>
        <v>14000421</v>
      </c>
    </row>
    <row r="78" spans="31:37" ht="60">
      <c r="AE78" s="118"/>
      <c r="AF78" s="121"/>
      <c r="AG78" s="127"/>
      <c r="AI78" s="155" t="s">
        <v>520</v>
      </c>
      <c r="AJ78" s="124" t="s">
        <v>519</v>
      </c>
      <c r="AK78" s="126" t="str">
        <f>CONCATENATE(تقویم!$A$2,EventsTable[[#This Row],[روز و ماه]])</f>
        <v>14000421</v>
      </c>
    </row>
    <row r="79" spans="31:37" ht="45">
      <c r="AE79" s="118"/>
      <c r="AF79" s="121"/>
      <c r="AG79" s="127"/>
      <c r="AI79" s="155" t="s">
        <v>521</v>
      </c>
      <c r="AJ79" s="124" t="s">
        <v>522</v>
      </c>
      <c r="AK79" s="126" t="str">
        <f>CONCATENATE(تقویم!$A$2,EventsTable[[#This Row],[روز و ماه]])</f>
        <v>14000423</v>
      </c>
    </row>
    <row r="80" spans="31:37" ht="45">
      <c r="AE80" s="118"/>
      <c r="AF80" s="121"/>
      <c r="AG80" s="127"/>
      <c r="AI80" s="155" t="s">
        <v>523</v>
      </c>
      <c r="AJ80" s="124" t="s">
        <v>522</v>
      </c>
      <c r="AK80" s="126" t="str">
        <f>CONCATENATE(تقویم!$A$2,EventsTable[[#This Row],[روز و ماه]])</f>
        <v>14000423</v>
      </c>
    </row>
    <row r="81" spans="31:37" ht="30">
      <c r="AE81" s="118"/>
      <c r="AF81" s="121"/>
      <c r="AG81" s="127"/>
      <c r="AI81" s="155" t="s">
        <v>524</v>
      </c>
      <c r="AJ81" s="124" t="s">
        <v>525</v>
      </c>
      <c r="AK81" s="126" t="str">
        <f>CONCATENATE(تقویم!$A$2,EventsTable[[#This Row],[روز و ماه]])</f>
        <v>14000425</v>
      </c>
    </row>
    <row r="82" spans="31:37" ht="45">
      <c r="AE82" s="118"/>
      <c r="AF82" s="121"/>
      <c r="AG82" s="127"/>
      <c r="AI82" s="155" t="s">
        <v>526</v>
      </c>
      <c r="AJ82" s="124" t="s">
        <v>527</v>
      </c>
      <c r="AK82" s="126" t="str">
        <f>CONCATENATE(تقویم!$A$2,EventsTable[[#This Row],[روز و ماه]])</f>
        <v>14000426</v>
      </c>
    </row>
    <row r="83" spans="31:37" ht="60">
      <c r="AE83" s="118"/>
      <c r="AF83" s="121"/>
      <c r="AG83" s="127"/>
      <c r="AI83" s="155" t="s">
        <v>528</v>
      </c>
      <c r="AJ83" s="124" t="s">
        <v>529</v>
      </c>
      <c r="AK83" s="126" t="str">
        <f>CONCATENATE(تقویم!$A$2,EventsTable[[#This Row],[روز و ماه]])</f>
        <v>14000427</v>
      </c>
    </row>
    <row r="84" spans="31:37" ht="30">
      <c r="AE84" s="118"/>
      <c r="AF84" s="121"/>
      <c r="AG84" s="127"/>
      <c r="AI84" s="155" t="s">
        <v>530</v>
      </c>
      <c r="AJ84" s="124" t="s">
        <v>531</v>
      </c>
      <c r="AK84" s="126" t="str">
        <f>CONCATENATE(تقویم!$A$2,EventsTable[[#This Row],[روز و ماه]])</f>
        <v>14000730</v>
      </c>
    </row>
    <row r="85" spans="31:37" ht="30">
      <c r="AE85" s="118"/>
      <c r="AF85" s="121"/>
      <c r="AG85" s="127"/>
      <c r="AI85" s="155" t="s">
        <v>532</v>
      </c>
      <c r="AJ85" s="124" t="s">
        <v>533</v>
      </c>
      <c r="AK85" s="126" t="str">
        <f>CONCATENATE(تقویم!$A$2,EventsTable[[#This Row],[روز و ماه]])</f>
        <v>14000504</v>
      </c>
    </row>
    <row r="86" spans="31:37" ht="45">
      <c r="AE86" s="118"/>
      <c r="AF86" s="121"/>
      <c r="AG86" s="127"/>
      <c r="AI86" s="155" t="s">
        <v>534</v>
      </c>
      <c r="AJ86" s="124" t="s">
        <v>535</v>
      </c>
      <c r="AK86" s="126" t="str">
        <f>CONCATENATE(تقویم!$A$2,EventsTable[[#This Row],[روز و ماه]])</f>
        <v>14000505</v>
      </c>
    </row>
    <row r="87" spans="31:37" ht="45">
      <c r="AE87" s="118"/>
      <c r="AF87" s="121"/>
      <c r="AG87" s="127"/>
      <c r="AI87" s="155" t="s">
        <v>536</v>
      </c>
      <c r="AJ87" s="124" t="s">
        <v>537</v>
      </c>
      <c r="AK87" s="126" t="str">
        <f>CONCATENATE(تقویم!$A$2,EventsTable[[#This Row],[روز و ماه]])</f>
        <v>14000506</v>
      </c>
    </row>
    <row r="88" spans="31:37" ht="45">
      <c r="AE88" s="118"/>
      <c r="AF88" s="121"/>
      <c r="AG88" s="127"/>
      <c r="AI88" s="155" t="s">
        <v>538</v>
      </c>
      <c r="AJ88" s="124" t="s">
        <v>539</v>
      </c>
      <c r="AK88" s="126" t="str">
        <f>CONCATENATE(تقویم!$A$2,EventsTable[[#This Row],[روز و ماه]])</f>
        <v>14000508</v>
      </c>
    </row>
    <row r="89" spans="31:37">
      <c r="AE89" s="118"/>
      <c r="AF89" s="121"/>
      <c r="AG89" s="127"/>
      <c r="AI89" s="155" t="s">
        <v>540</v>
      </c>
      <c r="AJ89" s="124" t="s">
        <v>541</v>
      </c>
      <c r="AK89" s="126" t="str">
        <f>CONCATENATE(تقویم!$A$2,EventsTable[[#This Row],[روز و ماه]])</f>
        <v>14000509</v>
      </c>
    </row>
    <row r="90" spans="31:37" ht="45">
      <c r="AE90" s="118"/>
      <c r="AF90" s="121"/>
      <c r="AG90" s="127"/>
      <c r="AI90" s="155" t="s">
        <v>542</v>
      </c>
      <c r="AJ90" s="124" t="s">
        <v>543</v>
      </c>
      <c r="AK90" s="126" t="str">
        <f>CONCATENATE(تقویم!$A$2,EventsTable[[#This Row],[روز و ماه]])</f>
        <v>14000511</v>
      </c>
    </row>
    <row r="91" spans="31:37" ht="30">
      <c r="AE91" s="118"/>
      <c r="AF91" s="121"/>
      <c r="AG91" s="127"/>
      <c r="AI91" s="155" t="s">
        <v>808</v>
      </c>
      <c r="AJ91" s="124" t="s">
        <v>544</v>
      </c>
      <c r="AK91" s="126" t="str">
        <f>CONCATENATE(تقویم!$A$2,EventsTable[[#This Row],[روز و ماه]])</f>
        <v>14000514</v>
      </c>
    </row>
    <row r="92" spans="31:37" ht="30">
      <c r="AE92" s="118"/>
      <c r="AF92" s="121"/>
      <c r="AG92" s="127"/>
      <c r="AI92" s="155" t="s">
        <v>545</v>
      </c>
      <c r="AJ92" s="124" t="s">
        <v>544</v>
      </c>
      <c r="AK92" s="126" t="str">
        <f>CONCATENATE(تقویم!$A$2,EventsTable[[#This Row],[روز و ماه]])</f>
        <v>14000514</v>
      </c>
    </row>
    <row r="93" spans="31:37" ht="75">
      <c r="AE93" s="118"/>
      <c r="AF93" s="121"/>
      <c r="AG93" s="127"/>
      <c r="AI93" s="155" t="s">
        <v>546</v>
      </c>
      <c r="AJ93" s="124" t="s">
        <v>547</v>
      </c>
      <c r="AK93" s="126" t="str">
        <f>CONCATENATE(تقویم!$A$2,EventsTable[[#This Row],[روز و ماه]])</f>
        <v>14000515</v>
      </c>
    </row>
    <row r="94" spans="31:37" ht="45">
      <c r="AE94" s="118"/>
      <c r="AF94" s="121"/>
      <c r="AG94" s="127"/>
      <c r="AI94" s="155" t="s">
        <v>548</v>
      </c>
      <c r="AJ94" s="124" t="s">
        <v>547</v>
      </c>
      <c r="AK94" s="126" t="str">
        <f>CONCATENATE(تقویم!$A$2,EventsTable[[#This Row],[روز و ماه]])</f>
        <v>14000515</v>
      </c>
    </row>
    <row r="95" spans="31:37" ht="30">
      <c r="AE95" s="118"/>
      <c r="AF95" s="121"/>
      <c r="AG95" s="127"/>
      <c r="AI95" s="155" t="s">
        <v>549</v>
      </c>
      <c r="AJ95" s="124" t="s">
        <v>550</v>
      </c>
      <c r="AK95" s="126" t="str">
        <f>CONCATENATE(تقویم!$A$2,EventsTable[[#This Row],[روز و ماه]])</f>
        <v>14000516</v>
      </c>
    </row>
    <row r="96" spans="31:37">
      <c r="AE96" s="118"/>
      <c r="AF96" s="121"/>
      <c r="AG96" s="127"/>
      <c r="AI96" s="155" t="s">
        <v>551</v>
      </c>
      <c r="AJ96" s="124" t="s">
        <v>552</v>
      </c>
      <c r="AK96" s="126" t="str">
        <f>CONCATENATE(تقویم!$A$2,EventsTable[[#This Row],[روز و ماه]])</f>
        <v>14000517</v>
      </c>
    </row>
    <row r="97" spans="31:37" ht="30">
      <c r="AE97" s="118"/>
      <c r="AF97" s="121"/>
      <c r="AG97" s="127"/>
      <c r="AI97" s="155" t="s">
        <v>553</v>
      </c>
      <c r="AJ97" s="124" t="s">
        <v>554</v>
      </c>
      <c r="AK97" s="126" t="str">
        <f>CONCATENATE(تقویم!$A$2,EventsTable[[#This Row],[روز و ماه]])</f>
        <v>14000518</v>
      </c>
    </row>
    <row r="98" spans="31:37" ht="30">
      <c r="AE98" s="118"/>
      <c r="AF98" s="121"/>
      <c r="AG98" s="127"/>
      <c r="AI98" s="155" t="s">
        <v>555</v>
      </c>
      <c r="AJ98" s="124" t="s">
        <v>556</v>
      </c>
      <c r="AK98" s="126" t="str">
        <f>CONCATENATE(تقویم!$A$2,EventsTable[[#This Row],[روز و ماه]])</f>
        <v>14000521</v>
      </c>
    </row>
    <row r="99" spans="31:37" ht="30">
      <c r="AE99" s="118"/>
      <c r="AF99" s="121"/>
      <c r="AG99" s="127"/>
      <c r="AI99" s="155" t="s">
        <v>557</v>
      </c>
      <c r="AJ99" s="124" t="s">
        <v>558</v>
      </c>
      <c r="AK99" s="126" t="str">
        <f>CONCATENATE(تقویم!$A$2,EventsTable[[#This Row],[روز و ماه]])</f>
        <v>14000522</v>
      </c>
    </row>
    <row r="100" spans="31:37">
      <c r="AE100" s="118"/>
      <c r="AF100" s="121"/>
      <c r="AG100" s="127"/>
      <c r="AI100" s="155" t="s">
        <v>559</v>
      </c>
      <c r="AJ100" s="124" t="s">
        <v>560</v>
      </c>
      <c r="AK100" s="126" t="str">
        <f>CONCATENATE(تقویم!$A$2,EventsTable[[#This Row],[روز و ماه]])</f>
        <v>14000523</v>
      </c>
    </row>
    <row r="101" spans="31:37" ht="45">
      <c r="AE101" s="118"/>
      <c r="AF101" s="121"/>
      <c r="AG101" s="127"/>
      <c r="AI101" s="155" t="s">
        <v>561</v>
      </c>
      <c r="AJ101" s="124" t="s">
        <v>562</v>
      </c>
      <c r="AK101" s="126" t="str">
        <f>CONCATENATE(تقویم!$A$2,EventsTable[[#This Row],[روز و ماه]])</f>
        <v>14000526</v>
      </c>
    </row>
    <row r="102" spans="31:37" ht="45">
      <c r="AE102" s="118"/>
      <c r="AF102" s="121"/>
      <c r="AG102" s="127"/>
      <c r="AI102" s="155" t="s">
        <v>563</v>
      </c>
      <c r="AJ102" s="124" t="s">
        <v>564</v>
      </c>
      <c r="AK102" s="126" t="str">
        <f>CONCATENATE(تقویم!$A$2,EventsTable[[#This Row],[روز و ماه]])</f>
        <v>14000528</v>
      </c>
    </row>
    <row r="103" spans="31:37" ht="60">
      <c r="AE103" s="118"/>
      <c r="AF103" s="121"/>
      <c r="AG103" s="127"/>
      <c r="AI103" s="155" t="s">
        <v>565</v>
      </c>
      <c r="AJ103" s="124" t="s">
        <v>564</v>
      </c>
      <c r="AK103" s="126" t="str">
        <f>CONCATENATE(تقویم!$A$2,EventsTable[[#This Row],[روز و ماه]])</f>
        <v>14000528</v>
      </c>
    </row>
    <row r="104" spans="31:37" ht="30">
      <c r="AE104" s="118"/>
      <c r="AF104" s="121"/>
      <c r="AG104" s="127"/>
      <c r="AI104" s="155" t="s">
        <v>566</v>
      </c>
      <c r="AJ104" s="124" t="s">
        <v>567</v>
      </c>
      <c r="AK104" s="126" t="str">
        <f>CONCATENATE(تقویم!$A$2,EventsTable[[#This Row],[روز و ماه]])</f>
        <v>14000530</v>
      </c>
    </row>
    <row r="105" spans="31:37">
      <c r="AE105" s="118"/>
      <c r="AF105" s="121"/>
      <c r="AG105" s="127"/>
      <c r="AI105" s="155" t="s">
        <v>568</v>
      </c>
      <c r="AJ105" s="124" t="s">
        <v>569</v>
      </c>
      <c r="AK105" s="126" t="str">
        <f>CONCATENATE(تقویم!$A$2,EventsTable[[#This Row],[روز و ماه]])</f>
        <v>14000531</v>
      </c>
    </row>
    <row r="106" spans="31:37" ht="30">
      <c r="AE106" s="118"/>
      <c r="AF106" s="121"/>
      <c r="AG106" s="127"/>
      <c r="AI106" s="155" t="s">
        <v>570</v>
      </c>
      <c r="AJ106" s="124" t="s">
        <v>571</v>
      </c>
      <c r="AK106" s="126" t="str">
        <f>CONCATENATE(تقویم!$A$2,EventsTable[[#This Row],[روز و ماه]])</f>
        <v>14000601</v>
      </c>
    </row>
    <row r="107" spans="31:37">
      <c r="AE107" s="118"/>
      <c r="AF107" s="121"/>
      <c r="AG107" s="127"/>
      <c r="AI107" s="155" t="s">
        <v>572</v>
      </c>
      <c r="AJ107" s="124" t="s">
        <v>571</v>
      </c>
      <c r="AK107" s="126" t="str">
        <f>CONCATENATE(تقویم!$A$2,EventsTable[[#This Row],[روز و ماه]])</f>
        <v>14000601</v>
      </c>
    </row>
    <row r="108" spans="31:37">
      <c r="AE108" s="118"/>
      <c r="AF108" s="121"/>
      <c r="AG108" s="127"/>
      <c r="AI108" s="155" t="s">
        <v>573</v>
      </c>
      <c r="AJ108" s="124" t="s">
        <v>574</v>
      </c>
      <c r="AK108" s="126" t="str">
        <f>CONCATENATE(تقویم!$A$2,EventsTable[[#This Row],[روز و ماه]])</f>
        <v>14000602</v>
      </c>
    </row>
    <row r="109" spans="31:37" ht="45">
      <c r="AE109" s="118"/>
      <c r="AF109" s="121"/>
      <c r="AG109" s="127"/>
      <c r="AI109" s="155" t="s">
        <v>575</v>
      </c>
      <c r="AJ109" s="124" t="s">
        <v>574</v>
      </c>
      <c r="AK109" s="126" t="str">
        <f>CONCATENATE(تقویم!$A$2,EventsTable[[#This Row],[روز و ماه]])</f>
        <v>14000602</v>
      </c>
    </row>
    <row r="110" spans="31:37" ht="45">
      <c r="AE110" s="118"/>
      <c r="AF110" s="121"/>
      <c r="AG110" s="127"/>
      <c r="AI110" s="155" t="s">
        <v>576</v>
      </c>
      <c r="AJ110" s="124" t="s">
        <v>577</v>
      </c>
      <c r="AK110" s="126" t="str">
        <f>CONCATENATE(تقویم!$A$2,EventsTable[[#This Row],[روز و ماه]])</f>
        <v>14000603</v>
      </c>
    </row>
    <row r="111" spans="31:37">
      <c r="AE111" s="118"/>
      <c r="AF111" s="121"/>
      <c r="AG111" s="127"/>
      <c r="AI111" s="155" t="s">
        <v>578</v>
      </c>
      <c r="AJ111" s="124" t="s">
        <v>579</v>
      </c>
      <c r="AK111" s="126" t="str">
        <f>CONCATENATE(تقویم!$A$2,EventsTable[[#This Row],[روز و ماه]])</f>
        <v>14000604</v>
      </c>
    </row>
    <row r="112" spans="31:37" ht="30">
      <c r="AE112" s="118"/>
      <c r="AF112" s="121"/>
      <c r="AG112" s="127"/>
      <c r="AI112" s="155" t="s">
        <v>580</v>
      </c>
      <c r="AJ112" s="124" t="s">
        <v>581</v>
      </c>
      <c r="AK112" s="126" t="str">
        <f>CONCATENATE(تقویم!$A$2,EventsTable[[#This Row],[روز و ماه]])</f>
        <v>14000605</v>
      </c>
    </row>
    <row r="113" spans="31:37">
      <c r="AE113" s="118"/>
      <c r="AF113" s="121"/>
      <c r="AG113" s="127"/>
      <c r="AI113" s="155" t="s">
        <v>582</v>
      </c>
      <c r="AJ113" s="124" t="s">
        <v>581</v>
      </c>
      <c r="AK113" s="126" t="str">
        <f>CONCATENATE(تقویم!$A$2,EventsTable[[#This Row],[روز و ماه]])</f>
        <v>14000605</v>
      </c>
    </row>
    <row r="114" spans="31:37">
      <c r="AE114" s="118"/>
      <c r="AF114" s="121"/>
      <c r="AG114" s="127"/>
      <c r="AI114" s="155" t="s">
        <v>583</v>
      </c>
      <c r="AJ114" s="124" t="s">
        <v>581</v>
      </c>
      <c r="AK114" s="126" t="str">
        <f>CONCATENATE(تقویم!$A$2,EventsTable[[#This Row],[روز و ماه]])</f>
        <v>14000605</v>
      </c>
    </row>
    <row r="115" spans="31:37" ht="105">
      <c r="AE115" s="118"/>
      <c r="AF115" s="121"/>
      <c r="AG115" s="127"/>
      <c r="AI115" s="155" t="s">
        <v>584</v>
      </c>
      <c r="AJ115" s="124" t="s">
        <v>585</v>
      </c>
      <c r="AK115" s="126" t="str">
        <f>CONCATENATE(تقویم!$A$2,EventsTable[[#This Row],[روز و ماه]])</f>
        <v>14000608</v>
      </c>
    </row>
    <row r="116" spans="31:37" ht="60">
      <c r="AE116" s="118"/>
      <c r="AF116" s="121"/>
      <c r="AG116" s="127"/>
      <c r="AI116" s="155" t="s">
        <v>586</v>
      </c>
      <c r="AJ116" s="124" t="s">
        <v>587</v>
      </c>
      <c r="AK116" s="126" t="str">
        <f>CONCATENATE(تقویم!$A$2,EventsTable[[#This Row],[روز و ماه]])</f>
        <v>14000610</v>
      </c>
    </row>
    <row r="117" spans="31:37" ht="75">
      <c r="AE117" s="118"/>
      <c r="AF117" s="121"/>
      <c r="AG117" s="127"/>
      <c r="AI117" s="155" t="s">
        <v>588</v>
      </c>
      <c r="AJ117" s="124" t="s">
        <v>587</v>
      </c>
      <c r="AK117" s="126" t="str">
        <f>CONCATENATE(تقویم!$A$2,EventsTable[[#This Row],[روز و ماه]])</f>
        <v>14000610</v>
      </c>
    </row>
    <row r="118" spans="31:37">
      <c r="AE118" s="118"/>
      <c r="AF118" s="121"/>
      <c r="AG118" s="127"/>
      <c r="AI118" s="155" t="s">
        <v>589</v>
      </c>
      <c r="AJ118" s="124" t="s">
        <v>590</v>
      </c>
      <c r="AK118" s="126" t="str">
        <f>CONCATENATE(تقویم!$A$2,EventsTable[[#This Row],[روز و ماه]])</f>
        <v>14000611</v>
      </c>
    </row>
    <row r="119" spans="31:37" ht="60">
      <c r="AE119" s="118"/>
      <c r="AF119" s="121"/>
      <c r="AG119" s="127"/>
      <c r="AI119" s="155" t="s">
        <v>591</v>
      </c>
      <c r="AJ119" s="124" t="s">
        <v>592</v>
      </c>
      <c r="AK119" s="126" t="str">
        <f>CONCATENATE(تقویم!$A$2,EventsTable[[#This Row],[روز و ماه]])</f>
        <v>14000612</v>
      </c>
    </row>
    <row r="120" spans="31:37">
      <c r="AE120" s="118"/>
      <c r="AF120" s="121"/>
      <c r="AG120" s="127"/>
      <c r="AI120" s="155" t="s">
        <v>593</v>
      </c>
      <c r="AJ120" s="124" t="s">
        <v>592</v>
      </c>
      <c r="AK120" s="126" t="str">
        <f>CONCATENATE(تقویم!$A$2,EventsTable[[#This Row],[روز و ماه]])</f>
        <v>14000612</v>
      </c>
    </row>
    <row r="121" spans="31:37">
      <c r="AE121" s="118"/>
      <c r="AF121" s="121"/>
      <c r="AG121" s="127"/>
      <c r="AI121" s="124" t="s">
        <v>594</v>
      </c>
      <c r="AJ121" s="124" t="s">
        <v>595</v>
      </c>
      <c r="AK121" s="126" t="str">
        <f>CONCATENATE(تقویم!$A$2,EventsTable[[#This Row],[روز و ماه]])</f>
        <v>14000613</v>
      </c>
    </row>
    <row r="122" spans="31:37" ht="30">
      <c r="AE122" s="118"/>
      <c r="AF122" s="121"/>
      <c r="AG122" s="127"/>
      <c r="AI122" s="124" t="s">
        <v>596</v>
      </c>
      <c r="AJ122" s="124" t="s">
        <v>595</v>
      </c>
      <c r="AK122" s="126" t="str">
        <f>CONCATENATE(تقویم!$A$2,EventsTable[[#This Row],[روز و ماه]])</f>
        <v>14000613</v>
      </c>
    </row>
    <row r="123" spans="31:37">
      <c r="AE123" s="118"/>
      <c r="AF123" s="121"/>
      <c r="AG123" s="127"/>
      <c r="AI123" s="124" t="s">
        <v>929</v>
      </c>
      <c r="AJ123" s="124" t="s">
        <v>595</v>
      </c>
      <c r="AK123" s="126" t="str">
        <f>CONCATENATE(تقویم!$A$2,EventsTable[[#This Row],[روز و ماه]])</f>
        <v>14000613</v>
      </c>
    </row>
    <row r="124" spans="31:37" ht="45">
      <c r="AE124" s="118"/>
      <c r="AF124" s="121"/>
      <c r="AG124" s="127"/>
      <c r="AI124" s="124" t="s">
        <v>597</v>
      </c>
      <c r="AJ124" s="124" t="s">
        <v>598</v>
      </c>
      <c r="AK124" s="126" t="str">
        <f>CONCATENATE(تقویم!$A$2,EventsTable[[#This Row],[روز و ماه]])</f>
        <v>14000614</v>
      </c>
    </row>
    <row r="125" spans="31:37" ht="75">
      <c r="AE125" s="118"/>
      <c r="AF125" s="121"/>
      <c r="AG125" s="127"/>
      <c r="AI125" s="124" t="s">
        <v>599</v>
      </c>
      <c r="AJ125" s="124" t="s">
        <v>600</v>
      </c>
      <c r="AK125" s="126" t="str">
        <f>CONCATENATE(تقویم!$A$2,EventsTable[[#This Row],[روز و ماه]])</f>
        <v>14000617</v>
      </c>
    </row>
    <row r="126" spans="31:37" ht="60">
      <c r="AE126" s="118"/>
      <c r="AF126" s="121"/>
      <c r="AG126" s="127"/>
      <c r="AI126" s="124" t="s">
        <v>601</v>
      </c>
      <c r="AJ126" s="124" t="s">
        <v>602</v>
      </c>
      <c r="AK126" s="126" t="str">
        <f>CONCATENATE(تقویم!$A$2,EventsTable[[#This Row],[روز و ماه]])</f>
        <v>14000619</v>
      </c>
    </row>
    <row r="127" spans="31:37" ht="60">
      <c r="AE127" s="118"/>
      <c r="AF127" s="121"/>
      <c r="AG127" s="127"/>
      <c r="AI127" s="124" t="s">
        <v>603</v>
      </c>
      <c r="AJ127" s="124" t="s">
        <v>604</v>
      </c>
      <c r="AK127" s="126" t="str">
        <f>CONCATENATE(تقویم!$A$2,EventsTable[[#This Row],[روز و ماه]])</f>
        <v>14000620</v>
      </c>
    </row>
    <row r="128" spans="31:37">
      <c r="AE128" s="118"/>
      <c r="AF128" s="121"/>
      <c r="AG128" s="127"/>
      <c r="AI128" s="124" t="s">
        <v>605</v>
      </c>
      <c r="AJ128" s="124" t="s">
        <v>606</v>
      </c>
      <c r="AK128" s="126" t="str">
        <f>CONCATENATE(تقویم!$A$2,EventsTable[[#This Row],[روز و ماه]])</f>
        <v>14000621</v>
      </c>
    </row>
    <row r="129" spans="31:37">
      <c r="AE129" s="118"/>
      <c r="AF129" s="121"/>
      <c r="AG129" s="127"/>
      <c r="AI129" s="124" t="s">
        <v>607</v>
      </c>
      <c r="AJ129" s="124" t="s">
        <v>608</v>
      </c>
      <c r="AK129" s="126" t="str">
        <f>CONCATENATE(تقویم!$A$2,EventsTable[[#This Row],[روز و ماه]])</f>
        <v>14000627</v>
      </c>
    </row>
    <row r="130" spans="31:37" ht="30">
      <c r="AE130" s="118"/>
      <c r="AF130" s="121"/>
      <c r="AG130" s="127"/>
      <c r="AI130" s="124" t="s">
        <v>609</v>
      </c>
      <c r="AJ130" s="124" t="s">
        <v>608</v>
      </c>
      <c r="AK130" s="126" t="str">
        <f>CONCATENATE(تقویم!$A$2,EventsTable[[#This Row],[روز و ماه]])</f>
        <v>14000627</v>
      </c>
    </row>
    <row r="131" spans="31:37" ht="30">
      <c r="AE131" s="118"/>
      <c r="AF131" s="121"/>
      <c r="AG131" s="127"/>
      <c r="AI131" s="124" t="s">
        <v>610</v>
      </c>
      <c r="AJ131" s="124" t="s">
        <v>611</v>
      </c>
      <c r="AK131" s="126" t="str">
        <f>CONCATENATE(تقویم!$A$2,EventsTable[[#This Row],[روز و ماه]])</f>
        <v>14000631</v>
      </c>
    </row>
    <row r="132" spans="31:37">
      <c r="AE132" s="118"/>
      <c r="AF132" s="121"/>
      <c r="AG132" s="127"/>
      <c r="AI132" s="124" t="s">
        <v>612</v>
      </c>
      <c r="AJ132" s="124" t="s">
        <v>611</v>
      </c>
      <c r="AK132" s="126" t="str">
        <f>CONCATENATE(تقویم!$A$2,EventsTable[[#This Row],[روز و ماه]])</f>
        <v>14000631</v>
      </c>
    </row>
    <row r="133" spans="31:37" ht="60">
      <c r="AE133" s="118"/>
      <c r="AF133" s="121"/>
      <c r="AG133" s="127"/>
      <c r="AI133" s="124" t="s">
        <v>613</v>
      </c>
      <c r="AJ133" s="124" t="s">
        <v>614</v>
      </c>
      <c r="AK133" s="126" t="str">
        <f>CONCATENATE(تقویم!$A$2,EventsTable[[#This Row],[روز و ماه]])</f>
        <v>14000705</v>
      </c>
    </row>
    <row r="134" spans="31:37" ht="45">
      <c r="AE134" s="118"/>
      <c r="AF134" s="121"/>
      <c r="AG134" s="127"/>
      <c r="AI134" s="124" t="s">
        <v>615</v>
      </c>
      <c r="AJ134" s="124" t="s">
        <v>616</v>
      </c>
      <c r="AK134" s="126" t="str">
        <f>CONCATENATE(تقویم!$A$2,EventsTable[[#This Row],[روز و ماه]])</f>
        <v>14000707</v>
      </c>
    </row>
    <row r="135" spans="31:37" ht="60">
      <c r="AE135" s="118"/>
      <c r="AF135" s="121"/>
      <c r="AG135" s="127"/>
      <c r="AI135" s="124" t="s">
        <v>617</v>
      </c>
      <c r="AJ135" s="124" t="s">
        <v>616</v>
      </c>
      <c r="AK135" s="126" t="str">
        <f>CONCATENATE(تقویم!$A$2,EventsTable[[#This Row],[روز و ماه]])</f>
        <v>14000707</v>
      </c>
    </row>
    <row r="136" spans="31:37">
      <c r="AE136" s="118"/>
      <c r="AF136" s="121"/>
      <c r="AG136" s="127"/>
      <c r="AI136" s="124" t="s">
        <v>618</v>
      </c>
      <c r="AJ136" s="124" t="s">
        <v>616</v>
      </c>
      <c r="AK136" s="126" t="str">
        <f>CONCATENATE(تقویم!$A$2,EventsTable[[#This Row],[روز و ماه]])</f>
        <v>14000707</v>
      </c>
    </row>
    <row r="137" spans="31:37">
      <c r="AE137" s="118"/>
      <c r="AF137" s="121"/>
      <c r="AG137" s="127"/>
      <c r="AI137" s="124" t="s">
        <v>619</v>
      </c>
      <c r="AJ137" s="124" t="s">
        <v>616</v>
      </c>
      <c r="AK137" s="126" t="str">
        <f>CONCATENATE(تقویم!$A$2,EventsTable[[#This Row],[روز و ماه]])</f>
        <v>14000707</v>
      </c>
    </row>
    <row r="138" spans="31:37">
      <c r="AE138" s="118"/>
      <c r="AF138" s="121"/>
      <c r="AG138" s="127"/>
      <c r="AI138" s="124" t="s">
        <v>620</v>
      </c>
      <c r="AJ138" s="124" t="s">
        <v>621</v>
      </c>
      <c r="AK138" s="126" t="str">
        <f>CONCATENATE(تقویم!$A$2,EventsTable[[#This Row],[روز و ماه]])</f>
        <v>14000708</v>
      </c>
    </row>
    <row r="139" spans="31:37" ht="45">
      <c r="AE139" s="118"/>
      <c r="AF139" s="121"/>
      <c r="AG139" s="127"/>
      <c r="AI139" s="124" t="s">
        <v>622</v>
      </c>
      <c r="AJ139" s="124" t="s">
        <v>623</v>
      </c>
      <c r="AK139" s="126" t="str">
        <f>CONCATENATE(تقویم!$A$2,EventsTable[[#This Row],[روز و ماه]])</f>
        <v>14000709</v>
      </c>
    </row>
    <row r="140" spans="31:37" ht="60">
      <c r="AE140" s="118"/>
      <c r="AF140" s="121"/>
      <c r="AG140" s="127"/>
      <c r="AI140" s="124" t="s">
        <v>624</v>
      </c>
      <c r="AJ140" s="124" t="s">
        <v>625</v>
      </c>
      <c r="AK140" s="126" t="str">
        <f>CONCATENATE(تقویم!$A$2,EventsTable[[#This Row],[روز و ماه]])</f>
        <v>14000713</v>
      </c>
    </row>
    <row r="141" spans="31:37">
      <c r="AE141" s="118"/>
      <c r="AF141" s="121"/>
      <c r="AG141" s="127"/>
      <c r="AI141" s="124" t="s">
        <v>626</v>
      </c>
      <c r="AJ141" s="124" t="s">
        <v>625</v>
      </c>
      <c r="AK141" s="126" t="str">
        <f>CONCATENATE(تقویم!$A$2,EventsTable[[#This Row],[روز و ماه]])</f>
        <v>14000713</v>
      </c>
    </row>
    <row r="142" spans="31:37">
      <c r="AE142" s="118"/>
      <c r="AF142" s="121"/>
      <c r="AG142" s="127"/>
      <c r="AI142" s="124" t="s">
        <v>627</v>
      </c>
      <c r="AJ142" s="124" t="s">
        <v>628</v>
      </c>
      <c r="AK142" s="126" t="str">
        <f>CONCATENATE(تقویم!$A$2,EventsTable[[#This Row],[روز و ماه]])</f>
        <v>14000714</v>
      </c>
    </row>
    <row r="143" spans="31:37">
      <c r="AE143" s="118"/>
      <c r="AF143" s="121"/>
      <c r="AG143" s="127"/>
      <c r="AI143" s="124" t="s">
        <v>629</v>
      </c>
      <c r="AJ143" s="124" t="s">
        <v>630</v>
      </c>
      <c r="AK143" s="126" t="str">
        <f>CONCATENATE(تقویم!$A$2,EventsTable[[#This Row],[روز و ماه]])</f>
        <v>14000715</v>
      </c>
    </row>
    <row r="144" spans="31:37">
      <c r="AE144" s="118"/>
      <c r="AF144" s="121"/>
      <c r="AG144" s="127"/>
      <c r="AI144" s="124" t="s">
        <v>631</v>
      </c>
      <c r="AJ144" s="124" t="s">
        <v>632</v>
      </c>
      <c r="AK144" s="126" t="str">
        <f>CONCATENATE(تقویم!$A$2,EventsTable[[#This Row],[روز و ماه]])</f>
        <v>14000720</v>
      </c>
    </row>
    <row r="145" spans="31:37" ht="60">
      <c r="AE145" s="118"/>
      <c r="AF145" s="121"/>
      <c r="AG145" s="127"/>
      <c r="AI145" s="124" t="s">
        <v>633</v>
      </c>
      <c r="AJ145" s="124" t="s">
        <v>560</v>
      </c>
      <c r="AK145" s="126" t="str">
        <f>CONCATENATE(تقویم!$A$2,EventsTable[[#This Row],[روز و ماه]])</f>
        <v>14000523</v>
      </c>
    </row>
    <row r="146" spans="31:37">
      <c r="AE146" s="118"/>
      <c r="AF146" s="121"/>
      <c r="AG146" s="127"/>
      <c r="AI146" s="124" t="s">
        <v>634</v>
      </c>
      <c r="AJ146" s="124" t="s">
        <v>635</v>
      </c>
      <c r="AK146" s="126" t="str">
        <f>CONCATENATE(تقویم!$A$2,EventsTable[[#This Row],[روز و ماه]])</f>
        <v>14000724</v>
      </c>
    </row>
    <row r="147" spans="31:37">
      <c r="AE147" s="118"/>
      <c r="AF147" s="121"/>
      <c r="AG147" s="127"/>
      <c r="AI147" s="124" t="s">
        <v>636</v>
      </c>
      <c r="AJ147" s="124" t="s">
        <v>635</v>
      </c>
      <c r="AK147" s="126" t="str">
        <f>CONCATENATE(تقویم!$A$2,EventsTable[[#This Row],[روز و ماه]])</f>
        <v>14000724</v>
      </c>
    </row>
    <row r="148" spans="31:37" ht="90">
      <c r="AE148" s="118"/>
      <c r="AF148" s="121"/>
      <c r="AG148" s="127"/>
      <c r="AI148" s="124" t="s">
        <v>637</v>
      </c>
      <c r="AJ148" s="124" t="s">
        <v>635</v>
      </c>
      <c r="AK148" s="126" t="str">
        <f>CONCATENATE(تقویم!$A$2,EventsTable[[#This Row],[روز و ماه]])</f>
        <v>14000724</v>
      </c>
    </row>
    <row r="149" spans="31:37">
      <c r="AE149" s="118"/>
      <c r="AF149" s="121"/>
      <c r="AG149" s="127"/>
      <c r="AI149" s="124" t="s">
        <v>638</v>
      </c>
      <c r="AJ149" s="124" t="s">
        <v>639</v>
      </c>
      <c r="AK149" s="126" t="str">
        <f>CONCATENATE(تقویم!$A$2,EventsTable[[#This Row],[روز و ماه]])</f>
        <v>14000726</v>
      </c>
    </row>
    <row r="150" spans="31:37">
      <c r="AE150" s="118"/>
      <c r="AF150" s="121"/>
      <c r="AG150" s="127"/>
      <c r="AI150" s="124" t="s">
        <v>640</v>
      </c>
      <c r="AJ150" s="124" t="s">
        <v>641</v>
      </c>
      <c r="AK150" s="126" t="str">
        <f>CONCATENATE(تقویم!$A$2,EventsTable[[#This Row],[روز و ماه]])</f>
        <v>14000729</v>
      </c>
    </row>
    <row r="151" spans="31:37" ht="60">
      <c r="AE151" s="118"/>
      <c r="AF151" s="121"/>
      <c r="AG151" s="127"/>
      <c r="AI151" s="124" t="s">
        <v>642</v>
      </c>
      <c r="AJ151" s="124" t="s">
        <v>643</v>
      </c>
      <c r="AK151" s="126" t="str">
        <f>CONCATENATE(تقویم!$A$2,EventsTable[[#This Row],[روز و ماه]])</f>
        <v>14000801</v>
      </c>
    </row>
    <row r="152" spans="31:37">
      <c r="AE152" s="118"/>
      <c r="AF152" s="121"/>
      <c r="AG152" s="127"/>
      <c r="AI152" s="124" t="s">
        <v>644</v>
      </c>
      <c r="AJ152" s="124" t="s">
        <v>643</v>
      </c>
      <c r="AK152" s="126" t="str">
        <f>CONCATENATE(تقویم!$A$2,EventsTable[[#This Row],[روز و ماه]])</f>
        <v>14000801</v>
      </c>
    </row>
    <row r="153" spans="31:37" ht="75">
      <c r="AE153" s="118"/>
      <c r="AF153" s="121"/>
      <c r="AG153" s="127"/>
      <c r="AI153" s="124" t="s">
        <v>645</v>
      </c>
      <c r="AJ153" s="124" t="s">
        <v>646</v>
      </c>
      <c r="AK153" s="126" t="str">
        <f>CONCATENATE(تقویم!$A$2,EventsTable[[#This Row],[روز و ماه]])</f>
        <v>14000804</v>
      </c>
    </row>
    <row r="154" spans="31:37" ht="45">
      <c r="AE154" s="118"/>
      <c r="AF154" s="121"/>
      <c r="AG154" s="127"/>
      <c r="AI154" s="124" t="s">
        <v>647</v>
      </c>
      <c r="AJ154" s="124" t="s">
        <v>648</v>
      </c>
      <c r="AK154" s="126" t="str">
        <f>CONCATENATE(تقویم!$A$2,EventsTable[[#This Row],[روز و ماه]])</f>
        <v>14000808</v>
      </c>
    </row>
    <row r="155" spans="31:37">
      <c r="AE155" s="118"/>
      <c r="AF155" s="121"/>
      <c r="AG155" s="127"/>
      <c r="AI155" s="124"/>
      <c r="AJ155" s="124"/>
      <c r="AK155" s="126" t="str">
        <f>CONCATENATE(تقویم!$A$2,EventsTable[[#This Row],[روز و ماه]])</f>
        <v>1400</v>
      </c>
    </row>
    <row r="156" spans="31:37" ht="30">
      <c r="AE156" s="118"/>
      <c r="AF156" s="121"/>
      <c r="AG156" s="127"/>
      <c r="AI156" s="124" t="s">
        <v>649</v>
      </c>
      <c r="AJ156" s="124" t="s">
        <v>648</v>
      </c>
      <c r="AK156" s="126" t="str">
        <f>CONCATENATE(تقویم!$A$2,EventsTable[[#This Row],[روز و ماه]])</f>
        <v>14000808</v>
      </c>
    </row>
    <row r="157" spans="31:37">
      <c r="AE157" s="118"/>
      <c r="AF157" s="121"/>
      <c r="AG157" s="127"/>
      <c r="AI157" s="124" t="s">
        <v>650</v>
      </c>
      <c r="AJ157" s="124" t="s">
        <v>648</v>
      </c>
      <c r="AK157" s="126" t="str">
        <f>CONCATENATE(تقویم!$A$2,EventsTable[[#This Row],[روز و ماه]])</f>
        <v>14000808</v>
      </c>
    </row>
    <row r="158" spans="31:37" ht="60">
      <c r="AE158" s="118"/>
      <c r="AF158" s="121"/>
      <c r="AG158" s="127"/>
      <c r="AI158" s="124" t="s">
        <v>651</v>
      </c>
      <c r="AJ158" s="124" t="s">
        <v>652</v>
      </c>
      <c r="AK158" s="126" t="str">
        <f>CONCATENATE(تقویم!$A$2,EventsTable[[#This Row],[روز و ماه]])</f>
        <v>14000810</v>
      </c>
    </row>
    <row r="159" spans="31:37" ht="60">
      <c r="AE159" s="118"/>
      <c r="AF159" s="121"/>
      <c r="AG159" s="127"/>
      <c r="AI159" s="124" t="s">
        <v>653</v>
      </c>
      <c r="AJ159" s="124" t="s">
        <v>654</v>
      </c>
      <c r="AK159" s="126" t="str">
        <f>CONCATENATE(تقویم!$A$2,EventsTable[[#This Row],[روز و ماه]])</f>
        <v>14000813</v>
      </c>
    </row>
    <row r="160" spans="31:37" ht="30">
      <c r="AE160" s="118"/>
      <c r="AF160" s="121"/>
      <c r="AG160" s="127"/>
      <c r="AI160" s="124" t="s">
        <v>655</v>
      </c>
      <c r="AJ160" s="124" t="s">
        <v>654</v>
      </c>
      <c r="AK160" s="126" t="str">
        <f>CONCATENATE(تقویم!$A$2,EventsTable[[#This Row],[روز و ماه]])</f>
        <v>14000813</v>
      </c>
    </row>
    <row r="161" spans="31:37">
      <c r="AE161" s="118"/>
      <c r="AF161" s="121"/>
      <c r="AG161" s="127"/>
      <c r="AI161" s="124" t="s">
        <v>656</v>
      </c>
      <c r="AJ161" s="124" t="s">
        <v>654</v>
      </c>
      <c r="AK161" s="126" t="str">
        <f>CONCATENATE(تقویم!$A$2,EventsTable[[#This Row],[روز و ماه]])</f>
        <v>14000813</v>
      </c>
    </row>
    <row r="162" spans="31:37" ht="60">
      <c r="AE162" s="118"/>
      <c r="AF162" s="121"/>
      <c r="AG162" s="127"/>
      <c r="AI162" s="124" t="s">
        <v>657</v>
      </c>
      <c r="AJ162" s="124" t="s">
        <v>654</v>
      </c>
      <c r="AK162" s="126" t="str">
        <f>CONCATENATE(تقویم!$A$2,EventsTable[[#This Row],[روز و ماه]])</f>
        <v>14000813</v>
      </c>
    </row>
    <row r="163" spans="31:37">
      <c r="AE163" s="118"/>
      <c r="AF163" s="121"/>
      <c r="AG163" s="127"/>
      <c r="AI163" s="124" t="s">
        <v>658</v>
      </c>
      <c r="AJ163" s="124" t="s">
        <v>659</v>
      </c>
      <c r="AK163" s="126" t="str">
        <f>CONCATENATE(تقویم!$A$2,EventsTable[[#This Row],[روز و ماه]])</f>
        <v>14000814</v>
      </c>
    </row>
    <row r="164" spans="31:37">
      <c r="AE164" s="118"/>
      <c r="AF164" s="121"/>
      <c r="AG164" s="127"/>
      <c r="AI164" s="124" t="s">
        <v>660</v>
      </c>
      <c r="AJ164" s="124" t="s">
        <v>661</v>
      </c>
      <c r="AK164" s="126" t="str">
        <f>CONCATENATE(تقویم!$A$2,EventsTable[[#This Row],[روز و ماه]])</f>
        <v>14000818</v>
      </c>
    </row>
    <row r="165" spans="31:37" ht="30">
      <c r="AE165" s="118"/>
      <c r="AF165" s="121"/>
      <c r="AG165" s="127"/>
      <c r="AI165" s="124" t="s">
        <v>662</v>
      </c>
      <c r="AJ165" s="124" t="s">
        <v>663</v>
      </c>
      <c r="AK165" s="126" t="str">
        <f>CONCATENATE(تقویم!$A$2,EventsTable[[#This Row],[روز و ماه]])</f>
        <v>14000824</v>
      </c>
    </row>
    <row r="166" spans="31:37" ht="45">
      <c r="AE166" s="118"/>
      <c r="AF166" s="121"/>
      <c r="AG166" s="127"/>
      <c r="AI166" s="124" t="s">
        <v>664</v>
      </c>
      <c r="AJ166" s="124" t="s">
        <v>663</v>
      </c>
      <c r="AK166" s="126" t="str">
        <f>CONCATENATE(تقویم!$A$2,EventsTable[[#This Row],[روز و ماه]])</f>
        <v>14000824</v>
      </c>
    </row>
    <row r="167" spans="31:37" ht="30">
      <c r="AE167" s="118"/>
      <c r="AF167" s="121"/>
      <c r="AG167" s="127"/>
      <c r="AI167" s="124" t="s">
        <v>665</v>
      </c>
      <c r="AJ167" s="124" t="s">
        <v>666</v>
      </c>
      <c r="AK167" s="126" t="str">
        <f>CONCATENATE(تقویم!$A$2,EventsTable[[#This Row],[روز و ماه]])</f>
        <v>14000826</v>
      </c>
    </row>
    <row r="168" spans="31:37" ht="90">
      <c r="AE168" s="118"/>
      <c r="AF168" s="121"/>
      <c r="AG168" s="127"/>
      <c r="AI168" s="124" t="s">
        <v>667</v>
      </c>
      <c r="AJ168" s="124" t="s">
        <v>668</v>
      </c>
      <c r="AK168" s="126" t="str">
        <f>CONCATENATE(تقویم!$A$2,EventsTable[[#This Row],[روز و ماه]])</f>
        <v>14000905</v>
      </c>
    </row>
    <row r="169" spans="31:37" ht="30">
      <c r="AE169" s="118"/>
      <c r="AF169" s="121"/>
      <c r="AG169" s="127"/>
      <c r="AI169" s="124" t="s">
        <v>669</v>
      </c>
      <c r="AJ169" s="124" t="s">
        <v>668</v>
      </c>
      <c r="AK169" s="126" t="str">
        <f>CONCATENATE(تقویم!$A$2,EventsTable[[#This Row],[روز و ماه]])</f>
        <v>14000905</v>
      </c>
    </row>
    <row r="170" spans="31:37">
      <c r="AE170" s="118"/>
      <c r="AF170" s="121"/>
      <c r="AG170" s="127"/>
      <c r="AI170" s="124" t="s">
        <v>670</v>
      </c>
      <c r="AJ170" s="124" t="s">
        <v>671</v>
      </c>
      <c r="AK170" s="126" t="str">
        <f>CONCATENATE(تقویم!$A$2,EventsTable[[#This Row],[روز و ماه]])</f>
        <v>14000907</v>
      </c>
    </row>
    <row r="171" spans="31:37" ht="30">
      <c r="AE171" s="118"/>
      <c r="AF171" s="121"/>
      <c r="AG171" s="127"/>
      <c r="AI171" s="124" t="s">
        <v>672</v>
      </c>
      <c r="AJ171" s="124" t="s">
        <v>673</v>
      </c>
      <c r="AK171" s="126" t="str">
        <f>CONCATENATE(تقویم!$A$2,EventsTable[[#This Row],[روز و ماه]])</f>
        <v>14000909</v>
      </c>
    </row>
    <row r="172" spans="31:37" ht="45">
      <c r="AE172" s="118"/>
      <c r="AF172" s="121"/>
      <c r="AG172" s="127"/>
      <c r="AI172" s="124" t="s">
        <v>674</v>
      </c>
      <c r="AJ172" s="124" t="s">
        <v>675</v>
      </c>
      <c r="AK172" s="126" t="str">
        <f>CONCATENATE(تقویم!$A$2,EventsTable[[#This Row],[روز و ماه]])</f>
        <v>14000910</v>
      </c>
    </row>
    <row r="173" spans="31:37" ht="45">
      <c r="AE173" s="118"/>
      <c r="AF173" s="121"/>
      <c r="AG173" s="127"/>
      <c r="AI173" s="124" t="s">
        <v>676</v>
      </c>
      <c r="AJ173" s="124" t="s">
        <v>677</v>
      </c>
      <c r="AK173" s="126" t="str">
        <f>CONCATENATE(تقویم!$A$2,EventsTable[[#This Row],[روز و ماه]])</f>
        <v>14000911</v>
      </c>
    </row>
    <row r="174" spans="31:37" ht="75">
      <c r="AE174" s="118"/>
      <c r="AF174" s="121"/>
      <c r="AG174" s="127"/>
      <c r="AI174" s="124" t="s">
        <v>678</v>
      </c>
      <c r="AJ174" s="124" t="s">
        <v>679</v>
      </c>
      <c r="AK174" s="126" t="str">
        <f>CONCATENATE(تقویم!$A$2,EventsTable[[#This Row],[روز و ماه]])</f>
        <v>14000912</v>
      </c>
    </row>
    <row r="175" spans="31:37">
      <c r="AE175" s="118"/>
      <c r="AF175" s="121"/>
      <c r="AG175" s="127"/>
      <c r="AI175" s="124" t="s">
        <v>680</v>
      </c>
      <c r="AJ175" s="124" t="s">
        <v>681</v>
      </c>
      <c r="AK175" s="126" t="str">
        <f>CONCATENATE(تقویم!$A$2,EventsTable[[#This Row],[روز و ماه]])</f>
        <v>14000913</v>
      </c>
    </row>
    <row r="176" spans="31:37">
      <c r="AE176" s="118"/>
      <c r="AF176" s="121"/>
      <c r="AG176" s="127"/>
      <c r="AI176" s="124" t="s">
        <v>682</v>
      </c>
      <c r="AJ176" s="124" t="s">
        <v>683</v>
      </c>
      <c r="AK176" s="126" t="str">
        <f>CONCATENATE(تقویم!$A$2,EventsTable[[#This Row],[روز و ماه]])</f>
        <v>14000916</v>
      </c>
    </row>
    <row r="177" spans="31:37" ht="60">
      <c r="AE177" s="118"/>
      <c r="AF177" s="121"/>
      <c r="AG177" s="127"/>
      <c r="AI177" s="124" t="s">
        <v>684</v>
      </c>
      <c r="AJ177" s="124" t="s">
        <v>685</v>
      </c>
      <c r="AK177" s="126" t="str">
        <f>CONCATENATE(تقویم!$A$2,EventsTable[[#This Row],[روز و ماه]])</f>
        <v>14000918</v>
      </c>
    </row>
    <row r="178" spans="31:37" ht="75">
      <c r="AE178" s="118"/>
      <c r="AF178" s="121"/>
      <c r="AG178" s="127"/>
      <c r="AI178" s="124" t="s">
        <v>686</v>
      </c>
      <c r="AJ178" s="124" t="s">
        <v>687</v>
      </c>
      <c r="AK178" s="126" t="str">
        <f>CONCATENATE(تقویم!$A$2,EventsTable[[#This Row],[روز و ماه]])</f>
        <v>14000919</v>
      </c>
    </row>
    <row r="179" spans="31:37" ht="60">
      <c r="AE179" s="118"/>
      <c r="AF179" s="121"/>
      <c r="AG179" s="127"/>
      <c r="AI179" s="124" t="s">
        <v>688</v>
      </c>
      <c r="AJ179" s="124" t="s">
        <v>689</v>
      </c>
      <c r="AK179" s="126" t="str">
        <f>CONCATENATE(تقویم!$A$2,EventsTable[[#This Row],[روز و ماه]])</f>
        <v>14000920</v>
      </c>
    </row>
    <row r="180" spans="31:37">
      <c r="AE180" s="118"/>
      <c r="AF180" s="121"/>
      <c r="AG180" s="127"/>
      <c r="AI180" s="124" t="s">
        <v>690</v>
      </c>
      <c r="AJ180" s="124" t="s">
        <v>691</v>
      </c>
      <c r="AK180" s="126" t="str">
        <f>CONCATENATE(تقویم!$A$2,EventsTable[[#This Row],[روز و ماه]])</f>
        <v>14000925</v>
      </c>
    </row>
    <row r="181" spans="31:37">
      <c r="AE181" s="118"/>
      <c r="AF181" s="121"/>
      <c r="AG181" s="127"/>
      <c r="AI181" s="124" t="s">
        <v>692</v>
      </c>
      <c r="AJ181" s="124" t="s">
        <v>693</v>
      </c>
      <c r="AK181" s="126" t="str">
        <f>CONCATENATE(تقویم!$A$2,EventsTable[[#This Row],[روز و ماه]])</f>
        <v>14000926</v>
      </c>
    </row>
    <row r="182" spans="31:37" ht="45">
      <c r="AE182" s="118"/>
      <c r="AF182" s="121"/>
      <c r="AG182" s="127"/>
      <c r="AI182" s="124" t="s">
        <v>694</v>
      </c>
      <c r="AJ182" s="124" t="s">
        <v>695</v>
      </c>
      <c r="AK182" s="126" t="str">
        <f>CONCATENATE(تقویم!$A$2,EventsTable[[#This Row],[روز و ماه]])</f>
        <v>14000927</v>
      </c>
    </row>
    <row r="183" spans="31:37" ht="30">
      <c r="AE183" s="118"/>
      <c r="AF183" s="121"/>
      <c r="AG183" s="127"/>
      <c r="AI183" s="124" t="s">
        <v>696</v>
      </c>
      <c r="AJ183" s="124" t="s">
        <v>695</v>
      </c>
      <c r="AK183" s="126" t="str">
        <f>CONCATENATE(تقویم!$A$2,EventsTable[[#This Row],[روز و ماه]])</f>
        <v>14000927</v>
      </c>
    </row>
    <row r="184" spans="31:37" ht="30">
      <c r="AE184" s="118"/>
      <c r="AF184" s="121"/>
      <c r="AG184" s="127"/>
      <c r="AI184" s="124" t="s">
        <v>697</v>
      </c>
      <c r="AJ184" s="124" t="s">
        <v>698</v>
      </c>
      <c r="AK184" s="126" t="str">
        <f>CONCATENATE(تقویم!$A$2,EventsTable[[#This Row],[روز و ماه]])</f>
        <v>14000929</v>
      </c>
    </row>
    <row r="185" spans="31:37">
      <c r="AE185" s="118"/>
      <c r="AF185" s="121"/>
      <c r="AG185" s="127"/>
      <c r="AI185" s="124" t="s">
        <v>699</v>
      </c>
      <c r="AJ185" s="124" t="s">
        <v>700</v>
      </c>
      <c r="AK185" s="126" t="str">
        <f>CONCATENATE(تقویم!$A$2,EventsTable[[#This Row],[روز و ماه]])</f>
        <v>14000930</v>
      </c>
    </row>
    <row r="186" spans="31:37">
      <c r="AE186" s="118"/>
      <c r="AF186" s="121"/>
      <c r="AG186" s="127"/>
      <c r="AI186" s="124" t="s">
        <v>701</v>
      </c>
      <c r="AJ186" s="124" t="s">
        <v>702</v>
      </c>
      <c r="AK186" s="126" t="str">
        <f>CONCATENATE(تقویم!$A$2,EventsTable[[#This Row],[روز و ماه]])</f>
        <v>14001003</v>
      </c>
    </row>
    <row r="187" spans="31:37" ht="45">
      <c r="AE187" s="118"/>
      <c r="AF187" s="121"/>
      <c r="AG187" s="127"/>
      <c r="AI187" s="124" t="s">
        <v>703</v>
      </c>
      <c r="AJ187" s="124" t="s">
        <v>704</v>
      </c>
      <c r="AK187" s="126" t="str">
        <f>CONCATENATE(تقویم!$A$2,EventsTable[[#This Row],[روز و ماه]])</f>
        <v>14001005</v>
      </c>
    </row>
    <row r="188" spans="31:37" ht="75">
      <c r="AE188" s="118"/>
      <c r="AF188" s="121"/>
      <c r="AG188" s="127"/>
      <c r="AI188" s="124" t="s">
        <v>705</v>
      </c>
      <c r="AJ188" s="124" t="s">
        <v>706</v>
      </c>
      <c r="AK188" s="126" t="str">
        <f>CONCATENATE(تقویم!$A$2,EventsTable[[#This Row],[روز و ماه]])</f>
        <v>14001007</v>
      </c>
    </row>
    <row r="189" spans="31:37" ht="60">
      <c r="AE189" s="118"/>
      <c r="AF189" s="121"/>
      <c r="AG189" s="127"/>
      <c r="AI189" s="124" t="s">
        <v>707</v>
      </c>
      <c r="AJ189" s="124" t="s">
        <v>706</v>
      </c>
      <c r="AK189" s="126" t="str">
        <f>CONCATENATE(تقویم!$A$2,EventsTable[[#This Row],[روز و ماه]])</f>
        <v>14001007</v>
      </c>
    </row>
    <row r="190" spans="31:37">
      <c r="AE190" s="118"/>
      <c r="AF190" s="121"/>
      <c r="AG190" s="127"/>
      <c r="AI190" s="124" t="s">
        <v>708</v>
      </c>
      <c r="AJ190" s="124" t="s">
        <v>709</v>
      </c>
      <c r="AK190" s="126" t="str">
        <f>CONCATENATE(تقویم!$A$2,EventsTable[[#This Row],[روز و ماه]])</f>
        <v>14001008</v>
      </c>
    </row>
    <row r="191" spans="31:37" ht="45">
      <c r="AE191" s="118"/>
      <c r="AF191" s="121"/>
      <c r="AG191" s="127"/>
      <c r="AI191" s="124" t="s">
        <v>710</v>
      </c>
      <c r="AJ191" s="124" t="s">
        <v>711</v>
      </c>
      <c r="AK191" s="126" t="str">
        <f>CONCATENATE(تقویم!$A$2,EventsTable[[#This Row],[روز و ماه]])</f>
        <v>14001009</v>
      </c>
    </row>
    <row r="192" spans="31:37" ht="105">
      <c r="AE192" s="118"/>
      <c r="AF192" s="121"/>
      <c r="AG192" s="127"/>
      <c r="AI192" s="124" t="s">
        <v>712</v>
      </c>
      <c r="AJ192" s="124" t="s">
        <v>713</v>
      </c>
      <c r="AK192" s="126" t="str">
        <f>CONCATENATE(تقویم!$A$2,EventsTable[[#This Row],[روز و ماه]])</f>
        <v>14001013</v>
      </c>
    </row>
    <row r="193" spans="31:37" ht="75">
      <c r="AE193" s="118"/>
      <c r="AF193" s="121"/>
      <c r="AG193" s="127"/>
      <c r="AI193" s="124" t="s">
        <v>714</v>
      </c>
      <c r="AJ193" s="124" t="s">
        <v>713</v>
      </c>
      <c r="AK193" s="126" t="str">
        <f>CONCATENATE(تقویم!$A$2,EventsTable[[#This Row],[روز و ماه]])</f>
        <v>14001013</v>
      </c>
    </row>
    <row r="194" spans="31:37" ht="75">
      <c r="AE194" s="118"/>
      <c r="AF194" s="121"/>
      <c r="AG194" s="127"/>
      <c r="AI194" s="124" t="s">
        <v>715</v>
      </c>
      <c r="AJ194" s="124" t="s">
        <v>716</v>
      </c>
      <c r="AK194" s="126" t="str">
        <f>CONCATENATE(تقویم!$A$2,EventsTable[[#This Row],[روز و ماه]])</f>
        <v>14001017</v>
      </c>
    </row>
    <row r="195" spans="31:37" ht="30">
      <c r="AE195" s="118"/>
      <c r="AF195" s="121"/>
      <c r="AG195" s="127"/>
      <c r="AI195" s="124" t="s">
        <v>717</v>
      </c>
      <c r="AJ195" s="124" t="s">
        <v>716</v>
      </c>
      <c r="AK195" s="126" t="str">
        <f>CONCATENATE(تقویم!$A$2,EventsTable[[#This Row],[روز و ماه]])</f>
        <v>14001017</v>
      </c>
    </row>
    <row r="196" spans="31:37" ht="30">
      <c r="AE196" s="118"/>
      <c r="AF196" s="121"/>
      <c r="AG196" s="127"/>
      <c r="AI196" s="124" t="s">
        <v>718</v>
      </c>
      <c r="AJ196" s="124" t="s">
        <v>719</v>
      </c>
      <c r="AK196" s="126" t="str">
        <f>CONCATENATE(تقویم!$A$2,EventsTable[[#This Row],[روز و ماه]])</f>
        <v>14001019</v>
      </c>
    </row>
    <row r="197" spans="31:37" ht="30">
      <c r="AE197" s="118"/>
      <c r="AF197" s="121"/>
      <c r="AG197" s="127"/>
      <c r="AI197" s="124" t="s">
        <v>720</v>
      </c>
      <c r="AJ197" s="124" t="s">
        <v>721</v>
      </c>
      <c r="AK197" s="126" t="str">
        <f>CONCATENATE(تقویم!$A$2,EventsTable[[#This Row],[روز و ماه]])</f>
        <v>14001020</v>
      </c>
    </row>
    <row r="198" spans="31:37" ht="60">
      <c r="AE198" s="118"/>
      <c r="AF198" s="121"/>
      <c r="AG198" s="127"/>
      <c r="AI198" s="124" t="s">
        <v>722</v>
      </c>
      <c r="AJ198" s="124" t="s">
        <v>723</v>
      </c>
      <c r="AK198" s="126" t="str">
        <f>CONCATENATE(تقویم!$A$2,EventsTable[[#This Row],[روز و ماه]])</f>
        <v>14001022</v>
      </c>
    </row>
    <row r="199" spans="31:37" ht="30">
      <c r="AE199" s="118"/>
      <c r="AF199" s="121"/>
      <c r="AG199" s="127"/>
      <c r="AI199" s="124" t="s">
        <v>724</v>
      </c>
      <c r="AJ199" s="124" t="s">
        <v>725</v>
      </c>
      <c r="AK199" s="126" t="str">
        <f>CONCATENATE(تقویم!$A$2,EventsTable[[#This Row],[روز و ماه]])</f>
        <v>14001026</v>
      </c>
    </row>
    <row r="200" spans="31:37" ht="75">
      <c r="AE200" s="118"/>
      <c r="AF200" s="121"/>
      <c r="AG200" s="127"/>
      <c r="AI200" s="124" t="s">
        <v>726</v>
      </c>
      <c r="AJ200" s="124" t="s">
        <v>727</v>
      </c>
      <c r="AK200" s="126" t="str">
        <f>CONCATENATE(تقویم!$A$2,EventsTable[[#This Row],[روز و ماه]])</f>
        <v>14001027</v>
      </c>
    </row>
    <row r="201" spans="31:37">
      <c r="AE201" s="118"/>
      <c r="AF201" s="121"/>
      <c r="AG201" s="127"/>
      <c r="AI201" s="124" t="s">
        <v>728</v>
      </c>
      <c r="AJ201" s="124" t="s">
        <v>729</v>
      </c>
      <c r="AK201" s="126" t="str">
        <f>CONCATENATE(تقویم!$A$2,EventsTable[[#This Row],[روز و ماه]])</f>
        <v>14001029</v>
      </c>
    </row>
    <row r="202" spans="31:37" ht="30">
      <c r="AE202" s="118"/>
      <c r="AF202" s="121"/>
      <c r="AG202" s="127"/>
      <c r="AI202" s="124" t="s">
        <v>730</v>
      </c>
      <c r="AJ202" s="124" t="s">
        <v>731</v>
      </c>
      <c r="AK202" s="126" t="str">
        <f>CONCATENATE(تقویم!$A$2,EventsTable[[#This Row],[روز و ماه]])</f>
        <v>14001106</v>
      </c>
    </row>
    <row r="203" spans="31:37" ht="75">
      <c r="AE203" s="118"/>
      <c r="AF203" s="121"/>
      <c r="AG203" s="127"/>
      <c r="AI203" s="124" t="s">
        <v>732</v>
      </c>
      <c r="AJ203" s="124" t="s">
        <v>733</v>
      </c>
      <c r="AK203" s="126" t="str">
        <f>CONCATENATE(تقویم!$A$2,EventsTable[[#This Row],[روز و ماه]])</f>
        <v>14001112</v>
      </c>
    </row>
    <row r="204" spans="31:37">
      <c r="AE204" s="118"/>
      <c r="AF204" s="121"/>
      <c r="AG204" s="127"/>
      <c r="AI204" s="124" t="s">
        <v>734</v>
      </c>
      <c r="AJ204" s="124" t="s">
        <v>735</v>
      </c>
      <c r="AK204" s="126" t="str">
        <f>CONCATENATE(تقویم!$A$2,EventsTable[[#This Row],[روز و ماه]])</f>
        <v>14001114</v>
      </c>
    </row>
    <row r="205" spans="31:37">
      <c r="AE205" s="118"/>
      <c r="AF205" s="121"/>
      <c r="AG205" s="127"/>
      <c r="AI205" s="124" t="s">
        <v>736</v>
      </c>
      <c r="AJ205" s="124" t="s">
        <v>737</v>
      </c>
      <c r="AK205" s="126" t="str">
        <f>CONCATENATE(تقویم!$A$2,EventsTable[[#This Row],[روز و ماه]])</f>
        <v>14001119</v>
      </c>
    </row>
    <row r="206" spans="31:37" ht="60">
      <c r="AE206" s="118"/>
      <c r="AF206" s="121"/>
      <c r="AG206" s="127"/>
      <c r="AI206" s="124" t="s">
        <v>738</v>
      </c>
      <c r="AJ206" s="124" t="s">
        <v>739</v>
      </c>
      <c r="AK206" s="126" t="str">
        <f>CONCATENATE(تقویم!$A$2,EventsTable[[#This Row],[روز و ماه]])</f>
        <v>14001121</v>
      </c>
    </row>
    <row r="207" spans="31:37" ht="105">
      <c r="AE207" s="118"/>
      <c r="AF207" s="121"/>
      <c r="AG207" s="127"/>
      <c r="AI207" s="124" t="s">
        <v>740</v>
      </c>
      <c r="AJ207" s="124" t="s">
        <v>741</v>
      </c>
      <c r="AK207" s="126" t="str">
        <f>CONCATENATE(تقویم!$A$2,EventsTable[[#This Row],[روز و ماه]])</f>
        <v>14001125</v>
      </c>
    </row>
    <row r="208" spans="31:37" ht="60">
      <c r="AE208" s="118"/>
      <c r="AF208" s="121"/>
      <c r="AG208" s="127"/>
      <c r="AI208" s="124" t="s">
        <v>742</v>
      </c>
      <c r="AJ208" s="124" t="s">
        <v>743</v>
      </c>
      <c r="AK208" s="126" t="str">
        <f>CONCATENATE(تقویم!$A$2,EventsTable[[#This Row],[روز و ماه]])</f>
        <v>14001129</v>
      </c>
    </row>
    <row r="209" spans="31:37" ht="30">
      <c r="AE209" s="118"/>
      <c r="AF209" s="121"/>
      <c r="AG209" s="127"/>
      <c r="AI209" s="124" t="s">
        <v>744</v>
      </c>
      <c r="AJ209" s="124" t="s">
        <v>743</v>
      </c>
      <c r="AK209" s="126" t="str">
        <f>CONCATENATE(تقویم!$A$2,EventsTable[[#This Row],[روز و ماه]])</f>
        <v>14001129</v>
      </c>
    </row>
    <row r="210" spans="31:37" ht="30">
      <c r="AE210" s="118"/>
      <c r="AF210" s="121"/>
      <c r="AG210" s="127"/>
      <c r="AI210" s="124" t="s">
        <v>745</v>
      </c>
      <c r="AJ210" s="124" t="s">
        <v>746</v>
      </c>
      <c r="AK210" s="126" t="str">
        <f>CONCATENATE(تقویم!$A$2,EventsTable[[#This Row],[روز و ماه]])</f>
        <v>14001203</v>
      </c>
    </row>
    <row r="211" spans="31:37" ht="30">
      <c r="AE211" s="118"/>
      <c r="AF211" s="121"/>
      <c r="AG211" s="127"/>
      <c r="AI211" s="124" t="s">
        <v>747</v>
      </c>
      <c r="AJ211" s="124" t="s">
        <v>748</v>
      </c>
      <c r="AK211" s="126" t="str">
        <f>CONCATENATE(تقویم!$A$2,EventsTable[[#This Row],[روز و ماه]])</f>
        <v>14001205</v>
      </c>
    </row>
    <row r="212" spans="31:37">
      <c r="AE212" s="118"/>
      <c r="AF212" s="121"/>
      <c r="AG212" s="127"/>
      <c r="AI212" s="124" t="s">
        <v>749</v>
      </c>
      <c r="AJ212" s="124" t="s">
        <v>748</v>
      </c>
      <c r="AK212" s="126" t="str">
        <f>CONCATENATE(تقویم!$A$2,EventsTable[[#This Row],[روز و ماه]])</f>
        <v>14001205</v>
      </c>
    </row>
    <row r="213" spans="31:37" ht="30">
      <c r="AE213" s="118"/>
      <c r="AF213" s="121"/>
      <c r="AG213" s="127"/>
      <c r="AI213" s="124" t="s">
        <v>750</v>
      </c>
      <c r="AJ213" s="124" t="s">
        <v>751</v>
      </c>
      <c r="AK213" s="126" t="str">
        <f>CONCATENATE(تقویم!$A$2,EventsTable[[#This Row],[روز و ماه]])</f>
        <v>14001208</v>
      </c>
    </row>
    <row r="214" spans="31:37" ht="30">
      <c r="AE214" s="118"/>
      <c r="AF214" s="121"/>
      <c r="AG214" s="127"/>
      <c r="AI214" s="124" t="s">
        <v>752</v>
      </c>
      <c r="AJ214" s="124" t="s">
        <v>751</v>
      </c>
      <c r="AK214" s="126" t="str">
        <f>CONCATENATE(تقویم!$A$2,EventsTable[[#This Row],[روز و ماه]])</f>
        <v>14001208</v>
      </c>
    </row>
    <row r="215" spans="31:37" ht="30">
      <c r="AE215" s="118"/>
      <c r="AF215" s="121"/>
      <c r="AG215" s="127"/>
      <c r="AI215" s="124" t="s">
        <v>753</v>
      </c>
      <c r="AJ215" s="124" t="s">
        <v>754</v>
      </c>
      <c r="AK215" s="126" t="str">
        <f>CONCATENATE(تقویم!$A$2,EventsTable[[#This Row],[روز و ماه]])</f>
        <v>14001209</v>
      </c>
    </row>
    <row r="216" spans="31:37">
      <c r="AE216" s="118"/>
      <c r="AF216" s="121"/>
      <c r="AG216" s="127"/>
      <c r="AI216" s="124" t="s">
        <v>755</v>
      </c>
      <c r="AJ216" s="124" t="s">
        <v>756</v>
      </c>
      <c r="AK216" s="126" t="str">
        <f>CONCATENATE(تقویم!$A$2,EventsTable[[#This Row],[روز و ماه]])</f>
        <v>14001214</v>
      </c>
    </row>
    <row r="217" spans="31:37" ht="30">
      <c r="AE217" s="118"/>
      <c r="AF217" s="121"/>
      <c r="AG217" s="127"/>
      <c r="AI217" s="124" t="s">
        <v>757</v>
      </c>
      <c r="AJ217" s="124" t="s">
        <v>756</v>
      </c>
      <c r="AK217" s="126" t="str">
        <f>CONCATENATE(تقویم!$A$2,EventsTable[[#This Row],[روز و ماه]])</f>
        <v>14001214</v>
      </c>
    </row>
    <row r="218" spans="31:37">
      <c r="AE218" s="118"/>
      <c r="AF218" s="121"/>
      <c r="AG218" s="127"/>
      <c r="AI218" s="124" t="s">
        <v>758</v>
      </c>
      <c r="AJ218" s="124" t="s">
        <v>759</v>
      </c>
      <c r="AK218" s="126" t="str">
        <f>CONCATENATE(تقویم!$A$2,EventsTable[[#This Row],[روز و ماه]])</f>
        <v>14001215</v>
      </c>
    </row>
    <row r="219" spans="31:37" ht="30">
      <c r="AE219" s="118"/>
      <c r="AF219" s="121"/>
      <c r="AG219" s="127"/>
      <c r="AI219" s="124" t="s">
        <v>760</v>
      </c>
      <c r="AJ219" s="124" t="s">
        <v>761</v>
      </c>
      <c r="AK219" s="126" t="str">
        <f>CONCATENATE(تقویم!$A$2,EventsTable[[#This Row],[روز و ماه]])</f>
        <v>14001218</v>
      </c>
    </row>
    <row r="220" spans="31:37" ht="60">
      <c r="AE220" s="118"/>
      <c r="AF220" s="121"/>
      <c r="AG220" s="127"/>
      <c r="AI220" s="124" t="s">
        <v>762</v>
      </c>
      <c r="AJ220" s="124" t="s">
        <v>761</v>
      </c>
      <c r="AK220" s="126" t="str">
        <f>CONCATENATE(تقویم!$A$2,EventsTable[[#This Row],[روز و ماه]])</f>
        <v>14001218</v>
      </c>
    </row>
    <row r="221" spans="31:37">
      <c r="AE221" s="118"/>
      <c r="AF221" s="121"/>
      <c r="AG221" s="127"/>
      <c r="AI221" s="124" t="s">
        <v>763</v>
      </c>
      <c r="AJ221" s="124" t="s">
        <v>764</v>
      </c>
      <c r="AK221" s="126" t="str">
        <f>CONCATENATE(تقویم!$A$2,EventsTable[[#This Row],[روز و ماه]])</f>
        <v>14001220</v>
      </c>
    </row>
    <row r="222" spans="31:37" ht="30">
      <c r="AE222" s="118"/>
      <c r="AF222" s="121"/>
      <c r="AG222" s="127"/>
      <c r="AI222" s="124" t="s">
        <v>765</v>
      </c>
      <c r="AJ222" s="124" t="s">
        <v>766</v>
      </c>
      <c r="AK222" s="126" t="str">
        <f>CONCATENATE(تقویم!$A$2,EventsTable[[#This Row],[روز و ماه]])</f>
        <v>14001221</v>
      </c>
    </row>
    <row r="223" spans="31:37" ht="105">
      <c r="AE223" s="118"/>
      <c r="AF223" s="121"/>
      <c r="AG223" s="127"/>
      <c r="AI223" s="124" t="s">
        <v>767</v>
      </c>
      <c r="AJ223" s="124" t="s">
        <v>768</v>
      </c>
      <c r="AK223" s="126" t="str">
        <f>CONCATENATE(تقویم!$A$2,EventsTable[[#This Row],[روز و ماه]])</f>
        <v>14001222</v>
      </c>
    </row>
    <row r="224" spans="31:37" ht="45">
      <c r="AE224" s="118"/>
      <c r="AF224" s="121"/>
      <c r="AG224" s="127"/>
      <c r="AI224" s="124" t="s">
        <v>769</v>
      </c>
      <c r="AJ224" s="124" t="s">
        <v>770</v>
      </c>
      <c r="AK224" s="126" t="str">
        <f>CONCATENATE(تقویم!$A$2,EventsTable[[#This Row],[روز و ماه]])</f>
        <v>14001225</v>
      </c>
    </row>
    <row r="225" spans="31:38" ht="60">
      <c r="AE225" s="118"/>
      <c r="AF225" s="121"/>
      <c r="AG225" s="127"/>
      <c r="AI225" s="124" t="s">
        <v>771</v>
      </c>
      <c r="AJ225" s="124" t="s">
        <v>772</v>
      </c>
      <c r="AK225" s="126" t="str">
        <f>CONCATENATE(تقویم!$A$2,EventsTable[[#This Row],[روز و ماه]])</f>
        <v>14001230</v>
      </c>
    </row>
    <row r="226" spans="31:38">
      <c r="AE226" s="118"/>
      <c r="AF226" s="121"/>
      <c r="AG226" s="127"/>
      <c r="AK226" s="127"/>
    </row>
    <row r="227" spans="31:38">
      <c r="AE227" s="118"/>
      <c r="AF227" s="121"/>
      <c r="AG227" s="127"/>
      <c r="AK227" s="127"/>
    </row>
    <row r="228" spans="31:38">
      <c r="AH228" s="352"/>
      <c r="AL228" s="352"/>
    </row>
    <row r="229" spans="31:38">
      <c r="AH229" s="352"/>
      <c r="AL229" s="352"/>
    </row>
    <row r="230" spans="31:38">
      <c r="AH230" s="352"/>
      <c r="AL230" s="352"/>
    </row>
    <row r="231" spans="31:38">
      <c r="AH231" s="352"/>
      <c r="AL231" s="352"/>
    </row>
    <row r="232" spans="31:38">
      <c r="AH232" s="352"/>
      <c r="AL232" s="352"/>
    </row>
    <row r="233" spans="31:38">
      <c r="AH233" s="352"/>
      <c r="AL233" s="352"/>
    </row>
    <row r="234" spans="31:38">
      <c r="AH234" s="352"/>
      <c r="AL234" s="352"/>
    </row>
    <row r="235" spans="31:38">
      <c r="AH235" s="352"/>
      <c r="AL235" s="352"/>
    </row>
    <row r="236" spans="31:38">
      <c r="AH236" s="352"/>
      <c r="AL236" s="352"/>
    </row>
    <row r="237" spans="31:38">
      <c r="AH237" s="352"/>
      <c r="AL237" s="352"/>
    </row>
    <row r="238" spans="31:38">
      <c r="AH238" s="352"/>
      <c r="AL238" s="352"/>
    </row>
    <row r="239" spans="31:38">
      <c r="AH239" s="352"/>
      <c r="AL239" s="352"/>
    </row>
    <row r="240" spans="31:38">
      <c r="AH240" s="352"/>
      <c r="AL240" s="352"/>
    </row>
    <row r="241" spans="34:38">
      <c r="AH241" s="352"/>
      <c r="AL241" s="352"/>
    </row>
    <row r="242" spans="34:38">
      <c r="AH242" s="352"/>
      <c r="AL242" s="352"/>
    </row>
    <row r="243" spans="34:38">
      <c r="AH243" s="352"/>
      <c r="AL243" s="352"/>
    </row>
    <row r="244" spans="34:38">
      <c r="AH244" s="352"/>
      <c r="AL244" s="352"/>
    </row>
    <row r="245" spans="34:38">
      <c r="AH245" s="352"/>
      <c r="AL245" s="352"/>
    </row>
    <row r="246" spans="34:38">
      <c r="AH246" s="352"/>
      <c r="AL246" s="352"/>
    </row>
    <row r="247" spans="34:38">
      <c r="AH247" s="352"/>
      <c r="AL247" s="352"/>
    </row>
    <row r="248" spans="34:38">
      <c r="AH248" s="352"/>
      <c r="AL248" s="352"/>
    </row>
    <row r="249" spans="34:38">
      <c r="AH249" s="352"/>
      <c r="AL249" s="352"/>
    </row>
    <row r="250" spans="34:38">
      <c r="AH250" s="352"/>
      <c r="AL250" s="352"/>
    </row>
    <row r="251" spans="34:38">
      <c r="AH251" s="352"/>
      <c r="AL251" s="352"/>
    </row>
    <row r="252" spans="34:38">
      <c r="AH252" s="352"/>
      <c r="AL252" s="352"/>
    </row>
    <row r="253" spans="34:38">
      <c r="AH253" s="352"/>
      <c r="AL253" s="352"/>
    </row>
    <row r="254" spans="34:38">
      <c r="AH254" s="352"/>
      <c r="AL254" s="352"/>
    </row>
    <row r="255" spans="34:38">
      <c r="AH255" s="352"/>
      <c r="AL255" s="352"/>
    </row>
    <row r="256" spans="34:38">
      <c r="AH256" s="352"/>
      <c r="AL256" s="352"/>
    </row>
    <row r="257" spans="34:38">
      <c r="AH257" s="352"/>
      <c r="AL257" s="352"/>
    </row>
    <row r="258" spans="34:38">
      <c r="AH258" s="352"/>
      <c r="AL258" s="352"/>
    </row>
    <row r="259" spans="34:38">
      <c r="AH259" s="352"/>
      <c r="AL259" s="352"/>
    </row>
    <row r="260" spans="34:38">
      <c r="AH260" s="352"/>
      <c r="AL260" s="352"/>
    </row>
    <row r="261" spans="34:38">
      <c r="AH261" s="352"/>
      <c r="AL261" s="352"/>
    </row>
    <row r="262" spans="34:38">
      <c r="AH262" s="352"/>
      <c r="AL262" s="352"/>
    </row>
    <row r="263" spans="34:38">
      <c r="AH263" s="352"/>
      <c r="AL263" s="352"/>
    </row>
    <row r="264" spans="34:38">
      <c r="AH264" s="352"/>
      <c r="AL264" s="352"/>
    </row>
    <row r="265" spans="34:38">
      <c r="AH265" s="352"/>
      <c r="AL265" s="352"/>
    </row>
    <row r="266" spans="34:38">
      <c r="AH266" s="352"/>
      <c r="AL266" s="352"/>
    </row>
    <row r="267" spans="34:38">
      <c r="AH267" s="352"/>
      <c r="AL267" s="352"/>
    </row>
    <row r="268" spans="34:38">
      <c r="AH268" s="352"/>
      <c r="AL268" s="352"/>
    </row>
    <row r="269" spans="34:38">
      <c r="AH269" s="352"/>
      <c r="AL269" s="352"/>
    </row>
    <row r="270" spans="34:38">
      <c r="AH270" s="352"/>
      <c r="AL270" s="352"/>
    </row>
    <row r="271" spans="34:38">
      <c r="AH271" s="352"/>
      <c r="AL271" s="352"/>
    </row>
    <row r="272" spans="34:38">
      <c r="AH272" s="352"/>
      <c r="AL272" s="352"/>
    </row>
    <row r="273" spans="34:38">
      <c r="AH273" s="352"/>
      <c r="AL273" s="352"/>
    </row>
    <row r="274" spans="34:38">
      <c r="AH274" s="352"/>
      <c r="AL274" s="352"/>
    </row>
    <row r="275" spans="34:38">
      <c r="AH275" s="352"/>
      <c r="AL275" s="352"/>
    </row>
    <row r="276" spans="34:38">
      <c r="AH276" s="352"/>
      <c r="AL276" s="352"/>
    </row>
    <row r="277" spans="34:38">
      <c r="AH277" s="352"/>
      <c r="AL277" s="352"/>
    </row>
    <row r="278" spans="34:38">
      <c r="AH278" s="352"/>
      <c r="AL278" s="352"/>
    </row>
    <row r="279" spans="34:38">
      <c r="AH279" s="352"/>
      <c r="AL279" s="352"/>
    </row>
    <row r="280" spans="34:38">
      <c r="AH280" s="352"/>
      <c r="AL280" s="352"/>
    </row>
    <row r="281" spans="34:38">
      <c r="AH281" s="352"/>
      <c r="AL281" s="352"/>
    </row>
    <row r="282" spans="34:38">
      <c r="AH282" s="352"/>
      <c r="AL282" s="352"/>
    </row>
    <row r="283" spans="34:38">
      <c r="AH283" s="352"/>
      <c r="AL283" s="352"/>
    </row>
    <row r="284" spans="34:38">
      <c r="AH284" s="352"/>
      <c r="AL284" s="352"/>
    </row>
    <row r="285" spans="34:38">
      <c r="AH285" s="352"/>
      <c r="AL285" s="352"/>
    </row>
    <row r="286" spans="34:38">
      <c r="AH286" s="352"/>
      <c r="AL286" s="352"/>
    </row>
    <row r="287" spans="34:38">
      <c r="AH287" s="352"/>
      <c r="AL287" s="352"/>
    </row>
    <row r="288" spans="34:38">
      <c r="AH288" s="352"/>
      <c r="AL288" s="352"/>
    </row>
    <row r="289" spans="34:38">
      <c r="AH289" s="352"/>
      <c r="AL289" s="352"/>
    </row>
    <row r="290" spans="34:38">
      <c r="AH290" s="352"/>
      <c r="AL290" s="352"/>
    </row>
    <row r="291" spans="34:38">
      <c r="AH291" s="352"/>
      <c r="AL291" s="352"/>
    </row>
    <row r="292" spans="34:38">
      <c r="AH292" s="352"/>
      <c r="AL292" s="352"/>
    </row>
    <row r="293" spans="34:38">
      <c r="AH293" s="352"/>
      <c r="AL293" s="352"/>
    </row>
    <row r="294" spans="34:38">
      <c r="AH294" s="352"/>
      <c r="AL294" s="352"/>
    </row>
    <row r="295" spans="34:38">
      <c r="AH295" s="352"/>
      <c r="AL295" s="352"/>
    </row>
    <row r="296" spans="34:38">
      <c r="AH296" s="352"/>
      <c r="AL296" s="352"/>
    </row>
    <row r="297" spans="34:38">
      <c r="AH297" s="352"/>
      <c r="AL297" s="352"/>
    </row>
    <row r="298" spans="34:38">
      <c r="AH298" s="352"/>
      <c r="AL298" s="352"/>
    </row>
    <row r="299" spans="34:38">
      <c r="AH299" s="352"/>
      <c r="AL299" s="352"/>
    </row>
    <row r="300" spans="34:38">
      <c r="AH300" s="352"/>
      <c r="AL300" s="352"/>
    </row>
    <row r="301" spans="34:38">
      <c r="AH301" s="352"/>
      <c r="AL301" s="352"/>
    </row>
    <row r="302" spans="34:38">
      <c r="AH302" s="352"/>
      <c r="AL302" s="352"/>
    </row>
    <row r="303" spans="34:38">
      <c r="AH303" s="352"/>
      <c r="AL303" s="352"/>
    </row>
    <row r="304" spans="34:38">
      <c r="AH304" s="352"/>
      <c r="AL304" s="352"/>
    </row>
    <row r="305" spans="34:38">
      <c r="AH305" s="352"/>
      <c r="AL305" s="352"/>
    </row>
    <row r="306" spans="34:38">
      <c r="AH306" s="352"/>
      <c r="AL306" s="352"/>
    </row>
    <row r="307" spans="34:38">
      <c r="AH307" s="352"/>
      <c r="AL307" s="352"/>
    </row>
    <row r="308" spans="34:38">
      <c r="AH308" s="352"/>
      <c r="AL308" s="352"/>
    </row>
    <row r="309" spans="34:38">
      <c r="AH309" s="352"/>
      <c r="AL309" s="352"/>
    </row>
    <row r="310" spans="34:38">
      <c r="AH310" s="352"/>
      <c r="AL310" s="352"/>
    </row>
    <row r="311" spans="34:38">
      <c r="AH311" s="352"/>
      <c r="AL311" s="352"/>
    </row>
    <row r="312" spans="34:38">
      <c r="AH312" s="352"/>
      <c r="AL312" s="352"/>
    </row>
    <row r="313" spans="34:38">
      <c r="AH313" s="352"/>
      <c r="AL313" s="352"/>
    </row>
    <row r="314" spans="34:38">
      <c r="AH314" s="352"/>
      <c r="AL314" s="352"/>
    </row>
    <row r="315" spans="34:38">
      <c r="AH315" s="352"/>
      <c r="AL315" s="352"/>
    </row>
    <row r="316" spans="34:38">
      <c r="AH316" s="352"/>
      <c r="AL316" s="352"/>
    </row>
    <row r="317" spans="34:38">
      <c r="AH317" s="352"/>
      <c r="AL317" s="352"/>
    </row>
    <row r="318" spans="34:38">
      <c r="AH318" s="352"/>
      <c r="AL318" s="352"/>
    </row>
    <row r="319" spans="34:38">
      <c r="AH319" s="352"/>
      <c r="AL319" s="352"/>
    </row>
    <row r="320" spans="34:38">
      <c r="AH320" s="352"/>
      <c r="AL320" s="352"/>
    </row>
    <row r="321" spans="34:38">
      <c r="AH321" s="352"/>
      <c r="AL321" s="352"/>
    </row>
    <row r="322" spans="34:38">
      <c r="AH322" s="352"/>
      <c r="AL322" s="352"/>
    </row>
    <row r="323" spans="34:38">
      <c r="AH323" s="352"/>
      <c r="AL323" s="352"/>
    </row>
    <row r="324" spans="34:38">
      <c r="AH324" s="352"/>
      <c r="AL324" s="352"/>
    </row>
    <row r="325" spans="34:38">
      <c r="AH325" s="352"/>
      <c r="AL325" s="352"/>
    </row>
    <row r="326" spans="34:38">
      <c r="AH326" s="352"/>
      <c r="AL326" s="352"/>
    </row>
    <row r="327" spans="34:38">
      <c r="AH327" s="352"/>
      <c r="AL327" s="352"/>
    </row>
    <row r="328" spans="34:38">
      <c r="AH328" s="352"/>
      <c r="AL328" s="352"/>
    </row>
    <row r="329" spans="34:38">
      <c r="AH329" s="352"/>
      <c r="AL329" s="352"/>
    </row>
    <row r="330" spans="34:38">
      <c r="AH330" s="352"/>
      <c r="AL330" s="352"/>
    </row>
    <row r="331" spans="34:38">
      <c r="AH331" s="352"/>
      <c r="AL331" s="352"/>
    </row>
    <row r="332" spans="34:38">
      <c r="AH332" s="352"/>
      <c r="AL332" s="352"/>
    </row>
    <row r="333" spans="34:38">
      <c r="AH333" s="352"/>
      <c r="AL333" s="352"/>
    </row>
    <row r="334" spans="34:38">
      <c r="AH334" s="352"/>
      <c r="AL334" s="352"/>
    </row>
    <row r="335" spans="34:38">
      <c r="AH335" s="352"/>
      <c r="AL335" s="352"/>
    </row>
    <row r="336" spans="34:38">
      <c r="AH336" s="352"/>
      <c r="AL336" s="352"/>
    </row>
    <row r="337" spans="34:38">
      <c r="AH337" s="352"/>
      <c r="AL337" s="352"/>
    </row>
    <row r="338" spans="34:38">
      <c r="AH338" s="352"/>
      <c r="AL338" s="352"/>
    </row>
    <row r="339" spans="34:38">
      <c r="AH339" s="352"/>
      <c r="AL339" s="352"/>
    </row>
    <row r="340" spans="34:38">
      <c r="AH340" s="352"/>
      <c r="AL340" s="352"/>
    </row>
    <row r="341" spans="34:38">
      <c r="AH341" s="352"/>
      <c r="AL341" s="352"/>
    </row>
    <row r="342" spans="34:38">
      <c r="AH342" s="352"/>
      <c r="AL342" s="352"/>
    </row>
    <row r="343" spans="34:38">
      <c r="AH343" s="352"/>
      <c r="AL343" s="352"/>
    </row>
    <row r="344" spans="34:38">
      <c r="AH344" s="352"/>
      <c r="AL344" s="352"/>
    </row>
    <row r="345" spans="34:38">
      <c r="AH345" s="352"/>
      <c r="AL345" s="352"/>
    </row>
    <row r="346" spans="34:38">
      <c r="AH346" s="352"/>
      <c r="AL346" s="352"/>
    </row>
    <row r="347" spans="34:38">
      <c r="AH347" s="352"/>
      <c r="AL347" s="352"/>
    </row>
    <row r="348" spans="34:38">
      <c r="AH348" s="352"/>
      <c r="AL348" s="352"/>
    </row>
    <row r="349" spans="34:38">
      <c r="AH349" s="352"/>
      <c r="AL349" s="352"/>
    </row>
    <row r="350" spans="34:38">
      <c r="AH350" s="352"/>
      <c r="AL350" s="352"/>
    </row>
    <row r="351" spans="34:38">
      <c r="AH351" s="352"/>
      <c r="AL351" s="352"/>
    </row>
    <row r="352" spans="34:38">
      <c r="AH352" s="352"/>
      <c r="AL352" s="352"/>
    </row>
    <row r="353" spans="34:38">
      <c r="AH353" s="352"/>
      <c r="AL353" s="352"/>
    </row>
    <row r="356" spans="34:38">
      <c r="AH356" s="352"/>
      <c r="AL356" s="352"/>
    </row>
    <row r="357" spans="34:38">
      <c r="AH357" s="352"/>
      <c r="AL357" s="352"/>
    </row>
    <row r="358" spans="34:38">
      <c r="AH358" s="352"/>
      <c r="AL358" s="352"/>
    </row>
    <row r="359" spans="34:38">
      <c r="AH359" s="352"/>
      <c r="AL359" s="352"/>
    </row>
    <row r="360" spans="34:38">
      <c r="AH360" s="352"/>
      <c r="AL360" s="352"/>
    </row>
    <row r="361" spans="34:38">
      <c r="AH361" s="352"/>
      <c r="AL361" s="352"/>
    </row>
    <row r="362" spans="34:38">
      <c r="AH362" s="352"/>
      <c r="AL362" s="352"/>
    </row>
    <row r="363" spans="34:38">
      <c r="AH363" s="352"/>
      <c r="AL363" s="352"/>
    </row>
    <row r="364" spans="34:38">
      <c r="AH364" s="352"/>
      <c r="AL364" s="352"/>
    </row>
    <row r="365" spans="34:38">
      <c r="AH365" s="352"/>
      <c r="AL365" s="352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5" priority="4"/>
  </conditionalFormatting>
  <conditionalFormatting sqref="AA34:AA43">
    <cfRule type="duplicateValues" dxfId="4" priority="1"/>
  </conditionalFormatting>
  <conditionalFormatting sqref="AA8:AA11">
    <cfRule type="duplicateValues" dxfId="3" priority="23"/>
  </conditionalFormatting>
  <conditionalFormatting sqref="AA13:AA20">
    <cfRule type="duplicateValues" dxfId="2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4"/>
  <sheetViews>
    <sheetView rightToLeft="1" workbookViewId="0">
      <pane ySplit="2" topLeftCell="A3" activePane="bottomLeft" state="frozen"/>
      <selection pane="bottomLeft" activeCell="A8" sqref="A8"/>
    </sheetView>
  </sheetViews>
  <sheetFormatPr defaultRowHeight="15"/>
  <cols>
    <col min="1" max="1" width="30.5703125" style="160" customWidth="1"/>
    <col min="2" max="2" width="0.7109375" style="160" customWidth="1"/>
    <col min="3" max="3" width="4.5703125" style="162" customWidth="1"/>
    <col min="4" max="4" width="18.28515625" style="162" customWidth="1"/>
    <col min="5" max="6" width="73.140625" style="162" customWidth="1"/>
    <col min="7" max="10" width="18.28515625" style="162" customWidth="1"/>
    <col min="11" max="11" width="61.5703125" style="162" customWidth="1"/>
    <col min="12" max="12" width="20.85546875" style="162" customWidth="1"/>
    <col min="13" max="13" width="28.7109375" style="162" customWidth="1"/>
    <col min="14" max="16384" width="9.140625" style="162"/>
  </cols>
  <sheetData>
    <row r="1" spans="1:8" s="159" customFormat="1" ht="21" customHeight="1">
      <c r="A1" s="157" t="s">
        <v>386</v>
      </c>
      <c r="B1" s="158"/>
      <c r="D1" s="294" t="s">
        <v>393</v>
      </c>
      <c r="E1" s="294"/>
      <c r="F1" s="144"/>
      <c r="G1" s="144"/>
      <c r="H1" s="144"/>
    </row>
    <row r="2" spans="1:8" s="159" customFormat="1" ht="3" customHeight="1">
      <c r="A2" s="160"/>
      <c r="B2" s="160"/>
    </row>
    <row r="3" spans="1:8" ht="18.75">
      <c r="A3" s="134" t="s">
        <v>8</v>
      </c>
      <c r="B3" s="161"/>
    </row>
    <row r="4" spans="1:8" ht="18.75">
      <c r="A4" s="135" t="s">
        <v>113</v>
      </c>
      <c r="D4" s="293" t="s">
        <v>387</v>
      </c>
      <c r="E4" s="293"/>
      <c r="F4" s="293"/>
    </row>
    <row r="5" spans="1:8" ht="18.75">
      <c r="A5" s="138" t="s">
        <v>1184</v>
      </c>
      <c r="D5" s="163" t="s">
        <v>388</v>
      </c>
      <c r="E5" s="163" t="s">
        <v>40</v>
      </c>
      <c r="F5" s="163" t="s">
        <v>389</v>
      </c>
    </row>
    <row r="6" spans="1:8" ht="45">
      <c r="A6" s="384" t="s">
        <v>1185</v>
      </c>
      <c r="D6" s="164" t="s">
        <v>8</v>
      </c>
      <c r="E6" s="165" t="s">
        <v>390</v>
      </c>
      <c r="F6" s="165" t="s">
        <v>121</v>
      </c>
    </row>
    <row r="7" spans="1:8" ht="75">
      <c r="A7" s="386" t="s">
        <v>1186</v>
      </c>
      <c r="D7" s="164" t="s">
        <v>107</v>
      </c>
      <c r="E7" s="165" t="s">
        <v>391</v>
      </c>
      <c r="F7" s="165" t="s">
        <v>392</v>
      </c>
    </row>
    <row r="8" spans="1:8" ht="18.75">
      <c r="A8" s="389" t="s">
        <v>1187</v>
      </c>
    </row>
    <row r="9" spans="1:8" ht="18.75">
      <c r="A9" s="387" t="s">
        <v>7</v>
      </c>
    </row>
    <row r="10" spans="1:8" ht="18.75">
      <c r="A10" s="388" t="s">
        <v>100</v>
      </c>
    </row>
    <row r="11" spans="1:8" ht="30">
      <c r="E11" s="162" t="s">
        <v>379</v>
      </c>
      <c r="F11" s="162" t="s">
        <v>380</v>
      </c>
    </row>
    <row r="17" spans="4:4">
      <c r="D17" s="295"/>
    </row>
    <row r="18" spans="4:4">
      <c r="D18" s="295"/>
    </row>
    <row r="19" spans="4:4">
      <c r="D19" s="62" t="s">
        <v>100</v>
      </c>
    </row>
    <row r="20" spans="4:4" ht="30">
      <c r="D20" s="53" t="s">
        <v>1128</v>
      </c>
    </row>
    <row r="21" spans="4:4" ht="60">
      <c r="D21" s="53" t="s">
        <v>1129</v>
      </c>
    </row>
    <row r="22" spans="4:4" ht="30">
      <c r="D22" s="53" t="s">
        <v>1130</v>
      </c>
    </row>
    <row r="23" spans="4:4" ht="75">
      <c r="D23" s="62" t="s">
        <v>1131</v>
      </c>
    </row>
    <row r="24" spans="4:4">
      <c r="D24" s="295"/>
    </row>
  </sheetData>
  <mergeCells count="2">
    <mergeCell ref="D4:F4"/>
    <mergeCell ref="D1:E1"/>
  </mergeCells>
  <conditionalFormatting sqref="D19:D22">
    <cfRule type="duplicateValues" dxfId="1" priority="1"/>
  </conditionalFormatting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49</vt:i4>
      </vt:variant>
    </vt:vector>
  </HeadingPairs>
  <TitlesOfParts>
    <vt:vector size="75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2021-12-28T14:14:32Z</dcterms:modified>
</cp:coreProperties>
</file>