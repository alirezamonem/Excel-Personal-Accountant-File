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0A8CC49C-22C7-4004-B5DB-CFDFAC698674}" xr6:coauthVersionLast="47" xr6:coauthVersionMax="47" xr10:uidLastSave="{00000000-0000-0000-0000-000000000000}"/>
  <bookViews>
    <workbookView xWindow="0" yWindow="450" windowWidth="25200" windowHeight="15300" tabRatio="907" firstSheet="13" activeTab="13" xr2:uid="{00000000-000D-0000-FFFF-FFFF00000000}"/>
    <workbookView xWindow="0" yWindow="450" windowWidth="25200" windowHeight="15300" firstSheet="23" activeTab="24" xr2:uid="{99E854D6-99F0-44CC-BE68-FBF75AF2FA22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مدیریت وسایل (مینیمالیست)" sheetId="34" r:id="rId15"/>
    <sheet name="گروه‌‌های درآمدی" sheetId="20" r:id="rId16"/>
    <sheet name="گزارش گروه‌های دریافتی" sheetId="13" state="hidden" r:id="rId17"/>
    <sheet name="گروه‌‌های (بابت‌ها) هزینه" sheetId="6" r:id="rId18"/>
    <sheet name="گزارش گروه‌های پرداختی" sheetId="12" state="hidden" r:id="rId19"/>
    <sheet name="گروه‌های انتقال" sheetId="26" state="hidden" r:id="rId20"/>
    <sheet name="گزارش گروه‌های انتقال" sheetId="27" state="hidden" r:id="rId21"/>
    <sheet name="جست و جو" sheetId="17" state="hidden" r:id="rId22"/>
    <sheet name="دریافت کنندگان - پرداخت کنندگان" sheetId="24" r:id="rId23"/>
    <sheet name="تنظیمات حساب" sheetId="3" r:id="rId24"/>
    <sheet name="تنظیمات دفترچه" sheetId="4" r:id="rId25"/>
    <sheet name="راهنما" sheetId="21" r:id="rId26"/>
  </sheets>
  <functionGroups builtInGroupCount="19"/>
  <externalReferences>
    <externalReference r:id="rId27"/>
  </externalReferences>
  <definedNames>
    <definedName name="AccountNamesList" localSheetId="12">[1]!FinancialAccountsTable[نام حساب]</definedName>
    <definedName name="AccountNamesList" localSheetId="13">[1]!FinancialAccountsTable[نام حساب]</definedName>
    <definedName name="AccountNamesList" localSheetId="14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 localSheetId="13">[1]!Accounts_and_ReceiversAndPayers_AppendTabel[Accounts and ReceiversAndPayers]</definedName>
    <definedName name="Accounts_and_ReceiversAndPayers_List" localSheetId="14">[1]!Accounts_and_ReceiversAndPayers_AppendTabel[Accounts and ReceiversAndPayers]</definedName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PersonsSharedEnvironment" comment="نام افراد در میحط زندگی مشترک">#REF!</definedName>
    <definedName name="RecipientsList" localSheetId="12">[1]!ReceiversAndPayersTable[دریافت کننده - پرداخت کنندگان]</definedName>
    <definedName name="RecipientsList" localSheetId="13">[1]!ReceiversAndPayersTable[دریافت کننده - پرداخت کنندگان]</definedName>
    <definedName name="RecipientsList" localSheetId="14">[1]!ReceiversAndPayersTable[دریافت کننده - پرداخت کنندگان]</definedName>
    <definedName name="RecipientsList">#REF!</definedName>
    <definedName name="SignificanceLevel" comment="سطح اهمیت">SignificanceLevelTable[جدول سطح اهمیت]</definedName>
    <definedName name="TransactionMethodsList" comment="روش های انتقال پول" localSheetId="12">[1]!TransactionMethodsTable[روش تراکنش]</definedName>
    <definedName name="TransactionMethodsList" comment="روش های انتقال پول" localSheetId="13">[1]!TransactionMethodsTable[روش تراکنش]</definedName>
    <definedName name="TransactionMethodsList" comment="روش های انتقال پول" localSheetId="14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 localSheetId="13">[1]!NetworkCostsTable[ارتباطات]</definedName>
    <definedName name="ارتباطات" comment="گروه هزینه‌های ارتباطات" localSheetId="14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 localSheetId="13">[1]!TravelCostsTable[ایاب و ذهاب]</definedName>
    <definedName name="ایاب_و_ذهاب" comment="گروه هزینه‌های ایاب و ذهاب" localSheetId="14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 localSheetId="13">[1]!HealthCareCostsTable[بهداشت و درمان]</definedName>
    <definedName name="بهداشت_و_درمان" comment="گروه هزینه‌های بهداشت و درمان" localSheetId="14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 localSheetId="13">[1]!PersonalCleaningCostsTable[بهداشت و نظافت فردی]</definedName>
    <definedName name="بهداشت_و_نظافت_فردی" comment="گروه هزینه‌های بهداشت و نظافت فردی" localSheetId="14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 localSheetId="13">[1]!EnvironmentalHealthCostsTable[بهداشت و نظافت محیط]</definedName>
    <definedName name="بهداشت_و_نظافت_محیط" comment="گروه هزینه های بهداشت و نظافت محیط" localSheetId="14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 localSheetId="13">[1]!InsuranceCostsTable[بیمه]</definedName>
    <definedName name="بیمه" comment="گروه هزینه‌های بیمه" localSheetId="14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 localSheetId="13">[1]!InstallmentPaymentCostsTable[پرداخت اقساط]</definedName>
    <definedName name="پرداخت_اقساط" comment="گروه هزینه‌های پرداخت اقساط" localSheetId="14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 localSheetId="13">[1]!CostGroupsTable[نام گروه هزینه]</definedName>
    <definedName name="پرداخت_هزینه" comment="گروه‌های هزینه در کاربرگ گروه‌های (بابت‌ها) هزینه" localSheetId="14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 localSheetId="13">[1]!CostsOfClothingAndFootwearTable[پوشاک و کفش]</definedName>
    <definedName name="پوشاک_و_کفش" comment="گروه هزینه‌های پوشاک و کفش" localSheetId="14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3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4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 localSheetId="13">[1]!RightsTable[حقوق]</definedName>
    <definedName name="حقوق" comment="لیست گروه درآمد‌ها حقوق" localSheetId="14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 localSheetId="13">[1]!CarCostsTable[خودرو]</definedName>
    <definedName name="خودرو" comment="گروه هزینه‌های خودرو" localSheetId="14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 localSheetId="13">[1]!CostsOfFoodAndBeveragesTable[خوراکی‌ها و آشامیدنی‌ها]</definedName>
    <definedName name="خوراکی‌ها_و_آشامیدنی‌ها" comment="گروه هزینه‌های خوراکی‌ها و آشامیدنی‌ها" localSheetId="14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 localSheetId="13">[1]!CharityAndCulturalExpensesTable[خیریه و امور فرهنگی]</definedName>
    <definedName name="خیریه_و_امور_فرهنگی" comment="گروه هزینه‌های خیریه و امور فرهنگی" localSheetId="14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 localSheetId="13">[1]!TobaccoCostsTable[دخانیات]</definedName>
    <definedName name="دخانیات" comment="گروه هزینه‌های دخانیات" localSheetId="14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 localSheetId="13">[1]!MiscellaneousIncomeTable[درآمد متفرقه]</definedName>
    <definedName name="درآمد_متفرقه" comment="لیست گروه های درآمدی، درآمد متفرقه" localSheetId="14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 localSheetId="13">[1]!RevenueGroupTable[نام گروه درآمد]</definedName>
    <definedName name="دریافت_درآمد" comment="لیست گروه درآمد‌ها - شاخه اصلی" localSheetId="14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 localSheetId="13">[1]!GetAMortgageAndRentTable[دریافت رهن و اجاره]</definedName>
    <definedName name="دریافت_رهن_و_اجاره" comment="لیست گروه‌های درآمدی دریافت رهن و اجاره" localSheetId="14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 localSheetId="13">[1]!GetALoanTable[دریافت وام]</definedName>
    <definedName name="دریافت_وام" comment="لیست گروه‌های درآمدی دریافت وام" localSheetId="14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 localSheetId="13">[1]!SalaryTable[دستمزد]</definedName>
    <definedName name="دستمزد" comment="لیست گروه درآمد‌ها دستمزد" localSheetId="14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 localSheetId="13">[1]!BicycleCostsTable[دوچرخه]</definedName>
    <definedName name="دوچرخه" comment="گروه هزینه‌های دوچرخه" localSheetId="14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3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4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 localSheetId="13">[1]!Non_CapitalJewelryCostsTable[[ زیورآلات غیر سرمایه]]</definedName>
    <definedName name="زیورآلات_غیر‌سرمایه" comment="گروه هزینه‌های زیورآلات غیر سرمایه" localSheetId="14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 localSheetId="13">[1]!InvestmentCostsTable[[ سرمایه گذاری]]</definedName>
    <definedName name="سرمایه‌گذاری" comment="گروه هزینه‌های سرمایه گذاری" localSheetId="14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 localSheetId="13">[1]!TravelAndTourExpensesTable[سفر و گردش]</definedName>
    <definedName name="سفر_و_گردش" comment="گروه هزینه‌های سفر و گردش" localSheetId="14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 localSheetId="13">[1]!ProfitableInvestmentTable[سود سرمایه‌گذاری]</definedName>
    <definedName name="سود_سرمایه‌گذاری" comment="لیست گروه درآمد‌ها سود سرمایه‌گذاری" localSheetId="14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 localSheetId="13">[1]!HousingBillCostsTable[صورتحاب‌های مسکن]</definedName>
    <definedName name="صورتحساب‌های_مسکن" comment="گروه هزینه‌های صورتحساب‌های مسکن" localSheetId="14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 localSheetId="13">[1]!LeisureAndEntertainmentExpensesTable[فراغت و سرگرمی]</definedName>
    <definedName name="فراغت_و_سرگرمی" comment="گروه هزینه‌های فراغت و سرگرمی" localSheetId="14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 localSheetId="13">[1]!TaxCostsTable[مالیات]</definedName>
    <definedName name="مالیات" comment="گروه هزینه‌های مالیات" localSheetId="14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 localSheetId="13">[1]!DegreeAndTuitionFeesTable[[ مدرک و تحصیل]]</definedName>
    <definedName name="مدرک_و_تحصیل" comment="گروه هزینه‌های مدرک و تحصیل" localSheetId="14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 localSheetId="13">[1]!ProfitOfAcquisitionTable[منفعت کسب]</definedName>
    <definedName name="منفعت_کسب" comment="لیست گروه‌ درآمد‌ها منفعت کسب" localSheetId="14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 localSheetId="13">[1]!GiftCostsTable[هدیه و کادو]</definedName>
    <definedName name="هدیه" comment="لیست هزینه‌های هدیه" localSheetId="14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 localSheetId="13">[1]!ExerciseCostsTable[ورزش]</definedName>
    <definedName name="ورزش" comment="گروه هزینه‌های ورزش" localSheetId="14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 localSheetId="13">[1]!LearningAndIndividualDevelopmentCostsTable[یادگیری و توسعه فردی]</definedName>
    <definedName name="یادگیری_و_توسعه_فردی" comment="گروه هزینه‌های یادگیری و توسعه فردی" localSheetId="14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" i="34" l="1"/>
  <c r="Z3" i="34" s="1"/>
  <c r="X4" i="34"/>
  <c r="X5" i="34"/>
  <c r="Z5" i="34" s="1"/>
  <c r="X6" i="34"/>
  <c r="Z6" i="34" s="1"/>
  <c r="X7" i="34"/>
  <c r="X8" i="34"/>
  <c r="X9" i="34"/>
  <c r="Z9" i="34"/>
  <c r="Z7" i="34"/>
  <c r="Z4" i="34"/>
  <c r="Z8" i="34" l="1"/>
  <c r="P18" i="33"/>
  <c r="G7" i="33" l="1"/>
  <c r="A7" i="33" s="1"/>
  <c r="G31" i="31"/>
  <c r="G19" i="3" l="1"/>
  <c r="AJ122" i="4"/>
  <c r="AJ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AJ11" i="4" l="1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F11" i="4"/>
  <c r="AF12" i="4"/>
  <c r="AF13" i="4"/>
  <c r="AF14" i="4"/>
  <c r="AJ5" i="4"/>
  <c r="AJ6" i="4"/>
  <c r="AJ7" i="4"/>
  <c r="AJ8" i="4"/>
  <c r="AJ9" i="4"/>
  <c r="AJ10" i="4"/>
  <c r="AF5" i="4" l="1"/>
  <c r="AF6" i="4"/>
  <c r="AF7" i="4"/>
  <c r="AF8" i="4"/>
  <c r="AF9" i="4"/>
  <c r="AF10" i="4"/>
  <c r="C22" i="22"/>
  <c r="M28" i="22" l="1"/>
  <c r="M25" i="22"/>
  <c r="I25" i="22" s="1"/>
  <c r="M23" i="22"/>
  <c r="M24" i="22" s="1"/>
  <c r="P32" i="18"/>
  <c r="I32" i="18"/>
  <c r="AA14" i="18"/>
  <c r="U32" i="18"/>
  <c r="J23" i="18"/>
  <c r="F32" i="18"/>
  <c r="Z23" i="18"/>
  <c r="P23" i="18"/>
  <c r="T14" i="18"/>
  <c r="U14" i="18"/>
  <c r="S32" i="18"/>
  <c r="Q14" i="18"/>
  <c r="R32" i="18"/>
  <c r="H32" i="18"/>
  <c r="T32" i="18"/>
  <c r="P14" i="18"/>
  <c r="G23" i="18"/>
  <c r="T5" i="18"/>
  <c r="AA32" i="18"/>
  <c r="G32" i="18"/>
  <c r="Z14" i="18"/>
  <c r="Q32" i="18"/>
  <c r="AA23" i="18"/>
  <c r="F23" i="18"/>
  <c r="Z5" i="18"/>
  <c r="Q5" i="18"/>
  <c r="R14" i="18"/>
  <c r="Z32" i="18"/>
  <c r="F5" i="18"/>
  <c r="S5" i="18"/>
  <c r="AB14" i="18"/>
  <c r="H23" i="18"/>
  <c r="P5" i="18"/>
  <c r="S14" i="18"/>
  <c r="F14" i="18"/>
  <c r="J32" i="18"/>
  <c r="I23" i="18"/>
  <c r="G5" i="18"/>
  <c r="G14" i="18"/>
  <c r="R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AB32" i="18"/>
  <c r="V14" i="18"/>
  <c r="U5" i="18"/>
  <c r="H14" i="18"/>
  <c r="K32" i="18"/>
  <c r="AC14" i="18"/>
  <c r="AB23" i="18"/>
  <c r="AA5" i="18"/>
  <c r="Q23" i="18"/>
  <c r="K23" i="18"/>
  <c r="V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I5" i="18"/>
  <c r="AB5" i="18"/>
  <c r="AD14" i="18"/>
  <c r="V5" i="18"/>
  <c r="L32" i="18"/>
  <c r="L23" i="18"/>
  <c r="AC23" i="18"/>
  <c r="R23" i="18"/>
  <c r="I14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D23" i="18"/>
  <c r="AE14" i="18"/>
  <c r="J5" i="18"/>
  <c r="AF14" i="18"/>
  <c r="S23" i="18"/>
  <c r="J14" i="18"/>
  <c r="AD32" i="18"/>
  <c r="AE32" i="18"/>
  <c r="AF32" i="18" s="1"/>
  <c r="AC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E23" i="18"/>
  <c r="T23" i="18"/>
  <c r="K14" i="18"/>
  <c r="AD5" i="18"/>
  <c r="AE5" i="18" s="1"/>
  <c r="K5" i="18"/>
  <c r="I3" i="1" l="1"/>
  <c r="L5" i="18"/>
  <c r="U23" i="18"/>
  <c r="V23" i="18" s="1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<sst xmlns="http://schemas.openxmlformats.org/spreadsheetml/2006/main" count="2327" uniqueCount="1721">
  <si>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</si>
  <si>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</si>
  <si>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</si>
  <si>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</si>
  <si>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</si>
  <si>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</si>
  <si>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</si>
  <si>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</si>
  <si>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</si>
  <si>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</si>
  <si>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</si>
  <si>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</si>
  <si>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</si>
  <si>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</si>
  <si>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</si>
  <si>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</si>
  <si>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</si>
  <si>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</si>
  <si>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</si>
  <si>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</si>
  <si>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</si>
  <si>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</si>
  <si>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</si>
  <si>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</si>
  <si>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</si>
  <si>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</si>
  <si>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</si>
  <si>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</si>
  <si>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</si>
  <si>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</si>
  <si>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</si>
  <si>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</si>
  <si>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</si>
  <si>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</si>
  <si>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</si>
  <si>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</si>
  <si>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</si>
  <si>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</si>
  <si>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</si>
  <si>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</si>
  <si>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</si>
  <si>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</si>
  <si>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</si>
  <si>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</si>
  <si>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</si>
  <si>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</si>
  <si>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</si>
  <si>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</si>
  <si>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</si>
  <si>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</si>
  <si>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</si>
  <si>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</si>
  <si>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</si>
  <si>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</si>
  <si>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</si>
  <si>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</si>
  <si>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</si>
  <si>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</si>
  <si>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</si>
  <si>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</si>
  <si>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</si>
  <si>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</si>
  <si>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</si>
  <si>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</si>
  <si>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</si>
  <si>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</si>
  <si>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</si>
  <si>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</si>
  <si>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</si>
  <si>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</si>
  <si>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</si>
  <si>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</si>
  <si>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</si>
  <si>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</si>
  <si>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</si>
  <si>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</si>
  <si>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</si>
  <si>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</si>
  <si>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</si>
  <si>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</si>
  <si>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</si>
  <si>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</si>
  <si>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</si>
  <si>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</si>
  <si>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</si>
  <si>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</si>
  <si>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</si>
  <si>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</si>
  <si>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</si>
  <si>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</si>
  <si>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</si>
  <si>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</si>
  <si>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</si>
  <si>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</si>
  <si>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</si>
  <si>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</si>
  <si>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</si>
  <si>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</si>
  <si>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</si>
  <si>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</si>
  <si>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</si>
  <si>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</si>
  <si>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</si>
  <si>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</si>
  <si>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</si>
  <si>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</si>
  <si>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</si>
  <si>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</si>
  <si>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</si>
  <si>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</si>
  <si>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</si>
  <si>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</si>
  <si>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</si>
  <si>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</si>
  <si>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</si>
  <si>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</si>
  <si>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</si>
  <si>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</si>
  <si>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</si>
  <si>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</si>
  <si>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</si>
  <si>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</si>
  <si>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</si>
  <si>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</si>
  <si>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</si>
  <si>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</si>
  <si>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</si>
  <si>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</si>
  <si>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</si>
  <si>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</si>
  <si>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</si>
  <si>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</si>
  <si>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</si>
  <si>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</si>
  <si>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</si>
  <si>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</si>
  <si>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</si>
  <si>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</si>
  <si>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</si>
  <si>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</si>
  <si>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</si>
  <si>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</si>
  <si>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</si>
  <si>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</si>
  <si>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</si>
  <si>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</si>
  <si>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</si>
  <si>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</si>
  <si>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</si>
  <si>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</si>
  <si>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</si>
  <si>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</si>
  <si>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</si>
  <si>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</si>
  <si>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</si>
  <si>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</si>
  <si>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</si>
  <si>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</si>
  <si>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</si>
  <si>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</si>
  <si>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</si>
  <si>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</si>
  <si>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</si>
  <si>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</si>
  <si>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</si>
  <si>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</si>
  <si>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</si>
  <si>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</si>
  <si>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</si>
  <si>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</si>
  <si>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</si>
  <si>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</si>
  <si>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</si>
  <si>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</si>
  <si>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</si>
  <si>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</si>
  <si>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</si>
  <si>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</si>
  <si>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</si>
  <si>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</si>
  <si>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</si>
  <si>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</si>
  <si>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</si>
  <si>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</si>
  <si>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</si>
  <si>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</si>
  <si>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</si>
  <si>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</si>
  <si>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</si>
  <si>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</si>
  <si>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</si>
  <si>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</si>
  <si>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</si>
  <si>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</si>
  <si>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</si>
  <si>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</si>
  <si>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</si>
  <si>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</si>
  <si>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</si>
  <si>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</si>
  <si>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</si>
  <si>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</si>
  <si>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</si>
  <si>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</si>
  <si>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</si>
  <si>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</si>
  <si>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</si>
  <si>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</si>
  <si>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</si>
  <si>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</si>
  <si>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</si>
  <si>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</si>
  <si>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</si>
  <si>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</si>
  <si>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</si>
  <si>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</si>
  <si>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</si>
  <si>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</si>
  <si>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</si>
  <si>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</si>
  <si>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</si>
  <si>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</si>
  <si>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</si>
  <si>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</si>
  <si>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</si>
  <si>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</si>
  <si>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</si>
  <si>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</si>
  <si>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</si>
  <si>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</si>
  <si>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</si>
  <si>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</si>
  <si>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</si>
  <si>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</si>
  <si>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</si>
  <si>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</si>
  <si>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</si>
  <si>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</si>
  <si>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</si>
  <si>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</si>
  <si>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</si>
  <si>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</si>
  <si>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</si>
  <si>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</si>
  <si>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</si>
  <si>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</si>
  <si>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</si>
  <si>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</si>
  <si>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</si>
  <si>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</si>
  <si>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</si>
  <si>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</si>
  <si>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</si>
  <si>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</si>
  <si>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</si>
  <si>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</si>
  <si>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</si>
  <si>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</si>
  <si>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</si>
  <si>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</si>
  <si>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</si>
  <si>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</si>
  <si>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</si>
  <si>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</si>
  <si>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</si>
  <si>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</si>
  <si>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</si>
  <si>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</si>
  <si>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</si>
  <si>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</si>
  <si>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</si>
  <si>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</si>
  <si>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</si>
  <si>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</si>
  <si>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</si>
  <si>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</si>
  <si>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</si>
  <si>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</si>
  <si>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</si>
  <si>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</si>
  <si>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</si>
  <si>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</si>
  <si>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</si>
  <si>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</si>
  <si>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</si>
  <si>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</si>
  <si>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</si>
  <si>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</si>
  <si>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</si>
  <si>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</si>
  <si>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</si>
  <si>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</si>
  <si>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</si>
  <si>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</si>
  <si>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</si>
  <si>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</si>
  <si>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</si>
  <si>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</si>
  <si>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</si>
  <si>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</si>
  <si>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</si>
  <si>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</si>
  <si>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</si>
  <si>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</si>
  <si>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</si>
  <si>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</si>
  <si>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</si>
  <si>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</si>
  <si>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</si>
  <si>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</si>
  <si>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</si>
  <si>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</si>
  <si>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</si>
  <si>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</si>
  <si>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</si>
  <si>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</si>
  <si>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</si>
  <si>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</si>
  <si>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</si>
  <si>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</si>
  <si>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</si>
  <si>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</si>
  <si>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</si>
  <si>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</si>
  <si>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</si>
  <si>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</si>
  <si>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</si>
  <si>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</si>
  <si>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</si>
  <si>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</si>
  <si>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</si>
  <si>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</si>
  <si>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</si>
  <si>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</si>
  <si>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</si>
  <si>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</si>
  <si>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</si>
  <si>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</si>
  <si>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</si>
  <si>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</si>
  <si>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</si>
  <si>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</si>
  <si>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</si>
  <si>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</si>
  <si>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</si>
  <si>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</si>
  <si>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</si>
  <si>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</si>
  <si>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</si>
  <si>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</si>
  <si>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</si>
  <si>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</si>
  <si>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</si>
  <si>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</si>
  <si>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</si>
  <si>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</si>
  <si>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</si>
  <si>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</si>
  <si>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</si>
  <si>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</si>
  <si>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</si>
  <si>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</si>
  <si>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</si>
  <si>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</si>
  <si>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</si>
  <si>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</si>
  <si>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</si>
  <si>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</si>
  <si>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</si>
  <si>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</si>
  <si>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</si>
  <si>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</si>
  <si>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</si>
  <si>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</si>
  <si>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</si>
  <si>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</si>
  <si>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</si>
  <si>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</si>
  <si>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</si>
  <si>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</si>
  <si>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</si>
  <si>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</si>
  <si>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</si>
  <si>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</si>
  <si>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</si>
  <si>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</si>
  <si>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</si>
  <si>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</si>
  <si>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</si>
  <si>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</si>
  <si>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</si>
  <si>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</si>
  <si>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</si>
  <si>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</si>
  <si>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</si>
  <si>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</si>
  <si>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</si>
  <si>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</si>
  <si>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</si>
  <si>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</si>
  <si>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</si>
  <si>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</si>
  <si>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</si>
  <si>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</si>
  <si>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</si>
  <si>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</si>
  <si>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</si>
  <si>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</si>
  <si>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</si>
  <si>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</si>
  <si>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</si>
  <si>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</si>
  <si>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</si>
  <si>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</si>
  <si>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</si>
  <si>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</si>
  <si>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</si>
  <si>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</si>
  <si>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</si>
  <si>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</si>
  <si>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</si>
  <si>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</si>
  <si>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</si>
  <si>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</si>
  <si>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</si>
  <si>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</si>
  <si>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</si>
  <si>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</si>
  <si>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</si>
  <si>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</si>
  <si>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</si>
  <si>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</si>
  <si>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</si>
  <si>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</si>
  <si>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</si>
  <si>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</si>
  <si>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</si>
  <si>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</si>
  <si>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</si>
  <si>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</si>
  <si>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</si>
  <si>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</si>
  <si>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</si>
  <si>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</si>
  <si>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</si>
  <si>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</si>
  <si>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</si>
  <si>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</si>
  <si>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</si>
  <si>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</si>
  <si>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</si>
  <si>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</si>
  <si>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</si>
  <si>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</si>
  <si>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</si>
  <si>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</si>
  <si>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</si>
  <si>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</si>
  <si>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</si>
  <si>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</si>
  <si>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</si>
  <si>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</si>
  <si>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</si>
  <si>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</si>
  <si>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</si>
  <si>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</si>
  <si>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</si>
  <si>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</si>
  <si>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</si>
  <si>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</si>
  <si>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</si>
  <si>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</si>
  <si>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</si>
  <si>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</si>
  <si>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</si>
  <si>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</si>
  <si>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</si>
  <si>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</si>
  <si>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</si>
  <si>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</si>
  <si>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</si>
  <si>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</si>
  <si>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</si>
  <si>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</si>
  <si>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</si>
  <si>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</si>
  <si>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</si>
  <si>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</si>
  <si>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</si>
  <si>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</si>
  <si>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</si>
  <si>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</si>
  <si>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</si>
  <si>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</si>
  <si>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</si>
  <si>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</si>
  <si>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</si>
  <si>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</si>
  <si>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</si>
  <si>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</si>
  <si>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</si>
  <si>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</si>
  <si>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</si>
  <si>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</si>
  <si>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</si>
  <si>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</si>
  <si>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</si>
  <si>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</si>
  <si>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</si>
  <si>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</si>
  <si>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</si>
  <si>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</si>
  <si>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</si>
  <si>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</si>
  <si>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</si>
  <si>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</si>
  <si>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</si>
  <si>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</si>
  <si>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</si>
  <si>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</si>
  <si>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</si>
  <si>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</si>
  <si>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</si>
  <si>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</si>
  <si>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</si>
  <si>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</si>
  <si>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</si>
  <si>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</si>
  <si>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</si>
  <si>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</si>
  <si>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</si>
  <si>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</si>
  <si>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</si>
  <si>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</si>
  <si>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</si>
  <si>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</si>
  <si>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</si>
  <si>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</si>
  <si>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</si>
  <si>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</si>
  <si>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</si>
  <si>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</si>
  <si>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</si>
  <si>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</si>
  <si>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</si>
  <si>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</si>
  <si>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</si>
  <si>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</si>
  <si>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</si>
  <si>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</si>
  <si>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</si>
  <si>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</si>
  <si>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</si>
  <si>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</si>
  <si>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</si>
  <si>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</si>
  <si>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</si>
  <si>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</si>
  <si>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</si>
  <si>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</si>
  <si>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</si>
  <si>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</si>
  <si>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</si>
  <si>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</si>
  <si>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</si>
  <si>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</si>
  <si>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</si>
  <si>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</si>
  <si>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</si>
  <si>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</si>
  <si>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</si>
  <si>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</si>
  <si>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</si>
  <si>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</si>
  <si>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</si>
  <si>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</si>
  <si>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</si>
  <si>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</si>
  <si>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</si>
  <si>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</si>
  <si>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</si>
  <si>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</si>
  <si>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</si>
  <si>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</si>
  <si>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</si>
  <si>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</si>
  <si>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</si>
  <si>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</si>
  <si>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</si>
  <si>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</si>
  <si>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</si>
  <si>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</si>
  <si>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</si>
  <si>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</si>
  <si>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</si>
  <si>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</si>
  <si>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</si>
  <si>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</si>
  <si>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</si>
  <si>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</si>
  <si>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</si>
  <si>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</si>
  <si>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</si>
  <si>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</si>
  <si>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</si>
  <si>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</si>
  <si>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</si>
  <si>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</si>
  <si>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</si>
  <si>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</si>
  <si>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</si>
  <si>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</si>
  <si>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</si>
  <si>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</si>
  <si>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</si>
  <si>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</si>
  <si>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</si>
  <si>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</si>
  <si>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</si>
  <si>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</si>
  <si>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</si>
  <si>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</si>
  <si>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</si>
  <si>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</si>
  <si>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</si>
  <si>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</si>
  <si>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</si>
  <si>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</si>
  <si>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</si>
  <si>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</si>
  <si>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</si>
  <si>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</si>
  <si>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</si>
  <si>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</si>
  <si>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</si>
  <si>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</si>
  <si>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</si>
  <si>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</si>
  <si>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</si>
  <si>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</si>
  <si>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</si>
  <si>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</si>
  <si>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</si>
  <si>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</si>
  <si>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</si>
  <si>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</si>
  <si>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</si>
  <si>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</si>
  <si>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</si>
  <si>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</si>
  <si>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</si>
  <si>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</si>
  <si>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</si>
  <si>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</si>
  <si>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</si>
  <si>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</si>
  <si>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</si>
  <si>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</si>
  <si>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</si>
  <si>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</si>
  <si>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</si>
  <si>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</si>
  <si>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</si>
  <si>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</si>
  <si>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</si>
  <si>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</si>
  <si>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</si>
  <si>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</si>
  <si>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</si>
  <si>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</si>
  <si>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</si>
  <si>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</si>
  <si>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</si>
  <si>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</si>
  <si>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</si>
  <si>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</si>
  <si>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</si>
  <si>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</si>
  <si>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</si>
  <si>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</si>
  <si>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</si>
  <si>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</si>
  <si>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</si>
  <si>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</si>
  <si>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</si>
  <si>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</si>
  <si>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</si>
  <si>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</si>
  <si>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</si>
  <si>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</si>
  <si>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</si>
  <si>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</si>
  <si>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</si>
  <si>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</si>
  <si>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</si>
  <si>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</si>
  <si>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</si>
  <si>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</si>
  <si>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</si>
  <si>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</si>
  <si>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</si>
  <si>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</si>
  <si>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</si>
  <si>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</si>
  <si>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</si>
  <si>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</si>
  <si>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</si>
  <si>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</si>
  <si>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</si>
  <si>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</si>
  <si>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</si>
  <si>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</si>
  <si>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</si>
  <si>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</si>
  <si>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</si>
  <si>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</si>
  <si>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</si>
  <si>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</si>
  <si>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</si>
  <si>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</si>
  <si>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</si>
  <si>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</si>
  <si>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</si>
  <si>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</si>
  <si>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</si>
  <si>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</si>
  <si>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</si>
  <si>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</si>
  <si>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</si>
  <si>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</si>
  <si>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</si>
  <si>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</si>
  <si>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</si>
  <si>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</si>
  <si>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</si>
  <si>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</si>
  <si>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</si>
  <si>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</si>
  <si>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</si>
  <si>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</si>
  <si>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</si>
  <si>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</si>
  <si>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</si>
  <si>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</si>
  <si>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</si>
  <si>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</si>
  <si>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</si>
  <si>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</si>
  <si>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</si>
  <si>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</si>
  <si>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</si>
  <si>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</si>
  <si>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</si>
  <si>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</si>
  <si>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</si>
  <si>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</si>
  <si>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</si>
  <si>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</si>
  <si>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</si>
  <si>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</si>
  <si>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</si>
  <si>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</si>
  <si>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</si>
  <si>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</si>
  <si>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</si>
  <si>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</si>
  <si>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</si>
  <si>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</si>
  <si>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</si>
  <si>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</si>
  <si>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</si>
  <si>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</si>
  <si>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</si>
  <si>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</si>
  <si>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</si>
  <si>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</si>
  <si>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</si>
  <si>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</si>
  <si>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</si>
  <si>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</si>
  <si>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</si>
  <si>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</si>
  <si>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</si>
  <si>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</si>
  <si>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</si>
  <si>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</si>
  <si>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</si>
  <si>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</si>
  <si>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</si>
  <si>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</si>
  <si>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</si>
  <si>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</si>
  <si>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</si>
  <si>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</si>
  <si>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</si>
  <si>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</si>
  <si>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</si>
  <si>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</si>
  <si>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</si>
  <si>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</si>
  <si>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</si>
  <si>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</si>
  <si>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</si>
  <si>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</si>
  <si>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</si>
  <si>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</si>
  <si>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</si>
  <si>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</si>
  <si>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</si>
  <si>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</si>
  <si>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</si>
  <si>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</si>
  <si>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</si>
  <si>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</si>
  <si>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</si>
  <si>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</si>
  <si>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</si>
  <si>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</si>
  <si>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</si>
  <si>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</si>
  <si>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</si>
  <si>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</si>
  <si>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</si>
  <si>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</si>
  <si>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</si>
  <si>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</si>
  <si>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</si>
  <si>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</si>
  <si>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</si>
  <si>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</si>
  <si>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</si>
  <si>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</si>
  <si>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</si>
  <si>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</si>
  <si>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</si>
  <si>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</si>
  <si>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</si>
  <si>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</si>
  <si>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</si>
  <si>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</si>
  <si>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</si>
  <si>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</si>
  <si>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</si>
  <si>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</si>
  <si>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</si>
  <si>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</si>
  <si>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</si>
  <si>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</si>
  <si>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</si>
  <si>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</si>
  <si>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</si>
  <si>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</si>
  <si>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</si>
  <si>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</si>
  <si>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</si>
  <si>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</si>
  <si>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</si>
  <si>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</si>
  <si>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</si>
  <si>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</si>
  <si>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</si>
  <si>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</si>
  <si>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</si>
  <si>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</si>
  <si>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</si>
  <si>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</si>
  <si>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</si>
  <si>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</si>
  <si>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</si>
  <si>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</si>
  <si>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</si>
  <si>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</si>
  <si>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</si>
  <si>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</si>
  <si>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</si>
  <si>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</si>
  <si>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</si>
  <si>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</si>
  <si>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</si>
  <si>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</si>
  <si>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</si>
  <si>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</si>
  <si>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</si>
  <si>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</si>
  <si>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</si>
  <si>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</si>
  <si>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</si>
  <si>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</si>
  <si>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</si>
  <si>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</si>
  <si>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</si>
  <si>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</si>
  <si>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</si>
  <si>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</si>
  <si>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</si>
  <si>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</si>
  <si>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</si>
  <si>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</si>
  <si>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</si>
  <si>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</si>
  <si>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</si>
  <si>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</si>
  <si>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</si>
  <si>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</si>
  <si>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</si>
  <si>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</si>
  <si>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</si>
  <si>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</si>
  <si>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</si>
  <si>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</si>
  <si>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</si>
  <si>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</si>
  <si>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</si>
  <si>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</si>
  <si>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</si>
  <si>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</si>
  <si>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</si>
  <si>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</si>
  <si>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</si>
  <si>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</si>
  <si>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</si>
  <si>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</si>
  <si>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</si>
  <si>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</si>
  <si>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</si>
  <si>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</si>
  <si>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</si>
  <si>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</si>
  <si>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</si>
  <si>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</si>
  <si>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</si>
  <si>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</si>
  <si>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</si>
  <si>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</si>
  <si>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</si>
  <si>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</si>
  <si>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</si>
  <si>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</si>
  <si>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</si>
  <si>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</si>
  <si>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</si>
  <si>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</si>
  <si>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</si>
  <si>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</si>
  <si>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</si>
  <si>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</si>
  <si>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</si>
  <si>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</si>
  <si>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</si>
  <si>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</si>
  <si>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</si>
  <si>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</si>
  <si>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</si>
  <si>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</si>
  <si>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</si>
  <si>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</si>
  <si>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</si>
  <si>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</si>
  <si>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</si>
  <si>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</si>
  <si>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</si>
  <si>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</si>
  <si>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</si>
  <si>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</si>
  <si>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</si>
  <si>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</si>
  <si>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</si>
  <si>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</si>
  <si>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</si>
  <si>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</si>
  <si>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</si>
  <si>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</si>
  <si>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</si>
  <si>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</si>
  <si>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</si>
  <si>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</si>
  <si>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</si>
  <si>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</si>
  <si>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</si>
  <si>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</si>
  <si>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</si>
  <si>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</si>
  <si>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</si>
  <si>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</si>
  <si>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</si>
  <si>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</si>
  <si>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</si>
  <si>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</si>
  <si>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</si>
  <si>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</si>
  <si>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</si>
  <si>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</si>
  <si>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</si>
  <si>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</si>
  <si>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</si>
  <si>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</si>
  <si>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</si>
  <si>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</si>
  <si>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</si>
  <si>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</si>
  <si>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</si>
  <si>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</si>
  <si>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</si>
  <si>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</si>
  <si>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</si>
  <si>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</si>
  <si>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</si>
  <si>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</si>
  <si>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</si>
  <si>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</si>
  <si>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</si>
  <si>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</si>
  <si>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</si>
  <si>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</si>
  <si>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</si>
  <si>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</si>
  <si>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</si>
  <si>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</si>
  <si>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</si>
  <si>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</si>
  <si>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</si>
  <si>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</si>
  <si>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</si>
  <si>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</si>
  <si>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</si>
  <si>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</si>
  <si>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</si>
  <si>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</si>
  <si>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</si>
  <si>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</si>
  <si>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</si>
  <si>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</si>
  <si>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</si>
  <si>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</si>
  <si>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</si>
  <si>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</si>
  <si>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</si>
  <si>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</si>
  <si>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</si>
  <si>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</si>
  <si>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</si>
  <si>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</si>
  <si>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</si>
  <si>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</si>
  <si>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</si>
  <si>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</si>
  <si>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</si>
  <si>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</si>
  <si>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</si>
  <si>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</si>
  <si>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</si>
  <si>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</si>
  <si>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</si>
  <si>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</si>
  <si>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</si>
  <si>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</si>
  <si>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</si>
  <si>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</si>
  <si>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</si>
  <si>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</si>
  <si>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</si>
  <si>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</si>
  <si>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</si>
  <si>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لیست دریافت کنندگان مشترک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</si>
  <si>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</si>
  <si>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</si>
  <si>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</si>
  <si>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</si>
  <si>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</si>
  <si>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</si>
  <si>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</si>
  <si>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</si>
  <si>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</si>
  <si>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</si>
  <si>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</si>
  <si>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</si>
  <si>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</si>
  <si>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</si>
  <si>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</si>
  <si>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</si>
  <si>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</si>
  <si>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</si>
  <si>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</si>
  <si>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</si>
  <si>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</si>
  <si>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</si>
  <si>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</si>
  <si>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</si>
  <si>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</si>
  <si>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</si>
  <si>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</si>
  <si>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</si>
  <si>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</si>
  <si>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</si>
  <si>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</si>
  <si>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</si>
  <si>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</si>
  <si>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</si>
  <si>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</si>
  <si>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</si>
  <si>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</si>
  <si>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</si>
  <si>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</si>
  <si>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</si>
  <si>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گروه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</si>
  <si>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</si>
  <si>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</si>
  <si>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</si>
  <si>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</si>
  <si>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</si>
  <si>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</si>
  <si>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</si>
  <si>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</si>
  <si>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مالک کالا</t>
  </si>
  <si>
    <t>وضعیت کالا</t>
  </si>
  <si>
    <t>شرح عیب کالا</t>
  </si>
  <si>
    <t>ملاحظات رفع عیب</t>
  </si>
  <si>
    <t>وضعیت تعمیر کالا</t>
  </si>
  <si>
    <t>آرشیو</t>
  </si>
  <si>
    <t>ملاحظات مالی</t>
  </si>
  <si>
    <t>تعداد</t>
  </si>
  <si>
    <t>وضعیت تهیه کالا</t>
  </si>
  <si>
    <t>کالای_خروجی</t>
  </si>
  <si>
    <t>بخشیدن</t>
  </si>
  <si>
    <t>علیرضا منعم</t>
  </si>
  <si>
    <t>ایمان آقاجانی</t>
  </si>
  <si>
    <t>خانه_و_آشپزخانه</t>
  </si>
  <si>
    <t>دانشگاه دامغان</t>
  </si>
  <si>
    <t>کالای بی استفاده</t>
  </si>
  <si>
    <t>اقدامی نشده</t>
  </si>
  <si>
    <t>بودجه تعمیر: ... | هزینه جایگزینی: ... | صرفه‌جوی: ... | هزینه تمام شده تعمیر: ...</t>
  </si>
  <si>
    <t>۴. زیاد</t>
  </si>
  <si>
    <t>کالا تهیه شد</t>
  </si>
  <si>
    <t>کالای_ورودی</t>
  </si>
  <si>
    <t>خرید</t>
  </si>
  <si>
    <t>فروشگاه لوازم التحریر الفبا</t>
  </si>
  <si>
    <t>۳. متوسط</t>
  </si>
  <si>
    <t>فروشگاه دنیای صندل مدیسا</t>
  </si>
  <si>
    <t>یاشار ناصری</t>
  </si>
  <si>
    <t>۵. خیلی زیاد</t>
  </si>
  <si>
    <t>حذف</t>
  </si>
  <si>
    <t>شهرداری دامغان</t>
  </si>
  <si>
    <t>در حال استفاده از کالا</t>
  </si>
  <si>
    <t>۲. کم</t>
  </si>
  <si>
    <t>تعمیر شد</t>
  </si>
  <si>
    <t>محمد‌ابراهیم خادمیان</t>
  </si>
  <si>
    <t>سفارش کالا</t>
  </si>
  <si>
    <t>مد_و_پوشاک</t>
  </si>
  <si>
    <t>حامد سوفی</t>
  </si>
  <si>
    <t>لیست تحویل دهنده | گیرنده کالا</t>
  </si>
  <si>
    <t>ورزش_و_سفر</t>
  </si>
  <si>
    <t>لیست حالت‌ها</t>
  </si>
  <si>
    <t>مهدی صفا</t>
  </si>
  <si>
    <t>دسته ورودی</t>
  </si>
  <si>
    <t>امانت_گرفتن</t>
  </si>
  <si>
    <t>جاروبرقی</t>
  </si>
  <si>
    <t>هدیه_گرفتن</t>
  </si>
  <si>
    <t>شرکت شاردین آفرین</t>
  </si>
  <si>
    <t>نبوی</t>
  </si>
  <si>
    <t>خانواده</t>
  </si>
  <si>
    <t>دسته خروجی</t>
  </si>
  <si>
    <t>فروش</t>
  </si>
  <si>
    <t>هدیه_دادن</t>
  </si>
  <si>
    <t>امانت_دادن</t>
  </si>
  <si>
    <t>بازیافت</t>
  </si>
  <si>
    <t>بلا تکلیف</t>
  </si>
  <si>
    <t>در حال آماده سازی جهت تحویل به مالک</t>
  </si>
  <si>
    <t>به مالک کالا تحویل داده شد</t>
  </si>
  <si>
    <t>به من بخشیده شد</t>
  </si>
  <si>
    <t>فروش به در‌خواست مالک</t>
  </si>
  <si>
    <t>انداختم دور (فروش، بخشش و...)</t>
  </si>
  <si>
    <t>در دست تعمیر</t>
  </si>
  <si>
    <t>غیر قابل تعمیر</t>
  </si>
  <si>
    <t>تهیه بودجه</t>
  </si>
  <si>
    <t>بودجه تهیه شد</t>
  </si>
  <si>
    <t>جدول اولویت تهیه کالا</t>
  </si>
  <si>
    <t>۱. خیلی کم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</si>
  <si>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</si>
  <si>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</si>
  <si>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</si>
  <si>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</si>
  <si>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</si>
  <si>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</si>
  <si>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</si>
  <si>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</si>
  <si>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</si>
  <si>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</si>
  <si>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</si>
  <si>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محصولات_بومی_و_محلی</t>
  </si>
  <si>
    <t>لیست گروه کالا</t>
  </si>
  <si>
    <t>موبایل</t>
  </si>
  <si>
    <t>تبلت و کتابخوان</t>
  </si>
  <si>
    <t>تبلت</t>
  </si>
  <si>
    <t>کتاب‌خوان و کاغذ دیجیتالی</t>
  </si>
  <si>
    <t>رهیاب ماهواره‌ای</t>
  </si>
  <si>
    <t>دوربین، تلسکوپ و میکروسکوپ</t>
  </si>
  <si>
    <t>دوربین عکاسی</t>
  </si>
  <si>
    <t>دوربین فیلم برداری</t>
  </si>
  <si>
    <t>لوازم جانبی دوربین عکاسی و فیلم برداری</t>
  </si>
  <si>
    <t>محافظ صفحه نمایش دوربین</t>
  </si>
  <si>
    <t>سه پایه و تک پایه</t>
  </si>
  <si>
    <t>سر سه پایه</t>
  </si>
  <si>
    <t>لنز دوربین</t>
  </si>
  <si>
    <t>فیلتر لنز و آداپتور فیلتر</t>
  </si>
  <si>
    <t>فلاش</t>
  </si>
  <si>
    <t>فیلم عکاسی</t>
  </si>
  <si>
    <t>ریموت کنترل دوربین</t>
  </si>
  <si>
    <t>قاب عکس دیجیتال</t>
  </si>
  <si>
    <t>تجهیزات آتلیه و نورپردازی</t>
  </si>
  <si>
    <t>هود لنز</t>
  </si>
  <si>
    <t>لوازم جانبی دوربین های ورزشی</t>
  </si>
  <si>
    <t>آداپتور و کانورتر</t>
  </si>
  <si>
    <t>کابل رابط دوربین</t>
  </si>
  <si>
    <t>باتری، شارژر و متعلقات</t>
  </si>
  <si>
    <t>بند آویز و کمربند دوربین</t>
  </si>
  <si>
    <t>تلسکوپ</t>
  </si>
  <si>
    <t>لوازم جانبی تلسکوپ</t>
  </si>
  <si>
    <t>میکروسکوپ</t>
  </si>
  <si>
    <t>ذره بین</t>
  </si>
  <si>
    <t>کامپیوتر و تجهیزات جانبی</t>
  </si>
  <si>
    <t>تجهیزات ذخیره‌سازی اطلاعات</t>
  </si>
  <si>
    <t>هارد دیسک اکسترنال</t>
  </si>
  <si>
    <t>حافظه SSD</t>
  </si>
  <si>
    <t>لوح فشرده</t>
  </si>
  <si>
    <t>ذخیره سازی مبتنی بر نوار</t>
  </si>
  <si>
    <t>هارددیسک اینترنال</t>
  </si>
  <si>
    <t>فلش مموری</t>
  </si>
  <si>
    <t>کارت حافظه</t>
  </si>
  <si>
    <t>لوازم جانبی تجهیزات ذخیره سازی</t>
  </si>
  <si>
    <t>تجهیزات شبکه و ارتباطات</t>
  </si>
  <si>
    <t>مودم - روتر ADSL</t>
  </si>
  <si>
    <t>مودم - روتر 3G و 4G و 5G</t>
  </si>
  <si>
    <t>روتر و اکسس پوینت</t>
  </si>
  <si>
    <t>آنتن تقویتی</t>
  </si>
  <si>
    <t>کارت شبکه</t>
  </si>
  <si>
    <t>سوییچ</t>
  </si>
  <si>
    <t>هاب سوئیچ</t>
  </si>
  <si>
    <t>ذخیره ساز تحت شبکه (NAS)</t>
  </si>
  <si>
    <t>لوازم جانبی NAS و سرور</t>
  </si>
  <si>
    <t>دوربین های امنیتی و نظارتی</t>
  </si>
  <si>
    <t>ضبط‌کننده ویدئویی دوربین‌های امنیتی و نظارتی</t>
  </si>
  <si>
    <t>اتصالات شبکه</t>
  </si>
  <si>
    <t>آداپتور شبکه</t>
  </si>
  <si>
    <t>اینترنت اشیا</t>
  </si>
  <si>
    <t>منبع تغذیه اضطراری (UPS)</t>
  </si>
  <si>
    <t>تجهیزات ویدیویی</t>
  </si>
  <si>
    <t>باتری UPS</t>
  </si>
  <si>
    <t>پچ پنل</t>
  </si>
  <si>
    <t>لود بالانسر</t>
  </si>
  <si>
    <t>تجهیزات ارتباطات سازمانی</t>
  </si>
  <si>
    <t>UTM و فایروال</t>
  </si>
  <si>
    <t>رک شبکه و سرور</t>
  </si>
  <si>
    <t>توسعه دهنده محدوده بی‌سیم</t>
  </si>
  <si>
    <t>لوازم جانبی دوربین‌ های امنیتی و نظارتی</t>
  </si>
  <si>
    <t>کامپیوترهای All-in-One</t>
  </si>
  <si>
    <t>کیس های اسمبل شده</t>
  </si>
  <si>
    <t>کامپیوترهای کوچک</t>
  </si>
  <si>
    <t>قطعات کامپیوتر</t>
  </si>
  <si>
    <t>مادربرد</t>
  </si>
  <si>
    <t>پردازنده</t>
  </si>
  <si>
    <t>کارت گرافیک</t>
  </si>
  <si>
    <t>رم کامپیوتر و لپ‌تاپ (RAM)</t>
  </si>
  <si>
    <t>کارت صدا کامپیوتر</t>
  </si>
  <si>
    <t>منبع تغذیه کامپیوتر</t>
  </si>
  <si>
    <t>کیس کامپیوتر</t>
  </si>
  <si>
    <t>خنک کننده پردازنده</t>
  </si>
  <si>
    <t>فن کیس</t>
  </si>
  <si>
    <t>نمایشگر (مانیتور)</t>
  </si>
  <si>
    <t>اسپیکر (بلندگو)</t>
  </si>
  <si>
    <t>وب‌کم</t>
  </si>
  <si>
    <t>USB هاب</t>
  </si>
  <si>
    <t>قلم نوری</t>
  </si>
  <si>
    <t>تجهیزات مخصوص بازی</t>
  </si>
  <si>
    <t>دسته بازی</t>
  </si>
  <si>
    <t>فرمان ماشین بازی</t>
  </si>
  <si>
    <t>هدفون</t>
  </si>
  <si>
    <t>هدست</t>
  </si>
  <si>
    <t>میکروفون</t>
  </si>
  <si>
    <t>لپ تاپ</t>
  </si>
  <si>
    <t>لوازم جانبی لپ تاپ</t>
  </si>
  <si>
    <t>کیف و کاور لپ تاپ</t>
  </si>
  <si>
    <t>باتری لپ‌تاپ</t>
  </si>
  <si>
    <t>شارژر مخصوص لپ‌تاپ</t>
  </si>
  <si>
    <t>استند و پایه خنک‌کننده</t>
  </si>
  <si>
    <t>لوازم جانبی کیس و لپ تاپ</t>
  </si>
  <si>
    <t>ماوس (موشواره)</t>
  </si>
  <si>
    <t>کیبورد (صفحه کلید)</t>
  </si>
  <si>
    <t>ماوس پد</t>
  </si>
  <si>
    <t>درایو نوری</t>
  </si>
  <si>
    <t>کارت‌خوان</t>
  </si>
  <si>
    <t>کیت تمیز کننده</t>
  </si>
  <si>
    <t>گیرنده تلویزیون دیجیتال USB</t>
  </si>
  <si>
    <t>ماشین های اداری</t>
  </si>
  <si>
    <t>پرینتر</t>
  </si>
  <si>
    <t>پرینتر سه بعدی</t>
  </si>
  <si>
    <t>لوازم جانبی پرینتر</t>
  </si>
  <si>
    <t>کارتریج و جوهر مخزن</t>
  </si>
  <si>
    <t>تونر</t>
  </si>
  <si>
    <t>درام</t>
  </si>
  <si>
    <t>رول</t>
  </si>
  <si>
    <t>کاغذ چاپگر و نگاتیو</t>
  </si>
  <si>
    <t>کابل رابط پرینتر</t>
  </si>
  <si>
    <t>برچسب پرینتر لیبل زن</t>
  </si>
  <si>
    <t>هد پرینتر و پلاتر</t>
  </si>
  <si>
    <t>ریبون پرینتر سوزنی</t>
  </si>
  <si>
    <t>سینی کاغذ</t>
  </si>
  <si>
    <t>سایر لوازم جانبی پرینتر</t>
  </si>
  <si>
    <t>پرینتر لیبل زن و لوازم جانبی</t>
  </si>
  <si>
    <t>پرینتر لیبل زن و پرینتر حرارتی</t>
  </si>
  <si>
    <t>لوازم جانبی پرینتر لیبل زن و حرارتی</t>
  </si>
  <si>
    <t>اسکنر</t>
  </si>
  <si>
    <t>پلاتر</t>
  </si>
  <si>
    <t>دستگاه کپی</t>
  </si>
  <si>
    <t>فکس</t>
  </si>
  <si>
    <t>لوازم جانبی تلفن و فکس</t>
  </si>
  <si>
    <t>هدست تلفن</t>
  </si>
  <si>
    <t>تجهیزات تلفن سانترال</t>
  </si>
  <si>
    <t>باتری تلفن</t>
  </si>
  <si>
    <t>رول، درام و تونر فکس</t>
  </si>
  <si>
    <t>سایر لوازم جانبی تلفن</t>
  </si>
  <si>
    <t>کابل تلفن</t>
  </si>
  <si>
    <t>تجهیزات تلفن VoIP</t>
  </si>
  <si>
    <t>ویدیو پروژکتور</t>
  </si>
  <si>
    <t>کپی برد</t>
  </si>
  <si>
    <t>پرزنتر</t>
  </si>
  <si>
    <t>لیزر پوینتر</t>
  </si>
  <si>
    <t>ماشین حساب</t>
  </si>
  <si>
    <t>اسکناس شمار</t>
  </si>
  <si>
    <t>تشخیص اصالت اسکناس</t>
  </si>
  <si>
    <t>پرفراژ چک</t>
  </si>
  <si>
    <t>بارکد خوان</t>
  </si>
  <si>
    <t>کاغذ خردکن</t>
  </si>
  <si>
    <t>دستگاه کنترل تردد</t>
  </si>
  <si>
    <t>کالر آی دی</t>
  </si>
  <si>
    <t>PDA و دیتا کالکتور</t>
  </si>
  <si>
    <t>اسکنر سه بعدی</t>
  </si>
  <si>
    <t>کشوی پول</t>
  </si>
  <si>
    <t>پد امضا</t>
  </si>
  <si>
    <t>لوازم فروشگاهی</t>
  </si>
  <si>
    <t>ترازوی فروشگاهی</t>
  </si>
  <si>
    <t>سیستم نوبت دهی</t>
  </si>
  <si>
    <t>تابلوی LED</t>
  </si>
  <si>
    <t>صندوق فروشگاهی</t>
  </si>
  <si>
    <t>کیوسک و استند لمسی</t>
  </si>
  <si>
    <t>گیت ضد سرقت فروشگاهی</t>
  </si>
  <si>
    <t>سایر تجهیزات فروشگاهی</t>
  </si>
  <si>
    <t>قطعات یدکی و لوازم جانبی پایانه‌های فروشگاهی و دستگاه‌های کارتخوان بانکی</t>
  </si>
  <si>
    <t>لوازم جانبی اداری</t>
  </si>
  <si>
    <t>سایر لوازم جانبی کالاهای اداری</t>
  </si>
  <si>
    <t>لوازم جانبی پروژکتور</t>
  </si>
  <si>
    <t>صفحه کلید دستگاه های خودپرداز</t>
  </si>
  <si>
    <t>پرینتر کارت</t>
  </si>
  <si>
    <t>تجهیزات مدرن اداری</t>
  </si>
  <si>
    <t>برش دهنده‌ی کاغذ</t>
  </si>
  <si>
    <t>ویدئو وال</t>
  </si>
  <si>
    <t>پرینت سرور</t>
  </si>
  <si>
    <t>لوازم جانبی دستگاه کپی</t>
  </si>
  <si>
    <t>ریسوگراف</t>
  </si>
  <si>
    <t>لیزر</t>
  </si>
  <si>
    <t>پرس کارت و لمینت</t>
  </si>
  <si>
    <t>تجهیزات راهنمای تور</t>
  </si>
  <si>
    <t>ماشین‌های تایپ</t>
  </si>
  <si>
    <t>لوازم بارکد خوان</t>
  </si>
  <si>
    <t>ساعت و مچ بند هوشمند</t>
  </si>
  <si>
    <t>ساعت هوشمند</t>
  </si>
  <si>
    <t>مچ بند هوشمند</t>
  </si>
  <si>
    <t>گام شمار</t>
  </si>
  <si>
    <t>لوازم جانبی کالای دیجیتال</t>
  </si>
  <si>
    <t>لوازم جانبی گوشی موبایل</t>
  </si>
  <si>
    <t>کیف و کاور گوشی</t>
  </si>
  <si>
    <t>محافظ صفحه نمایش گوشی</t>
  </si>
  <si>
    <t>باتری گوشی</t>
  </si>
  <si>
    <t>محافظ لنز گوشی موبایل</t>
  </si>
  <si>
    <t>لوازم جانبی تبلت</t>
  </si>
  <si>
    <t>کیف و کاور تبلت</t>
  </si>
  <si>
    <t>محافظ صفحه نمایش تبلت</t>
  </si>
  <si>
    <t>کیبورد مخصوص تبلت</t>
  </si>
  <si>
    <t>باتری تبلت</t>
  </si>
  <si>
    <t>لوازم جانبی موبایل و تبلت</t>
  </si>
  <si>
    <t>شارژر تبلت و موبایل</t>
  </si>
  <si>
    <t>پاوربانک (شارژر همراه)</t>
  </si>
  <si>
    <t>پایه نگهدارنده (استند) گوشی و تبلت</t>
  </si>
  <si>
    <t>قلم لمسی (Stylus)</t>
  </si>
  <si>
    <t>کابل و مبدل موبایل و تبلت</t>
  </si>
  <si>
    <t>لوازم تعمیرات موبایل، تبلت و کالای دیجیتال</t>
  </si>
  <si>
    <t>قطعات یدکی موبایل و تبلت</t>
  </si>
  <si>
    <t>لوازم جانبی کامپیوتر</t>
  </si>
  <si>
    <t>دانگل بلوتوث</t>
  </si>
  <si>
    <t>کابل های رابط</t>
  </si>
  <si>
    <t>مبدل برق</t>
  </si>
  <si>
    <t>لوازم_جانبی_خودرو</t>
  </si>
  <si>
    <t>لوازم_مصرفی_خودرو</t>
  </si>
  <si>
    <t>لوازم_جانبی_موتور_سیکلت</t>
  </si>
  <si>
    <t>لوازم_مصرفی_موتور_سیکلت</t>
  </si>
  <si>
    <t>لوازم_جانبی_دوچرخه</t>
  </si>
  <si>
    <t>لوازم_مصرفی_دوچرخه</t>
  </si>
  <si>
    <t>انبارداری_و_صنعتی</t>
  </si>
  <si>
    <t>باغبانی</t>
  </si>
  <si>
    <t>ابزار_غیر_برقی</t>
  </si>
  <si>
    <t>ابزار_برقی</t>
  </si>
  <si>
    <t>دکوراسیون_اداری</t>
  </si>
  <si>
    <t>ماشین‌های_اداری</t>
  </si>
  <si>
    <t>لباس_مردانه</t>
  </si>
  <si>
    <t>کت،جلیقه_و_ست_رسمی_مردانه</t>
  </si>
  <si>
    <t>کت_تک_رسمی_مردانه</t>
  </si>
  <si>
    <t>ست_رسمی_مردانه</t>
  </si>
  <si>
    <t>جلیقه_رسمی_مردانه</t>
  </si>
  <si>
    <t>کراوات_و_پاپیون</t>
  </si>
  <si>
    <t>لباس_راحتی_مردانه</t>
  </si>
  <si>
    <t>ست_لباس_راحتی_مردانه</t>
  </si>
  <si>
    <t>تاپ_و_تی_شرت_راحتی_مردانه</t>
  </si>
  <si>
    <t>شلوار_و_شلوارک_راحتی_مردانه</t>
  </si>
  <si>
    <t>شلوار_جین_مردانه</t>
  </si>
  <si>
    <t>ژاکت_مردانه</t>
  </si>
  <si>
    <t>پلیور_مردانه</t>
  </si>
  <si>
    <t>پالتو،_بارانی_و_کاپشن_مردانه</t>
  </si>
  <si>
    <t>پالتو_مردانه</t>
  </si>
  <si>
    <t>کت_چرم_مردانه</t>
  </si>
  <si>
    <t>کت_پاییزه_و_زمستانه_مردانه</t>
  </si>
  <si>
    <t>جلیقه_پاییزه_مردانه</t>
  </si>
  <si>
    <t>کاپشن_مردانه</t>
  </si>
  <si>
    <t>پیراهن_مردانه</t>
  </si>
  <si>
    <t>شلوارک_مردانه</t>
  </si>
  <si>
    <t>جوراب_و_ساق_مردانه</t>
  </si>
  <si>
    <t>هودی_مردانه</t>
  </si>
  <si>
    <t>سوییشرت_مردانه</t>
  </si>
  <si>
    <t>لباس_ورزشی_مردانه</t>
  </si>
  <si>
    <t>لباس_زیر_ورزشی_مردانه</t>
  </si>
  <si>
    <t>شلوار_ورزشی_مردانه</t>
  </si>
  <si>
    <t>تی_شرت_و_پولوشرت_ورزشی_مردانه</t>
  </si>
  <si>
    <t>کاپشن_و_جلیقه_ورزشی_مردانه</t>
  </si>
  <si>
    <t>شلوارک_ورزشی_مردانه</t>
  </si>
  <si>
    <t>سویشرت_و_هودی_ورزشی_مردانه</t>
  </si>
  <si>
    <t>گرمکن_و_ست_ورزشی_مردانه</t>
  </si>
  <si>
    <t>جوراب_ورزشی_مردانه</t>
  </si>
  <si>
    <t>لباس_شنا_مردانه</t>
  </si>
  <si>
    <t>مایو_و_لباس_شنای_مردانه</t>
  </si>
  <si>
    <t>لباس_غواصی_مردانه</t>
  </si>
  <si>
    <t>تاپ_مردانه</t>
  </si>
  <si>
    <t>تی_شرت_و_پولوشرت_مردانه</t>
  </si>
  <si>
    <t>شلوار_و_سرهمی_مردانه</t>
  </si>
  <si>
    <t>لباس_زیر_مردانه</t>
  </si>
  <si>
    <t>زیرپوش_مردانه</t>
  </si>
  <si>
    <t>شورت_مردانه</t>
  </si>
  <si>
    <t>کفش_مردانه</t>
  </si>
  <si>
    <t>نیم_بوت_مردانه</t>
  </si>
  <si>
    <t>بوت_مردانه</t>
  </si>
  <si>
    <t>گیوه_مردانه</t>
  </si>
  <si>
    <t>دمپایی_لاانگشتی_مردانه</t>
  </si>
  <si>
    <t>کفش_رسمی_مردانه</t>
  </si>
  <si>
    <t>صندل_مردانه</t>
  </si>
  <si>
    <t>دمپایی_مردانه</t>
  </si>
  <si>
    <t>کفش_ورزشی_مردانه</t>
  </si>
  <si>
    <t>کفش_روزمره_مردانه</t>
  </si>
  <si>
    <t>کفش_کالج_مردانه</t>
  </si>
  <si>
    <t>اکسسوری مردانه</t>
  </si>
  <si>
    <t>کوله_پشتی_مردانه</t>
  </si>
  <si>
    <t>کمربند_مردانه</t>
  </si>
  <si>
    <t>ساسبند_مردانه</t>
  </si>
  <si>
    <t>عینک_مردانه</t>
  </si>
  <si>
    <t>کیف_مردانه</t>
  </si>
  <si>
    <t>ست_هدیه_مردانه</t>
  </si>
  <si>
    <t>شال_مردانه</t>
  </si>
  <si>
    <t>دستکش_مردانه</t>
  </si>
  <si>
    <t>سرپوش_مردانه</t>
  </si>
  <si>
    <t>زیورآلات مردانه</t>
  </si>
  <si>
    <t>دستبند_مردانه</t>
  </si>
  <si>
    <t>زنجیر_مردانه</t>
  </si>
  <si>
    <t>ست_زیورآلات_مردانه</t>
  </si>
  <si>
    <t>گردنبند_مردانه</t>
  </si>
  <si>
    <t>آویز_مردانه</t>
  </si>
  <si>
    <t>انگشتر_مردانه</t>
  </si>
  <si>
    <t>دکمه_سردست_مردانه</t>
  </si>
  <si>
    <t>جعبه_جواهرات_مردانه</t>
  </si>
  <si>
    <t>ست_دستبند_زنانه_و_مردانه</t>
  </si>
  <si>
    <t>ست_انگشتر_زنانه_و_مردانه</t>
  </si>
  <si>
    <t>ست_آویز_زنانه_و_مردانه</t>
  </si>
  <si>
    <t>پیرسینگ_مردانه</t>
  </si>
  <si>
    <t>ساعت مردانه</t>
  </si>
  <si>
    <t>ساعت_عقربه‌ای_مردانه</t>
  </si>
  <si>
    <t>ساعت_دیجیتال</t>
  </si>
  <si>
    <t>لوازم_جانبی_ساعت_عقربه_ای_و_دیجیتال</t>
  </si>
  <si>
    <t>سایر اکسسوری‌ها</t>
  </si>
  <si>
    <t>ماسک_پارچه‌ای_مردانه</t>
  </si>
  <si>
    <t>پیکسل</t>
  </si>
  <si>
    <t>شستشو و نظافت</t>
  </si>
  <si>
    <t>ابزار نظافت</t>
  </si>
  <si>
    <t>سطل</t>
  </si>
  <si>
    <t>زمین شوی</t>
  </si>
  <si>
    <t>جارو و خاک‌انداز</t>
  </si>
  <si>
    <t>ست جارو همراه با خاک‌انداز</t>
  </si>
  <si>
    <t>فرچه</t>
  </si>
  <si>
    <t>سرویس نظافت</t>
  </si>
  <si>
    <t>دستکش نظافت</t>
  </si>
  <si>
    <t>پایه رول دستمال</t>
  </si>
  <si>
    <t>اسکاچ و سیم ظرفشویی</t>
  </si>
  <si>
    <t>دستمال کاغذی</t>
  </si>
  <si>
    <t>نظافت لباس</t>
  </si>
  <si>
    <t>سبد رخت چرک</t>
  </si>
  <si>
    <t>بند رخت</t>
  </si>
  <si>
    <t>گیره لباس</t>
  </si>
  <si>
    <t>کاور پوشاک</t>
  </si>
  <si>
    <t>کیسه وکیوم</t>
  </si>
  <si>
    <t>پرزگیر لباس</t>
  </si>
  <si>
    <t>دستگاه حشره کش و سوسک کش</t>
  </si>
  <si>
    <t>صوتی و تصویری</t>
  </si>
  <si>
    <t>تلویزیون</t>
  </si>
  <si>
    <t>میز تلویزیون</t>
  </si>
  <si>
    <t>کنسول بازی</t>
  </si>
  <si>
    <t>کنسول خانگی</t>
  </si>
  <si>
    <t>کنسول پرتابل</t>
  </si>
  <si>
    <t>لوازم جانبی کنسول بازی</t>
  </si>
  <si>
    <t>بازی های کنسول خانگی</t>
  </si>
  <si>
    <t>سینمای خانگی</t>
  </si>
  <si>
    <t>سیستم صوتی خانگی</t>
  </si>
  <si>
    <t>ضبط کننده صدا</t>
  </si>
  <si>
    <t>رادیو</t>
  </si>
  <si>
    <t>لوازم جانبی صوتی و تصویری</t>
  </si>
  <si>
    <t>لوازم جانبی پخش کننده های پرتابل</t>
  </si>
  <si>
    <t>سایر لوازم جانبی صوتی و تصویری</t>
  </si>
  <si>
    <t>عینک سه بعدی</t>
  </si>
  <si>
    <t>آنتن</t>
  </si>
  <si>
    <t>گیرنده - فرستنده صدا</t>
  </si>
  <si>
    <t>ریموت کنترل</t>
  </si>
  <si>
    <t>پایه دیواری و سقفی</t>
  </si>
  <si>
    <t>چندراهی برق و محافظ ولتاژ</t>
  </si>
  <si>
    <t>آداپتور برق</t>
  </si>
  <si>
    <t>پخش کننده و گیرنده چند رسانه ای</t>
  </si>
  <si>
    <t>پخش کننده Blu-Ray</t>
  </si>
  <si>
    <t>پخش کننده DVD</t>
  </si>
  <si>
    <t>پخش کننده خانگی</t>
  </si>
  <si>
    <t>پخش کننده چندرسانه ای پرتابل</t>
  </si>
  <si>
    <t>گیرنده دیجیتال DVB-T</t>
  </si>
  <si>
    <t>آمپلی فایر</t>
  </si>
  <si>
    <t>ساندبار</t>
  </si>
  <si>
    <t>آشپزخانه</t>
  </si>
  <si>
    <t>لوازم پخت و پز</t>
  </si>
  <si>
    <t>ابزار آشپزی</t>
  </si>
  <si>
    <t>ظروف پخت و پز</t>
  </si>
  <si>
    <t>زودپز</t>
  </si>
  <si>
    <t>شیر جوش - قهوه جوش</t>
  </si>
  <si>
    <t>سرویس پخت و پز</t>
  </si>
  <si>
    <t>تخته گوشت</t>
  </si>
  <si>
    <t>سایر ظروف</t>
  </si>
  <si>
    <t>قیچی آشپزخانه</t>
  </si>
  <si>
    <t>سرویس کفگیر و ملاقه</t>
  </si>
  <si>
    <t>فندک آشپزخانه</t>
  </si>
  <si>
    <t>منقل و باربیکیو</t>
  </si>
  <si>
    <t>تهیه و سرو چای و قهوه</t>
  </si>
  <si>
    <t>قوری</t>
  </si>
  <si>
    <t>کتری و قوری</t>
  </si>
  <si>
    <t>سرویس چای خوری</t>
  </si>
  <si>
    <t>کتری و سماور</t>
  </si>
  <si>
    <t>قهوه ساز و دمنوش ساز</t>
  </si>
  <si>
    <t>روقوری</t>
  </si>
  <si>
    <t>فیلتر چای</t>
  </si>
  <si>
    <t>ابزار کیک و شیرینی پزی</t>
  </si>
  <si>
    <t>قالب شیرینی پزی</t>
  </si>
  <si>
    <t>ابزار شیرینی پزی</t>
  </si>
  <si>
    <t>بستنی ساز</t>
  </si>
  <si>
    <t>حوله و دستمال آشپزخانه</t>
  </si>
  <si>
    <t>دستگیره</t>
  </si>
  <si>
    <t>دستمال نظافت</t>
  </si>
  <si>
    <t>پیش بند</t>
  </si>
  <si>
    <t>دم کنی</t>
  </si>
  <si>
    <t>زیر قابلمه‌ای و زیربشقابی</t>
  </si>
  <si>
    <t>کیسه نان و سبزی</t>
  </si>
  <si>
    <t>سرویس آشپزخانه</t>
  </si>
  <si>
    <t>محافظ و آبگیر کنار سینک</t>
  </si>
  <si>
    <t>دستمال نظافت خانه و آشپزخانه</t>
  </si>
  <si>
    <t>بشقاب و سایر ظروف</t>
  </si>
  <si>
    <t>ظروف نگهدارنده و  ظرف غذا</t>
  </si>
  <si>
    <t>شکر پاش و نمک پاش</t>
  </si>
  <si>
    <t>ظروف بنشن</t>
  </si>
  <si>
    <t>جای ادویه</t>
  </si>
  <si>
    <t>ظرف برنج</t>
  </si>
  <si>
    <t>ظرف نان</t>
  </si>
  <si>
    <t>بطری</t>
  </si>
  <si>
    <t>در قابلمه</t>
  </si>
  <si>
    <t>سبد سیب زمینی و پیاز</t>
  </si>
  <si>
    <t>ظروف سرو و پذیرایی</t>
  </si>
  <si>
    <t>سبد آشپزخانه</t>
  </si>
  <si>
    <t>ظرف و قالب یخ</t>
  </si>
  <si>
    <t>ظرف مربا و عسل</t>
  </si>
  <si>
    <t>قندان</t>
  </si>
  <si>
    <t>آبکش، کاسه، سطل</t>
  </si>
  <si>
    <t>آبکش و آبگیر</t>
  </si>
  <si>
    <t>صافی</t>
  </si>
  <si>
    <t>ارگانایزر</t>
  </si>
  <si>
    <t>قیف</t>
  </si>
  <si>
    <t>سرو و پذیرایی</t>
  </si>
  <si>
    <t>کاسه و پیاله</t>
  </si>
  <si>
    <t>سینی</t>
  </si>
  <si>
    <t>بستنی خوری</t>
  </si>
  <si>
    <t>پارچ، بطری و لیوان</t>
  </si>
  <si>
    <t>ماگ، لیوان و فنجان</t>
  </si>
  <si>
    <t>پارچ و بطری</t>
  </si>
  <si>
    <t>سرویس پارچ و لیوان</t>
  </si>
  <si>
    <t>قاشق، چنگال و کارد</t>
  </si>
  <si>
    <t>آسیاب نمک و فلفل</t>
  </si>
  <si>
    <t>سس خوری و آبلیمو خوری</t>
  </si>
  <si>
    <t>سرویس قاشق، کارد و چنگال</t>
  </si>
  <si>
    <t>سرویس غذاخوری</t>
  </si>
  <si>
    <t>کلمن و فلاسک</t>
  </si>
  <si>
    <t>لوازم یکبار مصرف آشپزخانه</t>
  </si>
  <si>
    <t>ابزار مهمانی</t>
  </si>
  <si>
    <t>بشقاب</t>
  </si>
  <si>
    <t>نگهدارنده و جای دستمال کاغذی</t>
  </si>
  <si>
    <t>رومیزی، رانر و زیر بشقابی</t>
  </si>
  <si>
    <t>رومیزی</t>
  </si>
  <si>
    <t>زیر لیوانی</t>
  </si>
  <si>
    <t>سفره</t>
  </si>
  <si>
    <t>سفره یکبار مصرف</t>
  </si>
  <si>
    <t>حیوانات خانگی</t>
  </si>
  <si>
    <t>تجهیزات آبزیان</t>
  </si>
  <si>
    <t>غذای آبزیان</t>
  </si>
  <si>
    <t>آکواریوم آبزیان</t>
  </si>
  <si>
    <t>دکور آبزیان</t>
  </si>
  <si>
    <t>افزودنیهای آب</t>
  </si>
  <si>
    <t>تجهیزات آکواریوم</t>
  </si>
  <si>
    <t>لوازم حیوانات خانگی</t>
  </si>
  <si>
    <t>غذا و مکمل حیوانات</t>
  </si>
  <si>
    <t>بهداشت، مراقبت و نگهداری حیوانات</t>
  </si>
  <si>
    <t>آموزش، سرگرمی و اکسسوری حیوانات</t>
  </si>
  <si>
    <t>لوازم خانگی برقی</t>
  </si>
  <si>
    <t>لوازم پخت و پز برقی</t>
  </si>
  <si>
    <t>سرخ کن</t>
  </si>
  <si>
    <t>اجاق گاز</t>
  </si>
  <si>
    <t>مایکروویو، مایکروفر</t>
  </si>
  <si>
    <t>توستر</t>
  </si>
  <si>
    <t>آون توستر</t>
  </si>
  <si>
    <t>ساندویچ ساز و وافل ساز</t>
  </si>
  <si>
    <t>بخارپز، هواپز، تخم مرغ پز، نان پز</t>
  </si>
  <si>
    <t>گریل و باربیکیو</t>
  </si>
  <si>
    <t>پلوپز</t>
  </si>
  <si>
    <t>آرام‌پز و زودپز برقی</t>
  </si>
  <si>
    <t>نوشیدنی ساز</t>
  </si>
  <si>
    <t>آبمیوه گیری</t>
  </si>
  <si>
    <t>آب مرکبات گیر</t>
  </si>
  <si>
    <t>چای ساز</t>
  </si>
  <si>
    <t>کتری برقی</t>
  </si>
  <si>
    <t>سماور برقی</t>
  </si>
  <si>
    <t>قهوه ساز</t>
  </si>
  <si>
    <t>اسپرسو ساز</t>
  </si>
  <si>
    <t>لوازم جانبی و مصرفی نوشیدنی‌ساز</t>
  </si>
  <si>
    <t>تصفیه آب و آبسردکن</t>
  </si>
  <si>
    <t>رستر قهوه</t>
  </si>
  <si>
    <t>لوازم جانبی تصفیه‌آب و آبسردکن</t>
  </si>
  <si>
    <t>خردکن و غذاساز</t>
  </si>
  <si>
    <t>غذاساز</t>
  </si>
  <si>
    <t>کرپ ساز</t>
  </si>
  <si>
    <t>همزن</t>
  </si>
  <si>
    <t>مخلوط کن</t>
  </si>
  <si>
    <t>چرخ گوشت</t>
  </si>
  <si>
    <t>خردکن</t>
  </si>
  <si>
    <t>آسیاب</t>
  </si>
  <si>
    <t>ماشین آشپزخانه</t>
  </si>
  <si>
    <t>گوشت کوب برقی</t>
  </si>
  <si>
    <t>لوازم مکمل آشپزخانه</t>
  </si>
  <si>
    <t>ترازوی آشپزخانه</t>
  </si>
  <si>
    <t>قوطی باز کن</t>
  </si>
  <si>
    <t>یخچال و فریزر</t>
  </si>
  <si>
    <t>لوازم شست و شو و نظافت</t>
  </si>
  <si>
    <t>لوازم جانبی جاروبرقی و بخار شو</t>
  </si>
  <si>
    <t>مینی واش</t>
  </si>
  <si>
    <t>ماشین ظرفشویی</t>
  </si>
  <si>
    <t>اتو</t>
  </si>
  <si>
    <t>لوازم اتو</t>
  </si>
  <si>
    <t>میز اتو</t>
  </si>
  <si>
    <t>لوازم جانبی اتو</t>
  </si>
  <si>
    <t>بخار شو</t>
  </si>
  <si>
    <t>جارو شارژی</t>
  </si>
  <si>
    <t>سرامیک شوی و فرش شوی</t>
  </si>
  <si>
    <t>ماشین لباسشویی</t>
  </si>
  <si>
    <t>تهویه، سرمایش و گرمایش</t>
  </si>
  <si>
    <t>شوفاژ برقی</t>
  </si>
  <si>
    <t>بخاری برقی</t>
  </si>
  <si>
    <t>پنکه</t>
  </si>
  <si>
    <t>بخاری</t>
  </si>
  <si>
    <t>کولر آبی</t>
  </si>
  <si>
    <t>کولر گازی</t>
  </si>
  <si>
    <t>پکیج شوفاژ دیواری گازسوز</t>
  </si>
  <si>
    <t>آبگرمکن</t>
  </si>
  <si>
    <t>مبدل حرارتی</t>
  </si>
  <si>
    <t>فن کویل</t>
  </si>
  <si>
    <t>فیلتر تصفیه کننده هوا</t>
  </si>
  <si>
    <t>تصفیه کننده هوا</t>
  </si>
  <si>
    <t>پنکه‌های دستی، شارژی، همراه، گیره‌ای و USB</t>
  </si>
  <si>
    <t>چرخ خیاطی</t>
  </si>
  <si>
    <t>لوازم ویژه خانگی برقی</t>
  </si>
  <si>
    <t>میوه خشک کن</t>
  </si>
  <si>
    <t>کرسی</t>
  </si>
  <si>
    <t>پلپ کننده کیسه</t>
  </si>
  <si>
    <t>گرم کن برقی</t>
  </si>
  <si>
    <t>دستگاه وکیوم</t>
  </si>
  <si>
    <t>سبزی خرد کن</t>
  </si>
  <si>
    <t>سایر لوازم ویژه خانگی برقی</t>
  </si>
  <si>
    <t>لوازم یدکی خانگی</t>
  </si>
  <si>
    <t>پارچ و کلمن تصفیه آب</t>
  </si>
  <si>
    <t>تصفیه کننده آب</t>
  </si>
  <si>
    <t>تا قبل از دکور نوشتکم</t>
  </si>
  <si>
    <t>بازگشت به بالا</t>
  </si>
  <si>
    <t>راهنما این صفحه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</si>
  <si>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</si>
  <si>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</si>
  <si>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</si>
  <si>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</si>
  <si>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</si>
  <si>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</si>
  <si>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</si>
  <si>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برنامه‌ریزی خروج کالا و وسایل | روش: خداحافظ وسایل اضافه</t>
  </si>
  <si>
    <t>سلول تعداد وسایل خارج شده</t>
  </si>
  <si>
    <t>تعداد تعداد وسایل خریداری شده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</si>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</sst>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</fonts>
  <fills count="43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89999084444715716"/>
        <bgColor indexed="64"/>
      </patternFill>
    </fill>
  </fills>
  <borders count="3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17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0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1" borderId="0" xfId="0" applyFill="1"/>
    <xf numFmtId="0" fontId="9" fillId="21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1" borderId="0" xfId="0" applyFont="1" applyFill="1" applyAlignment="1">
      <alignment horizontal="center" vertical="center" wrapText="1" readingOrder="2"/>
    </xf>
    <xf numFmtId="0" fontId="0" fillId="21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2" borderId="1" xfId="0" applyNumberFormat="1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49" fontId="8" fillId="22" borderId="1" xfId="0" applyNumberFormat="1" applyFont="1" applyFill="1" applyBorder="1" applyAlignment="1">
      <alignment horizontal="center" vertical="center"/>
    </xf>
    <xf numFmtId="0" fontId="8" fillId="22" borderId="1" xfId="0" applyNumberFormat="1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165" fontId="8" fillId="22" borderId="1" xfId="0" applyNumberFormat="1" applyFont="1" applyFill="1" applyBorder="1" applyAlignment="1">
      <alignment horizontal="center" vertical="center"/>
    </xf>
    <xf numFmtId="1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Font="1" applyFill="1" applyBorder="1" applyAlignment="1">
      <alignment horizontal="center" vertical="center" wrapText="1" readingOrder="2"/>
    </xf>
    <xf numFmtId="166" fontId="9" fillId="23" borderId="2" xfId="0" applyNumberFormat="1" applyFont="1" applyFill="1" applyBorder="1" applyAlignment="1">
      <alignment horizontal="center" vertical="center" wrapText="1" readingOrder="2"/>
    </xf>
    <xf numFmtId="49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NumberFormat="1" applyFont="1" applyFill="1" applyBorder="1" applyAlignment="1">
      <alignment horizontal="center" vertical="center" wrapText="1" readingOrder="2"/>
    </xf>
    <xf numFmtId="165" fontId="9" fillId="23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4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4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5" borderId="0" xfId="1" applyFont="1" applyFill="1" applyAlignment="1" applyProtection="1">
      <alignment horizontal="center" vertical="center"/>
    </xf>
    <xf numFmtId="0" fontId="3" fillId="26" borderId="0" xfId="1" applyFont="1" applyFill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14" fillId="27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8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8" borderId="0" xfId="0" applyFill="1"/>
    <xf numFmtId="0" fontId="0" fillId="0" borderId="0" xfId="0" applyFill="1"/>
    <xf numFmtId="0" fontId="15" fillId="29" borderId="0" xfId="0" applyFont="1" applyFill="1" applyAlignment="1">
      <alignment horizontal="center" vertical="center" wrapText="1" readingOrder="2"/>
    </xf>
    <xf numFmtId="0" fontId="0" fillId="29" borderId="0" xfId="0" applyFill="1"/>
    <xf numFmtId="0" fontId="19" fillId="16" borderId="0" xfId="0" applyFont="1" applyFill="1" applyAlignment="1">
      <alignment horizontal="center" vertical="center" wrapText="1" readingOrder="2"/>
    </xf>
    <xf numFmtId="0" fontId="20" fillId="16" borderId="0" xfId="0" applyFont="1" applyFill="1"/>
    <xf numFmtId="0" fontId="0" fillId="16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0" borderId="0" xfId="0" applyFont="1" applyFill="1" applyAlignment="1">
      <alignment horizontal="center" vertical="center" wrapText="1" readingOrder="2"/>
    </xf>
    <xf numFmtId="0" fontId="20" fillId="30" borderId="0" xfId="0" applyFont="1" applyFill="1"/>
    <xf numFmtId="0" fontId="0" fillId="30" borderId="0" xfId="0" applyFill="1"/>
    <xf numFmtId="0" fontId="13" fillId="31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4" borderId="0" xfId="0" applyFill="1"/>
    <xf numFmtId="169" fontId="23" fillId="34" borderId="0" xfId="0" applyNumberFormat="1" applyFont="1" applyFill="1" applyAlignment="1" applyProtection="1">
      <alignment horizontal="center" vertical="center"/>
    </xf>
    <xf numFmtId="0" fontId="21" fillId="34" borderId="0" xfId="0" applyNumberFormat="1" applyFont="1" applyFill="1" applyAlignment="1" applyProtection="1">
      <alignment horizontal="center" vertical="center"/>
    </xf>
    <xf numFmtId="0" fontId="4" fillId="19" borderId="0" xfId="0" applyFont="1" applyFill="1" applyAlignment="1" applyProtection="1">
      <alignment horizontal="center" vertical="center" wrapText="1" readingOrder="2"/>
    </xf>
    <xf numFmtId="0" fontId="4" fillId="34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20" fillId="34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7" borderId="0" xfId="0" applyFont="1" applyFill="1" applyAlignment="1" applyProtection="1">
      <alignment horizontal="center" vertical="center" wrapText="1" readingOrder="2"/>
    </xf>
    <xf numFmtId="0" fontId="27" fillId="17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9" borderId="0" xfId="0" applyFont="1" applyFill="1" applyAlignment="1" applyProtection="1">
      <alignment horizontal="center" vertical="center"/>
    </xf>
    <xf numFmtId="0" fontId="0" fillId="34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4" borderId="0" xfId="0" applyFont="1" applyFill="1" applyProtection="1"/>
    <xf numFmtId="0" fontId="0" fillId="34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1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1" borderId="0" xfId="1" applyNumberFormat="1" applyFont="1" applyFill="1" applyAlignment="1" applyProtection="1">
      <alignment horizontal="center" vertical="center"/>
    </xf>
    <xf numFmtId="0" fontId="0" fillId="36" borderId="0" xfId="0" applyFont="1" applyFill="1" applyProtection="1">
      <protection locked="0"/>
    </xf>
    <xf numFmtId="49" fontId="8" fillId="17" borderId="0" xfId="0" applyNumberFormat="1" applyFont="1" applyFill="1" applyAlignment="1" applyProtection="1">
      <alignment horizontal="center" vertical="center" wrapText="1" readingOrder="2"/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/>
    </xf>
    <xf numFmtId="0" fontId="0" fillId="36" borderId="0" xfId="0" applyFont="1" applyFill="1" applyProtection="1"/>
    <xf numFmtId="170" fontId="0" fillId="34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0" fontId="0" fillId="17" borderId="0" xfId="0" applyFont="1" applyFill="1" applyAlignment="1" applyProtection="1">
      <protection locked="0"/>
    </xf>
    <xf numFmtId="49" fontId="1" fillId="17" borderId="0" xfId="0" applyNumberFormat="1" applyFont="1" applyFill="1" applyAlignment="1" applyProtection="1">
      <alignment horizontal="right" vertical="center" readingOrder="2"/>
      <protection locked="0"/>
    </xf>
    <xf numFmtId="49" fontId="0" fillId="36" borderId="0" xfId="0" applyNumberFormat="1" applyFont="1" applyFill="1" applyAlignment="1" applyProtection="1">
      <protection locked="0"/>
    </xf>
    <xf numFmtId="0" fontId="32" fillId="36" borderId="0" xfId="0" applyFont="1" applyFill="1" applyProtection="1"/>
    <xf numFmtId="0" fontId="0" fillId="36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7" borderId="0" xfId="0" applyNumberFormat="1" applyFill="1" applyAlignment="1" applyProtection="1">
      <alignment horizontal="center" vertical="center" wrapText="1" readingOrder="2"/>
      <protection locked="0"/>
    </xf>
    <xf numFmtId="170" fontId="0" fillId="17" borderId="0" xfId="0" applyNumberFormat="1" applyFill="1" applyAlignment="1" applyProtection="1">
      <alignment horizontal="center" vertical="center" readingOrder="2"/>
      <protection locked="0"/>
    </xf>
    <xf numFmtId="3" fontId="0" fillId="36" borderId="0" xfId="0" applyNumberFormat="1" applyFill="1" applyProtection="1">
      <protection locked="0"/>
    </xf>
    <xf numFmtId="49" fontId="0" fillId="36" borderId="0" xfId="0" applyNumberFormat="1" applyFill="1" applyProtection="1">
      <protection locked="0"/>
    </xf>
    <xf numFmtId="170" fontId="0" fillId="36" borderId="0" xfId="0" applyNumberFormat="1" applyFill="1" applyAlignment="1" applyProtection="1">
      <protection locked="0"/>
    </xf>
    <xf numFmtId="0" fontId="0" fillId="0" borderId="0" xfId="0" applyAlignment="1" applyProtection="1">
      <alignment horizontal="center" vertical="center" wrapText="1" readingOrder="2"/>
    </xf>
    <xf numFmtId="0" fontId="0" fillId="34" borderId="0" xfId="0" applyFont="1" applyFill="1" applyProtection="1">
      <protection locked="0"/>
    </xf>
    <xf numFmtId="0" fontId="0" fillId="34" borderId="0" xfId="0" applyFill="1" applyProtection="1"/>
    <xf numFmtId="0" fontId="8" fillId="20" borderId="0" xfId="0" applyFont="1" applyFill="1" applyAlignment="1" applyProtection="1">
      <alignment horizontal="center" vertical="center" wrapText="1" readingOrder="2"/>
    </xf>
    <xf numFmtId="0" fontId="0" fillId="34" borderId="0" xfId="0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8" fillId="17" borderId="0" xfId="0" applyFont="1" applyFill="1" applyAlignment="1">
      <alignment horizontal="center" vertical="center" wrapText="1" readingOrder="2"/>
    </xf>
    <xf numFmtId="0" fontId="0" fillId="20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18" fillId="32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3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1" fillId="17" borderId="0" xfId="0" applyFont="1" applyFill="1" applyAlignment="1" applyProtection="1">
      <alignment horizontal="right" vertical="center" readingOrder="2"/>
    </xf>
    <xf numFmtId="0" fontId="0" fillId="36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20" borderId="0" xfId="0" applyNumberFormat="1" applyFont="1" applyFill="1" applyBorder="1" applyAlignment="1" applyProtection="1">
      <alignment horizontal="center" vertical="center" wrapText="1" readingOrder="2"/>
    </xf>
    <xf numFmtId="0" fontId="13" fillId="16" borderId="0" xfId="1" applyFont="1" applyFill="1" applyAlignment="1" applyProtection="1">
      <alignment horizontal="center" vertical="center" wrapText="1"/>
    </xf>
    <xf numFmtId="0" fontId="22" fillId="29" borderId="0" xfId="0" applyFont="1" applyFill="1" applyAlignment="1">
      <alignment horizontal="center" vertical="center" wrapText="1" readingOrder="2"/>
    </xf>
    <xf numFmtId="0" fontId="22" fillId="28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0" borderId="0" xfId="0" applyFont="1" applyFill="1" applyAlignment="1">
      <alignment horizontal="center" vertical="center" textRotation="180" wrapText="1" readingOrder="2"/>
    </xf>
    <xf numFmtId="0" fontId="22" fillId="16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0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8" borderId="0" xfId="0" applyNumberFormat="1" applyFont="1" applyFill="1" applyAlignment="1">
      <alignment horizontal="center" vertical="center" wrapText="1" readingOrder="2"/>
    </xf>
    <xf numFmtId="0" fontId="8" fillId="17" borderId="0" xfId="0" applyFont="1" applyFill="1" applyAlignment="1">
      <alignment horizontal="center" vertical="center" wrapText="1" readingOrder="2"/>
    </xf>
    <xf numFmtId="0" fontId="8" fillId="35" borderId="0" xfId="1" applyFont="1" applyFill="1" applyBorder="1" applyAlignment="1" applyProtection="1">
      <alignment horizontal="center" vertical="center" wrapText="1"/>
    </xf>
    <xf numFmtId="0" fontId="8" fillId="17" borderId="0" xfId="0" applyFont="1" applyFill="1" applyAlignment="1" applyProtection="1">
      <alignment horizontal="center" vertical="center" wrapText="1"/>
    </xf>
    <xf numFmtId="0" fontId="7" fillId="26" borderId="0" xfId="0" applyFont="1" applyFill="1" applyAlignment="1" applyProtection="1">
      <alignment horizontal="center" vertical="center" wrapText="1"/>
    </xf>
    <xf numFmtId="0" fontId="0" fillId="34" borderId="0" xfId="0" applyFill="1" applyAlignment="1">
      <alignment horizontal="center" vertical="center" wrapText="1" readingOrder="2"/>
    </xf>
    <xf numFmtId="0" fontId="33" fillId="19" borderId="0" xfId="0" applyFont="1" applyFill="1" applyAlignment="1">
      <alignment horizontal="center" vertical="center"/>
    </xf>
    <xf numFmtId="3" fontId="0" fillId="38" borderId="0" xfId="0" applyNumberFormat="1" applyFill="1" applyAlignment="1">
      <alignment horizontal="center" vertical="center" wrapText="1" readingOrder="2"/>
    </xf>
    <xf numFmtId="49" fontId="0" fillId="38" borderId="0" xfId="0" applyNumberFormat="1" applyFill="1" applyAlignment="1">
      <alignment horizontal="center" vertical="center" wrapText="1" readingOrder="2"/>
    </xf>
    <xf numFmtId="0" fontId="0" fillId="37" borderId="0" xfId="0" applyFill="1" applyAlignment="1">
      <alignment horizontal="center" vertical="center" wrapText="1" readingOrder="2"/>
    </xf>
    <xf numFmtId="49" fontId="0" fillId="39" borderId="0" xfId="0" applyNumberFormat="1" applyFill="1" applyAlignment="1">
      <alignment horizontal="center" vertical="center" wrapText="1" readingOrder="2"/>
    </xf>
    <xf numFmtId="3" fontId="0" fillId="39" borderId="0" xfId="0" applyNumberFormat="1" applyFill="1" applyAlignment="1">
      <alignment horizontal="center" vertical="center" wrapText="1" readingOrder="2"/>
    </xf>
    <xf numFmtId="165" fontId="18" fillId="39" borderId="0" xfId="0" applyNumberFormat="1" applyFont="1" applyFill="1" applyAlignment="1">
      <alignment horizontal="center" vertical="center" wrapText="1" readingOrder="2"/>
    </xf>
    <xf numFmtId="0" fontId="0" fillId="39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8" fillId="40" borderId="0" xfId="1" applyFont="1" applyFill="1" applyAlignment="1">
      <alignment horizontal="center" vertical="center" wrapText="1" readingOrder="2"/>
    </xf>
    <xf numFmtId="0" fontId="0" fillId="34" borderId="0" xfId="0" applyFill="1" applyAlignment="1">
      <alignment horizontal="right" vertical="center" wrapText="1" readingOrder="2"/>
    </xf>
    <xf numFmtId="3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1" fillId="41" borderId="3" xfId="0" applyFont="1" applyFill="1" applyBorder="1" applyAlignment="1">
      <alignment horizontal="center" vertical="center" wrapText="1" readingOrder="2"/>
    </xf>
    <xf numFmtId="0" fontId="1" fillId="41" borderId="0" xfId="0" applyFont="1" applyFill="1" applyAlignment="1">
      <alignment horizontal="center" vertical="center" wrapText="1" readingOrder="2"/>
    </xf>
    <xf numFmtId="0" fontId="7" fillId="0" borderId="0" xfId="0" applyFont="1" applyAlignment="1">
      <alignment horizontal="center" vertical="center" wrapText="1" readingOrder="2"/>
    </xf>
    <xf numFmtId="0" fontId="7" fillId="0" borderId="7" xfId="0" applyFont="1" applyBorder="1" applyAlignment="1">
      <alignment horizontal="center" vertical="center" wrapText="1" readingOrder="2"/>
    </xf>
    <xf numFmtId="0" fontId="7" fillId="0" borderId="3" xfId="0" applyFont="1" applyBorder="1" applyAlignment="1">
      <alignment horizontal="center" vertical="center" wrapText="1" readingOrder="2"/>
    </xf>
    <xf numFmtId="0" fontId="0" fillId="0" borderId="3" xfId="0" applyBorder="1" applyAlignment="1">
      <alignment horizontal="center" vertical="center" wrapText="1" readingOrder="2"/>
    </xf>
    <xf numFmtId="0" fontId="7" fillId="0" borderId="11" xfId="0" applyFont="1" applyBorder="1" applyAlignment="1">
      <alignment horizontal="center" vertical="center" wrapText="1" readingOrder="2"/>
    </xf>
    <xf numFmtId="0" fontId="1" fillId="41" borderId="25" xfId="0" applyFont="1" applyFill="1" applyBorder="1" applyAlignment="1">
      <alignment horizontal="center" vertical="center" wrapText="1" readingOrder="2"/>
    </xf>
    <xf numFmtId="0" fontId="0" fillId="0" borderId="5" xfId="0" applyBorder="1" applyAlignment="1">
      <alignment horizontal="center" vertical="center" wrapText="1" readingOrder="2"/>
    </xf>
    <xf numFmtId="0" fontId="0" fillId="0" borderId="9" xfId="0" applyBorder="1" applyAlignment="1">
      <alignment horizontal="center" vertical="center" wrapText="1" readingOrder="2"/>
    </xf>
    <xf numFmtId="0" fontId="0" fillId="0" borderId="11" xfId="0" applyBorder="1" applyAlignment="1">
      <alignment horizontal="center" vertical="center" wrapText="1" readingOrder="2"/>
    </xf>
    <xf numFmtId="0" fontId="7" fillId="0" borderId="8" xfId="0" applyFont="1" applyBorder="1" applyAlignment="1">
      <alignment horizontal="center" vertical="center" wrapText="1" readingOrder="2"/>
    </xf>
    <xf numFmtId="0" fontId="18" fillId="41" borderId="0" xfId="0" applyFont="1" applyFill="1" applyAlignment="1">
      <alignment horizontal="center" vertical="center" wrapText="1" readingOrder="2"/>
    </xf>
    <xf numFmtId="0" fontId="7" fillId="0" borderId="30" xfId="0" applyFont="1" applyBorder="1" applyAlignment="1">
      <alignment horizontal="center" vertical="center" wrapText="1" readingOrder="2"/>
    </xf>
    <xf numFmtId="0" fontId="0" fillId="23" borderId="31" xfId="0" applyFill="1" applyBorder="1" applyAlignment="1">
      <alignment horizontal="center" vertical="center"/>
    </xf>
    <xf numFmtId="0" fontId="1" fillId="42" borderId="25" xfId="0" applyFont="1" applyFill="1" applyBorder="1" applyAlignment="1">
      <alignment horizontal="center" vertical="center" wrapText="1" readingOrder="2"/>
    </xf>
    <xf numFmtId="0" fontId="7" fillId="0" borderId="26" xfId="0" applyFont="1" applyBorder="1" applyAlignment="1">
      <alignment horizontal="center" vertical="center" wrapText="1" readingOrder="2"/>
    </xf>
    <xf numFmtId="0" fontId="1" fillId="42" borderId="0" xfId="0" applyFont="1" applyFill="1" applyAlignment="1">
      <alignment horizontal="center" vertical="center" wrapText="1" readingOrder="2"/>
    </xf>
    <xf numFmtId="0" fontId="5" fillId="17" borderId="0" xfId="0" applyFont="1" applyFill="1" applyAlignment="1">
      <alignment vertical="center" wrapText="1" readingOrder="2"/>
    </xf>
    <xf numFmtId="0" fontId="8" fillId="17" borderId="0" xfId="0" applyFont="1" applyFill="1" applyAlignment="1">
      <alignment vertical="center" wrapText="1" readingOrder="2"/>
    </xf>
    <xf numFmtId="0" fontId="8" fillId="17" borderId="0" xfId="0" applyFont="1" applyFill="1" applyAlignment="1">
      <alignment vertical="center" readingOrder="2"/>
    </xf>
    <xf numFmtId="0" fontId="1" fillId="36" borderId="0" xfId="0" applyFont="1" applyFill="1" applyAlignment="1" applyProtection="1">
      <alignment horizontal="right" vertical="center" readingOrder="2"/>
    </xf>
    <xf numFmtId="0" fontId="5" fillId="38" borderId="0" xfId="0" applyFont="1" applyFill="1" applyAlignment="1"/>
    <xf numFmtId="0" fontId="5" fillId="39" borderId="0" xfId="0" applyFont="1" applyFill="1" applyAlignment="1">
      <alignment horizontal="center"/>
    </xf>
    <xf numFmtId="0" fontId="5" fillId="39" borderId="0" xfId="0" applyFont="1" applyFill="1" applyBorder="1" applyAlignment="1">
      <alignment horizontal="right"/>
    </xf>
    <xf numFmtId="0" fontId="5" fillId="39" borderId="0" xfId="0" applyFont="1" applyFill="1" applyBorder="1" applyAlignment="1">
      <alignment horizontal="center"/>
    </xf>
    <xf numFmtId="0" fontId="5" fillId="36" borderId="0" xfId="0" applyFont="1" applyFill="1" applyAlignment="1">
      <alignment horizontal="center"/>
    </xf>
    <xf numFmtId="0" fontId="5" fillId="36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37" borderId="0" xfId="0" applyFont="1" applyFill="1" applyAlignment="1">
      <alignment horizontal="right" vertical="center" wrapText="1" readingOrder="2"/>
    </xf>
    <xf numFmtId="0" fontId="13" fillId="37" borderId="0" xfId="0" applyFont="1" applyFill="1" applyAlignment="1">
      <alignment horizontal="right" vertical="center" readingOrder="2"/>
    </xf>
    <xf numFmtId="0" fontId="13" fillId="36" borderId="0" xfId="0" applyFont="1" applyFill="1" applyAlignment="1">
      <alignment horizontal="right" vertical="center" wrapText="1" readingOrder="2"/>
    </xf>
    <xf numFmtId="0" fontId="5" fillId="36" borderId="0" xfId="0" applyFont="1" applyFill="1" applyAlignment="1"/>
    <xf numFmtId="49" fontId="0" fillId="36" borderId="0" xfId="0" applyNumberFormat="1" applyFill="1"/>
    <xf numFmtId="3" fontId="0" fillId="36" borderId="0" xfId="0" applyNumberFormat="1" applyFill="1"/>
    <xf numFmtId="165" fontId="0" fillId="36" borderId="0" xfId="0" applyNumberFormat="1" applyFill="1"/>
    <xf numFmtId="0" fontId="0" fillId="36" borderId="0" xfId="0" applyFill="1" applyAlignment="1">
      <alignment horizontal="center" vertical="center" wrapText="1" readingOrder="2"/>
    </xf>
    <xf numFmtId="0" fontId="2" fillId="36" borderId="0" xfId="1" applyFill="1" applyAlignment="1">
      <alignment horizontal="center" vertical="center" wrapText="1" readingOrder="2"/>
    </xf>
    <xf numFmtId="3" fontId="0" fillId="36" borderId="0" xfId="0" applyNumberFormat="1" applyFill="1" applyAlignment="1">
      <alignment horizontal="center" vertical="center" wrapText="1" readingOrder="2"/>
    </xf>
    <xf numFmtId="49" fontId="0" fillId="36" borderId="0" xfId="0" applyNumberFormat="1" applyFill="1" applyAlignment="1">
      <alignment horizontal="center" vertical="center" wrapText="1" readingOrder="2"/>
    </xf>
    <xf numFmtId="0" fontId="4" fillId="15" borderId="0" xfId="0" applyFont="1" applyFill="1" applyAlignment="1" applyProtection="1">
      <alignment horizontal="center" vertical="center" wrapText="1" readingOrder="2"/>
    </xf>
    <xf numFmtId="0" fontId="8" fillId="15" borderId="0" xfId="0" applyFont="1" applyFill="1" applyAlignment="1" applyProtection="1">
      <alignment horizontal="center" vertical="center" wrapText="1" readingOrder="2"/>
    </xf>
    <xf numFmtId="0" fontId="9" fillId="15" borderId="0" xfId="0" applyFont="1" applyFill="1" applyAlignment="1" applyProtection="1">
      <alignment horizontal="center" vertical="center" wrapText="1" readingOrder="2"/>
    </xf>
    <xf numFmtId="0" fontId="5" fillId="15" borderId="33" xfId="0" applyFont="1" applyFill="1" applyBorder="1" applyAlignment="1" applyProtection="1">
      <alignment horizontal="center" vertical="center" wrapText="1" readingOrder="2"/>
    </xf>
    <xf numFmtId="0" fontId="5" fillId="15" borderId="11" xfId="0" applyFont="1" applyFill="1" applyBorder="1" applyAlignment="1" applyProtection="1">
      <alignment horizontal="center" vertical="center" wrapText="1" readingOrder="2"/>
    </xf>
    <xf numFmtId="0" fontId="5" fillId="15" borderId="34" xfId="0" applyFont="1" applyFill="1" applyBorder="1" applyAlignment="1" applyProtection="1">
      <alignment horizontal="center" vertical="center" wrapText="1" readingOrder="2"/>
    </xf>
    <xf numFmtId="0" fontId="0" fillId="5" borderId="0" xfId="0" applyFill="1"/>
    <xf numFmtId="0" fontId="8" fillId="5" borderId="33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34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 applyProtection="1">
      <alignment horizontal="center" vertical="center" wrapText="1" readingOrder="2"/>
    </xf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1" fillId="17" borderId="0" xfId="0" applyFont="1" applyFill="1" applyAlignment="1" applyProtection="1">
      <alignment horizontal="center" vertical="center" wrapText="1" readingOrder="2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14" borderId="0" xfId="0" applyFill="1"/>
    <xf numFmtId="0" fontId="0" fillId="14" borderId="0" xfId="0" applyFont="1" applyFill="1" applyAlignment="1" applyProtection="1">
      <alignment horizontal="center" vertical="center" wrapText="1" readingOrder="2"/>
    </xf>
    <xf numFmtId="0" fontId="8" fillId="14" borderId="32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34" borderId="0" xfId="0" applyFill="1" applyAlignment="1" applyProtection="1">
      <alignment horizontal="center" vertical="center" wrapText="1" readingOrder="2"/>
      <protection locked="0"/>
    </xf>
    <xf numFmtId="0" fontId="0" fillId="12" borderId="0" xfId="0" applyFill="1" applyAlignment="1">
      <alignment horizontal="center" vertical="center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12" borderId="0" xfId="0" applyNumberFormat="1" applyFont="1" applyFill="1" applyAlignment="1" applyProtection="1">
      <alignment horizontal="center" vertical="center" wrapText="1" readingOrder="2"/>
    </xf>
    <xf numFmtId="0" fontId="1" fillId="12" borderId="32" xfId="0" applyFont="1" applyFill="1" applyBorder="1" applyAlignment="1" applyProtection="1">
      <alignment horizontal="center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border>
        <bottom style="double">
          <color indexed="64"/>
        </bottom>
      </border>
    </dxf>
    <dxf>
      <border outline="0">
        <top style="thin">
          <color theme="1"/>
        </top>
      </border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404" dataDxfId="403">
  <autoFilter ref="A7:N507" xr:uid="{00000000-0009-0000-0100-000003000000}"/>
  <tableColumns count="14">
    <tableColumn id="1" xr3:uid="{00000000-0010-0000-0000-000001000000}" name="ردیف" dataDxfId="402"/>
    <tableColumn id="2" xr3:uid="{00000000-0010-0000-0000-000002000000}" name="افراد (اعضا)" dataDxfId="401"/>
    <tableColumn id="4" xr3:uid="{00000000-0010-0000-0000-000004000000}" name="تاریخ" dataDxfId="400"/>
    <tableColumn id="5" xr3:uid="{00000000-0010-0000-0000-000005000000}" name="عنوان" dataDxfId="399"/>
    <tableColumn id="14" xr3:uid="{00000000-0010-0000-0000-00000E000000}" name="تراکنش" dataDxfId="398"/>
    <tableColumn id="6" xr3:uid="{00000000-0010-0000-0000-000006000000}" name="گروه (درآمد/هزینه)" dataDxfId="397"/>
    <tableColumn id="7" xr3:uid="{00000000-0010-0000-0000-000007000000}" name="زیر گروه" dataDxfId="396"/>
    <tableColumn id="3" xr3:uid="{00000000-0010-0000-0000-000003000000}" name="روش تراکنش" dataDxfId="395"/>
    <tableColumn id="8" xr3:uid="{00000000-0010-0000-0000-000008000000}" name="مبلغ (ریال)" dataDxfId="394"/>
    <tableColumn id="9" xr3:uid="{00000000-0010-0000-0000-000009000000}" name="پرداخت کننده" dataDxfId="393"/>
    <tableColumn id="10" xr3:uid="{00000000-0010-0000-0000-00000A000000}" name="دریافت کننده" dataDxfId="392"/>
    <tableColumn id="11" xr3:uid="{00000000-0010-0000-0000-00000B000000}" name="مانده حساب‌ها" dataDxfId="391" dataCellStyle="Currency"/>
    <tableColumn id="12" xr3:uid="{00000000-0010-0000-0000-00000C000000}" name="نوع خرج" dataDxfId="390"/>
    <tableColumn id="13" xr3:uid="{00000000-0010-0000-0000-00000D000000}" name="ملاحظات" dataDxfId="38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88" dataDxfId="387" totalsRowDxfId="386">
  <autoFilter ref="D2:K30" xr:uid="{42DADA0B-0B6E-471B-8179-A8983A9B7F20}"/>
  <tableColumns count="8">
    <tableColumn id="7" xr3:uid="{46F43D95-9902-48AB-884C-F451DC2D7FAD}" name="نوع" dataDxfId="84" totalsRowDxfId="83"/>
    <tableColumn id="1" xr3:uid="{DD414367-F788-4733-BEA6-377AEC32C3FF}" name="عنوان" totalsRowLabel="مانده:" dataDxfId="82" totalsRowDxfId="81"/>
    <tableColumn id="4" xr3:uid="{134980A4-4BA6-499B-B1F0-88F36A6CD787}" name="اهمیت" dataDxfId="80" totalsRowDxfId="79"/>
    <tableColumn id="2" xr3:uid="{F1FA2425-CBFB-4F05-8BD4-1DF8DC85BFF4}" name="مبلغ بودجه (ریال)" totalsRowFunction="sum" dataDxfId="78" totalsRowDxfId="77"/>
    <tableColumn id="6" xr3:uid="{89994E85-8B50-411A-87FD-D9E3D61DE5CD}" name="عملیات و تاریخ  مقرر " dataDxfId="76" totalsRowDxfId="75"/>
    <tableColumn id="3" xr3:uid="{5769A98B-C5B5-403D-BB77-C90472D5BF72}" name="ملاحظات" dataDxfId="74" totalsRowDxfId="73"/>
    <tableColumn id="9" xr3:uid="{CAB497DF-1678-41B3-8376-86B9A08D3445}" name="وضعیت عملیات" dataDxfId="72" totalsRowDxfId="71"/>
    <tableColumn id="5" xr3:uid="{182B9E66-EE1A-44DE-B4B4-F623AD05F6F8}" name="لینک رسید و تاریخ عملیات" dataDxfId="70" totalsRowDxfId="69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1:K7" totalsRowCount="1" headerRowDxfId="385" dataDxfId="384" totalsRowDxfId="383">
  <autoFilter ref="D1:K6" xr:uid="{2AED775E-0580-4586-9DD7-1307A295C19A}"/>
  <tableColumns count="8">
    <tableColumn id="1" xr3:uid="{C6B1C087-18D2-4286-906F-B33A7B1F3A07}" name="ردیف" totalsRowLabel="Total" dataDxfId="138" totalsRowDxfId="53"/>
    <tableColumn id="2" xr3:uid="{C66CC0FB-71CE-4604-9CCE-83F8274F9FDE}" name="تاریخ" dataDxfId="137" totalsRowDxfId="52"/>
    <tableColumn id="3" xr3:uid="{F65E6844-8F46-4532-A822-05752BCB35D3}" name="بابت" dataDxfId="136" totalsRowDxfId="51"/>
    <tableColumn id="4" xr3:uid="{44B522F5-C660-407E-B343-594A19F54E50}" name="مبلغ (ریال)" totalsRowFunction="sum" dataDxfId="135" totalsRowDxfId="50"/>
    <tableColumn id="15" xr3:uid="{EF2F91E4-B493-4D1D-A280-C7E4262BA70B}" name="پرداخت کننده" dataDxfId="134" totalsRowDxfId="49"/>
    <tableColumn id="5" xr3:uid="{981E60EF-5ABE-44B1-BAC8-AF37CEDEBBC1}" name="دریافت کننده" dataDxfId="133" totalsRowDxfId="48"/>
    <tableColumn id="6" xr3:uid="{01F8159F-C048-413D-A233-C70050BAA01C}" name="رسید تراکنش" dataDxfId="132" totalsRowDxfId="47"/>
    <tableColumn id="12" xr3:uid="{E1A50250-48F8-4972-927C-843E1BF519D4}" name="ملاحظات" dataDxfId="131" totalsRowDxfId="46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A39:A48" totalsRowShown="0" headerRowDxfId="382" dataDxfId="381">
  <autoFilter ref="A39:A48" xr:uid="{AF54F0D0-8574-41AA-9927-39DC6232EA3E}"/>
  <tableColumns count="1">
    <tableColumn id="1" xr3:uid="{33274848-D34F-4AB5-A6C4-C8CC15B46344}" name="لیست دریافت کنندگان مشترک" dataDxfId="38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79" dataDxfId="378" totalsRowDxfId="377">
  <autoFilter ref="M2:T17" xr:uid="{C6BFB907-AF34-4120-8643-C3F3C34D3FF0}"/>
  <tableColumns count="8">
    <tableColumn id="7" xr3:uid="{906DA9B9-89A5-4F98-AA00-A40DFF1D5937}" name="نوع" dataDxfId="376" totalsRowDxfId="7"/>
    <tableColumn id="1" xr3:uid="{32880057-5030-4F5C-9869-8DA0742F486E}" name="عنوان" totalsRowLabel="مانده:" dataDxfId="375" totalsRowDxfId="6"/>
    <tableColumn id="4" xr3:uid="{1B540053-4F04-4C5C-989F-2285DB78C91F}" name="اهمیت" dataDxfId="374" totalsRowDxfId="5"/>
    <tableColumn id="2" xr3:uid="{BA17F4B4-9221-4B24-B220-3D62409234D6}" name="مبلغ بودجه (ریال)" totalsRowFunction="sum" dataDxfId="373" totalsRowDxfId="4"/>
    <tableColumn id="6" xr3:uid="{08546F04-4128-43DC-BD81-70F8F2954FB6}" name="عملیات و تاریخ  مقرر " dataDxfId="372" totalsRowDxfId="3"/>
    <tableColumn id="3" xr3:uid="{03534C5D-3CFA-454E-9637-DA321D548A3B}" name="ملاحظات" dataDxfId="371" totalsRowDxfId="2"/>
    <tableColumn id="9" xr3:uid="{4D6F3F09-8DBB-4F13-8572-898CD150F6E6}" name="وضعیت عملیات" dataDxfId="370" totalsRowDxfId="1"/>
    <tableColumn id="5" xr3:uid="{16061E04-BB85-4A80-AF2A-8C776F386F37}" name="لینک رسید و تاریخ عملیات" dataDxfId="369" totalsRowDxfId="0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20:A23" totalsRowShown="0" headerRowDxfId="184" dataDxfId="183">
  <autoFilter ref="A20:A23" xr:uid="{9ED9E0CF-CD90-46B6-9C11-B5D68BDF594B}"/>
  <tableColumns count="1">
    <tableColumn id="1" xr3:uid="{20A92359-65E0-4CF5-92B9-5443337BAF08}" name="دسته ورودی" dataDxfId="182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A75:A79" totalsRowShown="0" headerRowDxfId="181" dataDxfId="180">
  <autoFilter ref="A75:A79" xr:uid="{1EAAB8A0-953B-408D-820C-ED446BA2C8F1}"/>
  <tableColumns count="1">
    <tableColumn id="1" xr3:uid="{0466B2E5-ECB0-4069-9BEC-3D2FD403708E}" name="راهنما" dataDxfId="179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27:A33" totalsRowShown="0" headerRowDxfId="178" dataDxfId="177">
  <autoFilter ref="A27:A33" xr:uid="{091FC02F-B51E-4B83-888B-9170BA69B5BC}"/>
  <tableColumns count="1">
    <tableColumn id="1" xr3:uid="{7112ED34-3B17-40F0-82A6-4EFB5DE2ED32}" name="دسته خروجی" dataDxfId="17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ref="A1006:A1019" totalsRowShown="0" headerRowDxfId="175" dataDxfId="174">
  <autoFilter ref="A1006:A1019" xr:uid="{A32A1701-5D97-47AF-9FFB-C12F6E59E782}"/>
  <sortState xmlns:xlrd2="http://schemas.microsoft.com/office/spreadsheetml/2017/richdata2" ref="A1007:A1019">
    <sortCondition ref="A1006:A1019"/>
  </sortState>
  <tableColumns count="1">
    <tableColumn id="1" xr3:uid="{C1453AF1-189B-42C6-8C3F-C0F021B6AC13}" name="لیست تحویل دهنده | گیرنده کالا" dataDxfId="173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83:A93" totalsRowShown="0" headerRowDxfId="172" dataDxfId="171">
  <autoFilter ref="A83:A93" xr:uid="{1FC65F67-9592-C849-A57F-DF9DD0F8A292}"/>
  <tableColumns count="1">
    <tableColumn id="1" xr3:uid="{A8C1B820-8069-4573-B755-54F968FDC5C5}" name="لیست دسته کالا" dataDxfId="170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58D621F-988F-4130-B9B9-B3DAED5652BA}" name="جدول66" displayName="جدول66" ref="A97:A300" totalsRowShown="0" headerRowDxfId="169" dataDxfId="168">
  <autoFilter ref="A97:A300" xr:uid="{9657BAD9-7B85-AA49-BF6B-BF438504988B}"/>
  <tableColumns count="1">
    <tableColumn id="1" xr3:uid="{27638823-735A-46EE-B49F-2041D027D648}" name="کالای_دیجیتال" dataDxfId="16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70EBB45D-F3AA-4CBD-9FDD-E637AB0C8970}" name="جدول67" displayName="جدول67" ref="A304:A316" totalsRowShown="0" headerRowDxfId="166" dataDxfId="165">
  <autoFilter ref="A304:A316" xr:uid="{4636600D-4C0E-0345-A74A-FF5D668C38C8}"/>
  <tableColumns count="1">
    <tableColumn id="1" xr3:uid="{3C21D5D7-E4E3-495C-934D-1D422A369ABD}" name="خودرو،_ابزار_و_تجهیزات_صنعتی" dataDxfId="164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9C6D924-2427-4712-A040-A1C5E3EB6EF1}" name="Table65" displayName="Table65" ref="A320:A403" totalsRowShown="0" headerRowDxfId="163" dataDxfId="162">
  <autoFilter ref="A320:A403" xr:uid="{F62A72F6-F562-485B-B23D-FE9A7C22A770}"/>
  <tableColumns count="1">
    <tableColumn id="1" xr3:uid="{CB282EFE-1325-4B5F-A3C9-A95ADC85A5A2}" name="مد_و_پوشاک" dataDxfId="161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O9" totalsRowShown="0" headerRowDxfId="160" dataDxfId="118">
  <autoFilter ref="D2:O9" xr:uid="{8DB423BC-62BB-4963-BB3C-71D63DEF414D}"/>
  <tableColumns count="12">
    <tableColumn id="1" xr3:uid="{D2FB81D8-053F-4C66-9D84-FFE500D8CAB6}" name="ردیف" dataDxfId="130"/>
    <tableColumn id="2" xr3:uid="{9B68868D-C629-43FE-9F5F-2930D4BFCD02}" name="تاریخ" dataDxfId="129"/>
    <tableColumn id="3" xr3:uid="{E5A08DB4-721E-450F-925D-B83AA74A5AFF}" name="دسته کالا" dataDxfId="128"/>
    <tableColumn id="4" xr3:uid="{8A338918-1A6A-4B60-B5D0-793C0DE7A54A}" name="گروه کالا" dataDxfId="127"/>
    <tableColumn id="5" xr3:uid="{FFD140E2-1299-4416-A05A-79F9C1455A1E}" name="شرح کالا" dataDxfId="126"/>
    <tableColumn id="12" xr3:uid="{E4D049D9-EE8A-4F8C-BBC0-19B3D7BCD719}" name="تعداد کالا" dataDxfId="125"/>
    <tableColumn id="6" xr3:uid="{28CEB1B7-CAB8-4D1D-ABA9-24E08D8E0821}" name="کالای ورود | خروج" dataDxfId="124"/>
    <tableColumn id="7" xr3:uid="{0A166D41-6596-44C1-9C0E-85DF28A76133}" name="دسته کالای ورود | خروج" dataDxfId="123"/>
    <tableColumn id="8" xr3:uid="{164E1C31-5F59-4D0C-B773-FEB3D7537769}" name="تحویل دهنده کالا" dataDxfId="122"/>
    <tableColumn id="9" xr3:uid="{A258D195-EE18-4B39-AA84-B7390B1A7211}" name="تحویل گیرنده کالا" dataDxfId="121"/>
    <tableColumn id="10" xr3:uid="{8B06EF76-3B64-47B4-8E58-15E598B43F9A}" name="ملاحظات" dataDxfId="120"/>
    <tableColumn id="11" xr3:uid="{A3B7F579-86BE-46C5-922E-55BF4C6801B1}" name="لینک تصویر کالا" dataDxfId="119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F4075CC-D4CF-40ED-A5B8-AAA4A7E135EE}" name="Table69" displayName="Table69" ref="AE2:AK9" totalsRowShown="0" headerRowDxfId="159" dataDxfId="97">
  <autoFilter ref="AE2:AK9" xr:uid="{0E9F13EA-8A5C-4AB1-827C-F6CA825B4B31}"/>
  <sortState xmlns:xlrd2="http://schemas.microsoft.com/office/spreadsheetml/2017/richdata2" ref="AE3:AK19">
    <sortCondition ref="AI2:AI19"/>
  </sortState>
  <tableColumns count="7">
    <tableColumn id="1" xr3:uid="{88D91054-C8F3-4526-8D45-B566D2F6E55D}" name="ردیف" dataDxfId="96"/>
    <tableColumn id="2" xr3:uid="{258A4F2F-9FF9-467A-99F4-EF2E6DDF4DF9}" name="دسته کالا" dataDxfId="103"/>
    <tableColumn id="3" xr3:uid="{D19ACE46-E082-4E26-915F-16E2F59C92EB}" name="گروه کالا" dataDxfId="102"/>
    <tableColumn id="4" xr3:uid="{B0527281-52BA-4E7F-A1A0-F50BB52F7C01}" name="شرح کالا" dataDxfId="101"/>
    <tableColumn id="5" xr3:uid="{1D22F91E-3985-4CEC-9B21-17A9D6697E32}" name="مالک کالا" dataDxfId="100"/>
    <tableColumn id="6" xr3:uid="{3DC74A41-A47B-4CB1-A8A0-F427B7AE84D5}" name="وضعیت کالا" dataDxfId="99"/>
    <tableColumn id="7" xr3:uid="{76EF04DC-1067-4219-A58A-913ECEE00348}" name="ملاحظات" dataDxfId="98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2728AC7-771C-4073-8E51-990F1D2F7194}" name="ProductStatusTable" displayName="ProductStatusTable" ref="A37:A45" totalsRowShown="0" headerRowDxfId="158" dataDxfId="157">
  <autoFilter ref="A37:A45" xr:uid="{4C1B60EE-9813-47D7-A523-31E41FED0FB9}"/>
  <tableColumns count="1">
    <tableColumn id="1" xr3:uid="{9F241F03-BEE8-4F6F-98F3-F34D6D843E77}" name="وضعیت کالا" dataDxfId="156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M2:AU9" totalsRowShown="0" headerRowDxfId="155" dataDxfId="154">
  <autoFilter ref="AM2:AU9" xr:uid="{9C6741DB-820C-48D8-A4F1-631BBF62AB22}"/>
  <tableColumns count="9">
    <tableColumn id="1" xr3:uid="{FE981FEE-7B34-4C41-BB5C-3A492E83AA59}" name="ردیف" dataDxfId="95"/>
    <tableColumn id="2" xr3:uid="{691DD8C5-6635-4E35-85AC-F7C7849B153B}" name="دسته کالا" dataDxfId="94"/>
    <tableColumn id="3" xr3:uid="{8583E1DE-99E5-49F0-AEB9-17DB385E6E0B}" name="گروه کالا" dataDxfId="93"/>
    <tableColumn id="4" xr3:uid="{167D085D-FA38-4DD2-AA50-CC8B010FC32D}" name="شرح کالا" dataDxfId="92"/>
    <tableColumn id="5" xr3:uid="{57462AF5-D433-4BDE-9FF0-898C9DAD082F}" name="شرح عیب کالا" dataDxfId="91"/>
    <tableColumn id="6" xr3:uid="{0E0C789A-526E-47F3-9848-CE636158E165}" name="ملاحظات رفع عیب" dataDxfId="90"/>
    <tableColumn id="7" xr3:uid="{AF0701CC-B3F1-466F-8A02-664E27D309D8}" name="وضعیت تعمیر کالا" dataDxfId="89"/>
    <tableColumn id="9" xr3:uid="{9C56A1BE-F38B-4F0F-8F65-4A485E649403}" name="آرشیو" dataDxfId="88"/>
    <tableColumn id="8" xr3:uid="{FCA6FA39-0DBA-4E4C-B2A7-04766611A2BC}" name="ملاحظات مالی" dataDxfId="87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49:A53" totalsRowShown="0" headerRowDxfId="153" dataDxfId="152">
  <autoFilter ref="A49:A53" xr:uid="{BB969E9E-B2AB-40E5-84E2-8810FF9E947C}"/>
  <tableColumns count="1">
    <tableColumn id="1" xr3:uid="{F058078A-699D-450F-AC6A-F5B676111455}" name="وضعیت تعمیر کالا" dataDxfId="151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57:A62" totalsRowShown="0" headerRowDxfId="150" dataDxfId="149">
  <autoFilter ref="A57:A62" xr:uid="{F867909B-9723-4D88-ABFB-F8AFB1349957}"/>
  <tableColumns count="1">
    <tableColumn id="1" xr3:uid="{AC265F58-4BD8-4EE6-9D36-97273739BB2B}" name="وضعیت تهیه کالا" dataDxfId="148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Q2:AC9" totalsRowShown="0" headerRowDxfId="147" dataDxfId="109">
  <autoFilter ref="Q2:AC9" xr:uid="{C47851D2-206E-4057-A100-426D8D29EEB5}"/>
  <tableColumns count="13">
    <tableColumn id="1" xr3:uid="{B855F12E-7BDB-4261-82D9-A160AEA015E1}" name="ردیف" dataDxfId="117"/>
    <tableColumn id="2" xr3:uid="{33AEF0AB-9504-4368-BF02-97877CF44A6F}" name="دسته کالا" dataDxfId="116"/>
    <tableColumn id="3" xr3:uid="{8B4D7860-A632-4130-BE1B-A0EEC954A7DE}" name="گروه کالا" dataDxfId="115"/>
    <tableColumn id="4" xr3:uid="{693D8667-265A-4A6C-B516-DABC6F5B1899}" name="شرح کالا" dataDxfId="114"/>
    <tableColumn id="5" xr3:uid="{BB513177-840D-4318-B844-94FD9F02C9E6}" name="اهمیت" dataDxfId="113"/>
    <tableColumn id="16" xr3:uid="{D7F0D13C-92BF-4C32-9C04-3BB836883F86}" name="تعداد" dataDxfId="112"/>
    <tableColumn id="15" xr3:uid="{4A29B0AE-5409-4155-A332-F4DFEF442C6D}" name="قیمت واحد" dataDxfId="108"/>
    <tableColumn id="6" xr3:uid="{6372E0F9-EEA7-4DB4-8B95-3A697436E920}" name="قیمت کل" dataDxfId="107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106"/>
    <tableColumn id="8" xr3:uid="{E8CBCD21-AAE9-48BC-AEAD-E077DB19C075}" name="مانده تا هدف" dataDxfId="104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105"/>
    <tableColumn id="11" xr3:uid="{84E0A9EA-CFFF-4868-B9AF-C14B482636C2}" name="وضعیت تهیه کالا" dataDxfId="111"/>
    <tableColumn id="12" xr3:uid="{962B53C8-D2E6-4D79-BD41-2E6E572B3AE6}" name="ملاحظات" dataDxfId="110"/>
  </tableColumns>
  <tableStyleInfo name="TableStyleMedium1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D467254A-A143-40BC-9176-A2724EF5A570}" name="ProductPriorityTable" displayName="ProductPriorityTable" ref="A65:A70" totalsRowShown="0" headerRowDxfId="146" dataDxfId="145">
  <autoFilter ref="A65:A70" xr:uid="{A593BD1F-1BED-4B08-B027-870ED9EC76F0}"/>
  <tableColumns count="1">
    <tableColumn id="1" xr3:uid="{9F409BA0-233E-4885-BBC0-84951573817C}" name="جدول اولویت تهیه کالا" dataDxfId="144"/>
  </tableColumns>
  <tableStyleInfo name="TableStyleMedium1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D925A40-CAF2-4531-8775-12B9C97E5ADB}" name="Table76" displayName="Table76" ref="A407:A629" totalsRowShown="0" headerRowDxfId="143" dataDxfId="142" headerRowBorderDxfId="140" tableBorderDxfId="141">
  <autoFilter ref="A407:A629" xr:uid="{395593F1-100C-4718-B538-2E018F58554C}"/>
  <tableColumns count="1">
    <tableColumn id="1" xr3:uid="{8B8D7A3E-2F1C-4E5D-8D66-1317132ABDDE}" name="خانه_و_آشپزخانه" dataDxfId="139"/>
  </tableColumns>
  <tableStyleInfo name="TableStyleMedium1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16:A18" totalsRowShown="0" headerRowDxfId="187" dataDxfId="186">
  <autoFilter ref="A16:A18" xr:uid="{C2EF4E78-E6AC-4EA0-9E00-C2B84F1BF519}"/>
  <tableColumns count="1">
    <tableColumn id="1" xr3:uid="{E27689AE-D073-4984-9DD5-68CCE768166C}" name="لیست حالت‌ها" dataDxfId="185"/>
  </tableColumns>
  <tableStyleInfo name="TableStyleMedium1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368" dataDxfId="367">
  <autoFilter ref="A4:B12" xr:uid="{00000000-0009-0000-0100-00000A000000}"/>
  <tableColumns count="2">
    <tableColumn id="1" xr3:uid="{00000000-0010-0000-0100-000001000000}" name="کد گروه درآمدی" dataDxfId="366"/>
    <tableColumn id="2" xr3:uid="{00000000-0010-0000-0100-000002000000}" name="نام گروه درآمد" dataDxfId="365"/>
  </tableColumns>
  <tableStyleInfo name="TableStyleMedium1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364" dataDxfId="363">
  <autoFilter ref="F5:F6" xr:uid="{00000000-0009-0000-0100-00000B000000}"/>
  <tableColumns count="1">
    <tableColumn id="1" xr3:uid="{00000000-0010-0000-0200-000001000000}" name="دستمزد" dataDxfId="362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361" dataDxfId="360">
  <autoFilter ref="H5:H6" xr:uid="{00000000-0009-0000-0100-00000C000000}"/>
  <tableColumns count="1">
    <tableColumn id="1" xr3:uid="{00000000-0010-0000-0300-000001000000}" name="منفعت کسب" dataDxfId="35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358" dataDxfId="357">
  <autoFilter ref="J5:J6" xr:uid="{00000000-0009-0000-0100-00000D000000}"/>
  <tableColumns count="1">
    <tableColumn id="1" xr3:uid="{00000000-0010-0000-0400-000001000000}" name="سود سرمایه‌گذاری" dataDxfId="356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355" dataDxfId="354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353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352" dataDxfId="351">
  <autoFilter ref="N5:N6" xr:uid="{00000000-0009-0000-0100-000010000000}"/>
  <tableColumns count="1">
    <tableColumn id="1" xr3:uid="{00000000-0010-0000-0600-000001000000}" name="دریافت رهن و اجاره" dataDxfId="350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349" dataDxfId="348">
  <autoFilter ref="P5:P6" xr:uid="{00000000-0009-0000-0100-000011000000}"/>
  <tableColumns count="1">
    <tableColumn id="1" xr3:uid="{00000000-0010-0000-0700-000001000000}" name="دریافت وام" dataDxfId="347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346" dataDxfId="345">
  <autoFilter ref="R5:R6" xr:uid="{00000000-0009-0000-0100-000012000000}"/>
  <tableColumns count="1">
    <tableColumn id="1" xr3:uid="{00000000-0010-0000-0800-000001000000}" name="درآمد متفرقه" dataDxfId="34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343" dataDxfId="342">
  <autoFilter ref="D5:D6" xr:uid="{00000000-0009-0000-0100-00002A000000}"/>
  <tableColumns count="1">
    <tableColumn id="1" xr3:uid="{00000000-0010-0000-0900-000001000000}" name="حقوق" dataDxfId="34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340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339"/>
    <tableColumn id="2" xr3:uid="{00000000-0010-0000-0A00-000002000000}" name="نام گروه هزینه" dataDxfId="338"/>
  </tableColumns>
  <tableStyleInfo name="TableStyleMedium1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337" dataDxfId="336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335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334" dataDxfId="333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33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331" dataDxfId="330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329"/>
  </tableColumns>
  <tableStyleInfo name="TableStyleMedium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328" dataDxfId="327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326"/>
  </tableColumns>
  <tableStyleInfo name="TableStyleMedium4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325" dataDxfId="324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323"/>
  </tableColumns>
  <tableStyleInfo name="TableStyleMedium3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322" dataDxfId="321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32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319" dataDxfId="318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317"/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316" dataDxfId="315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314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313" dataDxfId="312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311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310" dataDxfId="309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308"/>
  </tableColumns>
  <tableStyleInfo name="TableStyleMedium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307" dataDxfId="306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305"/>
  </tableColumns>
  <tableStyleInfo name="TableStyleMedium4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304" dataDxfId="303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302"/>
  </tableColumns>
  <tableStyleInfo name="TableStyleMedium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301" dataDxfId="300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99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98" dataDxfId="297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96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95" dataDxfId="294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93"/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92" dataDxfId="291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90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89" dataDxfId="288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87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86" dataDxfId="285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84"/>
  </tableColumns>
  <tableStyleInfo name="TableStyleMedium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83" dataDxfId="282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81"/>
  </tableColumns>
  <tableStyleInfo name="TableStyleMedium4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80" dataDxfId="279">
  <autoFilter ref="AP4:AP8" xr:uid="{00000000-0009-0000-0100-000025000000}"/>
  <tableColumns count="1">
    <tableColumn id="1" xr3:uid="{00000000-0010-0000-1E00-000001000000}" name="مالیات" dataDxfId="27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77" dataDxfId="276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75"/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74" dataDxfId="273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72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71" dataDxfId="270">
  <autoFilter ref="AV4:AV11" xr:uid="{00000000-0009-0000-0100-000028000000}"/>
  <tableColumns count="1">
    <tableColumn id="1" xr3:uid="{00000000-0010-0000-2100-000001000000}" name="هدیه و کادو" dataDxfId="269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268" dataDxfId="267">
  <autoFilter ref="AX4:AX7" xr:uid="{00000000-0009-0000-0100-000029000000}"/>
  <tableColumns count="1">
    <tableColumn id="1" xr3:uid="{00000000-0010-0000-2200-000001000000}" name="یادگیری و توسعه فردی" dataDxfId="266"/>
  </tableColumns>
  <tableStyleInfo name="TableStyleMedium5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265" dataDxfId="264">
  <autoFilter ref="D3:D18" xr:uid="{282954C5-616F-485C-A314-4D9D555112CE}"/>
  <tableColumns count="1">
    <tableColumn id="1" xr3:uid="{4F5516FC-A919-4D2F-9080-341CCE3046E2}" name="Accounts_Receivers_Payers" dataDxfId="263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262" dataDxfId="261">
  <autoFilter ref="D3:L4" xr:uid="{48C55AA4-F37D-4D99-BE2B-B1221861617E}"/>
  <tableColumns count="9">
    <tableColumn id="6" xr3:uid="{68E8881D-1F0D-41F5-8C5D-764D3CBD2FD0}" name="ID" dataDxfId="260"/>
    <tableColumn id="1" xr3:uid="{2F87ECEC-D557-47DE-89F2-D88E134F34F1}" name="افراد" dataDxfId="259"/>
    <tableColumn id="2" xr3:uid="{85475129-5B44-4EA7-938C-C7F633C408DC}" name="کد ملی" dataDxfId="258"/>
    <tableColumn id="3" xr3:uid="{AE0E4825-4DF9-4EF2-A007-8D15688BCB78}" name="شماره تماس" dataDxfId="257"/>
    <tableColumn id="4" xr3:uid="{6557281E-E601-4363-A5E8-D3F55F24CFFF}" name="آدرس رایانامه" dataDxfId="256" dataCellStyle="Hyperlink"/>
    <tableColumn id="5" xr3:uid="{7192D02E-A22E-46AF-B898-9ED00C2D1F34}" name="سایت اینترنتی" dataDxfId="255"/>
    <tableColumn id="7" xr3:uid="{31B3615E-F042-4B31-B668-D43C93A87FE5}" name="آدرس محل کار" dataDxfId="254"/>
    <tableColumn id="8" xr3:uid="{B916AA35-F910-4551-98CF-C16AFDBEFF70}" name="آدرس منزل" dataDxfId="253"/>
    <tableColumn id="9" xr3:uid="{8C252ACF-424E-4297-9478-B4372ACF1CCF}" name="ملاحظات" dataDxfId="252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251" dataDxfId="250" totalsRowDxfId="249">
  <autoFilter ref="D8:R18" xr:uid="{274EC88A-4B54-49A7-9AA9-7C2621AB40BC}"/>
  <tableColumns count="15">
    <tableColumn id="1" xr3:uid="{B07A4647-B141-4519-A431-57834BEB4690}" name="ID" totalsRowLabel="Total" dataDxfId="248" totalsRowDxfId="247"/>
    <tableColumn id="2" xr3:uid="{9B0863B0-2E0D-40E3-80A5-53A7C80DB031}" name="نام حساب" dataDxfId="246" totalsRowDxfId="245"/>
    <tableColumn id="3" xr3:uid="{22E26951-650A-4DA8-83F7-7342252ADAF4}" name="شرح حساب" dataDxfId="244" totalsRowDxfId="243"/>
    <tableColumn id="4" xr3:uid="{0ACE1E7A-4205-4BD4-B95E-C67B9D28BA4E}" name="موجودی اولیه" totalsRowFunction="custom" dataDxfId="242" totalsRowDxfId="241">
      <totalsRowFormula>SUBTOTAL(109,FinancialAccountsTable[موجودی اولیه])-G14</totalsRowFormula>
    </tableColumn>
    <tableColumn id="9" xr3:uid="{9BF51EE3-668E-4C80-B6DB-2712CE69E2D3}" name="جمع پرداختی" totalsRowFunction="custom" dataDxfId="240" totalsRowDxfId="239">
      <totalsRowFormula>SUBTOTAL(109,FinancialAccountsTable[جمع پرداختی])-H14</totalsRowFormula>
    </tableColumn>
    <tableColumn id="11" xr3:uid="{8AE20E53-4327-42D3-8063-1F3B02795A7E}" name="جمع دریافتی" totalsRowFunction="custom" dataDxfId="238" totalsRowDxfId="237">
      <totalsRowFormula>SUBTOTAL(109,FinancialAccountsTable[جمع دریافتی])-I14</totalsRowFormula>
    </tableColumn>
    <tableColumn id="12" xr3:uid="{095FB686-98D1-4C04-AA7E-A329642F7292}" name="مانده" totalsRowFunction="custom" dataDxfId="236" totalsRowDxfId="235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234" totalsRowDxfId="233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232" totalsRowDxfId="231"/>
    <tableColumn id="18" xr3:uid="{CD505A3A-0F06-41B5-9C88-ACE7BBDC75B9}" name="نوع حساب" dataDxfId="230" totalsRowDxfId="229"/>
    <tableColumn id="10" xr3:uid="{AB3BD14A-860C-4744-B018-FC385AC6514C}" name="شماره حساب" dataDxfId="228" totalsRowDxfId="227"/>
    <tableColumn id="19" xr3:uid="{7E3F7BE6-EF70-4DB5-ACF8-A36DE0C80E5B}" name="شماره شبا" dataDxfId="226" totalsRowDxfId="225"/>
    <tableColumn id="14" xr3:uid="{5D0BD8D2-3C56-4B7E-AE34-770948467C25}" name="شماره کارت" dataDxfId="224" totalsRowDxfId="223"/>
    <tableColumn id="15" xr3:uid="{F0EA249A-426E-4668-B36E-75E5633920DC}" name="تاریخ انقضاء کارت" dataDxfId="222" totalsRowDxfId="221"/>
    <tableColumn id="16" xr3:uid="{CF2BE494-D0B5-4C01-8126-ED743F936578}" name="CVV2" dataDxfId="220" totalsRowDxfId="219"/>
  </tableColumns>
  <tableStyleInfo name="TableStyleMedium1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64" dataDxfId="63">
  <autoFilter ref="L9:L12" xr:uid="{00000000-0009-0000-0100-000002000000}"/>
  <tableColumns count="1">
    <tableColumn id="1" xr3:uid="{00000000-0010-0000-2700-000001000000}" name="نوع خرج" dataDxfId="218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60" dataDxfId="217">
  <autoFilter ref="L4:L7" xr:uid="{00000000-0009-0000-0100-000006000000}"/>
  <tableColumns count="1">
    <tableColumn id="1" xr3:uid="{00000000-0010-0000-2800-000001000000}" name="نوع تراکنش" dataDxfId="216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62" dataDxfId="61">
  <autoFilter ref="L14:L21" xr:uid="{00000000-0009-0000-0100-000009000000}"/>
  <tableColumns count="1">
    <tableColumn id="1" xr3:uid="{00000000-0010-0000-2900-000001000000}" name="روش تراکنش" dataDxfId="215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D4:AF14" totalsRowShown="0" headerRowDxfId="214" dataDxfId="213">
  <autoFilter ref="AD4:AF14" xr:uid="{00000000-0009-0000-0100-00002C000000}"/>
  <tableColumns count="3">
    <tableColumn id="1" xr3:uid="{00000000-0010-0000-2A00-000001000000}" name="عنوان تعطیلات" dataDxfId="212"/>
    <tableColumn id="2" xr3:uid="{00000000-0010-0000-2A00-000002000000}" name="روز و ماه" dataDxfId="211"/>
    <tableColumn id="3" xr3:uid="{00000000-0010-0000-2A00-000003000000}" name="Date" dataDxfId="210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68" dataDxfId="209">
  <autoFilter ref="G5:H9" xr:uid="{00000000-0009-0000-0100-00002D000000}"/>
  <tableColumns count="2">
    <tableColumn id="1" xr3:uid="{00000000-0010-0000-2B00-000001000000}" name="ID" dataDxfId="208"/>
    <tableColumn id="2" xr3:uid="{00000000-0010-0000-2B00-000002000000}" name="شیوه نمایش تاریخ" dataDxfId="207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H4:AJ224" totalsRowShown="0" headerRowDxfId="206" dataDxfId="205">
  <autoFilter ref="AH4:AJ224" xr:uid="{00000000-0009-0000-0100-00002E000000}"/>
  <tableColumns count="3">
    <tableColumn id="1" xr3:uid="{00000000-0010-0000-2C00-000001000000}" name="عنوان مناسبت" dataDxfId="204"/>
    <tableColumn id="2" xr3:uid="{00000000-0010-0000-2C00-000002000000}" name="روز و ماه" dataDxfId="203"/>
    <tableColumn id="3" xr3:uid="{00000000-0010-0000-2C00-000003000000}" name="Date" dataDxfId="202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L4:AM24" totalsRowShown="0" headerRowDxfId="201" dataDxfId="200">
  <autoFilter ref="AL4:AM24" xr:uid="{00000000-0009-0000-0100-00002F000000}"/>
  <tableColumns count="2">
    <tableColumn id="1" xr3:uid="{00000000-0010-0000-2D00-000001000000}" name="تعطیلات قمری" dataDxfId="199"/>
    <tableColumn id="2" xr3:uid="{00000000-0010-0000-2D00-000002000000}" name="Day and Month" dataDxfId="198"/>
  </tableColumns>
  <tableStyleInfo name="TableStyleMedium1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O4:AP63" totalsRowShown="0" headerRowDxfId="197" dataDxfId="196">
  <autoFilter ref="AO4:AP63" xr:uid="{00000000-0009-0000-0100-000030000000}"/>
  <tableColumns count="2">
    <tableColumn id="1" xr3:uid="{00000000-0010-0000-2E00-000001000000}" name="مناسبت قمری" dataDxfId="195"/>
    <tableColumn id="2" xr3:uid="{00000000-0010-0000-2E00-000002000000}" name="Day and Month" dataDxfId="194"/>
  </tableColumns>
  <tableStyleInfo name="TableStyleMedium14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R4:AS32" totalsRowShown="0" headerRowDxfId="193" dataDxfId="192">
  <autoFilter ref="AR4:AS32" xr:uid="{00000000-0009-0000-0100-000031000000}"/>
  <tableColumns count="2">
    <tableColumn id="1" xr3:uid="{00000000-0010-0000-2F00-000001000000}" name="مناسبت میلادی" dataDxfId="191"/>
    <tableColumn id="2" xr3:uid="{00000000-0010-0000-2F00-000002000000}" name="Day and Month" dataDxfId="190"/>
  </tableColumns>
  <tableStyleInfo name="TableStyleMedium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66" dataDxfId="65">
  <autoFilter ref="N5:O10" xr:uid="{00000000-0009-0000-0100-000032000000}"/>
  <tableColumns count="2">
    <tableColumn id="1" xr3:uid="{00000000-0010-0000-3000-000001000000}" name="عملیات" dataDxfId="189"/>
    <tableColumn id="2" xr3:uid="{00000000-0010-0000-3000-000002000000}" name="Wage" dataDxfId="188"/>
  </tableColumns>
  <tableStyleInfo name="TableStyleMedium15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67" dataDxfId="86">
  <autoFilter ref="E4:E9" xr:uid="{E9807C8F-C7B8-4738-88F1-BE3AF37D98D4}"/>
  <tableColumns count="1">
    <tableColumn id="1" xr3:uid="{9E36D182-93FB-4224-89E3-E4497B3B4CEF}" name="جدول سطح اهمیت" dataDxfId="85"/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59" dataDxfId="58">
  <autoFilter ref="S4:S22" xr:uid="{6AEC4E4F-D138-42A7-8625-32AF6446FB92}"/>
  <tableColumns count="1">
    <tableColumn id="1" xr3:uid="{93761557-8AAB-4CE7-978B-119DB8A02638}" name="جدول نوع بودجه" dataDxfId="57"/>
  </tableColumns>
  <tableStyleInfo name="TableStyleMedium15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56" dataDxfId="55">
  <autoFilter ref="S24:S32" xr:uid="{D62D46A7-088F-4632-AE66-1F49CCF96D94}"/>
  <tableColumns count="1">
    <tableColumn id="1" xr3:uid="{1ADF3900-55E8-4A50-8909-96F1F42EB08A}" name="جدول وضعیت عملیات" dataDxfId="54"/>
  </tableColumns>
  <tableStyleInfo name="TableStyleMedium15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45" dataDxfId="44">
  <autoFilter ref="W4:W11" xr:uid="{716586F3-B51A-402D-BE07-BBA97870EDBD}"/>
  <tableColumns count="1">
    <tableColumn id="1" xr3:uid="{C690CC00-9AFA-44D6-956F-8D45FB98A6DC}" name="جدول نوع بودجه - ویژه زندگی اشتراکی" dataDxfId="43"/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42" dataDxfId="41">
  <autoFilter ref="W13:W18" xr:uid="{3BF28091-7288-434D-A4E3-3D8467C73E65}"/>
  <tableColumns count="1">
    <tableColumn id="1" xr3:uid="{C739A285-95ED-451F-BBEF-DAE59F639380}" name="جدول وضعیت عملیات" dataDxfId="4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%20for%20'Life%20Management%20in%20a%20Shared%20Environment'\RE-14001230-01.jpg" TargetMode="Externa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18" Type="http://schemas.openxmlformats.org/officeDocument/2006/relationships/table" Target="../tables/table2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17" Type="http://schemas.openxmlformats.org/officeDocument/2006/relationships/table" Target="../tables/table21.xml"/><Relationship Id="rId2" Type="http://schemas.openxmlformats.org/officeDocument/2006/relationships/table" Target="../tables/table6.xml"/><Relationship Id="rId16" Type="http://schemas.openxmlformats.org/officeDocument/2006/relationships/table" Target="../tables/table2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19" Type="http://schemas.openxmlformats.org/officeDocument/2006/relationships/table" Target="../tables/table23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10" Type="http://schemas.openxmlformats.org/officeDocument/2006/relationships/table" Target="../tables/table32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13" Type="http://schemas.openxmlformats.org/officeDocument/2006/relationships/table" Target="../tables/table44.xml"/><Relationship Id="rId18" Type="http://schemas.openxmlformats.org/officeDocument/2006/relationships/table" Target="../tables/table49.xml"/><Relationship Id="rId26" Type="http://schemas.openxmlformats.org/officeDocument/2006/relationships/table" Target="../tables/table57.xml"/><Relationship Id="rId3" Type="http://schemas.openxmlformats.org/officeDocument/2006/relationships/table" Target="../tables/table34.xml"/><Relationship Id="rId21" Type="http://schemas.openxmlformats.org/officeDocument/2006/relationships/table" Target="../tables/table52.xml"/><Relationship Id="rId7" Type="http://schemas.openxmlformats.org/officeDocument/2006/relationships/table" Target="../tables/table38.xml"/><Relationship Id="rId12" Type="http://schemas.openxmlformats.org/officeDocument/2006/relationships/table" Target="../tables/table43.xml"/><Relationship Id="rId17" Type="http://schemas.openxmlformats.org/officeDocument/2006/relationships/table" Target="../tables/table48.xml"/><Relationship Id="rId25" Type="http://schemas.openxmlformats.org/officeDocument/2006/relationships/table" Target="../tables/table56.xml"/><Relationship Id="rId2" Type="http://schemas.openxmlformats.org/officeDocument/2006/relationships/table" Target="../tables/table33.xml"/><Relationship Id="rId16" Type="http://schemas.openxmlformats.org/officeDocument/2006/relationships/table" Target="../tables/table47.xml"/><Relationship Id="rId20" Type="http://schemas.openxmlformats.org/officeDocument/2006/relationships/table" Target="../tables/table5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7.xml"/><Relationship Id="rId11" Type="http://schemas.openxmlformats.org/officeDocument/2006/relationships/table" Target="../tables/table42.xml"/><Relationship Id="rId24" Type="http://schemas.openxmlformats.org/officeDocument/2006/relationships/table" Target="../tables/table55.xml"/><Relationship Id="rId5" Type="http://schemas.openxmlformats.org/officeDocument/2006/relationships/table" Target="../tables/table36.xml"/><Relationship Id="rId15" Type="http://schemas.openxmlformats.org/officeDocument/2006/relationships/table" Target="../tables/table46.xml"/><Relationship Id="rId23" Type="http://schemas.openxmlformats.org/officeDocument/2006/relationships/table" Target="../tables/table54.xml"/><Relationship Id="rId10" Type="http://schemas.openxmlformats.org/officeDocument/2006/relationships/table" Target="../tables/table41.xml"/><Relationship Id="rId19" Type="http://schemas.openxmlformats.org/officeDocument/2006/relationships/table" Target="../tables/table50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Relationship Id="rId14" Type="http://schemas.openxmlformats.org/officeDocument/2006/relationships/table" Target="../tables/table45.xml"/><Relationship Id="rId22" Type="http://schemas.openxmlformats.org/officeDocument/2006/relationships/table" Target="../tables/table5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6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7.xml"/><Relationship Id="rId13" Type="http://schemas.openxmlformats.org/officeDocument/2006/relationships/table" Target="../tables/table72.xml"/><Relationship Id="rId3" Type="http://schemas.openxmlformats.org/officeDocument/2006/relationships/table" Target="../tables/table62.xml"/><Relationship Id="rId7" Type="http://schemas.openxmlformats.org/officeDocument/2006/relationships/table" Target="../tables/table66.xml"/><Relationship Id="rId12" Type="http://schemas.openxmlformats.org/officeDocument/2006/relationships/table" Target="../tables/table71.xml"/><Relationship Id="rId2" Type="http://schemas.openxmlformats.org/officeDocument/2006/relationships/table" Target="../tables/table61.xml"/><Relationship Id="rId16" Type="http://schemas.openxmlformats.org/officeDocument/2006/relationships/table" Target="../tables/table75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5.xml"/><Relationship Id="rId11" Type="http://schemas.openxmlformats.org/officeDocument/2006/relationships/table" Target="../tables/table70.xml"/><Relationship Id="rId5" Type="http://schemas.openxmlformats.org/officeDocument/2006/relationships/table" Target="../tables/table64.xml"/><Relationship Id="rId15" Type="http://schemas.openxmlformats.org/officeDocument/2006/relationships/table" Target="../tables/table74.xml"/><Relationship Id="rId10" Type="http://schemas.openxmlformats.org/officeDocument/2006/relationships/table" Target="../tables/table69.xml"/><Relationship Id="rId4" Type="http://schemas.openxmlformats.org/officeDocument/2006/relationships/table" Target="../tables/table63.xml"/><Relationship Id="rId9" Type="http://schemas.openxmlformats.org/officeDocument/2006/relationships/table" Target="../tables/table68.xml"/><Relationship Id="rId14" Type="http://schemas.openxmlformats.org/officeDocument/2006/relationships/table" Target="../tables/table7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  <sheetView rightToLeft="1" workbookViewId="1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144</v>
      </c>
      <c r="V5" s="70" t="s">
        <v>116</v>
      </c>
      <c r="W5" s="70" t="s">
        <v>145</v>
      </c>
      <c r="X5" s="74" t="s">
        <v>2</v>
      </c>
      <c r="Y5" s="70" t="s">
        <v>6</v>
      </c>
      <c r="Z5" s="70" t="s">
        <v>5</v>
      </c>
      <c r="AA5" s="70" t="s">
        <v>153</v>
      </c>
      <c r="AB5" s="71" t="s">
        <v>112</v>
      </c>
      <c r="AC5" s="71" t="s">
        <v>40</v>
      </c>
    </row>
    <row r="6" spans="1:29" ht="15.75">
      <c r="P6" s="75">
        <v>1</v>
      </c>
      <c r="Q6" s="76" t="s">
        <v>119</v>
      </c>
      <c r="R6" s="77">
        <f>DATE(2021,6,26)</f>
        <v>44373</v>
      </c>
      <c r="S6" s="78" t="s">
        <v>152</v>
      </c>
      <c r="T6" s="79" t="s">
        <v>278</v>
      </c>
      <c r="U6" s="76" t="s">
        <v>182</v>
      </c>
      <c r="V6" s="76" t="s">
        <v>266</v>
      </c>
      <c r="W6" s="76" t="s">
        <v>149</v>
      </c>
      <c r="X6" s="80">
        <v>80000</v>
      </c>
      <c r="Y6" s="76" t="s">
        <v>135</v>
      </c>
      <c r="Z6" s="76" t="s">
        <v>325</v>
      </c>
      <c r="AA6" s="76"/>
      <c r="AB6" s="78" t="s">
        <v>113</v>
      </c>
      <c r="AC6" s="78"/>
    </row>
    <row r="7" spans="1:29" ht="15.75">
      <c r="P7" s="81">
        <v>2</v>
      </c>
      <c r="Q7" s="82"/>
      <c r="R7" s="83">
        <f>DATE(2021,6,26)</f>
        <v>44373</v>
      </c>
      <c r="S7" s="84"/>
      <c r="T7" s="85" t="s">
        <v>278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>
      <c r="P8" s="75">
        <v>3</v>
      </c>
      <c r="Q8" s="76"/>
      <c r="R8" s="77">
        <f>DATE(2021,8,17)</f>
        <v>44425</v>
      </c>
      <c r="S8" s="78"/>
      <c r="T8" s="79" t="s">
        <v>302</v>
      </c>
      <c r="U8" s="76" t="s">
        <v>305</v>
      </c>
      <c r="V8" s="76" t="s">
        <v>316</v>
      </c>
      <c r="W8" s="76"/>
      <c r="X8" s="80"/>
      <c r="Y8" s="76"/>
      <c r="Z8" s="76"/>
      <c r="AA8" s="76"/>
      <c r="AB8" s="78"/>
      <c r="AC8" s="78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333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332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7" t="str">
        <f>Slash(14000525)</f>
        <v>1400/05/25</v>
      </c>
      <c r="Q22">
        <v>7</v>
      </c>
    </row>
    <row r="23" spans="3:17">
      <c r="K23" s="9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C27" s="157" t="s">
        <v>8</v>
      </c>
    </row>
    <row r="28" spans="3:17" ht="18.75">
      <c r="C28" s="165" t="s">
        <v>98</v>
      </c>
      <c r="M28" t="e">
        <f>CL</f>
        <v>#NAME?</v>
      </c>
    </row>
    <row r="29" spans="3:17" ht="18.75">
      <c r="C29" s="158" t="s">
        <v>115</v>
      </c>
    </row>
    <row r="30" spans="3:17" ht="18.75">
      <c r="C30" s="163" t="s">
        <v>111</v>
      </c>
    </row>
    <row r="31" spans="3:17" ht="18.75">
      <c r="C31" s="161" t="s">
        <v>972</v>
      </c>
    </row>
    <row r="32" spans="3:17" ht="18.75">
      <c r="C32" s="144" t="s">
        <v>973</v>
      </c>
    </row>
    <row r="33" spans="3:3" ht="18.75">
      <c r="C33" s="162" t="s">
        <v>89</v>
      </c>
    </row>
    <row r="34" spans="3:3" ht="18.75">
      <c r="C34" s="163" t="s">
        <v>111</v>
      </c>
    </row>
    <row r="35" spans="3:3" ht="18.75">
      <c r="C35" s="164" t="s">
        <v>105</v>
      </c>
    </row>
    <row r="36" spans="3:3">
      <c r="C36" s="151"/>
    </row>
    <row r="37" spans="3:3">
      <c r="C37" s="151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  <sheetView rightToLeft="1" workbookViewId="1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142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topLeftCell="B1" workbookViewId="0">
      <pane ySplit="7" topLeftCell="A8" activePane="bottomLeft" state="frozen"/>
      <selection pane="bottomLeft" activeCell="B26" sqref="B26"/>
    </sheetView>
    <sheetView rightToLeft="1" workbookViewId="1"/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331</v>
      </c>
      <c r="G3" s="88">
        <f>SUMIF(Tarakonesh[تراکنش],"انتقال",Tarakonesh[مبلغ (ریال)])</f>
        <v>520000</v>
      </c>
      <c r="H3" s="92" t="s">
        <v>334</v>
      </c>
      <c r="I3" s="94" t="e">
        <f>#REF!</f>
        <v>#REF!</v>
      </c>
      <c r="J3" s="319" t="s">
        <v>142</v>
      </c>
      <c r="K3" s="319"/>
      <c r="L3" s="4"/>
      <c r="M3" s="29"/>
      <c r="N3" s="4"/>
      <c r="O3" s="45"/>
      <c r="P3" s="45"/>
      <c r="Q3" s="45"/>
      <c r="R3" s="45"/>
    </row>
    <row r="4" spans="1:19" s="56" customFormat="1" ht="3.75" customHeight="1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2"/>
      <c r="C5" s="118">
        <v>0</v>
      </c>
      <c r="D5" s="52"/>
      <c r="E5" s="126" t="s">
        <v>408</v>
      </c>
      <c r="F5" s="125">
        <f ca="1">TODAY()</f>
        <v>44558</v>
      </c>
      <c r="G5" s="4"/>
      <c r="H5" s="54"/>
      <c r="I5" s="4"/>
      <c r="J5" s="51" t="s">
        <v>184</v>
      </c>
      <c r="K5" s="57" t="s">
        <v>185</v>
      </c>
      <c r="L5" s="4"/>
      <c r="M5" s="29"/>
      <c r="N5" s="4"/>
      <c r="O5" s="45"/>
      <c r="P5" s="45"/>
      <c r="Q5" s="45"/>
      <c r="R5" s="45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144</v>
      </c>
      <c r="G7" s="8" t="s">
        <v>116</v>
      </c>
      <c r="H7" s="8" t="s">
        <v>145</v>
      </c>
      <c r="I7" s="21" t="s">
        <v>2</v>
      </c>
      <c r="J7" s="8" t="s">
        <v>6</v>
      </c>
      <c r="K7" s="8" t="s">
        <v>5</v>
      </c>
      <c r="L7" s="8" t="s">
        <v>153</v>
      </c>
      <c r="M7" s="30" t="s">
        <v>112</v>
      </c>
      <c r="N7" s="30" t="s">
        <v>1111</v>
      </c>
      <c r="O7" s="45"/>
      <c r="P7" s="45"/>
      <c r="Q7" s="45"/>
      <c r="R7" s="45"/>
      <c r="S7" s="45"/>
    </row>
    <row r="8" spans="1:19">
      <c r="A8" s="26">
        <v>1</v>
      </c>
      <c r="B8" s="27" t="s">
        <v>119</v>
      </c>
      <c r="C8" s="31" t="s">
        <v>380</v>
      </c>
      <c r="D8" s="31" t="s">
        <v>152</v>
      </c>
      <c r="E8" s="39" t="s">
        <v>278</v>
      </c>
      <c r="F8" s="27" t="s">
        <v>280</v>
      </c>
      <c r="G8" s="27"/>
      <c r="H8" s="27" t="s">
        <v>303</v>
      </c>
      <c r="I8" s="25">
        <v>80000</v>
      </c>
      <c r="J8" s="27" t="s">
        <v>318</v>
      </c>
      <c r="K8" s="27" t="s">
        <v>326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>
      <c r="A9" s="26">
        <v>2</v>
      </c>
      <c r="B9" s="27"/>
      <c r="C9" s="31" t="s">
        <v>381</v>
      </c>
      <c r="D9" s="31"/>
      <c r="E9" s="39" t="s">
        <v>302</v>
      </c>
      <c r="F9" s="27"/>
      <c r="G9" s="27"/>
      <c r="H9" s="27" t="s">
        <v>148</v>
      </c>
      <c r="I9" s="25">
        <v>1000000</v>
      </c>
      <c r="J9" s="27" t="s">
        <v>323</v>
      </c>
      <c r="K9" s="27" t="s">
        <v>318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>
      <c r="A10" s="26">
        <v>3</v>
      </c>
      <c r="B10" s="27"/>
      <c r="C10" s="31" t="s">
        <v>379</v>
      </c>
      <c r="D10" s="31"/>
      <c r="E10" s="39" t="s">
        <v>138</v>
      </c>
      <c r="F10" s="27"/>
      <c r="G10" s="27"/>
      <c r="H10" s="27" t="s">
        <v>147</v>
      </c>
      <c r="I10" s="25">
        <v>20000</v>
      </c>
      <c r="J10" s="27" t="s">
        <v>135</v>
      </c>
      <c r="K10" s="27" t="s">
        <v>318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>
      <c r="A11" s="26">
        <v>4</v>
      </c>
      <c r="B11" s="27"/>
      <c r="C11" s="31"/>
      <c r="D11" s="31"/>
      <c r="E11" s="39" t="s">
        <v>302</v>
      </c>
      <c r="F11" s="27"/>
      <c r="G11" s="27"/>
      <c r="H11" s="27" t="s">
        <v>146</v>
      </c>
      <c r="I11" s="25">
        <v>20000</v>
      </c>
      <c r="J11" s="27" t="s">
        <v>321</v>
      </c>
      <c r="K11" s="27" t="s">
        <v>319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>
      <c r="A12" s="26">
        <v>5</v>
      </c>
      <c r="B12" s="27"/>
      <c r="C12" s="31"/>
      <c r="D12" s="31"/>
      <c r="E12" s="39" t="s">
        <v>278</v>
      </c>
      <c r="F12" s="27"/>
      <c r="G12" s="27"/>
      <c r="H12" s="27"/>
      <c r="I12" s="25">
        <v>3000</v>
      </c>
      <c r="J12" s="27" t="s">
        <v>319</v>
      </c>
      <c r="K12" s="27" t="s">
        <v>325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>
      <c r="A13" s="26">
        <v>6</v>
      </c>
      <c r="B13" s="27"/>
      <c r="C13" s="31"/>
      <c r="D13" s="31"/>
      <c r="E13" s="39" t="s">
        <v>302</v>
      </c>
      <c r="F13" s="27"/>
      <c r="G13" s="27"/>
      <c r="H13" s="27"/>
      <c r="I13" s="25">
        <v>500000</v>
      </c>
      <c r="J13" s="27" t="s">
        <v>322</v>
      </c>
      <c r="K13" s="27" t="s">
        <v>135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>
      <c r="A14" s="26">
        <v>7</v>
      </c>
      <c r="B14" s="27"/>
      <c r="C14" s="31"/>
      <c r="D14" s="31"/>
      <c r="E14" s="39" t="s">
        <v>138</v>
      </c>
      <c r="F14" s="27"/>
      <c r="G14" s="27"/>
      <c r="H14" s="27"/>
      <c r="I14" s="25">
        <v>500000</v>
      </c>
      <c r="J14" s="27" t="s">
        <v>320</v>
      </c>
      <c r="K14" s="27" t="s">
        <v>319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>
      <c r="A15" s="26">
        <v>8</v>
      </c>
      <c r="B15" s="27"/>
      <c r="C15" s="31"/>
      <c r="D15" s="31"/>
      <c r="E15" s="39" t="s">
        <v>278</v>
      </c>
      <c r="F15" s="27"/>
      <c r="G15" s="27"/>
      <c r="H15" s="27"/>
      <c r="I15" s="25">
        <v>10000</v>
      </c>
      <c r="J15" s="27" t="s">
        <v>318</v>
      </c>
      <c r="K15" s="27" t="s">
        <v>322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>
      <c r="A16" s="26">
        <v>9</v>
      </c>
      <c r="B16" s="27"/>
      <c r="C16" s="31"/>
      <c r="D16" s="31"/>
      <c r="E16" s="39" t="s">
        <v>278</v>
      </c>
      <c r="F16" s="27"/>
      <c r="G16" s="27"/>
      <c r="H16" s="27"/>
      <c r="I16" s="25">
        <v>3000000</v>
      </c>
      <c r="J16" s="27" t="s">
        <v>319</v>
      </c>
      <c r="K16" s="27" t="s">
        <v>323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>
      <c r="A17" s="26">
        <v>10</v>
      </c>
      <c r="B17" s="27"/>
      <c r="C17" s="31" t="s">
        <v>409</v>
      </c>
      <c r="D17" s="31"/>
      <c r="E17" s="39" t="s">
        <v>302</v>
      </c>
      <c r="F17" s="27"/>
      <c r="G17" s="27"/>
      <c r="H17" s="27"/>
      <c r="I17" s="25">
        <v>4000000</v>
      </c>
      <c r="J17" s="27" t="s">
        <v>324</v>
      </c>
      <c r="K17" s="27" t="s">
        <v>135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>
      <c r="A18" s="26">
        <v>11</v>
      </c>
      <c r="B18" s="27" t="s">
        <v>119</v>
      </c>
      <c r="C18" s="31"/>
      <c r="D18" s="31"/>
      <c r="E18" s="39" t="s">
        <v>302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380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9"/>
    </row>
    <row r="515" spans="4:4">
      <c r="D515" s="119"/>
    </row>
  </sheetData>
  <dataConsolidate/>
  <mergeCells count="1">
    <mergeCell ref="J3:K3"/>
  </mergeCells>
  <conditionalFormatting sqref="A8:N507">
    <cfRule type="expression" dxfId="39" priority="1">
      <formula xml:space="preserve"> "" = $E8</formula>
    </cfRule>
    <cfRule type="expression" dxfId="38" priority="5">
      <formula xml:space="preserve"> "انتقال" = $E8</formula>
    </cfRule>
    <cfRule type="expression" dxfId="37" priority="6">
      <formula xml:space="preserve"> "پرداخت_هزینه" = $E8</formula>
    </cfRule>
    <cfRule type="expression" dxfId="36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  <sheetView rightToLeft="1" workbookViewId="1"/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  <sheetView rightToLeft="1" workbookViewId="1"/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  <sheetView rightToLeft="1" workbookViewId="1"/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  <sheetView rightToLeft="1" workbookViewId="1"/>
  </sheetViews>
  <sheetFormatPr defaultRowHeight="1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100" t="s">
        <v>335</v>
      </c>
    </row>
    <row r="2" spans="1:33" ht="24" customHeight="1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>
      <c r="A3" s="41"/>
      <c r="D3" s="323" t="s">
        <v>344</v>
      </c>
      <c r="E3" s="102"/>
      <c r="F3" s="321" t="s">
        <v>336</v>
      </c>
      <c r="G3" s="321"/>
      <c r="H3" s="321"/>
      <c r="I3" s="321"/>
      <c r="J3" s="321"/>
      <c r="K3" s="321"/>
      <c r="L3" s="321"/>
      <c r="M3" s="104"/>
      <c r="O3" s="102"/>
      <c r="P3" s="321" t="s">
        <v>345</v>
      </c>
      <c r="Q3" s="321"/>
      <c r="R3" s="321"/>
      <c r="S3" s="321"/>
      <c r="T3" s="321"/>
      <c r="U3" s="321"/>
      <c r="V3" s="321"/>
      <c r="W3" s="104"/>
      <c r="Y3" s="102"/>
      <c r="Z3" s="321" t="s">
        <v>348</v>
      </c>
      <c r="AA3" s="321"/>
      <c r="AB3" s="321"/>
      <c r="AC3" s="321"/>
      <c r="AD3" s="321"/>
      <c r="AE3" s="321"/>
      <c r="AF3" s="321"/>
      <c r="AG3" s="104"/>
    </row>
    <row r="4" spans="1:33" ht="24" customHeight="1" thickBot="1">
      <c r="A4" s="9" t="s">
        <v>8</v>
      </c>
      <c r="D4" s="323"/>
      <c r="E4" s="102"/>
      <c r="F4" s="103" t="s">
        <v>337</v>
      </c>
      <c r="G4" s="103" t="s">
        <v>339</v>
      </c>
      <c r="H4" s="103" t="s">
        <v>340</v>
      </c>
      <c r="I4" s="103" t="s">
        <v>341</v>
      </c>
      <c r="J4" s="103" t="s">
        <v>342</v>
      </c>
      <c r="K4" s="103" t="s">
        <v>343</v>
      </c>
      <c r="L4" s="103" t="s">
        <v>338</v>
      </c>
      <c r="M4" s="104"/>
      <c r="O4" s="102"/>
      <c r="P4" s="103" t="s">
        <v>337</v>
      </c>
      <c r="Q4" s="103" t="s">
        <v>339</v>
      </c>
      <c r="R4" s="103" t="s">
        <v>340</v>
      </c>
      <c r="S4" s="103" t="s">
        <v>341</v>
      </c>
      <c r="T4" s="103" t="s">
        <v>342</v>
      </c>
      <c r="U4" s="103" t="s">
        <v>343</v>
      </c>
      <c r="V4" s="103" t="s">
        <v>338</v>
      </c>
      <c r="W4" s="104"/>
      <c r="Y4" s="102"/>
      <c r="Z4" s="103" t="s">
        <v>337</v>
      </c>
      <c r="AA4" s="103" t="s">
        <v>339</v>
      </c>
      <c r="AB4" s="103" t="s">
        <v>340</v>
      </c>
      <c r="AC4" s="103" t="s">
        <v>341</v>
      </c>
      <c r="AD4" s="103" t="s">
        <v>342</v>
      </c>
      <c r="AE4" s="103" t="s">
        <v>343</v>
      </c>
      <c r="AF4" s="103" t="s">
        <v>338</v>
      </c>
      <c r="AG4" s="104"/>
    </row>
    <row r="5" spans="1:33" ht="24" customHeight="1">
      <c r="A5" s="35" t="s">
        <v>115</v>
      </c>
      <c r="D5" s="323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>
      <c r="A6" s="10" t="s">
        <v>102</v>
      </c>
      <c r="D6" s="323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>
      <c r="A7" s="11" t="s">
        <v>103</v>
      </c>
      <c r="D7" s="323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>
      <c r="A8" s="33" t="s">
        <v>104</v>
      </c>
      <c r="D8" s="323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>
      <c r="A9" s="12" t="s">
        <v>110</v>
      </c>
      <c r="D9" s="323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>
      <c r="A10" s="13" t="s">
        <v>89</v>
      </c>
      <c r="D10" s="323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>
      <c r="A12" s="14" t="s">
        <v>105</v>
      </c>
      <c r="D12" s="322" t="s">
        <v>346</v>
      </c>
      <c r="E12" s="106"/>
      <c r="F12" s="320" t="s">
        <v>347</v>
      </c>
      <c r="G12" s="320"/>
      <c r="H12" s="320"/>
      <c r="I12" s="320"/>
      <c r="J12" s="320"/>
      <c r="K12" s="320"/>
      <c r="L12" s="320"/>
      <c r="M12" s="107"/>
      <c r="O12" s="106"/>
      <c r="P12" s="320" t="s">
        <v>349</v>
      </c>
      <c r="Q12" s="320"/>
      <c r="R12" s="320"/>
      <c r="S12" s="320"/>
      <c r="T12" s="320"/>
      <c r="U12" s="320"/>
      <c r="V12" s="320"/>
      <c r="W12" s="107"/>
      <c r="Y12" s="106"/>
      <c r="Z12" s="320" t="s">
        <v>350</v>
      </c>
      <c r="AA12" s="320"/>
      <c r="AB12" s="320"/>
      <c r="AC12" s="320"/>
      <c r="AD12" s="320"/>
      <c r="AE12" s="320"/>
      <c r="AF12" s="320"/>
      <c r="AG12" s="107"/>
    </row>
    <row r="13" spans="1:33" ht="24" customHeight="1" thickBot="1">
      <c r="A13" s="15" t="s">
        <v>98</v>
      </c>
      <c r="D13" s="322"/>
      <c r="E13" s="106"/>
      <c r="F13" s="103" t="s">
        <v>337</v>
      </c>
      <c r="G13" s="103" t="s">
        <v>339</v>
      </c>
      <c r="H13" s="103" t="s">
        <v>340</v>
      </c>
      <c r="I13" s="103" t="s">
        <v>341</v>
      </c>
      <c r="J13" s="103" t="s">
        <v>342</v>
      </c>
      <c r="K13" s="103" t="s">
        <v>343</v>
      </c>
      <c r="L13" s="103" t="s">
        <v>338</v>
      </c>
      <c r="M13" s="107"/>
      <c r="O13" s="106"/>
      <c r="P13" s="103" t="s">
        <v>337</v>
      </c>
      <c r="Q13" s="103" t="s">
        <v>339</v>
      </c>
      <c r="R13" s="103" t="s">
        <v>340</v>
      </c>
      <c r="S13" s="103" t="s">
        <v>341</v>
      </c>
      <c r="T13" s="103" t="s">
        <v>342</v>
      </c>
      <c r="U13" s="103" t="s">
        <v>343</v>
      </c>
      <c r="V13" s="103" t="s">
        <v>338</v>
      </c>
      <c r="W13" s="107"/>
      <c r="Y13" s="106"/>
      <c r="Z13" s="103" t="s">
        <v>337</v>
      </c>
      <c r="AA13" s="103" t="s">
        <v>339</v>
      </c>
      <c r="AB13" s="103" t="s">
        <v>340</v>
      </c>
      <c r="AC13" s="103" t="s">
        <v>341</v>
      </c>
      <c r="AD13" s="103" t="s">
        <v>342</v>
      </c>
      <c r="AE13" s="103" t="s">
        <v>343</v>
      </c>
      <c r="AF13" s="103" t="s">
        <v>338</v>
      </c>
      <c r="AG13" s="107"/>
    </row>
    <row r="14" spans="1:33" ht="24" customHeight="1">
      <c r="A14" s="116" t="s">
        <v>99</v>
      </c>
      <c r="D14" s="322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>
      <c r="A15" s="98" t="s">
        <v>100</v>
      </c>
      <c r="D15" s="322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>
      <c r="D16" s="322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>
      <c r="D17" s="322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>
      <c r="D18" s="322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>
      <c r="D19" s="322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>
      <c r="D21" s="327" t="s">
        <v>351</v>
      </c>
      <c r="E21" s="108"/>
      <c r="F21" s="324" t="s">
        <v>352</v>
      </c>
      <c r="G21" s="324"/>
      <c r="H21" s="324"/>
      <c r="I21" s="324"/>
      <c r="J21" s="324"/>
      <c r="K21" s="324"/>
      <c r="L21" s="324"/>
      <c r="M21" s="110"/>
      <c r="O21" s="108"/>
      <c r="P21" s="324" t="s">
        <v>353</v>
      </c>
      <c r="Q21" s="324"/>
      <c r="R21" s="324"/>
      <c r="S21" s="324"/>
      <c r="T21" s="324"/>
      <c r="U21" s="324"/>
      <c r="V21" s="324"/>
      <c r="W21" s="110"/>
      <c r="Y21" s="108"/>
      <c r="Z21" s="324" t="s">
        <v>353</v>
      </c>
      <c r="AA21" s="324"/>
      <c r="AB21" s="324"/>
      <c r="AC21" s="324"/>
      <c r="AD21" s="324"/>
      <c r="AE21" s="324"/>
      <c r="AF21" s="324"/>
      <c r="AG21" s="110"/>
    </row>
    <row r="22" spans="4:33" ht="21.75" thickBot="1">
      <c r="D22" s="327"/>
      <c r="E22" s="108"/>
      <c r="F22" s="103" t="s">
        <v>337</v>
      </c>
      <c r="G22" s="103" t="s">
        <v>339</v>
      </c>
      <c r="H22" s="103" t="s">
        <v>340</v>
      </c>
      <c r="I22" s="103" t="s">
        <v>341</v>
      </c>
      <c r="J22" s="103" t="s">
        <v>342</v>
      </c>
      <c r="K22" s="103" t="s">
        <v>343</v>
      </c>
      <c r="L22" s="103" t="s">
        <v>338</v>
      </c>
      <c r="M22" s="110"/>
      <c r="O22" s="108"/>
      <c r="P22" s="103" t="s">
        <v>337</v>
      </c>
      <c r="Q22" s="103" t="s">
        <v>339</v>
      </c>
      <c r="R22" s="103" t="s">
        <v>340</v>
      </c>
      <c r="S22" s="103" t="s">
        <v>341</v>
      </c>
      <c r="T22" s="103" t="s">
        <v>342</v>
      </c>
      <c r="U22" s="103" t="s">
        <v>343</v>
      </c>
      <c r="V22" s="103" t="s">
        <v>338</v>
      </c>
      <c r="W22" s="110"/>
      <c r="Y22" s="108"/>
      <c r="Z22" s="103" t="s">
        <v>337</v>
      </c>
      <c r="AA22" s="103" t="s">
        <v>339</v>
      </c>
      <c r="AB22" s="103" t="s">
        <v>340</v>
      </c>
      <c r="AC22" s="103" t="s">
        <v>341</v>
      </c>
      <c r="AD22" s="103" t="s">
        <v>342</v>
      </c>
      <c r="AE22" s="103" t="s">
        <v>343</v>
      </c>
      <c r="AF22" s="103" t="s">
        <v>338</v>
      </c>
      <c r="AG22" s="110"/>
    </row>
    <row r="23" spans="4:33" ht="21">
      <c r="D23" s="327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>
      <c r="D24" s="327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>
      <c r="D25" s="327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>
      <c r="D26" s="327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>
      <c r="D27" s="327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>
      <c r="D28" s="327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>
      <c r="D30" s="325" t="s">
        <v>354</v>
      </c>
      <c r="E30" s="113"/>
      <c r="F30" s="326" t="s">
        <v>355</v>
      </c>
      <c r="G30" s="326"/>
      <c r="H30" s="326"/>
      <c r="I30" s="326"/>
      <c r="J30" s="326"/>
      <c r="K30" s="326"/>
      <c r="L30" s="326"/>
      <c r="M30" s="115"/>
      <c r="O30" s="113"/>
      <c r="P30" s="326" t="s">
        <v>356</v>
      </c>
      <c r="Q30" s="326"/>
      <c r="R30" s="326"/>
      <c r="S30" s="326"/>
      <c r="T30" s="326"/>
      <c r="U30" s="326"/>
      <c r="V30" s="326"/>
      <c r="W30" s="115"/>
      <c r="Y30" s="113"/>
      <c r="Z30" s="326" t="s">
        <v>357</v>
      </c>
      <c r="AA30" s="326"/>
      <c r="AB30" s="326"/>
      <c r="AC30" s="326"/>
      <c r="AD30" s="326"/>
      <c r="AE30" s="326"/>
      <c r="AF30" s="326"/>
      <c r="AG30" s="115"/>
    </row>
    <row r="31" spans="4:33" ht="21.75" thickBot="1">
      <c r="D31" s="325"/>
      <c r="E31" s="113"/>
      <c r="F31" s="103" t="s">
        <v>337</v>
      </c>
      <c r="G31" s="103" t="s">
        <v>339</v>
      </c>
      <c r="H31" s="103" t="s">
        <v>340</v>
      </c>
      <c r="I31" s="103" t="s">
        <v>341</v>
      </c>
      <c r="J31" s="103" t="s">
        <v>342</v>
      </c>
      <c r="K31" s="103" t="s">
        <v>343</v>
      </c>
      <c r="L31" s="103" t="s">
        <v>338</v>
      </c>
      <c r="M31" s="115"/>
      <c r="O31" s="113"/>
      <c r="P31" s="103" t="s">
        <v>337</v>
      </c>
      <c r="Q31" s="103" t="s">
        <v>339</v>
      </c>
      <c r="R31" s="103" t="s">
        <v>340</v>
      </c>
      <c r="S31" s="103" t="s">
        <v>341</v>
      </c>
      <c r="T31" s="103" t="s">
        <v>342</v>
      </c>
      <c r="U31" s="103" t="s">
        <v>343</v>
      </c>
      <c r="V31" s="103" t="s">
        <v>338</v>
      </c>
      <c r="W31" s="115"/>
      <c r="Y31" s="113"/>
      <c r="Z31" s="103" t="s">
        <v>337</v>
      </c>
      <c r="AA31" s="103" t="s">
        <v>339</v>
      </c>
      <c r="AB31" s="103" t="s">
        <v>340</v>
      </c>
      <c r="AC31" s="103" t="s">
        <v>341</v>
      </c>
      <c r="AD31" s="103" t="s">
        <v>342</v>
      </c>
      <c r="AE31" s="103" t="s">
        <v>343</v>
      </c>
      <c r="AF31" s="103" t="s">
        <v>338</v>
      </c>
      <c r="AG31" s="115"/>
    </row>
    <row r="32" spans="4:33" ht="21">
      <c r="D32" s="325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>
      <c r="D33" s="325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>
      <c r="D34" s="325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>
      <c r="D35" s="325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>
      <c r="D36" s="325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>
      <c r="D37" s="325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35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  <sheetView rightToLeft="1" workbookViewId="1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  <sheetView rightToLeft="1" workbookViewId="1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  <sheetView rightToLeft="1" workbookViewId="1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>
      <selection activeCell="E1" sqref="E1"/>
    </sheetView>
    <sheetView rightToLeft="1" workbookViewId="1"/>
  </sheetViews>
  <sheetFormatPr defaultRowHeight="15"/>
  <cols>
    <col min="1" max="1" width="29.7109375" style="185" customWidth="1"/>
    <col min="2" max="2" width="0.7109375" style="265" customWidth="1"/>
    <col min="3" max="3" width="4.5703125" style="264" customWidth="1"/>
    <col min="4" max="4" width="30" style="198" customWidth="1"/>
    <col min="5" max="5" width="36.5703125" style="198" customWidth="1"/>
    <col min="6" max="6" width="9.140625" style="198" customWidth="1"/>
    <col min="7" max="7" width="18.28515625" style="198" customWidth="1"/>
    <col min="8" max="8" width="23.5703125" style="198" customWidth="1"/>
    <col min="9" max="9" width="36.5703125" style="198" customWidth="1"/>
    <col min="10" max="11" width="18.28515625" style="198" customWidth="1"/>
    <col min="12" max="12" width="29.85546875" style="264" customWidth="1"/>
    <col min="13" max="13" width="36.7109375" style="264" customWidth="1"/>
    <col min="14" max="14" width="18.42578125" style="264" customWidth="1"/>
    <col min="15" max="15" width="23.5703125" style="264" customWidth="1"/>
    <col min="16" max="16" width="36.7109375" style="264" customWidth="1"/>
    <col min="17" max="17" width="18.42578125" style="264" customWidth="1"/>
    <col min="18" max="16384" width="9.140625" style="264"/>
  </cols>
  <sheetData>
    <row r="1" spans="1:11" ht="15.75">
      <c r="A1" s="263" t="s">
        <v>1058</v>
      </c>
      <c r="B1" s="185"/>
      <c r="D1" s="199" t="s">
        <v>996</v>
      </c>
      <c r="E1" s="269" t="s">
        <v>1059</v>
      </c>
      <c r="F1" s="269"/>
      <c r="G1" s="268"/>
      <c r="H1" s="270"/>
      <c r="I1" s="270"/>
      <c r="J1" s="270"/>
      <c r="K1" s="270"/>
    </row>
    <row r="2" spans="1:11" ht="30">
      <c r="B2" s="185"/>
      <c r="D2" s="200" t="s">
        <v>981</v>
      </c>
      <c r="E2" s="200" t="s">
        <v>17</v>
      </c>
      <c r="F2" s="200" t="s">
        <v>1079</v>
      </c>
      <c r="G2" s="201" t="s">
        <v>1085</v>
      </c>
      <c r="H2" s="200" t="s">
        <v>1006</v>
      </c>
      <c r="I2" s="200" t="s">
        <v>1111</v>
      </c>
      <c r="J2" s="200" t="s">
        <v>999</v>
      </c>
      <c r="K2" s="200" t="s">
        <v>994</v>
      </c>
    </row>
    <row r="3" spans="1:11" ht="18.75">
      <c r="A3" s="9" t="s">
        <v>8</v>
      </c>
      <c r="B3" s="185"/>
      <c r="D3" s="202" t="s">
        <v>987</v>
      </c>
      <c r="E3" s="202" t="s">
        <v>997</v>
      </c>
      <c r="F3" s="202" t="s">
        <v>1080</v>
      </c>
      <c r="G3" s="203">
        <v>50000000</v>
      </c>
      <c r="H3" s="202" t="s">
        <v>1053</v>
      </c>
      <c r="I3" s="202"/>
      <c r="J3" s="202" t="s">
        <v>1054</v>
      </c>
      <c r="K3" s="204" t="s">
        <v>1048</v>
      </c>
    </row>
    <row r="4" spans="1:11" ht="19.5" thickBot="1">
      <c r="A4" s="195" t="s">
        <v>115</v>
      </c>
      <c r="B4" s="185"/>
      <c r="D4" s="205" t="s">
        <v>987</v>
      </c>
      <c r="E4" s="205" t="s">
        <v>1018</v>
      </c>
      <c r="F4" s="205" t="s">
        <v>1083</v>
      </c>
      <c r="G4" s="206"/>
      <c r="H4" s="205" t="s">
        <v>1053</v>
      </c>
      <c r="I4" s="205"/>
      <c r="J4" s="205"/>
      <c r="K4" s="207"/>
    </row>
    <row r="5" spans="1:11" ht="18.75">
      <c r="A5" s="10" t="s">
        <v>102</v>
      </c>
      <c r="B5" s="185"/>
      <c r="D5" s="208" t="s">
        <v>982</v>
      </c>
      <c r="E5" s="208" t="s">
        <v>1016</v>
      </c>
      <c r="F5" s="208"/>
      <c r="G5" s="209"/>
      <c r="H5" s="210" t="s">
        <v>1008</v>
      </c>
      <c r="I5" s="208" t="s">
        <v>1017</v>
      </c>
      <c r="J5" s="211" t="s">
        <v>1056</v>
      </c>
      <c r="K5" s="212"/>
    </row>
    <row r="6" spans="1:11" ht="19.5" thickBot="1">
      <c r="A6" s="11" t="s">
        <v>103</v>
      </c>
      <c r="B6" s="185"/>
      <c r="D6" s="213" t="s">
        <v>982</v>
      </c>
      <c r="E6" s="214" t="s">
        <v>1015</v>
      </c>
      <c r="F6" s="214"/>
      <c r="G6" s="215"/>
      <c r="H6" s="214" t="s">
        <v>1008</v>
      </c>
      <c r="I6" s="214"/>
      <c r="J6" s="214"/>
      <c r="K6" s="214"/>
    </row>
    <row r="7" spans="1:11" ht="19.5" thickBot="1">
      <c r="A7" s="33" t="s">
        <v>104</v>
      </c>
      <c r="B7" s="185"/>
      <c r="D7" s="216" t="s">
        <v>988</v>
      </c>
      <c r="E7" s="217" t="s">
        <v>1009</v>
      </c>
      <c r="F7" s="213" t="s">
        <v>1082</v>
      </c>
      <c r="G7" s="206"/>
      <c r="H7" s="205" t="s">
        <v>1053</v>
      </c>
      <c r="I7" s="216"/>
      <c r="J7" s="218"/>
      <c r="K7" s="219"/>
    </row>
    <row r="8" spans="1:11" ht="19.5" thickBot="1">
      <c r="A8" s="196" t="s">
        <v>110</v>
      </c>
      <c r="B8" s="185"/>
      <c r="D8" s="217" t="s">
        <v>989</v>
      </c>
      <c r="E8" s="217" t="s">
        <v>1010</v>
      </c>
      <c r="F8" s="221" t="s">
        <v>1082</v>
      </c>
      <c r="G8" s="220"/>
      <c r="H8" s="221" t="s">
        <v>1053</v>
      </c>
      <c r="I8" s="217"/>
      <c r="J8" s="222"/>
      <c r="K8" s="222"/>
    </row>
    <row r="9" spans="1:11" ht="18.75">
      <c r="A9" s="13" t="s">
        <v>89</v>
      </c>
      <c r="B9" s="185"/>
      <c r="D9" s="223" t="s">
        <v>991</v>
      </c>
      <c r="E9" s="223" t="s">
        <v>1011</v>
      </c>
      <c r="F9" s="208"/>
      <c r="G9" s="224"/>
      <c r="H9" s="208" t="s">
        <v>1012</v>
      </c>
      <c r="I9" s="223"/>
      <c r="J9" s="211" t="s">
        <v>1055</v>
      </c>
      <c r="K9" s="225"/>
    </row>
    <row r="10" spans="1:11" ht="19.5" thickBot="1">
      <c r="A10" s="197" t="s">
        <v>7</v>
      </c>
      <c r="B10" s="185"/>
      <c r="D10" s="226" t="s">
        <v>991</v>
      </c>
      <c r="E10" s="226" t="s">
        <v>1030</v>
      </c>
      <c r="F10" s="297"/>
      <c r="G10" s="203"/>
      <c r="H10" s="213" t="s">
        <v>1053</v>
      </c>
      <c r="I10" s="226"/>
      <c r="J10" s="213"/>
      <c r="K10" s="227"/>
    </row>
    <row r="11" spans="1:11" ht="19.5" thickBot="1">
      <c r="A11" s="14" t="s">
        <v>105</v>
      </c>
      <c r="B11" s="185"/>
      <c r="D11" s="228" t="s">
        <v>990</v>
      </c>
      <c r="E11" s="228" t="s">
        <v>1032</v>
      </c>
      <c r="F11" s="298"/>
      <c r="G11" s="220"/>
      <c r="H11" s="221" t="s">
        <v>1053</v>
      </c>
      <c r="I11" s="228"/>
      <c r="J11" s="221"/>
      <c r="K11" s="229"/>
    </row>
    <row r="12" spans="1:11" ht="18.75">
      <c r="A12" s="15" t="s">
        <v>98</v>
      </c>
      <c r="B12" s="185"/>
      <c r="D12" s="223" t="s">
        <v>992</v>
      </c>
      <c r="E12" s="223" t="s">
        <v>1019</v>
      </c>
      <c r="F12" s="208"/>
      <c r="G12" s="224"/>
      <c r="H12" s="230" t="s">
        <v>1053</v>
      </c>
      <c r="I12" s="223"/>
      <c r="J12" s="211"/>
      <c r="K12" s="225"/>
    </row>
    <row r="13" spans="1:11" ht="15.75" thickBot="1">
      <c r="B13" s="185"/>
      <c r="D13" s="226" t="s">
        <v>992</v>
      </c>
      <c r="E13" s="226" t="s">
        <v>1013</v>
      </c>
      <c r="F13" s="231"/>
      <c r="G13" s="215"/>
      <c r="H13" s="231" t="s">
        <v>1014</v>
      </c>
      <c r="I13" s="226"/>
      <c r="J13" s="213" t="s">
        <v>1003</v>
      </c>
      <c r="K13" s="227"/>
    </row>
    <row r="14" spans="1:11" ht="30">
      <c r="D14" s="223" t="s">
        <v>1023</v>
      </c>
      <c r="E14" s="223" t="s">
        <v>1021</v>
      </c>
      <c r="F14" s="208"/>
      <c r="G14" s="209"/>
      <c r="H14" s="230" t="s">
        <v>1053</v>
      </c>
      <c r="I14" s="223"/>
      <c r="J14" s="211"/>
      <c r="K14" s="225"/>
    </row>
    <row r="15" spans="1:11" ht="15.75" thickBot="1">
      <c r="D15" s="226" t="s">
        <v>1023</v>
      </c>
      <c r="E15" s="226" t="s">
        <v>1020</v>
      </c>
      <c r="F15" s="231"/>
      <c r="G15" s="215"/>
      <c r="H15" s="232" t="s">
        <v>1053</v>
      </c>
      <c r="I15" s="226"/>
      <c r="J15" s="213"/>
      <c r="K15" s="227"/>
    </row>
    <row r="16" spans="1:11" ht="30.75" thickBot="1">
      <c r="D16" s="228" t="s">
        <v>1025</v>
      </c>
      <c r="E16" s="228" t="s">
        <v>1022</v>
      </c>
      <c r="F16" s="298"/>
      <c r="G16" s="233"/>
      <c r="H16" s="234" t="s">
        <v>1053</v>
      </c>
      <c r="I16" s="228" t="s">
        <v>1027</v>
      </c>
      <c r="J16" s="213" t="s">
        <v>123</v>
      </c>
      <c r="K16" s="229"/>
    </row>
    <row r="17" spans="4:11" ht="15.75" thickBot="1">
      <c r="D17" s="228" t="s">
        <v>998</v>
      </c>
      <c r="E17" s="228" t="s">
        <v>1028</v>
      </c>
      <c r="F17" s="298"/>
      <c r="G17" s="233"/>
      <c r="H17" s="235" t="s">
        <v>1053</v>
      </c>
      <c r="I17" s="228"/>
      <c r="J17" s="213"/>
      <c r="K17" s="229"/>
    </row>
    <row r="18" spans="4:11" ht="15.75" thickBot="1">
      <c r="D18" s="236"/>
      <c r="E18" s="236"/>
      <c r="F18" s="236"/>
      <c r="G18" s="237"/>
      <c r="H18" s="236"/>
      <c r="I18" s="236"/>
      <c r="J18" s="236"/>
      <c r="K18" s="236"/>
    </row>
    <row r="19" spans="4:11" ht="16.5" thickTop="1" thickBot="1">
      <c r="D19" s="238" t="s">
        <v>983</v>
      </c>
      <c r="E19" s="238" t="s">
        <v>1029</v>
      </c>
      <c r="F19" s="238"/>
      <c r="G19" s="239">
        <v>-45000000</v>
      </c>
      <c r="H19" s="238" t="s">
        <v>1034</v>
      </c>
      <c r="I19" s="238"/>
      <c r="J19" s="238" t="s">
        <v>1001</v>
      </c>
      <c r="K19" s="240"/>
    </row>
    <row r="20" spans="4:11" ht="15.75" thickBot="1">
      <c r="D20" s="241" t="s">
        <v>985</v>
      </c>
      <c r="E20" s="241" t="s">
        <v>1033</v>
      </c>
      <c r="F20" s="241"/>
      <c r="G20" s="242"/>
      <c r="H20" s="243" t="s">
        <v>1035</v>
      </c>
      <c r="I20" s="213"/>
      <c r="J20" s="213"/>
      <c r="K20" s="219"/>
    </row>
    <row r="21" spans="4:11" ht="30.75" thickBot="1">
      <c r="D21" s="217" t="s">
        <v>1024</v>
      </c>
      <c r="E21" s="217" t="s">
        <v>1036</v>
      </c>
      <c r="F21" s="221"/>
      <c r="G21" s="244"/>
      <c r="H21" s="217" t="s">
        <v>1035</v>
      </c>
      <c r="I21" s="217"/>
      <c r="J21" s="217" t="s">
        <v>123</v>
      </c>
      <c r="K21" s="245"/>
    </row>
    <row r="22" spans="4:11" ht="45.75" thickBot="1">
      <c r="D22" s="241" t="s">
        <v>1026</v>
      </c>
      <c r="E22" s="241" t="s">
        <v>1037</v>
      </c>
      <c r="F22" s="213"/>
      <c r="G22" s="215"/>
      <c r="H22" s="217" t="s">
        <v>1035</v>
      </c>
      <c r="I22" s="213" t="s">
        <v>1038</v>
      </c>
      <c r="J22" s="213"/>
      <c r="K22" s="213"/>
    </row>
    <row r="23" spans="4:11">
      <c r="D23" s="246" t="s">
        <v>986</v>
      </c>
      <c r="E23" s="246" t="s">
        <v>1040</v>
      </c>
      <c r="F23" s="211"/>
      <c r="G23" s="209"/>
      <c r="H23" s="216" t="s">
        <v>1041</v>
      </c>
      <c r="I23" s="211"/>
      <c r="J23" s="211" t="s">
        <v>1002</v>
      </c>
      <c r="K23" s="211"/>
    </row>
    <row r="24" spans="4:11" ht="30.75" thickBot="1">
      <c r="D24" s="241" t="s">
        <v>986</v>
      </c>
      <c r="E24" s="218" t="s">
        <v>1039</v>
      </c>
      <c r="F24" s="299"/>
      <c r="G24" s="247"/>
      <c r="H24" s="248" t="s">
        <v>1041</v>
      </c>
      <c r="I24" s="241"/>
      <c r="J24" s="241"/>
      <c r="K24" s="219"/>
    </row>
    <row r="25" spans="4:11" ht="15.75" thickBot="1">
      <c r="D25" s="217" t="s">
        <v>993</v>
      </c>
      <c r="E25" s="217" t="s">
        <v>1040</v>
      </c>
      <c r="F25" s="217"/>
      <c r="G25" s="249"/>
      <c r="H25" s="217" t="s">
        <v>1041</v>
      </c>
      <c r="I25" s="217"/>
      <c r="J25" s="217"/>
      <c r="K25" s="217"/>
    </row>
    <row r="26" spans="4:11" ht="15.75" thickBot="1">
      <c r="D26" s="250" t="s">
        <v>1007</v>
      </c>
      <c r="E26" s="251" t="s">
        <v>1042</v>
      </c>
      <c r="F26" s="251"/>
      <c r="G26" s="252"/>
      <c r="H26" s="251" t="s">
        <v>1043</v>
      </c>
      <c r="I26" s="251"/>
      <c r="J26" s="251"/>
      <c r="K26" s="253"/>
    </row>
    <row r="27" spans="4:11" ht="16.5" thickTop="1" thickBot="1">
      <c r="D27" s="254" t="s">
        <v>984</v>
      </c>
      <c r="E27" s="254" t="s">
        <v>1045</v>
      </c>
      <c r="F27" s="254"/>
      <c r="G27" s="255"/>
      <c r="H27" s="254" t="s">
        <v>1047</v>
      </c>
      <c r="I27" s="254" t="s">
        <v>1046</v>
      </c>
      <c r="J27" s="254"/>
      <c r="K27" s="256"/>
    </row>
    <row r="28" spans="4:11" ht="15.75" thickBot="1">
      <c r="D28" s="213" t="s">
        <v>984</v>
      </c>
      <c r="E28" s="213" t="s">
        <v>1049</v>
      </c>
      <c r="F28" s="213"/>
      <c r="G28" s="215"/>
      <c r="H28" s="213" t="s">
        <v>1047</v>
      </c>
      <c r="I28" s="213" t="s">
        <v>1050</v>
      </c>
      <c r="J28" s="213"/>
      <c r="K28" s="257"/>
    </row>
    <row r="29" spans="4:11" ht="15.75" thickBot="1">
      <c r="D29" s="258" t="s">
        <v>984</v>
      </c>
      <c r="E29" s="258" t="s">
        <v>1051</v>
      </c>
      <c r="F29" s="258"/>
      <c r="G29" s="259"/>
      <c r="H29" s="258" t="s">
        <v>1052</v>
      </c>
      <c r="I29" s="258"/>
      <c r="J29" s="258" t="s">
        <v>1004</v>
      </c>
      <c r="K29" s="258"/>
    </row>
    <row r="30" spans="4:11" ht="16.5" thickTop="1" thickBot="1">
      <c r="D30" s="251" t="s">
        <v>984</v>
      </c>
      <c r="E30" s="251" t="s">
        <v>1031</v>
      </c>
      <c r="F30" s="251"/>
      <c r="G30" s="252">
        <v>-5000000</v>
      </c>
      <c r="H30" s="251"/>
      <c r="I30" s="251" t="s">
        <v>1044</v>
      </c>
      <c r="J30" s="251"/>
      <c r="K30" s="251"/>
    </row>
    <row r="31" spans="4:11" ht="15.75" thickTop="1">
      <c r="D31" s="261"/>
      <c r="E31" s="260" t="s">
        <v>995</v>
      </c>
      <c r="F31" s="260"/>
      <c r="G31" s="262">
        <f>SUBTOTAL(109,BudgetTable[مبلغ بودجه (ریال)])</f>
        <v>0</v>
      </c>
      <c r="H31" s="260"/>
      <c r="I31" s="260"/>
      <c r="J31" s="260"/>
      <c r="K31" s="261"/>
    </row>
    <row r="87" spans="1:1">
      <c r="A87" s="185" t="s">
        <v>123</v>
      </c>
    </row>
  </sheetData>
  <conditionalFormatting sqref="D3:K30">
    <cfRule type="expression" dxfId="34" priority="1">
      <formula xml:space="preserve"> "پرداخت شد" = $J3</formula>
    </cfRule>
    <cfRule type="expression" dxfId="33" priority="2">
      <formula xml:space="preserve"> "صادر شد" = $J3</formula>
    </cfRule>
    <cfRule type="expression" dxfId="32" priority="3">
      <formula xml:space="preserve"> "خریداری شد" = $J3</formula>
    </cfRule>
    <cfRule type="expression" dxfId="31" priority="4">
      <formula xml:space="preserve"> "دریافت شد" = $J3</formula>
    </cfRule>
    <cfRule type="expression" dxfId="30" priority="5">
      <formula xml:space="preserve"> "باطل شد" = $J3</formula>
    </cfRule>
    <cfRule type="expression" dxfId="29" priority="14">
      <formula xml:space="preserve"> "به فروش رسید" = $J3</formula>
    </cfRule>
    <cfRule type="expression" dxfId="28" priority="15">
      <formula xml:space="preserve"> "----------" = $J3</formula>
    </cfRule>
    <cfRule type="expression" dxfId="27" priority="16">
      <formula xml:space="preserve"> "-" = $J3</formula>
    </cfRule>
    <cfRule type="expression" dxfId="26" priority="17">
      <formula xml:space="preserve"> "S" = $F3</formula>
    </cfRule>
    <cfRule type="expression" dxfId="25" priority="18">
      <formula xml:space="preserve"> "A" = $F3</formula>
    </cfRule>
    <cfRule type="expression" dxfId="24" priority="19">
      <formula xml:space="preserve"> "B" = $F3</formula>
    </cfRule>
    <cfRule type="expression" dxfId="23" priority="20">
      <formula xml:space="preserve"> "C" = $F3</formula>
    </cfRule>
    <cfRule type="expression" dxfId="22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K3" r:id="rId1" xr:uid="{26089A42-4AC1-4FE7-8261-4D386B07371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tabSelected="1" topLeftCell="A16" zoomScaleNormal="100" workbookViewId="0">
      <selection activeCell="F37" sqref="F37"/>
    </sheetView>
    <sheetView rightToLeft="1" workbookViewId="1"/>
  </sheetViews>
  <sheetFormatPr defaultRowHeight="15"/>
  <cols>
    <col min="1" max="1" width="29.85546875" style="185" customWidth="1"/>
    <col min="2" max="2" width="0.7109375" style="265" customWidth="1"/>
    <col min="3" max="3" width="4.5703125" style="264" customWidth="1"/>
    <col min="4" max="4" width="6.85546875" style="282" customWidth="1"/>
    <col min="5" max="5" width="18.28515625" style="283" customWidth="1"/>
    <col min="6" max="6" width="36.5703125" style="283" customWidth="1"/>
    <col min="7" max="8" width="18.28515625" style="284" customWidth="1"/>
    <col min="9" max="10" width="18.28515625" style="283" customWidth="1"/>
    <col min="11" max="11" width="36.5703125" style="283" customWidth="1"/>
    <col min="12" max="12" width="4.5703125" style="271" customWidth="1"/>
    <col min="13" max="13" width="30" style="271" customWidth="1"/>
    <col min="14" max="14" width="36.5703125" style="271" customWidth="1"/>
    <col min="15" max="15" width="9.140625" style="272" customWidth="1"/>
    <col min="16" max="16" width="18.28515625" style="272" customWidth="1"/>
    <col min="17" max="17" width="23.5703125" style="272" customWidth="1"/>
    <col min="18" max="18" width="36.5703125" style="272" customWidth="1"/>
    <col min="19" max="20" width="18.28515625" style="272" customWidth="1"/>
    <col min="21" max="21" width="4.5703125" style="272" customWidth="1"/>
    <col min="22" max="35" width="18.28515625" style="272" customWidth="1"/>
    <col min="36" max="16384" width="9.140625" style="272"/>
  </cols>
  <sheetData>
    <row r="1" spans="1:50" ht="15.75">
      <c r="A1" s="263" t="s">
        <v>1057</v>
      </c>
      <c r="B1" s="185"/>
      <c r="D1" s="273" t="s">
        <v>1</v>
      </c>
      <c r="E1" s="274" t="s">
        <v>0</v>
      </c>
      <c r="F1" s="274" t="s">
        <v>1061</v>
      </c>
      <c r="G1" s="275" t="s">
        <v>2</v>
      </c>
      <c r="H1" s="275" t="s">
        <v>6</v>
      </c>
      <c r="I1" s="274" t="s">
        <v>5</v>
      </c>
      <c r="J1" s="274" t="s">
        <v>1062</v>
      </c>
      <c r="K1" s="274" t="s">
        <v>1111</v>
      </c>
      <c r="M1" s="300" t="s">
        <v>1718</v>
      </c>
      <c r="N1" s="300" t="s">
        <v>1059</v>
      </c>
      <c r="O1" s="300"/>
      <c r="P1" s="370"/>
      <c r="Q1" s="370"/>
      <c r="R1" s="370"/>
      <c r="S1" s="370"/>
      <c r="T1" s="370"/>
      <c r="AW1" s="271"/>
      <c r="AX1" s="271"/>
    </row>
    <row r="2" spans="1:50" ht="30">
      <c r="B2" s="185"/>
      <c r="D2" s="276">
        <v>1</v>
      </c>
      <c r="E2" s="277" t="s">
        <v>1069</v>
      </c>
      <c r="F2" s="277" t="s">
        <v>1073</v>
      </c>
      <c r="G2" s="278">
        <v>6000000</v>
      </c>
      <c r="H2" s="278"/>
      <c r="I2" s="277" t="s">
        <v>1075</v>
      </c>
      <c r="J2" s="277"/>
      <c r="K2" s="277"/>
      <c r="M2" s="200" t="s">
        <v>981</v>
      </c>
      <c r="N2" s="200" t="s">
        <v>17</v>
      </c>
      <c r="O2" s="200" t="s">
        <v>1079</v>
      </c>
      <c r="P2" s="201" t="s">
        <v>1085</v>
      </c>
      <c r="Q2" s="200" t="s">
        <v>1006</v>
      </c>
      <c r="R2" s="200" t="s">
        <v>1111</v>
      </c>
      <c r="S2" s="200" t="s">
        <v>999</v>
      </c>
      <c r="T2" s="200" t="s">
        <v>994</v>
      </c>
      <c r="AW2" s="271"/>
      <c r="AX2" s="271"/>
    </row>
    <row r="3" spans="1:50" ht="18.75">
      <c r="A3" s="9" t="s">
        <v>8</v>
      </c>
      <c r="B3" s="185"/>
      <c r="D3" s="276">
        <v>2</v>
      </c>
      <c r="E3" s="277" t="s">
        <v>1069</v>
      </c>
      <c r="F3" s="277" t="s">
        <v>1074</v>
      </c>
      <c r="G3" s="278">
        <v>6000000</v>
      </c>
      <c r="H3" s="278"/>
      <c r="I3" s="277" t="s">
        <v>1075</v>
      </c>
      <c r="J3" s="277"/>
      <c r="K3" s="277"/>
      <c r="M3" s="202" t="s">
        <v>1086</v>
      </c>
      <c r="N3" s="202" t="s">
        <v>1089</v>
      </c>
      <c r="O3" s="202" t="s">
        <v>1080</v>
      </c>
      <c r="P3" s="203">
        <v>4000000</v>
      </c>
      <c r="Q3" s="202" t="s">
        <v>1053</v>
      </c>
      <c r="R3" s="202"/>
      <c r="S3" s="202" t="s">
        <v>1054</v>
      </c>
      <c r="T3" s="303" t="s">
        <v>1088</v>
      </c>
      <c r="AW3" s="271"/>
      <c r="AX3" s="271"/>
    </row>
    <row r="4" spans="1:50" ht="18.75">
      <c r="A4" s="195" t="s">
        <v>115</v>
      </c>
      <c r="B4" s="185"/>
      <c r="D4" s="276">
        <v>3</v>
      </c>
      <c r="E4" s="277" t="s">
        <v>1069</v>
      </c>
      <c r="F4" s="277" t="s">
        <v>1070</v>
      </c>
      <c r="G4" s="278">
        <v>-10000000</v>
      </c>
      <c r="H4" s="278"/>
      <c r="I4" s="277" t="s">
        <v>1067</v>
      </c>
      <c r="J4" s="277"/>
      <c r="K4" s="277"/>
      <c r="M4" s="202" t="s">
        <v>1086</v>
      </c>
      <c r="N4" s="202" t="s">
        <v>1089</v>
      </c>
      <c r="O4" s="202" t="s">
        <v>1080</v>
      </c>
      <c r="P4" s="203">
        <v>4000000</v>
      </c>
      <c r="Q4" s="202" t="s">
        <v>1091</v>
      </c>
      <c r="R4" s="297"/>
      <c r="S4" s="305" t="s">
        <v>123</v>
      </c>
      <c r="T4" s="304"/>
      <c r="AW4" s="271"/>
      <c r="AX4" s="271"/>
    </row>
    <row r="5" spans="1:50" ht="15.75" thickBot="1">
      <c r="A5" s="287"/>
      <c r="B5" s="185"/>
      <c r="D5" s="276">
        <v>4</v>
      </c>
      <c r="E5" s="277" t="s">
        <v>1069</v>
      </c>
      <c r="F5" s="277" t="s">
        <v>1071</v>
      </c>
      <c r="G5" s="278">
        <v>-1000000</v>
      </c>
      <c r="H5" s="278"/>
      <c r="I5" s="277" t="s">
        <v>1066</v>
      </c>
      <c r="J5" s="277"/>
      <c r="K5" s="277"/>
      <c r="M5" s="213" t="s">
        <v>1086</v>
      </c>
      <c r="N5" s="213" t="s">
        <v>1089</v>
      </c>
      <c r="O5" s="213" t="s">
        <v>1080</v>
      </c>
      <c r="P5" s="215">
        <v>4000000</v>
      </c>
      <c r="Q5" s="213" t="s">
        <v>1092</v>
      </c>
      <c r="R5" s="231"/>
      <c r="S5" s="205"/>
      <c r="T5" s="257"/>
      <c r="AW5" s="271"/>
      <c r="AX5" s="271"/>
    </row>
    <row r="6" spans="1:50" ht="16.5" thickBot="1">
      <c r="A6" s="288" t="s">
        <v>1060</v>
      </c>
      <c r="B6" s="185"/>
      <c r="D6" s="276">
        <v>5</v>
      </c>
      <c r="E6" s="277" t="s">
        <v>1069</v>
      </c>
      <c r="F6" s="277" t="s">
        <v>1072</v>
      </c>
      <c r="G6" s="278">
        <v>-1000000</v>
      </c>
      <c r="H6" s="278"/>
      <c r="I6" s="277" t="s">
        <v>1067</v>
      </c>
      <c r="J6" s="277"/>
      <c r="K6" s="277"/>
      <c r="M6" s="213" t="s">
        <v>982</v>
      </c>
      <c r="N6" s="213" t="s">
        <v>1093</v>
      </c>
      <c r="O6" s="213" t="s">
        <v>1084</v>
      </c>
      <c r="P6" s="215"/>
      <c r="Q6" s="213" t="s">
        <v>1008</v>
      </c>
      <c r="R6" s="213"/>
      <c r="S6" s="213" t="s">
        <v>1056</v>
      </c>
      <c r="T6" s="257"/>
      <c r="AW6" s="271"/>
      <c r="AX6" s="271"/>
    </row>
    <row r="7" spans="1:50" ht="16.5" thickBot="1">
      <c r="A7" s="318">
        <f>CommonBillTable[[#Totals],[مبلغ (ریال)]]</f>
        <v>0</v>
      </c>
      <c r="B7" s="185"/>
      <c r="D7" s="276" t="s">
        <v>143</v>
      </c>
      <c r="E7" s="280"/>
      <c r="F7" s="280"/>
      <c r="G7" s="278">
        <f>SUBTOTAL(109,CommonBillTable[مبلغ (ریال)])</f>
        <v>0</v>
      </c>
      <c r="H7" s="281"/>
      <c r="I7" s="280"/>
      <c r="J7" s="280"/>
      <c r="K7" s="280"/>
      <c r="M7" s="236"/>
      <c r="N7" s="236"/>
      <c r="O7" s="236"/>
      <c r="P7" s="237"/>
      <c r="Q7" s="236"/>
      <c r="R7" s="236"/>
      <c r="S7" s="236"/>
      <c r="T7" s="236"/>
      <c r="AW7" s="271"/>
      <c r="AX7" s="271"/>
    </row>
    <row r="8" spans="1:50" ht="15.75" thickTop="1">
      <c r="A8" s="124"/>
      <c r="B8" s="185"/>
      <c r="M8" s="306" t="s">
        <v>223</v>
      </c>
      <c r="N8" s="306" t="s">
        <v>1090</v>
      </c>
      <c r="O8" s="306" t="s">
        <v>1080</v>
      </c>
      <c r="P8" s="307">
        <v>-7000000</v>
      </c>
      <c r="Q8" s="306" t="s">
        <v>1034</v>
      </c>
      <c r="R8" s="306"/>
      <c r="S8" s="306"/>
      <c r="T8" s="308"/>
      <c r="AW8" s="271"/>
      <c r="AX8" s="271"/>
    </row>
    <row r="9" spans="1:50">
      <c r="A9" s="124"/>
      <c r="B9" s="185"/>
      <c r="K9" s="301"/>
      <c r="M9" s="312" t="s">
        <v>983</v>
      </c>
      <c r="N9" s="312" t="s">
        <v>1071</v>
      </c>
      <c r="O9" s="305" t="s">
        <v>1083</v>
      </c>
      <c r="P9" s="313"/>
      <c r="Q9" s="202" t="s">
        <v>1034</v>
      </c>
      <c r="R9" s="312"/>
      <c r="S9" s="305"/>
      <c r="T9" s="309"/>
      <c r="AW9" s="271"/>
      <c r="AX9" s="271"/>
    </row>
    <row r="10" spans="1:50">
      <c r="A10" s="124"/>
      <c r="B10" s="185"/>
      <c r="K10" s="301"/>
      <c r="M10" s="312" t="s">
        <v>983</v>
      </c>
      <c r="N10" s="312" t="s">
        <v>1094</v>
      </c>
      <c r="O10" s="305" t="s">
        <v>1083</v>
      </c>
      <c r="P10" s="313"/>
      <c r="Q10" s="202" t="s">
        <v>1034</v>
      </c>
      <c r="R10" s="312"/>
      <c r="S10" s="305"/>
      <c r="T10" s="309"/>
      <c r="AW10" s="271"/>
      <c r="AX10" s="271"/>
    </row>
    <row r="11" spans="1:50">
      <c r="A11" s="289"/>
      <c r="B11" s="185"/>
      <c r="K11" s="301"/>
      <c r="M11" s="202" t="s">
        <v>983</v>
      </c>
      <c r="N11" s="202" t="s">
        <v>1072</v>
      </c>
      <c r="O11" s="202" t="s">
        <v>1083</v>
      </c>
      <c r="P11" s="203"/>
      <c r="Q11" s="202" t="s">
        <v>1034</v>
      </c>
      <c r="R11" s="202"/>
      <c r="S11" s="202"/>
      <c r="T11" s="204"/>
      <c r="AW11" s="271"/>
      <c r="AX11" s="271"/>
    </row>
    <row r="12" spans="1:50">
      <c r="A12" s="412"/>
      <c r="B12" s="185"/>
      <c r="K12" s="301"/>
      <c r="M12" s="297" t="s">
        <v>983</v>
      </c>
      <c r="N12" s="297" t="s">
        <v>1095</v>
      </c>
      <c r="O12" s="305" t="s">
        <v>1081</v>
      </c>
      <c r="P12" s="313"/>
      <c r="Q12" s="202" t="s">
        <v>1034</v>
      </c>
      <c r="R12" s="312"/>
      <c r="S12" s="305"/>
      <c r="T12" s="314"/>
      <c r="AW12" s="271"/>
      <c r="AX12" s="271"/>
    </row>
    <row r="13" spans="1:50" ht="15.75" thickBot="1">
      <c r="A13" s="412"/>
      <c r="B13" s="185"/>
      <c r="K13" s="301"/>
      <c r="M13" s="231" t="s">
        <v>983</v>
      </c>
      <c r="N13" s="231" t="s">
        <v>1096</v>
      </c>
      <c r="O13" s="213" t="s">
        <v>1082</v>
      </c>
      <c r="P13" s="315"/>
      <c r="Q13" s="213" t="s">
        <v>1034</v>
      </c>
      <c r="R13" s="316"/>
      <c r="S13" s="213"/>
      <c r="T13" s="257"/>
      <c r="AW13" s="271"/>
      <c r="AX13" s="271"/>
    </row>
    <row r="14" spans="1:50" ht="15.75" thickBot="1">
      <c r="A14" s="412"/>
      <c r="K14" s="301"/>
      <c r="M14" s="298" t="s">
        <v>985</v>
      </c>
      <c r="N14" s="298" t="s">
        <v>1101</v>
      </c>
      <c r="O14" s="221" t="s">
        <v>1081</v>
      </c>
      <c r="P14" s="233"/>
      <c r="Q14" s="221" t="s">
        <v>1034</v>
      </c>
      <c r="R14" s="298"/>
      <c r="S14" s="221"/>
      <c r="T14" s="317"/>
      <c r="AW14" s="271"/>
      <c r="AX14" s="271"/>
    </row>
    <row r="15" spans="1:50">
      <c r="A15" s="289"/>
      <c r="K15" s="301"/>
      <c r="M15" s="297" t="s">
        <v>984</v>
      </c>
      <c r="N15" s="297" t="s">
        <v>1099</v>
      </c>
      <c r="O15" s="202"/>
      <c r="P15" s="311"/>
      <c r="Q15" s="310" t="s">
        <v>1052</v>
      </c>
      <c r="R15" s="310"/>
      <c r="S15" s="202"/>
      <c r="T15" s="314"/>
      <c r="AW15" s="271"/>
      <c r="AX15" s="271"/>
    </row>
    <row r="16" spans="1:50">
      <c r="K16" s="301"/>
      <c r="M16" s="297" t="s">
        <v>984</v>
      </c>
      <c r="N16" s="297" t="s">
        <v>1100</v>
      </c>
      <c r="O16" s="305"/>
      <c r="P16" s="313"/>
      <c r="Q16" s="312" t="s">
        <v>1034</v>
      </c>
      <c r="R16" s="312"/>
      <c r="S16" s="305"/>
      <c r="T16" s="314"/>
      <c r="AW16" s="271"/>
      <c r="AX16" s="271"/>
    </row>
    <row r="17" spans="1:50" ht="15.75" thickBot="1">
      <c r="K17" s="301"/>
      <c r="M17" s="251" t="s">
        <v>1007</v>
      </c>
      <c r="N17" s="251" t="s">
        <v>1097</v>
      </c>
      <c r="O17" s="251" t="s">
        <v>1084</v>
      </c>
      <c r="P17" s="252"/>
      <c r="Q17" s="251" t="s">
        <v>1098</v>
      </c>
      <c r="R17" s="251"/>
      <c r="S17" s="251"/>
      <c r="T17" s="251" t="s">
        <v>123</v>
      </c>
      <c r="AW17" s="271"/>
      <c r="AX17" s="271"/>
    </row>
    <row r="18" spans="1:50" ht="15.75" thickTop="1">
      <c r="K18" s="301"/>
      <c r="M18" s="261"/>
      <c r="N18" s="260" t="s">
        <v>995</v>
      </c>
      <c r="O18" s="260"/>
      <c r="P18" s="262">
        <f>SUBTOTAL(109,CommonEnvironmentBudgetTable140010[مبلغ بودجه (ریال)])</f>
        <v>5000000</v>
      </c>
      <c r="Q18" s="260"/>
      <c r="R18" s="260"/>
      <c r="S18" s="260"/>
      <c r="T18" s="261"/>
      <c r="AW18" s="271"/>
      <c r="AX18" s="271"/>
    </row>
    <row r="19" spans="1:50">
      <c r="K19" s="301"/>
      <c r="AW19" s="271"/>
      <c r="AX19" s="271"/>
    </row>
    <row r="20" spans="1:50">
      <c r="K20" s="301"/>
      <c r="AW20" s="271"/>
      <c r="AX20" s="271"/>
    </row>
    <row r="21" spans="1:50">
      <c r="K21" s="301"/>
      <c r="AW21" s="271"/>
      <c r="AX21" s="271"/>
    </row>
    <row r="22" spans="1:50">
      <c r="K22" s="301"/>
      <c r="AW22" s="271"/>
      <c r="AX22" s="271"/>
    </row>
    <row r="23" spans="1:50">
      <c r="K23" s="301"/>
      <c r="AW23" s="271"/>
      <c r="AX23" s="271"/>
    </row>
    <row r="24" spans="1:50">
      <c r="K24" s="301"/>
      <c r="AW24" s="271"/>
      <c r="AX24" s="271"/>
    </row>
    <row r="25" spans="1:50">
      <c r="A25" s="333"/>
      <c r="K25" s="301"/>
      <c r="AW25" s="271"/>
      <c r="AX25" s="271"/>
    </row>
    <row r="26" spans="1:50">
      <c r="A26" s="333"/>
      <c r="K26" s="301"/>
      <c r="AW26" s="271"/>
      <c r="AX26" s="271"/>
    </row>
    <row r="27" spans="1:50">
      <c r="A27" s="333"/>
      <c r="K27" s="301"/>
      <c r="AW27" s="271"/>
      <c r="AX27" s="271"/>
    </row>
    <row r="28" spans="1:50">
      <c r="A28" s="333"/>
      <c r="AW28" s="271"/>
      <c r="AX28" s="271"/>
    </row>
    <row r="29" spans="1:50">
      <c r="A29" s="333"/>
      <c r="AW29" s="271"/>
      <c r="AX29" s="271"/>
    </row>
    <row r="30" spans="1:50">
      <c r="A30" s="333"/>
      <c r="AW30" s="271"/>
      <c r="AX30" s="271"/>
    </row>
    <row r="31" spans="1:50">
      <c r="AW31" s="271"/>
      <c r="AX31" s="271"/>
    </row>
    <row r="32" spans="1:50">
      <c r="AW32" s="271"/>
      <c r="AX32" s="271"/>
    </row>
    <row r="33" spans="1:50">
      <c r="AW33" s="271"/>
      <c r="AX33" s="271"/>
    </row>
    <row r="34" spans="1:50">
      <c r="AW34" s="271"/>
      <c r="AX34" s="271"/>
    </row>
    <row r="35" spans="1:50">
      <c r="AW35" s="271"/>
      <c r="AX35" s="271"/>
    </row>
    <row r="36" spans="1:50">
      <c r="AW36" s="271"/>
      <c r="AX36" s="271"/>
    </row>
    <row r="37" spans="1:50">
      <c r="AW37" s="271"/>
      <c r="AX37" s="271"/>
    </row>
    <row r="38" spans="1:50">
      <c r="AW38" s="271"/>
      <c r="AX38" s="271"/>
    </row>
    <row r="39" spans="1:50">
      <c r="A39" s="285" t="s">
        <v>1063</v>
      </c>
      <c r="AW39" s="271"/>
      <c r="AX39" s="271"/>
    </row>
    <row r="40" spans="1:50" ht="15.75" thickBot="1">
      <c r="A40" s="290" t="s">
        <v>1075</v>
      </c>
      <c r="AW40" s="271"/>
      <c r="AX40" s="271"/>
    </row>
    <row r="41" spans="1:50" ht="15.75" thickTop="1">
      <c r="A41" s="279" t="s">
        <v>1064</v>
      </c>
      <c r="AW41" s="271"/>
      <c r="AX41" s="271"/>
    </row>
    <row r="42" spans="1:50">
      <c r="A42" s="279" t="s">
        <v>1065</v>
      </c>
      <c r="AW42" s="271"/>
      <c r="AX42" s="271"/>
    </row>
    <row r="43" spans="1:50">
      <c r="A43" s="279" t="s">
        <v>1066</v>
      </c>
      <c r="AW43" s="271"/>
      <c r="AX43" s="271"/>
    </row>
    <row r="44" spans="1:50">
      <c r="A44" s="279" t="s">
        <v>1067</v>
      </c>
      <c r="AW44" s="271"/>
      <c r="AX44" s="271"/>
    </row>
    <row r="45" spans="1:50">
      <c r="A45" s="279" t="s">
        <v>1068</v>
      </c>
      <c r="AW45" s="271"/>
      <c r="AX45" s="271"/>
    </row>
    <row r="46" spans="1:50">
      <c r="A46" s="279" t="s">
        <v>1078</v>
      </c>
      <c r="AW46" s="271"/>
      <c r="AX46" s="271"/>
    </row>
    <row r="47" spans="1:50">
      <c r="A47" s="279" t="s">
        <v>1077</v>
      </c>
      <c r="AW47" s="271"/>
      <c r="AX47" s="271"/>
    </row>
    <row r="48" spans="1:50">
      <c r="A48" s="279" t="s">
        <v>1076</v>
      </c>
      <c r="AW48" s="271"/>
      <c r="AX48" s="271"/>
    </row>
    <row r="49" spans="1:50">
      <c r="AW49" s="271"/>
      <c r="AX49" s="271"/>
    </row>
    <row r="50" spans="1:50">
      <c r="AW50" s="271"/>
      <c r="AX50" s="271"/>
    </row>
    <row r="51" spans="1:50">
      <c r="AW51" s="271"/>
      <c r="AX51" s="271"/>
    </row>
    <row r="52" spans="1:50">
      <c r="AW52" s="271"/>
      <c r="AX52" s="271"/>
    </row>
    <row r="53" spans="1:50">
      <c r="AW53" s="271"/>
      <c r="AX53" s="271"/>
    </row>
    <row r="54" spans="1:50">
      <c r="AW54" s="271"/>
      <c r="AX54" s="271"/>
    </row>
    <row r="55" spans="1:50">
      <c r="AW55" s="271"/>
      <c r="AX55" s="271"/>
    </row>
    <row r="56" spans="1:50">
      <c r="AW56" s="271"/>
      <c r="AX56" s="271"/>
    </row>
    <row r="57" spans="1:50">
      <c r="A57" s="286"/>
      <c r="AW57" s="271"/>
      <c r="AX57" s="271"/>
    </row>
    <row r="58" spans="1:50">
      <c r="A58" s="286"/>
      <c r="AW58" s="271"/>
      <c r="AX58" s="271"/>
    </row>
    <row r="59" spans="1:50">
      <c r="A59" s="286"/>
      <c r="AW59" s="271"/>
      <c r="AX59" s="271"/>
    </row>
    <row r="60" spans="1:50">
      <c r="A60" s="286"/>
      <c r="AW60" s="271"/>
      <c r="AX60" s="271"/>
    </row>
    <row r="61" spans="1:50">
      <c r="A61" s="286"/>
      <c r="AW61" s="271"/>
      <c r="AX61" s="271"/>
    </row>
    <row r="62" spans="1:50">
      <c r="A62" s="286"/>
      <c r="AW62" s="271"/>
      <c r="AX62" s="271"/>
    </row>
    <row r="63" spans="1:50">
      <c r="A63" s="286"/>
      <c r="AW63" s="271"/>
      <c r="AX63" s="271"/>
    </row>
    <row r="64" spans="1:50">
      <c r="A64" s="286"/>
      <c r="AW64" s="271"/>
      <c r="AX64" s="271"/>
    </row>
    <row r="65" spans="1:50">
      <c r="A65" s="286"/>
      <c r="AW65" s="271"/>
      <c r="AX65" s="271"/>
    </row>
    <row r="66" spans="1:50">
      <c r="A66" s="286"/>
      <c r="AW66" s="271"/>
      <c r="AX66" s="271"/>
    </row>
    <row r="67" spans="1:50">
      <c r="A67" s="286"/>
      <c r="AW67" s="271"/>
      <c r="AX67" s="271"/>
    </row>
    <row r="68" spans="1:50">
      <c r="A68" s="286"/>
      <c r="AW68" s="271"/>
      <c r="AX68" s="271"/>
    </row>
    <row r="69" spans="1:50">
      <c r="A69" s="286"/>
      <c r="AW69" s="271"/>
      <c r="AX69" s="271"/>
    </row>
    <row r="70" spans="1:50">
      <c r="A70" s="286"/>
      <c r="AW70" s="271"/>
      <c r="AX70" s="271"/>
    </row>
    <row r="71" spans="1:50">
      <c r="A71" s="286"/>
      <c r="AW71" s="271"/>
      <c r="AX71" s="271"/>
    </row>
    <row r="72" spans="1:50">
      <c r="A72" s="286"/>
      <c r="AW72" s="271"/>
      <c r="AX72" s="271"/>
    </row>
    <row r="73" spans="1:50">
      <c r="A73" s="286"/>
      <c r="AW73" s="271"/>
      <c r="AX73" s="271"/>
    </row>
    <row r="74" spans="1:50">
      <c r="A74" s="286"/>
      <c r="AW74" s="271"/>
      <c r="AX74" s="271"/>
    </row>
    <row r="75" spans="1:50">
      <c r="A75" s="286"/>
      <c r="AW75" s="271"/>
      <c r="AX75" s="271"/>
    </row>
    <row r="76" spans="1:50">
      <c r="A76" s="286"/>
      <c r="AW76" s="271"/>
      <c r="AX76" s="271"/>
    </row>
    <row r="77" spans="1:50">
      <c r="A77" s="286"/>
      <c r="AW77" s="271"/>
      <c r="AX77" s="271"/>
    </row>
    <row r="78" spans="1:50">
      <c r="A78" s="286"/>
      <c r="AW78" s="271"/>
      <c r="AX78" s="271"/>
    </row>
    <row r="79" spans="1:50">
      <c r="A79" s="286"/>
      <c r="AW79" s="271"/>
      <c r="AX79" s="271"/>
    </row>
    <row r="80" spans="1:50">
      <c r="A80" s="286"/>
      <c r="AW80" s="271"/>
      <c r="AX80" s="271"/>
    </row>
    <row r="81" spans="1:50">
      <c r="A81" s="286"/>
      <c r="AW81" s="271"/>
      <c r="AX81" s="271"/>
    </row>
    <row r="82" spans="1:50">
      <c r="A82" s="286"/>
      <c r="AW82" s="271"/>
      <c r="AX82" s="271"/>
    </row>
    <row r="83" spans="1:50">
      <c r="A83" s="286"/>
      <c r="AW83" s="271"/>
      <c r="AX83" s="271"/>
    </row>
    <row r="84" spans="1:50">
      <c r="A84" s="286"/>
      <c r="AW84" s="271"/>
      <c r="AX84" s="271"/>
    </row>
    <row r="85" spans="1:50">
      <c r="A85" s="286" t="s">
        <v>123</v>
      </c>
      <c r="AW85" s="271"/>
      <c r="AX85" s="271"/>
    </row>
    <row r="86" spans="1:50">
      <c r="AW86" s="271"/>
      <c r="AX86" s="271"/>
    </row>
    <row r="87" spans="1:50">
      <c r="AW87" s="271"/>
      <c r="AX87" s="271"/>
    </row>
    <row r="88" spans="1:50">
      <c r="AW88" s="271"/>
      <c r="AX88" s="271"/>
    </row>
    <row r="89" spans="1:50">
      <c r="AW89" s="271"/>
      <c r="AX89" s="271"/>
    </row>
    <row r="90" spans="1:50">
      <c r="AW90" s="271"/>
      <c r="AX90" s="271"/>
    </row>
    <row r="91" spans="1:50">
      <c r="AW91" s="271"/>
      <c r="AX91" s="271"/>
    </row>
    <row r="92" spans="1:50">
      <c r="AW92" s="271"/>
      <c r="AX92" s="271"/>
    </row>
    <row r="93" spans="1:50">
      <c r="AW93" s="271"/>
      <c r="AX93" s="271"/>
    </row>
    <row r="94" spans="1:50">
      <c r="AW94" s="271"/>
      <c r="AX94" s="271"/>
    </row>
    <row r="95" spans="1:50">
      <c r="AW95" s="271"/>
      <c r="AX95" s="271"/>
    </row>
    <row r="96" spans="1:50">
      <c r="AW96" s="271"/>
      <c r="AX96" s="271"/>
    </row>
    <row r="97" spans="49:50">
      <c r="AW97" s="271"/>
      <c r="AX97" s="271"/>
    </row>
    <row r="98" spans="49:50">
      <c r="AW98" s="271"/>
      <c r="AX98" s="271"/>
    </row>
    <row r="99" spans="49:50">
      <c r="AW99" s="271"/>
      <c r="AX99" s="271"/>
    </row>
    <row r="100" spans="49:50">
      <c r="AW100" s="271"/>
      <c r="AX100" s="271"/>
    </row>
    <row r="101" spans="49:50">
      <c r="AW101" s="271"/>
      <c r="AX101" s="271"/>
    </row>
    <row r="102" spans="49:50">
      <c r="AW102" s="271"/>
      <c r="AX102" s="271"/>
    </row>
    <row r="103" spans="49:50">
      <c r="AW103" s="271"/>
      <c r="AX103" s="271"/>
    </row>
    <row r="104" spans="49:50">
      <c r="AW104" s="271"/>
      <c r="AX104" s="271"/>
    </row>
    <row r="105" spans="49:50">
      <c r="AW105" s="271"/>
      <c r="AX105" s="271"/>
    </row>
    <row r="106" spans="49:50">
      <c r="AW106" s="271"/>
      <c r="AX106" s="271"/>
    </row>
    <row r="107" spans="49:50">
      <c r="AW107" s="271"/>
      <c r="AX107" s="271"/>
    </row>
    <row r="108" spans="49:50">
      <c r="AW108" s="271"/>
      <c r="AX108" s="271"/>
    </row>
    <row r="109" spans="49:50">
      <c r="AW109" s="271"/>
      <c r="AX109" s="271"/>
    </row>
    <row r="110" spans="49:50">
      <c r="AW110" s="271"/>
      <c r="AX110" s="271"/>
    </row>
    <row r="111" spans="49:50">
      <c r="AW111" s="271"/>
      <c r="AX111" s="271"/>
    </row>
    <row r="112" spans="49:50">
      <c r="AW112" s="271"/>
      <c r="AX112" s="271"/>
    </row>
    <row r="113" spans="49:50">
      <c r="AW113" s="271"/>
      <c r="AX113" s="271"/>
    </row>
    <row r="114" spans="49:50">
      <c r="AW114" s="271"/>
      <c r="AX114" s="271"/>
    </row>
    <row r="115" spans="49:50">
      <c r="AW115" s="271"/>
      <c r="AX115" s="271"/>
    </row>
    <row r="116" spans="49:50">
      <c r="AW116" s="271"/>
      <c r="AX116" s="271"/>
    </row>
    <row r="117" spans="49:50">
      <c r="AW117" s="271"/>
      <c r="AX117" s="271"/>
    </row>
    <row r="118" spans="49:50">
      <c r="AW118" s="271"/>
      <c r="AX118" s="271"/>
    </row>
    <row r="119" spans="49:50">
      <c r="AW119" s="271"/>
      <c r="AX119" s="271"/>
    </row>
    <row r="120" spans="49:50">
      <c r="AW120" s="271"/>
      <c r="AX120" s="271"/>
    </row>
    <row r="121" spans="49:50">
      <c r="AW121" s="271"/>
      <c r="AX121" s="271"/>
    </row>
    <row r="122" spans="49:50">
      <c r="AW122" s="271"/>
      <c r="AX122" s="271"/>
    </row>
    <row r="123" spans="49:50">
      <c r="AW123" s="271"/>
      <c r="AX123" s="271"/>
    </row>
    <row r="124" spans="49:50">
      <c r="AW124" s="271"/>
      <c r="AX124" s="271"/>
    </row>
    <row r="125" spans="49:50">
      <c r="AW125" s="271"/>
      <c r="AX125" s="271"/>
    </row>
    <row r="126" spans="49:50">
      <c r="AW126" s="271"/>
      <c r="AX126" s="271"/>
    </row>
    <row r="127" spans="49:50">
      <c r="AW127" s="271"/>
      <c r="AX127" s="271"/>
    </row>
    <row r="128" spans="49:50">
      <c r="AW128" s="271"/>
      <c r="AX128" s="271"/>
    </row>
    <row r="129" spans="49:50">
      <c r="AW129" s="271"/>
      <c r="AX129" s="271"/>
    </row>
    <row r="130" spans="49:50">
      <c r="AW130" s="271"/>
      <c r="AX130" s="271"/>
    </row>
    <row r="131" spans="49:50">
      <c r="AW131" s="271"/>
      <c r="AX131" s="271"/>
    </row>
    <row r="132" spans="49:50">
      <c r="AW132" s="271"/>
      <c r="AX132" s="271"/>
    </row>
    <row r="133" spans="49:50">
      <c r="AW133" s="271"/>
      <c r="AX133" s="271"/>
    </row>
    <row r="134" spans="49:50">
      <c r="AW134" s="271"/>
      <c r="AX134" s="271"/>
    </row>
    <row r="135" spans="49:50">
      <c r="AW135" s="271"/>
      <c r="AX135" s="271"/>
    </row>
    <row r="136" spans="49:50">
      <c r="AW136" s="271"/>
      <c r="AX136" s="271"/>
    </row>
    <row r="137" spans="49:50">
      <c r="AW137" s="271"/>
      <c r="AX137" s="271"/>
    </row>
    <row r="138" spans="49:50">
      <c r="AW138" s="271"/>
      <c r="AX138" s="271"/>
    </row>
    <row r="139" spans="49:50">
      <c r="AW139" s="271"/>
      <c r="AX139" s="271"/>
    </row>
    <row r="140" spans="49:50">
      <c r="AW140" s="271"/>
      <c r="AX140" s="271"/>
    </row>
    <row r="141" spans="49:50">
      <c r="AW141" s="271"/>
      <c r="AX141" s="271"/>
    </row>
    <row r="142" spans="49:50">
      <c r="AW142" s="271"/>
      <c r="AX142" s="271"/>
    </row>
    <row r="143" spans="49:50">
      <c r="AW143" s="271"/>
      <c r="AX143" s="271"/>
    </row>
    <row r="144" spans="49:50">
      <c r="AW144" s="271"/>
      <c r="AX144" s="271"/>
    </row>
    <row r="145" spans="49:50">
      <c r="AW145" s="271"/>
      <c r="AX145" s="271"/>
    </row>
    <row r="146" spans="49:50">
      <c r="AW146" s="271"/>
      <c r="AX146" s="271"/>
    </row>
    <row r="147" spans="49:50">
      <c r="AW147" s="271"/>
      <c r="AX147" s="271"/>
    </row>
    <row r="148" spans="49:50">
      <c r="AW148" s="271"/>
      <c r="AX148" s="271"/>
    </row>
    <row r="149" spans="49:50">
      <c r="AW149" s="271"/>
      <c r="AX149" s="271"/>
    </row>
    <row r="150" spans="49:50">
      <c r="AW150" s="271"/>
      <c r="AX150" s="271"/>
    </row>
    <row r="151" spans="49:50">
      <c r="AW151" s="271"/>
      <c r="AX151" s="271"/>
    </row>
    <row r="152" spans="49:50">
      <c r="AW152" s="271"/>
      <c r="AX152" s="271"/>
    </row>
    <row r="153" spans="49:50">
      <c r="AW153" s="271"/>
      <c r="AX153" s="271"/>
    </row>
    <row r="154" spans="49:50">
      <c r="AW154" s="271"/>
      <c r="AX154" s="271"/>
    </row>
    <row r="155" spans="49:50">
      <c r="AW155" s="271"/>
      <c r="AX155" s="271"/>
    </row>
    <row r="156" spans="49:50">
      <c r="AW156" s="271"/>
      <c r="AX156" s="271"/>
    </row>
    <row r="157" spans="49:50">
      <c r="AW157" s="271"/>
      <c r="AX157" s="271"/>
    </row>
    <row r="158" spans="49:50">
      <c r="AW158" s="271"/>
      <c r="AX158" s="271"/>
    </row>
    <row r="159" spans="49:50">
      <c r="AW159" s="271"/>
      <c r="AX159" s="271"/>
    </row>
    <row r="160" spans="49:50">
      <c r="AW160" s="271"/>
      <c r="AX160" s="271"/>
    </row>
    <row r="161" spans="49:50">
      <c r="AW161" s="271"/>
      <c r="AX161" s="271"/>
    </row>
    <row r="162" spans="49:50">
      <c r="AW162" s="271"/>
      <c r="AX162" s="271"/>
    </row>
    <row r="163" spans="49:50">
      <c r="AW163" s="271"/>
      <c r="AX163" s="271"/>
    </row>
    <row r="164" spans="49:50">
      <c r="AW164" s="271"/>
      <c r="AX164" s="271"/>
    </row>
    <row r="165" spans="49:50">
      <c r="AW165" s="271"/>
      <c r="AX165" s="271"/>
    </row>
    <row r="166" spans="49:50">
      <c r="AW166" s="271"/>
      <c r="AX166" s="271"/>
    </row>
    <row r="167" spans="49:50">
      <c r="AW167" s="271"/>
      <c r="AX167" s="271"/>
    </row>
    <row r="168" spans="49:50">
      <c r="AW168" s="271"/>
      <c r="AX168" s="271"/>
    </row>
    <row r="169" spans="49:50">
      <c r="AW169" s="271"/>
      <c r="AX169" s="271"/>
    </row>
    <row r="170" spans="49:50">
      <c r="AW170" s="271"/>
      <c r="AX170" s="271"/>
    </row>
    <row r="171" spans="49:50">
      <c r="AW171" s="271"/>
      <c r="AX171" s="271"/>
    </row>
    <row r="172" spans="49:50">
      <c r="AW172" s="271"/>
      <c r="AX172" s="271"/>
    </row>
    <row r="173" spans="49:50">
      <c r="AW173" s="271"/>
      <c r="AX173" s="271"/>
    </row>
    <row r="174" spans="49:50">
      <c r="AW174" s="271"/>
      <c r="AX174" s="271"/>
    </row>
    <row r="175" spans="49:50">
      <c r="AW175" s="271"/>
      <c r="AX175" s="271"/>
    </row>
    <row r="176" spans="49:50">
      <c r="AW176" s="271"/>
      <c r="AX176" s="271"/>
    </row>
    <row r="177" spans="49:50">
      <c r="AW177" s="271"/>
      <c r="AX177" s="271"/>
    </row>
    <row r="178" spans="49:50">
      <c r="AW178" s="271"/>
      <c r="AX178" s="271"/>
    </row>
    <row r="179" spans="49:50">
      <c r="AW179" s="271"/>
      <c r="AX179" s="271"/>
    </row>
    <row r="180" spans="49:50">
      <c r="AW180" s="271"/>
      <c r="AX180" s="271"/>
    </row>
    <row r="181" spans="49:50">
      <c r="AW181" s="271"/>
      <c r="AX181" s="271"/>
    </row>
    <row r="182" spans="49:50">
      <c r="AW182" s="271"/>
      <c r="AX182" s="271"/>
    </row>
    <row r="183" spans="49:50">
      <c r="AW183" s="271"/>
      <c r="AX183" s="271"/>
    </row>
    <row r="184" spans="49:50">
      <c r="AW184" s="271"/>
      <c r="AX184" s="271"/>
    </row>
    <row r="185" spans="49:50">
      <c r="AW185" s="271"/>
      <c r="AX185" s="271"/>
    </row>
    <row r="186" spans="49:50">
      <c r="AW186" s="271"/>
      <c r="AX186" s="271"/>
    </row>
    <row r="187" spans="49:50">
      <c r="AW187" s="271"/>
      <c r="AX187" s="271"/>
    </row>
    <row r="188" spans="49:50">
      <c r="AW188" s="271"/>
      <c r="AX188" s="271"/>
    </row>
    <row r="189" spans="49:50">
      <c r="AW189" s="271"/>
      <c r="AX189" s="271"/>
    </row>
    <row r="190" spans="49:50">
      <c r="AW190" s="271"/>
      <c r="AX190" s="271"/>
    </row>
    <row r="191" spans="49:50">
      <c r="AW191" s="271"/>
      <c r="AX191" s="271"/>
    </row>
    <row r="192" spans="49:50">
      <c r="AW192" s="271"/>
      <c r="AX192" s="271"/>
    </row>
    <row r="193" spans="49:50">
      <c r="AW193" s="271"/>
      <c r="AX193" s="271"/>
    </row>
    <row r="194" spans="49:50">
      <c r="AW194" s="271"/>
      <c r="AX194" s="271"/>
    </row>
    <row r="195" spans="49:50">
      <c r="AW195" s="271"/>
      <c r="AX195" s="271"/>
    </row>
    <row r="196" spans="49:50">
      <c r="AW196" s="271"/>
      <c r="AX196" s="271"/>
    </row>
    <row r="197" spans="49:50">
      <c r="AW197" s="271"/>
      <c r="AX197" s="271"/>
    </row>
    <row r="198" spans="49:50">
      <c r="AW198" s="271"/>
      <c r="AX198" s="271"/>
    </row>
    <row r="199" spans="49:50">
      <c r="AW199" s="271"/>
      <c r="AX199" s="271"/>
    </row>
    <row r="200" spans="49:50">
      <c r="AW200" s="271"/>
      <c r="AX200" s="271"/>
    </row>
    <row r="201" spans="49:50">
      <c r="AW201" s="271"/>
      <c r="AX201" s="271"/>
    </row>
    <row r="202" spans="49:50">
      <c r="AW202" s="271"/>
      <c r="AX202" s="271"/>
    </row>
    <row r="203" spans="49:50">
      <c r="AW203" s="271"/>
      <c r="AX203" s="271"/>
    </row>
    <row r="204" spans="49:50">
      <c r="AW204" s="271"/>
      <c r="AX204" s="271"/>
    </row>
    <row r="205" spans="49:50">
      <c r="AW205" s="271"/>
      <c r="AX205" s="271"/>
    </row>
    <row r="206" spans="49:50">
      <c r="AW206" s="271"/>
      <c r="AX206" s="271"/>
    </row>
    <row r="207" spans="49:50">
      <c r="AW207" s="271"/>
      <c r="AX207" s="271"/>
    </row>
    <row r="208" spans="49:50">
      <c r="AW208" s="271"/>
      <c r="AX208" s="271"/>
    </row>
    <row r="209" spans="49:50">
      <c r="AW209" s="271"/>
      <c r="AX209" s="271"/>
    </row>
    <row r="210" spans="49:50">
      <c r="AW210" s="271"/>
      <c r="AX210" s="271"/>
    </row>
    <row r="211" spans="49:50">
      <c r="AW211" s="271"/>
      <c r="AX211" s="271"/>
    </row>
    <row r="212" spans="49:50">
      <c r="AW212" s="271"/>
      <c r="AX212" s="271"/>
    </row>
    <row r="213" spans="49:50">
      <c r="AW213" s="271"/>
      <c r="AX213" s="271"/>
    </row>
    <row r="214" spans="49:50">
      <c r="AW214" s="271"/>
      <c r="AX214" s="271"/>
    </row>
    <row r="215" spans="49:50">
      <c r="AW215" s="271"/>
      <c r="AX215" s="271"/>
    </row>
    <row r="216" spans="49:50">
      <c r="AW216" s="271"/>
      <c r="AX216" s="271"/>
    </row>
    <row r="217" spans="49:50">
      <c r="AW217" s="271"/>
      <c r="AX217" s="271"/>
    </row>
    <row r="218" spans="49:50">
      <c r="AW218" s="271"/>
      <c r="AX218" s="271"/>
    </row>
    <row r="219" spans="49:50">
      <c r="AW219" s="271"/>
      <c r="AX219" s="271"/>
    </row>
    <row r="220" spans="49:50">
      <c r="AW220" s="271"/>
      <c r="AX220" s="271"/>
    </row>
    <row r="221" spans="49:50">
      <c r="AW221" s="271"/>
      <c r="AX221" s="271"/>
    </row>
    <row r="222" spans="49:50">
      <c r="AW222" s="271"/>
      <c r="AX222" s="271"/>
    </row>
    <row r="223" spans="49:50">
      <c r="AW223" s="271"/>
      <c r="AX223" s="271"/>
    </row>
    <row r="224" spans="49:50">
      <c r="AW224" s="271"/>
      <c r="AX224" s="271"/>
    </row>
    <row r="225" spans="49:50">
      <c r="AW225" s="271"/>
      <c r="AX225" s="271"/>
    </row>
    <row r="226" spans="49:50">
      <c r="AW226" s="271"/>
      <c r="AX226" s="271"/>
    </row>
    <row r="227" spans="49:50">
      <c r="AW227" s="271"/>
      <c r="AX227" s="271"/>
    </row>
    <row r="228" spans="49:50">
      <c r="AW228" s="271"/>
      <c r="AX228" s="271"/>
    </row>
    <row r="229" spans="49:50">
      <c r="AW229" s="271"/>
      <c r="AX229" s="271"/>
    </row>
    <row r="230" spans="49:50">
      <c r="AW230" s="271"/>
      <c r="AX230" s="271"/>
    </row>
    <row r="231" spans="49:50">
      <c r="AW231" s="271"/>
      <c r="AX231" s="271"/>
    </row>
    <row r="232" spans="49:50">
      <c r="AW232" s="271"/>
      <c r="AX232" s="271"/>
    </row>
    <row r="233" spans="49:50">
      <c r="AW233" s="271"/>
      <c r="AX233" s="271"/>
    </row>
    <row r="234" spans="49:50">
      <c r="AW234" s="271"/>
      <c r="AX234" s="271"/>
    </row>
    <row r="235" spans="49:50">
      <c r="AW235" s="271"/>
      <c r="AX235" s="271"/>
    </row>
    <row r="236" spans="49:50">
      <c r="AW236" s="271"/>
      <c r="AX236" s="271"/>
    </row>
    <row r="237" spans="49:50">
      <c r="AW237" s="271"/>
      <c r="AX237" s="271"/>
    </row>
    <row r="238" spans="49:50">
      <c r="AW238" s="271"/>
      <c r="AX238" s="271"/>
    </row>
    <row r="239" spans="49:50">
      <c r="AW239" s="271"/>
      <c r="AX239" s="271"/>
    </row>
    <row r="240" spans="49:50">
      <c r="AW240" s="271"/>
      <c r="AX240" s="271"/>
    </row>
    <row r="241" spans="49:50">
      <c r="AW241" s="271"/>
      <c r="AX241" s="271"/>
    </row>
    <row r="242" spans="49:50">
      <c r="AW242" s="271"/>
      <c r="AX242" s="271"/>
    </row>
    <row r="243" spans="49:50">
      <c r="AW243" s="271"/>
      <c r="AX243" s="271"/>
    </row>
    <row r="244" spans="49:50">
      <c r="AW244" s="271"/>
      <c r="AX244" s="271"/>
    </row>
    <row r="245" spans="49:50">
      <c r="AW245" s="271"/>
      <c r="AX245" s="271"/>
    </row>
    <row r="246" spans="49:50">
      <c r="AW246" s="271"/>
      <c r="AX246" s="271"/>
    </row>
    <row r="247" spans="49:50">
      <c r="AW247" s="271"/>
      <c r="AX247" s="271"/>
    </row>
    <row r="248" spans="49:50">
      <c r="AW248" s="271"/>
      <c r="AX248" s="271"/>
    </row>
    <row r="249" spans="49:50">
      <c r="AW249" s="271"/>
      <c r="AX249" s="271"/>
    </row>
    <row r="250" spans="49:50">
      <c r="AW250" s="271"/>
      <c r="AX250" s="271"/>
    </row>
    <row r="251" spans="49:50">
      <c r="AW251" s="271"/>
      <c r="AX251" s="271"/>
    </row>
    <row r="252" spans="49:50">
      <c r="AW252" s="271"/>
      <c r="AX252" s="271"/>
    </row>
    <row r="253" spans="49:50">
      <c r="AW253" s="271"/>
      <c r="AX253" s="271"/>
    </row>
    <row r="254" spans="49:50">
      <c r="AW254" s="271"/>
      <c r="AX254" s="271"/>
    </row>
    <row r="255" spans="49:50">
      <c r="AW255" s="271"/>
      <c r="AX255" s="271"/>
    </row>
    <row r="256" spans="49:50">
      <c r="AW256" s="271"/>
      <c r="AX256" s="271"/>
    </row>
    <row r="257" spans="49:50">
      <c r="AW257" s="271"/>
      <c r="AX257" s="271"/>
    </row>
    <row r="258" spans="49:50">
      <c r="AW258" s="271"/>
      <c r="AX258" s="271"/>
    </row>
    <row r="259" spans="49:50">
      <c r="AW259" s="271"/>
      <c r="AX259" s="271"/>
    </row>
    <row r="260" spans="49:50">
      <c r="AW260" s="271"/>
      <c r="AX260" s="271"/>
    </row>
    <row r="261" spans="49:50">
      <c r="AW261" s="271"/>
      <c r="AX261" s="271"/>
    </row>
    <row r="262" spans="49:50">
      <c r="AW262" s="271"/>
      <c r="AX262" s="271"/>
    </row>
    <row r="263" spans="49:50">
      <c r="AW263" s="271"/>
      <c r="AX263" s="271"/>
    </row>
    <row r="264" spans="49:50">
      <c r="AW264" s="271"/>
      <c r="AX264" s="271"/>
    </row>
    <row r="265" spans="49:50">
      <c r="AW265" s="271"/>
      <c r="AX265" s="271"/>
    </row>
    <row r="266" spans="49:50">
      <c r="AW266" s="271"/>
      <c r="AX266" s="271"/>
    </row>
    <row r="267" spans="49:50">
      <c r="AW267" s="271"/>
      <c r="AX267" s="271"/>
    </row>
    <row r="268" spans="49:50">
      <c r="AW268" s="271"/>
      <c r="AX268" s="271"/>
    </row>
    <row r="269" spans="49:50">
      <c r="AW269" s="271"/>
      <c r="AX269" s="271"/>
    </row>
    <row r="270" spans="49:50">
      <c r="AW270" s="271"/>
      <c r="AX270" s="271"/>
    </row>
    <row r="271" spans="49:50">
      <c r="AW271" s="271"/>
      <c r="AX271" s="271"/>
    </row>
    <row r="272" spans="49:50">
      <c r="AW272" s="271"/>
      <c r="AX272" s="271"/>
    </row>
    <row r="273" spans="49:50">
      <c r="AW273" s="271"/>
      <c r="AX273" s="271"/>
    </row>
    <row r="274" spans="49:50">
      <c r="AW274" s="271"/>
      <c r="AX274" s="271"/>
    </row>
    <row r="275" spans="49:50">
      <c r="AW275" s="271"/>
      <c r="AX275" s="271"/>
    </row>
    <row r="276" spans="49:50">
      <c r="AW276" s="271"/>
      <c r="AX276" s="271"/>
    </row>
    <row r="277" spans="49:50">
      <c r="AW277" s="271"/>
      <c r="AX277" s="271"/>
    </row>
    <row r="278" spans="49:50">
      <c r="AW278" s="271"/>
      <c r="AX278" s="271"/>
    </row>
    <row r="279" spans="49:50">
      <c r="AW279" s="271"/>
      <c r="AX279" s="271"/>
    </row>
    <row r="280" spans="49:50">
      <c r="AW280" s="271"/>
      <c r="AX280" s="271"/>
    </row>
    <row r="281" spans="49:50">
      <c r="AW281" s="271"/>
      <c r="AX281" s="271"/>
    </row>
    <row r="282" spans="49:50">
      <c r="AW282" s="271"/>
      <c r="AX282" s="271"/>
    </row>
    <row r="283" spans="49:50">
      <c r="AW283" s="271"/>
      <c r="AX283" s="271"/>
    </row>
    <row r="284" spans="49:50">
      <c r="AW284" s="271"/>
      <c r="AX284" s="271"/>
    </row>
    <row r="285" spans="49:50">
      <c r="AW285" s="271"/>
      <c r="AX285" s="271"/>
    </row>
    <row r="286" spans="49:50">
      <c r="AW286" s="271"/>
      <c r="AX286" s="271"/>
    </row>
    <row r="287" spans="49:50">
      <c r="AW287" s="271"/>
      <c r="AX287" s="271"/>
    </row>
    <row r="288" spans="49:50">
      <c r="AW288" s="271"/>
      <c r="AX288" s="271"/>
    </row>
    <row r="289" spans="49:50">
      <c r="AW289" s="271"/>
      <c r="AX289" s="271"/>
    </row>
    <row r="290" spans="49:50">
      <c r="AW290" s="271"/>
      <c r="AX290" s="271"/>
    </row>
    <row r="291" spans="49:50">
      <c r="AW291" s="271"/>
      <c r="AX291" s="271"/>
    </row>
    <row r="292" spans="49:50">
      <c r="AW292" s="271"/>
      <c r="AX292" s="271"/>
    </row>
    <row r="293" spans="49:50">
      <c r="AW293" s="271"/>
      <c r="AX293" s="271"/>
    </row>
    <row r="294" spans="49:50">
      <c r="AW294" s="271"/>
      <c r="AX294" s="271"/>
    </row>
    <row r="295" spans="49:50">
      <c r="AW295" s="271"/>
      <c r="AX295" s="271"/>
    </row>
    <row r="296" spans="49:50">
      <c r="AW296" s="271"/>
      <c r="AX296" s="271"/>
    </row>
    <row r="297" spans="49:50">
      <c r="AW297" s="271"/>
      <c r="AX297" s="271"/>
    </row>
    <row r="298" spans="49:50">
      <c r="AW298" s="271"/>
      <c r="AX298" s="271"/>
    </row>
    <row r="299" spans="49:50">
      <c r="AW299" s="271"/>
      <c r="AX299" s="271"/>
    </row>
    <row r="300" spans="49:50">
      <c r="AW300" s="271"/>
      <c r="AX300" s="271"/>
    </row>
    <row r="301" spans="49:50">
      <c r="AW301" s="271"/>
      <c r="AX301" s="271"/>
    </row>
    <row r="302" spans="49:50">
      <c r="AW302" s="271"/>
      <c r="AX302" s="271"/>
    </row>
    <row r="303" spans="49:50">
      <c r="AW303" s="271"/>
      <c r="AX303" s="271"/>
    </row>
    <row r="304" spans="49:50">
      <c r="AW304" s="271"/>
      <c r="AX304" s="271"/>
    </row>
    <row r="305" spans="49:50">
      <c r="AW305" s="271"/>
      <c r="AX305" s="271"/>
    </row>
    <row r="306" spans="49:50">
      <c r="AW306" s="271"/>
      <c r="AX306" s="271"/>
    </row>
    <row r="307" spans="49:50">
      <c r="AW307" s="271"/>
      <c r="AX307" s="271"/>
    </row>
    <row r="308" spans="49:50">
      <c r="AW308" s="271"/>
      <c r="AX308" s="271"/>
    </row>
    <row r="309" spans="49:50">
      <c r="AW309" s="271"/>
      <c r="AX309" s="271"/>
    </row>
    <row r="310" spans="49:50">
      <c r="AW310" s="271"/>
      <c r="AX310" s="271"/>
    </row>
    <row r="311" spans="49:50">
      <c r="AW311" s="271"/>
      <c r="AX311" s="271"/>
    </row>
    <row r="312" spans="49:50">
      <c r="AW312" s="271"/>
      <c r="AX312" s="271"/>
    </row>
    <row r="313" spans="49:50">
      <c r="AW313" s="271"/>
      <c r="AX313" s="271"/>
    </row>
    <row r="314" spans="49:50">
      <c r="AW314" s="271"/>
      <c r="AX314" s="271"/>
    </row>
    <row r="315" spans="49:50">
      <c r="AW315" s="271"/>
      <c r="AX315" s="271"/>
    </row>
    <row r="316" spans="49:50">
      <c r="AW316" s="271"/>
      <c r="AX316" s="271"/>
    </row>
    <row r="317" spans="49:50">
      <c r="AW317" s="271"/>
      <c r="AX317" s="271"/>
    </row>
    <row r="318" spans="49:50">
      <c r="AW318" s="271"/>
      <c r="AX318" s="271"/>
    </row>
    <row r="319" spans="49:50">
      <c r="AW319" s="271"/>
      <c r="AX319" s="271"/>
    </row>
    <row r="320" spans="49:50">
      <c r="AW320" s="271"/>
      <c r="AX320" s="271"/>
    </row>
    <row r="321" spans="49:50">
      <c r="AW321" s="271"/>
      <c r="AX321" s="271"/>
    </row>
    <row r="322" spans="49:50">
      <c r="AW322" s="271"/>
      <c r="AX322" s="271"/>
    </row>
    <row r="323" spans="49:50">
      <c r="AW323" s="271"/>
      <c r="AX323" s="271"/>
    </row>
    <row r="324" spans="49:50">
      <c r="AW324" s="271"/>
      <c r="AX324" s="271"/>
    </row>
    <row r="325" spans="49:50">
      <c r="AW325" s="271"/>
      <c r="AX325" s="271"/>
    </row>
    <row r="326" spans="49:50">
      <c r="AW326" s="271"/>
      <c r="AX326" s="271"/>
    </row>
    <row r="327" spans="49:50">
      <c r="AW327" s="271"/>
      <c r="AX327" s="271"/>
    </row>
    <row r="328" spans="49:50">
      <c r="AW328" s="271"/>
      <c r="AX328" s="271"/>
    </row>
    <row r="329" spans="49:50">
      <c r="AW329" s="271"/>
      <c r="AX329" s="271"/>
    </row>
    <row r="330" spans="49:50">
      <c r="AW330" s="271"/>
      <c r="AX330" s="271"/>
    </row>
    <row r="331" spans="49:50">
      <c r="AW331" s="271"/>
      <c r="AX331" s="271"/>
    </row>
    <row r="332" spans="49:50">
      <c r="AW332" s="271"/>
      <c r="AX332" s="271"/>
    </row>
    <row r="333" spans="49:50">
      <c r="AW333" s="271"/>
      <c r="AX333" s="271"/>
    </row>
    <row r="334" spans="49:50">
      <c r="AW334" s="271"/>
      <c r="AX334" s="271"/>
    </row>
    <row r="335" spans="49:50">
      <c r="AW335" s="271"/>
      <c r="AX335" s="271"/>
    </row>
    <row r="336" spans="49:50">
      <c r="AW336" s="271"/>
      <c r="AX336" s="271"/>
    </row>
    <row r="337" spans="49:50">
      <c r="AW337" s="271"/>
      <c r="AX337" s="271"/>
    </row>
    <row r="338" spans="49:50">
      <c r="AW338" s="271"/>
      <c r="AX338" s="271"/>
    </row>
    <row r="339" spans="49:50">
      <c r="AW339" s="271"/>
      <c r="AX339" s="271"/>
    </row>
    <row r="340" spans="49:50">
      <c r="AW340" s="271"/>
      <c r="AX340" s="271"/>
    </row>
    <row r="341" spans="49:50">
      <c r="AW341" s="271"/>
      <c r="AX341" s="271"/>
    </row>
    <row r="342" spans="49:50">
      <c r="AW342" s="271"/>
      <c r="AX342" s="271"/>
    </row>
    <row r="343" spans="49:50">
      <c r="AW343" s="271"/>
      <c r="AX343" s="271"/>
    </row>
    <row r="344" spans="49:50">
      <c r="AW344" s="271"/>
      <c r="AX344" s="271"/>
    </row>
    <row r="345" spans="49:50">
      <c r="AW345" s="271"/>
      <c r="AX345" s="271"/>
    </row>
    <row r="346" spans="49:50">
      <c r="AW346" s="271"/>
      <c r="AX346" s="271"/>
    </row>
    <row r="347" spans="49:50">
      <c r="AW347" s="271"/>
      <c r="AX347" s="271"/>
    </row>
    <row r="348" spans="49:50">
      <c r="AW348" s="271"/>
      <c r="AX348" s="271"/>
    </row>
    <row r="349" spans="49:50">
      <c r="AW349" s="271"/>
      <c r="AX349" s="271"/>
    </row>
    <row r="350" spans="49:50">
      <c r="AW350" s="271"/>
      <c r="AX350" s="271"/>
    </row>
    <row r="351" spans="49:50">
      <c r="AW351" s="271"/>
      <c r="AX351" s="271"/>
    </row>
    <row r="352" spans="49:50">
      <c r="AW352" s="271"/>
      <c r="AX352" s="271"/>
    </row>
    <row r="353" spans="49:50">
      <c r="AW353" s="271"/>
      <c r="AX353" s="271"/>
    </row>
    <row r="354" spans="49:50">
      <c r="AW354" s="271"/>
      <c r="AX354" s="271"/>
    </row>
    <row r="355" spans="49:50">
      <c r="AW355" s="271"/>
      <c r="AX355" s="271"/>
    </row>
    <row r="356" spans="49:50">
      <c r="AW356" s="271"/>
      <c r="AX356" s="271"/>
    </row>
    <row r="357" spans="49:50">
      <c r="AW357" s="271"/>
      <c r="AX357" s="271"/>
    </row>
    <row r="358" spans="49:50">
      <c r="AW358" s="271"/>
      <c r="AX358" s="271"/>
    </row>
    <row r="359" spans="49:50">
      <c r="AW359" s="271"/>
      <c r="AX359" s="271"/>
    </row>
    <row r="360" spans="49:50">
      <c r="AW360" s="271"/>
      <c r="AX360" s="271"/>
    </row>
    <row r="361" spans="49:50">
      <c r="AW361" s="271"/>
      <c r="AX361" s="271"/>
    </row>
    <row r="362" spans="49:50">
      <c r="AW362" s="271"/>
      <c r="AX362" s="271"/>
    </row>
    <row r="363" spans="49:50">
      <c r="AW363" s="271"/>
      <c r="AX363" s="271"/>
    </row>
    <row r="364" spans="49:50">
      <c r="AW364" s="271"/>
      <c r="AX364" s="271"/>
    </row>
    <row r="365" spans="49:50">
      <c r="AW365" s="271"/>
      <c r="AX365" s="271"/>
    </row>
    <row r="366" spans="49:50">
      <c r="AW366" s="271"/>
      <c r="AX366" s="271"/>
    </row>
    <row r="367" spans="49:50">
      <c r="AW367" s="271"/>
      <c r="AX367" s="271"/>
    </row>
    <row r="368" spans="49:50">
      <c r="AW368" s="271"/>
      <c r="AX368" s="271"/>
    </row>
    <row r="369" spans="49:50">
      <c r="AW369" s="271"/>
      <c r="AX369" s="271"/>
    </row>
    <row r="370" spans="49:50">
      <c r="AW370" s="271"/>
      <c r="AX370" s="271"/>
    </row>
    <row r="371" spans="49:50">
      <c r="AW371" s="271"/>
      <c r="AX371" s="271"/>
    </row>
    <row r="372" spans="49:50">
      <c r="AW372" s="271"/>
      <c r="AX372" s="271"/>
    </row>
    <row r="373" spans="49:50">
      <c r="AW373" s="271"/>
      <c r="AX373" s="271"/>
    </row>
    <row r="374" spans="49:50">
      <c r="AW374" s="271"/>
      <c r="AX374" s="271"/>
    </row>
    <row r="375" spans="49:50">
      <c r="AW375" s="271"/>
      <c r="AX375" s="271"/>
    </row>
    <row r="376" spans="49:50">
      <c r="AW376" s="271"/>
      <c r="AX376" s="271"/>
    </row>
    <row r="377" spans="49:50">
      <c r="AW377" s="271"/>
      <c r="AX377" s="271"/>
    </row>
    <row r="378" spans="49:50">
      <c r="AW378" s="271"/>
      <c r="AX378" s="271"/>
    </row>
    <row r="379" spans="49:50">
      <c r="AW379" s="271"/>
      <c r="AX379" s="271"/>
    </row>
    <row r="380" spans="49:50">
      <c r="AW380" s="271"/>
      <c r="AX380" s="271"/>
    </row>
    <row r="381" spans="49:50">
      <c r="AW381" s="271"/>
      <c r="AX381" s="271"/>
    </row>
    <row r="382" spans="49:50">
      <c r="AW382" s="271"/>
      <c r="AX382" s="271"/>
    </row>
    <row r="383" spans="49:50">
      <c r="AW383" s="271"/>
      <c r="AX383" s="271"/>
    </row>
    <row r="384" spans="49:50">
      <c r="AW384" s="271"/>
      <c r="AX384" s="271"/>
    </row>
    <row r="385" spans="49:50">
      <c r="AW385" s="271"/>
      <c r="AX385" s="271"/>
    </row>
    <row r="386" spans="49:50">
      <c r="AW386" s="271"/>
      <c r="AX386" s="271"/>
    </row>
    <row r="387" spans="49:50">
      <c r="AW387" s="271"/>
      <c r="AX387" s="271"/>
    </row>
    <row r="388" spans="49:50">
      <c r="AW388" s="271"/>
      <c r="AX388" s="271"/>
    </row>
    <row r="389" spans="49:50">
      <c r="AW389" s="271"/>
      <c r="AX389" s="271"/>
    </row>
    <row r="390" spans="49:50">
      <c r="AW390" s="271"/>
      <c r="AX390" s="271"/>
    </row>
    <row r="391" spans="49:50">
      <c r="AW391" s="271"/>
      <c r="AX391" s="271"/>
    </row>
    <row r="392" spans="49:50">
      <c r="AW392" s="271"/>
      <c r="AX392" s="271"/>
    </row>
    <row r="393" spans="49:50">
      <c r="AW393" s="271"/>
      <c r="AX393" s="271"/>
    </row>
    <row r="394" spans="49:50">
      <c r="AW394" s="271"/>
      <c r="AX394" s="271"/>
    </row>
    <row r="395" spans="49:50">
      <c r="AW395" s="271"/>
      <c r="AX395" s="271"/>
    </row>
    <row r="396" spans="49:50">
      <c r="AW396" s="271"/>
      <c r="AX396" s="271"/>
    </row>
    <row r="397" spans="49:50">
      <c r="AW397" s="271"/>
      <c r="AX397" s="271"/>
    </row>
    <row r="398" spans="49:50">
      <c r="AW398" s="271"/>
      <c r="AX398" s="271"/>
    </row>
    <row r="399" spans="49:50">
      <c r="AW399" s="271"/>
      <c r="AX399" s="271"/>
    </row>
    <row r="400" spans="49:50">
      <c r="AW400" s="271"/>
      <c r="AX400" s="271"/>
    </row>
    <row r="401" spans="49:50">
      <c r="AW401" s="271"/>
      <c r="AX401" s="271"/>
    </row>
    <row r="402" spans="49:50">
      <c r="AW402" s="271"/>
      <c r="AX402" s="271"/>
    </row>
    <row r="403" spans="49:50">
      <c r="AW403" s="271"/>
      <c r="AX403" s="271"/>
    </row>
    <row r="404" spans="49:50">
      <c r="AW404" s="271"/>
      <c r="AX404" s="271"/>
    </row>
    <row r="405" spans="49:50">
      <c r="AW405" s="271"/>
      <c r="AX405" s="271"/>
    </row>
    <row r="406" spans="49:50">
      <c r="AW406" s="271"/>
      <c r="AX406" s="271"/>
    </row>
    <row r="407" spans="49:50">
      <c r="AW407" s="271"/>
      <c r="AX407" s="271"/>
    </row>
    <row r="408" spans="49:50">
      <c r="AW408" s="271"/>
      <c r="AX408" s="271"/>
    </row>
    <row r="409" spans="49:50">
      <c r="AW409" s="271"/>
      <c r="AX409" s="271"/>
    </row>
    <row r="410" spans="49:50">
      <c r="AW410" s="271"/>
      <c r="AX410" s="271"/>
    </row>
    <row r="411" spans="49:50">
      <c r="AW411" s="271"/>
      <c r="AX411" s="271"/>
    </row>
    <row r="412" spans="49:50">
      <c r="AW412" s="271"/>
      <c r="AX412" s="271"/>
    </row>
    <row r="413" spans="49:50">
      <c r="AW413" s="271"/>
      <c r="AX413" s="271"/>
    </row>
    <row r="414" spans="49:50">
      <c r="AW414" s="271"/>
      <c r="AX414" s="271"/>
    </row>
    <row r="415" spans="49:50">
      <c r="AW415" s="271"/>
      <c r="AX415" s="271"/>
    </row>
    <row r="416" spans="49:50">
      <c r="AW416" s="271"/>
      <c r="AX416" s="271"/>
    </row>
    <row r="417" spans="49:50">
      <c r="AW417" s="271"/>
      <c r="AX417" s="271"/>
    </row>
    <row r="418" spans="49:50">
      <c r="AW418" s="271"/>
      <c r="AX418" s="271"/>
    </row>
    <row r="419" spans="49:50">
      <c r="AW419" s="271"/>
      <c r="AX419" s="271"/>
    </row>
    <row r="420" spans="49:50">
      <c r="AW420" s="271"/>
      <c r="AX420" s="271"/>
    </row>
    <row r="421" spans="49:50">
      <c r="AW421" s="271"/>
      <c r="AX421" s="271"/>
    </row>
    <row r="422" spans="49:50">
      <c r="AW422" s="271"/>
      <c r="AX422" s="271"/>
    </row>
    <row r="423" spans="49:50">
      <c r="AW423" s="271"/>
      <c r="AX423" s="271"/>
    </row>
    <row r="424" spans="49:50">
      <c r="AW424" s="271"/>
      <c r="AX424" s="271"/>
    </row>
    <row r="425" spans="49:50">
      <c r="AW425" s="271"/>
      <c r="AX425" s="271"/>
    </row>
    <row r="426" spans="49:50">
      <c r="AW426" s="271"/>
      <c r="AX426" s="271"/>
    </row>
    <row r="427" spans="49:50">
      <c r="AW427" s="271"/>
      <c r="AX427" s="271"/>
    </row>
    <row r="428" spans="49:50">
      <c r="AW428" s="271"/>
      <c r="AX428" s="271"/>
    </row>
    <row r="429" spans="49:50">
      <c r="AW429" s="271"/>
      <c r="AX429" s="271"/>
    </row>
    <row r="430" spans="49:50">
      <c r="AW430" s="271"/>
      <c r="AX430" s="271"/>
    </row>
    <row r="431" spans="49:50">
      <c r="AW431" s="271"/>
      <c r="AX431" s="271"/>
    </row>
    <row r="432" spans="49:50">
      <c r="AW432" s="271"/>
      <c r="AX432" s="271"/>
    </row>
    <row r="433" spans="49:50">
      <c r="AW433" s="271"/>
      <c r="AX433" s="271"/>
    </row>
    <row r="434" spans="49:50">
      <c r="AW434" s="271"/>
      <c r="AX434" s="271"/>
    </row>
    <row r="435" spans="49:50">
      <c r="AW435" s="271"/>
      <c r="AX435" s="271"/>
    </row>
    <row r="436" spans="49:50">
      <c r="AW436" s="271"/>
      <c r="AX436" s="271"/>
    </row>
    <row r="437" spans="49:50">
      <c r="AW437" s="271"/>
      <c r="AX437" s="271"/>
    </row>
    <row r="438" spans="49:50">
      <c r="AW438" s="271"/>
      <c r="AX438" s="271"/>
    </row>
    <row r="439" spans="49:50">
      <c r="AW439" s="271"/>
      <c r="AX439" s="271"/>
    </row>
    <row r="440" spans="49:50">
      <c r="AW440" s="271"/>
      <c r="AX440" s="271"/>
    </row>
    <row r="441" spans="49:50">
      <c r="AW441" s="271"/>
      <c r="AX441" s="271"/>
    </row>
    <row r="442" spans="49:50">
      <c r="AW442" s="271"/>
      <c r="AX442" s="271"/>
    </row>
    <row r="443" spans="49:50">
      <c r="AW443" s="271"/>
      <c r="AX443" s="271"/>
    </row>
    <row r="444" spans="49:50">
      <c r="AW444" s="271"/>
      <c r="AX444" s="271"/>
    </row>
    <row r="445" spans="49:50">
      <c r="AW445" s="271"/>
      <c r="AX445" s="271"/>
    </row>
    <row r="446" spans="49:50">
      <c r="AW446" s="271"/>
      <c r="AX446" s="271"/>
    </row>
    <row r="447" spans="49:50">
      <c r="AW447" s="271"/>
      <c r="AX447" s="271"/>
    </row>
    <row r="448" spans="49:50">
      <c r="AW448" s="271"/>
      <c r="AX448" s="271"/>
    </row>
    <row r="449" spans="49:50">
      <c r="AW449" s="271"/>
      <c r="AX449" s="271"/>
    </row>
    <row r="450" spans="49:50">
      <c r="AW450" s="271"/>
      <c r="AX450" s="271"/>
    </row>
    <row r="451" spans="49:50">
      <c r="AW451" s="271"/>
      <c r="AX451" s="271"/>
    </row>
    <row r="452" spans="49:50">
      <c r="AW452" s="271"/>
      <c r="AX452" s="271"/>
    </row>
    <row r="453" spans="49:50">
      <c r="AW453" s="271"/>
      <c r="AX453" s="271"/>
    </row>
    <row r="454" spans="49:50">
      <c r="AW454" s="271"/>
      <c r="AX454" s="271"/>
    </row>
    <row r="455" spans="49:50">
      <c r="AW455" s="271"/>
      <c r="AX455" s="271"/>
    </row>
    <row r="456" spans="49:50">
      <c r="AW456" s="271"/>
      <c r="AX456" s="271"/>
    </row>
    <row r="457" spans="49:50">
      <c r="AW457" s="271"/>
      <c r="AX457" s="271"/>
    </row>
    <row r="458" spans="49:50">
      <c r="AW458" s="271"/>
      <c r="AX458" s="271"/>
    </row>
    <row r="459" spans="49:50">
      <c r="AW459" s="271"/>
      <c r="AX459" s="271"/>
    </row>
    <row r="460" spans="49:50">
      <c r="AW460" s="271"/>
      <c r="AX460" s="271"/>
    </row>
    <row r="461" spans="49:50">
      <c r="AW461" s="271"/>
      <c r="AX461" s="271"/>
    </row>
    <row r="462" spans="49:50">
      <c r="AW462" s="271"/>
      <c r="AX462" s="271"/>
    </row>
    <row r="463" spans="49:50">
      <c r="AW463" s="271"/>
      <c r="AX463" s="271"/>
    </row>
    <row r="464" spans="49:50">
      <c r="AW464" s="271"/>
      <c r="AX464" s="271"/>
    </row>
    <row r="465" spans="49:50">
      <c r="AW465" s="271"/>
      <c r="AX465" s="271"/>
    </row>
    <row r="466" spans="49:50">
      <c r="AW466" s="271"/>
      <c r="AX466" s="271"/>
    </row>
    <row r="467" spans="49:50">
      <c r="AW467" s="271"/>
      <c r="AX467" s="271"/>
    </row>
    <row r="468" spans="49:50">
      <c r="AW468" s="271"/>
      <c r="AX468" s="271"/>
    </row>
    <row r="469" spans="49:50">
      <c r="AW469" s="271"/>
      <c r="AX469" s="271"/>
    </row>
    <row r="470" spans="49:50">
      <c r="AW470" s="271"/>
      <c r="AX470" s="271"/>
    </row>
    <row r="471" spans="49:50">
      <c r="AW471" s="271"/>
      <c r="AX471" s="271"/>
    </row>
    <row r="472" spans="49:50">
      <c r="AW472" s="271"/>
      <c r="AX472" s="271"/>
    </row>
    <row r="473" spans="49:50">
      <c r="AW473" s="271"/>
      <c r="AX473" s="271"/>
    </row>
    <row r="474" spans="49:50">
      <c r="AW474" s="271"/>
      <c r="AX474" s="271"/>
    </row>
    <row r="475" spans="49:50">
      <c r="AW475" s="271"/>
      <c r="AX475" s="271"/>
    </row>
    <row r="476" spans="49:50">
      <c r="AW476" s="271"/>
      <c r="AX476" s="271"/>
    </row>
    <row r="477" spans="49:50">
      <c r="AW477" s="271"/>
      <c r="AX477" s="271"/>
    </row>
    <row r="478" spans="49:50">
      <c r="AW478" s="271"/>
      <c r="AX478" s="271"/>
    </row>
    <row r="479" spans="49:50">
      <c r="AW479" s="271"/>
      <c r="AX479" s="271"/>
    </row>
    <row r="480" spans="49:50">
      <c r="AW480" s="271"/>
      <c r="AX480" s="271"/>
    </row>
    <row r="481" spans="49:50">
      <c r="AW481" s="271"/>
      <c r="AX481" s="271"/>
    </row>
    <row r="482" spans="49:50">
      <c r="AW482" s="271"/>
      <c r="AX482" s="271"/>
    </row>
    <row r="483" spans="49:50">
      <c r="AW483" s="271"/>
      <c r="AX483" s="271"/>
    </row>
    <row r="484" spans="49:50">
      <c r="AW484" s="271"/>
      <c r="AX484" s="271"/>
    </row>
    <row r="485" spans="49:50">
      <c r="AW485" s="271"/>
      <c r="AX485" s="271"/>
    </row>
    <row r="486" spans="49:50">
      <c r="AW486" s="271"/>
      <c r="AX486" s="271"/>
    </row>
    <row r="487" spans="49:50">
      <c r="AW487" s="271"/>
      <c r="AX487" s="271"/>
    </row>
    <row r="488" spans="49:50">
      <c r="AW488" s="271"/>
      <c r="AX488" s="271"/>
    </row>
    <row r="489" spans="49:50">
      <c r="AW489" s="271"/>
      <c r="AX489" s="271"/>
    </row>
    <row r="490" spans="49:50">
      <c r="AW490" s="271"/>
      <c r="AX490" s="271"/>
    </row>
    <row r="491" spans="49:50">
      <c r="AW491" s="271"/>
      <c r="AX491" s="271"/>
    </row>
    <row r="492" spans="49:50">
      <c r="AW492" s="271"/>
      <c r="AX492" s="271"/>
    </row>
    <row r="493" spans="49:50">
      <c r="AW493" s="271"/>
      <c r="AX493" s="271"/>
    </row>
    <row r="494" spans="49:50">
      <c r="AW494" s="271"/>
      <c r="AX494" s="271"/>
    </row>
    <row r="495" spans="49:50">
      <c r="AW495" s="271"/>
      <c r="AX495" s="271"/>
    </row>
    <row r="496" spans="49:50">
      <c r="AW496" s="271"/>
      <c r="AX496" s="271"/>
    </row>
    <row r="497" spans="49:50">
      <c r="AW497" s="271"/>
      <c r="AX497" s="271"/>
    </row>
    <row r="498" spans="49:50">
      <c r="AW498" s="271"/>
      <c r="AX498" s="271"/>
    </row>
    <row r="499" spans="49:50">
      <c r="AW499" s="271"/>
      <c r="AX499" s="271"/>
    </row>
    <row r="500" spans="49:50">
      <c r="AW500" s="271"/>
      <c r="AX500" s="271"/>
    </row>
    <row r="501" spans="49:50">
      <c r="AW501" s="271"/>
      <c r="AX501" s="271"/>
    </row>
    <row r="502" spans="49:50">
      <c r="AW502" s="271"/>
      <c r="AX502" s="271"/>
    </row>
    <row r="503" spans="49:50">
      <c r="AW503" s="271"/>
      <c r="AX503" s="271"/>
    </row>
    <row r="504" spans="49:50">
      <c r="AW504" s="271"/>
      <c r="AX504" s="271"/>
    </row>
    <row r="505" spans="49:50">
      <c r="AW505" s="271"/>
      <c r="AX505" s="271"/>
    </row>
    <row r="506" spans="49:50">
      <c r="AW506" s="271"/>
      <c r="AX506" s="271"/>
    </row>
    <row r="507" spans="49:50">
      <c r="AW507" s="271"/>
      <c r="AX507" s="271"/>
    </row>
    <row r="508" spans="49:50">
      <c r="AW508" s="271"/>
      <c r="AX508" s="271"/>
    </row>
    <row r="509" spans="49:50">
      <c r="AW509" s="271"/>
      <c r="AX509" s="271"/>
    </row>
    <row r="510" spans="49:50">
      <c r="AW510" s="271"/>
      <c r="AX510" s="271"/>
    </row>
    <row r="511" spans="49:50">
      <c r="AW511" s="271"/>
      <c r="AX511" s="271"/>
    </row>
    <row r="512" spans="49:50">
      <c r="AW512" s="271"/>
      <c r="AX512" s="271"/>
    </row>
    <row r="513" spans="49:50">
      <c r="AW513" s="271"/>
      <c r="AX513" s="271"/>
    </row>
    <row r="514" spans="49:50">
      <c r="AW514" s="271"/>
      <c r="AX514" s="271"/>
    </row>
    <row r="515" spans="49:50">
      <c r="AW515" s="271"/>
      <c r="AX515" s="271"/>
    </row>
    <row r="516" spans="49:50">
      <c r="AW516" s="271"/>
      <c r="AX516" s="271"/>
    </row>
    <row r="517" spans="49:50">
      <c r="AW517" s="271"/>
      <c r="AX517" s="271"/>
    </row>
    <row r="518" spans="49:50">
      <c r="AW518" s="271"/>
      <c r="AX518" s="271"/>
    </row>
    <row r="519" spans="49:50">
      <c r="AW519" s="271"/>
      <c r="AX519" s="271"/>
    </row>
    <row r="520" spans="49:50">
      <c r="AW520" s="271"/>
      <c r="AX520" s="271"/>
    </row>
    <row r="521" spans="49:50">
      <c r="AW521" s="271"/>
      <c r="AX521" s="271"/>
    </row>
    <row r="522" spans="49:50">
      <c r="AW522" s="271"/>
      <c r="AX522" s="271"/>
    </row>
    <row r="523" spans="49:50">
      <c r="AW523" s="271"/>
      <c r="AX523" s="271"/>
    </row>
    <row r="524" spans="49:50">
      <c r="AW524" s="271"/>
      <c r="AX524" s="271"/>
    </row>
    <row r="525" spans="49:50">
      <c r="AW525" s="271"/>
      <c r="AX525" s="271"/>
    </row>
    <row r="526" spans="49:50">
      <c r="AW526" s="271"/>
      <c r="AX526" s="271"/>
    </row>
    <row r="527" spans="49:50">
      <c r="AW527" s="271"/>
      <c r="AX527" s="271"/>
    </row>
    <row r="528" spans="49:50">
      <c r="AW528" s="271"/>
      <c r="AX528" s="271"/>
    </row>
    <row r="529" spans="49:50">
      <c r="AW529" s="271"/>
      <c r="AX529" s="271"/>
    </row>
    <row r="530" spans="49:50">
      <c r="AW530" s="271"/>
      <c r="AX530" s="271"/>
    </row>
    <row r="531" spans="49:50">
      <c r="AW531" s="271"/>
      <c r="AX531" s="271"/>
    </row>
    <row r="532" spans="49:50">
      <c r="AW532" s="271"/>
      <c r="AX532" s="271"/>
    </row>
    <row r="533" spans="49:50">
      <c r="AW533" s="271"/>
      <c r="AX533" s="271"/>
    </row>
    <row r="534" spans="49:50">
      <c r="AW534" s="271"/>
      <c r="AX534" s="271"/>
    </row>
    <row r="535" spans="49:50">
      <c r="AW535" s="271"/>
      <c r="AX535" s="271"/>
    </row>
    <row r="536" spans="49:50">
      <c r="AW536" s="271"/>
      <c r="AX536" s="271"/>
    </row>
    <row r="537" spans="49:50">
      <c r="AW537" s="271"/>
      <c r="AX537" s="271"/>
    </row>
    <row r="538" spans="49:50">
      <c r="AW538" s="271"/>
      <c r="AX538" s="271"/>
    </row>
    <row r="539" spans="49:50">
      <c r="AW539" s="271"/>
      <c r="AX539" s="271"/>
    </row>
    <row r="540" spans="49:50">
      <c r="AW540" s="271"/>
      <c r="AX540" s="271"/>
    </row>
    <row r="541" spans="49:50">
      <c r="AW541" s="271"/>
      <c r="AX541" s="271"/>
    </row>
    <row r="542" spans="49:50">
      <c r="AW542" s="271"/>
      <c r="AX542" s="271"/>
    </row>
    <row r="543" spans="49:50">
      <c r="AW543" s="271"/>
      <c r="AX543" s="271"/>
    </row>
    <row r="544" spans="49:50">
      <c r="AW544" s="271"/>
      <c r="AX544" s="271"/>
    </row>
    <row r="545" spans="49:50">
      <c r="AW545" s="271"/>
      <c r="AX545" s="271"/>
    </row>
    <row r="546" spans="49:50">
      <c r="AW546" s="271"/>
      <c r="AX546" s="271"/>
    </row>
    <row r="547" spans="49:50">
      <c r="AW547" s="271"/>
      <c r="AX547" s="271"/>
    </row>
    <row r="548" spans="49:50">
      <c r="AW548" s="271"/>
      <c r="AX548" s="271"/>
    </row>
    <row r="549" spans="49:50">
      <c r="AW549" s="271"/>
      <c r="AX549" s="271"/>
    </row>
    <row r="550" spans="49:50">
      <c r="AW550" s="271"/>
      <c r="AX550" s="271"/>
    </row>
    <row r="551" spans="49:50">
      <c r="AW551" s="271"/>
      <c r="AX551" s="271"/>
    </row>
    <row r="552" spans="49:50">
      <c r="AW552" s="271"/>
      <c r="AX552" s="271"/>
    </row>
    <row r="553" spans="49:50">
      <c r="AW553" s="271"/>
      <c r="AX553" s="271"/>
    </row>
    <row r="554" spans="49:50">
      <c r="AW554" s="271"/>
      <c r="AX554" s="271"/>
    </row>
    <row r="555" spans="49:50">
      <c r="AW555" s="271"/>
      <c r="AX555" s="271"/>
    </row>
    <row r="556" spans="49:50">
      <c r="AW556" s="271"/>
      <c r="AX556" s="271"/>
    </row>
    <row r="557" spans="49:50">
      <c r="AW557" s="271"/>
      <c r="AX557" s="271"/>
    </row>
    <row r="558" spans="49:50">
      <c r="AW558" s="271"/>
      <c r="AX558" s="271"/>
    </row>
    <row r="559" spans="49:50">
      <c r="AW559" s="271"/>
      <c r="AX559" s="271"/>
    </row>
    <row r="560" spans="49:50">
      <c r="AW560" s="271"/>
      <c r="AX560" s="271"/>
    </row>
    <row r="561" spans="49:50">
      <c r="AW561" s="271"/>
      <c r="AX561" s="271"/>
    </row>
    <row r="562" spans="49:50">
      <c r="AW562" s="271"/>
      <c r="AX562" s="271"/>
    </row>
    <row r="563" spans="49:50">
      <c r="AW563" s="271"/>
      <c r="AX563" s="271"/>
    </row>
    <row r="564" spans="49:50">
      <c r="AW564" s="271"/>
      <c r="AX564" s="271"/>
    </row>
    <row r="565" spans="49:50">
      <c r="AW565" s="271"/>
      <c r="AX565" s="271"/>
    </row>
    <row r="566" spans="49:50">
      <c r="AW566" s="271"/>
      <c r="AX566" s="271"/>
    </row>
    <row r="567" spans="49:50">
      <c r="AW567" s="271"/>
      <c r="AX567" s="271"/>
    </row>
    <row r="568" spans="49:50">
      <c r="AW568" s="271"/>
      <c r="AX568" s="271"/>
    </row>
    <row r="569" spans="49:50">
      <c r="AW569" s="271"/>
      <c r="AX569" s="271"/>
    </row>
    <row r="570" spans="49:50">
      <c r="AW570" s="271"/>
      <c r="AX570" s="271"/>
    </row>
    <row r="571" spans="49:50">
      <c r="AW571" s="271"/>
      <c r="AX571" s="271"/>
    </row>
    <row r="572" spans="49:50">
      <c r="AW572" s="271"/>
      <c r="AX572" s="271"/>
    </row>
    <row r="573" spans="49:50">
      <c r="AW573" s="271"/>
      <c r="AX573" s="271"/>
    </row>
    <row r="574" spans="49:50">
      <c r="AW574" s="271"/>
      <c r="AX574" s="271"/>
    </row>
    <row r="575" spans="49:50">
      <c r="AW575" s="271"/>
      <c r="AX575" s="271"/>
    </row>
    <row r="576" spans="49:50">
      <c r="AW576" s="271"/>
      <c r="AX576" s="271"/>
    </row>
    <row r="577" spans="49:50">
      <c r="AW577" s="271"/>
      <c r="AX577" s="271"/>
    </row>
    <row r="578" spans="49:50">
      <c r="AW578" s="271"/>
      <c r="AX578" s="271"/>
    </row>
    <row r="579" spans="49:50">
      <c r="AW579" s="271"/>
      <c r="AX579" s="271"/>
    </row>
    <row r="580" spans="49:50">
      <c r="AW580" s="271"/>
      <c r="AX580" s="271"/>
    </row>
    <row r="581" spans="49:50">
      <c r="AW581" s="271"/>
      <c r="AX581" s="271"/>
    </row>
    <row r="582" spans="49:50">
      <c r="AW582" s="271"/>
      <c r="AX582" s="271"/>
    </row>
    <row r="583" spans="49:50">
      <c r="AW583" s="271"/>
      <c r="AX583" s="271"/>
    </row>
    <row r="584" spans="49:50">
      <c r="AW584" s="271"/>
      <c r="AX584" s="271"/>
    </row>
    <row r="585" spans="49:50">
      <c r="AW585" s="271"/>
      <c r="AX585" s="271"/>
    </row>
    <row r="586" spans="49:50">
      <c r="AW586" s="271"/>
      <c r="AX586" s="271"/>
    </row>
    <row r="587" spans="49:50">
      <c r="AW587" s="271"/>
      <c r="AX587" s="271"/>
    </row>
    <row r="588" spans="49:50">
      <c r="AW588" s="271"/>
      <c r="AX588" s="271"/>
    </row>
    <row r="589" spans="49:50">
      <c r="AW589" s="271"/>
      <c r="AX589" s="271"/>
    </row>
    <row r="590" spans="49:50">
      <c r="AW590" s="271"/>
      <c r="AX590" s="271"/>
    </row>
    <row r="591" spans="49:50">
      <c r="AW591" s="271"/>
      <c r="AX591" s="271"/>
    </row>
    <row r="592" spans="49:50">
      <c r="AW592" s="271"/>
      <c r="AX592" s="271"/>
    </row>
    <row r="593" spans="49:50">
      <c r="AW593" s="271"/>
      <c r="AX593" s="271"/>
    </row>
    <row r="594" spans="49:50">
      <c r="AW594" s="271"/>
      <c r="AX594" s="271"/>
    </row>
    <row r="595" spans="49:50">
      <c r="AW595" s="271"/>
      <c r="AX595" s="271"/>
    </row>
    <row r="596" spans="49:50">
      <c r="AW596" s="271"/>
      <c r="AX596" s="271"/>
    </row>
    <row r="597" spans="49:50">
      <c r="AW597" s="271"/>
      <c r="AX597" s="271"/>
    </row>
    <row r="598" spans="49:50">
      <c r="AW598" s="271"/>
      <c r="AX598" s="271"/>
    </row>
    <row r="599" spans="49:50">
      <c r="AW599" s="271"/>
      <c r="AX599" s="271"/>
    </row>
    <row r="600" spans="49:50">
      <c r="AW600" s="271"/>
      <c r="AX600" s="271"/>
    </row>
    <row r="601" spans="49:50">
      <c r="AW601" s="271"/>
      <c r="AX601" s="271"/>
    </row>
    <row r="602" spans="49:50">
      <c r="AW602" s="271"/>
      <c r="AX602" s="271"/>
    </row>
    <row r="603" spans="49:50">
      <c r="AW603" s="271"/>
      <c r="AX603" s="271"/>
    </row>
    <row r="604" spans="49:50">
      <c r="AW604" s="271"/>
      <c r="AX604" s="271"/>
    </row>
    <row r="605" spans="49:50">
      <c r="AW605" s="271"/>
      <c r="AX605" s="271"/>
    </row>
    <row r="606" spans="49:50">
      <c r="AW606" s="271"/>
      <c r="AX606" s="271"/>
    </row>
    <row r="607" spans="49:50">
      <c r="AW607" s="271"/>
      <c r="AX607" s="271"/>
    </row>
    <row r="608" spans="49:50">
      <c r="AW608" s="271"/>
      <c r="AX608" s="271"/>
    </row>
    <row r="609" spans="49:50">
      <c r="AW609" s="271"/>
      <c r="AX609" s="271"/>
    </row>
    <row r="610" spans="49:50">
      <c r="AW610" s="271"/>
      <c r="AX610" s="271"/>
    </row>
    <row r="611" spans="49:50">
      <c r="AW611" s="271"/>
      <c r="AX611" s="271"/>
    </row>
    <row r="612" spans="49:50">
      <c r="AW612" s="271"/>
      <c r="AX612" s="271"/>
    </row>
    <row r="613" spans="49:50">
      <c r="AW613" s="271"/>
      <c r="AX613" s="271"/>
    </row>
    <row r="614" spans="49:50">
      <c r="AW614" s="271"/>
      <c r="AX614" s="271"/>
    </row>
    <row r="615" spans="49:50">
      <c r="AW615" s="271"/>
      <c r="AX615" s="271"/>
    </row>
    <row r="616" spans="49:50">
      <c r="AW616" s="271"/>
      <c r="AX616" s="271"/>
    </row>
    <row r="617" spans="49:50">
      <c r="AW617" s="271"/>
      <c r="AX617" s="271"/>
    </row>
    <row r="618" spans="49:50">
      <c r="AW618" s="271"/>
      <c r="AX618" s="271"/>
    </row>
    <row r="619" spans="49:50">
      <c r="AW619" s="271"/>
      <c r="AX619" s="271"/>
    </row>
    <row r="620" spans="49:50">
      <c r="AW620" s="271"/>
      <c r="AX620" s="271"/>
    </row>
    <row r="621" spans="49:50">
      <c r="AW621" s="271"/>
      <c r="AX621" s="271"/>
    </row>
    <row r="622" spans="49:50">
      <c r="AW622" s="271"/>
      <c r="AX622" s="271"/>
    </row>
    <row r="623" spans="49:50">
      <c r="AW623" s="271"/>
      <c r="AX623" s="271"/>
    </row>
    <row r="624" spans="49:50">
      <c r="AW624" s="271"/>
      <c r="AX624" s="271"/>
    </row>
    <row r="625" spans="49:50">
      <c r="AW625" s="271"/>
      <c r="AX625" s="271"/>
    </row>
    <row r="626" spans="49:50">
      <c r="AW626" s="271"/>
      <c r="AX626" s="271"/>
    </row>
    <row r="627" spans="49:50">
      <c r="AW627" s="271"/>
      <c r="AX627" s="271"/>
    </row>
    <row r="628" spans="49:50">
      <c r="AW628" s="271"/>
      <c r="AX628" s="271"/>
    </row>
    <row r="629" spans="49:50">
      <c r="AW629" s="271"/>
      <c r="AX629" s="271"/>
    </row>
    <row r="630" spans="49:50">
      <c r="AW630" s="271"/>
      <c r="AX630" s="271"/>
    </row>
    <row r="631" spans="49:50">
      <c r="AW631" s="271"/>
      <c r="AX631" s="271"/>
    </row>
    <row r="632" spans="49:50">
      <c r="AW632" s="271"/>
      <c r="AX632" s="271"/>
    </row>
    <row r="633" spans="49:50">
      <c r="AW633" s="271"/>
      <c r="AX633" s="271"/>
    </row>
    <row r="634" spans="49:50">
      <c r="AW634" s="271"/>
      <c r="AX634" s="271"/>
    </row>
    <row r="635" spans="49:50">
      <c r="AW635" s="271"/>
      <c r="AX635" s="271"/>
    </row>
    <row r="636" spans="49:50">
      <c r="AW636" s="271"/>
      <c r="AX636" s="271"/>
    </row>
    <row r="637" spans="49:50">
      <c r="AW637" s="271"/>
      <c r="AX637" s="271"/>
    </row>
    <row r="638" spans="49:50">
      <c r="AW638" s="271"/>
      <c r="AX638" s="271"/>
    </row>
    <row r="639" spans="49:50">
      <c r="AW639" s="271"/>
      <c r="AX639" s="271"/>
    </row>
    <row r="640" spans="49:50">
      <c r="AW640" s="271"/>
      <c r="AX640" s="271"/>
    </row>
    <row r="641" spans="49:50">
      <c r="AW641" s="271"/>
      <c r="AX641" s="271"/>
    </row>
    <row r="642" spans="49:50">
      <c r="AW642" s="271"/>
      <c r="AX642" s="271"/>
    </row>
    <row r="643" spans="49:50">
      <c r="AW643" s="271"/>
      <c r="AX643" s="271"/>
    </row>
    <row r="644" spans="49:50">
      <c r="AW644" s="271"/>
      <c r="AX644" s="271"/>
    </row>
    <row r="645" spans="49:50">
      <c r="AW645" s="271"/>
      <c r="AX645" s="271"/>
    </row>
    <row r="646" spans="49:50">
      <c r="AW646" s="271"/>
      <c r="AX646" s="271"/>
    </row>
    <row r="647" spans="49:50">
      <c r="AW647" s="271"/>
      <c r="AX647" s="271"/>
    </row>
    <row r="648" spans="49:50">
      <c r="AW648" s="271"/>
      <c r="AX648" s="271"/>
    </row>
    <row r="649" spans="49:50">
      <c r="AW649" s="271"/>
      <c r="AX649" s="271"/>
    </row>
    <row r="650" spans="49:50">
      <c r="AW650" s="271"/>
      <c r="AX650" s="271"/>
    </row>
    <row r="651" spans="49:50">
      <c r="AW651" s="271"/>
      <c r="AX651" s="271"/>
    </row>
    <row r="652" spans="49:50">
      <c r="AW652" s="271"/>
      <c r="AX652" s="271"/>
    </row>
    <row r="653" spans="49:50">
      <c r="AW653" s="271"/>
      <c r="AX653" s="271"/>
    </row>
    <row r="654" spans="49:50">
      <c r="AW654" s="271"/>
      <c r="AX654" s="271"/>
    </row>
    <row r="655" spans="49:50">
      <c r="AW655" s="271"/>
      <c r="AX655" s="271"/>
    </row>
    <row r="656" spans="49:50">
      <c r="AW656" s="271"/>
      <c r="AX656" s="271"/>
    </row>
    <row r="657" spans="49:50">
      <c r="AW657" s="271"/>
      <c r="AX657" s="271"/>
    </row>
    <row r="658" spans="49:50">
      <c r="AW658" s="271"/>
      <c r="AX658" s="271"/>
    </row>
    <row r="659" spans="49:50">
      <c r="AW659" s="271"/>
      <c r="AX659" s="271"/>
    </row>
    <row r="660" spans="49:50">
      <c r="AW660" s="271"/>
      <c r="AX660" s="271"/>
    </row>
    <row r="661" spans="49:50">
      <c r="AW661" s="271"/>
      <c r="AX661" s="271"/>
    </row>
    <row r="662" spans="49:50">
      <c r="AW662" s="271"/>
      <c r="AX662" s="271"/>
    </row>
    <row r="663" spans="49:50">
      <c r="AW663" s="271"/>
      <c r="AX663" s="271"/>
    </row>
    <row r="664" spans="49:50">
      <c r="AW664" s="271"/>
      <c r="AX664" s="271"/>
    </row>
    <row r="665" spans="49:50">
      <c r="AW665" s="271"/>
      <c r="AX665" s="271"/>
    </row>
    <row r="666" spans="49:50">
      <c r="AW666" s="271"/>
      <c r="AX666" s="271"/>
    </row>
    <row r="667" spans="49:50">
      <c r="AW667" s="271"/>
      <c r="AX667" s="271"/>
    </row>
    <row r="668" spans="49:50">
      <c r="AW668" s="271"/>
      <c r="AX668" s="271"/>
    </row>
    <row r="669" spans="49:50">
      <c r="AW669" s="271"/>
      <c r="AX669" s="271"/>
    </row>
    <row r="670" spans="49:50">
      <c r="AW670" s="271"/>
      <c r="AX670" s="271"/>
    </row>
    <row r="671" spans="49:50">
      <c r="AW671" s="271"/>
      <c r="AX671" s="271"/>
    </row>
    <row r="672" spans="49:50">
      <c r="AW672" s="271"/>
      <c r="AX672" s="271"/>
    </row>
    <row r="673" spans="49:50">
      <c r="AW673" s="271"/>
      <c r="AX673" s="271"/>
    </row>
    <row r="674" spans="49:50">
      <c r="AW674" s="271"/>
      <c r="AX674" s="271"/>
    </row>
    <row r="675" spans="49:50">
      <c r="AW675" s="271"/>
      <c r="AX675" s="271"/>
    </row>
    <row r="676" spans="49:50">
      <c r="AW676" s="271"/>
      <c r="AX676" s="271"/>
    </row>
    <row r="677" spans="49:50">
      <c r="AW677" s="271"/>
      <c r="AX677" s="271"/>
    </row>
    <row r="678" spans="49:50">
      <c r="AW678" s="271"/>
      <c r="AX678" s="271"/>
    </row>
    <row r="679" spans="49:50">
      <c r="AW679" s="271"/>
      <c r="AX679" s="271"/>
    </row>
    <row r="680" spans="49:50">
      <c r="AW680" s="271"/>
      <c r="AX680" s="271"/>
    </row>
    <row r="681" spans="49:50">
      <c r="AW681" s="271"/>
      <c r="AX681" s="271"/>
    </row>
    <row r="682" spans="49:50">
      <c r="AW682" s="271"/>
      <c r="AX682" s="271"/>
    </row>
    <row r="683" spans="49:50">
      <c r="AW683" s="271"/>
      <c r="AX683" s="271"/>
    </row>
    <row r="684" spans="49:50">
      <c r="AW684" s="271"/>
      <c r="AX684" s="271"/>
    </row>
    <row r="685" spans="49:50">
      <c r="AW685" s="271"/>
      <c r="AX685" s="271"/>
    </row>
    <row r="686" spans="49:50">
      <c r="AW686" s="271"/>
      <c r="AX686" s="271"/>
    </row>
    <row r="687" spans="49:50">
      <c r="AW687" s="271"/>
      <c r="AX687" s="271"/>
    </row>
    <row r="688" spans="49:50">
      <c r="AW688" s="271"/>
      <c r="AX688" s="271"/>
    </row>
    <row r="689" spans="49:50">
      <c r="AW689" s="271"/>
      <c r="AX689" s="271"/>
    </row>
    <row r="690" spans="49:50">
      <c r="AW690" s="271"/>
      <c r="AX690" s="271"/>
    </row>
    <row r="691" spans="49:50">
      <c r="AW691" s="271"/>
      <c r="AX691" s="271"/>
    </row>
    <row r="692" spans="49:50">
      <c r="AW692" s="271"/>
      <c r="AX692" s="271"/>
    </row>
    <row r="693" spans="49:50">
      <c r="AW693" s="271"/>
      <c r="AX693" s="271"/>
    </row>
    <row r="694" spans="49:50">
      <c r="AW694" s="271"/>
      <c r="AX694" s="271"/>
    </row>
    <row r="695" spans="49:50">
      <c r="AW695" s="271"/>
      <c r="AX695" s="271"/>
    </row>
    <row r="696" spans="49:50">
      <c r="AW696" s="271"/>
      <c r="AX696" s="271"/>
    </row>
    <row r="697" spans="49:50">
      <c r="AW697" s="271"/>
      <c r="AX697" s="271"/>
    </row>
    <row r="698" spans="49:50">
      <c r="AW698" s="271"/>
      <c r="AX698" s="271"/>
    </row>
    <row r="699" spans="49:50">
      <c r="AW699" s="271"/>
      <c r="AX699" s="271"/>
    </row>
    <row r="700" spans="49:50">
      <c r="AW700" s="271"/>
      <c r="AX700" s="271"/>
    </row>
    <row r="701" spans="49:50">
      <c r="AW701" s="271"/>
      <c r="AX701" s="271"/>
    </row>
    <row r="702" spans="49:50">
      <c r="AW702" s="271"/>
      <c r="AX702" s="271"/>
    </row>
    <row r="703" spans="49:50">
      <c r="AW703" s="271"/>
      <c r="AX703" s="271"/>
    </row>
    <row r="704" spans="49:50">
      <c r="AW704" s="271"/>
      <c r="AX704" s="271"/>
    </row>
    <row r="705" spans="49:50">
      <c r="AW705" s="271"/>
      <c r="AX705" s="271"/>
    </row>
    <row r="706" spans="49:50">
      <c r="AW706" s="271"/>
      <c r="AX706" s="271"/>
    </row>
    <row r="707" spans="49:50">
      <c r="AW707" s="271"/>
      <c r="AX707" s="271"/>
    </row>
    <row r="708" spans="49:50">
      <c r="AW708" s="271"/>
      <c r="AX708" s="271"/>
    </row>
    <row r="709" spans="49:50">
      <c r="AW709" s="271"/>
      <c r="AX709" s="271"/>
    </row>
    <row r="710" spans="49:50">
      <c r="AW710" s="271"/>
      <c r="AX710" s="271"/>
    </row>
    <row r="711" spans="49:50">
      <c r="AW711" s="271"/>
      <c r="AX711" s="271"/>
    </row>
    <row r="712" spans="49:50">
      <c r="AW712" s="271"/>
      <c r="AX712" s="271"/>
    </row>
    <row r="713" spans="49:50">
      <c r="AW713" s="271"/>
      <c r="AX713" s="271"/>
    </row>
    <row r="714" spans="49:50">
      <c r="AW714" s="271"/>
      <c r="AX714" s="271"/>
    </row>
    <row r="715" spans="49:50">
      <c r="AW715" s="271"/>
      <c r="AX715" s="271"/>
    </row>
    <row r="716" spans="49:50">
      <c r="AW716" s="271"/>
      <c r="AX716" s="271"/>
    </row>
    <row r="717" spans="49:50">
      <c r="AW717" s="271"/>
      <c r="AX717" s="271"/>
    </row>
    <row r="718" spans="49:50">
      <c r="AW718" s="271"/>
      <c r="AX718" s="271"/>
    </row>
    <row r="719" spans="49:50">
      <c r="AW719" s="271"/>
      <c r="AX719" s="271"/>
    </row>
    <row r="720" spans="49:50">
      <c r="AW720" s="271"/>
      <c r="AX720" s="271"/>
    </row>
    <row r="721" spans="49:50">
      <c r="AW721" s="271"/>
      <c r="AX721" s="271"/>
    </row>
    <row r="722" spans="49:50">
      <c r="AW722" s="271"/>
      <c r="AX722" s="271"/>
    </row>
    <row r="723" spans="49:50">
      <c r="AW723" s="271"/>
      <c r="AX723" s="271"/>
    </row>
    <row r="724" spans="49:50">
      <c r="AW724" s="271"/>
      <c r="AX724" s="271"/>
    </row>
    <row r="725" spans="49:50">
      <c r="AW725" s="271"/>
      <c r="AX725" s="271"/>
    </row>
    <row r="726" spans="49:50">
      <c r="AW726" s="271"/>
      <c r="AX726" s="271"/>
    </row>
    <row r="727" spans="49:50">
      <c r="AW727" s="271"/>
      <c r="AX727" s="271"/>
    </row>
    <row r="728" spans="49:50">
      <c r="AW728" s="271"/>
      <c r="AX728" s="271"/>
    </row>
    <row r="729" spans="49:50">
      <c r="AW729" s="271"/>
      <c r="AX729" s="271"/>
    </row>
    <row r="730" spans="49:50">
      <c r="AW730" s="271"/>
      <c r="AX730" s="271"/>
    </row>
    <row r="731" spans="49:50">
      <c r="AW731" s="271"/>
      <c r="AX731" s="271"/>
    </row>
    <row r="732" spans="49:50">
      <c r="AW732" s="271"/>
      <c r="AX732" s="271"/>
    </row>
    <row r="733" spans="49:50">
      <c r="AW733" s="271"/>
      <c r="AX733" s="271"/>
    </row>
    <row r="734" spans="49:50">
      <c r="AW734" s="271"/>
      <c r="AX734" s="271"/>
    </row>
    <row r="735" spans="49:50">
      <c r="AW735" s="271"/>
      <c r="AX735" s="271"/>
    </row>
    <row r="736" spans="49:50">
      <c r="AW736" s="271"/>
      <c r="AX736" s="271"/>
    </row>
    <row r="737" spans="49:50">
      <c r="AW737" s="271"/>
      <c r="AX737" s="271"/>
    </row>
    <row r="738" spans="49:50">
      <c r="AW738" s="271"/>
      <c r="AX738" s="271"/>
    </row>
    <row r="739" spans="49:50">
      <c r="AW739" s="271"/>
      <c r="AX739" s="271"/>
    </row>
    <row r="740" spans="49:50">
      <c r="AW740" s="271"/>
      <c r="AX740" s="271"/>
    </row>
    <row r="741" spans="49:50">
      <c r="AW741" s="271"/>
      <c r="AX741" s="271"/>
    </row>
    <row r="742" spans="49:50">
      <c r="AW742" s="271"/>
      <c r="AX742" s="271"/>
    </row>
    <row r="743" spans="49:50">
      <c r="AW743" s="271"/>
      <c r="AX743" s="271"/>
    </row>
    <row r="744" spans="49:50">
      <c r="AW744" s="271"/>
      <c r="AX744" s="271"/>
    </row>
    <row r="745" spans="49:50">
      <c r="AW745" s="271"/>
      <c r="AX745" s="271"/>
    </row>
    <row r="746" spans="49:50">
      <c r="AW746" s="271"/>
      <c r="AX746" s="271"/>
    </row>
    <row r="747" spans="49:50">
      <c r="AW747" s="271"/>
      <c r="AX747" s="271"/>
    </row>
    <row r="748" spans="49:50">
      <c r="AW748" s="271"/>
      <c r="AX748" s="271"/>
    </row>
    <row r="749" spans="49:50">
      <c r="AW749" s="271"/>
      <c r="AX749" s="271"/>
    </row>
    <row r="750" spans="49:50">
      <c r="AW750" s="271"/>
      <c r="AX750" s="271"/>
    </row>
    <row r="751" spans="49:50">
      <c r="AW751" s="271"/>
      <c r="AX751" s="271"/>
    </row>
    <row r="752" spans="49:50">
      <c r="AW752" s="271"/>
      <c r="AX752" s="271"/>
    </row>
    <row r="753" spans="49:50">
      <c r="AW753" s="271"/>
      <c r="AX753" s="271"/>
    </row>
    <row r="754" spans="49:50">
      <c r="AW754" s="271"/>
      <c r="AX754" s="271"/>
    </row>
    <row r="755" spans="49:50">
      <c r="AW755" s="271"/>
      <c r="AX755" s="271"/>
    </row>
    <row r="756" spans="49:50">
      <c r="AW756" s="271"/>
      <c r="AX756" s="271"/>
    </row>
    <row r="757" spans="49:50">
      <c r="AW757" s="271"/>
      <c r="AX757" s="271"/>
    </row>
    <row r="758" spans="49:50">
      <c r="AW758" s="271"/>
      <c r="AX758" s="271"/>
    </row>
    <row r="759" spans="49:50">
      <c r="AW759" s="271"/>
      <c r="AX759" s="271"/>
    </row>
    <row r="760" spans="49:50">
      <c r="AW760" s="271"/>
      <c r="AX760" s="271"/>
    </row>
    <row r="761" spans="49:50">
      <c r="AW761" s="271"/>
      <c r="AX761" s="271"/>
    </row>
    <row r="762" spans="49:50">
      <c r="AW762" s="271"/>
      <c r="AX762" s="271"/>
    </row>
    <row r="763" spans="49:50">
      <c r="AW763" s="271"/>
      <c r="AX763" s="271"/>
    </row>
    <row r="764" spans="49:50">
      <c r="AW764" s="271"/>
      <c r="AX764" s="271"/>
    </row>
    <row r="765" spans="49:50">
      <c r="AW765" s="271"/>
      <c r="AX765" s="271"/>
    </row>
    <row r="766" spans="49:50">
      <c r="AW766" s="271"/>
      <c r="AX766" s="271"/>
    </row>
    <row r="767" spans="49:50">
      <c r="AW767" s="271"/>
      <c r="AX767" s="271"/>
    </row>
    <row r="768" spans="49:50">
      <c r="AW768" s="271"/>
      <c r="AX768" s="271"/>
    </row>
    <row r="769" spans="49:50">
      <c r="AW769" s="271"/>
      <c r="AX769" s="271"/>
    </row>
    <row r="770" spans="49:50">
      <c r="AW770" s="271"/>
      <c r="AX770" s="271"/>
    </row>
    <row r="771" spans="49:50">
      <c r="AW771" s="271"/>
      <c r="AX771" s="271"/>
    </row>
    <row r="772" spans="49:50">
      <c r="AW772" s="271"/>
      <c r="AX772" s="271"/>
    </row>
    <row r="773" spans="49:50">
      <c r="AW773" s="271"/>
      <c r="AX773" s="271"/>
    </row>
    <row r="774" spans="49:50">
      <c r="AW774" s="271"/>
      <c r="AX774" s="271"/>
    </row>
    <row r="775" spans="49:50">
      <c r="AW775" s="271"/>
      <c r="AX775" s="271"/>
    </row>
    <row r="776" spans="49:50">
      <c r="AW776" s="271"/>
      <c r="AX776" s="271"/>
    </row>
    <row r="777" spans="49:50">
      <c r="AW777" s="271"/>
      <c r="AX777" s="271"/>
    </row>
    <row r="778" spans="49:50">
      <c r="AW778" s="271"/>
      <c r="AX778" s="271"/>
    </row>
    <row r="779" spans="49:50">
      <c r="AW779" s="271"/>
      <c r="AX779" s="271"/>
    </row>
    <row r="780" spans="49:50">
      <c r="AW780" s="271"/>
      <c r="AX780" s="271"/>
    </row>
    <row r="781" spans="49:50">
      <c r="AW781" s="271"/>
      <c r="AX781" s="271"/>
    </row>
    <row r="782" spans="49:50">
      <c r="AW782" s="271"/>
      <c r="AX782" s="271"/>
    </row>
    <row r="783" spans="49:50">
      <c r="AW783" s="271"/>
      <c r="AX783" s="271"/>
    </row>
    <row r="784" spans="49:50">
      <c r="AW784" s="271"/>
      <c r="AX784" s="271"/>
    </row>
    <row r="785" spans="49:50">
      <c r="AW785" s="271"/>
      <c r="AX785" s="271"/>
    </row>
    <row r="786" spans="49:50">
      <c r="AW786" s="271"/>
      <c r="AX786" s="271"/>
    </row>
    <row r="787" spans="49:50">
      <c r="AW787" s="271"/>
      <c r="AX787" s="271"/>
    </row>
    <row r="788" spans="49:50">
      <c r="AW788" s="271"/>
      <c r="AX788" s="271"/>
    </row>
    <row r="789" spans="49:50">
      <c r="AW789" s="271"/>
      <c r="AX789" s="271"/>
    </row>
    <row r="790" spans="49:50">
      <c r="AW790" s="271"/>
      <c r="AX790" s="271"/>
    </row>
    <row r="791" spans="49:50">
      <c r="AW791" s="271"/>
      <c r="AX791" s="271"/>
    </row>
    <row r="792" spans="49:50">
      <c r="AW792" s="271"/>
      <c r="AX792" s="271"/>
    </row>
    <row r="793" spans="49:50">
      <c r="AW793" s="271"/>
      <c r="AX793" s="271"/>
    </row>
    <row r="794" spans="49:50">
      <c r="AW794" s="271"/>
      <c r="AX794" s="271"/>
    </row>
    <row r="795" spans="49:50">
      <c r="AW795" s="271"/>
      <c r="AX795" s="271"/>
    </row>
    <row r="796" spans="49:50">
      <c r="AW796" s="271"/>
      <c r="AX796" s="271"/>
    </row>
    <row r="797" spans="49:50">
      <c r="AW797" s="271"/>
      <c r="AX797" s="271"/>
    </row>
    <row r="798" spans="49:50">
      <c r="AW798" s="271"/>
      <c r="AX798" s="271"/>
    </row>
    <row r="799" spans="49:50">
      <c r="AW799" s="271"/>
      <c r="AX799" s="271"/>
    </row>
    <row r="800" spans="49:50">
      <c r="AW800" s="271"/>
      <c r="AX800" s="271"/>
    </row>
    <row r="801" spans="49:50">
      <c r="AW801" s="271"/>
      <c r="AX801" s="271"/>
    </row>
    <row r="802" spans="49:50">
      <c r="AW802" s="271"/>
      <c r="AX802" s="271"/>
    </row>
    <row r="803" spans="49:50">
      <c r="AW803" s="271"/>
      <c r="AX803" s="271"/>
    </row>
    <row r="804" spans="49:50">
      <c r="AW804" s="271"/>
      <c r="AX804" s="271"/>
    </row>
    <row r="805" spans="49:50">
      <c r="AW805" s="271"/>
      <c r="AX805" s="271"/>
    </row>
    <row r="806" spans="49:50">
      <c r="AW806" s="271"/>
      <c r="AX806" s="271"/>
    </row>
    <row r="807" spans="49:50">
      <c r="AW807" s="271"/>
      <c r="AX807" s="271"/>
    </row>
    <row r="808" spans="49:50">
      <c r="AW808" s="271"/>
      <c r="AX808" s="271"/>
    </row>
    <row r="809" spans="49:50">
      <c r="AW809" s="271"/>
      <c r="AX809" s="271"/>
    </row>
    <row r="810" spans="49:50">
      <c r="AW810" s="271"/>
      <c r="AX810" s="271"/>
    </row>
    <row r="811" spans="49:50">
      <c r="AW811" s="271"/>
      <c r="AX811" s="271"/>
    </row>
    <row r="812" spans="49:50">
      <c r="AW812" s="271"/>
      <c r="AX812" s="271"/>
    </row>
    <row r="813" spans="49:50">
      <c r="AW813" s="271"/>
      <c r="AX813" s="271"/>
    </row>
    <row r="814" spans="49:50">
      <c r="AW814" s="271"/>
      <c r="AX814" s="271"/>
    </row>
    <row r="815" spans="49:50">
      <c r="AW815" s="271"/>
      <c r="AX815" s="271"/>
    </row>
    <row r="816" spans="49:50">
      <c r="AW816" s="271"/>
      <c r="AX816" s="271"/>
    </row>
    <row r="817" spans="49:50">
      <c r="AW817" s="271"/>
      <c r="AX817" s="271"/>
    </row>
    <row r="818" spans="49:50">
      <c r="AW818" s="271"/>
      <c r="AX818" s="271"/>
    </row>
    <row r="819" spans="49:50">
      <c r="AW819" s="271"/>
      <c r="AX819" s="271"/>
    </row>
    <row r="820" spans="49:50">
      <c r="AW820" s="271"/>
      <c r="AX820" s="271"/>
    </row>
    <row r="821" spans="49:50">
      <c r="AW821" s="271"/>
      <c r="AX821" s="271"/>
    </row>
    <row r="822" spans="49:50">
      <c r="AW822" s="271"/>
      <c r="AX822" s="271"/>
    </row>
    <row r="823" spans="49:50">
      <c r="AW823" s="271"/>
      <c r="AX823" s="271"/>
    </row>
    <row r="824" spans="49:50">
      <c r="AW824" s="271"/>
      <c r="AX824" s="271"/>
    </row>
    <row r="825" spans="49:50">
      <c r="AW825" s="271"/>
      <c r="AX825" s="271"/>
    </row>
    <row r="826" spans="49:50">
      <c r="AW826" s="271"/>
      <c r="AX826" s="271"/>
    </row>
    <row r="827" spans="49:50">
      <c r="AW827" s="271"/>
      <c r="AX827" s="271"/>
    </row>
    <row r="828" spans="49:50">
      <c r="AW828" s="271"/>
      <c r="AX828" s="271"/>
    </row>
    <row r="829" spans="49:50">
      <c r="AW829" s="271"/>
      <c r="AX829" s="271"/>
    </row>
    <row r="830" spans="49:50">
      <c r="AW830" s="271"/>
      <c r="AX830" s="271"/>
    </row>
    <row r="831" spans="49:50">
      <c r="AW831" s="271"/>
      <c r="AX831" s="271"/>
    </row>
    <row r="832" spans="49:50">
      <c r="AW832" s="271"/>
      <c r="AX832" s="271"/>
    </row>
    <row r="833" spans="49:50">
      <c r="AW833" s="271"/>
      <c r="AX833" s="271"/>
    </row>
    <row r="834" spans="49:50">
      <c r="AW834" s="271"/>
      <c r="AX834" s="271"/>
    </row>
    <row r="835" spans="49:50">
      <c r="AW835" s="271"/>
      <c r="AX835" s="271"/>
    </row>
    <row r="836" spans="49:50">
      <c r="AW836" s="271"/>
      <c r="AX836" s="271"/>
    </row>
    <row r="837" spans="49:50">
      <c r="AW837" s="271"/>
      <c r="AX837" s="271"/>
    </row>
    <row r="838" spans="49:50">
      <c r="AW838" s="271"/>
      <c r="AX838" s="271"/>
    </row>
    <row r="839" spans="49:50">
      <c r="AW839" s="271"/>
      <c r="AX839" s="271"/>
    </row>
    <row r="840" spans="49:50">
      <c r="AW840" s="271"/>
      <c r="AX840" s="271"/>
    </row>
    <row r="841" spans="49:50">
      <c r="AW841" s="271"/>
      <c r="AX841" s="271"/>
    </row>
    <row r="842" spans="49:50">
      <c r="AW842" s="271"/>
      <c r="AX842" s="271"/>
    </row>
    <row r="843" spans="49:50">
      <c r="AW843" s="271"/>
      <c r="AX843" s="271"/>
    </row>
    <row r="844" spans="49:50">
      <c r="AW844" s="271"/>
      <c r="AX844" s="271"/>
    </row>
    <row r="845" spans="49:50">
      <c r="AW845" s="271"/>
      <c r="AX845" s="271"/>
    </row>
    <row r="846" spans="49:50">
      <c r="AW846" s="271"/>
      <c r="AX846" s="271"/>
    </row>
    <row r="847" spans="49:50">
      <c r="AW847" s="271"/>
      <c r="AX847" s="271"/>
    </row>
    <row r="848" spans="49:50">
      <c r="AW848" s="271"/>
      <c r="AX848" s="271"/>
    </row>
    <row r="849" spans="49:50">
      <c r="AW849" s="271"/>
      <c r="AX849" s="271"/>
    </row>
    <row r="850" spans="49:50">
      <c r="AW850" s="271"/>
      <c r="AX850" s="271"/>
    </row>
    <row r="851" spans="49:50">
      <c r="AW851" s="271"/>
      <c r="AX851" s="271"/>
    </row>
    <row r="852" spans="49:50">
      <c r="AW852" s="271"/>
      <c r="AX852" s="271"/>
    </row>
    <row r="853" spans="49:50">
      <c r="AW853" s="271"/>
      <c r="AX853" s="271"/>
    </row>
    <row r="854" spans="49:50">
      <c r="AW854" s="271"/>
      <c r="AX854" s="271"/>
    </row>
    <row r="855" spans="49:50">
      <c r="AW855" s="271"/>
      <c r="AX855" s="271"/>
    </row>
    <row r="856" spans="49:50">
      <c r="AW856" s="271"/>
      <c r="AX856" s="271"/>
    </row>
    <row r="857" spans="49:50">
      <c r="AW857" s="271"/>
      <c r="AX857" s="271"/>
    </row>
    <row r="858" spans="49:50">
      <c r="AW858" s="271"/>
      <c r="AX858" s="271"/>
    </row>
    <row r="859" spans="49:50">
      <c r="AW859" s="271"/>
      <c r="AX859" s="271"/>
    </row>
    <row r="860" spans="49:50">
      <c r="AW860" s="271"/>
      <c r="AX860" s="271"/>
    </row>
    <row r="861" spans="49:50">
      <c r="AW861" s="271"/>
      <c r="AX861" s="271"/>
    </row>
    <row r="862" spans="49:50">
      <c r="AW862" s="271"/>
      <c r="AX862" s="271"/>
    </row>
    <row r="863" spans="49:50">
      <c r="AW863" s="271"/>
      <c r="AX863" s="271"/>
    </row>
    <row r="864" spans="49:50">
      <c r="AW864" s="271"/>
      <c r="AX864" s="271"/>
    </row>
    <row r="865" spans="49:50">
      <c r="AW865" s="271"/>
      <c r="AX865" s="271"/>
    </row>
    <row r="866" spans="49:50">
      <c r="AW866" s="271"/>
      <c r="AX866" s="271"/>
    </row>
    <row r="867" spans="49:50">
      <c r="AW867" s="271"/>
      <c r="AX867" s="271"/>
    </row>
    <row r="868" spans="49:50">
      <c r="AW868" s="271"/>
      <c r="AX868" s="271"/>
    </row>
    <row r="869" spans="49:50">
      <c r="AW869" s="271"/>
      <c r="AX869" s="271"/>
    </row>
    <row r="870" spans="49:50">
      <c r="AW870" s="271"/>
      <c r="AX870" s="271"/>
    </row>
    <row r="871" spans="49:50">
      <c r="AW871" s="271"/>
      <c r="AX871" s="271"/>
    </row>
    <row r="872" spans="49:50">
      <c r="AW872" s="271"/>
      <c r="AX872" s="271"/>
    </row>
    <row r="873" spans="49:50">
      <c r="AW873" s="271"/>
      <c r="AX873" s="271"/>
    </row>
    <row r="874" spans="49:50">
      <c r="AW874" s="271"/>
      <c r="AX874" s="271"/>
    </row>
    <row r="875" spans="49:50">
      <c r="AW875" s="271"/>
      <c r="AX875" s="271"/>
    </row>
    <row r="876" spans="49:50">
      <c r="AW876" s="271"/>
      <c r="AX876" s="271"/>
    </row>
    <row r="877" spans="49:50">
      <c r="AW877" s="271"/>
      <c r="AX877" s="271"/>
    </row>
    <row r="878" spans="49:50">
      <c r="AW878" s="271"/>
      <c r="AX878" s="271"/>
    </row>
    <row r="879" spans="49:50">
      <c r="AW879" s="271"/>
      <c r="AX879" s="271"/>
    </row>
    <row r="880" spans="49:50">
      <c r="AW880" s="271"/>
      <c r="AX880" s="271"/>
    </row>
    <row r="881" spans="49:50">
      <c r="AW881" s="271"/>
      <c r="AX881" s="271"/>
    </row>
    <row r="882" spans="49:50">
      <c r="AW882" s="271"/>
      <c r="AX882" s="271"/>
    </row>
    <row r="883" spans="49:50">
      <c r="AW883" s="271"/>
      <c r="AX883" s="271"/>
    </row>
    <row r="884" spans="49:50">
      <c r="AW884" s="271"/>
      <c r="AX884" s="271"/>
    </row>
    <row r="885" spans="49:50">
      <c r="AW885" s="271"/>
      <c r="AX885" s="271"/>
    </row>
    <row r="886" spans="49:50">
      <c r="AW886" s="271"/>
      <c r="AX886" s="271"/>
    </row>
    <row r="887" spans="49:50">
      <c r="AW887" s="271"/>
      <c r="AX887" s="271"/>
    </row>
    <row r="888" spans="49:50">
      <c r="AW888" s="271"/>
      <c r="AX888" s="271"/>
    </row>
    <row r="889" spans="49:50">
      <c r="AW889" s="271"/>
      <c r="AX889" s="271"/>
    </row>
    <row r="890" spans="49:50">
      <c r="AW890" s="271"/>
      <c r="AX890" s="271"/>
    </row>
    <row r="891" spans="49:50">
      <c r="AW891" s="271"/>
      <c r="AX891" s="271"/>
    </row>
    <row r="892" spans="49:50">
      <c r="AW892" s="271"/>
      <c r="AX892" s="271"/>
    </row>
    <row r="893" spans="49:50">
      <c r="AW893" s="271"/>
      <c r="AX893" s="271"/>
    </row>
    <row r="894" spans="49:50">
      <c r="AW894" s="271"/>
      <c r="AX894" s="271"/>
    </row>
    <row r="895" spans="49:50">
      <c r="AW895" s="271"/>
      <c r="AX895" s="271"/>
    </row>
    <row r="896" spans="49:50">
      <c r="AW896" s="271"/>
      <c r="AX896" s="271"/>
    </row>
    <row r="897" spans="49:50">
      <c r="AW897" s="271"/>
      <c r="AX897" s="271"/>
    </row>
    <row r="898" spans="49:50">
      <c r="AW898" s="271"/>
      <c r="AX898" s="271"/>
    </row>
    <row r="899" spans="49:50">
      <c r="AW899" s="271"/>
      <c r="AX899" s="271"/>
    </row>
    <row r="900" spans="49:50">
      <c r="AW900" s="271"/>
      <c r="AX900" s="271"/>
    </row>
    <row r="901" spans="49:50">
      <c r="AW901" s="271"/>
      <c r="AX901" s="271"/>
    </row>
    <row r="902" spans="49:50">
      <c r="AW902" s="271"/>
      <c r="AX902" s="271"/>
    </row>
    <row r="903" spans="49:50">
      <c r="AW903" s="271"/>
      <c r="AX903" s="271"/>
    </row>
    <row r="904" spans="49:50">
      <c r="AW904" s="271"/>
      <c r="AX904" s="271"/>
    </row>
    <row r="905" spans="49:50">
      <c r="AW905" s="271"/>
      <c r="AX905" s="271"/>
    </row>
    <row r="906" spans="49:50">
      <c r="AW906" s="271"/>
      <c r="AX906" s="271"/>
    </row>
    <row r="907" spans="49:50">
      <c r="AW907" s="271"/>
      <c r="AX907" s="271"/>
    </row>
    <row r="908" spans="49:50">
      <c r="AW908" s="271"/>
      <c r="AX908" s="271"/>
    </row>
    <row r="909" spans="49:50">
      <c r="AW909" s="271"/>
      <c r="AX909" s="271"/>
    </row>
    <row r="910" spans="49:50">
      <c r="AW910" s="271"/>
      <c r="AX910" s="271"/>
    </row>
    <row r="911" spans="49:50">
      <c r="AW911" s="271"/>
      <c r="AX911" s="271"/>
    </row>
    <row r="912" spans="49:50">
      <c r="AW912" s="271"/>
      <c r="AX912" s="271"/>
    </row>
    <row r="913" spans="49:50">
      <c r="AW913" s="271"/>
      <c r="AX913" s="271"/>
    </row>
    <row r="914" spans="49:50">
      <c r="AW914" s="271"/>
      <c r="AX914" s="271"/>
    </row>
    <row r="915" spans="49:50">
      <c r="AW915" s="271"/>
      <c r="AX915" s="271"/>
    </row>
    <row r="916" spans="49:50">
      <c r="AW916" s="271"/>
      <c r="AX916" s="271"/>
    </row>
    <row r="917" spans="49:50">
      <c r="AW917" s="271"/>
      <c r="AX917" s="271"/>
    </row>
    <row r="918" spans="49:50">
      <c r="AW918" s="271"/>
      <c r="AX918" s="271"/>
    </row>
    <row r="919" spans="49:50">
      <c r="AW919" s="271"/>
      <c r="AX919" s="271"/>
    </row>
    <row r="920" spans="49:50">
      <c r="AW920" s="271"/>
      <c r="AX920" s="271"/>
    </row>
    <row r="921" spans="49:50">
      <c r="AW921" s="271"/>
      <c r="AX921" s="271"/>
    </row>
    <row r="922" spans="49:50">
      <c r="AW922" s="271"/>
      <c r="AX922" s="271"/>
    </row>
    <row r="923" spans="49:50">
      <c r="AW923" s="271"/>
      <c r="AX923" s="271"/>
    </row>
    <row r="924" spans="49:50">
      <c r="AW924" s="271"/>
      <c r="AX924" s="271"/>
    </row>
    <row r="925" spans="49:50">
      <c r="AW925" s="271"/>
      <c r="AX925" s="271"/>
    </row>
    <row r="926" spans="49:50">
      <c r="AW926" s="271"/>
      <c r="AX926" s="271"/>
    </row>
    <row r="927" spans="49:50">
      <c r="AW927" s="271"/>
      <c r="AX927" s="271"/>
    </row>
    <row r="928" spans="49:50">
      <c r="AW928" s="271"/>
      <c r="AX928" s="271"/>
    </row>
    <row r="929" spans="49:50">
      <c r="AW929" s="271"/>
      <c r="AX929" s="271"/>
    </row>
    <row r="930" spans="49:50">
      <c r="AW930" s="271"/>
      <c r="AX930" s="271"/>
    </row>
    <row r="931" spans="49:50">
      <c r="AW931" s="271"/>
      <c r="AX931" s="271"/>
    </row>
    <row r="932" spans="49:50">
      <c r="AW932" s="271"/>
      <c r="AX932" s="271"/>
    </row>
    <row r="933" spans="49:50">
      <c r="AW933" s="271"/>
      <c r="AX933" s="271"/>
    </row>
    <row r="934" spans="49:50">
      <c r="AW934" s="271"/>
      <c r="AX934" s="271"/>
    </row>
    <row r="935" spans="49:50">
      <c r="AW935" s="271"/>
      <c r="AX935" s="271"/>
    </row>
    <row r="936" spans="49:50">
      <c r="AW936" s="271"/>
      <c r="AX936" s="271"/>
    </row>
    <row r="937" spans="49:50">
      <c r="AW937" s="271"/>
      <c r="AX937" s="271"/>
    </row>
    <row r="938" spans="49:50">
      <c r="AW938" s="271"/>
      <c r="AX938" s="271"/>
    </row>
    <row r="939" spans="49:50">
      <c r="AW939" s="271"/>
      <c r="AX939" s="271"/>
    </row>
    <row r="940" spans="49:50">
      <c r="AW940" s="271"/>
      <c r="AX940" s="271"/>
    </row>
    <row r="941" spans="49:50">
      <c r="AW941" s="271"/>
      <c r="AX941" s="271"/>
    </row>
    <row r="942" spans="49:50">
      <c r="AW942" s="271"/>
      <c r="AX942" s="271"/>
    </row>
    <row r="943" spans="49:50">
      <c r="AW943" s="271"/>
      <c r="AX943" s="271"/>
    </row>
    <row r="944" spans="49:50">
      <c r="AW944" s="271"/>
      <c r="AX944" s="271"/>
    </row>
    <row r="945" spans="49:50">
      <c r="AW945" s="271"/>
      <c r="AX945" s="271"/>
    </row>
    <row r="946" spans="49:50">
      <c r="AW946" s="271"/>
      <c r="AX946" s="271"/>
    </row>
    <row r="947" spans="49:50">
      <c r="AW947" s="271"/>
      <c r="AX947" s="271"/>
    </row>
    <row r="948" spans="49:50">
      <c r="AW948" s="271"/>
      <c r="AX948" s="271"/>
    </row>
    <row r="949" spans="49:50">
      <c r="AW949" s="271"/>
      <c r="AX949" s="271"/>
    </row>
    <row r="950" spans="49:50">
      <c r="AW950" s="271"/>
      <c r="AX950" s="271"/>
    </row>
    <row r="951" spans="49:50">
      <c r="AW951" s="271"/>
      <c r="AX951" s="271"/>
    </row>
    <row r="952" spans="49:50">
      <c r="AW952" s="271"/>
      <c r="AX952" s="271"/>
    </row>
    <row r="953" spans="49:50">
      <c r="AW953" s="271"/>
      <c r="AX953" s="271"/>
    </row>
    <row r="954" spans="49:50">
      <c r="AW954" s="271"/>
      <c r="AX954" s="271"/>
    </row>
    <row r="955" spans="49:50">
      <c r="AW955" s="271"/>
      <c r="AX955" s="271"/>
    </row>
    <row r="956" spans="49:50">
      <c r="AW956" s="271"/>
      <c r="AX956" s="271"/>
    </row>
    <row r="957" spans="49:50">
      <c r="AW957" s="271"/>
      <c r="AX957" s="271"/>
    </row>
    <row r="958" spans="49:50">
      <c r="AW958" s="271"/>
      <c r="AX958" s="271"/>
    </row>
    <row r="959" spans="49:50">
      <c r="AW959" s="271"/>
      <c r="AX959" s="271"/>
    </row>
    <row r="960" spans="49:50">
      <c r="AW960" s="271"/>
      <c r="AX960" s="271"/>
    </row>
    <row r="961" spans="49:50">
      <c r="AW961" s="271"/>
      <c r="AX961" s="271"/>
    </row>
    <row r="962" spans="49:50">
      <c r="AW962" s="271"/>
      <c r="AX962" s="271"/>
    </row>
    <row r="963" spans="49:50">
      <c r="AW963" s="271"/>
      <c r="AX963" s="271"/>
    </row>
    <row r="964" spans="49:50">
      <c r="AW964" s="271"/>
      <c r="AX964" s="271"/>
    </row>
    <row r="965" spans="49:50">
      <c r="AW965" s="271"/>
      <c r="AX965" s="271"/>
    </row>
    <row r="966" spans="49:50">
      <c r="AW966" s="271"/>
      <c r="AX966" s="271"/>
    </row>
    <row r="967" spans="49:50">
      <c r="AW967" s="271"/>
      <c r="AX967" s="271"/>
    </row>
    <row r="968" spans="49:50">
      <c r="AW968" s="271"/>
      <c r="AX968" s="271"/>
    </row>
    <row r="969" spans="49:50">
      <c r="AW969" s="271"/>
      <c r="AX969" s="271"/>
    </row>
    <row r="970" spans="49:50">
      <c r="AW970" s="271"/>
      <c r="AX970" s="271"/>
    </row>
    <row r="971" spans="49:50">
      <c r="AW971" s="271"/>
      <c r="AX971" s="271"/>
    </row>
    <row r="972" spans="49:50">
      <c r="AW972" s="271"/>
      <c r="AX972" s="271"/>
    </row>
    <row r="973" spans="49:50">
      <c r="AW973" s="271"/>
      <c r="AX973" s="271"/>
    </row>
    <row r="974" spans="49:50">
      <c r="AW974" s="271"/>
      <c r="AX974" s="271"/>
    </row>
    <row r="975" spans="49:50">
      <c r="AW975" s="271"/>
      <c r="AX975" s="271"/>
    </row>
    <row r="976" spans="49:50">
      <c r="AW976" s="271"/>
      <c r="AX976" s="271"/>
    </row>
    <row r="977" spans="49:50">
      <c r="AW977" s="271"/>
      <c r="AX977" s="271"/>
    </row>
    <row r="978" spans="49:50">
      <c r="AW978" s="271"/>
      <c r="AX978" s="271"/>
    </row>
    <row r="979" spans="49:50">
      <c r="AW979" s="271"/>
      <c r="AX979" s="271"/>
    </row>
    <row r="980" spans="49:50">
      <c r="AW980" s="271"/>
      <c r="AX980" s="271"/>
    </row>
    <row r="981" spans="49:50">
      <c r="AW981" s="271"/>
      <c r="AX981" s="271"/>
    </row>
    <row r="982" spans="49:50">
      <c r="AW982" s="271"/>
      <c r="AX982" s="271"/>
    </row>
    <row r="983" spans="49:50">
      <c r="AW983" s="271"/>
      <c r="AX983" s="271"/>
    </row>
    <row r="984" spans="49:50">
      <c r="AW984" s="271"/>
      <c r="AX984" s="271"/>
    </row>
    <row r="985" spans="49:50">
      <c r="AW985" s="271"/>
      <c r="AX985" s="271"/>
    </row>
    <row r="986" spans="49:50">
      <c r="AW986" s="271"/>
      <c r="AX986" s="271"/>
    </row>
    <row r="987" spans="49:50">
      <c r="AW987" s="271"/>
      <c r="AX987" s="271"/>
    </row>
    <row r="988" spans="49:50">
      <c r="AW988" s="271"/>
      <c r="AX988" s="271"/>
    </row>
    <row r="989" spans="49:50">
      <c r="AW989" s="271"/>
      <c r="AX989" s="271"/>
    </row>
    <row r="990" spans="49:50">
      <c r="AW990" s="271"/>
      <c r="AX990" s="271"/>
    </row>
    <row r="991" spans="49:50">
      <c r="AW991" s="271"/>
      <c r="AX991" s="271"/>
    </row>
    <row r="992" spans="49:50">
      <c r="AW992" s="271"/>
      <c r="AX992" s="271"/>
    </row>
    <row r="993" spans="49:50">
      <c r="AW993" s="271"/>
      <c r="AX993" s="271"/>
    </row>
    <row r="994" spans="49:50">
      <c r="AW994" s="271"/>
      <c r="AX994" s="271"/>
    </row>
    <row r="995" spans="49:50">
      <c r="AW995" s="271"/>
      <c r="AX995" s="271"/>
    </row>
    <row r="996" spans="49:50">
      <c r="AW996" s="271"/>
      <c r="AX996" s="271"/>
    </row>
    <row r="997" spans="49:50">
      <c r="AW997" s="271"/>
      <c r="AX997" s="271"/>
    </row>
    <row r="998" spans="49:50">
      <c r="AW998" s="271"/>
      <c r="AX998" s="271"/>
    </row>
    <row r="999" spans="49:50">
      <c r="AW999" s="271"/>
      <c r="AX999" s="271"/>
    </row>
    <row r="1000" spans="49:50">
      <c r="AW1000" s="271"/>
      <c r="AX1000" s="271"/>
    </row>
    <row r="1001" spans="49:50">
      <c r="AW1001" s="271"/>
      <c r="AX1001" s="271"/>
    </row>
    <row r="1002" spans="49:50">
      <c r="AW1002" s="271"/>
      <c r="AX1002" s="271"/>
    </row>
    <row r="1003" spans="49:50">
      <c r="AW1003" s="271"/>
      <c r="AX1003" s="271"/>
    </row>
    <row r="1004" spans="49:50">
      <c r="AW1004" s="271"/>
      <c r="AX1004" s="271"/>
    </row>
    <row r="1005" spans="49:50">
      <c r="AW1005" s="271"/>
      <c r="AX1005" s="271"/>
    </row>
    <row r="1006" spans="49:50">
      <c r="AW1006" s="271"/>
      <c r="AX1006" s="271"/>
    </row>
    <row r="1007" spans="49:50">
      <c r="AW1007" s="271"/>
      <c r="AX1007" s="271"/>
    </row>
    <row r="1008" spans="49:50">
      <c r="AW1008" s="271"/>
      <c r="AX1008" s="271"/>
    </row>
    <row r="1009" spans="49:50">
      <c r="AW1009" s="271"/>
      <c r="AX1009" s="271"/>
    </row>
    <row r="1010" spans="49:50">
      <c r="AW1010" s="271"/>
      <c r="AX1010" s="271"/>
    </row>
    <row r="1011" spans="49:50">
      <c r="AW1011" s="271"/>
      <c r="AX1011" s="271"/>
    </row>
    <row r="1012" spans="49:50">
      <c r="AW1012" s="271"/>
      <c r="AX1012" s="271"/>
    </row>
    <row r="1013" spans="49:50">
      <c r="AW1013" s="271"/>
      <c r="AX1013" s="271"/>
    </row>
    <row r="1014" spans="49:50">
      <c r="AW1014" s="271"/>
      <c r="AX1014" s="271"/>
    </row>
    <row r="1015" spans="49:50">
      <c r="AW1015" s="271"/>
      <c r="AX1015" s="271"/>
    </row>
    <row r="1016" spans="49:50">
      <c r="AW1016" s="271"/>
      <c r="AX1016" s="271"/>
    </row>
    <row r="1017" spans="49:50">
      <c r="AW1017" s="271"/>
      <c r="AX1017" s="271"/>
    </row>
    <row r="1018" spans="49:50">
      <c r="AW1018" s="271"/>
      <c r="AX1018" s="271"/>
    </row>
    <row r="1019" spans="49:50">
      <c r="AW1019" s="271"/>
      <c r="AX1019" s="271"/>
    </row>
    <row r="1020" spans="49:50">
      <c r="AW1020" s="271"/>
      <c r="AX1020" s="271"/>
    </row>
    <row r="1021" spans="49:50">
      <c r="AW1021" s="271"/>
      <c r="AX1021" s="271"/>
    </row>
    <row r="1022" spans="49:50">
      <c r="AW1022" s="271"/>
      <c r="AX1022" s="271"/>
    </row>
    <row r="1023" spans="49:50">
      <c r="AW1023" s="271"/>
      <c r="AX1023" s="271"/>
    </row>
    <row r="1024" spans="49:50">
      <c r="AW1024" s="271"/>
      <c r="AX1024" s="271"/>
    </row>
    <row r="1025" spans="49:50">
      <c r="AW1025" s="271"/>
      <c r="AX1025" s="271"/>
    </row>
    <row r="1026" spans="49:50">
      <c r="AW1026" s="271"/>
      <c r="AX1026" s="271"/>
    </row>
    <row r="1027" spans="49:50">
      <c r="AW1027" s="271"/>
      <c r="AX1027" s="271"/>
    </row>
    <row r="1028" spans="49:50">
      <c r="AW1028" s="271"/>
      <c r="AX1028" s="271"/>
    </row>
    <row r="1029" spans="49:50">
      <c r="AW1029" s="271"/>
      <c r="AX1029" s="271"/>
    </row>
    <row r="1030" spans="49:50">
      <c r="AW1030" s="271"/>
      <c r="AX1030" s="271"/>
    </row>
    <row r="1031" spans="49:50">
      <c r="AW1031" s="271"/>
      <c r="AX1031" s="271"/>
    </row>
    <row r="1032" spans="49:50">
      <c r="AW1032" s="271"/>
      <c r="AX1032" s="271"/>
    </row>
    <row r="1033" spans="49:50">
      <c r="AW1033" s="271"/>
      <c r="AX1033" s="271"/>
    </row>
    <row r="1034" spans="49:50">
      <c r="AW1034" s="271"/>
      <c r="AX1034" s="271"/>
    </row>
    <row r="1035" spans="49:50">
      <c r="AW1035" s="271"/>
      <c r="AX1035" s="271"/>
    </row>
    <row r="1036" spans="49:50">
      <c r="AW1036" s="271"/>
      <c r="AX1036" s="271"/>
    </row>
    <row r="1037" spans="49:50">
      <c r="AW1037" s="271"/>
      <c r="AX1037" s="271"/>
    </row>
    <row r="1038" spans="49:50">
      <c r="AW1038" s="271"/>
      <c r="AX1038" s="271"/>
    </row>
    <row r="1039" spans="49:50">
      <c r="AW1039" s="271"/>
      <c r="AX1039" s="271"/>
    </row>
    <row r="1040" spans="49:50">
      <c r="AW1040" s="271"/>
      <c r="AX1040" s="271"/>
    </row>
    <row r="1041" spans="49:50">
      <c r="AW1041" s="271"/>
      <c r="AX1041" s="271"/>
    </row>
    <row r="1042" spans="49:50">
      <c r="AW1042" s="271"/>
      <c r="AX1042" s="271"/>
    </row>
    <row r="1043" spans="49:50">
      <c r="AW1043" s="271"/>
      <c r="AX1043" s="271"/>
    </row>
    <row r="1044" spans="49:50">
      <c r="AW1044" s="271"/>
      <c r="AX1044" s="271"/>
    </row>
    <row r="1045" spans="49:50">
      <c r="AW1045" s="271"/>
      <c r="AX1045" s="271"/>
    </row>
    <row r="1046" spans="49:50">
      <c r="AW1046" s="271"/>
      <c r="AX1046" s="271"/>
    </row>
    <row r="1047" spans="49:50">
      <c r="AW1047" s="271"/>
      <c r="AX1047" s="271"/>
    </row>
    <row r="1048" spans="49:50">
      <c r="AW1048" s="271"/>
      <c r="AX1048" s="271"/>
    </row>
    <row r="1049" spans="49:50">
      <c r="AW1049" s="271"/>
      <c r="AX1049" s="271"/>
    </row>
    <row r="1050" spans="49:50">
      <c r="AW1050" s="271"/>
      <c r="AX1050" s="271"/>
    </row>
    <row r="1051" spans="49:50">
      <c r="AW1051" s="271"/>
      <c r="AX1051" s="271"/>
    </row>
    <row r="1052" spans="49:50">
      <c r="AW1052" s="271"/>
      <c r="AX1052" s="271"/>
    </row>
    <row r="1053" spans="49:50">
      <c r="AW1053" s="271"/>
      <c r="AX1053" s="271"/>
    </row>
    <row r="1054" spans="49:50">
      <c r="AW1054" s="271"/>
      <c r="AX1054" s="271"/>
    </row>
    <row r="1055" spans="49:50">
      <c r="AW1055" s="271"/>
      <c r="AX1055" s="271"/>
    </row>
    <row r="1056" spans="49:50">
      <c r="AW1056" s="271"/>
      <c r="AX1056" s="271"/>
    </row>
    <row r="1057" spans="49:50">
      <c r="AW1057" s="271"/>
      <c r="AX1057" s="271"/>
    </row>
    <row r="1058" spans="49:50">
      <c r="AW1058" s="271"/>
      <c r="AX1058" s="271"/>
    </row>
    <row r="1059" spans="49:50">
      <c r="AW1059" s="271"/>
      <c r="AX1059" s="271"/>
    </row>
    <row r="1060" spans="49:50">
      <c r="AW1060" s="271"/>
      <c r="AX1060" s="271"/>
    </row>
    <row r="1061" spans="49:50">
      <c r="AW1061" s="271"/>
      <c r="AX1061" s="271"/>
    </row>
    <row r="1062" spans="49:50">
      <c r="AW1062" s="271"/>
      <c r="AX1062" s="271"/>
    </row>
    <row r="1063" spans="49:50">
      <c r="AW1063" s="271"/>
      <c r="AX1063" s="271"/>
    </row>
    <row r="1064" spans="49:50">
      <c r="AW1064" s="271"/>
      <c r="AX1064" s="271"/>
    </row>
    <row r="1065" spans="49:50">
      <c r="AW1065" s="271"/>
      <c r="AX1065" s="271"/>
    </row>
    <row r="1066" spans="49:50">
      <c r="AW1066" s="271"/>
      <c r="AX1066" s="271"/>
    </row>
    <row r="1067" spans="49:50">
      <c r="AW1067" s="271"/>
      <c r="AX1067" s="271"/>
    </row>
    <row r="1068" spans="49:50">
      <c r="AW1068" s="271"/>
      <c r="AX1068" s="271"/>
    </row>
    <row r="1069" spans="49:50">
      <c r="AW1069" s="271"/>
      <c r="AX1069" s="271"/>
    </row>
    <row r="1070" spans="49:50">
      <c r="AW1070" s="271"/>
      <c r="AX1070" s="271"/>
    </row>
    <row r="1071" spans="49:50">
      <c r="AW1071" s="271"/>
      <c r="AX1071" s="271"/>
    </row>
    <row r="1072" spans="49:50">
      <c r="AW1072" s="271"/>
      <c r="AX1072" s="271"/>
    </row>
    <row r="1073" spans="49:50">
      <c r="AW1073" s="271"/>
      <c r="AX1073" s="271"/>
    </row>
    <row r="1074" spans="49:50">
      <c r="AW1074" s="271"/>
      <c r="AX1074" s="271"/>
    </row>
    <row r="1075" spans="49:50">
      <c r="AW1075" s="271"/>
      <c r="AX1075" s="271"/>
    </row>
    <row r="1076" spans="49:50">
      <c r="AW1076" s="271"/>
      <c r="AX1076" s="271"/>
    </row>
    <row r="1077" spans="49:50">
      <c r="AW1077" s="271"/>
      <c r="AX1077" s="271"/>
    </row>
    <row r="1078" spans="49:50">
      <c r="AW1078" s="271"/>
      <c r="AX1078" s="271"/>
    </row>
    <row r="1079" spans="49:50">
      <c r="AW1079" s="271"/>
      <c r="AX1079" s="271"/>
    </row>
    <row r="1080" spans="49:50">
      <c r="AW1080" s="271"/>
      <c r="AX1080" s="271"/>
    </row>
    <row r="1081" spans="49:50">
      <c r="AW1081" s="271"/>
      <c r="AX1081" s="271"/>
    </row>
    <row r="1082" spans="49:50">
      <c r="AW1082" s="271"/>
      <c r="AX1082" s="271"/>
    </row>
    <row r="1083" spans="49:50">
      <c r="AW1083" s="271"/>
      <c r="AX1083" s="271"/>
    </row>
    <row r="1084" spans="49:50">
      <c r="AW1084" s="271"/>
      <c r="AX1084" s="271"/>
    </row>
    <row r="1085" spans="49:50">
      <c r="AW1085" s="271"/>
      <c r="AX1085" s="271"/>
    </row>
    <row r="1086" spans="49:50">
      <c r="AW1086" s="271"/>
      <c r="AX1086" s="271"/>
    </row>
    <row r="1087" spans="49:50">
      <c r="AW1087" s="271"/>
      <c r="AX1087" s="271"/>
    </row>
    <row r="1088" spans="49:50">
      <c r="AW1088" s="271"/>
      <c r="AX1088" s="271"/>
    </row>
    <row r="1089" spans="49:50">
      <c r="AW1089" s="271"/>
      <c r="AX1089" s="271"/>
    </row>
    <row r="1090" spans="49:50">
      <c r="AW1090" s="271"/>
      <c r="AX1090" s="271"/>
    </row>
    <row r="1091" spans="49:50">
      <c r="AW1091" s="271"/>
      <c r="AX1091" s="271"/>
    </row>
    <row r="1092" spans="49:50">
      <c r="AW1092" s="271"/>
      <c r="AX1092" s="271"/>
    </row>
    <row r="1093" spans="49:50">
      <c r="AW1093" s="271"/>
      <c r="AX1093" s="271"/>
    </row>
    <row r="1094" spans="49:50">
      <c r="AW1094" s="271"/>
      <c r="AX1094" s="271"/>
    </row>
    <row r="1095" spans="49:50">
      <c r="AW1095" s="271"/>
      <c r="AX1095" s="271"/>
    </row>
    <row r="1096" spans="49:50">
      <c r="AW1096" s="271"/>
      <c r="AX1096" s="271"/>
    </row>
    <row r="1097" spans="49:50">
      <c r="AW1097" s="271"/>
      <c r="AX1097" s="271"/>
    </row>
    <row r="1098" spans="49:50">
      <c r="AW1098" s="271"/>
      <c r="AX1098" s="271"/>
    </row>
    <row r="1099" spans="49:50">
      <c r="AW1099" s="271"/>
      <c r="AX1099" s="271"/>
    </row>
    <row r="1100" spans="49:50">
      <c r="AW1100" s="271"/>
      <c r="AX1100" s="271"/>
    </row>
    <row r="1101" spans="49:50">
      <c r="AW1101" s="271"/>
      <c r="AX1101" s="271"/>
    </row>
    <row r="1102" spans="49:50">
      <c r="AW1102" s="271"/>
      <c r="AX1102" s="271"/>
    </row>
    <row r="1103" spans="49:50">
      <c r="AW1103" s="271"/>
      <c r="AX1103" s="271"/>
    </row>
    <row r="1104" spans="49:50">
      <c r="AW1104" s="271"/>
      <c r="AX1104" s="271"/>
    </row>
    <row r="1105" spans="49:50">
      <c r="AW1105" s="271"/>
      <c r="AX1105" s="271"/>
    </row>
    <row r="1106" spans="49:50">
      <c r="AW1106" s="271"/>
      <c r="AX1106" s="271"/>
    </row>
    <row r="1107" spans="49:50">
      <c r="AW1107" s="271"/>
      <c r="AX1107" s="271"/>
    </row>
    <row r="1108" spans="49:50">
      <c r="AW1108" s="271"/>
      <c r="AX1108" s="271"/>
    </row>
    <row r="1109" spans="49:50">
      <c r="AW1109" s="271"/>
      <c r="AX1109" s="271"/>
    </row>
    <row r="1110" spans="49:50">
      <c r="AW1110" s="271"/>
      <c r="AX1110" s="271"/>
    </row>
    <row r="1111" spans="49:50">
      <c r="AW1111" s="271"/>
      <c r="AX1111" s="271"/>
    </row>
    <row r="1112" spans="49:50">
      <c r="AW1112" s="271"/>
      <c r="AX1112" s="271"/>
    </row>
    <row r="1113" spans="49:50">
      <c r="AW1113" s="271"/>
      <c r="AX1113" s="271"/>
    </row>
    <row r="1114" spans="49:50">
      <c r="AW1114" s="271"/>
      <c r="AX1114" s="271"/>
    </row>
    <row r="1115" spans="49:50">
      <c r="AW1115" s="271"/>
      <c r="AX1115" s="271"/>
    </row>
    <row r="1116" spans="49:50">
      <c r="AW1116" s="271"/>
      <c r="AX1116" s="271"/>
    </row>
    <row r="1117" spans="49:50">
      <c r="AW1117" s="271"/>
      <c r="AX1117" s="271"/>
    </row>
    <row r="1118" spans="49:50">
      <c r="AW1118" s="271"/>
      <c r="AX1118" s="271"/>
    </row>
    <row r="1119" spans="49:50">
      <c r="AW1119" s="271"/>
      <c r="AX1119" s="271"/>
    </row>
    <row r="1120" spans="49:50">
      <c r="AW1120" s="271"/>
      <c r="AX1120" s="271"/>
    </row>
    <row r="1121" spans="49:50">
      <c r="AW1121" s="271"/>
      <c r="AX1121" s="271"/>
    </row>
    <row r="1122" spans="49:50">
      <c r="AW1122" s="271"/>
      <c r="AX1122" s="271"/>
    </row>
    <row r="1123" spans="49:50">
      <c r="AW1123" s="271"/>
      <c r="AX1123" s="271"/>
    </row>
    <row r="1124" spans="49:50">
      <c r="AW1124" s="271"/>
      <c r="AX1124" s="271"/>
    </row>
    <row r="1125" spans="49:50">
      <c r="AW1125" s="271"/>
      <c r="AX1125" s="271"/>
    </row>
    <row r="1126" spans="49:50">
      <c r="AW1126" s="271"/>
      <c r="AX1126" s="271"/>
    </row>
    <row r="1127" spans="49:50">
      <c r="AW1127" s="271"/>
      <c r="AX1127" s="271"/>
    </row>
    <row r="1128" spans="49:50">
      <c r="AW1128" s="271"/>
      <c r="AX1128" s="271"/>
    </row>
    <row r="1129" spans="49:50">
      <c r="AW1129" s="271"/>
      <c r="AX1129" s="271"/>
    </row>
    <row r="1130" spans="49:50">
      <c r="AW1130" s="271"/>
      <c r="AX1130" s="271"/>
    </row>
    <row r="1131" spans="49:50">
      <c r="AW1131" s="271"/>
      <c r="AX1131" s="271"/>
    </row>
    <row r="1132" spans="49:50">
      <c r="AW1132" s="271"/>
      <c r="AX1132" s="271"/>
    </row>
    <row r="1133" spans="49:50">
      <c r="AW1133" s="271"/>
      <c r="AX1133" s="271"/>
    </row>
    <row r="1134" spans="49:50">
      <c r="AW1134" s="271"/>
      <c r="AX1134" s="271"/>
    </row>
    <row r="1135" spans="49:50">
      <c r="AW1135" s="271"/>
      <c r="AX1135" s="271"/>
    </row>
    <row r="1136" spans="49:50">
      <c r="AW1136" s="271"/>
      <c r="AX1136" s="271"/>
    </row>
    <row r="1137" spans="49:50">
      <c r="AW1137" s="271"/>
      <c r="AX1137" s="271"/>
    </row>
    <row r="1138" spans="49:50">
      <c r="AW1138" s="271"/>
      <c r="AX1138" s="271"/>
    </row>
    <row r="1139" spans="49:50">
      <c r="AW1139" s="271"/>
      <c r="AX1139" s="271"/>
    </row>
    <row r="1140" spans="49:50">
      <c r="AW1140" s="271"/>
      <c r="AX1140" s="271"/>
    </row>
    <row r="1141" spans="49:50">
      <c r="AW1141" s="271"/>
      <c r="AX1141" s="271"/>
    </row>
    <row r="1142" spans="49:50">
      <c r="AW1142" s="271"/>
      <c r="AX1142" s="271"/>
    </row>
    <row r="1143" spans="49:50">
      <c r="AW1143" s="271"/>
      <c r="AX1143" s="271"/>
    </row>
    <row r="1144" spans="49:50">
      <c r="AW1144" s="271"/>
      <c r="AX1144" s="271"/>
    </row>
    <row r="1145" spans="49:50">
      <c r="AW1145" s="271"/>
      <c r="AX1145" s="271"/>
    </row>
    <row r="1146" spans="49:50">
      <c r="AW1146" s="271"/>
      <c r="AX1146" s="271"/>
    </row>
    <row r="1147" spans="49:50">
      <c r="AW1147" s="271"/>
      <c r="AX1147" s="271"/>
    </row>
    <row r="1148" spans="49:50">
      <c r="AW1148" s="271"/>
      <c r="AX1148" s="271"/>
    </row>
    <row r="1149" spans="49:50">
      <c r="AW1149" s="271"/>
      <c r="AX1149" s="271"/>
    </row>
    <row r="1150" spans="49:50">
      <c r="AW1150" s="271"/>
      <c r="AX1150" s="271"/>
    </row>
    <row r="1151" spans="49:50">
      <c r="AW1151" s="271"/>
      <c r="AX1151" s="271"/>
    </row>
    <row r="1152" spans="49:50">
      <c r="AW1152" s="271"/>
      <c r="AX1152" s="271"/>
    </row>
    <row r="1153" spans="49:50">
      <c r="AW1153" s="271"/>
      <c r="AX1153" s="271"/>
    </row>
    <row r="1154" spans="49:50">
      <c r="AW1154" s="271"/>
      <c r="AX1154" s="271"/>
    </row>
    <row r="1155" spans="49:50">
      <c r="AW1155" s="271"/>
      <c r="AX1155" s="271"/>
    </row>
    <row r="1156" spans="49:50">
      <c r="AW1156" s="271"/>
      <c r="AX1156" s="271"/>
    </row>
    <row r="1157" spans="49:50">
      <c r="AW1157" s="271"/>
      <c r="AX1157" s="271"/>
    </row>
    <row r="1158" spans="49:50">
      <c r="AW1158" s="271"/>
      <c r="AX1158" s="271"/>
    </row>
    <row r="1159" spans="49:50">
      <c r="AW1159" s="271"/>
      <c r="AX1159" s="271"/>
    </row>
    <row r="1160" spans="49:50">
      <c r="AW1160" s="271"/>
      <c r="AX1160" s="271"/>
    </row>
    <row r="1161" spans="49:50">
      <c r="AW1161" s="271"/>
      <c r="AX1161" s="271"/>
    </row>
    <row r="1162" spans="49:50">
      <c r="AW1162" s="271"/>
      <c r="AX1162" s="271"/>
    </row>
    <row r="1163" spans="49:50">
      <c r="AW1163" s="271"/>
      <c r="AX1163" s="271"/>
    </row>
    <row r="1164" spans="49:50">
      <c r="AW1164" s="271"/>
      <c r="AX1164" s="271"/>
    </row>
    <row r="1165" spans="49:50">
      <c r="AW1165" s="271"/>
      <c r="AX1165" s="271"/>
    </row>
    <row r="1166" spans="49:50">
      <c r="AW1166" s="271"/>
      <c r="AX1166" s="271"/>
    </row>
    <row r="1167" spans="49:50">
      <c r="AW1167" s="271"/>
      <c r="AX1167" s="271"/>
    </row>
    <row r="1168" spans="49:50">
      <c r="AW1168" s="271"/>
      <c r="AX1168" s="271"/>
    </row>
    <row r="1169" spans="49:50">
      <c r="AW1169" s="271"/>
      <c r="AX1169" s="271"/>
    </row>
    <row r="1170" spans="49:50">
      <c r="AW1170" s="271"/>
      <c r="AX1170" s="271"/>
    </row>
    <row r="1171" spans="49:50">
      <c r="AW1171" s="271"/>
      <c r="AX1171" s="271"/>
    </row>
    <row r="1172" spans="49:50">
      <c r="AW1172" s="271"/>
      <c r="AX1172" s="271"/>
    </row>
    <row r="1173" spans="49:50">
      <c r="AW1173" s="271"/>
      <c r="AX1173" s="271"/>
    </row>
    <row r="1174" spans="49:50">
      <c r="AW1174" s="271"/>
      <c r="AX1174" s="271"/>
    </row>
    <row r="1175" spans="49:50">
      <c r="AW1175" s="271"/>
      <c r="AX1175" s="271"/>
    </row>
    <row r="1176" spans="49:50">
      <c r="AW1176" s="271"/>
      <c r="AX1176" s="271"/>
    </row>
    <row r="1177" spans="49:50">
      <c r="AW1177" s="271"/>
      <c r="AX1177" s="271"/>
    </row>
    <row r="1178" spans="49:50">
      <c r="AW1178" s="271"/>
      <c r="AX1178" s="271"/>
    </row>
    <row r="1179" spans="49:50">
      <c r="AW1179" s="271"/>
      <c r="AX1179" s="271"/>
    </row>
    <row r="1180" spans="49:50">
      <c r="AW1180" s="271"/>
      <c r="AX1180" s="271"/>
    </row>
    <row r="1181" spans="49:50">
      <c r="AW1181" s="271"/>
      <c r="AX1181" s="271"/>
    </row>
    <row r="1182" spans="49:50">
      <c r="AW1182" s="271"/>
      <c r="AX1182" s="271"/>
    </row>
    <row r="1183" spans="49:50">
      <c r="AW1183" s="271"/>
      <c r="AX1183" s="271"/>
    </row>
    <row r="1184" spans="49:50">
      <c r="AW1184" s="271"/>
      <c r="AX1184" s="271"/>
    </row>
    <row r="1185" spans="49:50">
      <c r="AW1185" s="271"/>
      <c r="AX1185" s="271"/>
    </row>
    <row r="1186" spans="49:50">
      <c r="AW1186" s="271"/>
      <c r="AX1186" s="271"/>
    </row>
    <row r="1187" spans="49:50">
      <c r="AW1187" s="271"/>
      <c r="AX1187" s="271"/>
    </row>
    <row r="1188" spans="49:50">
      <c r="AW1188" s="271"/>
      <c r="AX1188" s="271"/>
    </row>
    <row r="1189" spans="49:50">
      <c r="AW1189" s="271"/>
      <c r="AX1189" s="271"/>
    </row>
    <row r="1190" spans="49:50">
      <c r="AW1190" s="271"/>
      <c r="AX1190" s="271"/>
    </row>
    <row r="1191" spans="49:50">
      <c r="AW1191" s="271"/>
      <c r="AX1191" s="271"/>
    </row>
    <row r="1192" spans="49:50">
      <c r="AW1192" s="271"/>
      <c r="AX1192" s="271"/>
    </row>
    <row r="1193" spans="49:50">
      <c r="AW1193" s="271"/>
      <c r="AX1193" s="271"/>
    </row>
    <row r="1194" spans="49:50">
      <c r="AW1194" s="271"/>
      <c r="AX1194" s="271"/>
    </row>
    <row r="1195" spans="49:50">
      <c r="AW1195" s="271"/>
      <c r="AX1195" s="271"/>
    </row>
    <row r="1196" spans="49:50">
      <c r="AW1196" s="271"/>
      <c r="AX1196" s="271"/>
    </row>
    <row r="1197" spans="49:50">
      <c r="AW1197" s="271"/>
      <c r="AX1197" s="271"/>
    </row>
    <row r="1198" spans="49:50">
      <c r="AW1198" s="271"/>
      <c r="AX1198" s="271"/>
    </row>
    <row r="1199" spans="49:50">
      <c r="AW1199" s="271"/>
      <c r="AX1199" s="271"/>
    </row>
    <row r="1200" spans="49:50">
      <c r="AW1200" s="271"/>
      <c r="AX1200" s="271"/>
    </row>
    <row r="1201" spans="49:50">
      <c r="AW1201" s="271"/>
      <c r="AX1201" s="271"/>
    </row>
    <row r="1202" spans="49:50">
      <c r="AW1202" s="271"/>
      <c r="AX1202" s="271"/>
    </row>
    <row r="1203" spans="49:50">
      <c r="AW1203" s="271"/>
      <c r="AX1203" s="271"/>
    </row>
    <row r="1204" spans="49:50">
      <c r="AW1204" s="271"/>
      <c r="AX1204" s="271"/>
    </row>
    <row r="1205" spans="49:50">
      <c r="AW1205" s="271"/>
      <c r="AX1205" s="271"/>
    </row>
    <row r="1206" spans="49:50">
      <c r="AW1206" s="271"/>
      <c r="AX1206" s="271"/>
    </row>
    <row r="1207" spans="49:50">
      <c r="AW1207" s="271"/>
      <c r="AX1207" s="271"/>
    </row>
    <row r="1208" spans="49:50">
      <c r="AW1208" s="271"/>
      <c r="AX1208" s="271"/>
    </row>
    <row r="1209" spans="49:50">
      <c r="AW1209" s="271"/>
      <c r="AX1209" s="271"/>
    </row>
    <row r="1210" spans="49:50">
      <c r="AW1210" s="271"/>
      <c r="AX1210" s="271"/>
    </row>
    <row r="1211" spans="49:50">
      <c r="AW1211" s="271"/>
      <c r="AX1211" s="271"/>
    </row>
    <row r="1212" spans="49:50">
      <c r="AW1212" s="271"/>
      <c r="AX1212" s="271"/>
    </row>
    <row r="1213" spans="49:50">
      <c r="AW1213" s="271"/>
      <c r="AX1213" s="271"/>
    </row>
    <row r="1214" spans="49:50">
      <c r="AW1214" s="271"/>
      <c r="AX1214" s="271"/>
    </row>
    <row r="1215" spans="49:50">
      <c r="AW1215" s="271"/>
      <c r="AX1215" s="271"/>
    </row>
    <row r="1216" spans="49:50">
      <c r="AW1216" s="271"/>
      <c r="AX1216" s="271"/>
    </row>
    <row r="1217" spans="49:50">
      <c r="AW1217" s="271"/>
      <c r="AX1217" s="271"/>
    </row>
    <row r="1218" spans="49:50">
      <c r="AW1218" s="271"/>
      <c r="AX1218" s="271"/>
    </row>
    <row r="1219" spans="49:50">
      <c r="AW1219" s="271"/>
      <c r="AX1219" s="271"/>
    </row>
    <row r="1220" spans="49:50">
      <c r="AW1220" s="271"/>
      <c r="AX1220" s="271"/>
    </row>
    <row r="1221" spans="49:50">
      <c r="AW1221" s="271"/>
      <c r="AX1221" s="271"/>
    </row>
    <row r="1222" spans="49:50">
      <c r="AW1222" s="271"/>
      <c r="AX1222" s="271"/>
    </row>
    <row r="1223" spans="49:50">
      <c r="AW1223" s="271"/>
      <c r="AX1223" s="271"/>
    </row>
    <row r="1224" spans="49:50">
      <c r="AW1224" s="271"/>
      <c r="AX1224" s="271"/>
    </row>
    <row r="1225" spans="49:50">
      <c r="AW1225" s="271"/>
      <c r="AX1225" s="271"/>
    </row>
    <row r="1226" spans="49:50">
      <c r="AW1226" s="271"/>
      <c r="AX1226" s="271"/>
    </row>
    <row r="1227" spans="49:50">
      <c r="AW1227" s="271"/>
      <c r="AX1227" s="271"/>
    </row>
    <row r="1228" spans="49:50">
      <c r="AW1228" s="271"/>
      <c r="AX1228" s="271"/>
    </row>
    <row r="1229" spans="49:50">
      <c r="AW1229" s="271"/>
      <c r="AX1229" s="271"/>
    </row>
    <row r="1230" spans="49:50">
      <c r="AW1230" s="271"/>
      <c r="AX1230" s="271"/>
    </row>
    <row r="1231" spans="49:50">
      <c r="AW1231" s="271"/>
      <c r="AX1231" s="271"/>
    </row>
    <row r="1232" spans="49:50">
      <c r="AW1232" s="271"/>
      <c r="AX1232" s="271"/>
    </row>
    <row r="1233" spans="49:50">
      <c r="AW1233" s="271"/>
      <c r="AX1233" s="271"/>
    </row>
    <row r="1234" spans="49:50">
      <c r="AW1234" s="271"/>
      <c r="AX1234" s="271"/>
    </row>
    <row r="1235" spans="49:50">
      <c r="AW1235" s="271"/>
      <c r="AX1235" s="271"/>
    </row>
    <row r="1236" spans="49:50">
      <c r="AW1236" s="271"/>
      <c r="AX1236" s="271"/>
    </row>
    <row r="1237" spans="49:50">
      <c r="AW1237" s="271"/>
      <c r="AX1237" s="271"/>
    </row>
    <row r="1238" spans="49:50">
      <c r="AW1238" s="271"/>
      <c r="AX1238" s="271"/>
    </row>
    <row r="1239" spans="49:50">
      <c r="AW1239" s="271"/>
      <c r="AX1239" s="271"/>
    </row>
    <row r="1240" spans="49:50">
      <c r="AW1240" s="271"/>
      <c r="AX1240" s="271"/>
    </row>
    <row r="1241" spans="49:50">
      <c r="AW1241" s="271"/>
      <c r="AX1241" s="271"/>
    </row>
    <row r="1242" spans="49:50">
      <c r="AW1242" s="271"/>
      <c r="AX1242" s="271"/>
    </row>
    <row r="1243" spans="49:50">
      <c r="AW1243" s="271"/>
      <c r="AX1243" s="271"/>
    </row>
    <row r="1244" spans="49:50">
      <c r="AW1244" s="271"/>
      <c r="AX1244" s="271"/>
    </row>
    <row r="1245" spans="49:50">
      <c r="AW1245" s="271"/>
      <c r="AX1245" s="271"/>
    </row>
    <row r="1246" spans="49:50">
      <c r="AW1246" s="271"/>
      <c r="AX1246" s="271"/>
    </row>
    <row r="1247" spans="49:50">
      <c r="AW1247" s="271"/>
      <c r="AX1247" s="271"/>
    </row>
    <row r="1248" spans="49:50">
      <c r="AW1248" s="271"/>
      <c r="AX1248" s="271"/>
    </row>
    <row r="1249" spans="49:50">
      <c r="AW1249" s="271"/>
      <c r="AX1249" s="271"/>
    </row>
    <row r="1250" spans="49:50">
      <c r="AW1250" s="271"/>
      <c r="AX1250" s="271"/>
    </row>
    <row r="1251" spans="49:50">
      <c r="AW1251" s="271"/>
      <c r="AX1251" s="271"/>
    </row>
    <row r="1252" spans="49:50">
      <c r="AW1252" s="271"/>
      <c r="AX1252" s="271"/>
    </row>
    <row r="1253" spans="49:50">
      <c r="AW1253" s="271"/>
      <c r="AX1253" s="271"/>
    </row>
    <row r="1254" spans="49:50">
      <c r="AW1254" s="271"/>
      <c r="AX1254" s="271"/>
    </row>
    <row r="1255" spans="49:50">
      <c r="AW1255" s="271"/>
      <c r="AX1255" s="271"/>
    </row>
    <row r="1256" spans="49:50">
      <c r="AW1256" s="271"/>
      <c r="AX1256" s="271"/>
    </row>
    <row r="1257" spans="49:50">
      <c r="AW1257" s="271"/>
      <c r="AX1257" s="271"/>
    </row>
    <row r="1258" spans="49:50">
      <c r="AW1258" s="271"/>
      <c r="AX1258" s="271"/>
    </row>
    <row r="1259" spans="49:50">
      <c r="AW1259" s="271"/>
      <c r="AX1259" s="271"/>
    </row>
    <row r="1260" spans="49:50">
      <c r="AW1260" s="271"/>
      <c r="AX1260" s="271"/>
    </row>
    <row r="1261" spans="49:50">
      <c r="AW1261" s="271"/>
      <c r="AX1261" s="271"/>
    </row>
    <row r="1262" spans="49:50">
      <c r="AW1262" s="271"/>
      <c r="AX1262" s="271"/>
    </row>
    <row r="1263" spans="49:50">
      <c r="AW1263" s="271"/>
      <c r="AX1263" s="271"/>
    </row>
    <row r="1264" spans="49:50">
      <c r="AW1264" s="271"/>
      <c r="AX1264" s="271"/>
    </row>
    <row r="1265" spans="49:50">
      <c r="AW1265" s="271"/>
      <c r="AX1265" s="271"/>
    </row>
    <row r="1266" spans="49:50">
      <c r="AW1266" s="271"/>
      <c r="AX1266" s="271"/>
    </row>
    <row r="1267" spans="49:50">
      <c r="AW1267" s="271"/>
      <c r="AX1267" s="271"/>
    </row>
    <row r="1268" spans="49:50">
      <c r="AW1268" s="271"/>
      <c r="AX1268" s="271"/>
    </row>
    <row r="1269" spans="49:50">
      <c r="AW1269" s="271"/>
      <c r="AX1269" s="271"/>
    </row>
    <row r="1270" spans="49:50">
      <c r="AW1270" s="271"/>
      <c r="AX1270" s="271"/>
    </row>
    <row r="1271" spans="49:50">
      <c r="AW1271" s="271"/>
      <c r="AX1271" s="271"/>
    </row>
    <row r="1272" spans="49:50">
      <c r="AW1272" s="271"/>
      <c r="AX1272" s="271"/>
    </row>
    <row r="1273" spans="49:50">
      <c r="AW1273" s="271"/>
      <c r="AX1273" s="271"/>
    </row>
    <row r="1274" spans="49:50">
      <c r="AW1274" s="271"/>
      <c r="AX1274" s="271"/>
    </row>
    <row r="1275" spans="49:50">
      <c r="AW1275" s="271"/>
      <c r="AX1275" s="271"/>
    </row>
    <row r="1276" spans="49:50">
      <c r="AW1276" s="271"/>
      <c r="AX1276" s="271"/>
    </row>
    <row r="1277" spans="49:50">
      <c r="AW1277" s="271"/>
      <c r="AX1277" s="271"/>
    </row>
    <row r="1278" spans="49:50">
      <c r="AW1278" s="271"/>
      <c r="AX1278" s="271"/>
    </row>
    <row r="1279" spans="49:50">
      <c r="AW1279" s="271"/>
      <c r="AX1279" s="271"/>
    </row>
    <row r="1280" spans="49:50">
      <c r="AW1280" s="271"/>
      <c r="AX1280" s="271"/>
    </row>
    <row r="1281" spans="49:50">
      <c r="AW1281" s="271"/>
      <c r="AX1281" s="271"/>
    </row>
    <row r="1282" spans="49:50">
      <c r="AW1282" s="271"/>
      <c r="AX1282" s="271"/>
    </row>
    <row r="1283" spans="49:50">
      <c r="AW1283" s="271"/>
      <c r="AX1283" s="271"/>
    </row>
    <row r="1284" spans="49:50">
      <c r="AW1284" s="271"/>
      <c r="AX1284" s="271"/>
    </row>
    <row r="1285" spans="49:50">
      <c r="AW1285" s="271"/>
      <c r="AX1285" s="271"/>
    </row>
    <row r="1286" spans="49:50">
      <c r="AW1286" s="271"/>
      <c r="AX1286" s="271"/>
    </row>
    <row r="1287" spans="49:50">
      <c r="AW1287" s="271"/>
      <c r="AX1287" s="271"/>
    </row>
    <row r="1288" spans="49:50">
      <c r="AW1288" s="271"/>
      <c r="AX1288" s="271"/>
    </row>
    <row r="1289" spans="49:50">
      <c r="AW1289" s="271"/>
      <c r="AX1289" s="271"/>
    </row>
    <row r="1290" spans="49:50">
      <c r="AW1290" s="271"/>
      <c r="AX1290" s="271"/>
    </row>
    <row r="1291" spans="49:50">
      <c r="AW1291" s="271"/>
      <c r="AX1291" s="271"/>
    </row>
    <row r="1292" spans="49:50">
      <c r="AW1292" s="271"/>
      <c r="AX1292" s="271"/>
    </row>
    <row r="1293" spans="49:50">
      <c r="AW1293" s="271"/>
      <c r="AX1293" s="271"/>
    </row>
    <row r="1294" spans="49:50">
      <c r="AW1294" s="271"/>
      <c r="AX1294" s="271"/>
    </row>
    <row r="1295" spans="49:50">
      <c r="AW1295" s="271"/>
      <c r="AX1295" s="271"/>
    </row>
    <row r="1296" spans="49:50">
      <c r="AW1296" s="271"/>
      <c r="AX1296" s="271"/>
    </row>
    <row r="1297" spans="49:50">
      <c r="AW1297" s="271"/>
      <c r="AX1297" s="271"/>
    </row>
    <row r="1298" spans="49:50">
      <c r="AW1298" s="271"/>
      <c r="AX1298" s="271"/>
    </row>
    <row r="1299" spans="49:50">
      <c r="AW1299" s="271"/>
      <c r="AX1299" s="271"/>
    </row>
    <row r="1300" spans="49:50">
      <c r="AW1300" s="271"/>
      <c r="AX1300" s="271"/>
    </row>
    <row r="1301" spans="49:50">
      <c r="AW1301" s="271"/>
      <c r="AX1301" s="271"/>
    </row>
    <row r="1302" spans="49:50">
      <c r="AW1302" s="271"/>
      <c r="AX1302" s="271"/>
    </row>
    <row r="1303" spans="49:50">
      <c r="AW1303" s="271"/>
      <c r="AX1303" s="271"/>
    </row>
    <row r="1304" spans="49:50">
      <c r="AW1304" s="271"/>
      <c r="AX1304" s="271"/>
    </row>
    <row r="1305" spans="49:50">
      <c r="AW1305" s="271"/>
      <c r="AX1305" s="271"/>
    </row>
    <row r="1306" spans="49:50">
      <c r="AW1306" s="271"/>
      <c r="AX1306" s="271"/>
    </row>
    <row r="1307" spans="49:50">
      <c r="AW1307" s="271"/>
      <c r="AX1307" s="271"/>
    </row>
    <row r="1308" spans="49:50">
      <c r="AW1308" s="271"/>
      <c r="AX1308" s="271"/>
    </row>
    <row r="1309" spans="49:50">
      <c r="AW1309" s="271"/>
      <c r="AX1309" s="271"/>
    </row>
    <row r="1310" spans="49:50">
      <c r="AW1310" s="271"/>
      <c r="AX1310" s="271"/>
    </row>
    <row r="1311" spans="49:50">
      <c r="AW1311" s="271"/>
      <c r="AX1311" s="271"/>
    </row>
    <row r="1312" spans="49:50">
      <c r="AW1312" s="271"/>
      <c r="AX1312" s="271"/>
    </row>
    <row r="1313" spans="49:50">
      <c r="AW1313" s="271"/>
      <c r="AX1313" s="271"/>
    </row>
    <row r="1314" spans="49:50">
      <c r="AW1314" s="271"/>
      <c r="AX1314" s="271"/>
    </row>
    <row r="1315" spans="49:50">
      <c r="AW1315" s="271"/>
      <c r="AX1315" s="271"/>
    </row>
    <row r="1316" spans="49:50">
      <c r="AW1316" s="271"/>
      <c r="AX1316" s="271"/>
    </row>
    <row r="1317" spans="49:50">
      <c r="AW1317" s="271"/>
      <c r="AX1317" s="271"/>
    </row>
    <row r="1318" spans="49:50">
      <c r="AW1318" s="271"/>
      <c r="AX1318" s="271"/>
    </row>
    <row r="1319" spans="49:50">
      <c r="AW1319" s="271"/>
      <c r="AX1319" s="271"/>
    </row>
    <row r="1320" spans="49:50">
      <c r="AW1320" s="271"/>
      <c r="AX1320" s="271"/>
    </row>
    <row r="1321" spans="49:50">
      <c r="AW1321" s="271"/>
      <c r="AX1321" s="271"/>
    </row>
    <row r="1322" spans="49:50">
      <c r="AW1322" s="271"/>
      <c r="AX1322" s="271"/>
    </row>
    <row r="1323" spans="49:50">
      <c r="AW1323" s="271"/>
      <c r="AX1323" s="271"/>
    </row>
    <row r="1324" spans="49:50">
      <c r="AW1324" s="271"/>
      <c r="AX1324" s="271"/>
    </row>
    <row r="1325" spans="49:50">
      <c r="AW1325" s="271"/>
      <c r="AX1325" s="271"/>
    </row>
    <row r="1326" spans="49:50">
      <c r="AW1326" s="271"/>
      <c r="AX1326" s="271"/>
    </row>
    <row r="1327" spans="49:50">
      <c r="AW1327" s="271"/>
      <c r="AX1327" s="271"/>
    </row>
    <row r="1328" spans="49:50">
      <c r="AW1328" s="271"/>
      <c r="AX1328" s="271"/>
    </row>
    <row r="1329" spans="49:50">
      <c r="AW1329" s="271"/>
      <c r="AX1329" s="271"/>
    </row>
    <row r="1330" spans="49:50">
      <c r="AW1330" s="271"/>
      <c r="AX1330" s="271"/>
    </row>
    <row r="1331" spans="49:50">
      <c r="AW1331" s="271"/>
      <c r="AX1331" s="271"/>
    </row>
    <row r="1332" spans="49:50">
      <c r="AW1332" s="271"/>
      <c r="AX1332" s="271"/>
    </row>
    <row r="1333" spans="49:50">
      <c r="AW1333" s="271"/>
      <c r="AX1333" s="271"/>
    </row>
    <row r="1334" spans="49:50">
      <c r="AW1334" s="271"/>
      <c r="AX1334" s="271"/>
    </row>
    <row r="1335" spans="49:50">
      <c r="AW1335" s="271"/>
      <c r="AX1335" s="271"/>
    </row>
    <row r="1336" spans="49:50">
      <c r="AW1336" s="271"/>
      <c r="AX1336" s="271"/>
    </row>
    <row r="1337" spans="49:50">
      <c r="AW1337" s="271"/>
      <c r="AX1337" s="271"/>
    </row>
    <row r="1338" spans="49:50">
      <c r="AW1338" s="271"/>
      <c r="AX1338" s="271"/>
    </row>
    <row r="1339" spans="49:50">
      <c r="AW1339" s="271"/>
      <c r="AX1339" s="271"/>
    </row>
    <row r="1340" spans="49:50">
      <c r="AW1340" s="271"/>
      <c r="AX1340" s="271"/>
    </row>
    <row r="1341" spans="49:50">
      <c r="AW1341" s="271"/>
      <c r="AX1341" s="271"/>
    </row>
    <row r="1342" spans="49:50">
      <c r="AW1342" s="271"/>
      <c r="AX1342" s="271"/>
    </row>
    <row r="1343" spans="49:50">
      <c r="AW1343" s="271"/>
      <c r="AX1343" s="271"/>
    </row>
    <row r="1344" spans="49:50">
      <c r="AW1344" s="271"/>
      <c r="AX1344" s="271"/>
    </row>
    <row r="1345" spans="49:50">
      <c r="AW1345" s="271"/>
      <c r="AX1345" s="271"/>
    </row>
    <row r="1346" spans="49:50">
      <c r="AW1346" s="271"/>
      <c r="AX1346" s="271"/>
    </row>
    <row r="1347" spans="49:50">
      <c r="AW1347" s="271"/>
      <c r="AX1347" s="271"/>
    </row>
    <row r="1348" spans="49:50">
      <c r="AW1348" s="271"/>
      <c r="AX1348" s="271"/>
    </row>
    <row r="1349" spans="49:50">
      <c r="AW1349" s="271"/>
      <c r="AX1349" s="271"/>
    </row>
    <row r="1350" spans="49:50">
      <c r="AW1350" s="271"/>
      <c r="AX1350" s="271"/>
    </row>
    <row r="1351" spans="49:50">
      <c r="AW1351" s="271"/>
      <c r="AX1351" s="271"/>
    </row>
    <row r="1352" spans="49:50">
      <c r="AW1352" s="271"/>
      <c r="AX1352" s="271"/>
    </row>
    <row r="1353" spans="49:50">
      <c r="AW1353" s="271"/>
      <c r="AX1353" s="271"/>
    </row>
    <row r="1354" spans="49:50">
      <c r="AW1354" s="271"/>
      <c r="AX1354" s="271"/>
    </row>
    <row r="1355" spans="49:50">
      <c r="AW1355" s="271"/>
      <c r="AX1355" s="271"/>
    </row>
    <row r="1356" spans="49:50">
      <c r="AW1356" s="271"/>
      <c r="AX1356" s="271"/>
    </row>
    <row r="1357" spans="49:50">
      <c r="AW1357" s="271"/>
      <c r="AX1357" s="271"/>
    </row>
    <row r="1358" spans="49:50">
      <c r="AW1358" s="271"/>
      <c r="AX1358" s="271"/>
    </row>
    <row r="1359" spans="49:50">
      <c r="AW1359" s="271"/>
      <c r="AX1359" s="271"/>
    </row>
    <row r="1360" spans="49:50">
      <c r="AW1360" s="271"/>
      <c r="AX1360" s="271"/>
    </row>
    <row r="1361" spans="49:50">
      <c r="AW1361" s="271"/>
      <c r="AX1361" s="271"/>
    </row>
    <row r="1362" spans="49:50">
      <c r="AW1362" s="271"/>
      <c r="AX1362" s="271"/>
    </row>
    <row r="1363" spans="49:50">
      <c r="AW1363" s="271"/>
      <c r="AX1363" s="271"/>
    </row>
    <row r="1364" spans="49:50">
      <c r="AW1364" s="271"/>
      <c r="AX1364" s="271"/>
    </row>
    <row r="1365" spans="49:50">
      <c r="AW1365" s="271"/>
      <c r="AX1365" s="271"/>
    </row>
    <row r="1366" spans="49:50">
      <c r="AW1366" s="271"/>
      <c r="AX1366" s="271"/>
    </row>
    <row r="1367" spans="49:50">
      <c r="AW1367" s="271"/>
      <c r="AX1367" s="271"/>
    </row>
    <row r="1368" spans="49:50">
      <c r="AW1368" s="271"/>
      <c r="AX1368" s="271"/>
    </row>
    <row r="1369" spans="49:50">
      <c r="AW1369" s="271"/>
      <c r="AX1369" s="271"/>
    </row>
    <row r="1370" spans="49:50">
      <c r="AW1370" s="271"/>
      <c r="AX1370" s="271"/>
    </row>
    <row r="1371" spans="49:50">
      <c r="AW1371" s="271"/>
      <c r="AX1371" s="271"/>
    </row>
    <row r="1372" spans="49:50">
      <c r="AW1372" s="271"/>
      <c r="AX1372" s="271"/>
    </row>
    <row r="1373" spans="49:50">
      <c r="AW1373" s="271"/>
      <c r="AX1373" s="271"/>
    </row>
    <row r="1374" spans="49:50">
      <c r="AW1374" s="271"/>
      <c r="AX1374" s="271"/>
    </row>
    <row r="1375" spans="49:50">
      <c r="AW1375" s="271"/>
      <c r="AX1375" s="271"/>
    </row>
    <row r="1376" spans="49:50">
      <c r="AW1376" s="271"/>
      <c r="AX1376" s="271"/>
    </row>
    <row r="1377" spans="49:50">
      <c r="AW1377" s="271"/>
      <c r="AX1377" s="271"/>
    </row>
    <row r="1378" spans="49:50">
      <c r="AW1378" s="271"/>
      <c r="AX1378" s="271"/>
    </row>
    <row r="1379" spans="49:50">
      <c r="AW1379" s="271"/>
      <c r="AX1379" s="271"/>
    </row>
    <row r="1380" spans="49:50">
      <c r="AW1380" s="271"/>
      <c r="AX1380" s="271"/>
    </row>
    <row r="1381" spans="49:50">
      <c r="AW1381" s="271"/>
      <c r="AX1381" s="271"/>
    </row>
    <row r="1382" spans="49:50">
      <c r="AW1382" s="271"/>
      <c r="AX1382" s="271"/>
    </row>
    <row r="1383" spans="49:50">
      <c r="AW1383" s="271"/>
      <c r="AX1383" s="271"/>
    </row>
    <row r="1384" spans="49:50">
      <c r="AW1384" s="271"/>
      <c r="AX1384" s="271"/>
    </row>
    <row r="1385" spans="49:50">
      <c r="AW1385" s="271"/>
      <c r="AX1385" s="271"/>
    </row>
    <row r="1386" spans="49:50">
      <c r="AW1386" s="271"/>
      <c r="AX1386" s="271"/>
    </row>
    <row r="1387" spans="49:50">
      <c r="AW1387" s="271"/>
      <c r="AX1387" s="271"/>
    </row>
    <row r="1388" spans="49:50">
      <c r="AW1388" s="271"/>
      <c r="AX1388" s="271"/>
    </row>
    <row r="1389" spans="49:50">
      <c r="AW1389" s="271"/>
      <c r="AX1389" s="271"/>
    </row>
    <row r="1390" spans="49:50">
      <c r="AW1390" s="271"/>
      <c r="AX1390" s="271"/>
    </row>
    <row r="1391" spans="49:50">
      <c r="AW1391" s="271"/>
      <c r="AX1391" s="271"/>
    </row>
    <row r="1392" spans="49:50">
      <c r="AW1392" s="271"/>
      <c r="AX1392" s="271"/>
    </row>
    <row r="1393" spans="49:50">
      <c r="AW1393" s="271"/>
      <c r="AX1393" s="271"/>
    </row>
    <row r="1394" spans="49:50">
      <c r="AW1394" s="271"/>
      <c r="AX1394" s="271"/>
    </row>
    <row r="1395" spans="49:50">
      <c r="AW1395" s="271"/>
      <c r="AX1395" s="271"/>
    </row>
    <row r="1396" spans="49:50">
      <c r="AW1396" s="271"/>
      <c r="AX1396" s="271"/>
    </row>
    <row r="1397" spans="49:50">
      <c r="AW1397" s="271"/>
      <c r="AX1397" s="271"/>
    </row>
    <row r="1398" spans="49:50">
      <c r="AW1398" s="271"/>
      <c r="AX1398" s="271"/>
    </row>
    <row r="1399" spans="49:50">
      <c r="AW1399" s="271"/>
      <c r="AX1399" s="271"/>
    </row>
    <row r="1400" spans="49:50">
      <c r="AW1400" s="271"/>
      <c r="AX1400" s="271"/>
    </row>
    <row r="1401" spans="49:50">
      <c r="AW1401" s="271"/>
      <c r="AX1401" s="271"/>
    </row>
    <row r="1402" spans="49:50">
      <c r="AW1402" s="271"/>
      <c r="AX1402" s="271"/>
    </row>
    <row r="1403" spans="49:50">
      <c r="AW1403" s="271"/>
      <c r="AX1403" s="271"/>
    </row>
    <row r="1404" spans="49:50">
      <c r="AW1404" s="271"/>
      <c r="AX1404" s="271"/>
    </row>
    <row r="1405" spans="49:50">
      <c r="AW1405" s="271"/>
      <c r="AX1405" s="271"/>
    </row>
    <row r="1406" spans="49:50">
      <c r="AW1406" s="271"/>
      <c r="AX1406" s="271"/>
    </row>
    <row r="1407" spans="49:50">
      <c r="AW1407" s="271"/>
      <c r="AX1407" s="271"/>
    </row>
    <row r="1408" spans="49:50">
      <c r="AW1408" s="271"/>
      <c r="AX1408" s="271"/>
    </row>
    <row r="1409" spans="49:50">
      <c r="AW1409" s="271"/>
      <c r="AX1409" s="271"/>
    </row>
    <row r="1410" spans="49:50">
      <c r="AW1410" s="271"/>
      <c r="AX1410" s="271"/>
    </row>
    <row r="1411" spans="49:50">
      <c r="AW1411" s="271"/>
      <c r="AX1411" s="271"/>
    </row>
    <row r="1412" spans="49:50">
      <c r="AW1412" s="271"/>
      <c r="AX1412" s="271"/>
    </row>
    <row r="1413" spans="49:50">
      <c r="AW1413" s="271"/>
      <c r="AX1413" s="271"/>
    </row>
    <row r="1414" spans="49:50">
      <c r="AW1414" s="271"/>
      <c r="AX1414" s="271"/>
    </row>
    <row r="1415" spans="49:50">
      <c r="AW1415" s="271"/>
      <c r="AX1415" s="271"/>
    </row>
    <row r="1416" spans="49:50">
      <c r="AW1416" s="271"/>
      <c r="AX1416" s="271"/>
    </row>
    <row r="1417" spans="49:50">
      <c r="AW1417" s="271"/>
      <c r="AX1417" s="271"/>
    </row>
    <row r="1418" spans="49:50">
      <c r="AW1418" s="271"/>
      <c r="AX1418" s="271"/>
    </row>
    <row r="1419" spans="49:50">
      <c r="AW1419" s="271"/>
      <c r="AX1419" s="271"/>
    </row>
    <row r="1420" spans="49:50">
      <c r="AW1420" s="271"/>
      <c r="AX1420" s="271"/>
    </row>
    <row r="1421" spans="49:50">
      <c r="AW1421" s="271"/>
      <c r="AX1421" s="271"/>
    </row>
    <row r="1422" spans="49:50">
      <c r="AW1422" s="271"/>
      <c r="AX1422" s="271"/>
    </row>
    <row r="1423" spans="49:50">
      <c r="AW1423" s="271"/>
      <c r="AX1423" s="271"/>
    </row>
    <row r="1424" spans="49:50">
      <c r="AW1424" s="271"/>
      <c r="AX1424" s="271"/>
    </row>
    <row r="1425" spans="49:50">
      <c r="AW1425" s="271"/>
      <c r="AX1425" s="271"/>
    </row>
    <row r="1426" spans="49:50">
      <c r="AW1426" s="271"/>
      <c r="AX1426" s="271"/>
    </row>
    <row r="1427" spans="49:50">
      <c r="AW1427" s="271"/>
      <c r="AX1427" s="271"/>
    </row>
    <row r="1428" spans="49:50">
      <c r="AW1428" s="271"/>
      <c r="AX1428" s="271"/>
    </row>
    <row r="1429" spans="49:50">
      <c r="AW1429" s="271"/>
      <c r="AX1429" s="271"/>
    </row>
    <row r="1430" spans="49:50">
      <c r="AW1430" s="271"/>
      <c r="AX1430" s="271"/>
    </row>
    <row r="1431" spans="49:50">
      <c r="AW1431" s="271"/>
      <c r="AX1431" s="271"/>
    </row>
    <row r="1432" spans="49:50">
      <c r="AW1432" s="271"/>
      <c r="AX1432" s="271"/>
    </row>
    <row r="1433" spans="49:50">
      <c r="AW1433" s="271"/>
      <c r="AX1433" s="271"/>
    </row>
    <row r="1434" spans="49:50">
      <c r="AW1434" s="271"/>
      <c r="AX1434" s="271"/>
    </row>
    <row r="1435" spans="49:50">
      <c r="AW1435" s="271"/>
      <c r="AX1435" s="271"/>
    </row>
    <row r="1436" spans="49:50">
      <c r="AW1436" s="271"/>
      <c r="AX1436" s="271"/>
    </row>
    <row r="1437" spans="49:50">
      <c r="AW1437" s="271"/>
      <c r="AX1437" s="271"/>
    </row>
    <row r="1438" spans="49:50">
      <c r="AW1438" s="271"/>
      <c r="AX1438" s="271"/>
    </row>
    <row r="1439" spans="49:50">
      <c r="AW1439" s="271"/>
      <c r="AX1439" s="271"/>
    </row>
    <row r="1440" spans="49:50">
      <c r="AW1440" s="271"/>
      <c r="AX1440" s="271"/>
    </row>
    <row r="1441" spans="49:50">
      <c r="AW1441" s="271"/>
      <c r="AX1441" s="271"/>
    </row>
    <row r="1442" spans="49:50">
      <c r="AW1442" s="271"/>
      <c r="AX1442" s="271"/>
    </row>
    <row r="1443" spans="49:50">
      <c r="AW1443" s="271"/>
      <c r="AX1443" s="271"/>
    </row>
    <row r="1444" spans="49:50">
      <c r="AW1444" s="271"/>
      <c r="AX1444" s="271"/>
    </row>
    <row r="1445" spans="49:50">
      <c r="AW1445" s="271"/>
      <c r="AX1445" s="271"/>
    </row>
    <row r="1446" spans="49:50">
      <c r="AW1446" s="271"/>
      <c r="AX1446" s="271"/>
    </row>
    <row r="1447" spans="49:50">
      <c r="AW1447" s="271"/>
      <c r="AX1447" s="271"/>
    </row>
    <row r="1448" spans="49:50">
      <c r="AW1448" s="271"/>
      <c r="AX1448" s="271"/>
    </row>
    <row r="1449" spans="49:50">
      <c r="AW1449" s="271"/>
      <c r="AX1449" s="271"/>
    </row>
    <row r="1450" spans="49:50">
      <c r="AW1450" s="271"/>
      <c r="AX1450" s="271"/>
    </row>
    <row r="1451" spans="49:50">
      <c r="AW1451" s="271"/>
      <c r="AX1451" s="271"/>
    </row>
    <row r="1452" spans="49:50">
      <c r="AW1452" s="271"/>
      <c r="AX1452" s="271"/>
    </row>
    <row r="1453" spans="49:50">
      <c r="AW1453" s="271"/>
      <c r="AX1453" s="271"/>
    </row>
    <row r="1454" spans="49:50">
      <c r="AW1454" s="271"/>
      <c r="AX1454" s="271"/>
    </row>
    <row r="1455" spans="49:50">
      <c r="AW1455" s="271"/>
      <c r="AX1455" s="271"/>
    </row>
    <row r="1456" spans="49:50">
      <c r="AW1456" s="271"/>
      <c r="AX1456" s="271"/>
    </row>
    <row r="1457" spans="49:50">
      <c r="AW1457" s="271"/>
      <c r="AX1457" s="271"/>
    </row>
    <row r="1458" spans="49:50">
      <c r="AW1458" s="271"/>
      <c r="AX1458" s="271"/>
    </row>
    <row r="1459" spans="49:50">
      <c r="AW1459" s="271"/>
      <c r="AX1459" s="271"/>
    </row>
    <row r="1460" spans="49:50">
      <c r="AW1460" s="271"/>
      <c r="AX1460" s="271"/>
    </row>
    <row r="1461" spans="49:50">
      <c r="AW1461" s="271"/>
      <c r="AX1461" s="271"/>
    </row>
    <row r="1462" spans="49:50">
      <c r="AW1462" s="271"/>
      <c r="AX1462" s="271"/>
    </row>
    <row r="1463" spans="49:50">
      <c r="AW1463" s="271"/>
      <c r="AX1463" s="271"/>
    </row>
    <row r="1464" spans="49:50">
      <c r="AW1464" s="271"/>
      <c r="AX1464" s="271"/>
    </row>
    <row r="1465" spans="49:50">
      <c r="AW1465" s="271"/>
      <c r="AX1465" s="271"/>
    </row>
    <row r="1466" spans="49:50">
      <c r="AW1466" s="271"/>
      <c r="AX1466" s="271"/>
    </row>
    <row r="1467" spans="49:50">
      <c r="AW1467" s="271"/>
      <c r="AX1467" s="271"/>
    </row>
    <row r="1468" spans="49:50">
      <c r="AW1468" s="271"/>
      <c r="AX1468" s="271"/>
    </row>
    <row r="1469" spans="49:50">
      <c r="AW1469" s="271"/>
      <c r="AX1469" s="271"/>
    </row>
    <row r="1470" spans="49:50">
      <c r="AW1470" s="271"/>
      <c r="AX1470" s="271"/>
    </row>
    <row r="1471" spans="49:50">
      <c r="AW1471" s="271"/>
      <c r="AX1471" s="271"/>
    </row>
    <row r="1472" spans="49:50">
      <c r="AW1472" s="271"/>
      <c r="AX1472" s="271"/>
    </row>
    <row r="1473" spans="49:50">
      <c r="AW1473" s="271"/>
      <c r="AX1473" s="271"/>
    </row>
    <row r="1474" spans="49:50">
      <c r="AW1474" s="271"/>
      <c r="AX1474" s="271"/>
    </row>
    <row r="1475" spans="49:50">
      <c r="AW1475" s="271"/>
      <c r="AX1475" s="271"/>
    </row>
    <row r="1476" spans="49:50">
      <c r="AW1476" s="271"/>
      <c r="AX1476" s="271"/>
    </row>
    <row r="1477" spans="49:50">
      <c r="AW1477" s="271"/>
      <c r="AX1477" s="271"/>
    </row>
    <row r="1478" spans="49:50">
      <c r="AW1478" s="271"/>
      <c r="AX1478" s="271"/>
    </row>
    <row r="1479" spans="49:50">
      <c r="AW1479" s="271"/>
      <c r="AX1479" s="271"/>
    </row>
    <row r="1480" spans="49:50">
      <c r="AW1480" s="271"/>
      <c r="AX1480" s="271"/>
    </row>
    <row r="1481" spans="49:50">
      <c r="AW1481" s="271"/>
      <c r="AX1481" s="271"/>
    </row>
    <row r="1482" spans="49:50">
      <c r="AW1482" s="271"/>
      <c r="AX1482" s="271"/>
    </row>
    <row r="1483" spans="49:50">
      <c r="AW1483" s="271"/>
      <c r="AX1483" s="271"/>
    </row>
    <row r="1484" spans="49:50">
      <c r="AW1484" s="271"/>
      <c r="AX1484" s="271"/>
    </row>
    <row r="1485" spans="49:50">
      <c r="AW1485" s="271"/>
      <c r="AX1485" s="271"/>
    </row>
    <row r="1486" spans="49:50">
      <c r="AW1486" s="271"/>
      <c r="AX1486" s="271"/>
    </row>
    <row r="1487" spans="49:50">
      <c r="AW1487" s="271"/>
      <c r="AX1487" s="271"/>
    </row>
    <row r="1488" spans="49:50">
      <c r="AW1488" s="271"/>
      <c r="AX1488" s="271"/>
    </row>
    <row r="1489" spans="49:50">
      <c r="AW1489" s="271"/>
      <c r="AX1489" s="271"/>
    </row>
    <row r="1490" spans="49:50">
      <c r="AW1490" s="271"/>
      <c r="AX1490" s="271"/>
    </row>
    <row r="1491" spans="49:50">
      <c r="AW1491" s="271"/>
      <c r="AX1491" s="271"/>
    </row>
    <row r="1492" spans="49:50">
      <c r="AW1492" s="271"/>
      <c r="AX1492" s="271"/>
    </row>
    <row r="1493" spans="49:50">
      <c r="AW1493" s="271"/>
      <c r="AX1493" s="271"/>
    </row>
    <row r="1494" spans="49:50">
      <c r="AW1494" s="271"/>
      <c r="AX1494" s="271"/>
    </row>
    <row r="1495" spans="49:50">
      <c r="AW1495" s="271"/>
      <c r="AX1495" s="271"/>
    </row>
    <row r="1496" spans="49:50">
      <c r="AW1496" s="271"/>
      <c r="AX1496" s="271"/>
    </row>
    <row r="1497" spans="49:50">
      <c r="AW1497" s="271"/>
      <c r="AX1497" s="271"/>
    </row>
    <row r="1498" spans="49:50">
      <c r="AW1498" s="271"/>
      <c r="AX1498" s="271"/>
    </row>
    <row r="1499" spans="49:50">
      <c r="AW1499" s="271"/>
      <c r="AX1499" s="271"/>
    </row>
    <row r="1500" spans="49:50">
      <c r="AW1500" s="271"/>
      <c r="AX1500" s="271"/>
    </row>
    <row r="1501" spans="49:50">
      <c r="AW1501" s="271"/>
      <c r="AX1501" s="271"/>
    </row>
    <row r="1502" spans="49:50">
      <c r="AW1502" s="271"/>
      <c r="AX1502" s="271"/>
    </row>
    <row r="1503" spans="49:50">
      <c r="AW1503" s="271"/>
      <c r="AX1503" s="271"/>
    </row>
    <row r="1504" spans="49:50">
      <c r="AW1504" s="271"/>
      <c r="AX1504" s="271"/>
    </row>
    <row r="1505" spans="49:50">
      <c r="AW1505" s="271"/>
      <c r="AX1505" s="271"/>
    </row>
    <row r="1506" spans="49:50">
      <c r="AW1506" s="271"/>
      <c r="AX1506" s="271"/>
    </row>
    <row r="1507" spans="49:50">
      <c r="AW1507" s="271"/>
      <c r="AX1507" s="271"/>
    </row>
    <row r="1508" spans="49:50">
      <c r="AW1508" s="271"/>
      <c r="AX1508" s="271"/>
    </row>
    <row r="1509" spans="49:50">
      <c r="AW1509" s="271"/>
      <c r="AX1509" s="271"/>
    </row>
    <row r="1510" spans="49:50">
      <c r="AW1510" s="271"/>
      <c r="AX1510" s="271"/>
    </row>
    <row r="1511" spans="49:50">
      <c r="AW1511" s="271"/>
      <c r="AX1511" s="271"/>
    </row>
    <row r="1512" spans="49:50">
      <c r="AW1512" s="271"/>
      <c r="AX1512" s="271"/>
    </row>
    <row r="1513" spans="49:50">
      <c r="AW1513" s="271"/>
      <c r="AX1513" s="271"/>
    </row>
    <row r="1514" spans="49:50">
      <c r="AW1514" s="271"/>
      <c r="AX1514" s="271"/>
    </row>
    <row r="1515" spans="49:50">
      <c r="AW1515" s="271"/>
      <c r="AX1515" s="271"/>
    </row>
    <row r="1516" spans="49:50">
      <c r="AW1516" s="271"/>
      <c r="AX1516" s="271"/>
    </row>
    <row r="1517" spans="49:50">
      <c r="AW1517" s="271"/>
      <c r="AX1517" s="271"/>
    </row>
    <row r="1518" spans="49:50">
      <c r="AW1518" s="271"/>
      <c r="AX1518" s="271"/>
    </row>
    <row r="1519" spans="49:50">
      <c r="AW1519" s="271"/>
      <c r="AX1519" s="271"/>
    </row>
    <row r="1520" spans="49:50">
      <c r="AW1520" s="271"/>
      <c r="AX1520" s="271"/>
    </row>
    <row r="1521" spans="49:50">
      <c r="AW1521" s="271"/>
      <c r="AX1521" s="271"/>
    </row>
    <row r="1522" spans="49:50">
      <c r="AW1522" s="271"/>
      <c r="AX1522" s="271"/>
    </row>
    <row r="1523" spans="49:50">
      <c r="AW1523" s="271"/>
      <c r="AX1523" s="271"/>
    </row>
    <row r="1524" spans="49:50">
      <c r="AW1524" s="271"/>
      <c r="AX1524" s="271"/>
    </row>
    <row r="1525" spans="49:50">
      <c r="AW1525" s="271"/>
      <c r="AX1525" s="271"/>
    </row>
    <row r="1526" spans="49:50">
      <c r="AW1526" s="271"/>
      <c r="AX1526" s="271"/>
    </row>
    <row r="1527" spans="49:50">
      <c r="AW1527" s="271"/>
      <c r="AX1527" s="271"/>
    </row>
    <row r="1528" spans="49:50">
      <c r="AW1528" s="271"/>
      <c r="AX1528" s="271"/>
    </row>
    <row r="1529" spans="49:50">
      <c r="AW1529" s="271"/>
      <c r="AX1529" s="271"/>
    </row>
    <row r="1530" spans="49:50">
      <c r="AW1530" s="271"/>
      <c r="AX1530" s="271"/>
    </row>
    <row r="1531" spans="49:50">
      <c r="AW1531" s="271"/>
      <c r="AX1531" s="271"/>
    </row>
    <row r="1532" spans="49:50">
      <c r="AW1532" s="271"/>
      <c r="AX1532" s="271"/>
    </row>
    <row r="1533" spans="49:50">
      <c r="AW1533" s="271"/>
      <c r="AX1533" s="271"/>
    </row>
    <row r="1534" spans="49:50">
      <c r="AW1534" s="271"/>
      <c r="AX1534" s="271"/>
    </row>
    <row r="1535" spans="49:50">
      <c r="AW1535" s="271"/>
      <c r="AX1535" s="271"/>
    </row>
    <row r="1536" spans="49:50">
      <c r="AW1536" s="271"/>
      <c r="AX1536" s="271"/>
    </row>
    <row r="1537" spans="49:50">
      <c r="AW1537" s="271"/>
      <c r="AX1537" s="271"/>
    </row>
    <row r="1538" spans="49:50">
      <c r="AW1538" s="271"/>
      <c r="AX1538" s="271"/>
    </row>
    <row r="1539" spans="49:50">
      <c r="AW1539" s="271"/>
      <c r="AX1539" s="271"/>
    </row>
    <row r="1540" spans="49:50">
      <c r="AW1540" s="271"/>
      <c r="AX1540" s="271"/>
    </row>
    <row r="1541" spans="49:50">
      <c r="AW1541" s="271"/>
      <c r="AX1541" s="271"/>
    </row>
    <row r="1542" spans="49:50">
      <c r="AW1542" s="271"/>
      <c r="AX1542" s="271"/>
    </row>
    <row r="1543" spans="49:50">
      <c r="AW1543" s="271"/>
      <c r="AX1543" s="271"/>
    </row>
    <row r="1544" spans="49:50">
      <c r="AW1544" s="271"/>
      <c r="AX1544" s="271"/>
    </row>
    <row r="1545" spans="49:50">
      <c r="AW1545" s="271"/>
      <c r="AX1545" s="271"/>
    </row>
    <row r="1546" spans="49:50">
      <c r="AW1546" s="271"/>
      <c r="AX1546" s="271"/>
    </row>
    <row r="1547" spans="49:50">
      <c r="AW1547" s="271"/>
      <c r="AX1547" s="271"/>
    </row>
    <row r="1548" spans="49:50">
      <c r="AW1548" s="271"/>
      <c r="AX1548" s="271"/>
    </row>
    <row r="1549" spans="49:50">
      <c r="AW1549" s="271"/>
      <c r="AX1549" s="271"/>
    </row>
    <row r="1550" spans="49:50">
      <c r="AW1550" s="271"/>
      <c r="AX1550" s="271"/>
    </row>
    <row r="1551" spans="49:50">
      <c r="AW1551" s="271"/>
      <c r="AX1551" s="271"/>
    </row>
    <row r="1552" spans="49:50">
      <c r="AW1552" s="271"/>
      <c r="AX1552" s="271"/>
    </row>
    <row r="1553" spans="49:50">
      <c r="AW1553" s="271"/>
      <c r="AX1553" s="271"/>
    </row>
    <row r="1554" spans="49:50">
      <c r="AW1554" s="271"/>
      <c r="AX1554" s="271"/>
    </row>
    <row r="1555" spans="49:50">
      <c r="AW1555" s="271"/>
      <c r="AX1555" s="271"/>
    </row>
    <row r="1556" spans="49:50">
      <c r="AW1556" s="271"/>
      <c r="AX1556" s="271"/>
    </row>
    <row r="1557" spans="49:50">
      <c r="AW1557" s="271"/>
      <c r="AX1557" s="271"/>
    </row>
    <row r="1558" spans="49:50">
      <c r="AW1558" s="271"/>
      <c r="AX1558" s="271"/>
    </row>
    <row r="1559" spans="49:50">
      <c r="AW1559" s="271"/>
      <c r="AX1559" s="271"/>
    </row>
    <row r="1560" spans="49:50">
      <c r="AW1560" s="271"/>
      <c r="AX1560" s="271"/>
    </row>
    <row r="1561" spans="49:50">
      <c r="AW1561" s="271"/>
      <c r="AX1561" s="271"/>
    </row>
    <row r="1562" spans="49:50">
      <c r="AW1562" s="271"/>
      <c r="AX1562" s="271"/>
    </row>
    <row r="1563" spans="49:50">
      <c r="AW1563" s="271"/>
      <c r="AX1563" s="271"/>
    </row>
    <row r="1564" spans="49:50">
      <c r="AW1564" s="271"/>
      <c r="AX1564" s="271"/>
    </row>
    <row r="1565" spans="49:50">
      <c r="AW1565" s="271"/>
      <c r="AX1565" s="271"/>
    </row>
    <row r="1566" spans="49:50">
      <c r="AW1566" s="271"/>
      <c r="AX1566" s="271"/>
    </row>
    <row r="1567" spans="49:50">
      <c r="AW1567" s="271"/>
      <c r="AX1567" s="271"/>
    </row>
    <row r="1568" spans="49:50">
      <c r="AW1568" s="271"/>
      <c r="AX1568" s="271"/>
    </row>
    <row r="1569" spans="49:50">
      <c r="AW1569" s="271"/>
      <c r="AX1569" s="271"/>
    </row>
    <row r="1570" spans="49:50">
      <c r="AW1570" s="271"/>
      <c r="AX1570" s="271"/>
    </row>
    <row r="1571" spans="49:50">
      <c r="AW1571" s="271"/>
      <c r="AX1571" s="271"/>
    </row>
    <row r="1572" spans="49:50">
      <c r="AW1572" s="271"/>
      <c r="AX1572" s="271"/>
    </row>
    <row r="1573" spans="49:50">
      <c r="AW1573" s="271"/>
      <c r="AX1573" s="271"/>
    </row>
    <row r="1574" spans="49:50">
      <c r="AW1574" s="271"/>
      <c r="AX1574" s="271"/>
    </row>
    <row r="1575" spans="49:50">
      <c r="AW1575" s="271"/>
      <c r="AX1575" s="271"/>
    </row>
    <row r="1576" spans="49:50">
      <c r="AW1576" s="271"/>
      <c r="AX1576" s="271"/>
    </row>
    <row r="1577" spans="49:50">
      <c r="AW1577" s="271"/>
      <c r="AX1577" s="271"/>
    </row>
    <row r="1578" spans="49:50">
      <c r="AW1578" s="271"/>
      <c r="AX1578" s="271"/>
    </row>
    <row r="1579" spans="49:50">
      <c r="AW1579" s="271"/>
      <c r="AX1579" s="271"/>
    </row>
    <row r="1580" spans="49:50">
      <c r="AW1580" s="271"/>
      <c r="AX1580" s="271"/>
    </row>
    <row r="1581" spans="49:50">
      <c r="AW1581" s="271"/>
      <c r="AX1581" s="271"/>
    </row>
    <row r="1582" spans="49:50">
      <c r="AW1582" s="271"/>
      <c r="AX1582" s="271"/>
    </row>
    <row r="1583" spans="49:50">
      <c r="AW1583" s="271"/>
      <c r="AX1583" s="271"/>
    </row>
    <row r="1584" spans="49:50">
      <c r="AW1584" s="271"/>
      <c r="AX1584" s="271"/>
    </row>
    <row r="1585" spans="49:50">
      <c r="AW1585" s="271"/>
      <c r="AX1585" s="271"/>
    </row>
    <row r="1586" spans="49:50">
      <c r="AW1586" s="271"/>
      <c r="AX1586" s="271"/>
    </row>
    <row r="1587" spans="49:50">
      <c r="AW1587" s="271"/>
      <c r="AX1587" s="271"/>
    </row>
    <row r="1588" spans="49:50">
      <c r="AW1588" s="271"/>
      <c r="AX1588" s="271"/>
    </row>
    <row r="1589" spans="49:50">
      <c r="AW1589" s="271"/>
      <c r="AX1589" s="271"/>
    </row>
    <row r="1590" spans="49:50">
      <c r="AW1590" s="271"/>
      <c r="AX1590" s="271"/>
    </row>
    <row r="1591" spans="49:50">
      <c r="AW1591" s="271"/>
      <c r="AX1591" s="271"/>
    </row>
    <row r="1592" spans="49:50">
      <c r="AW1592" s="271"/>
      <c r="AX1592" s="271"/>
    </row>
    <row r="1593" spans="49:50">
      <c r="AW1593" s="271"/>
      <c r="AX1593" s="271"/>
    </row>
    <row r="1594" spans="49:50">
      <c r="AW1594" s="271"/>
      <c r="AX1594" s="271"/>
    </row>
    <row r="1595" spans="49:50">
      <c r="AW1595" s="271"/>
      <c r="AX1595" s="271"/>
    </row>
    <row r="1596" spans="49:50">
      <c r="AW1596" s="271"/>
      <c r="AX1596" s="271"/>
    </row>
    <row r="1597" spans="49:50">
      <c r="AW1597" s="271"/>
      <c r="AX1597" s="271"/>
    </row>
    <row r="1598" spans="49:50">
      <c r="AW1598" s="271"/>
      <c r="AX1598" s="271"/>
    </row>
    <row r="1599" spans="49:50">
      <c r="AW1599" s="271"/>
      <c r="AX1599" s="271"/>
    </row>
    <row r="1600" spans="49:50">
      <c r="AW1600" s="271"/>
      <c r="AX1600" s="271"/>
    </row>
    <row r="1601" spans="49:50">
      <c r="AW1601" s="271"/>
      <c r="AX1601" s="271"/>
    </row>
    <row r="1602" spans="49:50">
      <c r="AW1602" s="271"/>
      <c r="AX1602" s="271"/>
    </row>
    <row r="1603" spans="49:50">
      <c r="AW1603" s="271"/>
      <c r="AX1603" s="271"/>
    </row>
    <row r="1604" spans="49:50">
      <c r="AW1604" s="271"/>
      <c r="AX1604" s="271"/>
    </row>
    <row r="1605" spans="49:50">
      <c r="AW1605" s="271"/>
      <c r="AX1605" s="271"/>
    </row>
    <row r="1606" spans="49:50">
      <c r="AW1606" s="271"/>
      <c r="AX1606" s="271"/>
    </row>
    <row r="1607" spans="49:50">
      <c r="AW1607" s="271"/>
      <c r="AX1607" s="271"/>
    </row>
    <row r="1608" spans="49:50">
      <c r="AW1608" s="271"/>
      <c r="AX1608" s="271"/>
    </row>
    <row r="1609" spans="49:50">
      <c r="AW1609" s="271"/>
      <c r="AX1609" s="271"/>
    </row>
    <row r="1610" spans="49:50">
      <c r="AW1610" s="271"/>
      <c r="AX1610" s="271"/>
    </row>
    <row r="1611" spans="49:50">
      <c r="AW1611" s="271"/>
      <c r="AX1611" s="271"/>
    </row>
    <row r="1612" spans="49:50">
      <c r="AW1612" s="271"/>
      <c r="AX1612" s="271"/>
    </row>
    <row r="1613" spans="49:50">
      <c r="AW1613" s="271"/>
      <c r="AX1613" s="271"/>
    </row>
    <row r="1614" spans="49:50">
      <c r="AW1614" s="271"/>
      <c r="AX1614" s="271"/>
    </row>
    <row r="1615" spans="49:50">
      <c r="AW1615" s="271"/>
      <c r="AX1615" s="271"/>
    </row>
    <row r="1616" spans="49:50">
      <c r="AW1616" s="271"/>
      <c r="AX1616" s="271"/>
    </row>
    <row r="1617" spans="49:50">
      <c r="AW1617" s="271"/>
      <c r="AX1617" s="271"/>
    </row>
    <row r="1618" spans="49:50">
      <c r="AW1618" s="271"/>
      <c r="AX1618" s="271"/>
    </row>
    <row r="1619" spans="49:50">
      <c r="AW1619" s="271"/>
      <c r="AX1619" s="271"/>
    </row>
    <row r="1620" spans="49:50">
      <c r="AW1620" s="271"/>
      <c r="AX1620" s="271"/>
    </row>
    <row r="1621" spans="49:50">
      <c r="AW1621" s="271"/>
      <c r="AX1621" s="271"/>
    </row>
    <row r="1622" spans="49:50">
      <c r="AW1622" s="271"/>
      <c r="AX1622" s="271"/>
    </row>
    <row r="1623" spans="49:50">
      <c r="AW1623" s="271"/>
      <c r="AX1623" s="271"/>
    </row>
    <row r="1624" spans="49:50">
      <c r="AW1624" s="271"/>
      <c r="AX1624" s="271"/>
    </row>
    <row r="1625" spans="49:50">
      <c r="AW1625" s="271"/>
      <c r="AX1625" s="271"/>
    </row>
    <row r="1626" spans="49:50">
      <c r="AW1626" s="271"/>
      <c r="AX1626" s="271"/>
    </row>
    <row r="1627" spans="49:50">
      <c r="AW1627" s="271"/>
      <c r="AX1627" s="271"/>
    </row>
    <row r="1628" spans="49:50">
      <c r="AW1628" s="271"/>
      <c r="AX1628" s="271"/>
    </row>
    <row r="1629" spans="49:50">
      <c r="AW1629" s="271"/>
      <c r="AX1629" s="271"/>
    </row>
    <row r="1630" spans="49:50">
      <c r="AW1630" s="271"/>
      <c r="AX1630" s="271"/>
    </row>
    <row r="1631" spans="49:50">
      <c r="AW1631" s="271"/>
      <c r="AX1631" s="271"/>
    </row>
    <row r="1632" spans="49:50">
      <c r="AW1632" s="271"/>
      <c r="AX1632" s="271"/>
    </row>
    <row r="1633" spans="49:50">
      <c r="AW1633" s="271"/>
      <c r="AX1633" s="271"/>
    </row>
    <row r="1634" spans="49:50">
      <c r="AW1634" s="271"/>
      <c r="AX1634" s="271"/>
    </row>
    <row r="1635" spans="49:50">
      <c r="AW1635" s="271"/>
      <c r="AX1635" s="271"/>
    </row>
    <row r="1636" spans="49:50">
      <c r="AW1636" s="271"/>
      <c r="AX1636" s="271"/>
    </row>
    <row r="1637" spans="49:50">
      <c r="AW1637" s="271"/>
      <c r="AX1637" s="271"/>
    </row>
    <row r="1638" spans="49:50">
      <c r="AW1638" s="271"/>
      <c r="AX1638" s="271"/>
    </row>
    <row r="1639" spans="49:50">
      <c r="AW1639" s="271"/>
      <c r="AX1639" s="271"/>
    </row>
    <row r="1640" spans="49:50">
      <c r="AW1640" s="271"/>
      <c r="AX1640" s="271"/>
    </row>
    <row r="1641" spans="49:50">
      <c r="AW1641" s="271"/>
      <c r="AX1641" s="271"/>
    </row>
    <row r="1642" spans="49:50">
      <c r="AW1642" s="271"/>
      <c r="AX1642" s="271"/>
    </row>
    <row r="1643" spans="49:50">
      <c r="AW1643" s="271"/>
      <c r="AX1643" s="271"/>
    </row>
    <row r="1644" spans="49:50">
      <c r="AW1644" s="271"/>
      <c r="AX1644" s="271"/>
    </row>
    <row r="1645" spans="49:50">
      <c r="AW1645" s="271"/>
      <c r="AX1645" s="271"/>
    </row>
    <row r="1646" spans="49:50">
      <c r="AW1646" s="271"/>
      <c r="AX1646" s="271"/>
    </row>
    <row r="1647" spans="49:50">
      <c r="AW1647" s="271"/>
      <c r="AX1647" s="271"/>
    </row>
    <row r="1648" spans="49:50">
      <c r="AW1648" s="271"/>
      <c r="AX1648" s="271"/>
    </row>
    <row r="1649" spans="49:50">
      <c r="AW1649" s="271"/>
      <c r="AX1649" s="271"/>
    </row>
    <row r="1650" spans="49:50">
      <c r="AW1650" s="271"/>
      <c r="AX1650" s="271"/>
    </row>
    <row r="1651" spans="49:50">
      <c r="AW1651" s="271"/>
      <c r="AX1651" s="271"/>
    </row>
    <row r="1652" spans="49:50">
      <c r="AW1652" s="271"/>
      <c r="AX1652" s="271"/>
    </row>
    <row r="1653" spans="49:50">
      <c r="AW1653" s="271"/>
      <c r="AX1653" s="271"/>
    </row>
    <row r="1654" spans="49:50">
      <c r="AW1654" s="271"/>
      <c r="AX1654" s="271"/>
    </row>
    <row r="1655" spans="49:50">
      <c r="AW1655" s="271"/>
      <c r="AX1655" s="271"/>
    </row>
    <row r="1656" spans="49:50">
      <c r="AW1656" s="271"/>
      <c r="AX1656" s="271"/>
    </row>
    <row r="1657" spans="49:50">
      <c r="AW1657" s="271"/>
      <c r="AX1657" s="271"/>
    </row>
    <row r="1658" spans="49:50">
      <c r="AW1658" s="271"/>
      <c r="AX1658" s="271"/>
    </row>
    <row r="1659" spans="49:50">
      <c r="AW1659" s="271"/>
      <c r="AX1659" s="271"/>
    </row>
    <row r="1660" spans="49:50">
      <c r="AW1660" s="271"/>
      <c r="AX1660" s="271"/>
    </row>
    <row r="1661" spans="49:50">
      <c r="AW1661" s="271"/>
      <c r="AX1661" s="271"/>
    </row>
    <row r="1662" spans="49:50">
      <c r="AW1662" s="271"/>
      <c r="AX1662" s="271"/>
    </row>
    <row r="1663" spans="49:50">
      <c r="AW1663" s="271"/>
      <c r="AX1663" s="271"/>
    </row>
    <row r="1664" spans="49:50">
      <c r="AW1664" s="271"/>
      <c r="AX1664" s="271"/>
    </row>
    <row r="1665" spans="49:50">
      <c r="AW1665" s="271"/>
      <c r="AX1665" s="271"/>
    </row>
    <row r="1666" spans="49:50">
      <c r="AW1666" s="271"/>
      <c r="AX1666" s="271"/>
    </row>
    <row r="1667" spans="49:50">
      <c r="AW1667" s="271"/>
      <c r="AX1667" s="271"/>
    </row>
    <row r="1668" spans="49:50">
      <c r="AW1668" s="271"/>
      <c r="AX1668" s="271"/>
    </row>
    <row r="1669" spans="49:50">
      <c r="AW1669" s="271"/>
      <c r="AX1669" s="271"/>
    </row>
    <row r="1670" spans="49:50">
      <c r="AW1670" s="271"/>
      <c r="AX1670" s="271"/>
    </row>
    <row r="1671" spans="49:50">
      <c r="AW1671" s="271"/>
      <c r="AX1671" s="271"/>
    </row>
    <row r="1672" spans="49:50">
      <c r="AW1672" s="271"/>
      <c r="AX1672" s="271"/>
    </row>
    <row r="1673" spans="49:50">
      <c r="AW1673" s="271"/>
      <c r="AX1673" s="271"/>
    </row>
    <row r="1674" spans="49:50">
      <c r="AW1674" s="271"/>
      <c r="AX1674" s="271"/>
    </row>
    <row r="1675" spans="49:50">
      <c r="AW1675" s="271"/>
      <c r="AX1675" s="271"/>
    </row>
    <row r="1676" spans="49:50">
      <c r="AW1676" s="271"/>
      <c r="AX1676" s="271"/>
    </row>
    <row r="1677" spans="49:50">
      <c r="AW1677" s="271"/>
      <c r="AX1677" s="271"/>
    </row>
    <row r="1678" spans="49:50">
      <c r="AW1678" s="271"/>
      <c r="AX1678" s="271"/>
    </row>
    <row r="1679" spans="49:50">
      <c r="AW1679" s="271"/>
      <c r="AX1679" s="271"/>
    </row>
    <row r="1680" spans="49:50">
      <c r="AW1680" s="271"/>
      <c r="AX1680" s="271"/>
    </row>
    <row r="1681" spans="49:50">
      <c r="AW1681" s="271"/>
      <c r="AX1681" s="271"/>
    </row>
    <row r="1682" spans="49:50">
      <c r="AW1682" s="271"/>
      <c r="AX1682" s="271"/>
    </row>
    <row r="1683" spans="49:50">
      <c r="AW1683" s="271"/>
      <c r="AX1683" s="271"/>
    </row>
    <row r="1684" spans="49:50">
      <c r="AW1684" s="271"/>
      <c r="AX1684" s="271"/>
    </row>
    <row r="1685" spans="49:50">
      <c r="AW1685" s="271"/>
      <c r="AX1685" s="271"/>
    </row>
    <row r="1686" spans="49:50">
      <c r="AW1686" s="271"/>
      <c r="AX1686" s="271"/>
    </row>
    <row r="1687" spans="49:50">
      <c r="AW1687" s="271"/>
      <c r="AX1687" s="271"/>
    </row>
    <row r="1688" spans="49:50">
      <c r="AW1688" s="271"/>
      <c r="AX1688" s="271"/>
    </row>
    <row r="1689" spans="49:50">
      <c r="AW1689" s="271"/>
      <c r="AX1689" s="271"/>
    </row>
    <row r="1690" spans="49:50">
      <c r="AW1690" s="271"/>
      <c r="AX1690" s="271"/>
    </row>
    <row r="1691" spans="49:50">
      <c r="AW1691" s="271"/>
      <c r="AX1691" s="271"/>
    </row>
    <row r="1692" spans="49:50">
      <c r="AW1692" s="271"/>
      <c r="AX1692" s="271"/>
    </row>
    <row r="1693" spans="49:50">
      <c r="AW1693" s="271"/>
      <c r="AX1693" s="271"/>
    </row>
    <row r="1694" spans="49:50">
      <c r="AW1694" s="271"/>
      <c r="AX1694" s="271"/>
    </row>
    <row r="1695" spans="49:50">
      <c r="AW1695" s="271"/>
      <c r="AX1695" s="271"/>
    </row>
    <row r="1696" spans="49:50">
      <c r="AW1696" s="271"/>
      <c r="AX1696" s="271"/>
    </row>
    <row r="1697" spans="49:50">
      <c r="AW1697" s="271"/>
      <c r="AX1697" s="271"/>
    </row>
    <row r="1698" spans="49:50">
      <c r="AW1698" s="271"/>
      <c r="AX1698" s="271"/>
    </row>
    <row r="1699" spans="49:50">
      <c r="AW1699" s="271"/>
      <c r="AX1699" s="271"/>
    </row>
    <row r="1700" spans="49:50">
      <c r="AW1700" s="271"/>
      <c r="AX1700" s="271"/>
    </row>
    <row r="1701" spans="49:50">
      <c r="AW1701" s="271"/>
      <c r="AX1701" s="271"/>
    </row>
    <row r="1702" spans="49:50">
      <c r="AW1702" s="271"/>
      <c r="AX1702" s="271"/>
    </row>
    <row r="1703" spans="49:50">
      <c r="AW1703" s="271"/>
      <c r="AX1703" s="271"/>
    </row>
    <row r="1704" spans="49:50">
      <c r="AW1704" s="271"/>
      <c r="AX1704" s="271"/>
    </row>
    <row r="1705" spans="49:50">
      <c r="AW1705" s="271"/>
      <c r="AX1705" s="271"/>
    </row>
    <row r="1706" spans="49:50">
      <c r="AW1706" s="271"/>
      <c r="AX1706" s="271"/>
    </row>
    <row r="1707" spans="49:50">
      <c r="AW1707" s="271"/>
      <c r="AX1707" s="271"/>
    </row>
    <row r="1708" spans="49:50">
      <c r="AW1708" s="271"/>
      <c r="AX1708" s="271"/>
    </row>
    <row r="1709" spans="49:50">
      <c r="AW1709" s="271"/>
      <c r="AX1709" s="271"/>
    </row>
    <row r="1710" spans="49:50">
      <c r="AW1710" s="271"/>
      <c r="AX1710" s="271"/>
    </row>
    <row r="1711" spans="49:50">
      <c r="AW1711" s="271"/>
      <c r="AX1711" s="271"/>
    </row>
    <row r="1712" spans="49:50">
      <c r="AW1712" s="271"/>
      <c r="AX1712" s="271"/>
    </row>
    <row r="1713" spans="49:50">
      <c r="AW1713" s="271"/>
      <c r="AX1713" s="271"/>
    </row>
    <row r="1714" spans="49:50">
      <c r="AW1714" s="271"/>
      <c r="AX1714" s="271"/>
    </row>
    <row r="1715" spans="49:50">
      <c r="AW1715" s="271"/>
      <c r="AX1715" s="271"/>
    </row>
    <row r="1716" spans="49:50">
      <c r="AW1716" s="271"/>
      <c r="AX1716" s="271"/>
    </row>
    <row r="1717" spans="49:50">
      <c r="AW1717" s="271"/>
      <c r="AX1717" s="271"/>
    </row>
    <row r="1718" spans="49:50">
      <c r="AW1718" s="271"/>
      <c r="AX1718" s="271"/>
    </row>
    <row r="1719" spans="49:50">
      <c r="AW1719" s="271"/>
      <c r="AX1719" s="271"/>
    </row>
    <row r="1720" spans="49:50">
      <c r="AW1720" s="271"/>
      <c r="AX1720" s="271"/>
    </row>
    <row r="1721" spans="49:50">
      <c r="AW1721" s="271"/>
      <c r="AX1721" s="271"/>
    </row>
    <row r="1722" spans="49:50">
      <c r="AW1722" s="271"/>
      <c r="AX1722" s="271"/>
    </row>
    <row r="1723" spans="49:50">
      <c r="AW1723" s="271"/>
      <c r="AX1723" s="271"/>
    </row>
    <row r="1724" spans="49:50">
      <c r="AW1724" s="271"/>
      <c r="AX1724" s="271"/>
    </row>
    <row r="1725" spans="49:50">
      <c r="AW1725" s="271"/>
      <c r="AX1725" s="271"/>
    </row>
    <row r="1726" spans="49:50">
      <c r="AW1726" s="271"/>
      <c r="AX1726" s="271"/>
    </row>
    <row r="1727" spans="49:50">
      <c r="AW1727" s="271"/>
      <c r="AX1727" s="271"/>
    </row>
    <row r="1728" spans="49:50">
      <c r="AW1728" s="271"/>
      <c r="AX1728" s="271"/>
    </row>
    <row r="1729" spans="49:50">
      <c r="AW1729" s="271"/>
      <c r="AX1729" s="271"/>
    </row>
    <row r="1730" spans="49:50">
      <c r="AW1730" s="271"/>
      <c r="AX1730" s="271"/>
    </row>
    <row r="1731" spans="49:50">
      <c r="AW1731" s="271"/>
      <c r="AX1731" s="271"/>
    </row>
    <row r="1732" spans="49:50">
      <c r="AW1732" s="271"/>
      <c r="AX1732" s="271"/>
    </row>
    <row r="1733" spans="49:50">
      <c r="AW1733" s="271"/>
      <c r="AX1733" s="271"/>
    </row>
    <row r="1734" spans="49:50">
      <c r="AW1734" s="271"/>
      <c r="AX1734" s="271"/>
    </row>
    <row r="1735" spans="49:50">
      <c r="AW1735" s="271"/>
      <c r="AX1735" s="271"/>
    </row>
    <row r="1736" spans="49:50">
      <c r="AW1736" s="271"/>
      <c r="AX1736" s="271"/>
    </row>
    <row r="1737" spans="49:50">
      <c r="AW1737" s="271"/>
      <c r="AX1737" s="271"/>
    </row>
    <row r="1738" spans="49:50">
      <c r="AW1738" s="271"/>
      <c r="AX1738" s="271"/>
    </row>
    <row r="1739" spans="49:50">
      <c r="AW1739" s="271"/>
      <c r="AX1739" s="271"/>
    </row>
    <row r="1740" spans="49:50">
      <c r="AW1740" s="271"/>
      <c r="AX1740" s="271"/>
    </row>
    <row r="1741" spans="49:50">
      <c r="AW1741" s="271"/>
      <c r="AX1741" s="271"/>
    </row>
    <row r="1742" spans="49:50">
      <c r="AW1742" s="271"/>
      <c r="AX1742" s="271"/>
    </row>
    <row r="1743" spans="49:50">
      <c r="AW1743" s="271"/>
      <c r="AX1743" s="271"/>
    </row>
    <row r="1744" spans="49:50">
      <c r="AW1744" s="271"/>
      <c r="AX1744" s="271"/>
    </row>
    <row r="1745" spans="49:50">
      <c r="AW1745" s="271"/>
      <c r="AX1745" s="271"/>
    </row>
    <row r="1746" spans="49:50">
      <c r="AW1746" s="271"/>
      <c r="AX1746" s="271"/>
    </row>
    <row r="1747" spans="49:50">
      <c r="AW1747" s="271"/>
      <c r="AX1747" s="271"/>
    </row>
    <row r="1748" spans="49:50">
      <c r="AW1748" s="271"/>
      <c r="AX1748" s="271"/>
    </row>
    <row r="1749" spans="49:50">
      <c r="AW1749" s="271"/>
      <c r="AX1749" s="271"/>
    </row>
    <row r="1750" spans="49:50">
      <c r="AW1750" s="271"/>
      <c r="AX1750" s="271"/>
    </row>
    <row r="1751" spans="49:50">
      <c r="AW1751" s="271"/>
      <c r="AX1751" s="271"/>
    </row>
    <row r="1752" spans="49:50">
      <c r="AW1752" s="271"/>
      <c r="AX1752" s="271"/>
    </row>
    <row r="1753" spans="49:50">
      <c r="AW1753" s="271"/>
      <c r="AX1753" s="271"/>
    </row>
    <row r="1754" spans="49:50">
      <c r="AW1754" s="271"/>
      <c r="AX1754" s="271"/>
    </row>
    <row r="1755" spans="49:50">
      <c r="AW1755" s="271"/>
      <c r="AX1755" s="271"/>
    </row>
    <row r="1756" spans="49:50">
      <c r="AW1756" s="271"/>
      <c r="AX1756" s="271"/>
    </row>
    <row r="1757" spans="49:50">
      <c r="AW1757" s="271"/>
      <c r="AX1757" s="271"/>
    </row>
    <row r="1758" spans="49:50">
      <c r="AW1758" s="271"/>
      <c r="AX1758" s="271"/>
    </row>
    <row r="1759" spans="49:50">
      <c r="AW1759" s="271"/>
      <c r="AX1759" s="271"/>
    </row>
    <row r="1760" spans="49:50">
      <c r="AW1760" s="271"/>
      <c r="AX1760" s="271"/>
    </row>
    <row r="1761" spans="49:50">
      <c r="AW1761" s="271"/>
      <c r="AX1761" s="271"/>
    </row>
    <row r="1762" spans="49:50">
      <c r="AW1762" s="271"/>
      <c r="AX1762" s="271"/>
    </row>
    <row r="1763" spans="49:50">
      <c r="AW1763" s="271"/>
      <c r="AX1763" s="271"/>
    </row>
    <row r="1764" spans="49:50">
      <c r="AW1764" s="271"/>
      <c r="AX1764" s="271"/>
    </row>
    <row r="1765" spans="49:50">
      <c r="AW1765" s="271"/>
      <c r="AX1765" s="271"/>
    </row>
    <row r="1766" spans="49:50">
      <c r="AW1766" s="271"/>
      <c r="AX1766" s="271"/>
    </row>
    <row r="1767" spans="49:50">
      <c r="AW1767" s="271"/>
      <c r="AX1767" s="271"/>
    </row>
    <row r="1768" spans="49:50">
      <c r="AW1768" s="271"/>
      <c r="AX1768" s="271"/>
    </row>
    <row r="1769" spans="49:50">
      <c r="AW1769" s="271"/>
      <c r="AX1769" s="271"/>
    </row>
    <row r="1770" spans="49:50">
      <c r="AW1770" s="271"/>
      <c r="AX1770" s="271"/>
    </row>
    <row r="1771" spans="49:50">
      <c r="AW1771" s="271"/>
      <c r="AX1771" s="271"/>
    </row>
    <row r="1772" spans="49:50">
      <c r="AW1772" s="271"/>
      <c r="AX1772" s="271"/>
    </row>
    <row r="1773" spans="49:50">
      <c r="AW1773" s="271"/>
      <c r="AX1773" s="271"/>
    </row>
    <row r="1774" spans="49:50">
      <c r="AW1774" s="271"/>
      <c r="AX1774" s="271"/>
    </row>
    <row r="1775" spans="49:50">
      <c r="AW1775" s="271"/>
      <c r="AX1775" s="271"/>
    </row>
    <row r="1776" spans="49:50">
      <c r="AW1776" s="271"/>
      <c r="AX1776" s="271"/>
    </row>
    <row r="1777" spans="49:50">
      <c r="AW1777" s="271"/>
      <c r="AX1777" s="271"/>
    </row>
    <row r="1778" spans="49:50">
      <c r="AW1778" s="271"/>
      <c r="AX1778" s="271"/>
    </row>
    <row r="1779" spans="49:50">
      <c r="AW1779" s="271"/>
      <c r="AX1779" s="271"/>
    </row>
    <row r="1780" spans="49:50">
      <c r="AW1780" s="271"/>
      <c r="AX1780" s="271"/>
    </row>
    <row r="1781" spans="49:50">
      <c r="AW1781" s="271"/>
      <c r="AX1781" s="271"/>
    </row>
    <row r="1782" spans="49:50">
      <c r="AW1782" s="271"/>
      <c r="AX1782" s="271"/>
    </row>
    <row r="1783" spans="49:50">
      <c r="AW1783" s="271"/>
      <c r="AX1783" s="271"/>
    </row>
    <row r="1784" spans="49:50">
      <c r="AW1784" s="271"/>
      <c r="AX1784" s="271"/>
    </row>
    <row r="1785" spans="49:50">
      <c r="AW1785" s="271"/>
      <c r="AX1785" s="271"/>
    </row>
    <row r="1786" spans="49:50">
      <c r="AW1786" s="271"/>
      <c r="AX1786" s="271"/>
    </row>
    <row r="1787" spans="49:50">
      <c r="AW1787" s="271"/>
      <c r="AX1787" s="271"/>
    </row>
    <row r="1788" spans="49:50">
      <c r="AW1788" s="271"/>
      <c r="AX1788" s="271"/>
    </row>
    <row r="1789" spans="49:50">
      <c r="AW1789" s="271"/>
      <c r="AX1789" s="271"/>
    </row>
    <row r="1790" spans="49:50">
      <c r="AW1790" s="271"/>
      <c r="AX1790" s="271"/>
    </row>
    <row r="1791" spans="49:50">
      <c r="AW1791" s="271"/>
      <c r="AX1791" s="271"/>
    </row>
    <row r="1792" spans="49:50">
      <c r="AW1792" s="271"/>
      <c r="AX1792" s="271"/>
    </row>
    <row r="1793" spans="49:50">
      <c r="AW1793" s="271"/>
      <c r="AX1793" s="271"/>
    </row>
    <row r="1794" spans="49:50">
      <c r="AW1794" s="271"/>
      <c r="AX1794" s="271"/>
    </row>
    <row r="1795" spans="49:50">
      <c r="AW1795" s="271"/>
      <c r="AX1795" s="271"/>
    </row>
    <row r="1796" spans="49:50">
      <c r="AW1796" s="271"/>
      <c r="AX1796" s="271"/>
    </row>
    <row r="1797" spans="49:50">
      <c r="AW1797" s="271"/>
      <c r="AX1797" s="271"/>
    </row>
    <row r="1798" spans="49:50">
      <c r="AW1798" s="271"/>
      <c r="AX1798" s="271"/>
    </row>
    <row r="1799" spans="49:50">
      <c r="AW1799" s="271"/>
      <c r="AX1799" s="271"/>
    </row>
    <row r="1800" spans="49:50">
      <c r="AW1800" s="271"/>
      <c r="AX1800" s="271"/>
    </row>
    <row r="1801" spans="49:50">
      <c r="AW1801" s="271"/>
      <c r="AX1801" s="271"/>
    </row>
    <row r="1802" spans="49:50">
      <c r="AW1802" s="271"/>
      <c r="AX1802" s="271"/>
    </row>
    <row r="1803" spans="49:50">
      <c r="AW1803" s="271"/>
      <c r="AX1803" s="271"/>
    </row>
    <row r="1804" spans="49:50">
      <c r="AW1804" s="271"/>
      <c r="AX1804" s="271"/>
    </row>
    <row r="1805" spans="49:50">
      <c r="AW1805" s="271"/>
      <c r="AX1805" s="271"/>
    </row>
    <row r="1806" spans="49:50">
      <c r="AW1806" s="271"/>
      <c r="AX1806" s="271"/>
    </row>
    <row r="1807" spans="49:50">
      <c r="AW1807" s="271"/>
      <c r="AX1807" s="271"/>
    </row>
    <row r="1808" spans="49:50">
      <c r="AW1808" s="271"/>
      <c r="AX1808" s="271"/>
    </row>
    <row r="1809" spans="49:50">
      <c r="AW1809" s="271"/>
      <c r="AX1809" s="271"/>
    </row>
    <row r="1810" spans="49:50">
      <c r="AW1810" s="271"/>
      <c r="AX1810" s="271"/>
    </row>
    <row r="1811" spans="49:50">
      <c r="AW1811" s="271"/>
      <c r="AX1811" s="271"/>
    </row>
    <row r="1812" spans="49:50">
      <c r="AW1812" s="271"/>
      <c r="AX1812" s="271"/>
    </row>
    <row r="1813" spans="49:50">
      <c r="AW1813" s="271"/>
      <c r="AX1813" s="271"/>
    </row>
    <row r="1814" spans="49:50">
      <c r="AW1814" s="271"/>
      <c r="AX1814" s="271"/>
    </row>
    <row r="1815" spans="49:50">
      <c r="AW1815" s="271"/>
      <c r="AX1815" s="271"/>
    </row>
    <row r="1816" spans="49:50">
      <c r="AW1816" s="271"/>
      <c r="AX1816" s="271"/>
    </row>
    <row r="1817" spans="49:50">
      <c r="AW1817" s="271"/>
      <c r="AX1817" s="271"/>
    </row>
    <row r="1818" spans="49:50">
      <c r="AW1818" s="271"/>
      <c r="AX1818" s="271"/>
    </row>
    <row r="1819" spans="49:50">
      <c r="AW1819" s="271"/>
      <c r="AX1819" s="271"/>
    </row>
    <row r="1820" spans="49:50">
      <c r="AW1820" s="271"/>
      <c r="AX1820" s="271"/>
    </row>
    <row r="1821" spans="49:50">
      <c r="AW1821" s="271"/>
      <c r="AX1821" s="271"/>
    </row>
    <row r="1822" spans="49:50">
      <c r="AW1822" s="271"/>
      <c r="AX1822" s="271"/>
    </row>
    <row r="1823" spans="49:50">
      <c r="AW1823" s="271"/>
      <c r="AX1823" s="271"/>
    </row>
    <row r="1824" spans="49:50">
      <c r="AW1824" s="271"/>
      <c r="AX1824" s="271"/>
    </row>
    <row r="1825" spans="49:50">
      <c r="AW1825" s="271"/>
      <c r="AX1825" s="271"/>
    </row>
    <row r="1826" spans="49:50">
      <c r="AW1826" s="271"/>
      <c r="AX1826" s="271"/>
    </row>
    <row r="1827" spans="49:50">
      <c r="AW1827" s="271"/>
      <c r="AX1827" s="271"/>
    </row>
    <row r="1828" spans="49:50">
      <c r="AW1828" s="271"/>
      <c r="AX1828" s="271"/>
    </row>
    <row r="1829" spans="49:50">
      <c r="AW1829" s="271"/>
      <c r="AX1829" s="271"/>
    </row>
    <row r="1830" spans="49:50">
      <c r="AW1830" s="271"/>
      <c r="AX1830" s="271"/>
    </row>
    <row r="1831" spans="49:50">
      <c r="AW1831" s="271"/>
      <c r="AX1831" s="271"/>
    </row>
    <row r="1832" spans="49:50">
      <c r="AW1832" s="271"/>
      <c r="AX1832" s="271"/>
    </row>
    <row r="1833" spans="49:50">
      <c r="AW1833" s="271"/>
      <c r="AX1833" s="271"/>
    </row>
    <row r="1834" spans="49:50">
      <c r="AW1834" s="271"/>
      <c r="AX1834" s="271"/>
    </row>
    <row r="1835" spans="49:50">
      <c r="AW1835" s="271"/>
      <c r="AX1835" s="271"/>
    </row>
    <row r="1836" spans="49:50">
      <c r="AW1836" s="271"/>
      <c r="AX1836" s="271"/>
    </row>
    <row r="1837" spans="49:50">
      <c r="AW1837" s="271"/>
      <c r="AX1837" s="271"/>
    </row>
    <row r="1838" spans="49:50">
      <c r="AW1838" s="271"/>
      <c r="AX1838" s="271"/>
    </row>
    <row r="1839" spans="49:50">
      <c r="AW1839" s="271"/>
      <c r="AX1839" s="271"/>
    </row>
    <row r="1840" spans="49:50">
      <c r="AW1840" s="271"/>
      <c r="AX1840" s="271"/>
    </row>
    <row r="1841" spans="49:50">
      <c r="AW1841" s="271"/>
      <c r="AX1841" s="271"/>
    </row>
    <row r="1842" spans="49:50">
      <c r="AW1842" s="271"/>
      <c r="AX1842" s="271"/>
    </row>
    <row r="1843" spans="49:50">
      <c r="AW1843" s="271"/>
      <c r="AX1843" s="271"/>
    </row>
    <row r="1844" spans="49:50">
      <c r="AW1844" s="271"/>
      <c r="AX1844" s="271"/>
    </row>
    <row r="1845" spans="49:50">
      <c r="AW1845" s="271"/>
      <c r="AX1845" s="271"/>
    </row>
    <row r="1846" spans="49:50">
      <c r="AW1846" s="271"/>
      <c r="AX1846" s="271"/>
    </row>
    <row r="1847" spans="49:50">
      <c r="AW1847" s="271"/>
      <c r="AX1847" s="271"/>
    </row>
    <row r="1848" spans="49:50">
      <c r="AW1848" s="271"/>
      <c r="AX1848" s="271"/>
    </row>
    <row r="1849" spans="49:50">
      <c r="AW1849" s="271"/>
      <c r="AX1849" s="271"/>
    </row>
    <row r="1850" spans="49:50">
      <c r="AW1850" s="271"/>
      <c r="AX1850" s="271"/>
    </row>
    <row r="1851" spans="49:50">
      <c r="AW1851" s="271"/>
      <c r="AX1851" s="271"/>
    </row>
    <row r="1852" spans="49:50">
      <c r="AW1852" s="271"/>
      <c r="AX1852" s="271"/>
    </row>
    <row r="1853" spans="49:50">
      <c r="AW1853" s="271"/>
      <c r="AX1853" s="271"/>
    </row>
    <row r="1854" spans="49:50">
      <c r="AW1854" s="271"/>
      <c r="AX1854" s="271"/>
    </row>
    <row r="1855" spans="49:50">
      <c r="AW1855" s="271"/>
      <c r="AX1855" s="271"/>
    </row>
    <row r="1856" spans="49:50">
      <c r="AW1856" s="271"/>
      <c r="AX1856" s="271"/>
    </row>
    <row r="1857" spans="49:50">
      <c r="AW1857" s="271"/>
      <c r="AX1857" s="271"/>
    </row>
    <row r="1858" spans="49:50">
      <c r="AW1858" s="271"/>
      <c r="AX1858" s="271"/>
    </row>
    <row r="1859" spans="49:50">
      <c r="AW1859" s="271"/>
      <c r="AX1859" s="271"/>
    </row>
    <row r="1860" spans="49:50">
      <c r="AW1860" s="271"/>
      <c r="AX1860" s="271"/>
    </row>
    <row r="1861" spans="49:50">
      <c r="AW1861" s="271"/>
      <c r="AX1861" s="271"/>
    </row>
    <row r="1862" spans="49:50">
      <c r="AW1862" s="271"/>
      <c r="AX1862" s="271"/>
    </row>
    <row r="1863" spans="49:50">
      <c r="AW1863" s="271"/>
      <c r="AX1863" s="271"/>
    </row>
    <row r="1864" spans="49:50">
      <c r="AW1864" s="271"/>
      <c r="AX1864" s="271"/>
    </row>
    <row r="1865" spans="49:50">
      <c r="AW1865" s="271"/>
      <c r="AX1865" s="271"/>
    </row>
    <row r="1866" spans="49:50">
      <c r="AW1866" s="271"/>
      <c r="AX1866" s="271"/>
    </row>
    <row r="1867" spans="49:50">
      <c r="AW1867" s="271"/>
      <c r="AX1867" s="271"/>
    </row>
    <row r="1868" spans="49:50">
      <c r="AW1868" s="271"/>
      <c r="AX1868" s="271"/>
    </row>
    <row r="1869" spans="49:50">
      <c r="AW1869" s="271"/>
      <c r="AX1869" s="271"/>
    </row>
    <row r="1870" spans="49:50">
      <c r="AW1870" s="271"/>
      <c r="AX1870" s="271"/>
    </row>
    <row r="1871" spans="49:50">
      <c r="AW1871" s="271"/>
      <c r="AX1871" s="271"/>
    </row>
    <row r="1872" spans="49:50">
      <c r="AW1872" s="271"/>
      <c r="AX1872" s="271"/>
    </row>
    <row r="1873" spans="49:50">
      <c r="AW1873" s="271"/>
      <c r="AX1873" s="271"/>
    </row>
    <row r="1874" spans="49:50">
      <c r="AW1874" s="271"/>
      <c r="AX1874" s="271"/>
    </row>
    <row r="1875" spans="49:50">
      <c r="AW1875" s="271"/>
      <c r="AX1875" s="271"/>
    </row>
    <row r="1876" spans="49:50">
      <c r="AW1876" s="271"/>
      <c r="AX1876" s="271"/>
    </row>
    <row r="1877" spans="49:50">
      <c r="AW1877" s="271"/>
      <c r="AX1877" s="271"/>
    </row>
    <row r="1878" spans="49:50">
      <c r="AW1878" s="271"/>
      <c r="AX1878" s="271"/>
    </row>
    <row r="1879" spans="49:50">
      <c r="AW1879" s="271"/>
      <c r="AX1879" s="271"/>
    </row>
    <row r="1880" spans="49:50">
      <c r="AW1880" s="271"/>
      <c r="AX1880" s="271"/>
    </row>
    <row r="1881" spans="49:50">
      <c r="AW1881" s="271"/>
      <c r="AX1881" s="271"/>
    </row>
    <row r="1882" spans="49:50">
      <c r="AW1882" s="271"/>
      <c r="AX1882" s="271"/>
    </row>
    <row r="1883" spans="49:50">
      <c r="AW1883" s="271"/>
      <c r="AX1883" s="271"/>
    </row>
    <row r="1884" spans="49:50">
      <c r="AW1884" s="271"/>
      <c r="AX1884" s="271"/>
    </row>
    <row r="1885" spans="49:50">
      <c r="AW1885" s="271"/>
      <c r="AX1885" s="271"/>
    </row>
    <row r="1886" spans="49:50">
      <c r="AW1886" s="271"/>
      <c r="AX1886" s="271"/>
    </row>
    <row r="1887" spans="49:50">
      <c r="AW1887" s="271"/>
      <c r="AX1887" s="271"/>
    </row>
    <row r="1888" spans="49:50">
      <c r="AW1888" s="271"/>
      <c r="AX1888" s="271"/>
    </row>
    <row r="1889" spans="49:50">
      <c r="AW1889" s="271"/>
      <c r="AX1889" s="271"/>
    </row>
    <row r="1890" spans="49:50">
      <c r="AW1890" s="271"/>
      <c r="AX1890" s="271"/>
    </row>
    <row r="1891" spans="49:50">
      <c r="AW1891" s="271"/>
      <c r="AX1891" s="271"/>
    </row>
    <row r="1892" spans="49:50">
      <c r="AW1892" s="271"/>
      <c r="AX1892" s="271"/>
    </row>
    <row r="1893" spans="49:50">
      <c r="AW1893" s="271"/>
      <c r="AX1893" s="271"/>
    </row>
    <row r="1894" spans="49:50">
      <c r="AW1894" s="271"/>
      <c r="AX1894" s="271"/>
    </row>
    <row r="1895" spans="49:50">
      <c r="AW1895" s="271"/>
      <c r="AX1895" s="271"/>
    </row>
    <row r="1896" spans="49:50">
      <c r="AW1896" s="271"/>
      <c r="AX1896" s="271"/>
    </row>
    <row r="1897" spans="49:50">
      <c r="AW1897" s="271"/>
      <c r="AX1897" s="271"/>
    </row>
    <row r="1898" spans="49:50">
      <c r="AW1898" s="271"/>
      <c r="AX1898" s="271"/>
    </row>
    <row r="1899" spans="49:50">
      <c r="AW1899" s="271"/>
      <c r="AX1899" s="271"/>
    </row>
    <row r="1900" spans="49:50">
      <c r="AW1900" s="271"/>
      <c r="AX1900" s="271"/>
    </row>
    <row r="1901" spans="49:50">
      <c r="AW1901" s="271"/>
      <c r="AX1901" s="271"/>
    </row>
    <row r="1902" spans="49:50">
      <c r="AW1902" s="271"/>
      <c r="AX1902" s="271"/>
    </row>
    <row r="1903" spans="49:50">
      <c r="AW1903" s="271"/>
      <c r="AX1903" s="271"/>
    </row>
    <row r="1904" spans="49:50">
      <c r="AW1904" s="271"/>
      <c r="AX1904" s="271"/>
    </row>
    <row r="1905" spans="49:50">
      <c r="AW1905" s="271"/>
      <c r="AX1905" s="271"/>
    </row>
    <row r="1906" spans="49:50">
      <c r="AW1906" s="271"/>
      <c r="AX1906" s="271"/>
    </row>
    <row r="1907" spans="49:50">
      <c r="AW1907" s="271"/>
      <c r="AX1907" s="271"/>
    </row>
    <row r="1908" spans="49:50">
      <c r="AW1908" s="271"/>
      <c r="AX1908" s="271"/>
    </row>
    <row r="1909" spans="49:50">
      <c r="AW1909" s="271"/>
      <c r="AX1909" s="271"/>
    </row>
    <row r="1910" spans="49:50">
      <c r="AW1910" s="271"/>
      <c r="AX1910" s="271"/>
    </row>
    <row r="1911" spans="49:50">
      <c r="AW1911" s="271"/>
      <c r="AX1911" s="271"/>
    </row>
    <row r="1912" spans="49:50">
      <c r="AW1912" s="271"/>
      <c r="AX1912" s="271"/>
    </row>
    <row r="1913" spans="49:50">
      <c r="AW1913" s="271"/>
      <c r="AX1913" s="271"/>
    </row>
    <row r="1914" spans="49:50">
      <c r="AW1914" s="271"/>
      <c r="AX1914" s="271"/>
    </row>
    <row r="1915" spans="49:50">
      <c r="AW1915" s="271"/>
      <c r="AX1915" s="271"/>
    </row>
    <row r="1916" spans="49:50">
      <c r="AW1916" s="271"/>
      <c r="AX1916" s="271"/>
    </row>
    <row r="1917" spans="49:50">
      <c r="AW1917" s="271"/>
      <c r="AX1917" s="271"/>
    </row>
    <row r="1918" spans="49:50">
      <c r="AW1918" s="271"/>
      <c r="AX1918" s="271"/>
    </row>
    <row r="1919" spans="49:50">
      <c r="AW1919" s="271"/>
      <c r="AX1919" s="271"/>
    </row>
    <row r="1920" spans="49:50">
      <c r="AW1920" s="271"/>
      <c r="AX1920" s="271"/>
    </row>
    <row r="1921" spans="49:50">
      <c r="AW1921" s="271"/>
      <c r="AX1921" s="271"/>
    </row>
    <row r="1922" spans="49:50">
      <c r="AW1922" s="271"/>
      <c r="AX1922" s="271"/>
    </row>
    <row r="1923" spans="49:50">
      <c r="AW1923" s="271"/>
      <c r="AX1923" s="271"/>
    </row>
    <row r="1924" spans="49:50">
      <c r="AW1924" s="271"/>
      <c r="AX1924" s="271"/>
    </row>
    <row r="1925" spans="49:50">
      <c r="AW1925" s="271"/>
      <c r="AX1925" s="271"/>
    </row>
    <row r="1926" spans="49:50">
      <c r="AW1926" s="271"/>
      <c r="AX1926" s="271"/>
    </row>
    <row r="1927" spans="49:50">
      <c r="AW1927" s="271"/>
      <c r="AX1927" s="271"/>
    </row>
    <row r="1928" spans="49:50">
      <c r="AW1928" s="271"/>
      <c r="AX1928" s="271"/>
    </row>
    <row r="1929" spans="49:50">
      <c r="AW1929" s="271"/>
      <c r="AX1929" s="271"/>
    </row>
    <row r="1930" spans="49:50">
      <c r="AW1930" s="271"/>
      <c r="AX1930" s="271"/>
    </row>
    <row r="1931" spans="49:50">
      <c r="AW1931" s="271"/>
      <c r="AX1931" s="271"/>
    </row>
    <row r="1932" spans="49:50">
      <c r="AW1932" s="271"/>
      <c r="AX1932" s="271"/>
    </row>
    <row r="1933" spans="49:50">
      <c r="AW1933" s="271"/>
      <c r="AX1933" s="271"/>
    </row>
    <row r="1934" spans="49:50">
      <c r="AW1934" s="271"/>
      <c r="AX1934" s="271"/>
    </row>
    <row r="1935" spans="49:50">
      <c r="AW1935" s="271"/>
      <c r="AX1935" s="271"/>
    </row>
    <row r="1936" spans="49:50">
      <c r="AW1936" s="271"/>
      <c r="AX1936" s="271"/>
    </row>
    <row r="1937" spans="49:50">
      <c r="AW1937" s="271"/>
      <c r="AX1937" s="271"/>
    </row>
    <row r="1938" spans="49:50">
      <c r="AW1938" s="271"/>
      <c r="AX1938" s="271"/>
    </row>
    <row r="1939" spans="49:50">
      <c r="AW1939" s="271"/>
      <c r="AX1939" s="271"/>
    </row>
    <row r="1940" spans="49:50">
      <c r="AW1940" s="271"/>
      <c r="AX1940" s="271"/>
    </row>
    <row r="1941" spans="49:50">
      <c r="AW1941" s="271"/>
      <c r="AX1941" s="271"/>
    </row>
    <row r="1942" spans="49:50">
      <c r="AW1942" s="271"/>
      <c r="AX1942" s="271"/>
    </row>
    <row r="1943" spans="49:50">
      <c r="AW1943" s="271"/>
      <c r="AX1943" s="271"/>
    </row>
    <row r="1944" spans="49:50">
      <c r="AW1944" s="271"/>
      <c r="AX1944" s="271"/>
    </row>
    <row r="1945" spans="49:50">
      <c r="AW1945" s="271"/>
      <c r="AX1945" s="271"/>
    </row>
    <row r="1946" spans="49:50">
      <c r="AW1946" s="271"/>
      <c r="AX1946" s="271"/>
    </row>
    <row r="1947" spans="49:50">
      <c r="AW1947" s="271"/>
      <c r="AX1947" s="271"/>
    </row>
    <row r="1948" spans="49:50">
      <c r="AW1948" s="271"/>
      <c r="AX1948" s="271"/>
    </row>
    <row r="1949" spans="49:50">
      <c r="AW1949" s="271"/>
      <c r="AX1949" s="271"/>
    </row>
    <row r="1950" spans="49:50">
      <c r="AW1950" s="271"/>
      <c r="AX1950" s="271"/>
    </row>
    <row r="1951" spans="49:50">
      <c r="AW1951" s="271"/>
      <c r="AX1951" s="271"/>
    </row>
    <row r="1952" spans="49:50">
      <c r="AW1952" s="271"/>
      <c r="AX1952" s="271"/>
    </row>
    <row r="1953" spans="49:50">
      <c r="AW1953" s="271"/>
      <c r="AX1953" s="271"/>
    </row>
    <row r="1954" spans="49:50">
      <c r="AW1954" s="271"/>
      <c r="AX1954" s="271"/>
    </row>
    <row r="1955" spans="49:50">
      <c r="AW1955" s="271"/>
      <c r="AX1955" s="271"/>
    </row>
    <row r="1956" spans="49:50">
      <c r="AW1956" s="271"/>
      <c r="AX1956" s="271"/>
    </row>
    <row r="1957" spans="49:50">
      <c r="AW1957" s="271"/>
      <c r="AX1957" s="271"/>
    </row>
    <row r="1958" spans="49:50">
      <c r="AW1958" s="271"/>
      <c r="AX1958" s="271"/>
    </row>
    <row r="1959" spans="49:50">
      <c r="AW1959" s="271"/>
      <c r="AX1959" s="271"/>
    </row>
    <row r="1960" spans="49:50">
      <c r="AW1960" s="271"/>
      <c r="AX1960" s="271"/>
    </row>
    <row r="1961" spans="49:50">
      <c r="AW1961" s="271"/>
      <c r="AX1961" s="271"/>
    </row>
    <row r="1962" spans="49:50">
      <c r="AW1962" s="271"/>
      <c r="AX1962" s="271"/>
    </row>
    <row r="1963" spans="49:50">
      <c r="AW1963" s="271"/>
      <c r="AX1963" s="271"/>
    </row>
    <row r="1964" spans="49:50">
      <c r="AW1964" s="271"/>
      <c r="AX1964" s="271"/>
    </row>
    <row r="1965" spans="49:50">
      <c r="AW1965" s="271"/>
      <c r="AX1965" s="271"/>
    </row>
    <row r="1966" spans="49:50">
      <c r="AW1966" s="271"/>
      <c r="AX1966" s="271"/>
    </row>
    <row r="1967" spans="49:50">
      <c r="AW1967" s="271"/>
      <c r="AX1967" s="271"/>
    </row>
    <row r="1968" spans="49:50">
      <c r="AW1968" s="271"/>
      <c r="AX1968" s="271"/>
    </row>
    <row r="1969" spans="49:50">
      <c r="AW1969" s="271"/>
      <c r="AX1969" s="271"/>
    </row>
    <row r="1970" spans="49:50">
      <c r="AW1970" s="271"/>
      <c r="AX1970" s="271"/>
    </row>
    <row r="1971" spans="49:50">
      <c r="AW1971" s="271"/>
      <c r="AX1971" s="271"/>
    </row>
    <row r="1972" spans="49:50">
      <c r="AW1972" s="271"/>
      <c r="AX1972" s="271"/>
    </row>
    <row r="1973" spans="49:50">
      <c r="AW1973" s="271"/>
      <c r="AX1973" s="271"/>
    </row>
    <row r="1974" spans="49:50">
      <c r="AW1974" s="271"/>
      <c r="AX1974" s="271"/>
    </row>
    <row r="1975" spans="49:50">
      <c r="AW1975" s="271"/>
      <c r="AX1975" s="271"/>
    </row>
    <row r="1976" spans="49:50">
      <c r="AW1976" s="271"/>
      <c r="AX1976" s="271"/>
    </row>
    <row r="1977" spans="49:50">
      <c r="AW1977" s="271"/>
      <c r="AX1977" s="271"/>
    </row>
    <row r="1978" spans="49:50">
      <c r="AW1978" s="271"/>
      <c r="AX1978" s="271"/>
    </row>
    <row r="1979" spans="49:50">
      <c r="AW1979" s="271"/>
      <c r="AX1979" s="271"/>
    </row>
    <row r="1980" spans="49:50">
      <c r="AW1980" s="271"/>
      <c r="AX1980" s="271"/>
    </row>
    <row r="1981" spans="49:50">
      <c r="AW1981" s="271"/>
      <c r="AX1981" s="271"/>
    </row>
    <row r="1982" spans="49:50">
      <c r="AW1982" s="271"/>
      <c r="AX1982" s="271"/>
    </row>
    <row r="1983" spans="49:50">
      <c r="AW1983" s="271"/>
      <c r="AX1983" s="271"/>
    </row>
    <row r="1984" spans="49:50">
      <c r="AW1984" s="271"/>
      <c r="AX1984" s="271"/>
    </row>
    <row r="1985" spans="49:50">
      <c r="AW1985" s="271"/>
      <c r="AX1985" s="271"/>
    </row>
    <row r="1986" spans="49:50">
      <c r="AW1986" s="271"/>
      <c r="AX1986" s="271"/>
    </row>
    <row r="1987" spans="49:50">
      <c r="AW1987" s="271"/>
      <c r="AX1987" s="271"/>
    </row>
    <row r="1988" spans="49:50">
      <c r="AW1988" s="271"/>
      <c r="AX1988" s="271"/>
    </row>
    <row r="1989" spans="49:50">
      <c r="AW1989" s="271"/>
      <c r="AX1989" s="271"/>
    </row>
    <row r="1990" spans="49:50">
      <c r="AW1990" s="271"/>
      <c r="AX1990" s="271"/>
    </row>
    <row r="1991" spans="49:50">
      <c r="AW1991" s="271"/>
      <c r="AX1991" s="271"/>
    </row>
    <row r="1992" spans="49:50">
      <c r="AW1992" s="271"/>
      <c r="AX1992" s="271"/>
    </row>
    <row r="1993" spans="49:50">
      <c r="AW1993" s="271"/>
      <c r="AX1993" s="271"/>
    </row>
    <row r="1994" spans="49:50">
      <c r="AW1994" s="271"/>
      <c r="AX1994" s="271"/>
    </row>
    <row r="1995" spans="49:50">
      <c r="AW1995" s="271"/>
      <c r="AX1995" s="271"/>
    </row>
    <row r="1996" spans="49:50">
      <c r="AW1996" s="271"/>
      <c r="AX1996" s="271"/>
    </row>
    <row r="1997" spans="49:50">
      <c r="AW1997" s="271"/>
      <c r="AX1997" s="271"/>
    </row>
    <row r="1998" spans="49:50">
      <c r="AW1998" s="271"/>
      <c r="AX1998" s="271"/>
    </row>
    <row r="1999" spans="49:50">
      <c r="AW1999" s="271"/>
      <c r="AX1999" s="271"/>
    </row>
    <row r="2000" spans="49:50">
      <c r="AW2000" s="271"/>
      <c r="AX2000" s="271"/>
    </row>
    <row r="2001" spans="49:50">
      <c r="AW2001" s="271"/>
      <c r="AX2001" s="271"/>
    </row>
    <row r="2002" spans="49:50">
      <c r="AW2002" s="271"/>
      <c r="AX2002" s="271"/>
    </row>
    <row r="2003" spans="49:50">
      <c r="AW2003" s="271"/>
      <c r="AX2003" s="271"/>
    </row>
    <row r="2004" spans="49:50">
      <c r="AW2004" s="271"/>
      <c r="AX2004" s="271"/>
    </row>
    <row r="2005" spans="49:50">
      <c r="AW2005" s="271"/>
      <c r="AX2005" s="271"/>
    </row>
    <row r="2006" spans="49:50">
      <c r="AW2006" s="271"/>
      <c r="AX2006" s="271"/>
    </row>
    <row r="2007" spans="49:50">
      <c r="AW2007" s="271"/>
      <c r="AX2007" s="271"/>
    </row>
    <row r="2008" spans="49:50">
      <c r="AW2008" s="271"/>
      <c r="AX2008" s="271"/>
    </row>
    <row r="2009" spans="49:50">
      <c r="AW2009" s="271"/>
      <c r="AX2009" s="271"/>
    </row>
    <row r="2010" spans="49:50">
      <c r="AW2010" s="271"/>
      <c r="AX2010" s="271"/>
    </row>
    <row r="2011" spans="49:50">
      <c r="AW2011" s="271"/>
      <c r="AX2011" s="271"/>
    </row>
    <row r="2012" spans="49:50">
      <c r="AW2012" s="271"/>
      <c r="AX2012" s="271"/>
    </row>
    <row r="2013" spans="49:50">
      <c r="AW2013" s="271"/>
      <c r="AX2013" s="271"/>
    </row>
    <row r="2014" spans="49:50">
      <c r="AW2014" s="271"/>
      <c r="AX2014" s="271"/>
    </row>
    <row r="2015" spans="49:50">
      <c r="AW2015" s="271"/>
      <c r="AX2015" s="271"/>
    </row>
    <row r="2016" spans="49:50">
      <c r="AW2016" s="271"/>
      <c r="AX2016" s="271"/>
    </row>
    <row r="2017" spans="49:50">
      <c r="AW2017" s="271"/>
      <c r="AX2017" s="271"/>
    </row>
    <row r="2018" spans="49:50">
      <c r="AW2018" s="271"/>
      <c r="AX2018" s="271"/>
    </row>
    <row r="2019" spans="49:50">
      <c r="AW2019" s="271"/>
      <c r="AX2019" s="271"/>
    </row>
    <row r="2020" spans="49:50">
      <c r="AW2020" s="271"/>
      <c r="AX2020" s="271"/>
    </row>
    <row r="2021" spans="49:50">
      <c r="AW2021" s="271"/>
      <c r="AX2021" s="271"/>
    </row>
    <row r="2022" spans="49:50">
      <c r="AW2022" s="271"/>
      <c r="AX2022" s="271"/>
    </row>
    <row r="2023" spans="49:50">
      <c r="AW2023" s="271"/>
      <c r="AX2023" s="271"/>
    </row>
    <row r="2024" spans="49:50">
      <c r="AW2024" s="271"/>
      <c r="AX2024" s="271"/>
    </row>
    <row r="2025" spans="49:50">
      <c r="AW2025" s="271"/>
      <c r="AX2025" s="271"/>
    </row>
    <row r="2026" spans="49:50">
      <c r="AW2026" s="271"/>
      <c r="AX2026" s="271"/>
    </row>
    <row r="2027" spans="49:50">
      <c r="AW2027" s="271"/>
      <c r="AX2027" s="271"/>
    </row>
    <row r="2028" spans="49:50">
      <c r="AW2028" s="271"/>
      <c r="AX2028" s="271"/>
    </row>
    <row r="2029" spans="49:50">
      <c r="AW2029" s="271"/>
      <c r="AX2029" s="271"/>
    </row>
    <row r="2030" spans="49:50">
      <c r="AW2030" s="271"/>
      <c r="AX2030" s="271"/>
    </row>
    <row r="2031" spans="49:50">
      <c r="AW2031" s="271"/>
      <c r="AX2031" s="271"/>
    </row>
    <row r="2032" spans="49:50">
      <c r="AW2032" s="271"/>
      <c r="AX2032" s="271"/>
    </row>
    <row r="2033" spans="49:50">
      <c r="AW2033" s="271"/>
      <c r="AX2033" s="271"/>
    </row>
    <row r="2034" spans="49:50">
      <c r="AW2034" s="271"/>
      <c r="AX2034" s="271"/>
    </row>
    <row r="2035" spans="49:50">
      <c r="AW2035" s="271"/>
      <c r="AX2035" s="271"/>
    </row>
    <row r="2036" spans="49:50">
      <c r="AW2036" s="271"/>
      <c r="AX2036" s="271"/>
    </row>
    <row r="2037" spans="49:50">
      <c r="AW2037" s="271"/>
      <c r="AX2037" s="271"/>
    </row>
    <row r="2038" spans="49:50">
      <c r="AW2038" s="271"/>
      <c r="AX2038" s="271"/>
    </row>
    <row r="2039" spans="49:50">
      <c r="AW2039" s="271"/>
      <c r="AX2039" s="271"/>
    </row>
    <row r="2040" spans="49:50">
      <c r="AW2040" s="271"/>
      <c r="AX2040" s="271"/>
    </row>
    <row r="2041" spans="49:50">
      <c r="AW2041" s="271"/>
      <c r="AX2041" s="271"/>
    </row>
    <row r="2042" spans="49:50">
      <c r="AW2042" s="271"/>
      <c r="AX2042" s="271"/>
    </row>
    <row r="2043" spans="49:50">
      <c r="AW2043" s="271"/>
      <c r="AX2043" s="271"/>
    </row>
    <row r="2044" spans="49:50">
      <c r="AW2044" s="271"/>
      <c r="AX2044" s="271"/>
    </row>
    <row r="2045" spans="49:50">
      <c r="AW2045" s="271"/>
      <c r="AX2045" s="271"/>
    </row>
    <row r="2046" spans="49:50">
      <c r="AW2046" s="271"/>
      <c r="AX2046" s="271"/>
    </row>
    <row r="2047" spans="49:50">
      <c r="AW2047" s="271"/>
      <c r="AX2047" s="271"/>
    </row>
    <row r="2048" spans="49:50">
      <c r="AW2048" s="271"/>
      <c r="AX2048" s="271"/>
    </row>
    <row r="2049" spans="49:50">
      <c r="AW2049" s="271"/>
      <c r="AX2049" s="271"/>
    </row>
    <row r="2050" spans="49:50">
      <c r="AW2050" s="271"/>
      <c r="AX2050" s="271"/>
    </row>
    <row r="2051" spans="49:50">
      <c r="AW2051" s="271"/>
      <c r="AX2051" s="271"/>
    </row>
    <row r="2052" spans="49:50">
      <c r="AW2052" s="271"/>
      <c r="AX2052" s="271"/>
    </row>
    <row r="2053" spans="49:50">
      <c r="AW2053" s="271"/>
      <c r="AX2053" s="271"/>
    </row>
    <row r="2054" spans="49:50">
      <c r="AW2054" s="271"/>
      <c r="AX2054" s="271"/>
    </row>
    <row r="2055" spans="49:50">
      <c r="AW2055" s="271"/>
      <c r="AX2055" s="271"/>
    </row>
    <row r="2056" spans="49:50">
      <c r="AW2056" s="271"/>
      <c r="AX2056" s="271"/>
    </row>
    <row r="2057" spans="49:50">
      <c r="AW2057" s="271"/>
      <c r="AX2057" s="271"/>
    </row>
    <row r="2058" spans="49:50">
      <c r="AW2058" s="271"/>
      <c r="AX2058" s="271"/>
    </row>
    <row r="2059" spans="49:50">
      <c r="AW2059" s="271"/>
      <c r="AX2059" s="271"/>
    </row>
    <row r="2060" spans="49:50">
      <c r="AW2060" s="271"/>
      <c r="AX2060" s="271"/>
    </row>
    <row r="2061" spans="49:50">
      <c r="AW2061" s="271"/>
      <c r="AX2061" s="271"/>
    </row>
    <row r="2062" spans="49:50">
      <c r="AW2062" s="271"/>
      <c r="AX2062" s="271"/>
    </row>
    <row r="2063" spans="49:50">
      <c r="AW2063" s="271"/>
      <c r="AX2063" s="271"/>
    </row>
    <row r="2064" spans="49:50">
      <c r="AW2064" s="271"/>
      <c r="AX2064" s="271"/>
    </row>
    <row r="2065" spans="49:50">
      <c r="AW2065" s="271"/>
      <c r="AX2065" s="271"/>
    </row>
    <row r="2066" spans="49:50">
      <c r="AW2066" s="271"/>
      <c r="AX2066" s="271"/>
    </row>
    <row r="2067" spans="49:50">
      <c r="AW2067" s="271"/>
      <c r="AX2067" s="271"/>
    </row>
    <row r="2068" spans="49:50">
      <c r="AW2068" s="271"/>
      <c r="AX2068" s="271"/>
    </row>
    <row r="2069" spans="49:50">
      <c r="AW2069" s="271"/>
      <c r="AX2069" s="271"/>
    </row>
    <row r="2070" spans="49:50">
      <c r="AW2070" s="271"/>
      <c r="AX2070" s="271"/>
    </row>
    <row r="2071" spans="49:50">
      <c r="AW2071" s="271"/>
      <c r="AX2071" s="271"/>
    </row>
    <row r="2072" spans="49:50">
      <c r="AW2072" s="271"/>
      <c r="AX2072" s="271"/>
    </row>
    <row r="2073" spans="49:50">
      <c r="AW2073" s="271"/>
      <c r="AX2073" s="271"/>
    </row>
    <row r="2074" spans="49:50">
      <c r="AW2074" s="271"/>
      <c r="AX2074" s="271"/>
    </row>
    <row r="2075" spans="49:50">
      <c r="AW2075" s="271"/>
      <c r="AX2075" s="271"/>
    </row>
    <row r="2076" spans="49:50">
      <c r="AW2076" s="271"/>
      <c r="AX2076" s="271"/>
    </row>
    <row r="2077" spans="49:50">
      <c r="AW2077" s="271"/>
      <c r="AX2077" s="271"/>
    </row>
    <row r="2078" spans="49:50">
      <c r="AW2078" s="271"/>
      <c r="AX2078" s="271"/>
    </row>
    <row r="2079" spans="49:50">
      <c r="AW2079" s="271"/>
      <c r="AX2079" s="271"/>
    </row>
    <row r="2080" spans="49:50">
      <c r="AW2080" s="271"/>
      <c r="AX2080" s="271"/>
    </row>
    <row r="2081" spans="49:50">
      <c r="AW2081" s="271"/>
      <c r="AX2081" s="271"/>
    </row>
    <row r="2082" spans="49:50">
      <c r="AW2082" s="271"/>
      <c r="AX2082" s="271"/>
    </row>
    <row r="2083" spans="49:50">
      <c r="AW2083" s="271"/>
      <c r="AX2083" s="271"/>
    </row>
    <row r="2084" spans="49:50">
      <c r="AW2084" s="271"/>
      <c r="AX2084" s="271"/>
    </row>
    <row r="2085" spans="49:50">
      <c r="AW2085" s="271"/>
      <c r="AX2085" s="271"/>
    </row>
    <row r="2086" spans="49:50">
      <c r="AW2086" s="271"/>
      <c r="AX2086" s="271"/>
    </row>
    <row r="2087" spans="49:50">
      <c r="AW2087" s="271"/>
      <c r="AX2087" s="271"/>
    </row>
    <row r="2088" spans="49:50">
      <c r="AW2088" s="271"/>
      <c r="AX2088" s="271"/>
    </row>
    <row r="2089" spans="49:50">
      <c r="AW2089" s="271"/>
      <c r="AX2089" s="271"/>
    </row>
    <row r="2090" spans="49:50">
      <c r="AW2090" s="271"/>
      <c r="AX2090" s="271"/>
    </row>
    <row r="2091" spans="49:50">
      <c r="AW2091" s="271"/>
      <c r="AX2091" s="271"/>
    </row>
    <row r="2092" spans="49:50">
      <c r="AW2092" s="271"/>
      <c r="AX2092" s="271"/>
    </row>
    <row r="2093" spans="49:50">
      <c r="AW2093" s="271"/>
      <c r="AX2093" s="271"/>
    </row>
    <row r="2094" spans="49:50">
      <c r="AW2094" s="271"/>
      <c r="AX2094" s="271"/>
    </row>
    <row r="2095" spans="49:50">
      <c r="AW2095" s="271"/>
      <c r="AX2095" s="271"/>
    </row>
    <row r="2096" spans="49:50">
      <c r="AW2096" s="271"/>
      <c r="AX2096" s="271"/>
    </row>
    <row r="2097" spans="49:50">
      <c r="AW2097" s="271"/>
      <c r="AX2097" s="271"/>
    </row>
    <row r="2098" spans="49:50">
      <c r="AW2098" s="271"/>
      <c r="AX2098" s="271"/>
    </row>
    <row r="2099" spans="49:50">
      <c r="AW2099" s="271"/>
      <c r="AX2099" s="271"/>
    </row>
    <row r="2100" spans="49:50">
      <c r="AW2100" s="271"/>
      <c r="AX2100" s="271"/>
    </row>
    <row r="2101" spans="49:50">
      <c r="AW2101" s="271"/>
      <c r="AX2101" s="271"/>
    </row>
    <row r="2102" spans="49:50">
      <c r="AW2102" s="271"/>
      <c r="AX2102" s="271"/>
    </row>
    <row r="2103" spans="49:50">
      <c r="AW2103" s="271"/>
      <c r="AX2103" s="271"/>
    </row>
    <row r="2104" spans="49:50">
      <c r="AW2104" s="271"/>
      <c r="AX2104" s="271"/>
    </row>
    <row r="2105" spans="49:50">
      <c r="AW2105" s="271"/>
      <c r="AX2105" s="271"/>
    </row>
    <row r="2106" spans="49:50">
      <c r="AW2106" s="271"/>
      <c r="AX2106" s="271"/>
    </row>
    <row r="2107" spans="49:50">
      <c r="AW2107" s="271"/>
      <c r="AX2107" s="271"/>
    </row>
    <row r="2108" spans="49:50">
      <c r="AW2108" s="271"/>
      <c r="AX2108" s="271"/>
    </row>
    <row r="2109" spans="49:50">
      <c r="AW2109" s="271"/>
      <c r="AX2109" s="271"/>
    </row>
    <row r="2110" spans="49:50">
      <c r="AW2110" s="271"/>
      <c r="AX2110" s="271"/>
    </row>
  </sheetData>
  <phoneticPr fontId="29" type="noConversion"/>
  <conditionalFormatting sqref="M3:T17">
    <cfRule type="expression" dxfId="21" priority="3">
      <formula xml:space="preserve"> "----------" = $S3</formula>
    </cfRule>
    <cfRule type="expression" dxfId="20" priority="5">
      <formula xml:space="preserve"> "پرداخت شد" = $S3</formula>
    </cfRule>
    <cfRule type="expression" dxfId="19" priority="6">
      <formula xml:space="preserve"> "خریداری شد" = $S3</formula>
    </cfRule>
    <cfRule type="expression" dxfId="18" priority="9">
      <formula xml:space="preserve"> "دریافت شد" = $S3</formula>
    </cfRule>
    <cfRule type="expression" dxfId="17" priority="10">
      <formula xml:space="preserve"> "-" = $S3</formula>
    </cfRule>
    <cfRule type="expression" dxfId="16" priority="11">
      <formula xml:space="preserve"> "S" = $O3</formula>
    </cfRule>
    <cfRule type="expression" dxfId="15" priority="12">
      <formula xml:space="preserve"> "A" = $O3</formula>
    </cfRule>
    <cfRule type="expression" dxfId="14" priority="13">
      <formula xml:space="preserve"> "B" = $O3</formula>
    </cfRule>
    <cfRule type="expression" dxfId="13" priority="14">
      <formula xml:space="preserve"> "C" = $O3</formula>
    </cfRule>
    <cfRule type="expression" dxfId="12" priority="15">
      <formula xml:space="preserve"> "D" = $O3</formula>
    </cfRule>
  </conditionalFormatting>
  <conditionalFormatting sqref="D2:K6">
    <cfRule type="expression" dxfId="11" priority="1">
      <formula xml:space="preserve"> $G2 &lt; 0</formula>
    </cfRule>
    <cfRule type="expression" dxfId="10" priority="2">
      <formula xml:space="preserve"> $G2 &gt; 0</formula>
    </cfRule>
  </conditionalFormatting>
  <dataValidations count="4">
    <dataValidation type="list" allowBlank="1" showInputMessage="1" showErrorMessage="1" sqref="H2:I6" xr:uid="{7C4D5CDD-7D9D-47C2-9180-4D6E95168ACC}">
      <formula1>$A$40:$A$48</formula1>
    </dataValidation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</dataValidations>
  <hyperlinks>
    <hyperlink ref="A3" location="فهرست!A1" display="فهرست" xr:uid="{87EE3D99-6BCA-49EC-A28E-C3BFE91C1183}"/>
    <hyperlink ref="A4" location="تراکنش‌ها!A1" display="تراکنش‌ها" xr:uid="{10ADEABA-3B3C-469A-9E7F-691B2DA5FAB0}"/>
    <hyperlink ref="T3" r:id="rId1" xr:uid="{861BB459-53CB-4B64-9044-CF02E7B39FC5}"/>
  </hyperlinks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I1019"/>
  <sheetViews>
    <sheetView rightToLeft="1" zoomScaleNormal="60" zoomScaleSheetLayoutView="100" workbookViewId="0">
      <selection activeCell="A16" sqref="A16:A18"/>
    </sheetView>
    <sheetView rightToLeft="1" workbookViewId="1"/>
  </sheetViews>
  <sheetFormatPr defaultRowHeight="15"/>
  <cols>
    <col min="1" max="1" width="30" style="333" customWidth="1"/>
    <col min="2" max="2" width="0.7109375" style="124" customWidth="1"/>
    <col min="3" max="3" width="4.5703125" style="301" customWidth="1"/>
    <col min="4" max="4" width="6.85546875" style="301" customWidth="1"/>
    <col min="5" max="7" width="18.28515625" style="301" customWidth="1"/>
    <col min="8" max="8" width="36.5703125" style="301" customWidth="1"/>
    <col min="9" max="9" width="9.140625" style="301" customWidth="1"/>
    <col min="10" max="10" width="18.28515625" style="301" customWidth="1"/>
    <col min="11" max="11" width="21" style="301" customWidth="1"/>
    <col min="12" max="13" width="18.28515625" style="301" customWidth="1"/>
    <col min="14" max="14" width="36.5703125" style="301" customWidth="1"/>
    <col min="15" max="15" width="18.28515625" style="301" customWidth="1"/>
    <col min="16" max="16" width="4.5703125" style="301" customWidth="1"/>
    <col min="17" max="17" width="6.85546875" style="301" customWidth="1"/>
    <col min="18" max="19" width="15.28515625" style="301" customWidth="1"/>
    <col min="20" max="20" width="36.5703125" style="301" customWidth="1"/>
    <col min="21" max="21" width="9.140625" style="301" customWidth="1"/>
    <col min="22" max="22" width="6.85546875" style="301" customWidth="1"/>
    <col min="23" max="28" width="15.28515625" style="301" customWidth="1"/>
    <col min="29" max="29" width="36.5703125" style="301" customWidth="1"/>
    <col min="30" max="30" width="4.5703125" style="301" customWidth="1"/>
    <col min="31" max="31" width="6.85546875" style="385" customWidth="1"/>
    <col min="32" max="33" width="18.28515625" style="384" customWidth="1"/>
    <col min="34" max="34" width="36.5703125" style="384" customWidth="1"/>
    <col min="35" max="36" width="18.28515625" style="384" customWidth="1"/>
    <col min="37" max="37" width="36.5703125" style="384" customWidth="1"/>
    <col min="38" max="38" width="4.5703125" style="301" customWidth="1"/>
    <col min="39" max="39" width="6.85546875" style="301" customWidth="1"/>
    <col min="40" max="41" width="18.28515625" style="301" customWidth="1"/>
    <col min="42" max="44" width="36.5703125" style="301" customWidth="1"/>
    <col min="45" max="46" width="18.28515625" style="301" customWidth="1"/>
    <col min="47" max="47" width="36.5703125" style="301" customWidth="1"/>
    <col min="48" max="48" width="4.5703125" style="301" customWidth="1"/>
    <col min="49" max="49" width="9.140625" style="384"/>
    <col min="50" max="51" width="18.28515625" style="384" customWidth="1"/>
    <col min="52" max="52" width="36.5703125" style="384" customWidth="1"/>
    <col min="53" max="53" width="18.28515625" style="384" customWidth="1"/>
    <col min="54" max="54" width="9.140625" style="385"/>
    <col min="55" max="55" width="24.28515625" style="384" customWidth="1"/>
    <col min="56" max="56" width="18.28515625" style="386" customWidth="1"/>
    <col min="57" max="58" width="20" style="386" customWidth="1"/>
    <col min="59" max="59" width="17.7109375" style="386" customWidth="1"/>
    <col min="60" max="60" width="23" style="385" customWidth="1"/>
    <col min="61" max="61" width="23" style="386" customWidth="1"/>
    <col min="62" max="62" width="25.85546875" style="301" customWidth="1"/>
    <col min="63" max="63" width="36.5703125" style="301" customWidth="1"/>
    <col min="64" max="64" width="0.7109375" style="301" customWidth="1"/>
    <col min="65" max="16384" width="9.140625" style="301"/>
  </cols>
  <sheetData>
    <row r="1" spans="1:61" ht="19.5" customHeight="1">
      <c r="A1" s="334" t="s">
        <v>1102</v>
      </c>
      <c r="D1" s="369" t="s">
        <v>1703</v>
      </c>
      <c r="E1" s="368"/>
      <c r="F1" s="367"/>
      <c r="G1" s="367"/>
      <c r="H1" s="376"/>
      <c r="I1" s="376"/>
      <c r="J1" s="376"/>
      <c r="K1" s="376"/>
      <c r="L1" s="376"/>
      <c r="M1" s="376"/>
      <c r="N1" s="376"/>
      <c r="O1" s="376"/>
      <c r="Q1" s="373" t="s">
        <v>1709</v>
      </c>
      <c r="R1" s="374"/>
      <c r="S1" s="374"/>
      <c r="T1" s="374"/>
      <c r="U1" s="372"/>
      <c r="V1" s="375"/>
      <c r="W1" s="375"/>
      <c r="X1" s="375"/>
      <c r="Y1" s="375"/>
      <c r="Z1" s="375"/>
      <c r="AA1" s="375"/>
      <c r="AB1" s="375"/>
      <c r="AC1" s="375"/>
      <c r="AE1" s="371" t="s">
        <v>1710</v>
      </c>
      <c r="AF1" s="371"/>
      <c r="AG1" s="371"/>
      <c r="AH1" s="371"/>
      <c r="AI1" s="383"/>
      <c r="AJ1" s="383"/>
      <c r="AK1" s="383"/>
      <c r="AM1" s="381" t="s">
        <v>1713</v>
      </c>
      <c r="AN1" s="380"/>
      <c r="AO1" s="380"/>
      <c r="AP1" s="380"/>
      <c r="AQ1" s="382"/>
      <c r="AR1" s="382"/>
      <c r="AS1" s="382"/>
      <c r="AT1" s="382"/>
      <c r="AU1" s="382"/>
    </row>
    <row r="2" spans="1:61">
      <c r="A2" s="124"/>
      <c r="D2" s="67" t="s">
        <v>1</v>
      </c>
      <c r="E2" s="67" t="s">
        <v>0</v>
      </c>
      <c r="F2" s="67" t="s">
        <v>1103</v>
      </c>
      <c r="G2" s="67" t="s">
        <v>1104</v>
      </c>
      <c r="H2" s="67" t="s">
        <v>1105</v>
      </c>
      <c r="I2" s="67" t="s">
        <v>1106</v>
      </c>
      <c r="J2" s="67" t="s">
        <v>1107</v>
      </c>
      <c r="K2" s="67" t="s">
        <v>1108</v>
      </c>
      <c r="L2" s="67" t="s">
        <v>1109</v>
      </c>
      <c r="M2" s="67" t="s">
        <v>1110</v>
      </c>
      <c r="N2" s="67" t="s">
        <v>1111</v>
      </c>
      <c r="O2" s="67" t="s">
        <v>1112</v>
      </c>
      <c r="Q2" s="338" t="s">
        <v>1</v>
      </c>
      <c r="R2" s="338" t="s">
        <v>1103</v>
      </c>
      <c r="S2" s="338" t="s">
        <v>1104</v>
      </c>
      <c r="T2" s="338" t="s">
        <v>1105</v>
      </c>
      <c r="U2" s="338" t="s">
        <v>1079</v>
      </c>
      <c r="V2" s="339" t="s">
        <v>1120</v>
      </c>
      <c r="W2" s="338" t="s">
        <v>1705</v>
      </c>
      <c r="X2" s="340" t="s">
        <v>1704</v>
      </c>
      <c r="Y2" s="340" t="s">
        <v>1706</v>
      </c>
      <c r="Z2" s="340" t="s">
        <v>1707</v>
      </c>
      <c r="AA2" s="340" t="s">
        <v>1708</v>
      </c>
      <c r="AB2" s="341" t="s">
        <v>1121</v>
      </c>
      <c r="AC2" s="341" t="s">
        <v>1111</v>
      </c>
      <c r="AE2" s="335" t="s">
        <v>1</v>
      </c>
      <c r="AF2" s="336" t="s">
        <v>1103</v>
      </c>
      <c r="AG2" s="336" t="s">
        <v>1104</v>
      </c>
      <c r="AH2" s="336" t="s">
        <v>1105</v>
      </c>
      <c r="AI2" s="336" t="s">
        <v>1113</v>
      </c>
      <c r="AJ2" s="336" t="s">
        <v>1114</v>
      </c>
      <c r="AK2" s="336" t="s">
        <v>1111</v>
      </c>
      <c r="AM2" s="337" t="s">
        <v>1</v>
      </c>
      <c r="AN2" s="337" t="s">
        <v>1103</v>
      </c>
      <c r="AO2" s="337" t="s">
        <v>1104</v>
      </c>
      <c r="AP2" s="337" t="s">
        <v>1105</v>
      </c>
      <c r="AQ2" s="337" t="s">
        <v>1115</v>
      </c>
      <c r="AR2" s="337" t="s">
        <v>1116</v>
      </c>
      <c r="AS2" s="337" t="s">
        <v>1117</v>
      </c>
      <c r="AT2" s="337" t="s">
        <v>1118</v>
      </c>
      <c r="AU2" s="337" t="s">
        <v>1119</v>
      </c>
    </row>
    <row r="3" spans="1:61" ht="30">
      <c r="A3" s="9" t="s">
        <v>8</v>
      </c>
      <c r="D3" s="279">
        <v>1</v>
      </c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377"/>
      <c r="Q3" s="276"/>
      <c r="R3" s="277"/>
      <c r="S3" s="277"/>
      <c r="T3" s="277"/>
      <c r="U3" s="277"/>
      <c r="V3" s="276"/>
      <c r="W3" s="378"/>
      <c r="X3" s="379">
        <f>IFERROR(Table74[[#This Row],[تعداد]]*Table74[[#This Row],[قیمت واحد]],0)</f>
        <v>0</v>
      </c>
      <c r="Y3" s="378"/>
      <c r="Z3" s="379">
        <f>IFERROR(Table74[[#This Row],[قیمت کل]]-Table74[[#This Row],[مبلغ تهیه شده]],0)</f>
        <v>0</v>
      </c>
      <c r="AA3" s="378"/>
      <c r="AB3" s="277"/>
      <c r="AC3" s="277"/>
      <c r="AE3" s="276"/>
      <c r="AF3" s="277"/>
      <c r="AG3" s="277"/>
      <c r="AH3" s="277"/>
      <c r="AI3" s="277"/>
      <c r="AJ3" s="277"/>
      <c r="AK3" s="277"/>
      <c r="AM3" s="342"/>
      <c r="AN3" s="343"/>
      <c r="AO3" s="343"/>
      <c r="AP3" s="343"/>
      <c r="AQ3" s="343"/>
      <c r="AR3" s="343"/>
      <c r="AS3" s="343"/>
      <c r="AT3" s="343"/>
      <c r="AU3" s="343" t="s">
        <v>1130</v>
      </c>
    </row>
    <row r="4" spans="1:61" ht="18.75">
      <c r="A4" s="195" t="s">
        <v>115</v>
      </c>
      <c r="D4" s="279">
        <v>2</v>
      </c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377"/>
      <c r="Q4" s="276"/>
      <c r="R4" s="277"/>
      <c r="S4" s="277"/>
      <c r="T4" s="277"/>
      <c r="U4" s="277"/>
      <c r="V4" s="276"/>
      <c r="W4" s="378"/>
      <c r="X4" s="379">
        <f>IFERROR(Table74[[#This Row],[تعداد]]*Table74[[#This Row],[قیمت واحد]],0)</f>
        <v>0</v>
      </c>
      <c r="Y4" s="378"/>
      <c r="Z4" s="379">
        <f>IFERROR(Table74[[#This Row],[قیمت کل]]-Table74[[#This Row],[مبلغ تهیه شده]],0)</f>
        <v>0</v>
      </c>
      <c r="AA4" s="378"/>
      <c r="AB4" s="277"/>
      <c r="AC4" s="277"/>
      <c r="AE4" s="276"/>
      <c r="AF4" s="277"/>
      <c r="AG4" s="277"/>
      <c r="AH4" s="277"/>
      <c r="AI4" s="277"/>
      <c r="AJ4" s="277"/>
      <c r="AK4" s="277"/>
      <c r="AM4" s="346"/>
      <c r="AN4" s="347"/>
      <c r="AO4" s="347"/>
      <c r="AP4" s="347"/>
      <c r="AQ4" s="347"/>
      <c r="AR4" s="347"/>
      <c r="AS4" s="347"/>
      <c r="AT4" s="347"/>
      <c r="AU4" s="347"/>
    </row>
    <row r="5" spans="1:61" ht="18.75">
      <c r="A5" s="10" t="s">
        <v>102</v>
      </c>
      <c r="D5" s="279">
        <v>3</v>
      </c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377"/>
      <c r="Q5" s="276"/>
      <c r="R5" s="277"/>
      <c r="S5" s="277"/>
      <c r="T5" s="277"/>
      <c r="U5" s="277"/>
      <c r="V5" s="276"/>
      <c r="W5" s="378"/>
      <c r="X5" s="379">
        <f>IFERROR(Table74[[#This Row],[تعداد]]*Table74[[#This Row],[قیمت واحد]],0)</f>
        <v>0</v>
      </c>
      <c r="Y5" s="378"/>
      <c r="Z5" s="379">
        <f>IFERROR(Table74[[#This Row],[قیمت کل]]-Table74[[#This Row],[مبلغ تهیه شده]],0)</f>
        <v>0</v>
      </c>
      <c r="AA5" s="378"/>
      <c r="AB5" s="277"/>
      <c r="AC5" s="277"/>
      <c r="AE5" s="276"/>
      <c r="AF5" s="277"/>
      <c r="AG5" s="277"/>
      <c r="AH5" s="277"/>
      <c r="AI5" s="277"/>
      <c r="AJ5" s="277"/>
      <c r="AK5" s="277"/>
      <c r="AM5" s="346"/>
      <c r="AN5" s="347"/>
      <c r="AO5" s="347"/>
      <c r="AP5" s="347"/>
      <c r="AQ5" s="347"/>
      <c r="AR5" s="347"/>
      <c r="AS5" s="347"/>
      <c r="AT5" s="347"/>
      <c r="AU5" s="347"/>
    </row>
    <row r="6" spans="1:61" ht="18.75">
      <c r="A6" s="11" t="s">
        <v>103</v>
      </c>
      <c r="D6" s="279">
        <v>4</v>
      </c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377"/>
      <c r="Q6" s="276"/>
      <c r="R6" s="277"/>
      <c r="S6" s="277"/>
      <c r="T6" s="277"/>
      <c r="U6" s="277"/>
      <c r="V6" s="276"/>
      <c r="W6" s="378"/>
      <c r="X6" s="379">
        <f>IFERROR(Table74[[#This Row],[تعداد]]*Table74[[#This Row],[قیمت واحد]],0)</f>
        <v>0</v>
      </c>
      <c r="Y6" s="378"/>
      <c r="Z6" s="379">
        <f>IFERROR(Table74[[#This Row],[قیمت کل]]-Table74[[#This Row],[مبلغ تهیه شده]],0)</f>
        <v>0</v>
      </c>
      <c r="AA6" s="378"/>
      <c r="AB6" s="277"/>
      <c r="AC6" s="277"/>
      <c r="AE6" s="276"/>
      <c r="AF6" s="277"/>
      <c r="AG6" s="277"/>
      <c r="AH6" s="277"/>
      <c r="AI6" s="277"/>
      <c r="AJ6" s="277"/>
      <c r="AK6" s="277"/>
      <c r="AM6" s="346"/>
      <c r="AN6" s="347"/>
      <c r="AO6" s="347"/>
      <c r="AP6" s="347"/>
      <c r="AQ6" s="347"/>
      <c r="AR6" s="347"/>
      <c r="AS6" s="347"/>
      <c r="AT6" s="347"/>
      <c r="AU6" s="347"/>
    </row>
    <row r="7" spans="1:61" ht="18.75">
      <c r="A7" s="33" t="s">
        <v>104</v>
      </c>
      <c r="D7" s="279">
        <v>5</v>
      </c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377"/>
      <c r="Q7" s="276"/>
      <c r="R7" s="277"/>
      <c r="S7" s="277"/>
      <c r="T7" s="277"/>
      <c r="U7" s="277"/>
      <c r="V7" s="276"/>
      <c r="W7" s="378"/>
      <c r="X7" s="379">
        <f>IFERROR(Table74[[#This Row],[تعداد]]*Table74[[#This Row],[قیمت واحد]],0)</f>
        <v>0</v>
      </c>
      <c r="Y7" s="378"/>
      <c r="Z7" s="379">
        <f>IFERROR(Table74[[#This Row],[قیمت کل]]-Table74[[#This Row],[مبلغ تهیه شده]],0)</f>
        <v>0</v>
      </c>
      <c r="AA7" s="378"/>
      <c r="AB7" s="277"/>
      <c r="AC7" s="277"/>
      <c r="AE7" s="276"/>
      <c r="AF7" s="277"/>
      <c r="AG7" s="277"/>
      <c r="AH7" s="277"/>
      <c r="AI7" s="277"/>
      <c r="AJ7" s="277"/>
      <c r="AK7" s="277"/>
      <c r="AM7" s="346"/>
      <c r="AN7" s="347"/>
      <c r="AO7" s="347"/>
      <c r="AP7" s="347"/>
      <c r="AQ7" s="347"/>
      <c r="AR7" s="347"/>
      <c r="AS7" s="347"/>
      <c r="AT7" s="347"/>
      <c r="AU7" s="347"/>
    </row>
    <row r="8" spans="1:61" ht="18.75">
      <c r="A8" s="196" t="s">
        <v>110</v>
      </c>
      <c r="D8" s="279">
        <v>6</v>
      </c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377"/>
      <c r="Q8" s="276"/>
      <c r="R8" s="277"/>
      <c r="S8" s="277"/>
      <c r="T8" s="277"/>
      <c r="U8" s="277"/>
      <c r="V8" s="276"/>
      <c r="W8" s="378"/>
      <c r="X8" s="379">
        <f>IFERROR(Table74[[#This Row],[تعداد]]*Table74[[#This Row],[قیمت واحد]],0)</f>
        <v>0</v>
      </c>
      <c r="Y8" s="378"/>
      <c r="Z8" s="379">
        <f>IFERROR(Table74[[#This Row],[قیمت کل]]-Table74[[#This Row],[مبلغ تهیه شده]],0)</f>
        <v>0</v>
      </c>
      <c r="AA8" s="378"/>
      <c r="AB8" s="277"/>
      <c r="AC8" s="277"/>
      <c r="AE8" s="276"/>
      <c r="AF8" s="277"/>
      <c r="AG8" s="277"/>
      <c r="AH8" s="277"/>
      <c r="AI8" s="277"/>
      <c r="AJ8" s="277"/>
      <c r="AK8" s="277"/>
      <c r="AM8" s="346"/>
      <c r="AN8" s="347"/>
      <c r="AO8" s="347"/>
      <c r="AP8" s="347"/>
      <c r="AQ8" s="347"/>
      <c r="AR8" s="347"/>
      <c r="AS8" s="347"/>
      <c r="AT8" s="347"/>
      <c r="AU8" s="347"/>
    </row>
    <row r="9" spans="1:61" ht="18.75">
      <c r="A9" s="13" t="s">
        <v>89</v>
      </c>
      <c r="D9" s="279">
        <v>7</v>
      </c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377"/>
      <c r="Q9" s="276"/>
      <c r="R9" s="277"/>
      <c r="S9" s="277"/>
      <c r="T9" s="277"/>
      <c r="U9" s="277"/>
      <c r="V9" s="276"/>
      <c r="W9" s="378"/>
      <c r="X9" s="379">
        <f>IFERROR(Table74[[#This Row],[تعداد]]*Table74[[#This Row],[قیمت واحد]],0)</f>
        <v>0</v>
      </c>
      <c r="Y9" s="378"/>
      <c r="Z9" s="379">
        <f>IFERROR(Table74[[#This Row],[قیمت کل]]-Table74[[#This Row],[مبلغ تهیه شده]],0)</f>
        <v>0</v>
      </c>
      <c r="AA9" s="378"/>
      <c r="AB9" s="277"/>
      <c r="AC9" s="277"/>
      <c r="AE9" s="276"/>
      <c r="AF9" s="277"/>
      <c r="AG9" s="277"/>
      <c r="AH9" s="277"/>
      <c r="AI9" s="277"/>
      <c r="AJ9" s="277"/>
      <c r="AK9" s="277"/>
      <c r="AM9" s="346"/>
      <c r="AN9" s="347"/>
      <c r="AO9" s="347"/>
      <c r="AP9" s="347"/>
      <c r="AQ9" s="347"/>
      <c r="AR9" s="347"/>
      <c r="AS9" s="347"/>
      <c r="AT9" s="347"/>
      <c r="AU9" s="347"/>
    </row>
    <row r="10" spans="1:61" ht="18.75">
      <c r="A10" s="197" t="s">
        <v>7</v>
      </c>
      <c r="D10" s="387"/>
      <c r="E10" s="387"/>
      <c r="F10" s="387"/>
      <c r="G10" s="387"/>
      <c r="H10" s="387"/>
      <c r="I10" s="387"/>
      <c r="J10" s="387"/>
      <c r="K10" s="387"/>
      <c r="L10" s="387"/>
      <c r="M10" s="387"/>
      <c r="N10" s="387"/>
      <c r="O10" s="388"/>
      <c r="Q10" s="387"/>
      <c r="R10" s="387"/>
      <c r="S10" s="387"/>
      <c r="T10" s="387"/>
      <c r="U10" s="387"/>
      <c r="V10" s="387"/>
      <c r="W10" s="387"/>
      <c r="X10" s="387"/>
      <c r="Y10" s="387"/>
      <c r="Z10" s="387"/>
      <c r="AA10" s="387"/>
      <c r="AB10" s="387"/>
      <c r="AC10" s="387"/>
      <c r="AE10" s="389"/>
      <c r="AF10" s="390"/>
      <c r="AG10" s="390"/>
      <c r="AH10" s="390"/>
      <c r="AI10" s="390"/>
      <c r="AJ10" s="390"/>
      <c r="AK10" s="390"/>
    </row>
    <row r="11" spans="1:61" ht="18.75">
      <c r="A11" s="14" t="s">
        <v>105</v>
      </c>
      <c r="D11" s="387"/>
      <c r="E11" s="387"/>
      <c r="F11" s="387"/>
      <c r="G11" s="387"/>
      <c r="H11" s="387"/>
      <c r="I11" s="387"/>
      <c r="J11" s="387"/>
      <c r="K11" s="387"/>
      <c r="L11" s="387"/>
      <c r="M11" s="387"/>
      <c r="N11" s="387"/>
      <c r="O11" s="388"/>
      <c r="Q11" s="387"/>
      <c r="R11" s="387"/>
      <c r="S11" s="387"/>
      <c r="T11" s="387"/>
      <c r="U11" s="387"/>
      <c r="V11" s="387"/>
      <c r="W11" s="387"/>
      <c r="X11" s="387"/>
      <c r="Y11" s="387"/>
      <c r="Z11" s="387"/>
      <c r="AA11" s="387"/>
      <c r="AB11" s="387"/>
      <c r="AC11" s="387"/>
      <c r="AE11" s="389"/>
      <c r="AF11" s="390"/>
      <c r="AG11" s="390"/>
      <c r="AH11" s="390"/>
      <c r="AI11" s="390"/>
      <c r="AJ11" s="390"/>
      <c r="AK11" s="390"/>
    </row>
    <row r="12" spans="1:61" ht="18.75">
      <c r="A12" s="15" t="s">
        <v>98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7"/>
      <c r="O12" s="388"/>
      <c r="Q12" s="387"/>
      <c r="R12" s="387"/>
      <c r="S12" s="387"/>
      <c r="T12" s="387"/>
      <c r="U12" s="387"/>
      <c r="V12" s="387"/>
      <c r="W12" s="387"/>
      <c r="X12" s="387"/>
      <c r="Y12" s="387"/>
      <c r="Z12" s="387"/>
      <c r="AA12" s="387"/>
      <c r="AB12" s="387"/>
      <c r="AC12" s="387"/>
      <c r="AE12" s="389"/>
      <c r="AF12" s="390"/>
      <c r="AG12" s="390"/>
      <c r="AH12" s="390"/>
      <c r="AI12" s="390"/>
      <c r="AJ12" s="390"/>
      <c r="AK12" s="390"/>
    </row>
    <row r="13" spans="1:61">
      <c r="A13" s="333" t="s">
        <v>1702</v>
      </c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7"/>
      <c r="O13" s="388"/>
      <c r="Q13" s="387"/>
      <c r="R13" s="387"/>
      <c r="S13" s="387"/>
      <c r="T13" s="387"/>
      <c r="U13" s="387"/>
      <c r="V13" s="387"/>
      <c r="W13" s="387"/>
      <c r="X13" s="387"/>
      <c r="Y13" s="387"/>
      <c r="Z13" s="387"/>
      <c r="AA13" s="387"/>
      <c r="AB13" s="387"/>
      <c r="AC13" s="387"/>
      <c r="AE13" s="389"/>
      <c r="AF13" s="390"/>
      <c r="AG13" s="390"/>
      <c r="AH13" s="390"/>
      <c r="AI13" s="390"/>
      <c r="AJ13" s="390"/>
      <c r="AK13" s="390"/>
    </row>
    <row r="14" spans="1:61" ht="15.75">
      <c r="A14" s="344" t="s">
        <v>1149</v>
      </c>
      <c r="D14" s="387"/>
      <c r="E14" s="387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Q14" s="387"/>
      <c r="R14" s="387"/>
      <c r="S14" s="387"/>
      <c r="T14" s="387"/>
      <c r="U14" s="387"/>
      <c r="V14" s="387"/>
      <c r="W14" s="387"/>
      <c r="X14" s="387"/>
      <c r="Y14" s="387"/>
      <c r="Z14" s="387"/>
      <c r="AA14" s="387"/>
      <c r="AB14" s="387"/>
      <c r="AC14" s="387"/>
      <c r="AE14" s="389"/>
      <c r="AF14" s="390"/>
      <c r="AG14" s="390"/>
      <c r="AH14" s="390"/>
      <c r="AI14" s="390"/>
      <c r="AJ14" s="390"/>
      <c r="AK14" s="390"/>
    </row>
    <row r="15" spans="1:61">
      <c r="Q15" s="387"/>
      <c r="R15" s="387"/>
      <c r="S15" s="387"/>
      <c r="T15" s="387"/>
      <c r="U15" s="387"/>
      <c r="V15" s="387"/>
      <c r="W15" s="387"/>
      <c r="X15" s="387"/>
      <c r="Y15" s="387"/>
      <c r="Z15" s="387"/>
      <c r="AA15" s="387"/>
      <c r="AB15" s="387"/>
      <c r="AC15" s="387"/>
      <c r="AE15" s="389"/>
      <c r="AF15" s="390"/>
      <c r="AG15" s="390"/>
      <c r="AH15" s="390"/>
      <c r="AI15" s="390"/>
      <c r="AJ15" s="390"/>
      <c r="AK15" s="390"/>
    </row>
    <row r="16" spans="1:61">
      <c r="A16" s="67" t="s">
        <v>1151</v>
      </c>
      <c r="Q16" s="387"/>
      <c r="R16" s="387"/>
      <c r="S16" s="387"/>
      <c r="T16" s="387"/>
      <c r="U16" s="387"/>
      <c r="V16" s="387"/>
      <c r="W16" s="387"/>
      <c r="X16" s="387"/>
      <c r="Y16" s="387"/>
      <c r="Z16" s="387"/>
      <c r="AA16" s="387"/>
      <c r="AB16" s="387"/>
      <c r="AC16" s="387"/>
      <c r="AE16" s="389"/>
      <c r="AF16" s="390"/>
      <c r="AG16" s="390"/>
      <c r="AH16" s="390"/>
      <c r="AI16" s="390"/>
      <c r="AJ16" s="390"/>
      <c r="AK16" s="390"/>
      <c r="AW16" s="301"/>
      <c r="AX16" s="301"/>
      <c r="AY16" s="301"/>
      <c r="AZ16" s="301"/>
      <c r="BA16" s="301"/>
      <c r="BB16" s="301"/>
      <c r="BC16" s="301"/>
      <c r="BD16" s="301"/>
      <c r="BE16" s="301"/>
      <c r="BF16" s="301"/>
      <c r="BG16" s="301"/>
      <c r="BH16" s="301"/>
      <c r="BI16" s="301"/>
    </row>
    <row r="17" spans="1:37" s="301" customFormat="1">
      <c r="A17" s="67" t="s">
        <v>1133</v>
      </c>
      <c r="B17" s="124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E17" s="389"/>
      <c r="AF17" s="390"/>
      <c r="AG17" s="390"/>
      <c r="AH17" s="390"/>
      <c r="AI17" s="390"/>
      <c r="AJ17" s="390"/>
      <c r="AK17" s="390"/>
    </row>
    <row r="18" spans="1:37" s="301" customFormat="1">
      <c r="A18" s="67" t="s">
        <v>1122</v>
      </c>
      <c r="B18" s="124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E18" s="389"/>
      <c r="AF18" s="390"/>
      <c r="AG18" s="390"/>
      <c r="AH18" s="390"/>
      <c r="AI18" s="390"/>
      <c r="AJ18" s="390"/>
      <c r="AK18" s="390"/>
    </row>
    <row r="19" spans="1:37" s="301" customFormat="1">
      <c r="A19" s="333"/>
      <c r="B19" s="124"/>
      <c r="Q19" s="387"/>
      <c r="R19" s="387"/>
      <c r="S19" s="387"/>
      <c r="T19" s="387"/>
      <c r="U19" s="387"/>
      <c r="V19" s="387"/>
      <c r="W19" s="387"/>
      <c r="X19" s="387"/>
      <c r="Y19" s="387"/>
      <c r="Z19" s="387"/>
      <c r="AA19" s="387"/>
      <c r="AB19" s="387"/>
      <c r="AC19" s="387"/>
      <c r="AE19" s="389"/>
      <c r="AF19" s="390"/>
      <c r="AG19" s="390"/>
      <c r="AH19" s="390"/>
      <c r="AI19" s="390"/>
      <c r="AJ19" s="390"/>
      <c r="AK19" s="390"/>
    </row>
    <row r="20" spans="1:37" s="301" customFormat="1">
      <c r="A20" s="67" t="s">
        <v>1153</v>
      </c>
      <c r="B20" s="124"/>
      <c r="Q20" s="387"/>
      <c r="R20" s="387"/>
      <c r="S20" s="387"/>
      <c r="T20" s="387"/>
      <c r="U20" s="387"/>
      <c r="V20" s="387"/>
      <c r="W20" s="387"/>
      <c r="X20" s="387"/>
      <c r="Y20" s="387"/>
      <c r="Z20" s="387"/>
      <c r="AA20" s="387"/>
      <c r="AB20" s="387"/>
      <c r="AC20" s="387"/>
      <c r="AE20" s="389"/>
      <c r="AF20" s="390"/>
      <c r="AG20" s="390"/>
      <c r="AH20" s="390"/>
      <c r="AI20" s="390"/>
      <c r="AJ20" s="390"/>
      <c r="AK20" s="390"/>
    </row>
    <row r="21" spans="1:37" s="301" customFormat="1">
      <c r="A21" s="67" t="s">
        <v>1134</v>
      </c>
      <c r="B21" s="124"/>
      <c r="Q21" s="387"/>
      <c r="R21" s="387"/>
      <c r="S21" s="387"/>
      <c r="T21" s="387"/>
      <c r="U21" s="387"/>
      <c r="V21" s="387"/>
      <c r="W21" s="387"/>
      <c r="X21" s="387"/>
      <c r="Y21" s="387"/>
      <c r="Z21" s="387"/>
      <c r="AA21" s="387"/>
      <c r="AB21" s="387"/>
      <c r="AC21" s="387"/>
      <c r="AE21" s="389"/>
      <c r="AF21" s="390"/>
      <c r="AG21" s="390"/>
      <c r="AH21" s="390"/>
      <c r="AI21" s="390"/>
      <c r="AJ21" s="390"/>
      <c r="AK21" s="390"/>
    </row>
    <row r="22" spans="1:37" s="301" customFormat="1">
      <c r="A22" s="67" t="s">
        <v>1154</v>
      </c>
      <c r="B22" s="124"/>
      <c r="Q22" s="387"/>
      <c r="R22" s="387"/>
      <c r="S22" s="387"/>
      <c r="T22" s="387"/>
      <c r="U22" s="387"/>
      <c r="V22" s="387"/>
      <c r="W22" s="387"/>
      <c r="X22" s="387"/>
      <c r="Y22" s="387"/>
      <c r="Z22" s="387"/>
      <c r="AA22" s="387"/>
      <c r="AB22" s="387"/>
      <c r="AC22" s="387"/>
      <c r="AE22" s="389"/>
      <c r="AF22" s="390"/>
      <c r="AG22" s="390"/>
      <c r="AH22" s="390"/>
      <c r="AI22" s="390"/>
      <c r="AJ22" s="390"/>
      <c r="AK22" s="390"/>
    </row>
    <row r="23" spans="1:37" s="301" customFormat="1">
      <c r="A23" s="67" t="s">
        <v>1156</v>
      </c>
      <c r="B23" s="124"/>
      <c r="Q23" s="387"/>
      <c r="R23" s="387"/>
      <c r="S23" s="387"/>
      <c r="T23" s="387"/>
      <c r="U23" s="387"/>
      <c r="V23" s="387"/>
      <c r="W23" s="387"/>
      <c r="X23" s="387"/>
      <c r="Y23" s="387"/>
      <c r="Z23" s="387"/>
      <c r="AA23" s="387"/>
      <c r="AB23" s="387"/>
      <c r="AC23" s="387"/>
      <c r="AE23" s="389"/>
      <c r="AF23" s="390"/>
      <c r="AG23" s="390"/>
      <c r="AH23" s="390"/>
      <c r="AI23" s="390"/>
      <c r="AJ23" s="390"/>
      <c r="AK23" s="390"/>
    </row>
    <row r="24" spans="1:37" s="301" customFormat="1">
      <c r="A24" s="333"/>
      <c r="B24" s="124"/>
      <c r="Q24" s="387"/>
      <c r="R24" s="387"/>
      <c r="S24" s="387"/>
      <c r="T24" s="387"/>
      <c r="U24" s="387"/>
      <c r="V24" s="387"/>
      <c r="W24" s="387"/>
      <c r="X24" s="387"/>
      <c r="Y24" s="387"/>
      <c r="Z24" s="387"/>
      <c r="AA24" s="387"/>
      <c r="AB24" s="387"/>
      <c r="AC24" s="387"/>
      <c r="AE24" s="389"/>
      <c r="AF24" s="390"/>
      <c r="AG24" s="390"/>
      <c r="AH24" s="390"/>
      <c r="AI24" s="390"/>
      <c r="AJ24" s="390"/>
      <c r="AK24" s="390"/>
    </row>
    <row r="25" spans="1:37" s="301" customFormat="1">
      <c r="A25" s="333" t="s">
        <v>1711</v>
      </c>
      <c r="B25" s="124"/>
      <c r="Q25" s="387"/>
      <c r="R25" s="387"/>
      <c r="S25" s="387"/>
      <c r="T25" s="387"/>
      <c r="U25" s="387"/>
      <c r="V25" s="387"/>
      <c r="W25" s="387"/>
      <c r="X25" s="387"/>
      <c r="Y25" s="387"/>
      <c r="Z25" s="387"/>
      <c r="AA25" s="387"/>
      <c r="AB25" s="387"/>
      <c r="AC25" s="387"/>
      <c r="AE25" s="389"/>
      <c r="AF25" s="390"/>
      <c r="AG25" s="390"/>
      <c r="AH25" s="390"/>
      <c r="AI25" s="390"/>
      <c r="AJ25" s="390"/>
      <c r="AK25" s="390"/>
    </row>
    <row r="26" spans="1:37" s="301" customFormat="1">
      <c r="A26" s="333" t="s">
        <v>1712</v>
      </c>
      <c r="B26" s="124"/>
      <c r="Q26" s="387"/>
      <c r="R26" s="387"/>
      <c r="S26" s="387"/>
      <c r="T26" s="387"/>
      <c r="U26" s="387"/>
      <c r="V26" s="387"/>
      <c r="W26" s="387"/>
      <c r="X26" s="387"/>
      <c r="Y26" s="387"/>
      <c r="Z26" s="387"/>
      <c r="AA26" s="387"/>
      <c r="AB26" s="387"/>
      <c r="AC26" s="387"/>
      <c r="AE26" s="389"/>
      <c r="AF26" s="390"/>
      <c r="AG26" s="390"/>
      <c r="AH26" s="390"/>
      <c r="AI26" s="390"/>
      <c r="AJ26" s="390"/>
      <c r="AK26" s="390"/>
    </row>
    <row r="27" spans="1:37" s="301" customFormat="1">
      <c r="A27" s="67" t="s">
        <v>1160</v>
      </c>
      <c r="B27" s="124"/>
      <c r="Q27" s="387"/>
      <c r="R27" s="387"/>
      <c r="S27" s="387"/>
      <c r="T27" s="387"/>
      <c r="U27" s="387"/>
      <c r="V27" s="387"/>
      <c r="W27" s="387"/>
      <c r="X27" s="387"/>
      <c r="Y27" s="387"/>
      <c r="Z27" s="387"/>
      <c r="AA27" s="387"/>
      <c r="AB27" s="387"/>
      <c r="AC27" s="387"/>
      <c r="AE27" s="389"/>
      <c r="AF27" s="390"/>
      <c r="AG27" s="390"/>
      <c r="AH27" s="390"/>
      <c r="AI27" s="390"/>
      <c r="AJ27" s="390"/>
      <c r="AK27" s="390"/>
    </row>
    <row r="28" spans="1:37" s="301" customFormat="1">
      <c r="A28" s="67" t="s">
        <v>1161</v>
      </c>
      <c r="B28" s="124"/>
      <c r="Q28" s="387"/>
      <c r="R28" s="387"/>
      <c r="S28" s="387"/>
      <c r="T28" s="387"/>
      <c r="U28" s="387"/>
      <c r="V28" s="387"/>
      <c r="W28" s="387"/>
      <c r="X28" s="387"/>
      <c r="Y28" s="387"/>
      <c r="Z28" s="387"/>
      <c r="AA28" s="387"/>
      <c r="AB28" s="387"/>
      <c r="AC28" s="387"/>
      <c r="AE28" s="389"/>
      <c r="AF28" s="390"/>
      <c r="AG28" s="390"/>
      <c r="AH28" s="390"/>
      <c r="AI28" s="390"/>
      <c r="AJ28" s="390"/>
      <c r="AK28" s="390"/>
    </row>
    <row r="29" spans="1:37" s="301" customFormat="1">
      <c r="A29" s="67" t="s">
        <v>1123</v>
      </c>
      <c r="B29" s="124"/>
      <c r="Q29" s="387"/>
      <c r="R29" s="387"/>
      <c r="S29" s="387"/>
      <c r="T29" s="387"/>
      <c r="U29" s="387"/>
      <c r="V29" s="387"/>
      <c r="W29" s="387"/>
      <c r="X29" s="387"/>
      <c r="Y29" s="387"/>
      <c r="Z29" s="387"/>
      <c r="AA29" s="387"/>
      <c r="AB29" s="387"/>
      <c r="AC29" s="387"/>
      <c r="AE29" s="389"/>
      <c r="AF29" s="390"/>
      <c r="AG29" s="390"/>
      <c r="AH29" s="390"/>
      <c r="AI29" s="390"/>
      <c r="AJ29" s="390"/>
      <c r="AK29" s="390"/>
    </row>
    <row r="30" spans="1:37" s="301" customFormat="1">
      <c r="A30" s="67" t="s">
        <v>1162</v>
      </c>
      <c r="B30" s="124"/>
      <c r="Q30" s="387"/>
      <c r="R30" s="387"/>
      <c r="S30" s="387"/>
      <c r="T30" s="387"/>
      <c r="U30" s="387"/>
      <c r="V30" s="387"/>
      <c r="W30" s="387"/>
      <c r="X30" s="387"/>
      <c r="Y30" s="387"/>
      <c r="Z30" s="387"/>
      <c r="AA30" s="387"/>
      <c r="AB30" s="387"/>
      <c r="AC30" s="387"/>
      <c r="AE30" s="389"/>
      <c r="AF30" s="390"/>
      <c r="AG30" s="390"/>
      <c r="AH30" s="390"/>
      <c r="AI30" s="390"/>
      <c r="AJ30" s="390"/>
      <c r="AK30" s="390"/>
    </row>
    <row r="31" spans="1:37" s="301" customFormat="1">
      <c r="A31" s="67" t="s">
        <v>1163</v>
      </c>
      <c r="B31" s="124"/>
      <c r="Q31" s="387"/>
      <c r="R31" s="387"/>
      <c r="S31" s="387"/>
      <c r="T31" s="387"/>
      <c r="U31" s="387"/>
      <c r="V31" s="387"/>
      <c r="W31" s="387"/>
      <c r="X31" s="387"/>
      <c r="Y31" s="387"/>
      <c r="Z31" s="387"/>
      <c r="AA31" s="387"/>
      <c r="AB31" s="387"/>
      <c r="AC31" s="387"/>
      <c r="AE31" s="389"/>
      <c r="AF31" s="390"/>
      <c r="AG31" s="390"/>
      <c r="AH31" s="390"/>
      <c r="AI31" s="390"/>
      <c r="AJ31" s="390"/>
      <c r="AK31" s="390"/>
    </row>
    <row r="32" spans="1:37" s="301" customFormat="1">
      <c r="A32" s="67" t="s">
        <v>1164</v>
      </c>
      <c r="B32" s="124"/>
      <c r="Q32" s="387"/>
      <c r="R32" s="387"/>
      <c r="S32" s="387"/>
      <c r="T32" s="387"/>
      <c r="U32" s="387"/>
      <c r="V32" s="387"/>
      <c r="W32" s="387"/>
      <c r="X32" s="387"/>
      <c r="Y32" s="387"/>
      <c r="Z32" s="387"/>
      <c r="AA32" s="387"/>
      <c r="AB32" s="387"/>
      <c r="AC32" s="387"/>
      <c r="AE32" s="389"/>
      <c r="AF32" s="390"/>
      <c r="AG32" s="390"/>
      <c r="AH32" s="390"/>
      <c r="AI32" s="390"/>
      <c r="AJ32" s="390"/>
      <c r="AK32" s="390"/>
    </row>
    <row r="33" spans="1:37" s="301" customFormat="1">
      <c r="A33" s="67" t="s">
        <v>1140</v>
      </c>
      <c r="B33" s="124"/>
      <c r="Q33" s="387"/>
      <c r="R33" s="387"/>
      <c r="S33" s="387"/>
      <c r="T33" s="387"/>
      <c r="U33" s="387"/>
      <c r="V33" s="387"/>
      <c r="W33" s="387"/>
      <c r="X33" s="387"/>
      <c r="Y33" s="387"/>
      <c r="Z33" s="387"/>
      <c r="AA33" s="387"/>
      <c r="AB33" s="387"/>
      <c r="AC33" s="387"/>
      <c r="AE33" s="389"/>
      <c r="AF33" s="390"/>
      <c r="AG33" s="390"/>
      <c r="AH33" s="390"/>
      <c r="AI33" s="390"/>
      <c r="AJ33" s="390"/>
      <c r="AK33" s="390"/>
    </row>
    <row r="34" spans="1:37" s="301" customFormat="1">
      <c r="A34" s="333"/>
      <c r="B34" s="124"/>
      <c r="Q34" s="387"/>
      <c r="R34" s="387"/>
      <c r="S34" s="387"/>
      <c r="T34" s="387"/>
      <c r="U34" s="387"/>
      <c r="V34" s="387"/>
      <c r="W34" s="387"/>
      <c r="X34" s="387"/>
      <c r="Y34" s="387"/>
      <c r="Z34" s="387"/>
      <c r="AA34" s="387"/>
      <c r="AB34" s="387"/>
      <c r="AC34" s="387"/>
      <c r="AE34" s="389"/>
      <c r="AF34" s="390"/>
      <c r="AG34" s="390"/>
      <c r="AH34" s="390"/>
      <c r="AI34" s="390"/>
      <c r="AJ34" s="390"/>
      <c r="AK34" s="390"/>
    </row>
    <row r="35" spans="1:37" s="301" customFormat="1">
      <c r="A35" s="333"/>
      <c r="B35" s="333"/>
      <c r="Q35" s="387"/>
      <c r="R35" s="387"/>
      <c r="S35" s="387"/>
      <c r="T35" s="387"/>
      <c r="U35" s="387"/>
      <c r="V35" s="387"/>
      <c r="W35" s="387"/>
      <c r="X35" s="387"/>
      <c r="Y35" s="387"/>
      <c r="Z35" s="387"/>
      <c r="AA35" s="387"/>
      <c r="AB35" s="387"/>
      <c r="AC35" s="387"/>
      <c r="AE35" s="389"/>
      <c r="AF35" s="390"/>
      <c r="AG35" s="390"/>
      <c r="AH35" s="390"/>
      <c r="AI35" s="390"/>
      <c r="AJ35" s="390"/>
      <c r="AK35" s="390"/>
    </row>
    <row r="36" spans="1:37" s="301" customFormat="1">
      <c r="A36" s="333"/>
      <c r="B36" s="333"/>
      <c r="Q36" s="387"/>
      <c r="R36" s="387"/>
      <c r="S36" s="387"/>
      <c r="T36" s="387"/>
      <c r="U36" s="387"/>
      <c r="V36" s="387"/>
      <c r="W36" s="387"/>
      <c r="X36" s="387"/>
      <c r="Y36" s="387"/>
      <c r="Z36" s="387"/>
      <c r="AA36" s="387"/>
      <c r="AB36" s="387"/>
      <c r="AC36" s="387"/>
      <c r="AE36" s="389"/>
      <c r="AF36" s="390"/>
      <c r="AG36" s="390"/>
      <c r="AH36" s="390"/>
      <c r="AI36" s="390"/>
      <c r="AJ36" s="390"/>
      <c r="AK36" s="390"/>
    </row>
    <row r="37" spans="1:37" s="301" customFormat="1">
      <c r="A37" s="67" t="s">
        <v>1114</v>
      </c>
      <c r="B37" s="333"/>
      <c r="Q37" s="387"/>
      <c r="R37" s="387"/>
      <c r="S37" s="387"/>
      <c r="T37" s="387"/>
      <c r="U37" s="387"/>
      <c r="V37" s="387"/>
      <c r="W37" s="387"/>
      <c r="X37" s="387"/>
      <c r="Y37" s="387"/>
      <c r="Z37" s="387"/>
      <c r="AA37" s="387"/>
      <c r="AB37" s="387"/>
      <c r="AC37" s="387"/>
      <c r="AE37" s="389"/>
      <c r="AF37" s="390"/>
      <c r="AG37" s="390"/>
      <c r="AH37" s="390"/>
      <c r="AI37" s="390"/>
      <c r="AJ37" s="390"/>
      <c r="AK37" s="390"/>
    </row>
    <row r="38" spans="1:37" s="301" customFormat="1">
      <c r="A38" s="67" t="s">
        <v>1142</v>
      </c>
      <c r="B38" s="333"/>
      <c r="Q38" s="387"/>
      <c r="R38" s="387"/>
      <c r="S38" s="387"/>
      <c r="T38" s="387"/>
      <c r="U38" s="387"/>
      <c r="V38" s="387"/>
      <c r="W38" s="387"/>
      <c r="X38" s="387"/>
      <c r="Y38" s="387"/>
      <c r="Z38" s="387"/>
      <c r="AA38" s="387"/>
      <c r="AB38" s="387"/>
      <c r="AC38" s="387"/>
      <c r="AE38" s="389"/>
      <c r="AF38" s="390"/>
      <c r="AG38" s="390"/>
      <c r="AH38" s="390"/>
      <c r="AI38" s="390"/>
      <c r="AJ38" s="390"/>
      <c r="AK38" s="390"/>
    </row>
    <row r="39" spans="1:37" s="301" customFormat="1">
      <c r="A39" s="67" t="s">
        <v>1128</v>
      </c>
      <c r="B39" s="345"/>
      <c r="Q39" s="387"/>
      <c r="R39" s="387"/>
      <c r="S39" s="387"/>
      <c r="T39" s="387"/>
      <c r="U39" s="387"/>
      <c r="V39" s="387"/>
      <c r="W39" s="387"/>
      <c r="X39" s="387"/>
      <c r="Y39" s="387"/>
      <c r="Z39" s="387"/>
      <c r="AA39" s="387"/>
      <c r="AB39" s="387"/>
      <c r="AC39" s="387"/>
      <c r="AE39" s="389"/>
      <c r="AF39" s="390"/>
      <c r="AG39" s="390"/>
      <c r="AH39" s="390"/>
      <c r="AI39" s="390"/>
      <c r="AJ39" s="390"/>
      <c r="AK39" s="390"/>
    </row>
    <row r="40" spans="1:37" s="301" customFormat="1">
      <c r="A40" s="67" t="s">
        <v>1165</v>
      </c>
      <c r="B40" s="345"/>
      <c r="Q40" s="387"/>
      <c r="R40" s="387"/>
      <c r="S40" s="387"/>
      <c r="T40" s="387"/>
      <c r="U40" s="387"/>
      <c r="V40" s="387"/>
      <c r="W40" s="387"/>
      <c r="X40" s="387"/>
      <c r="Y40" s="387"/>
      <c r="Z40" s="387"/>
      <c r="AA40" s="387"/>
      <c r="AB40" s="387"/>
      <c r="AC40" s="387"/>
      <c r="AE40" s="389"/>
      <c r="AF40" s="390"/>
      <c r="AG40" s="390"/>
      <c r="AH40" s="390"/>
      <c r="AI40" s="390"/>
      <c r="AJ40" s="390"/>
      <c r="AK40" s="390"/>
    </row>
    <row r="41" spans="1:37" s="301" customFormat="1" ht="30">
      <c r="A41" s="67" t="s">
        <v>1166</v>
      </c>
      <c r="B41" s="345"/>
      <c r="Q41" s="387"/>
      <c r="R41" s="387"/>
      <c r="S41" s="387"/>
      <c r="T41" s="387"/>
      <c r="U41" s="387"/>
      <c r="V41" s="387"/>
      <c r="W41" s="387"/>
      <c r="X41" s="387"/>
      <c r="Y41" s="387"/>
      <c r="Z41" s="387"/>
      <c r="AA41" s="387"/>
      <c r="AB41" s="387"/>
      <c r="AC41" s="387"/>
      <c r="AE41" s="389"/>
      <c r="AF41" s="390"/>
      <c r="AG41" s="390"/>
      <c r="AH41" s="390"/>
      <c r="AI41" s="390"/>
      <c r="AJ41" s="390"/>
      <c r="AK41" s="390"/>
    </row>
    <row r="42" spans="1:37" s="301" customFormat="1">
      <c r="A42" s="67" t="s">
        <v>1167</v>
      </c>
      <c r="B42" s="345"/>
      <c r="Q42" s="387"/>
      <c r="R42" s="387"/>
      <c r="S42" s="387"/>
      <c r="T42" s="387"/>
      <c r="U42" s="387"/>
      <c r="V42" s="387"/>
      <c r="W42" s="387"/>
      <c r="X42" s="387"/>
      <c r="Y42" s="387"/>
      <c r="Z42" s="387"/>
      <c r="AA42" s="387"/>
      <c r="AB42" s="387"/>
      <c r="AC42" s="387"/>
      <c r="AE42" s="389"/>
      <c r="AF42" s="390"/>
      <c r="AG42" s="390"/>
      <c r="AH42" s="390"/>
      <c r="AI42" s="390"/>
      <c r="AJ42" s="390"/>
      <c r="AK42" s="390"/>
    </row>
    <row r="43" spans="1:37" s="301" customFormat="1">
      <c r="A43" s="67" t="s">
        <v>1168</v>
      </c>
      <c r="B43" s="345"/>
      <c r="Q43" s="387"/>
      <c r="R43" s="387"/>
      <c r="S43" s="387"/>
      <c r="T43" s="387"/>
      <c r="U43" s="387"/>
      <c r="V43" s="387"/>
      <c r="W43" s="387"/>
      <c r="X43" s="387"/>
      <c r="Y43" s="387"/>
      <c r="Z43" s="387"/>
      <c r="AA43" s="387"/>
      <c r="AB43" s="387"/>
      <c r="AC43" s="387"/>
      <c r="AE43" s="389"/>
      <c r="AF43" s="390"/>
      <c r="AG43" s="390"/>
      <c r="AH43" s="390"/>
      <c r="AI43" s="390"/>
      <c r="AJ43" s="390"/>
      <c r="AK43" s="390"/>
    </row>
    <row r="44" spans="1:37" s="301" customFormat="1">
      <c r="A44" s="67" t="s">
        <v>1169</v>
      </c>
      <c r="B44" s="124"/>
      <c r="Q44" s="387"/>
      <c r="R44" s="387"/>
      <c r="S44" s="387"/>
      <c r="T44" s="387"/>
      <c r="U44" s="387"/>
      <c r="V44" s="387"/>
      <c r="W44" s="387"/>
      <c r="X44" s="387"/>
      <c r="Y44" s="387"/>
      <c r="Z44" s="387"/>
      <c r="AA44" s="387"/>
      <c r="AB44" s="387"/>
      <c r="AC44" s="387"/>
      <c r="AE44" s="389"/>
      <c r="AF44" s="390"/>
      <c r="AG44" s="390"/>
      <c r="AH44" s="390"/>
      <c r="AI44" s="390"/>
      <c r="AJ44" s="390"/>
      <c r="AK44" s="390"/>
    </row>
    <row r="45" spans="1:37" s="301" customFormat="1">
      <c r="A45" s="67" t="s">
        <v>1170</v>
      </c>
      <c r="B45" s="124"/>
      <c r="Q45" s="387"/>
      <c r="R45" s="387"/>
      <c r="S45" s="387"/>
      <c r="T45" s="387"/>
      <c r="U45" s="387"/>
      <c r="V45" s="387"/>
      <c r="W45" s="387"/>
      <c r="X45" s="387"/>
      <c r="Y45" s="387"/>
      <c r="Z45" s="387"/>
      <c r="AA45" s="387"/>
      <c r="AB45" s="387"/>
      <c r="AC45" s="387"/>
      <c r="AE45" s="389"/>
      <c r="AF45" s="390"/>
      <c r="AG45" s="390"/>
      <c r="AH45" s="390"/>
      <c r="AI45" s="390"/>
      <c r="AJ45" s="390"/>
      <c r="AK45" s="390"/>
    </row>
    <row r="46" spans="1:37" s="301" customFormat="1">
      <c r="A46" s="333"/>
      <c r="B46" s="124"/>
      <c r="Q46" s="387"/>
      <c r="R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AE46" s="389"/>
      <c r="AF46" s="390"/>
      <c r="AG46" s="390"/>
      <c r="AH46" s="390"/>
      <c r="AI46" s="390"/>
      <c r="AJ46" s="390"/>
      <c r="AK46" s="390"/>
    </row>
    <row r="47" spans="1:37" s="301" customFormat="1">
      <c r="A47" s="345"/>
      <c r="B47" s="124"/>
      <c r="Q47" s="387"/>
      <c r="R47" s="387"/>
      <c r="S47" s="387"/>
      <c r="T47" s="387"/>
      <c r="U47" s="387"/>
      <c r="V47" s="387"/>
      <c r="W47" s="387"/>
      <c r="X47" s="387"/>
      <c r="Y47" s="387"/>
      <c r="Z47" s="387"/>
      <c r="AA47" s="387"/>
      <c r="AB47" s="387"/>
      <c r="AC47" s="387"/>
      <c r="AE47" s="385"/>
      <c r="AF47" s="384"/>
      <c r="AG47" s="384"/>
      <c r="AH47" s="384"/>
      <c r="AI47" s="384"/>
      <c r="AJ47" s="384"/>
      <c r="AK47" s="384"/>
    </row>
    <row r="48" spans="1:37" s="301" customFormat="1">
      <c r="A48" s="345"/>
      <c r="B48" s="124"/>
      <c r="Q48" s="387"/>
      <c r="R48" s="387"/>
      <c r="S48" s="387"/>
      <c r="T48" s="387"/>
      <c r="U48" s="387"/>
      <c r="V48" s="387"/>
      <c r="W48" s="387"/>
      <c r="X48" s="387"/>
      <c r="Y48" s="387"/>
      <c r="Z48" s="387"/>
      <c r="AA48" s="387"/>
      <c r="AB48" s="387"/>
      <c r="AC48" s="387"/>
      <c r="AE48" s="385"/>
      <c r="AF48" s="384"/>
      <c r="AG48" s="384"/>
      <c r="AH48" s="384"/>
      <c r="AI48" s="384"/>
      <c r="AJ48" s="384"/>
      <c r="AK48" s="384"/>
    </row>
    <row r="49" spans="1:37" s="301" customFormat="1">
      <c r="A49" s="67" t="s">
        <v>1117</v>
      </c>
      <c r="B49" s="124"/>
      <c r="Q49" s="387"/>
      <c r="R49" s="387"/>
      <c r="S49" s="387"/>
      <c r="T49" s="387"/>
      <c r="U49" s="387"/>
      <c r="V49" s="387"/>
      <c r="W49" s="387"/>
      <c r="X49" s="387"/>
      <c r="Y49" s="387"/>
      <c r="Z49" s="387"/>
      <c r="AA49" s="387"/>
      <c r="AB49" s="387"/>
      <c r="AC49" s="387"/>
      <c r="AE49" s="385"/>
      <c r="AF49" s="384"/>
      <c r="AG49" s="384"/>
      <c r="AH49" s="384"/>
      <c r="AI49" s="384"/>
      <c r="AJ49" s="384"/>
      <c r="AK49" s="384"/>
    </row>
    <row r="50" spans="1:37" s="301" customFormat="1">
      <c r="A50" s="67" t="s">
        <v>1129</v>
      </c>
      <c r="B50" s="124"/>
      <c r="Q50" s="387"/>
      <c r="R50" s="387"/>
      <c r="S50" s="387"/>
      <c r="T50" s="387"/>
      <c r="U50" s="387"/>
      <c r="V50" s="387"/>
      <c r="W50" s="387"/>
      <c r="X50" s="387"/>
      <c r="Y50" s="387"/>
      <c r="Z50" s="387"/>
      <c r="AA50" s="387"/>
      <c r="AB50" s="387"/>
      <c r="AC50" s="387"/>
      <c r="AE50" s="385"/>
      <c r="AF50" s="384"/>
      <c r="AG50" s="384"/>
      <c r="AH50" s="384"/>
      <c r="AI50" s="384"/>
      <c r="AJ50" s="384"/>
      <c r="AK50" s="384"/>
    </row>
    <row r="51" spans="1:37" s="301" customFormat="1">
      <c r="A51" s="67" t="s">
        <v>1171</v>
      </c>
      <c r="B51" s="124"/>
      <c r="Q51" s="387"/>
      <c r="R51" s="387"/>
      <c r="S51" s="387"/>
      <c r="T51" s="387"/>
      <c r="U51" s="387"/>
      <c r="V51" s="387"/>
      <c r="W51" s="387"/>
      <c r="X51" s="387"/>
      <c r="Y51" s="387"/>
      <c r="Z51" s="387"/>
      <c r="AA51" s="387"/>
      <c r="AB51" s="387"/>
      <c r="AC51" s="387"/>
      <c r="AE51" s="385"/>
      <c r="AF51" s="384"/>
      <c r="AG51" s="384"/>
      <c r="AH51" s="384"/>
      <c r="AI51" s="384"/>
      <c r="AJ51" s="384"/>
      <c r="AK51" s="384"/>
    </row>
    <row r="52" spans="1:37" s="301" customFormat="1">
      <c r="A52" s="67" t="s">
        <v>1144</v>
      </c>
      <c r="B52" s="124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E52" s="385"/>
      <c r="AF52" s="384"/>
      <c r="AG52" s="384"/>
      <c r="AH52" s="384"/>
      <c r="AI52" s="384"/>
      <c r="AJ52" s="384"/>
      <c r="AK52" s="384"/>
    </row>
    <row r="53" spans="1:37" s="301" customFormat="1">
      <c r="A53" s="67" t="s">
        <v>1172</v>
      </c>
      <c r="B53" s="124"/>
      <c r="Q53" s="387"/>
      <c r="R53" s="387"/>
      <c r="S53" s="387"/>
      <c r="T53" s="387"/>
      <c r="U53" s="387"/>
      <c r="V53" s="387"/>
      <c r="W53" s="387"/>
      <c r="X53" s="387"/>
      <c r="Y53" s="387"/>
      <c r="Z53" s="387"/>
      <c r="AA53" s="387"/>
      <c r="AB53" s="387"/>
      <c r="AC53" s="387"/>
      <c r="AE53" s="385"/>
      <c r="AF53" s="384"/>
      <c r="AG53" s="384"/>
      <c r="AH53" s="384"/>
      <c r="AI53" s="384"/>
      <c r="AJ53" s="384"/>
      <c r="AK53" s="384"/>
    </row>
    <row r="54" spans="1:37" s="301" customFormat="1">
      <c r="A54" s="333"/>
      <c r="B54" s="124"/>
      <c r="Q54" s="387"/>
      <c r="R54" s="387"/>
      <c r="S54" s="387"/>
      <c r="T54" s="387"/>
      <c r="U54" s="387"/>
      <c r="V54" s="387"/>
      <c r="W54" s="387"/>
      <c r="X54" s="387"/>
      <c r="Y54" s="387"/>
      <c r="Z54" s="387"/>
      <c r="AA54" s="387"/>
      <c r="AB54" s="387"/>
      <c r="AC54" s="387"/>
      <c r="AE54" s="385"/>
      <c r="AF54" s="384"/>
      <c r="AG54" s="384"/>
      <c r="AH54" s="384"/>
      <c r="AI54" s="384"/>
      <c r="AJ54" s="384"/>
      <c r="AK54" s="384"/>
    </row>
    <row r="55" spans="1:37" s="301" customFormat="1">
      <c r="A55" s="333"/>
      <c r="B55" s="124"/>
      <c r="Q55" s="387"/>
      <c r="R55" s="387"/>
      <c r="S55" s="387"/>
      <c r="T55" s="387"/>
      <c r="U55" s="387"/>
      <c r="V55" s="387"/>
      <c r="W55" s="387"/>
      <c r="X55" s="387"/>
      <c r="Y55" s="387"/>
      <c r="Z55" s="387"/>
      <c r="AA55" s="387"/>
      <c r="AB55" s="387"/>
      <c r="AC55" s="387"/>
      <c r="AE55" s="385"/>
      <c r="AF55" s="384"/>
      <c r="AG55" s="384"/>
      <c r="AH55" s="384"/>
      <c r="AI55" s="384"/>
      <c r="AJ55" s="384"/>
      <c r="AK55" s="384"/>
    </row>
    <row r="56" spans="1:37" s="301" customFormat="1">
      <c r="A56" s="333"/>
      <c r="B56" s="124"/>
      <c r="Q56" s="387"/>
      <c r="R56" s="387"/>
      <c r="S56" s="387"/>
      <c r="T56" s="387"/>
      <c r="U56" s="387"/>
      <c r="V56" s="387"/>
      <c r="W56" s="387"/>
      <c r="X56" s="387"/>
      <c r="Y56" s="387"/>
      <c r="Z56" s="387"/>
      <c r="AA56" s="387"/>
      <c r="AB56" s="387"/>
      <c r="AC56" s="387"/>
      <c r="AE56" s="385"/>
      <c r="AF56" s="384"/>
      <c r="AG56" s="384"/>
      <c r="AH56" s="384"/>
      <c r="AI56" s="384"/>
      <c r="AJ56" s="384"/>
      <c r="AK56" s="384"/>
    </row>
    <row r="57" spans="1:37" s="301" customFormat="1">
      <c r="A57" s="67" t="s">
        <v>1121</v>
      </c>
      <c r="B57" s="124"/>
      <c r="Q57" s="387"/>
      <c r="R57" s="387"/>
      <c r="S57" s="387"/>
      <c r="T57" s="387"/>
      <c r="U57" s="387"/>
      <c r="V57" s="387"/>
      <c r="W57" s="387"/>
      <c r="X57" s="387"/>
      <c r="Y57" s="387"/>
      <c r="Z57" s="387"/>
      <c r="AA57" s="387"/>
      <c r="AB57" s="387"/>
      <c r="AC57" s="387"/>
      <c r="AE57" s="385"/>
      <c r="AF57" s="384"/>
      <c r="AG57" s="384"/>
      <c r="AH57" s="384"/>
      <c r="AI57" s="384"/>
      <c r="AJ57" s="384"/>
      <c r="AK57" s="384"/>
    </row>
    <row r="58" spans="1:37" s="301" customFormat="1">
      <c r="A58" s="67" t="s">
        <v>123</v>
      </c>
      <c r="B58" s="124"/>
      <c r="Q58" s="387"/>
      <c r="R58" s="387"/>
      <c r="S58" s="387"/>
      <c r="T58" s="387"/>
      <c r="U58" s="387"/>
      <c r="V58" s="387"/>
      <c r="W58" s="387"/>
      <c r="X58" s="387"/>
      <c r="Y58" s="387"/>
      <c r="Z58" s="387"/>
      <c r="AA58" s="387"/>
      <c r="AB58" s="387"/>
      <c r="AC58" s="387"/>
      <c r="AE58" s="385"/>
      <c r="AF58" s="384"/>
      <c r="AG58" s="384"/>
      <c r="AH58" s="384"/>
      <c r="AI58" s="384"/>
      <c r="AJ58" s="384"/>
      <c r="AK58" s="384"/>
    </row>
    <row r="59" spans="1:37" s="301" customFormat="1">
      <c r="A59" s="67" t="s">
        <v>1173</v>
      </c>
      <c r="B59" s="124"/>
      <c r="Q59" s="387"/>
      <c r="R59" s="387"/>
      <c r="S59" s="387"/>
      <c r="T59" s="387"/>
      <c r="U59" s="387"/>
      <c r="V59" s="387"/>
      <c r="W59" s="387"/>
      <c r="X59" s="387"/>
      <c r="Y59" s="387"/>
      <c r="Z59" s="387"/>
      <c r="AA59" s="387"/>
      <c r="AB59" s="387"/>
      <c r="AC59" s="387"/>
      <c r="AE59" s="385"/>
      <c r="AF59" s="384"/>
      <c r="AG59" s="384"/>
      <c r="AH59" s="384"/>
      <c r="AI59" s="384"/>
      <c r="AJ59" s="384"/>
      <c r="AK59" s="384"/>
    </row>
    <row r="60" spans="1:37" s="301" customFormat="1">
      <c r="A60" s="67" t="s">
        <v>1174</v>
      </c>
      <c r="B60" s="124"/>
      <c r="Q60" s="387"/>
      <c r="R60" s="387"/>
      <c r="S60" s="387"/>
      <c r="T60" s="387"/>
      <c r="U60" s="387"/>
      <c r="V60" s="387"/>
      <c r="W60" s="387"/>
      <c r="X60" s="387"/>
      <c r="Y60" s="387"/>
      <c r="Z60" s="387"/>
      <c r="AA60" s="387"/>
      <c r="AB60" s="387"/>
      <c r="AC60" s="387"/>
      <c r="AE60" s="385"/>
      <c r="AF60" s="384"/>
      <c r="AG60" s="384"/>
      <c r="AH60" s="384"/>
      <c r="AI60" s="384"/>
      <c r="AJ60" s="384"/>
      <c r="AK60" s="384"/>
    </row>
    <row r="61" spans="1:37" s="301" customFormat="1">
      <c r="A61" s="67" t="s">
        <v>1146</v>
      </c>
      <c r="B61" s="124"/>
      <c r="Q61" s="387"/>
      <c r="R61" s="387"/>
      <c r="S61" s="387"/>
      <c r="T61" s="387"/>
      <c r="U61" s="387"/>
      <c r="V61" s="387"/>
      <c r="W61" s="387"/>
      <c r="X61" s="387"/>
      <c r="Y61" s="387"/>
      <c r="Z61" s="387"/>
      <c r="AA61" s="387"/>
      <c r="AB61" s="387"/>
      <c r="AC61" s="387"/>
      <c r="AE61" s="385"/>
      <c r="AF61" s="384"/>
      <c r="AG61" s="384"/>
      <c r="AH61" s="384"/>
      <c r="AI61" s="384"/>
      <c r="AJ61" s="384"/>
      <c r="AK61" s="384"/>
    </row>
    <row r="62" spans="1:37" s="301" customFormat="1">
      <c r="A62" s="67" t="s">
        <v>1132</v>
      </c>
      <c r="B62" s="124"/>
      <c r="Q62" s="387"/>
      <c r="R62" s="387"/>
      <c r="S62" s="387"/>
      <c r="T62" s="387"/>
      <c r="U62" s="387"/>
      <c r="V62" s="387"/>
      <c r="W62" s="387"/>
      <c r="X62" s="387"/>
      <c r="Y62" s="387"/>
      <c r="Z62" s="387"/>
      <c r="AA62" s="387"/>
      <c r="AB62" s="387"/>
      <c r="AC62" s="387"/>
      <c r="AE62" s="385"/>
      <c r="AF62" s="384"/>
      <c r="AG62" s="384"/>
      <c r="AH62" s="384"/>
      <c r="AI62" s="384"/>
      <c r="AJ62" s="384"/>
      <c r="AK62" s="384"/>
    </row>
    <row r="63" spans="1:37" s="301" customFormat="1">
      <c r="A63" s="333"/>
      <c r="B63" s="124"/>
      <c r="Q63" s="387"/>
      <c r="R63" s="387"/>
      <c r="S63" s="387"/>
      <c r="T63" s="387"/>
      <c r="U63" s="387"/>
      <c r="V63" s="387"/>
      <c r="W63" s="387"/>
      <c r="X63" s="387"/>
      <c r="Y63" s="387"/>
      <c r="Z63" s="387"/>
      <c r="AA63" s="387"/>
      <c r="AB63" s="387"/>
      <c r="AC63" s="387"/>
      <c r="AE63" s="385"/>
      <c r="AF63" s="384"/>
      <c r="AG63" s="384"/>
      <c r="AH63" s="384"/>
      <c r="AI63" s="384"/>
      <c r="AJ63" s="384"/>
      <c r="AK63" s="384"/>
    </row>
    <row r="64" spans="1:37" s="301" customFormat="1">
      <c r="A64" s="333"/>
      <c r="B64" s="124"/>
      <c r="Q64" s="387"/>
      <c r="R64" s="387"/>
      <c r="S64" s="387"/>
      <c r="T64" s="387"/>
      <c r="U64" s="387"/>
      <c r="V64" s="387"/>
      <c r="W64" s="387"/>
      <c r="X64" s="387"/>
      <c r="Y64" s="387"/>
      <c r="Z64" s="387"/>
      <c r="AA64" s="387"/>
      <c r="AB64" s="387"/>
      <c r="AC64" s="387"/>
      <c r="AE64" s="385"/>
      <c r="AF64" s="384"/>
      <c r="AG64" s="384"/>
      <c r="AH64" s="384"/>
      <c r="AI64" s="384"/>
      <c r="AJ64" s="384"/>
      <c r="AK64" s="384"/>
    </row>
    <row r="65" spans="1:37" s="301" customFormat="1">
      <c r="A65" s="67" t="s">
        <v>1175</v>
      </c>
      <c r="B65" s="124"/>
      <c r="Q65" s="387"/>
      <c r="R65" s="387"/>
      <c r="S65" s="387"/>
      <c r="T65" s="387"/>
      <c r="U65" s="387"/>
      <c r="V65" s="387"/>
      <c r="W65" s="387"/>
      <c r="X65" s="387"/>
      <c r="Y65" s="387"/>
      <c r="Z65" s="387"/>
      <c r="AA65" s="387"/>
      <c r="AB65" s="387"/>
      <c r="AC65" s="387"/>
      <c r="AE65" s="385"/>
      <c r="AF65" s="384"/>
      <c r="AG65" s="384"/>
      <c r="AH65" s="384"/>
      <c r="AI65" s="384"/>
      <c r="AJ65" s="384"/>
      <c r="AK65" s="384"/>
    </row>
    <row r="66" spans="1:37" s="301" customFormat="1">
      <c r="A66" s="67" t="s">
        <v>1176</v>
      </c>
      <c r="B66" s="124"/>
      <c r="Q66" s="387"/>
      <c r="R66" s="387"/>
      <c r="S66" s="387"/>
      <c r="T66" s="387"/>
      <c r="U66" s="387"/>
      <c r="V66" s="387"/>
      <c r="W66" s="387"/>
      <c r="X66" s="387"/>
      <c r="Y66" s="387"/>
      <c r="Z66" s="387"/>
      <c r="AA66" s="387"/>
      <c r="AB66" s="387"/>
      <c r="AC66" s="387"/>
      <c r="AE66" s="385"/>
      <c r="AF66" s="384"/>
      <c r="AG66" s="384"/>
      <c r="AH66" s="384"/>
      <c r="AI66" s="384"/>
      <c r="AJ66" s="384"/>
      <c r="AK66" s="384"/>
    </row>
    <row r="67" spans="1:37" s="301" customFormat="1">
      <c r="A67" s="67" t="s">
        <v>1143</v>
      </c>
      <c r="B67" s="124"/>
      <c r="Q67" s="387"/>
      <c r="R67" s="387"/>
      <c r="S67" s="387"/>
      <c r="T67" s="387"/>
      <c r="U67" s="387"/>
      <c r="V67" s="387"/>
      <c r="W67" s="387"/>
      <c r="X67" s="387"/>
      <c r="Y67" s="387"/>
      <c r="Z67" s="387"/>
      <c r="AA67" s="387"/>
      <c r="AB67" s="387"/>
      <c r="AC67" s="387"/>
      <c r="AE67" s="385"/>
      <c r="AF67" s="384"/>
      <c r="AG67" s="384"/>
      <c r="AH67" s="384"/>
      <c r="AI67" s="384"/>
      <c r="AJ67" s="384"/>
      <c r="AK67" s="384"/>
    </row>
    <row r="68" spans="1:37" s="301" customFormat="1">
      <c r="A68" s="67" t="s">
        <v>1136</v>
      </c>
      <c r="B68" s="124"/>
      <c r="Q68" s="387"/>
      <c r="R68" s="387"/>
      <c r="S68" s="387"/>
      <c r="T68" s="387"/>
      <c r="U68" s="387"/>
      <c r="V68" s="387"/>
      <c r="W68" s="387"/>
      <c r="X68" s="387"/>
      <c r="Y68" s="387"/>
      <c r="Z68" s="387"/>
      <c r="AA68" s="387"/>
      <c r="AB68" s="387"/>
      <c r="AC68" s="387"/>
      <c r="AE68" s="385"/>
      <c r="AF68" s="384"/>
      <c r="AG68" s="384"/>
      <c r="AH68" s="384"/>
      <c r="AI68" s="384"/>
      <c r="AJ68" s="384"/>
      <c r="AK68" s="384"/>
    </row>
    <row r="69" spans="1:37" s="301" customFormat="1">
      <c r="A69" s="67" t="s">
        <v>1131</v>
      </c>
      <c r="B69" s="124"/>
      <c r="Q69" s="387"/>
      <c r="R69" s="387"/>
      <c r="S69" s="387"/>
      <c r="T69" s="387"/>
      <c r="U69" s="387"/>
      <c r="V69" s="387"/>
      <c r="W69" s="387"/>
      <c r="X69" s="387"/>
      <c r="Y69" s="387"/>
      <c r="Z69" s="387"/>
      <c r="AA69" s="387"/>
      <c r="AB69" s="387"/>
      <c r="AC69" s="387"/>
      <c r="AE69" s="385"/>
      <c r="AF69" s="384"/>
      <c r="AG69" s="384"/>
      <c r="AH69" s="384"/>
      <c r="AI69" s="384"/>
      <c r="AJ69" s="384"/>
      <c r="AK69" s="384"/>
    </row>
    <row r="70" spans="1:37" s="301" customFormat="1">
      <c r="A70" s="67" t="s">
        <v>1139</v>
      </c>
      <c r="B70" s="124"/>
      <c r="Q70" s="387"/>
      <c r="R70" s="387"/>
      <c r="S70" s="387"/>
      <c r="T70" s="387"/>
      <c r="U70" s="387"/>
      <c r="V70" s="387"/>
      <c r="W70" s="387"/>
      <c r="X70" s="387"/>
      <c r="Y70" s="387"/>
      <c r="Z70" s="387"/>
      <c r="AA70" s="387"/>
      <c r="AB70" s="387"/>
      <c r="AC70" s="387"/>
      <c r="AE70" s="385"/>
      <c r="AF70" s="384"/>
      <c r="AG70" s="384"/>
      <c r="AH70" s="384"/>
      <c r="AI70" s="384"/>
      <c r="AJ70" s="384"/>
      <c r="AK70" s="384"/>
    </row>
    <row r="71" spans="1:37" s="301" customFormat="1">
      <c r="A71" s="333"/>
      <c r="B71" s="124"/>
      <c r="Q71" s="387"/>
      <c r="R71" s="387"/>
      <c r="S71" s="387"/>
      <c r="T71" s="387"/>
      <c r="U71" s="387"/>
      <c r="V71" s="387"/>
      <c r="W71" s="387"/>
      <c r="X71" s="387"/>
      <c r="Y71" s="387"/>
      <c r="Z71" s="387"/>
      <c r="AA71" s="387"/>
      <c r="AB71" s="387"/>
      <c r="AC71" s="387"/>
      <c r="AE71" s="385"/>
      <c r="AF71" s="384"/>
      <c r="AG71" s="384"/>
      <c r="AH71" s="384"/>
      <c r="AI71" s="384"/>
      <c r="AJ71" s="384"/>
      <c r="AK71" s="384"/>
    </row>
    <row r="72" spans="1:37" s="301" customFormat="1">
      <c r="A72" s="333"/>
      <c r="B72" s="124"/>
      <c r="Q72" s="387"/>
      <c r="R72" s="387"/>
      <c r="S72" s="387"/>
      <c r="T72" s="387"/>
      <c r="U72" s="387"/>
      <c r="V72" s="387"/>
      <c r="W72" s="387"/>
      <c r="X72" s="387"/>
      <c r="Y72" s="387"/>
      <c r="Z72" s="387"/>
      <c r="AA72" s="387"/>
      <c r="AB72" s="387"/>
      <c r="AC72" s="387"/>
      <c r="AE72" s="385"/>
      <c r="AF72" s="384"/>
      <c r="AG72" s="384"/>
      <c r="AH72" s="384"/>
      <c r="AI72" s="384"/>
      <c r="AJ72" s="384"/>
      <c r="AK72" s="384"/>
    </row>
    <row r="73" spans="1:37" s="301" customFormat="1">
      <c r="A73" s="333"/>
      <c r="B73" s="124"/>
      <c r="Q73" s="387"/>
      <c r="R73" s="387"/>
      <c r="S73" s="387"/>
      <c r="T73" s="387"/>
      <c r="U73" s="387"/>
      <c r="V73" s="387"/>
      <c r="W73" s="387"/>
      <c r="X73" s="387"/>
      <c r="Y73" s="387"/>
      <c r="Z73" s="387"/>
      <c r="AA73" s="387"/>
      <c r="AB73" s="387"/>
      <c r="AC73" s="387"/>
      <c r="AE73" s="385"/>
      <c r="AF73" s="384"/>
      <c r="AG73" s="384"/>
      <c r="AH73" s="384"/>
      <c r="AI73" s="384"/>
      <c r="AJ73" s="384"/>
      <c r="AK73" s="384"/>
    </row>
    <row r="74" spans="1:37" s="301" customFormat="1">
      <c r="A74" s="333"/>
      <c r="B74" s="124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7"/>
      <c r="AB74" s="387"/>
      <c r="AC74" s="387"/>
      <c r="AE74" s="385"/>
      <c r="AF74" s="384"/>
      <c r="AG74" s="384"/>
      <c r="AH74" s="384"/>
      <c r="AI74" s="384"/>
      <c r="AJ74" s="384"/>
      <c r="AK74" s="384"/>
    </row>
    <row r="75" spans="1:37" s="301" customFormat="1">
      <c r="A75" s="67" t="s">
        <v>100</v>
      </c>
      <c r="B75" s="124"/>
      <c r="Q75" s="387"/>
      <c r="R75" s="387"/>
      <c r="S75" s="387"/>
      <c r="T75" s="387"/>
      <c r="U75" s="387"/>
      <c r="V75" s="387"/>
      <c r="W75" s="387"/>
      <c r="X75" s="387"/>
      <c r="Y75" s="387"/>
      <c r="Z75" s="387"/>
      <c r="AA75" s="387"/>
      <c r="AB75" s="387"/>
      <c r="AC75" s="387"/>
      <c r="AE75" s="385"/>
      <c r="AF75" s="384"/>
      <c r="AG75" s="384"/>
      <c r="AH75" s="384"/>
      <c r="AI75" s="384"/>
      <c r="AJ75" s="384"/>
      <c r="AK75" s="384"/>
    </row>
    <row r="76" spans="1:37" s="301" customFormat="1">
      <c r="A76" s="58" t="s">
        <v>1177</v>
      </c>
      <c r="B76" s="124"/>
      <c r="Q76" s="387"/>
      <c r="R76" s="387"/>
      <c r="S76" s="387"/>
      <c r="T76" s="387"/>
      <c r="U76" s="387"/>
      <c r="V76" s="387"/>
      <c r="W76" s="387"/>
      <c r="X76" s="387"/>
      <c r="Y76" s="387"/>
      <c r="Z76" s="387"/>
      <c r="AA76" s="387"/>
      <c r="AB76" s="387"/>
      <c r="AC76" s="387"/>
      <c r="AE76" s="385"/>
      <c r="AF76" s="384"/>
      <c r="AG76" s="384"/>
      <c r="AH76" s="384"/>
      <c r="AI76" s="384"/>
      <c r="AJ76" s="384"/>
      <c r="AK76" s="384"/>
    </row>
    <row r="77" spans="1:37" s="301" customFormat="1" ht="45">
      <c r="A77" s="58" t="s">
        <v>1178</v>
      </c>
      <c r="B77" s="124"/>
      <c r="Q77" s="387"/>
      <c r="R77" s="387"/>
      <c r="S77" s="387"/>
      <c r="T77" s="387"/>
      <c r="U77" s="387"/>
      <c r="V77" s="387"/>
      <c r="W77" s="387"/>
      <c r="X77" s="387"/>
      <c r="Y77" s="387"/>
      <c r="Z77" s="387"/>
      <c r="AA77" s="387"/>
      <c r="AB77" s="387"/>
      <c r="AC77" s="387"/>
      <c r="AE77" s="385"/>
      <c r="AF77" s="384"/>
      <c r="AG77" s="384"/>
      <c r="AH77" s="384"/>
      <c r="AI77" s="384"/>
      <c r="AJ77" s="384"/>
      <c r="AK77" s="384"/>
    </row>
    <row r="78" spans="1:37" s="301" customFormat="1">
      <c r="A78" s="58" t="s">
        <v>1179</v>
      </c>
      <c r="B78" s="124"/>
      <c r="Q78" s="387"/>
      <c r="R78" s="387"/>
      <c r="S78" s="387"/>
      <c r="T78" s="387"/>
      <c r="U78" s="387"/>
      <c r="V78" s="387"/>
      <c r="W78" s="387"/>
      <c r="X78" s="387"/>
      <c r="Y78" s="387"/>
      <c r="Z78" s="387"/>
      <c r="AA78" s="387"/>
      <c r="AB78" s="387"/>
      <c r="AC78" s="387"/>
      <c r="AE78" s="385"/>
      <c r="AF78" s="384"/>
      <c r="AG78" s="384"/>
      <c r="AH78" s="384"/>
      <c r="AI78" s="384"/>
      <c r="AJ78" s="384"/>
      <c r="AK78" s="384"/>
    </row>
    <row r="79" spans="1:37" s="301" customFormat="1" ht="45">
      <c r="A79" s="67" t="s">
        <v>1180</v>
      </c>
      <c r="B79" s="124"/>
      <c r="Q79" s="387"/>
      <c r="R79" s="387"/>
      <c r="S79" s="387"/>
      <c r="T79" s="387"/>
      <c r="U79" s="387"/>
      <c r="V79" s="387"/>
      <c r="W79" s="387"/>
      <c r="X79" s="387"/>
      <c r="Y79" s="387"/>
      <c r="Z79" s="387"/>
      <c r="AA79" s="387"/>
      <c r="AB79" s="387"/>
      <c r="AC79" s="387"/>
      <c r="AE79" s="385"/>
      <c r="AF79" s="384"/>
      <c r="AG79" s="384"/>
      <c r="AH79" s="384"/>
      <c r="AI79" s="384"/>
      <c r="AJ79" s="384"/>
      <c r="AK79" s="384"/>
    </row>
    <row r="80" spans="1:37" s="301" customFormat="1">
      <c r="A80" s="333"/>
      <c r="B80" s="124"/>
      <c r="Q80" s="387"/>
      <c r="R80" s="387"/>
      <c r="S80" s="387"/>
      <c r="T80" s="387"/>
      <c r="U80" s="387"/>
      <c r="V80" s="387"/>
      <c r="W80" s="387"/>
      <c r="X80" s="387"/>
      <c r="Y80" s="387"/>
      <c r="Z80" s="387"/>
      <c r="AA80" s="387"/>
      <c r="AB80" s="387"/>
      <c r="AC80" s="387"/>
      <c r="AE80" s="385"/>
      <c r="AF80" s="384"/>
      <c r="AG80" s="384"/>
      <c r="AH80" s="384"/>
      <c r="AI80" s="384"/>
      <c r="AJ80" s="384"/>
      <c r="AK80" s="384"/>
    </row>
    <row r="81" spans="1:37" s="301" customFormat="1">
      <c r="A81" s="333"/>
      <c r="B81" s="124"/>
      <c r="Q81" s="387"/>
      <c r="R81" s="387"/>
      <c r="S81" s="387"/>
      <c r="T81" s="387"/>
      <c r="U81" s="387"/>
      <c r="V81" s="387"/>
      <c r="W81" s="387"/>
      <c r="X81" s="387"/>
      <c r="Y81" s="387"/>
      <c r="Z81" s="387"/>
      <c r="AA81" s="387"/>
      <c r="AB81" s="387"/>
      <c r="AC81" s="387"/>
      <c r="AE81" s="385"/>
      <c r="AF81" s="384"/>
      <c r="AG81" s="384"/>
      <c r="AH81" s="384"/>
      <c r="AI81" s="384"/>
      <c r="AJ81" s="384"/>
      <c r="AK81" s="384"/>
    </row>
    <row r="82" spans="1:37" s="301" customFormat="1">
      <c r="A82" s="333"/>
      <c r="B82" s="124"/>
      <c r="Q82" s="387"/>
      <c r="R82" s="387"/>
      <c r="S82" s="387"/>
      <c r="T82" s="387"/>
      <c r="U82" s="387"/>
      <c r="V82" s="387"/>
      <c r="W82" s="387"/>
      <c r="X82" s="387"/>
      <c r="Y82" s="387"/>
      <c r="Z82" s="387"/>
      <c r="AA82" s="387"/>
      <c r="AB82" s="387"/>
      <c r="AC82" s="387"/>
      <c r="AE82" s="385"/>
      <c r="AF82" s="384"/>
      <c r="AG82" s="384"/>
      <c r="AH82" s="384"/>
      <c r="AI82" s="384"/>
      <c r="AJ82" s="384"/>
      <c r="AK82" s="384"/>
    </row>
    <row r="83" spans="1:37" s="301" customFormat="1">
      <c r="A83" s="348" t="s">
        <v>1181</v>
      </c>
      <c r="B83" s="124"/>
      <c r="Q83" s="387"/>
      <c r="R83" s="387"/>
      <c r="S83" s="387"/>
      <c r="T83" s="387"/>
      <c r="U83" s="387"/>
      <c r="V83" s="387"/>
      <c r="W83" s="387"/>
      <c r="X83" s="387"/>
      <c r="Y83" s="387"/>
      <c r="Z83" s="387"/>
      <c r="AA83" s="387"/>
      <c r="AB83" s="387"/>
      <c r="AC83" s="387"/>
      <c r="AE83" s="385"/>
      <c r="AF83" s="384"/>
      <c r="AG83" s="384"/>
      <c r="AH83" s="384"/>
      <c r="AI83" s="384"/>
      <c r="AJ83" s="384"/>
      <c r="AK83" s="384"/>
    </row>
    <row r="84" spans="1:37" s="301" customFormat="1">
      <c r="A84" s="348" t="s">
        <v>1182</v>
      </c>
      <c r="B84" s="124"/>
      <c r="Q84" s="387"/>
      <c r="R84" s="387"/>
      <c r="S84" s="387"/>
      <c r="T84" s="387"/>
      <c r="U84" s="387"/>
      <c r="V84" s="387"/>
      <c r="W84" s="387"/>
      <c r="X84" s="387"/>
      <c r="Y84" s="387"/>
      <c r="Z84" s="387"/>
      <c r="AA84" s="387"/>
      <c r="AB84" s="387"/>
      <c r="AC84" s="387"/>
      <c r="AE84" s="385"/>
      <c r="AF84" s="384"/>
      <c r="AG84" s="384"/>
      <c r="AH84" s="384"/>
      <c r="AI84" s="384"/>
      <c r="AJ84" s="384"/>
      <c r="AK84" s="384"/>
    </row>
    <row r="85" spans="1:37" s="301" customFormat="1">
      <c r="A85" s="348" t="s">
        <v>1183</v>
      </c>
      <c r="B85" s="124"/>
      <c r="Q85" s="387"/>
      <c r="R85" s="387"/>
      <c r="S85" s="387"/>
      <c r="T85" s="387"/>
      <c r="U85" s="387"/>
      <c r="V85" s="387"/>
      <c r="W85" s="387"/>
      <c r="X85" s="387"/>
      <c r="Y85" s="387"/>
      <c r="Z85" s="387"/>
      <c r="AA85" s="387"/>
      <c r="AB85" s="387"/>
      <c r="AC85" s="387"/>
      <c r="AE85" s="385"/>
      <c r="AF85" s="384"/>
      <c r="AG85" s="384"/>
      <c r="AH85" s="384"/>
      <c r="AI85" s="384"/>
      <c r="AJ85" s="384"/>
      <c r="AK85" s="384"/>
    </row>
    <row r="86" spans="1:37" s="301" customFormat="1">
      <c r="A86" s="348" t="s">
        <v>1147</v>
      </c>
      <c r="B86" s="124"/>
      <c r="Q86" s="387"/>
      <c r="R86" s="387"/>
      <c r="S86" s="387"/>
      <c r="T86" s="387"/>
      <c r="U86" s="387"/>
      <c r="V86" s="387"/>
      <c r="W86" s="387"/>
      <c r="X86" s="387"/>
      <c r="Y86" s="387"/>
      <c r="Z86" s="387"/>
      <c r="AA86" s="387"/>
      <c r="AB86" s="387"/>
      <c r="AC86" s="387"/>
      <c r="AE86" s="385"/>
      <c r="AF86" s="384"/>
      <c r="AG86" s="384"/>
      <c r="AH86" s="384"/>
      <c r="AI86" s="384"/>
      <c r="AJ86" s="384"/>
      <c r="AK86" s="384"/>
    </row>
    <row r="87" spans="1:37" s="301" customFormat="1">
      <c r="A87" s="348" t="s">
        <v>1184</v>
      </c>
      <c r="B87" s="124"/>
      <c r="Q87" s="387"/>
      <c r="R87" s="387"/>
      <c r="S87" s="387"/>
      <c r="T87" s="387"/>
      <c r="U87" s="387"/>
      <c r="V87" s="387"/>
      <c r="W87" s="387"/>
      <c r="X87" s="387"/>
      <c r="Y87" s="387"/>
      <c r="Z87" s="387"/>
      <c r="AA87" s="387"/>
      <c r="AB87" s="387"/>
      <c r="AC87" s="387"/>
      <c r="AE87" s="385"/>
      <c r="AF87" s="384"/>
      <c r="AG87" s="384"/>
      <c r="AH87" s="384"/>
      <c r="AI87" s="384"/>
      <c r="AJ87" s="384"/>
      <c r="AK87" s="384"/>
    </row>
    <row r="88" spans="1:37" s="301" customFormat="1">
      <c r="A88" s="348" t="s">
        <v>1185</v>
      </c>
      <c r="B88" s="124"/>
      <c r="Q88" s="387"/>
      <c r="R88" s="387"/>
      <c r="S88" s="387"/>
      <c r="T88" s="387"/>
      <c r="U88" s="387"/>
      <c r="V88" s="387"/>
      <c r="W88" s="387"/>
      <c r="X88" s="387"/>
      <c r="Y88" s="387"/>
      <c r="Z88" s="387"/>
      <c r="AA88" s="387"/>
      <c r="AB88" s="387"/>
      <c r="AC88" s="387"/>
      <c r="AE88" s="385"/>
      <c r="AF88" s="384"/>
      <c r="AG88" s="384"/>
      <c r="AH88" s="384"/>
      <c r="AI88" s="384"/>
      <c r="AJ88" s="384"/>
      <c r="AK88" s="384"/>
    </row>
    <row r="89" spans="1:37" s="301" customFormat="1">
      <c r="A89" s="348" t="s">
        <v>1186</v>
      </c>
      <c r="B89" s="124"/>
      <c r="Q89" s="387"/>
      <c r="R89" s="387"/>
      <c r="S89" s="387"/>
      <c r="T89" s="387"/>
      <c r="U89" s="387"/>
      <c r="V89" s="387"/>
      <c r="W89" s="387"/>
      <c r="X89" s="387"/>
      <c r="Y89" s="387"/>
      <c r="Z89" s="387"/>
      <c r="AA89" s="387"/>
      <c r="AB89" s="387"/>
      <c r="AC89" s="387"/>
      <c r="AE89" s="385"/>
      <c r="AF89" s="384"/>
      <c r="AG89" s="384"/>
      <c r="AH89" s="384"/>
      <c r="AI89" s="384"/>
      <c r="AJ89" s="384"/>
      <c r="AK89" s="384"/>
    </row>
    <row r="90" spans="1:37" s="301" customFormat="1">
      <c r="A90" s="348" t="s">
        <v>1126</v>
      </c>
      <c r="B90" s="124"/>
      <c r="Q90" s="387"/>
      <c r="R90" s="387"/>
      <c r="S90" s="387"/>
      <c r="T90" s="387"/>
      <c r="U90" s="387"/>
      <c r="V90" s="387"/>
      <c r="W90" s="387"/>
      <c r="X90" s="387"/>
      <c r="Y90" s="387"/>
      <c r="Z90" s="387"/>
      <c r="AA90" s="387"/>
      <c r="AB90" s="387"/>
      <c r="AC90" s="387"/>
      <c r="AE90" s="385"/>
      <c r="AF90" s="384"/>
      <c r="AG90" s="384"/>
      <c r="AH90" s="384"/>
      <c r="AI90" s="384"/>
      <c r="AJ90" s="384"/>
      <c r="AK90" s="384"/>
    </row>
    <row r="91" spans="1:37" s="301" customFormat="1">
      <c r="A91" s="348" t="s">
        <v>1187</v>
      </c>
      <c r="B91" s="124"/>
      <c r="Q91" s="387"/>
      <c r="R91" s="387"/>
      <c r="S91" s="387"/>
      <c r="T91" s="387"/>
      <c r="U91" s="387"/>
      <c r="V91" s="387"/>
      <c r="W91" s="387"/>
      <c r="X91" s="387"/>
      <c r="Y91" s="387"/>
      <c r="Z91" s="387"/>
      <c r="AA91" s="387"/>
      <c r="AB91" s="387"/>
      <c r="AC91" s="387"/>
      <c r="AE91" s="385"/>
      <c r="AF91" s="384"/>
      <c r="AG91" s="384"/>
      <c r="AH91" s="384"/>
      <c r="AI91" s="384"/>
      <c r="AJ91" s="384"/>
      <c r="AK91" s="384"/>
    </row>
    <row r="92" spans="1:37" s="301" customFormat="1">
      <c r="A92" s="348" t="s">
        <v>1150</v>
      </c>
      <c r="B92" s="124"/>
      <c r="Q92" s="387"/>
      <c r="R92" s="387"/>
      <c r="S92" s="387"/>
      <c r="T92" s="387"/>
      <c r="U92" s="387"/>
      <c r="V92" s="387"/>
      <c r="W92" s="387"/>
      <c r="X92" s="387"/>
      <c r="Y92" s="387"/>
      <c r="Z92" s="387"/>
      <c r="AA92" s="387"/>
      <c r="AB92" s="387"/>
      <c r="AC92" s="387"/>
      <c r="AE92" s="385"/>
      <c r="AF92" s="384"/>
      <c r="AG92" s="384"/>
      <c r="AH92" s="384"/>
      <c r="AI92" s="384"/>
      <c r="AJ92" s="384"/>
      <c r="AK92" s="384"/>
    </row>
    <row r="93" spans="1:37" s="301" customFormat="1">
      <c r="A93" s="348" t="s">
        <v>1188</v>
      </c>
      <c r="B93" s="124"/>
      <c r="Q93" s="387"/>
      <c r="R93" s="387"/>
      <c r="S93" s="387"/>
      <c r="T93" s="387"/>
      <c r="U93" s="387"/>
      <c r="V93" s="387"/>
      <c r="W93" s="387"/>
      <c r="X93" s="387"/>
      <c r="Y93" s="387"/>
      <c r="Z93" s="387"/>
      <c r="AA93" s="387"/>
      <c r="AB93" s="387"/>
      <c r="AC93" s="387"/>
      <c r="AE93" s="385"/>
      <c r="AF93" s="384"/>
      <c r="AG93" s="384"/>
      <c r="AH93" s="384"/>
      <c r="AI93" s="384"/>
      <c r="AJ93" s="384"/>
      <c r="AK93" s="384"/>
    </row>
    <row r="94" spans="1:37" s="301" customFormat="1">
      <c r="A94" s="333"/>
      <c r="B94" s="124"/>
      <c r="Q94" s="387"/>
      <c r="R94" s="387"/>
      <c r="S94" s="387"/>
      <c r="T94" s="387"/>
      <c r="U94" s="387"/>
      <c r="V94" s="387"/>
      <c r="W94" s="387"/>
      <c r="X94" s="387"/>
      <c r="Y94" s="387"/>
      <c r="Z94" s="387"/>
      <c r="AA94" s="387"/>
      <c r="AB94" s="387"/>
      <c r="AC94" s="387"/>
      <c r="AE94" s="385"/>
      <c r="AF94" s="384"/>
      <c r="AG94" s="384"/>
      <c r="AH94" s="384"/>
      <c r="AI94" s="384"/>
      <c r="AJ94" s="384"/>
      <c r="AK94" s="384"/>
    </row>
    <row r="95" spans="1:37" s="301" customFormat="1">
      <c r="A95" s="333"/>
      <c r="B95" s="124"/>
      <c r="Q95" s="387"/>
      <c r="R95" s="387"/>
      <c r="S95" s="387"/>
      <c r="T95" s="387"/>
      <c r="U95" s="387"/>
      <c r="V95" s="387"/>
      <c r="W95" s="387"/>
      <c r="X95" s="387"/>
      <c r="Y95" s="387"/>
      <c r="Z95" s="387"/>
      <c r="AA95" s="387"/>
      <c r="AB95" s="387"/>
      <c r="AC95" s="387"/>
      <c r="AE95" s="385"/>
      <c r="AF95" s="384"/>
      <c r="AG95" s="384"/>
      <c r="AH95" s="384"/>
      <c r="AI95" s="384"/>
      <c r="AJ95" s="384"/>
      <c r="AK95" s="384"/>
    </row>
    <row r="96" spans="1:37" s="301" customFormat="1" ht="15.75">
      <c r="A96" s="291" t="s">
        <v>1189</v>
      </c>
      <c r="B96" s="124"/>
      <c r="Q96" s="387"/>
      <c r="R96" s="387"/>
      <c r="S96" s="387"/>
      <c r="T96" s="387"/>
      <c r="U96" s="387"/>
      <c r="V96" s="387"/>
      <c r="W96" s="387"/>
      <c r="X96" s="387"/>
      <c r="Y96" s="387"/>
      <c r="Z96" s="387"/>
      <c r="AA96" s="387"/>
      <c r="AB96" s="387"/>
      <c r="AC96" s="387"/>
      <c r="AE96" s="385"/>
      <c r="AF96" s="384"/>
      <c r="AG96" s="384"/>
      <c r="AH96" s="384"/>
      <c r="AI96" s="384"/>
      <c r="AJ96" s="384"/>
      <c r="AK96" s="384"/>
    </row>
    <row r="97" spans="1:37" s="301" customFormat="1">
      <c r="A97" s="348" t="s">
        <v>1182</v>
      </c>
      <c r="B97" s="124"/>
      <c r="Q97" s="387"/>
      <c r="R97" s="387"/>
      <c r="S97" s="387"/>
      <c r="T97" s="387"/>
      <c r="U97" s="387"/>
      <c r="V97" s="387"/>
      <c r="W97" s="387"/>
      <c r="X97" s="387"/>
      <c r="Y97" s="387"/>
      <c r="Z97" s="387"/>
      <c r="AA97" s="387"/>
      <c r="AB97" s="387"/>
      <c r="AC97" s="387"/>
      <c r="AE97" s="385"/>
      <c r="AF97" s="384"/>
      <c r="AG97" s="384"/>
      <c r="AH97" s="384"/>
      <c r="AI97" s="384"/>
      <c r="AJ97" s="384"/>
      <c r="AK97" s="384"/>
    </row>
    <row r="98" spans="1:37" s="301" customFormat="1" ht="15.75" thickBot="1">
      <c r="A98" s="349" t="s">
        <v>1190</v>
      </c>
      <c r="B98" s="124"/>
      <c r="Q98" s="387"/>
      <c r="R98" s="387"/>
      <c r="S98" s="387"/>
      <c r="T98" s="387"/>
      <c r="U98" s="387"/>
      <c r="V98" s="387"/>
      <c r="W98" s="387"/>
      <c r="X98" s="387"/>
      <c r="Y98" s="387"/>
      <c r="Z98" s="387"/>
      <c r="AA98" s="387"/>
      <c r="AB98" s="387"/>
      <c r="AC98" s="387"/>
      <c r="AE98" s="385"/>
      <c r="AF98" s="384"/>
      <c r="AG98" s="384"/>
      <c r="AH98" s="384"/>
      <c r="AI98" s="384"/>
      <c r="AJ98" s="384"/>
      <c r="AK98" s="384"/>
    </row>
    <row r="99" spans="1:37" s="301" customFormat="1">
      <c r="A99" s="350" t="s">
        <v>1191</v>
      </c>
      <c r="B99" s="124"/>
      <c r="Q99" s="387"/>
      <c r="R99" s="387"/>
      <c r="S99" s="387"/>
      <c r="T99" s="387"/>
      <c r="U99" s="387"/>
      <c r="V99" s="387"/>
      <c r="W99" s="387"/>
      <c r="X99" s="387"/>
      <c r="Y99" s="387"/>
      <c r="Z99" s="387"/>
      <c r="AA99" s="387"/>
      <c r="AB99" s="387"/>
      <c r="AC99" s="387"/>
      <c r="AE99" s="385"/>
      <c r="AF99" s="384"/>
      <c r="AG99" s="384"/>
      <c r="AH99" s="384"/>
      <c r="AI99" s="384"/>
      <c r="AJ99" s="384"/>
      <c r="AK99" s="384"/>
    </row>
    <row r="100" spans="1:37" s="301" customFormat="1">
      <c r="A100" s="351" t="s">
        <v>1192</v>
      </c>
      <c r="B100" s="124"/>
      <c r="Q100" s="387"/>
      <c r="R100" s="387"/>
      <c r="S100" s="387"/>
      <c r="T100" s="387"/>
      <c r="U100" s="387"/>
      <c r="V100" s="387"/>
      <c r="W100" s="387"/>
      <c r="X100" s="387"/>
      <c r="Y100" s="387"/>
      <c r="Z100" s="387"/>
      <c r="AA100" s="387"/>
      <c r="AB100" s="387"/>
      <c r="AC100" s="387"/>
      <c r="AE100" s="385"/>
      <c r="AF100" s="384"/>
      <c r="AG100" s="384"/>
      <c r="AH100" s="384"/>
      <c r="AI100" s="384"/>
      <c r="AJ100" s="384"/>
      <c r="AK100" s="384"/>
    </row>
    <row r="101" spans="1:37" s="301" customFormat="1">
      <c r="A101" s="351" t="s">
        <v>1193</v>
      </c>
      <c r="B101" s="124"/>
      <c r="Q101" s="387"/>
      <c r="R101" s="387"/>
      <c r="S101" s="387"/>
      <c r="T101" s="387"/>
      <c r="U101" s="387"/>
      <c r="V101" s="387"/>
      <c r="W101" s="387"/>
      <c r="X101" s="387"/>
      <c r="Y101" s="387"/>
      <c r="Z101" s="387"/>
      <c r="AA101" s="387"/>
      <c r="AB101" s="387"/>
      <c r="AC101" s="387"/>
      <c r="AE101" s="385"/>
      <c r="AF101" s="384"/>
      <c r="AG101" s="384"/>
      <c r="AH101" s="384"/>
      <c r="AI101" s="384"/>
      <c r="AJ101" s="384"/>
      <c r="AK101" s="384"/>
    </row>
    <row r="102" spans="1:37" s="301" customFormat="1" ht="15.75" thickBot="1">
      <c r="A102" s="352" t="s">
        <v>1194</v>
      </c>
      <c r="B102" s="124"/>
      <c r="Q102" s="387"/>
      <c r="R102" s="387"/>
      <c r="S102" s="387"/>
      <c r="T102" s="387"/>
      <c r="U102" s="387"/>
      <c r="V102" s="387"/>
      <c r="W102" s="387"/>
      <c r="X102" s="387"/>
      <c r="Y102" s="387"/>
      <c r="Z102" s="387"/>
      <c r="AA102" s="387"/>
      <c r="AB102" s="387"/>
      <c r="AC102" s="387"/>
      <c r="AE102" s="385"/>
      <c r="AF102" s="384"/>
      <c r="AG102" s="384"/>
      <c r="AH102" s="384"/>
      <c r="AI102" s="384"/>
      <c r="AJ102" s="384"/>
      <c r="AK102" s="384"/>
    </row>
    <row r="103" spans="1:37" s="301" customFormat="1" ht="15.75" thickTop="1">
      <c r="A103" s="350" t="s">
        <v>1195</v>
      </c>
      <c r="B103" s="124"/>
      <c r="Q103" s="387"/>
      <c r="R103" s="387"/>
      <c r="S103" s="387"/>
      <c r="T103" s="387"/>
      <c r="U103" s="387"/>
      <c r="V103" s="387"/>
      <c r="W103" s="387"/>
      <c r="X103" s="387"/>
      <c r="Y103" s="387"/>
      <c r="Z103" s="387"/>
      <c r="AA103" s="387"/>
      <c r="AB103" s="387"/>
      <c r="AC103" s="387"/>
      <c r="AE103" s="385"/>
      <c r="AF103" s="384"/>
      <c r="AG103" s="384"/>
      <c r="AH103" s="384"/>
      <c r="AI103" s="384"/>
      <c r="AJ103" s="384"/>
      <c r="AK103" s="384"/>
    </row>
    <row r="104" spans="1:37" s="301" customFormat="1">
      <c r="A104" s="351" t="s">
        <v>1196</v>
      </c>
      <c r="B104" s="124"/>
      <c r="Q104" s="387"/>
      <c r="R104" s="387"/>
      <c r="S104" s="387"/>
      <c r="T104" s="387"/>
      <c r="U104" s="387"/>
      <c r="V104" s="387"/>
      <c r="W104" s="387"/>
      <c r="X104" s="387"/>
      <c r="Y104" s="387"/>
      <c r="Z104" s="387"/>
      <c r="AA104" s="387"/>
      <c r="AB104" s="387"/>
      <c r="AC104" s="387"/>
      <c r="AE104" s="385"/>
      <c r="AF104" s="384"/>
      <c r="AG104" s="384"/>
      <c r="AH104" s="384"/>
      <c r="AI104" s="384"/>
      <c r="AJ104" s="384"/>
      <c r="AK104" s="384"/>
    </row>
    <row r="105" spans="1:37" s="301" customFormat="1" ht="15.75" thickBot="1">
      <c r="A105" s="353" t="s">
        <v>1197</v>
      </c>
      <c r="B105" s="124"/>
      <c r="Q105" s="387"/>
      <c r="R105" s="387"/>
      <c r="S105" s="387"/>
      <c r="T105" s="387"/>
      <c r="U105" s="387"/>
      <c r="V105" s="387"/>
      <c r="W105" s="387"/>
      <c r="X105" s="387"/>
      <c r="Y105" s="387"/>
      <c r="Z105" s="387"/>
      <c r="AA105" s="387"/>
      <c r="AB105" s="387"/>
      <c r="AC105" s="387"/>
      <c r="AE105" s="385"/>
      <c r="AF105" s="384"/>
      <c r="AG105" s="384"/>
      <c r="AH105" s="384"/>
      <c r="AI105" s="384"/>
      <c r="AJ105" s="384"/>
      <c r="AK105" s="384"/>
    </row>
    <row r="106" spans="1:37" s="301" customFormat="1">
      <c r="A106" s="351" t="s">
        <v>1198</v>
      </c>
      <c r="B106" s="124"/>
      <c r="Q106" s="387"/>
      <c r="R106" s="387"/>
      <c r="S106" s="387"/>
      <c r="T106" s="387"/>
      <c r="U106" s="387"/>
      <c r="V106" s="387"/>
      <c r="W106" s="387"/>
      <c r="X106" s="387"/>
      <c r="Y106" s="387"/>
      <c r="Z106" s="387"/>
      <c r="AA106" s="387"/>
      <c r="AB106" s="387"/>
      <c r="AC106" s="387"/>
      <c r="AE106" s="385"/>
      <c r="AF106" s="384"/>
      <c r="AG106" s="384"/>
      <c r="AH106" s="384"/>
      <c r="AI106" s="384"/>
      <c r="AJ106" s="384"/>
      <c r="AK106" s="384"/>
    </row>
    <row r="107" spans="1:37" s="301" customFormat="1">
      <c r="A107" s="67" t="s">
        <v>1199</v>
      </c>
      <c r="B107" s="124"/>
      <c r="Q107" s="387"/>
      <c r="R107" s="387"/>
      <c r="S107" s="387"/>
      <c r="T107" s="387"/>
      <c r="U107" s="387"/>
      <c r="V107" s="387"/>
      <c r="W107" s="387"/>
      <c r="X107" s="387"/>
      <c r="Y107" s="387"/>
      <c r="Z107" s="387"/>
      <c r="AA107" s="387"/>
      <c r="AB107" s="387"/>
      <c r="AC107" s="387"/>
      <c r="AE107" s="385"/>
      <c r="AF107" s="384"/>
      <c r="AG107" s="384"/>
      <c r="AH107" s="384"/>
      <c r="AI107" s="384"/>
      <c r="AJ107" s="384"/>
      <c r="AK107" s="384"/>
    </row>
    <row r="108" spans="1:37" s="301" customFormat="1">
      <c r="A108" s="67" t="s">
        <v>1200</v>
      </c>
      <c r="B108" s="124"/>
      <c r="Q108" s="387"/>
      <c r="R108" s="387"/>
      <c r="S108" s="387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E108" s="385"/>
      <c r="AF108" s="384"/>
      <c r="AG108" s="384"/>
      <c r="AH108" s="384"/>
      <c r="AI108" s="384"/>
      <c r="AJ108" s="384"/>
      <c r="AK108" s="384"/>
    </row>
    <row r="109" spans="1:37" s="301" customFormat="1">
      <c r="A109" s="67" t="s">
        <v>1201</v>
      </c>
      <c r="B109" s="124"/>
      <c r="Q109" s="387"/>
      <c r="R109" s="387"/>
      <c r="S109" s="387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E109" s="385"/>
      <c r="AF109" s="384"/>
      <c r="AG109" s="384"/>
      <c r="AH109" s="384"/>
      <c r="AI109" s="384"/>
      <c r="AJ109" s="384"/>
      <c r="AK109" s="384"/>
    </row>
    <row r="110" spans="1:37" s="301" customFormat="1">
      <c r="A110" s="67" t="s">
        <v>1202</v>
      </c>
      <c r="B110" s="124"/>
      <c r="Q110" s="387"/>
      <c r="R110" s="387"/>
      <c r="S110" s="387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E110" s="385"/>
      <c r="AF110" s="384"/>
      <c r="AG110" s="384"/>
      <c r="AH110" s="384"/>
      <c r="AI110" s="384"/>
      <c r="AJ110" s="384"/>
      <c r="AK110" s="384"/>
    </row>
    <row r="111" spans="1:37" s="301" customFormat="1">
      <c r="A111" s="67" t="s">
        <v>1203</v>
      </c>
      <c r="B111" s="124"/>
      <c r="Q111" s="387"/>
      <c r="R111" s="387"/>
      <c r="S111" s="387"/>
      <c r="T111" s="387"/>
      <c r="U111" s="387"/>
      <c r="V111" s="387"/>
      <c r="W111" s="387"/>
      <c r="X111" s="387"/>
      <c r="Y111" s="387"/>
      <c r="Z111" s="387"/>
      <c r="AA111" s="387"/>
      <c r="AB111" s="387"/>
      <c r="AC111" s="387"/>
      <c r="AE111" s="385"/>
      <c r="AF111" s="384"/>
      <c r="AG111" s="384"/>
      <c r="AH111" s="384"/>
      <c r="AI111" s="384"/>
      <c r="AJ111" s="384"/>
      <c r="AK111" s="384"/>
    </row>
    <row r="112" spans="1:37" s="301" customFormat="1">
      <c r="A112" s="67" t="s">
        <v>1204</v>
      </c>
      <c r="B112" s="124"/>
      <c r="Q112" s="387"/>
      <c r="R112" s="387"/>
      <c r="S112" s="387"/>
      <c r="T112" s="387"/>
      <c r="U112" s="387"/>
      <c r="V112" s="387"/>
      <c r="W112" s="387"/>
      <c r="X112" s="387"/>
      <c r="Y112" s="387"/>
      <c r="Z112" s="387"/>
      <c r="AA112" s="387"/>
      <c r="AB112" s="387"/>
      <c r="AC112" s="387"/>
      <c r="AE112" s="385"/>
      <c r="AF112" s="384"/>
      <c r="AG112" s="384"/>
      <c r="AH112" s="384"/>
      <c r="AI112" s="384"/>
      <c r="AJ112" s="384"/>
      <c r="AK112" s="384"/>
    </row>
    <row r="113" spans="1:37" s="301" customFormat="1">
      <c r="A113" s="67" t="s">
        <v>1205</v>
      </c>
      <c r="B113" s="124"/>
      <c r="Q113" s="387"/>
      <c r="R113" s="387"/>
      <c r="S113" s="387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E113" s="385"/>
      <c r="AF113" s="384"/>
      <c r="AG113" s="384"/>
      <c r="AH113" s="384"/>
      <c r="AI113" s="384"/>
      <c r="AJ113" s="384"/>
      <c r="AK113" s="384"/>
    </row>
    <row r="114" spans="1:37" s="301" customFormat="1">
      <c r="A114" s="67" t="s">
        <v>1206</v>
      </c>
      <c r="B114" s="124"/>
      <c r="Q114" s="387"/>
      <c r="R114" s="387"/>
      <c r="S114" s="387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E114" s="385"/>
      <c r="AF114" s="384"/>
      <c r="AG114" s="384"/>
      <c r="AH114" s="384"/>
      <c r="AI114" s="384"/>
      <c r="AJ114" s="384"/>
      <c r="AK114" s="384"/>
    </row>
    <row r="115" spans="1:37" s="301" customFormat="1">
      <c r="A115" s="67" t="s">
        <v>1207</v>
      </c>
      <c r="B115" s="124"/>
      <c r="Q115" s="387"/>
      <c r="R115" s="387"/>
      <c r="S115" s="387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E115" s="385"/>
      <c r="AF115" s="384"/>
      <c r="AG115" s="384"/>
      <c r="AH115" s="384"/>
      <c r="AI115" s="384"/>
      <c r="AJ115" s="384"/>
      <c r="AK115" s="384"/>
    </row>
    <row r="116" spans="1:37" s="301" customFormat="1">
      <c r="A116" s="67" t="s">
        <v>1208</v>
      </c>
      <c r="B116" s="124"/>
      <c r="Q116" s="387"/>
      <c r="R116" s="387"/>
      <c r="S116" s="387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E116" s="385"/>
      <c r="AF116" s="384"/>
      <c r="AG116" s="384"/>
      <c r="AH116" s="384"/>
      <c r="AI116" s="384"/>
      <c r="AJ116" s="384"/>
      <c r="AK116" s="384"/>
    </row>
    <row r="117" spans="1:37" s="301" customFormat="1">
      <c r="A117" s="67" t="s">
        <v>1209</v>
      </c>
      <c r="B117" s="124"/>
      <c r="Q117" s="387"/>
      <c r="R117" s="387"/>
      <c r="S117" s="387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E117" s="385"/>
      <c r="AF117" s="384"/>
      <c r="AG117" s="384"/>
      <c r="AH117" s="384"/>
      <c r="AI117" s="384"/>
      <c r="AJ117" s="384"/>
      <c r="AK117" s="384"/>
    </row>
    <row r="118" spans="1:37" s="301" customFormat="1">
      <c r="A118" s="67" t="s">
        <v>1210</v>
      </c>
      <c r="B118" s="124"/>
      <c r="Q118" s="387"/>
      <c r="R118" s="387"/>
      <c r="S118" s="387"/>
      <c r="T118" s="387"/>
      <c r="U118" s="387"/>
      <c r="V118" s="387"/>
      <c r="W118" s="387"/>
      <c r="X118" s="387"/>
      <c r="Y118" s="387"/>
      <c r="Z118" s="387"/>
      <c r="AA118" s="387"/>
      <c r="AB118" s="387"/>
      <c r="AC118" s="387"/>
      <c r="AE118" s="385"/>
      <c r="AF118" s="384"/>
      <c r="AG118" s="384"/>
      <c r="AH118" s="384"/>
      <c r="AI118" s="384"/>
      <c r="AJ118" s="384"/>
      <c r="AK118" s="384"/>
    </row>
    <row r="119" spans="1:37" s="301" customFormat="1">
      <c r="A119" s="67" t="s">
        <v>1211</v>
      </c>
      <c r="B119" s="124"/>
      <c r="Q119" s="387"/>
      <c r="R119" s="387"/>
      <c r="S119" s="387"/>
      <c r="T119" s="387"/>
      <c r="U119" s="387"/>
      <c r="V119" s="387"/>
      <c r="W119" s="387"/>
      <c r="X119" s="387"/>
      <c r="Y119" s="387"/>
      <c r="Z119" s="387"/>
      <c r="AA119" s="387"/>
      <c r="AB119" s="387"/>
      <c r="AC119" s="387"/>
      <c r="AE119" s="385"/>
      <c r="AF119" s="384"/>
      <c r="AG119" s="384"/>
      <c r="AH119" s="384"/>
      <c r="AI119" s="384"/>
      <c r="AJ119" s="384"/>
      <c r="AK119" s="384"/>
    </row>
    <row r="120" spans="1:37" s="301" customFormat="1">
      <c r="A120" s="67" t="s">
        <v>1212</v>
      </c>
      <c r="B120" s="124"/>
      <c r="Q120" s="387"/>
      <c r="R120" s="387"/>
      <c r="S120" s="387"/>
      <c r="T120" s="387"/>
      <c r="U120" s="387"/>
      <c r="V120" s="387"/>
      <c r="W120" s="387"/>
      <c r="X120" s="387"/>
      <c r="Y120" s="387"/>
      <c r="Z120" s="387"/>
      <c r="AA120" s="387"/>
      <c r="AB120" s="387"/>
      <c r="AC120" s="387"/>
      <c r="AE120" s="385"/>
      <c r="AF120" s="384"/>
      <c r="AG120" s="384"/>
      <c r="AH120" s="384"/>
      <c r="AI120" s="384"/>
      <c r="AJ120" s="384"/>
      <c r="AK120" s="384"/>
    </row>
    <row r="121" spans="1:37" s="301" customFormat="1">
      <c r="A121" s="67" t="s">
        <v>1213</v>
      </c>
      <c r="B121" s="124"/>
      <c r="Q121" s="387"/>
      <c r="R121" s="387"/>
      <c r="S121" s="387"/>
      <c r="T121" s="387"/>
      <c r="U121" s="387"/>
      <c r="V121" s="387"/>
      <c r="W121" s="387"/>
      <c r="X121" s="387"/>
      <c r="Y121" s="387"/>
      <c r="Z121" s="387"/>
      <c r="AA121" s="387"/>
      <c r="AB121" s="387"/>
      <c r="AC121" s="387"/>
      <c r="AE121" s="385"/>
      <c r="AF121" s="384"/>
      <c r="AG121" s="384"/>
      <c r="AH121" s="384"/>
      <c r="AI121" s="384"/>
      <c r="AJ121" s="384"/>
      <c r="AK121" s="384"/>
    </row>
    <row r="122" spans="1:37" s="301" customFormat="1" ht="15.75" thickBot="1">
      <c r="A122" s="354" t="s">
        <v>1214</v>
      </c>
      <c r="B122" s="124"/>
      <c r="Q122" s="387"/>
      <c r="R122" s="387"/>
      <c r="S122" s="387"/>
      <c r="T122" s="387"/>
      <c r="U122" s="387"/>
      <c r="V122" s="387"/>
      <c r="W122" s="387"/>
      <c r="X122" s="387"/>
      <c r="Y122" s="387"/>
      <c r="Z122" s="387"/>
      <c r="AA122" s="387"/>
      <c r="AB122" s="387"/>
      <c r="AC122" s="387"/>
      <c r="AE122" s="385"/>
      <c r="AF122" s="384"/>
      <c r="AG122" s="384"/>
      <c r="AH122" s="384"/>
      <c r="AI122" s="384"/>
      <c r="AJ122" s="384"/>
      <c r="AK122" s="384"/>
    </row>
    <row r="123" spans="1:37" s="301" customFormat="1" ht="15.75" thickBot="1">
      <c r="A123" s="355" t="s">
        <v>1215</v>
      </c>
      <c r="B123" s="124"/>
      <c r="Q123" s="387"/>
      <c r="R123" s="387"/>
      <c r="S123" s="387"/>
      <c r="T123" s="387"/>
      <c r="U123" s="387"/>
      <c r="V123" s="387"/>
      <c r="W123" s="387"/>
      <c r="X123" s="387"/>
      <c r="Y123" s="387"/>
      <c r="Z123" s="387"/>
      <c r="AA123" s="387"/>
      <c r="AB123" s="387"/>
      <c r="AC123" s="387"/>
      <c r="AE123" s="385"/>
      <c r="AF123" s="384"/>
      <c r="AG123" s="384"/>
      <c r="AH123" s="384"/>
      <c r="AI123" s="384"/>
      <c r="AJ123" s="384"/>
      <c r="AK123" s="384"/>
    </row>
    <row r="124" spans="1:37" s="301" customFormat="1">
      <c r="A124" s="351" t="s">
        <v>1216</v>
      </c>
      <c r="B124" s="124"/>
      <c r="Q124" s="387"/>
      <c r="R124" s="387"/>
      <c r="S124" s="387"/>
      <c r="T124" s="387"/>
      <c r="U124" s="387"/>
      <c r="V124" s="387"/>
      <c r="W124" s="387"/>
      <c r="X124" s="387"/>
      <c r="Y124" s="387"/>
      <c r="Z124" s="387"/>
      <c r="AA124" s="387"/>
      <c r="AB124" s="387"/>
      <c r="AC124" s="387"/>
      <c r="AE124" s="385"/>
      <c r="AF124" s="384"/>
      <c r="AG124" s="384"/>
      <c r="AH124" s="384"/>
      <c r="AI124" s="384"/>
      <c r="AJ124" s="384"/>
      <c r="AK124" s="384"/>
    </row>
    <row r="125" spans="1:37" s="301" customFormat="1">
      <c r="A125" s="67"/>
      <c r="B125" s="124"/>
      <c r="Q125" s="387"/>
      <c r="R125" s="387"/>
      <c r="S125" s="387"/>
      <c r="T125" s="387"/>
      <c r="U125" s="387"/>
      <c r="V125" s="387"/>
      <c r="W125" s="387"/>
      <c r="X125" s="387"/>
      <c r="Y125" s="387"/>
      <c r="Z125" s="387"/>
      <c r="AA125" s="387"/>
      <c r="AB125" s="387"/>
      <c r="AC125" s="387"/>
      <c r="AE125" s="385"/>
      <c r="AF125" s="384"/>
      <c r="AG125" s="384"/>
      <c r="AH125" s="384"/>
      <c r="AI125" s="384"/>
      <c r="AJ125" s="384"/>
      <c r="AK125" s="384"/>
    </row>
    <row r="126" spans="1:37" s="301" customFormat="1">
      <c r="A126" s="67"/>
      <c r="B126" s="124"/>
      <c r="Q126" s="387"/>
      <c r="R126" s="387"/>
      <c r="S126" s="387"/>
      <c r="T126" s="387"/>
      <c r="U126" s="387"/>
      <c r="V126" s="387"/>
      <c r="W126" s="387"/>
      <c r="X126" s="387"/>
      <c r="Y126" s="387"/>
      <c r="Z126" s="387"/>
      <c r="AA126" s="387"/>
      <c r="AB126" s="387"/>
      <c r="AC126" s="387"/>
      <c r="AE126" s="385"/>
      <c r="AF126" s="384"/>
      <c r="AG126" s="384"/>
      <c r="AH126" s="384"/>
      <c r="AI126" s="384"/>
      <c r="AJ126" s="384"/>
      <c r="AK126" s="384"/>
    </row>
    <row r="127" spans="1:37" s="301" customFormat="1">
      <c r="A127" s="67" t="s">
        <v>1217</v>
      </c>
      <c r="B127" s="124"/>
      <c r="Q127" s="387"/>
      <c r="R127" s="387"/>
      <c r="S127" s="387"/>
      <c r="T127" s="387"/>
      <c r="U127" s="387"/>
      <c r="V127" s="387"/>
      <c r="W127" s="387"/>
      <c r="X127" s="387"/>
      <c r="Y127" s="387"/>
      <c r="Z127" s="387"/>
      <c r="AA127" s="387"/>
      <c r="AB127" s="387"/>
      <c r="AC127" s="387"/>
      <c r="AE127" s="385"/>
      <c r="AF127" s="384"/>
      <c r="AG127" s="384"/>
      <c r="AH127" s="384"/>
      <c r="AI127" s="384"/>
      <c r="AJ127" s="384"/>
      <c r="AK127" s="384"/>
    </row>
    <row r="128" spans="1:37" s="301" customFormat="1" ht="15.75" thickBot="1">
      <c r="A128" s="302" t="s">
        <v>1218</v>
      </c>
      <c r="B128" s="124"/>
      <c r="Q128" s="387"/>
      <c r="R128" s="387"/>
      <c r="S128" s="387"/>
      <c r="T128" s="387"/>
      <c r="U128" s="387"/>
      <c r="V128" s="387"/>
      <c r="W128" s="387"/>
      <c r="X128" s="387"/>
      <c r="Y128" s="387"/>
      <c r="Z128" s="387"/>
      <c r="AA128" s="387"/>
      <c r="AB128" s="387"/>
      <c r="AC128" s="387"/>
      <c r="AE128" s="385"/>
      <c r="AF128" s="384"/>
      <c r="AG128" s="384"/>
      <c r="AH128" s="384"/>
      <c r="AI128" s="384"/>
      <c r="AJ128" s="384"/>
      <c r="AK128" s="384"/>
    </row>
    <row r="129" spans="1:37" s="301" customFormat="1" ht="16.5" thickTop="1" thickBot="1">
      <c r="A129" s="356" t="s">
        <v>1219</v>
      </c>
      <c r="B129" s="124"/>
      <c r="Q129" s="387"/>
      <c r="R129" s="387"/>
      <c r="S129" s="387"/>
      <c r="T129" s="387"/>
      <c r="U129" s="387"/>
      <c r="V129" s="387"/>
      <c r="W129" s="387"/>
      <c r="X129" s="387"/>
      <c r="Y129" s="387"/>
      <c r="Z129" s="387"/>
      <c r="AA129" s="387"/>
      <c r="AB129" s="387"/>
      <c r="AC129" s="387"/>
      <c r="AE129" s="385"/>
      <c r="AF129" s="384"/>
      <c r="AG129" s="384"/>
      <c r="AH129" s="384"/>
      <c r="AI129" s="384"/>
      <c r="AJ129" s="384"/>
      <c r="AK129" s="384"/>
    </row>
    <row r="130" spans="1:37" s="301" customFormat="1">
      <c r="A130" s="351" t="s">
        <v>1220</v>
      </c>
      <c r="B130" s="124"/>
      <c r="Q130" s="387"/>
      <c r="R130" s="387"/>
      <c r="S130" s="387"/>
      <c r="T130" s="387"/>
      <c r="U130" s="387"/>
      <c r="V130" s="387"/>
      <c r="W130" s="387"/>
      <c r="X130" s="387"/>
      <c r="Y130" s="387"/>
      <c r="Z130" s="387"/>
      <c r="AA130" s="387"/>
      <c r="AB130" s="387"/>
      <c r="AC130" s="387"/>
      <c r="AE130" s="385"/>
      <c r="AF130" s="384"/>
      <c r="AG130" s="384"/>
      <c r="AH130" s="384"/>
      <c r="AI130" s="384"/>
      <c r="AJ130" s="384"/>
      <c r="AK130" s="384"/>
    </row>
    <row r="131" spans="1:37" s="301" customFormat="1">
      <c r="A131" s="67" t="s">
        <v>1221</v>
      </c>
      <c r="B131" s="124"/>
      <c r="Q131" s="387"/>
      <c r="R131" s="387"/>
      <c r="S131" s="387"/>
      <c r="T131" s="387"/>
      <c r="U131" s="387"/>
      <c r="V131" s="387"/>
      <c r="W131" s="387"/>
      <c r="X131" s="387"/>
      <c r="Y131" s="387"/>
      <c r="Z131" s="387"/>
      <c r="AA131" s="387"/>
      <c r="AB131" s="387"/>
      <c r="AC131" s="387"/>
      <c r="AE131" s="385"/>
      <c r="AF131" s="384"/>
      <c r="AG131" s="384"/>
      <c r="AH131" s="384"/>
      <c r="AI131" s="384"/>
      <c r="AJ131" s="384"/>
      <c r="AK131" s="384"/>
    </row>
    <row r="132" spans="1:37" s="301" customFormat="1">
      <c r="A132" s="67" t="s">
        <v>1222</v>
      </c>
      <c r="B132" s="124"/>
      <c r="Q132" s="387"/>
      <c r="R132" s="387"/>
      <c r="S132" s="387"/>
      <c r="T132" s="387"/>
      <c r="U132" s="387"/>
      <c r="V132" s="387"/>
      <c r="W132" s="387"/>
      <c r="X132" s="387"/>
      <c r="Y132" s="387"/>
      <c r="Z132" s="387"/>
      <c r="AA132" s="387"/>
      <c r="AB132" s="387"/>
      <c r="AC132" s="387"/>
      <c r="AE132" s="385"/>
      <c r="AF132" s="384"/>
      <c r="AG132" s="384"/>
      <c r="AH132" s="384"/>
      <c r="AI132" s="384"/>
      <c r="AJ132" s="384"/>
      <c r="AK132" s="384"/>
    </row>
    <row r="133" spans="1:37" s="301" customFormat="1">
      <c r="A133" s="67" t="s">
        <v>1223</v>
      </c>
      <c r="B133" s="124"/>
      <c r="Q133" s="387"/>
      <c r="R133" s="387"/>
      <c r="S133" s="387"/>
      <c r="T133" s="387"/>
      <c r="U133" s="387"/>
      <c r="V133" s="387"/>
      <c r="W133" s="387"/>
      <c r="X133" s="387"/>
      <c r="Y133" s="387"/>
      <c r="Z133" s="387"/>
      <c r="AA133" s="387"/>
      <c r="AB133" s="387"/>
      <c r="AC133" s="387"/>
      <c r="AE133" s="385"/>
      <c r="AF133" s="384"/>
      <c r="AG133" s="384"/>
      <c r="AH133" s="384"/>
      <c r="AI133" s="384"/>
      <c r="AJ133" s="384"/>
      <c r="AK133" s="384"/>
    </row>
    <row r="134" spans="1:37" s="301" customFormat="1">
      <c r="A134" s="67" t="s">
        <v>1224</v>
      </c>
      <c r="B134" s="124"/>
      <c r="Q134" s="387"/>
      <c r="R134" s="387"/>
      <c r="S134" s="387"/>
      <c r="T134" s="387"/>
      <c r="U134" s="387"/>
      <c r="V134" s="387"/>
      <c r="W134" s="387"/>
      <c r="X134" s="387"/>
      <c r="Y134" s="387"/>
      <c r="Z134" s="387"/>
      <c r="AA134" s="387"/>
      <c r="AB134" s="387"/>
      <c r="AC134" s="387"/>
      <c r="AE134" s="385"/>
      <c r="AF134" s="384"/>
      <c r="AG134" s="384"/>
      <c r="AH134" s="384"/>
      <c r="AI134" s="384"/>
      <c r="AJ134" s="384"/>
      <c r="AK134" s="384"/>
    </row>
    <row r="135" spans="1:37" s="301" customFormat="1">
      <c r="A135" s="67" t="s">
        <v>1225</v>
      </c>
      <c r="B135" s="124"/>
      <c r="Q135" s="387"/>
      <c r="R135" s="387"/>
      <c r="S135" s="387"/>
      <c r="T135" s="387"/>
      <c r="U135" s="387"/>
      <c r="V135" s="387"/>
      <c r="W135" s="387"/>
      <c r="X135" s="387"/>
      <c r="Y135" s="387"/>
      <c r="Z135" s="387"/>
      <c r="AA135" s="387"/>
      <c r="AB135" s="387"/>
      <c r="AC135" s="387"/>
      <c r="AE135" s="385"/>
      <c r="AF135" s="384"/>
      <c r="AG135" s="384"/>
      <c r="AH135" s="384"/>
      <c r="AI135" s="384"/>
      <c r="AJ135" s="384"/>
      <c r="AK135" s="384"/>
    </row>
    <row r="136" spans="1:37" s="301" customFormat="1">
      <c r="A136" s="67" t="s">
        <v>1226</v>
      </c>
      <c r="B136" s="124"/>
      <c r="Q136" s="387"/>
      <c r="R136" s="387"/>
      <c r="S136" s="387"/>
      <c r="T136" s="387"/>
      <c r="U136" s="387"/>
      <c r="V136" s="387"/>
      <c r="W136" s="387"/>
      <c r="X136" s="387"/>
      <c r="Y136" s="387"/>
      <c r="Z136" s="387"/>
      <c r="AA136" s="387"/>
      <c r="AB136" s="387"/>
      <c r="AC136" s="387"/>
      <c r="AE136" s="385"/>
      <c r="AF136" s="384"/>
      <c r="AG136" s="384"/>
      <c r="AH136" s="384"/>
      <c r="AI136" s="384"/>
      <c r="AJ136" s="384"/>
      <c r="AK136" s="384"/>
    </row>
    <row r="137" spans="1:37" s="301" customFormat="1">
      <c r="A137" s="357" t="s">
        <v>1227</v>
      </c>
      <c r="B137" s="124"/>
      <c r="Q137" s="387"/>
      <c r="R137" s="387"/>
      <c r="S137" s="387"/>
      <c r="T137" s="387"/>
      <c r="U137" s="387"/>
      <c r="V137" s="387"/>
      <c r="W137" s="387"/>
      <c r="X137" s="387"/>
      <c r="Y137" s="387"/>
      <c r="Z137" s="387"/>
      <c r="AA137" s="387"/>
      <c r="AB137" s="387"/>
      <c r="AC137" s="387"/>
      <c r="AE137" s="385"/>
      <c r="AF137" s="384"/>
      <c r="AG137" s="384"/>
      <c r="AH137" s="384"/>
      <c r="AI137" s="384"/>
      <c r="AJ137" s="384"/>
      <c r="AK137" s="384"/>
    </row>
    <row r="138" spans="1:37" s="301" customFormat="1" ht="15.75" thickBot="1">
      <c r="A138" s="358" t="s">
        <v>1228</v>
      </c>
      <c r="B138" s="124"/>
      <c r="Q138" s="387"/>
      <c r="R138" s="387"/>
      <c r="S138" s="387"/>
      <c r="T138" s="387"/>
      <c r="U138" s="387"/>
      <c r="V138" s="387"/>
      <c r="W138" s="387"/>
      <c r="X138" s="387"/>
      <c r="Y138" s="387"/>
      <c r="Z138" s="387"/>
      <c r="AA138" s="387"/>
      <c r="AB138" s="387"/>
      <c r="AC138" s="387"/>
      <c r="AE138" s="385"/>
      <c r="AF138" s="384"/>
      <c r="AG138" s="384"/>
      <c r="AH138" s="384"/>
      <c r="AI138" s="384"/>
      <c r="AJ138" s="384"/>
      <c r="AK138" s="384"/>
    </row>
    <row r="139" spans="1:37" s="301" customFormat="1">
      <c r="A139" s="351" t="s">
        <v>1229</v>
      </c>
      <c r="B139" s="124"/>
      <c r="Q139" s="387"/>
      <c r="R139" s="387"/>
      <c r="S139" s="387"/>
      <c r="T139" s="387"/>
      <c r="U139" s="387"/>
      <c r="V139" s="387"/>
      <c r="W139" s="387"/>
      <c r="X139" s="387"/>
      <c r="Y139" s="387"/>
      <c r="Z139" s="387"/>
      <c r="AA139" s="387"/>
      <c r="AB139" s="387"/>
      <c r="AC139" s="387"/>
      <c r="AE139" s="385"/>
      <c r="AF139" s="384"/>
      <c r="AG139" s="384"/>
      <c r="AH139" s="384"/>
      <c r="AI139" s="384"/>
      <c r="AJ139" s="384"/>
      <c r="AK139" s="384"/>
    </row>
    <row r="140" spans="1:37" s="301" customFormat="1">
      <c r="A140" s="67" t="s">
        <v>1230</v>
      </c>
      <c r="B140" s="124"/>
      <c r="Q140" s="387"/>
      <c r="R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AB140" s="387"/>
      <c r="AC140" s="387"/>
      <c r="AE140" s="385"/>
      <c r="AF140" s="384"/>
      <c r="AG140" s="384"/>
      <c r="AH140" s="384"/>
      <c r="AI140" s="384"/>
      <c r="AJ140" s="384"/>
      <c r="AK140" s="384"/>
    </row>
    <row r="141" spans="1:37" s="301" customFormat="1">
      <c r="A141" s="67" t="s">
        <v>1231</v>
      </c>
      <c r="B141" s="124"/>
      <c r="Q141" s="387"/>
      <c r="R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AB141" s="387"/>
      <c r="AC141" s="387"/>
      <c r="AE141" s="385"/>
      <c r="AF141" s="384"/>
      <c r="AG141" s="384"/>
      <c r="AH141" s="384"/>
      <c r="AI141" s="384"/>
      <c r="AJ141" s="384"/>
      <c r="AK141" s="384"/>
    </row>
    <row r="142" spans="1:37" s="301" customFormat="1">
      <c r="A142" s="67" t="s">
        <v>1232</v>
      </c>
      <c r="B142" s="124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E142" s="385"/>
      <c r="AF142" s="384"/>
      <c r="AG142" s="384"/>
      <c r="AH142" s="384"/>
      <c r="AI142" s="384"/>
      <c r="AJ142" s="384"/>
      <c r="AK142" s="384"/>
    </row>
    <row r="143" spans="1:37" s="301" customFormat="1">
      <c r="A143" s="67" t="s">
        <v>1233</v>
      </c>
      <c r="B143" s="124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E143" s="385"/>
      <c r="AF143" s="384"/>
      <c r="AG143" s="384"/>
      <c r="AH143" s="384"/>
      <c r="AI143" s="384"/>
      <c r="AJ143" s="384"/>
      <c r="AK143" s="384"/>
    </row>
    <row r="144" spans="1:37" s="301" customFormat="1">
      <c r="A144" s="67" t="s">
        <v>1234</v>
      </c>
      <c r="B144" s="124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E144" s="385"/>
      <c r="AF144" s="384"/>
      <c r="AG144" s="384"/>
      <c r="AH144" s="384"/>
      <c r="AI144" s="384"/>
      <c r="AJ144" s="384"/>
      <c r="AK144" s="384"/>
    </row>
    <row r="145" spans="1:37" s="301" customFormat="1">
      <c r="A145" s="67" t="s">
        <v>1235</v>
      </c>
      <c r="B145" s="124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E145" s="385"/>
      <c r="AF145" s="384"/>
      <c r="AG145" s="384"/>
      <c r="AH145" s="384"/>
      <c r="AI145" s="384"/>
      <c r="AJ145" s="384"/>
      <c r="AK145" s="384"/>
    </row>
    <row r="146" spans="1:37" s="301" customFormat="1">
      <c r="A146" s="67" t="s">
        <v>1236</v>
      </c>
      <c r="B146" s="124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E146" s="385"/>
      <c r="AF146" s="384"/>
      <c r="AG146" s="384"/>
      <c r="AH146" s="384"/>
      <c r="AI146" s="384"/>
      <c r="AJ146" s="384"/>
      <c r="AK146" s="384"/>
    </row>
    <row r="147" spans="1:37" s="301" customFormat="1">
      <c r="A147" s="67" t="s">
        <v>1237</v>
      </c>
      <c r="B147" s="124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E147" s="385"/>
      <c r="AF147" s="384"/>
      <c r="AG147" s="384"/>
      <c r="AH147" s="384"/>
      <c r="AI147" s="384"/>
      <c r="AJ147" s="384"/>
      <c r="AK147" s="384"/>
    </row>
    <row r="148" spans="1:37" s="301" customFormat="1">
      <c r="A148" s="67" t="s">
        <v>1238</v>
      </c>
      <c r="B148" s="124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E148" s="385"/>
      <c r="AF148" s="384"/>
      <c r="AG148" s="384"/>
      <c r="AH148" s="384"/>
      <c r="AI148" s="384"/>
      <c r="AJ148" s="384"/>
      <c r="AK148" s="384"/>
    </row>
    <row r="149" spans="1:37" s="301" customFormat="1">
      <c r="A149" s="67" t="s">
        <v>1239</v>
      </c>
      <c r="B149" s="124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E149" s="385"/>
      <c r="AF149" s="384"/>
      <c r="AG149" s="384"/>
      <c r="AH149" s="384"/>
      <c r="AI149" s="384"/>
      <c r="AJ149" s="384"/>
      <c r="AK149" s="384"/>
    </row>
    <row r="150" spans="1:37" s="301" customFormat="1" ht="30">
      <c r="A150" s="67" t="s">
        <v>1240</v>
      </c>
      <c r="B150" s="124"/>
      <c r="Q150" s="387"/>
      <c r="R150" s="387"/>
      <c r="S150" s="387"/>
      <c r="T150" s="387"/>
      <c r="U150" s="387"/>
      <c r="V150" s="387"/>
      <c r="W150" s="387"/>
      <c r="X150" s="387"/>
      <c r="Y150" s="387"/>
      <c r="Z150" s="387"/>
      <c r="AA150" s="387"/>
      <c r="AB150" s="387"/>
      <c r="AC150" s="387"/>
      <c r="AE150" s="385"/>
      <c r="AF150" s="384"/>
      <c r="AG150" s="384"/>
      <c r="AH150" s="384"/>
      <c r="AI150" s="384"/>
      <c r="AJ150" s="384"/>
      <c r="AK150" s="384"/>
    </row>
    <row r="151" spans="1:37" s="301" customFormat="1">
      <c r="A151" s="67" t="s">
        <v>1241</v>
      </c>
      <c r="B151" s="124"/>
      <c r="Q151" s="387"/>
      <c r="R151" s="387"/>
      <c r="S151" s="387"/>
      <c r="T151" s="387"/>
      <c r="U151" s="387"/>
      <c r="V151" s="387"/>
      <c r="W151" s="387"/>
      <c r="X151" s="387"/>
      <c r="Y151" s="387"/>
      <c r="Z151" s="387"/>
      <c r="AA151" s="387"/>
      <c r="AB151" s="387"/>
      <c r="AC151" s="387"/>
      <c r="AE151" s="385"/>
      <c r="AF151" s="384"/>
      <c r="AG151" s="384"/>
      <c r="AH151" s="384"/>
      <c r="AI151" s="384"/>
      <c r="AJ151" s="384"/>
      <c r="AK151" s="384"/>
    </row>
    <row r="152" spans="1:37" s="301" customFormat="1">
      <c r="A152" s="67" t="s">
        <v>1242</v>
      </c>
      <c r="B152" s="124"/>
      <c r="Q152" s="387"/>
      <c r="R152" s="387"/>
      <c r="S152" s="387"/>
      <c r="T152" s="387"/>
      <c r="U152" s="387"/>
      <c r="V152" s="387"/>
      <c r="W152" s="387"/>
      <c r="X152" s="387"/>
      <c r="Y152" s="387"/>
      <c r="Z152" s="387"/>
      <c r="AA152" s="387"/>
      <c r="AB152" s="387"/>
      <c r="AC152" s="387"/>
      <c r="AE152" s="385"/>
      <c r="AF152" s="384"/>
      <c r="AG152" s="384"/>
      <c r="AH152" s="384"/>
      <c r="AI152" s="384"/>
      <c r="AJ152" s="384"/>
      <c r="AK152" s="384"/>
    </row>
    <row r="153" spans="1:37" s="301" customFormat="1">
      <c r="A153" s="67" t="s">
        <v>1243</v>
      </c>
      <c r="B153" s="124"/>
      <c r="Q153" s="387"/>
      <c r="R153" s="387"/>
      <c r="S153" s="387"/>
      <c r="T153" s="387"/>
      <c r="U153" s="387"/>
      <c r="V153" s="387"/>
      <c r="W153" s="387"/>
      <c r="X153" s="387"/>
      <c r="Y153" s="387"/>
      <c r="Z153" s="387"/>
      <c r="AA153" s="387"/>
      <c r="AB153" s="387"/>
      <c r="AC153" s="387"/>
      <c r="AE153" s="385"/>
      <c r="AF153" s="384"/>
      <c r="AG153" s="384"/>
      <c r="AH153" s="384"/>
      <c r="AI153" s="384"/>
      <c r="AJ153" s="384"/>
      <c r="AK153" s="384"/>
    </row>
    <row r="154" spans="1:37" s="301" customFormat="1">
      <c r="A154" s="67" t="s">
        <v>1244</v>
      </c>
      <c r="B154" s="124"/>
      <c r="Q154" s="387"/>
      <c r="R154" s="387"/>
      <c r="S154" s="387"/>
      <c r="T154" s="387"/>
      <c r="U154" s="387"/>
      <c r="V154" s="387"/>
      <c r="W154" s="387"/>
      <c r="X154" s="387"/>
      <c r="Y154" s="387"/>
      <c r="Z154" s="387"/>
      <c r="AA154" s="387"/>
      <c r="AB154" s="387"/>
      <c r="AC154" s="387"/>
      <c r="AE154" s="385"/>
      <c r="AF154" s="384"/>
      <c r="AG154" s="384"/>
      <c r="AH154" s="384"/>
      <c r="AI154" s="384"/>
      <c r="AJ154" s="384"/>
      <c r="AK154" s="384"/>
    </row>
    <row r="155" spans="1:37" s="301" customFormat="1">
      <c r="A155" s="67" t="s">
        <v>1245</v>
      </c>
      <c r="B155" s="124"/>
      <c r="Q155" s="387"/>
      <c r="R155" s="387"/>
      <c r="S155" s="387"/>
      <c r="T155" s="387"/>
      <c r="U155" s="387"/>
      <c r="V155" s="387"/>
      <c r="W155" s="387"/>
      <c r="X155" s="387"/>
      <c r="Y155" s="387"/>
      <c r="Z155" s="387"/>
      <c r="AA155" s="387"/>
      <c r="AB155" s="387"/>
      <c r="AC155" s="387"/>
      <c r="AE155" s="385"/>
      <c r="AF155" s="384"/>
      <c r="AG155" s="384"/>
      <c r="AH155" s="384"/>
      <c r="AI155" s="384"/>
      <c r="AJ155" s="384"/>
      <c r="AK155" s="384"/>
    </row>
    <row r="156" spans="1:37" s="301" customFormat="1">
      <c r="A156" s="67" t="s">
        <v>1246</v>
      </c>
      <c r="B156" s="124"/>
      <c r="Q156" s="387"/>
      <c r="R156" s="387"/>
      <c r="S156" s="387"/>
      <c r="T156" s="387"/>
      <c r="U156" s="387"/>
      <c r="V156" s="387"/>
      <c r="W156" s="387"/>
      <c r="X156" s="387"/>
      <c r="Y156" s="387"/>
      <c r="Z156" s="387"/>
      <c r="AA156" s="387"/>
      <c r="AB156" s="387"/>
      <c r="AC156" s="387"/>
      <c r="AE156" s="385"/>
      <c r="AF156" s="384"/>
      <c r="AG156" s="384"/>
      <c r="AH156" s="384"/>
      <c r="AI156" s="384"/>
      <c r="AJ156" s="384"/>
      <c r="AK156" s="384"/>
    </row>
    <row r="157" spans="1:37" s="301" customFormat="1">
      <c r="A157" s="67" t="s">
        <v>1247</v>
      </c>
      <c r="B157" s="124"/>
      <c r="Q157" s="387"/>
      <c r="R157" s="387"/>
      <c r="S157" s="387"/>
      <c r="T157" s="387"/>
      <c r="U157" s="387"/>
      <c r="V157" s="387"/>
      <c r="W157" s="387"/>
      <c r="X157" s="387"/>
      <c r="Y157" s="387"/>
      <c r="Z157" s="387"/>
      <c r="AA157" s="387"/>
      <c r="AB157" s="387"/>
      <c r="AC157" s="387"/>
      <c r="AE157" s="385"/>
      <c r="AF157" s="384"/>
      <c r="AG157" s="384"/>
      <c r="AH157" s="384"/>
      <c r="AI157" s="384"/>
      <c r="AJ157" s="384"/>
      <c r="AK157" s="384"/>
    </row>
    <row r="158" spans="1:37" s="301" customFormat="1">
      <c r="A158" s="67" t="s">
        <v>1248</v>
      </c>
      <c r="B158" s="124"/>
      <c r="Q158" s="387"/>
      <c r="R158" s="387"/>
      <c r="S158" s="387"/>
      <c r="T158" s="387"/>
      <c r="U158" s="387"/>
      <c r="V158" s="387"/>
      <c r="W158" s="387"/>
      <c r="X158" s="387"/>
      <c r="Y158" s="387"/>
      <c r="Z158" s="387"/>
      <c r="AA158" s="387"/>
      <c r="AB158" s="387"/>
      <c r="AC158" s="387"/>
      <c r="AE158" s="385"/>
      <c r="AF158" s="384"/>
      <c r="AG158" s="384"/>
      <c r="AH158" s="384"/>
      <c r="AI158" s="384"/>
      <c r="AJ158" s="384"/>
      <c r="AK158" s="384"/>
    </row>
    <row r="159" spans="1:37" s="301" customFormat="1">
      <c r="A159" s="67" t="s">
        <v>1249</v>
      </c>
      <c r="B159" s="124"/>
      <c r="Q159" s="387"/>
      <c r="R159" s="387"/>
      <c r="S159" s="387"/>
      <c r="T159" s="387"/>
      <c r="U159" s="387"/>
      <c r="V159" s="387"/>
      <c r="W159" s="387"/>
      <c r="X159" s="387"/>
      <c r="Y159" s="387"/>
      <c r="Z159" s="387"/>
      <c r="AA159" s="387"/>
      <c r="AB159" s="387"/>
      <c r="AC159" s="387"/>
      <c r="AE159" s="385"/>
      <c r="AF159" s="384"/>
      <c r="AG159" s="384"/>
      <c r="AH159" s="384"/>
      <c r="AI159" s="384"/>
      <c r="AJ159" s="384"/>
      <c r="AK159" s="384"/>
    </row>
    <row r="160" spans="1:37" s="301" customFormat="1">
      <c r="A160" s="67" t="s">
        <v>1250</v>
      </c>
      <c r="B160" s="124"/>
      <c r="Q160" s="387"/>
      <c r="R160" s="387"/>
      <c r="S160" s="387"/>
      <c r="T160" s="387"/>
      <c r="U160" s="387"/>
      <c r="V160" s="387"/>
      <c r="W160" s="387"/>
      <c r="X160" s="387"/>
      <c r="Y160" s="387"/>
      <c r="Z160" s="387"/>
      <c r="AA160" s="387"/>
      <c r="AB160" s="387"/>
      <c r="AC160" s="387"/>
      <c r="AE160" s="385"/>
      <c r="AF160" s="384"/>
      <c r="AG160" s="384"/>
      <c r="AH160" s="384"/>
      <c r="AI160" s="384"/>
      <c r="AJ160" s="384"/>
      <c r="AK160" s="384"/>
    </row>
    <row r="161" spans="1:37" s="301" customFormat="1">
      <c r="A161" s="67" t="s">
        <v>1251</v>
      </c>
      <c r="B161" s="124"/>
      <c r="Q161" s="387"/>
      <c r="R161" s="387"/>
      <c r="S161" s="387"/>
      <c r="T161" s="387"/>
      <c r="U161" s="387"/>
      <c r="V161" s="387"/>
      <c r="W161" s="387"/>
      <c r="X161" s="387"/>
      <c r="Y161" s="387"/>
      <c r="Z161" s="387"/>
      <c r="AA161" s="387"/>
      <c r="AB161" s="387"/>
      <c r="AC161" s="387"/>
      <c r="AE161" s="385"/>
      <c r="AF161" s="384"/>
      <c r="AG161" s="384"/>
      <c r="AH161" s="384"/>
      <c r="AI161" s="384"/>
      <c r="AJ161" s="384"/>
      <c r="AK161" s="384"/>
    </row>
    <row r="162" spans="1:37" s="301" customFormat="1">
      <c r="A162" s="67" t="s">
        <v>1252</v>
      </c>
      <c r="B162" s="124"/>
      <c r="Q162" s="387"/>
      <c r="R162" s="387"/>
      <c r="S162" s="387"/>
      <c r="T162" s="387"/>
      <c r="U162" s="387"/>
      <c r="V162" s="387"/>
      <c r="W162" s="387"/>
      <c r="X162" s="387"/>
      <c r="Y162" s="387"/>
      <c r="Z162" s="387"/>
      <c r="AA162" s="387"/>
      <c r="AB162" s="387"/>
      <c r="AC162" s="387"/>
      <c r="AE162" s="385"/>
      <c r="AF162" s="384"/>
      <c r="AG162" s="384"/>
      <c r="AH162" s="384"/>
      <c r="AI162" s="384"/>
      <c r="AJ162" s="384"/>
      <c r="AK162" s="384"/>
    </row>
    <row r="163" spans="1:37" s="301" customFormat="1" ht="15.75" thickBot="1">
      <c r="A163" s="354" t="s">
        <v>1253</v>
      </c>
      <c r="B163" s="124"/>
      <c r="Q163" s="387"/>
      <c r="R163" s="387"/>
      <c r="S163" s="387"/>
      <c r="T163" s="387"/>
      <c r="U163" s="387"/>
      <c r="V163" s="387"/>
      <c r="W163" s="387"/>
      <c r="X163" s="387"/>
      <c r="Y163" s="387"/>
      <c r="Z163" s="387"/>
      <c r="AA163" s="387"/>
      <c r="AB163" s="387"/>
      <c r="AC163" s="387"/>
      <c r="AE163" s="385"/>
      <c r="AF163" s="384"/>
      <c r="AG163" s="384"/>
      <c r="AH163" s="384"/>
      <c r="AI163" s="384"/>
      <c r="AJ163" s="384"/>
      <c r="AK163" s="384"/>
    </row>
    <row r="164" spans="1:37" s="301" customFormat="1">
      <c r="A164" s="351" t="s">
        <v>1254</v>
      </c>
      <c r="B164" s="124"/>
      <c r="Q164" s="387"/>
      <c r="R164" s="387"/>
      <c r="S164" s="387"/>
      <c r="T164" s="387"/>
      <c r="U164" s="387"/>
      <c r="V164" s="387"/>
      <c r="W164" s="387"/>
      <c r="X164" s="387"/>
      <c r="Y164" s="387"/>
      <c r="Z164" s="387"/>
      <c r="AA164" s="387"/>
      <c r="AB164" s="387"/>
      <c r="AC164" s="387"/>
      <c r="AE164" s="385"/>
      <c r="AF164" s="384"/>
      <c r="AG164" s="384"/>
      <c r="AH164" s="384"/>
      <c r="AI164" s="384"/>
      <c r="AJ164" s="384"/>
      <c r="AK164" s="384"/>
    </row>
    <row r="165" spans="1:37" s="301" customFormat="1">
      <c r="A165" s="351" t="s">
        <v>1255</v>
      </c>
      <c r="B165" s="124"/>
      <c r="Q165" s="387"/>
      <c r="R165" s="387"/>
      <c r="S165" s="387"/>
      <c r="T165" s="387"/>
      <c r="U165" s="387"/>
      <c r="V165" s="387"/>
      <c r="W165" s="387"/>
      <c r="X165" s="387"/>
      <c r="Y165" s="387"/>
      <c r="Z165" s="387"/>
      <c r="AA165" s="387"/>
      <c r="AB165" s="387"/>
      <c r="AC165" s="387"/>
      <c r="AE165" s="385"/>
      <c r="AF165" s="384"/>
      <c r="AG165" s="384"/>
      <c r="AH165" s="384"/>
      <c r="AI165" s="384"/>
      <c r="AJ165" s="384"/>
      <c r="AK165" s="384"/>
    </row>
    <row r="166" spans="1:37" s="301" customFormat="1" ht="15.75" thickBot="1">
      <c r="A166" s="353" t="s">
        <v>1256</v>
      </c>
      <c r="B166" s="124"/>
      <c r="Q166" s="387"/>
      <c r="R166" s="387"/>
      <c r="S166" s="387"/>
      <c r="T166" s="387"/>
      <c r="U166" s="387"/>
      <c r="V166" s="387"/>
      <c r="W166" s="387"/>
      <c r="X166" s="387"/>
      <c r="Y166" s="387"/>
      <c r="Z166" s="387"/>
      <c r="AA166" s="387"/>
      <c r="AB166" s="387"/>
      <c r="AC166" s="387"/>
      <c r="AE166" s="385"/>
      <c r="AF166" s="384"/>
      <c r="AG166" s="384"/>
      <c r="AH166" s="384"/>
      <c r="AI166" s="384"/>
      <c r="AJ166" s="384"/>
      <c r="AK166" s="384"/>
    </row>
    <row r="167" spans="1:37" s="301" customFormat="1">
      <c r="A167" s="351" t="s">
        <v>1257</v>
      </c>
      <c r="B167" s="124"/>
      <c r="Q167" s="387"/>
      <c r="R167" s="387"/>
      <c r="S167" s="387"/>
      <c r="T167" s="387"/>
      <c r="U167" s="387"/>
      <c r="V167" s="387"/>
      <c r="W167" s="387"/>
      <c r="X167" s="387"/>
      <c r="Y167" s="387"/>
      <c r="Z167" s="387"/>
      <c r="AA167" s="387"/>
      <c r="AB167" s="387"/>
      <c r="AC167" s="387"/>
      <c r="AE167" s="385"/>
      <c r="AF167" s="384"/>
      <c r="AG167" s="384"/>
      <c r="AH167" s="384"/>
      <c r="AI167" s="384"/>
      <c r="AJ167" s="384"/>
      <c r="AK167" s="384"/>
    </row>
    <row r="168" spans="1:37" s="301" customFormat="1">
      <c r="A168" s="67" t="s">
        <v>1258</v>
      </c>
      <c r="B168" s="124"/>
      <c r="Q168" s="387"/>
      <c r="R168" s="387"/>
      <c r="S168" s="387"/>
      <c r="T168" s="387"/>
      <c r="U168" s="387"/>
      <c r="V168" s="387"/>
      <c r="W168" s="387"/>
      <c r="X168" s="387"/>
      <c r="Y168" s="387"/>
      <c r="Z168" s="387"/>
      <c r="AA168" s="387"/>
      <c r="AB168" s="387"/>
      <c r="AC168" s="387"/>
      <c r="AE168" s="385"/>
      <c r="AF168" s="384"/>
      <c r="AG168" s="384"/>
      <c r="AH168" s="384"/>
      <c r="AI168" s="384"/>
      <c r="AJ168" s="384"/>
      <c r="AK168" s="384"/>
    </row>
    <row r="169" spans="1:37" s="301" customFormat="1">
      <c r="A169" s="67" t="s">
        <v>1259</v>
      </c>
      <c r="B169" s="124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E169" s="385"/>
      <c r="AF169" s="384"/>
      <c r="AG169" s="384"/>
      <c r="AH169" s="384"/>
      <c r="AI169" s="384"/>
      <c r="AJ169" s="384"/>
      <c r="AK169" s="384"/>
    </row>
    <row r="170" spans="1:37" s="301" customFormat="1">
      <c r="A170" s="67" t="s">
        <v>1260</v>
      </c>
      <c r="B170" s="124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E170" s="385"/>
      <c r="AF170" s="384"/>
      <c r="AG170" s="384"/>
      <c r="AH170" s="384"/>
      <c r="AI170" s="384"/>
      <c r="AJ170" s="384"/>
      <c r="AK170" s="384"/>
    </row>
    <row r="171" spans="1:37" s="301" customFormat="1">
      <c r="A171" s="67" t="s">
        <v>1261</v>
      </c>
      <c r="B171" s="124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E171" s="385"/>
      <c r="AF171" s="384"/>
      <c r="AG171" s="384"/>
      <c r="AH171" s="384"/>
      <c r="AI171" s="384"/>
      <c r="AJ171" s="384"/>
      <c r="AK171" s="384"/>
    </row>
    <row r="172" spans="1:37" s="301" customFormat="1">
      <c r="A172" s="67" t="s">
        <v>1262</v>
      </c>
      <c r="B172" s="124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E172" s="385"/>
      <c r="AF172" s="384"/>
      <c r="AG172" s="384"/>
      <c r="AH172" s="384"/>
      <c r="AI172" s="384"/>
      <c r="AJ172" s="384"/>
      <c r="AK172" s="384"/>
    </row>
    <row r="173" spans="1:37" s="301" customFormat="1">
      <c r="A173" s="67" t="s">
        <v>1263</v>
      </c>
      <c r="B173" s="124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E173" s="385"/>
      <c r="AF173" s="384"/>
      <c r="AG173" s="384"/>
      <c r="AH173" s="384"/>
      <c r="AI173" s="384"/>
      <c r="AJ173" s="384"/>
      <c r="AK173" s="384"/>
    </row>
    <row r="174" spans="1:37" s="301" customFormat="1" ht="15.75" thickBot="1">
      <c r="A174" s="354" t="s">
        <v>1264</v>
      </c>
      <c r="B174" s="124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E174" s="385"/>
      <c r="AF174" s="384"/>
      <c r="AG174" s="384"/>
      <c r="AH174" s="384"/>
      <c r="AI174" s="384"/>
      <c r="AJ174" s="384"/>
      <c r="AK174" s="384"/>
    </row>
    <row r="175" spans="1:37" s="301" customFormat="1">
      <c r="A175" s="67" t="s">
        <v>1265</v>
      </c>
      <c r="B175" s="124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E175" s="385"/>
      <c r="AF175" s="384"/>
      <c r="AG175" s="384"/>
      <c r="AH175" s="384"/>
      <c r="AI175" s="384"/>
      <c r="AJ175" s="384"/>
      <c r="AK175" s="384"/>
    </row>
    <row r="176" spans="1:37" s="301" customFormat="1" ht="15.75" thickBot="1">
      <c r="A176" s="354" t="s">
        <v>1266</v>
      </c>
      <c r="B176" s="124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E176" s="385"/>
      <c r="AF176" s="384"/>
      <c r="AG176" s="384"/>
      <c r="AH176" s="384"/>
      <c r="AI176" s="384"/>
      <c r="AJ176" s="384"/>
      <c r="AK176" s="384"/>
    </row>
    <row r="177" spans="1:37" s="301" customFormat="1">
      <c r="A177" s="351" t="s">
        <v>1267</v>
      </c>
      <c r="B177" s="124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E177" s="385"/>
      <c r="AF177" s="384"/>
      <c r="AG177" s="384"/>
      <c r="AH177" s="384"/>
      <c r="AI177" s="384"/>
      <c r="AJ177" s="384"/>
      <c r="AK177" s="384"/>
    </row>
    <row r="178" spans="1:37" s="301" customFormat="1">
      <c r="A178" s="351" t="s">
        <v>1268</v>
      </c>
      <c r="B178" s="124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E178" s="385"/>
      <c r="AF178" s="384"/>
      <c r="AG178" s="384"/>
      <c r="AH178" s="384"/>
      <c r="AI178" s="384"/>
      <c r="AJ178" s="384"/>
      <c r="AK178" s="384"/>
    </row>
    <row r="179" spans="1:37" s="301" customFormat="1">
      <c r="A179" s="351" t="s">
        <v>1269</v>
      </c>
      <c r="B179" s="124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E179" s="385"/>
      <c r="AF179" s="384"/>
      <c r="AG179" s="384"/>
      <c r="AH179" s="384"/>
      <c r="AI179" s="384"/>
      <c r="AJ179" s="384"/>
      <c r="AK179" s="384"/>
    </row>
    <row r="180" spans="1:37" s="301" customFormat="1">
      <c r="A180" s="351" t="s">
        <v>1270</v>
      </c>
      <c r="B180" s="124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E180" s="385"/>
      <c r="AF180" s="384"/>
      <c r="AG180" s="384"/>
      <c r="AH180" s="384"/>
      <c r="AI180" s="384"/>
      <c r="AJ180" s="384"/>
      <c r="AK180" s="384"/>
    </row>
    <row r="181" spans="1:37" s="301" customFormat="1" ht="15.75" thickBot="1">
      <c r="A181" s="353" t="s">
        <v>1271</v>
      </c>
      <c r="B181" s="124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E181" s="385"/>
      <c r="AF181" s="384"/>
      <c r="AG181" s="384"/>
      <c r="AH181" s="384"/>
      <c r="AI181" s="384"/>
      <c r="AJ181" s="384"/>
      <c r="AK181" s="384"/>
    </row>
    <row r="182" spans="1:37" s="301" customFormat="1">
      <c r="A182" s="351" t="s">
        <v>1272</v>
      </c>
      <c r="B182" s="124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E182" s="385"/>
      <c r="AF182" s="384"/>
      <c r="AG182" s="384"/>
      <c r="AH182" s="384"/>
      <c r="AI182" s="384"/>
      <c r="AJ182" s="384"/>
      <c r="AK182" s="384"/>
    </row>
    <row r="183" spans="1:37" s="301" customFormat="1">
      <c r="A183" s="67" t="s">
        <v>1273</v>
      </c>
      <c r="B183" s="124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E183" s="385"/>
      <c r="AF183" s="384"/>
      <c r="AG183" s="384"/>
      <c r="AH183" s="384"/>
      <c r="AI183" s="384"/>
      <c r="AJ183" s="384"/>
      <c r="AK183" s="384"/>
    </row>
    <row r="184" spans="1:37" s="301" customFormat="1" ht="15.75" thickBot="1">
      <c r="A184" s="354" t="s">
        <v>1274</v>
      </c>
      <c r="B184" s="124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E184" s="385"/>
      <c r="AF184" s="384"/>
      <c r="AG184" s="384"/>
      <c r="AH184" s="384"/>
      <c r="AI184" s="384"/>
      <c r="AJ184" s="384"/>
      <c r="AK184" s="384"/>
    </row>
    <row r="185" spans="1:37" s="301" customFormat="1">
      <c r="A185" s="351" t="s">
        <v>1275</v>
      </c>
      <c r="B185" s="124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E185" s="385"/>
      <c r="AF185" s="384"/>
      <c r="AG185" s="384"/>
      <c r="AH185" s="384"/>
      <c r="AI185" s="384"/>
      <c r="AJ185" s="384"/>
      <c r="AK185" s="384"/>
    </row>
    <row r="186" spans="1:37" s="301" customFormat="1">
      <c r="A186" s="351" t="s">
        <v>1276</v>
      </c>
      <c r="B186" s="124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E186" s="385"/>
      <c r="AF186" s="384"/>
      <c r="AG186" s="384"/>
      <c r="AH186" s="384"/>
      <c r="AI186" s="384"/>
      <c r="AJ186" s="384"/>
      <c r="AK186" s="384"/>
    </row>
    <row r="187" spans="1:37" s="301" customFormat="1" ht="15.75" thickBot="1">
      <c r="A187" s="353" t="s">
        <v>1277</v>
      </c>
      <c r="B187" s="124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E187" s="385"/>
      <c r="AF187" s="384"/>
      <c r="AG187" s="384"/>
      <c r="AH187" s="384"/>
      <c r="AI187" s="384"/>
      <c r="AJ187" s="384"/>
      <c r="AK187" s="384"/>
    </row>
    <row r="188" spans="1:37" s="301" customFormat="1" ht="15.75" thickBot="1">
      <c r="A188" s="353" t="s">
        <v>1278</v>
      </c>
      <c r="B188" s="124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E188" s="385"/>
      <c r="AF188" s="384"/>
      <c r="AG188" s="384"/>
      <c r="AH188" s="384"/>
      <c r="AI188" s="384"/>
      <c r="AJ188" s="384"/>
      <c r="AK188" s="384"/>
    </row>
    <row r="189" spans="1:37" s="301" customFormat="1">
      <c r="A189" s="351" t="s">
        <v>1279</v>
      </c>
      <c r="B189" s="124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E189" s="385"/>
      <c r="AF189" s="384"/>
      <c r="AG189" s="384"/>
      <c r="AH189" s="384"/>
      <c r="AI189" s="384"/>
      <c r="AJ189" s="384"/>
      <c r="AK189" s="384"/>
    </row>
    <row r="190" spans="1:37" s="301" customFormat="1">
      <c r="A190" s="67" t="s">
        <v>1280</v>
      </c>
      <c r="B190" s="124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E190" s="385"/>
      <c r="AF190" s="384"/>
      <c r="AG190" s="384"/>
      <c r="AH190" s="384"/>
      <c r="AI190" s="384"/>
      <c r="AJ190" s="384"/>
      <c r="AK190" s="384"/>
    </row>
    <row r="191" spans="1:37" s="301" customFormat="1">
      <c r="A191" s="67" t="s">
        <v>1281</v>
      </c>
      <c r="B191" s="124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E191" s="385"/>
      <c r="AF191" s="384"/>
      <c r="AG191" s="384"/>
      <c r="AH191" s="384"/>
      <c r="AI191" s="384"/>
      <c r="AJ191" s="384"/>
      <c r="AK191" s="384"/>
    </row>
    <row r="192" spans="1:37" s="301" customFormat="1">
      <c r="A192" s="67" t="s">
        <v>1282</v>
      </c>
      <c r="B192" s="124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E192" s="385"/>
      <c r="AF192" s="384"/>
      <c r="AG192" s="384"/>
      <c r="AH192" s="384"/>
      <c r="AI192" s="384"/>
      <c r="AJ192" s="384"/>
      <c r="AK192" s="384"/>
    </row>
    <row r="193" spans="1:37" s="301" customFormat="1" ht="15.75" thickBot="1">
      <c r="A193" s="354" t="s">
        <v>1283</v>
      </c>
      <c r="B193" s="124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E193" s="385"/>
      <c r="AF193" s="384"/>
      <c r="AG193" s="384"/>
      <c r="AH193" s="384"/>
      <c r="AI193" s="384"/>
      <c r="AJ193" s="384"/>
      <c r="AK193" s="384"/>
    </row>
    <row r="194" spans="1:37" s="301" customFormat="1">
      <c r="A194" s="351" t="s">
        <v>1284</v>
      </c>
      <c r="B194" s="124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E194" s="385"/>
      <c r="AF194" s="384"/>
      <c r="AG194" s="384"/>
      <c r="AH194" s="384"/>
      <c r="AI194" s="384"/>
      <c r="AJ194" s="384"/>
      <c r="AK194" s="384"/>
    </row>
    <row r="195" spans="1:37" s="301" customFormat="1">
      <c r="A195" s="67" t="s">
        <v>1285</v>
      </c>
      <c r="B195" s="124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E195" s="385"/>
      <c r="AF195" s="384"/>
      <c r="AG195" s="384"/>
      <c r="AH195" s="384"/>
      <c r="AI195" s="384"/>
      <c r="AJ195" s="384"/>
      <c r="AK195" s="384"/>
    </row>
    <row r="196" spans="1:37" s="301" customFormat="1">
      <c r="A196" s="67" t="s">
        <v>1286</v>
      </c>
      <c r="B196" s="124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E196" s="385"/>
      <c r="AF196" s="384"/>
      <c r="AG196" s="384"/>
      <c r="AH196" s="384"/>
      <c r="AI196" s="384"/>
      <c r="AJ196" s="384"/>
      <c r="AK196" s="384"/>
    </row>
    <row r="197" spans="1:37" s="301" customFormat="1">
      <c r="A197" s="67" t="s">
        <v>1287</v>
      </c>
      <c r="B197" s="124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E197" s="385"/>
      <c r="AF197" s="384"/>
      <c r="AG197" s="384"/>
      <c r="AH197" s="384"/>
      <c r="AI197" s="384"/>
      <c r="AJ197" s="384"/>
      <c r="AK197" s="384"/>
    </row>
    <row r="198" spans="1:37" s="301" customFormat="1">
      <c r="A198" s="67" t="s">
        <v>1288</v>
      </c>
      <c r="B198" s="124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E198" s="385"/>
      <c r="AF198" s="384"/>
      <c r="AG198" s="384"/>
      <c r="AH198" s="384"/>
      <c r="AI198" s="384"/>
      <c r="AJ198" s="384"/>
      <c r="AK198" s="384"/>
    </row>
    <row r="199" spans="1:37" s="301" customFormat="1">
      <c r="A199" s="67" t="s">
        <v>1289</v>
      </c>
      <c r="B199" s="124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E199" s="385"/>
      <c r="AF199" s="384"/>
      <c r="AG199" s="384"/>
      <c r="AH199" s="384"/>
      <c r="AI199" s="384"/>
      <c r="AJ199" s="384"/>
      <c r="AK199" s="384"/>
    </row>
    <row r="200" spans="1:37" s="301" customFormat="1">
      <c r="A200" s="67" t="s">
        <v>1290</v>
      </c>
      <c r="B200" s="124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E200" s="385"/>
      <c r="AF200" s="384"/>
      <c r="AG200" s="384"/>
      <c r="AH200" s="384"/>
      <c r="AI200" s="384"/>
      <c r="AJ200" s="384"/>
      <c r="AK200" s="384"/>
    </row>
    <row r="201" spans="1:37" s="301" customFormat="1" ht="15.75" thickBot="1">
      <c r="A201" s="302" t="s">
        <v>1291</v>
      </c>
      <c r="B201" s="124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E201" s="385"/>
      <c r="AF201" s="384"/>
      <c r="AG201" s="384"/>
      <c r="AH201" s="384"/>
      <c r="AI201" s="384"/>
      <c r="AJ201" s="384"/>
      <c r="AK201" s="384"/>
    </row>
    <row r="202" spans="1:37" s="301" customFormat="1" ht="15.75" thickTop="1">
      <c r="A202" s="350" t="s">
        <v>1292</v>
      </c>
      <c r="B202" s="124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E202" s="385"/>
      <c r="AF202" s="384"/>
      <c r="AG202" s="384"/>
      <c r="AH202" s="384"/>
      <c r="AI202" s="384"/>
      <c r="AJ202" s="384"/>
      <c r="AK202" s="384"/>
    </row>
    <row r="203" spans="1:37" s="301" customFormat="1">
      <c r="A203" s="351" t="s">
        <v>1293</v>
      </c>
      <c r="B203" s="124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E203" s="385"/>
      <c r="AF203" s="384"/>
      <c r="AG203" s="384"/>
      <c r="AH203" s="384"/>
      <c r="AI203" s="384"/>
      <c r="AJ203" s="384"/>
      <c r="AK203" s="384"/>
    </row>
    <row r="204" spans="1:37" s="301" customFormat="1" ht="15.75" thickBot="1">
      <c r="A204" s="353" t="s">
        <v>1294</v>
      </c>
      <c r="B204" s="124"/>
      <c r="Q204" s="387"/>
      <c r="R204" s="387"/>
      <c r="S204" s="387"/>
      <c r="T204" s="387"/>
      <c r="U204" s="387"/>
      <c r="V204" s="387"/>
      <c r="W204" s="387"/>
      <c r="X204" s="387"/>
      <c r="Y204" s="387"/>
      <c r="Z204" s="387"/>
      <c r="AA204" s="387"/>
      <c r="AB204" s="387"/>
      <c r="AC204" s="387"/>
      <c r="AE204" s="385"/>
      <c r="AF204" s="384"/>
      <c r="AG204" s="384"/>
      <c r="AH204" s="384"/>
      <c r="AI204" s="384"/>
      <c r="AJ204" s="384"/>
      <c r="AK204" s="384"/>
    </row>
    <row r="205" spans="1:37" s="301" customFormat="1">
      <c r="A205" s="351" t="s">
        <v>1295</v>
      </c>
      <c r="B205" s="124"/>
      <c r="Q205" s="387"/>
      <c r="R205" s="387"/>
      <c r="S205" s="387"/>
      <c r="T205" s="387"/>
      <c r="U205" s="387"/>
      <c r="V205" s="387"/>
      <c r="W205" s="387"/>
      <c r="X205" s="387"/>
      <c r="Y205" s="387"/>
      <c r="Z205" s="387"/>
      <c r="AA205" s="387"/>
      <c r="AB205" s="387"/>
      <c r="AC205" s="387"/>
      <c r="AE205" s="385"/>
      <c r="AF205" s="384"/>
      <c r="AG205" s="384"/>
      <c r="AH205" s="384"/>
      <c r="AI205" s="384"/>
      <c r="AJ205" s="384"/>
      <c r="AK205" s="384"/>
    </row>
    <row r="206" spans="1:37" s="301" customFormat="1">
      <c r="A206" s="67" t="s">
        <v>1296</v>
      </c>
      <c r="B206" s="124"/>
      <c r="Q206" s="387"/>
      <c r="R206" s="387"/>
      <c r="S206" s="387"/>
      <c r="T206" s="387"/>
      <c r="U206" s="387"/>
      <c r="V206" s="387"/>
      <c r="W206" s="387"/>
      <c r="X206" s="387"/>
      <c r="Y206" s="387"/>
      <c r="Z206" s="387"/>
      <c r="AA206" s="387"/>
      <c r="AB206" s="387"/>
      <c r="AC206" s="387"/>
      <c r="AE206" s="385"/>
      <c r="AF206" s="384"/>
      <c r="AG206" s="384"/>
      <c r="AH206" s="384"/>
      <c r="AI206" s="384"/>
      <c r="AJ206" s="384"/>
      <c r="AK206" s="384"/>
    </row>
    <row r="207" spans="1:37" s="301" customFormat="1">
      <c r="A207" s="67" t="s">
        <v>1297</v>
      </c>
      <c r="B207" s="124"/>
      <c r="Q207" s="387"/>
      <c r="R207" s="387"/>
      <c r="S207" s="387"/>
      <c r="T207" s="387"/>
      <c r="U207" s="387"/>
      <c r="V207" s="387"/>
      <c r="W207" s="387"/>
      <c r="X207" s="387"/>
      <c r="Y207" s="387"/>
      <c r="Z207" s="387"/>
      <c r="AA207" s="387"/>
      <c r="AB207" s="387"/>
      <c r="AC207" s="387"/>
      <c r="AE207" s="385"/>
      <c r="AF207" s="384"/>
      <c r="AG207" s="384"/>
      <c r="AH207" s="384"/>
      <c r="AI207" s="384"/>
      <c r="AJ207" s="384"/>
      <c r="AK207" s="384"/>
    </row>
    <row r="208" spans="1:37" s="301" customFormat="1">
      <c r="A208" s="67" t="s">
        <v>1298</v>
      </c>
      <c r="B208" s="124"/>
      <c r="Q208" s="387"/>
      <c r="R208" s="387"/>
      <c r="S208" s="387"/>
      <c r="T208" s="387"/>
      <c r="U208" s="387"/>
      <c r="V208" s="387"/>
      <c r="W208" s="387"/>
      <c r="X208" s="387"/>
      <c r="Y208" s="387"/>
      <c r="Z208" s="387"/>
      <c r="AA208" s="387"/>
      <c r="AB208" s="387"/>
      <c r="AC208" s="387"/>
      <c r="AE208" s="385"/>
      <c r="AF208" s="384"/>
      <c r="AG208" s="384"/>
      <c r="AH208" s="384"/>
      <c r="AI208" s="384"/>
      <c r="AJ208" s="384"/>
      <c r="AK208" s="384"/>
    </row>
    <row r="209" spans="1:37" s="301" customFormat="1">
      <c r="A209" s="67" t="s">
        <v>1299</v>
      </c>
      <c r="B209" s="124"/>
      <c r="Q209" s="387"/>
      <c r="R209" s="387"/>
      <c r="S209" s="387"/>
      <c r="T209" s="387"/>
      <c r="U209" s="387"/>
      <c r="V209" s="387"/>
      <c r="W209" s="387"/>
      <c r="X209" s="387"/>
      <c r="Y209" s="387"/>
      <c r="Z209" s="387"/>
      <c r="AA209" s="387"/>
      <c r="AB209" s="387"/>
      <c r="AC209" s="387"/>
      <c r="AE209" s="385"/>
      <c r="AF209" s="384"/>
      <c r="AG209" s="384"/>
      <c r="AH209" s="384"/>
      <c r="AI209" s="384"/>
      <c r="AJ209" s="384"/>
      <c r="AK209" s="384"/>
    </row>
    <row r="210" spans="1:37" s="301" customFormat="1">
      <c r="A210" s="67" t="s">
        <v>1300</v>
      </c>
      <c r="B210" s="124"/>
      <c r="Q210" s="387"/>
      <c r="R210" s="387"/>
      <c r="S210" s="387"/>
      <c r="T210" s="387"/>
      <c r="U210" s="387"/>
      <c r="V210" s="387"/>
      <c r="W210" s="387"/>
      <c r="X210" s="387"/>
      <c r="Y210" s="387"/>
      <c r="Z210" s="387"/>
      <c r="AA210" s="387"/>
      <c r="AB210" s="387"/>
      <c r="AC210" s="387"/>
      <c r="AE210" s="385"/>
      <c r="AF210" s="384"/>
      <c r="AG210" s="384"/>
      <c r="AH210" s="384"/>
      <c r="AI210" s="384"/>
      <c r="AJ210" s="384"/>
      <c r="AK210" s="384"/>
    </row>
    <row r="211" spans="1:37" s="301" customFormat="1">
      <c r="A211" s="67" t="s">
        <v>1301</v>
      </c>
      <c r="B211" s="124"/>
      <c r="Q211" s="387"/>
      <c r="R211" s="387"/>
      <c r="S211" s="387"/>
      <c r="T211" s="387"/>
      <c r="U211" s="387"/>
      <c r="V211" s="387"/>
      <c r="W211" s="387"/>
      <c r="X211" s="387"/>
      <c r="Y211" s="387"/>
      <c r="Z211" s="387"/>
      <c r="AA211" s="387"/>
      <c r="AB211" s="387"/>
      <c r="AC211" s="387"/>
      <c r="AE211" s="385"/>
      <c r="AF211" s="384"/>
      <c r="AG211" s="384"/>
      <c r="AH211" s="384"/>
      <c r="AI211" s="384"/>
      <c r="AJ211" s="384"/>
      <c r="AK211" s="384"/>
    </row>
    <row r="212" spans="1:37" s="301" customFormat="1">
      <c r="A212" s="67" t="s">
        <v>1302</v>
      </c>
      <c r="B212" s="124"/>
      <c r="Q212" s="387"/>
      <c r="R212" s="387"/>
      <c r="S212" s="387"/>
      <c r="T212" s="387"/>
      <c r="U212" s="387"/>
      <c r="V212" s="387"/>
      <c r="W212" s="387"/>
      <c r="X212" s="387"/>
      <c r="Y212" s="387"/>
      <c r="Z212" s="387"/>
      <c r="AA212" s="387"/>
      <c r="AB212" s="387"/>
      <c r="AC212" s="387"/>
      <c r="AE212" s="385"/>
      <c r="AF212" s="384"/>
      <c r="AG212" s="384"/>
      <c r="AH212" s="384"/>
      <c r="AI212" s="384"/>
      <c r="AJ212" s="384"/>
      <c r="AK212" s="384"/>
    </row>
    <row r="213" spans="1:37" s="301" customFormat="1">
      <c r="A213" s="67" t="s">
        <v>1303</v>
      </c>
      <c r="B213" s="124"/>
      <c r="Q213" s="387"/>
      <c r="R213" s="387"/>
      <c r="S213" s="387"/>
      <c r="T213" s="387"/>
      <c r="U213" s="387"/>
      <c r="V213" s="387"/>
      <c r="W213" s="387"/>
      <c r="X213" s="387"/>
      <c r="Y213" s="387"/>
      <c r="Z213" s="387"/>
      <c r="AA213" s="387"/>
      <c r="AB213" s="387"/>
      <c r="AC213" s="387"/>
      <c r="AE213" s="385"/>
      <c r="AF213" s="384"/>
      <c r="AG213" s="384"/>
      <c r="AH213" s="384"/>
      <c r="AI213" s="384"/>
      <c r="AJ213" s="384"/>
      <c r="AK213" s="384"/>
    </row>
    <row r="214" spans="1:37" s="301" customFormat="1">
      <c r="A214" s="67" t="s">
        <v>1304</v>
      </c>
      <c r="B214" s="124"/>
      <c r="Q214" s="387"/>
      <c r="R214" s="387"/>
      <c r="S214" s="387"/>
      <c r="T214" s="387"/>
      <c r="U214" s="387"/>
      <c r="V214" s="387"/>
      <c r="W214" s="387"/>
      <c r="X214" s="387"/>
      <c r="Y214" s="387"/>
      <c r="Z214" s="387"/>
      <c r="AA214" s="387"/>
      <c r="AB214" s="387"/>
      <c r="AC214" s="387"/>
      <c r="AE214" s="385"/>
      <c r="AF214" s="384"/>
      <c r="AG214" s="384"/>
      <c r="AH214" s="384"/>
      <c r="AI214" s="384"/>
      <c r="AJ214" s="384"/>
      <c r="AK214" s="384"/>
    </row>
    <row r="215" spans="1:37" s="301" customFormat="1">
      <c r="A215" s="67" t="s">
        <v>1305</v>
      </c>
      <c r="B215" s="124"/>
      <c r="Q215" s="387"/>
      <c r="R215" s="387"/>
      <c r="S215" s="387"/>
      <c r="T215" s="387"/>
      <c r="U215" s="387"/>
      <c r="V215" s="387"/>
      <c r="W215" s="387"/>
      <c r="X215" s="387"/>
      <c r="Y215" s="387"/>
      <c r="Z215" s="387"/>
      <c r="AA215" s="387"/>
      <c r="AB215" s="387"/>
      <c r="AC215" s="387"/>
      <c r="AE215" s="385"/>
      <c r="AF215" s="384"/>
      <c r="AG215" s="384"/>
      <c r="AH215" s="384"/>
      <c r="AI215" s="384"/>
      <c r="AJ215" s="384"/>
      <c r="AK215" s="384"/>
    </row>
    <row r="216" spans="1:37" s="301" customFormat="1" ht="15.75" thickBot="1">
      <c r="A216" s="354" t="s">
        <v>1306</v>
      </c>
      <c r="B216" s="124"/>
      <c r="Q216" s="387"/>
      <c r="R216" s="387"/>
      <c r="S216" s="387"/>
      <c r="T216" s="387"/>
      <c r="U216" s="387"/>
      <c r="V216" s="387"/>
      <c r="W216" s="387"/>
      <c r="X216" s="387"/>
      <c r="Y216" s="387"/>
      <c r="Z216" s="387"/>
      <c r="AA216" s="387"/>
      <c r="AB216" s="387"/>
      <c r="AC216" s="387"/>
      <c r="AE216" s="385"/>
      <c r="AF216" s="384"/>
      <c r="AG216" s="384"/>
      <c r="AH216" s="384"/>
      <c r="AI216" s="384"/>
      <c r="AJ216" s="384"/>
      <c r="AK216" s="384"/>
    </row>
    <row r="217" spans="1:37" s="301" customFormat="1">
      <c r="A217" s="351" t="s">
        <v>1307</v>
      </c>
      <c r="B217" s="124"/>
      <c r="Q217" s="387"/>
      <c r="R217" s="387"/>
      <c r="S217" s="387"/>
      <c r="T217" s="387"/>
      <c r="U217" s="387"/>
      <c r="V217" s="387"/>
      <c r="W217" s="387"/>
      <c r="X217" s="387"/>
      <c r="Y217" s="387"/>
      <c r="Z217" s="387"/>
      <c r="AA217" s="387"/>
      <c r="AB217" s="387"/>
      <c r="AC217" s="387"/>
      <c r="AE217" s="385"/>
      <c r="AF217" s="384"/>
      <c r="AG217" s="384"/>
      <c r="AH217" s="384"/>
      <c r="AI217" s="384"/>
      <c r="AJ217" s="384"/>
      <c r="AK217" s="384"/>
    </row>
    <row r="218" spans="1:37" s="301" customFormat="1">
      <c r="A218" s="351" t="s">
        <v>1308</v>
      </c>
      <c r="B218" s="124"/>
      <c r="Q218" s="387"/>
      <c r="R218" s="387"/>
      <c r="S218" s="387"/>
      <c r="T218" s="387"/>
      <c r="U218" s="387"/>
      <c r="V218" s="387"/>
      <c r="W218" s="387"/>
      <c r="X218" s="387"/>
      <c r="Y218" s="387"/>
      <c r="Z218" s="387"/>
      <c r="AA218" s="387"/>
      <c r="AB218" s="387"/>
      <c r="AC218" s="387"/>
      <c r="AE218" s="385"/>
      <c r="AF218" s="384"/>
      <c r="AG218" s="384"/>
      <c r="AH218" s="384"/>
      <c r="AI218" s="384"/>
      <c r="AJ218" s="384"/>
      <c r="AK218" s="384"/>
    </row>
    <row r="219" spans="1:37" s="301" customFormat="1">
      <c r="A219" s="351" t="s">
        <v>1309</v>
      </c>
      <c r="B219" s="124"/>
      <c r="Q219" s="387"/>
      <c r="R219" s="387"/>
      <c r="S219" s="387"/>
      <c r="T219" s="387"/>
      <c r="U219" s="387"/>
      <c r="V219" s="387"/>
      <c r="W219" s="387"/>
      <c r="X219" s="387"/>
      <c r="Y219" s="387"/>
      <c r="Z219" s="387"/>
      <c r="AA219" s="387"/>
      <c r="AB219" s="387"/>
      <c r="AC219" s="387"/>
      <c r="AE219" s="385"/>
      <c r="AF219" s="384"/>
      <c r="AG219" s="384"/>
      <c r="AH219" s="384"/>
      <c r="AI219" s="384"/>
      <c r="AJ219" s="384"/>
      <c r="AK219" s="384"/>
    </row>
    <row r="220" spans="1:37" s="301" customFormat="1">
      <c r="A220" s="351" t="s">
        <v>1310</v>
      </c>
      <c r="B220" s="124"/>
      <c r="Q220" s="387"/>
      <c r="R220" s="387"/>
      <c r="S220" s="387"/>
      <c r="T220" s="387"/>
      <c r="U220" s="387"/>
      <c r="V220" s="387"/>
      <c r="W220" s="387"/>
      <c r="X220" s="387"/>
      <c r="Y220" s="387"/>
      <c r="Z220" s="387"/>
      <c r="AA220" s="387"/>
      <c r="AB220" s="387"/>
      <c r="AC220" s="387"/>
      <c r="AE220" s="385"/>
      <c r="AF220" s="384"/>
      <c r="AG220" s="384"/>
      <c r="AH220" s="384"/>
      <c r="AI220" s="384"/>
      <c r="AJ220" s="384"/>
      <c r="AK220" s="384"/>
    </row>
    <row r="221" spans="1:37" s="301" customFormat="1">
      <c r="A221" s="351" t="s">
        <v>1311</v>
      </c>
      <c r="B221" s="124"/>
      <c r="Q221" s="387"/>
      <c r="R221" s="387"/>
      <c r="S221" s="387"/>
      <c r="T221" s="387"/>
      <c r="U221" s="387"/>
      <c r="V221" s="387"/>
      <c r="W221" s="387"/>
      <c r="X221" s="387"/>
      <c r="Y221" s="387"/>
      <c r="Z221" s="387"/>
      <c r="AA221" s="387"/>
      <c r="AB221" s="387"/>
      <c r="AC221" s="387"/>
      <c r="AE221" s="385"/>
      <c r="AF221" s="384"/>
      <c r="AG221" s="384"/>
      <c r="AH221" s="384"/>
      <c r="AI221" s="384"/>
      <c r="AJ221" s="384"/>
      <c r="AK221" s="384"/>
    </row>
    <row r="222" spans="1:37" s="301" customFormat="1">
      <c r="A222" s="351" t="s">
        <v>1312</v>
      </c>
      <c r="B222" s="124"/>
      <c r="Q222" s="387"/>
      <c r="R222" s="387"/>
      <c r="S222" s="387"/>
      <c r="T222" s="387"/>
      <c r="U222" s="387"/>
      <c r="V222" s="387"/>
      <c r="W222" s="387"/>
      <c r="X222" s="387"/>
      <c r="Y222" s="387"/>
      <c r="Z222" s="387"/>
      <c r="AA222" s="387"/>
      <c r="AB222" s="387"/>
      <c r="AC222" s="387"/>
      <c r="AE222" s="385"/>
      <c r="AF222" s="384"/>
      <c r="AG222" s="384"/>
      <c r="AH222" s="384"/>
      <c r="AI222" s="384"/>
      <c r="AJ222" s="384"/>
      <c r="AK222" s="384"/>
    </row>
    <row r="223" spans="1:37" s="301" customFormat="1">
      <c r="A223" s="351" t="s">
        <v>1313</v>
      </c>
      <c r="B223" s="124"/>
      <c r="Q223" s="387"/>
      <c r="R223" s="387"/>
      <c r="S223" s="387"/>
      <c r="T223" s="387"/>
      <c r="U223" s="387"/>
      <c r="V223" s="387"/>
      <c r="W223" s="387"/>
      <c r="X223" s="387"/>
      <c r="Y223" s="387"/>
      <c r="Z223" s="387"/>
      <c r="AA223" s="387"/>
      <c r="AB223" s="387"/>
      <c r="AC223" s="387"/>
      <c r="AE223" s="385"/>
      <c r="AF223" s="384"/>
      <c r="AG223" s="384"/>
      <c r="AH223" s="384"/>
      <c r="AI223" s="384"/>
      <c r="AJ223" s="384"/>
      <c r="AK223" s="384"/>
    </row>
    <row r="224" spans="1:37" s="301" customFormat="1" ht="15.75" thickBot="1">
      <c r="A224" s="353" t="s">
        <v>226</v>
      </c>
      <c r="B224" s="124"/>
      <c r="Q224" s="387"/>
      <c r="R224" s="387"/>
      <c r="S224" s="387"/>
      <c r="T224" s="387"/>
      <c r="U224" s="387"/>
      <c r="V224" s="387"/>
      <c r="W224" s="387"/>
      <c r="X224" s="387"/>
      <c r="Y224" s="387"/>
      <c r="Z224" s="387"/>
      <c r="AA224" s="387"/>
      <c r="AB224" s="387"/>
      <c r="AC224" s="387"/>
      <c r="AE224" s="385"/>
      <c r="AF224" s="384"/>
      <c r="AG224" s="384"/>
      <c r="AH224" s="384"/>
      <c r="AI224" s="384"/>
      <c r="AJ224" s="384"/>
      <c r="AK224" s="384"/>
    </row>
    <row r="225" spans="1:1">
      <c r="A225" s="351" t="s">
        <v>1314</v>
      </c>
    </row>
    <row r="226" spans="1:1">
      <c r="A226" s="67" t="s">
        <v>1315</v>
      </c>
    </row>
    <row r="227" spans="1:1">
      <c r="A227" s="67" t="s">
        <v>1316</v>
      </c>
    </row>
    <row r="228" spans="1:1">
      <c r="A228" s="67" t="s">
        <v>1317</v>
      </c>
    </row>
    <row r="229" spans="1:1">
      <c r="A229" s="67" t="s">
        <v>1318</v>
      </c>
    </row>
    <row r="230" spans="1:1">
      <c r="A230" s="67" t="s">
        <v>1319</v>
      </c>
    </row>
    <row r="231" spans="1:1">
      <c r="A231" s="67" t="s">
        <v>1320</v>
      </c>
    </row>
    <row r="232" spans="1:1" ht="15.75" thickBot="1">
      <c r="A232" s="354" t="s">
        <v>1321</v>
      </c>
    </row>
    <row r="233" spans="1:1">
      <c r="A233" s="351" t="s">
        <v>1322</v>
      </c>
    </row>
    <row r="234" spans="1:1">
      <c r="A234" s="351" t="s">
        <v>1323</v>
      </c>
    </row>
    <row r="235" spans="1:1">
      <c r="A235" s="351" t="s">
        <v>1324</v>
      </c>
    </row>
    <row r="236" spans="1:1">
      <c r="A236" s="351" t="s">
        <v>1325</v>
      </c>
    </row>
    <row r="237" spans="1:1">
      <c r="A237" s="351" t="s">
        <v>1326</v>
      </c>
    </row>
    <row r="238" spans="1:1">
      <c r="A238" s="351" t="s">
        <v>1327</v>
      </c>
    </row>
    <row r="239" spans="1:1">
      <c r="A239" s="351" t="s">
        <v>1328</v>
      </c>
    </row>
    <row r="240" spans="1:1">
      <c r="A240" s="351" t="s">
        <v>1329</v>
      </c>
    </row>
    <row r="241" spans="1:1">
      <c r="A241" s="351" t="s">
        <v>1330</v>
      </c>
    </row>
    <row r="242" spans="1:1">
      <c r="A242" s="351" t="s">
        <v>1331</v>
      </c>
    </row>
    <row r="243" spans="1:1">
      <c r="A243" s="351" t="s">
        <v>1332</v>
      </c>
    </row>
    <row r="244" spans="1:1">
      <c r="A244" s="351" t="s">
        <v>1333</v>
      </c>
    </row>
    <row r="245" spans="1:1">
      <c r="A245" s="351" t="s">
        <v>1334</v>
      </c>
    </row>
    <row r="246" spans="1:1">
      <c r="A246" s="351" t="s">
        <v>1335</v>
      </c>
    </row>
    <row r="247" spans="1:1">
      <c r="A247" s="351" t="s">
        <v>1336</v>
      </c>
    </row>
    <row r="248" spans="1:1" ht="15.75" thickBot="1">
      <c r="A248" s="353" t="s">
        <v>1337</v>
      </c>
    </row>
    <row r="249" spans="1:1">
      <c r="A249" s="351" t="s">
        <v>1338</v>
      </c>
    </row>
    <row r="250" spans="1:1">
      <c r="A250" s="67" t="s">
        <v>1339</v>
      </c>
    </row>
    <row r="251" spans="1:1">
      <c r="A251" s="67" t="s">
        <v>1340</v>
      </c>
    </row>
    <row r="252" spans="1:1">
      <c r="A252" s="67" t="s">
        <v>1341</v>
      </c>
    </row>
    <row r="253" spans="1:1">
      <c r="A253" s="67" t="s">
        <v>1342</v>
      </c>
    </row>
    <row r="254" spans="1:1">
      <c r="A254" s="67" t="s">
        <v>1343</v>
      </c>
    </row>
    <row r="255" spans="1:1">
      <c r="A255" s="67" t="s">
        <v>1344</v>
      </c>
    </row>
    <row r="256" spans="1:1">
      <c r="A256" s="67" t="s">
        <v>1345</v>
      </c>
    </row>
    <row r="257" spans="1:1" ht="30.75" thickBot="1">
      <c r="A257" s="354" t="s">
        <v>1346</v>
      </c>
    </row>
    <row r="258" spans="1:1">
      <c r="A258" s="351" t="s">
        <v>1347</v>
      </c>
    </row>
    <row r="259" spans="1:1">
      <c r="A259" s="67" t="s">
        <v>1348</v>
      </c>
    </row>
    <row r="260" spans="1:1">
      <c r="A260" s="67" t="s">
        <v>1349</v>
      </c>
    </row>
    <row r="261" spans="1:1" ht="15.75" thickBot="1">
      <c r="A261" s="354" t="s">
        <v>1350</v>
      </c>
    </row>
    <row r="262" spans="1:1">
      <c r="A262" s="351" t="s">
        <v>1351</v>
      </c>
    </row>
    <row r="263" spans="1:1">
      <c r="A263" s="351" t="s">
        <v>1352</v>
      </c>
    </row>
    <row r="264" spans="1:1">
      <c r="A264" s="351" t="s">
        <v>1353</v>
      </c>
    </row>
    <row r="265" spans="1:1">
      <c r="A265" s="351" t="s">
        <v>1354</v>
      </c>
    </row>
    <row r="266" spans="1:1" ht="15.75" thickBot="1">
      <c r="A266" s="353" t="s">
        <v>1355</v>
      </c>
    </row>
    <row r="267" spans="1:1">
      <c r="A267" s="351" t="s">
        <v>1356</v>
      </c>
    </row>
    <row r="268" spans="1:1">
      <c r="A268" s="67" t="s">
        <v>1357</v>
      </c>
    </row>
    <row r="269" spans="1:1" ht="15.75" thickBot="1">
      <c r="A269" s="354" t="s">
        <v>1358</v>
      </c>
    </row>
    <row r="270" spans="1:1">
      <c r="A270" s="351" t="s">
        <v>1359</v>
      </c>
    </row>
    <row r="271" spans="1:1">
      <c r="A271" s="351" t="s">
        <v>1360</v>
      </c>
    </row>
    <row r="272" spans="1:1">
      <c r="A272" s="351" t="s">
        <v>1361</v>
      </c>
    </row>
    <row r="273" spans="1:1" ht="15.75" thickBot="1">
      <c r="A273" s="352" t="s">
        <v>1362</v>
      </c>
    </row>
    <row r="274" spans="1:1" ht="15.75" thickTop="1">
      <c r="A274" s="350" t="s">
        <v>1363</v>
      </c>
    </row>
    <row r="275" spans="1:1">
      <c r="A275" s="351" t="s">
        <v>1364</v>
      </c>
    </row>
    <row r="276" spans="1:1">
      <c r="A276" s="351" t="s">
        <v>1365</v>
      </c>
    </row>
    <row r="277" spans="1:1" ht="15.75" thickBot="1">
      <c r="A277" s="352" t="s">
        <v>1366</v>
      </c>
    </row>
    <row r="278" spans="1:1" ht="16.5" thickTop="1" thickBot="1">
      <c r="A278" s="356" t="s">
        <v>1367</v>
      </c>
    </row>
    <row r="279" spans="1:1">
      <c r="A279" s="351" t="s">
        <v>1368</v>
      </c>
    </row>
    <row r="280" spans="1:1">
      <c r="A280" s="67" t="s">
        <v>1369</v>
      </c>
    </row>
    <row r="281" spans="1:1">
      <c r="A281" s="67" t="s">
        <v>1370</v>
      </c>
    </row>
    <row r="282" spans="1:1">
      <c r="A282" s="67" t="s">
        <v>1371</v>
      </c>
    </row>
    <row r="283" spans="1:1" ht="15.75" thickBot="1">
      <c r="A283" s="354" t="s">
        <v>1372</v>
      </c>
    </row>
    <row r="284" spans="1:1">
      <c r="A284" s="351" t="s">
        <v>1373</v>
      </c>
    </row>
    <row r="285" spans="1:1">
      <c r="A285" s="67" t="s">
        <v>1374</v>
      </c>
    </row>
    <row r="286" spans="1:1">
      <c r="A286" s="67" t="s">
        <v>1375</v>
      </c>
    </row>
    <row r="287" spans="1:1">
      <c r="A287" s="67" t="s">
        <v>1376</v>
      </c>
    </row>
    <row r="288" spans="1:1" ht="15.75" thickBot="1">
      <c r="A288" s="354" t="s">
        <v>1377</v>
      </c>
    </row>
    <row r="289" spans="1:1">
      <c r="A289" s="351" t="s">
        <v>1378</v>
      </c>
    </row>
    <row r="290" spans="1:1">
      <c r="A290" s="67" t="s">
        <v>1379</v>
      </c>
    </row>
    <row r="291" spans="1:1">
      <c r="A291" s="67" t="s">
        <v>1380</v>
      </c>
    </row>
    <row r="292" spans="1:1">
      <c r="A292" s="67" t="s">
        <v>1381</v>
      </c>
    </row>
    <row r="293" spans="1:1">
      <c r="A293" s="67" t="s">
        <v>1382</v>
      </c>
    </row>
    <row r="294" spans="1:1">
      <c r="A294" s="67" t="s">
        <v>1383</v>
      </c>
    </row>
    <row r="295" spans="1:1" ht="30">
      <c r="A295" s="357" t="s">
        <v>1384</v>
      </c>
    </row>
    <row r="296" spans="1:1" ht="15.75" thickBot="1">
      <c r="A296" s="354" t="s">
        <v>1385</v>
      </c>
    </row>
    <row r="297" spans="1:1">
      <c r="A297" s="351" t="s">
        <v>1386</v>
      </c>
    </row>
    <row r="298" spans="1:1">
      <c r="A298" s="67" t="s">
        <v>1387</v>
      </c>
    </row>
    <row r="299" spans="1:1">
      <c r="A299" s="357" t="s">
        <v>1388</v>
      </c>
    </row>
    <row r="300" spans="1:1">
      <c r="A300" s="67" t="s">
        <v>1389</v>
      </c>
    </row>
    <row r="304" spans="1:1">
      <c r="A304" s="348" t="s">
        <v>1183</v>
      </c>
    </row>
    <row r="305" spans="1:1">
      <c r="A305" s="67" t="s">
        <v>1390</v>
      </c>
    </row>
    <row r="306" spans="1:1">
      <c r="A306" s="67" t="s">
        <v>1391</v>
      </c>
    </row>
    <row r="307" spans="1:1">
      <c r="A307" s="67" t="s">
        <v>1392</v>
      </c>
    </row>
    <row r="308" spans="1:1">
      <c r="A308" s="67" t="s">
        <v>1393</v>
      </c>
    </row>
    <row r="309" spans="1:1">
      <c r="A309" s="67" t="s">
        <v>1394</v>
      </c>
    </row>
    <row r="310" spans="1:1">
      <c r="A310" s="67" t="s">
        <v>1395</v>
      </c>
    </row>
    <row r="311" spans="1:1">
      <c r="A311" s="67" t="s">
        <v>1396</v>
      </c>
    </row>
    <row r="312" spans="1:1">
      <c r="A312" s="67" t="s">
        <v>1397</v>
      </c>
    </row>
    <row r="313" spans="1:1">
      <c r="A313" s="67" t="s">
        <v>1398</v>
      </c>
    </row>
    <row r="314" spans="1:1">
      <c r="A314" s="67" t="s">
        <v>1399</v>
      </c>
    </row>
    <row r="315" spans="1:1">
      <c r="A315" s="67" t="s">
        <v>1400</v>
      </c>
    </row>
    <row r="316" spans="1:1">
      <c r="A316" s="67" t="s">
        <v>1401</v>
      </c>
    </row>
    <row r="320" spans="1:1">
      <c r="A320" s="67" t="s">
        <v>1147</v>
      </c>
    </row>
    <row r="321" spans="1:1" ht="15.75" thickBot="1">
      <c r="A321" s="349" t="s">
        <v>1402</v>
      </c>
    </row>
    <row r="322" spans="1:1">
      <c r="A322" s="351" t="s">
        <v>1403</v>
      </c>
    </row>
    <row r="323" spans="1:1">
      <c r="A323" s="67" t="s">
        <v>1404</v>
      </c>
    </row>
    <row r="324" spans="1:1">
      <c r="A324" s="67" t="s">
        <v>1405</v>
      </c>
    </row>
    <row r="325" spans="1:1">
      <c r="A325" s="357" t="s">
        <v>1406</v>
      </c>
    </row>
    <row r="326" spans="1:1" ht="15.75" thickBot="1">
      <c r="A326" s="358" t="s">
        <v>1407</v>
      </c>
    </row>
    <row r="327" spans="1:1">
      <c r="A327" s="351" t="s">
        <v>1408</v>
      </c>
    </row>
    <row r="328" spans="1:1">
      <c r="A328" s="67" t="s">
        <v>1409</v>
      </c>
    </row>
    <row r="329" spans="1:1">
      <c r="A329" s="67" t="s">
        <v>1410</v>
      </c>
    </row>
    <row r="330" spans="1:1" ht="15.75" thickBot="1">
      <c r="A330" s="354" t="s">
        <v>1411</v>
      </c>
    </row>
    <row r="331" spans="1:1" ht="15.75" thickBot="1">
      <c r="A331" s="355" t="s">
        <v>1412</v>
      </c>
    </row>
    <row r="332" spans="1:1">
      <c r="A332" s="67" t="s">
        <v>1413</v>
      </c>
    </row>
    <row r="333" spans="1:1" ht="15.75" thickBot="1">
      <c r="A333" s="354" t="s">
        <v>1414</v>
      </c>
    </row>
    <row r="334" spans="1:1">
      <c r="A334" s="351" t="s">
        <v>1415</v>
      </c>
    </row>
    <row r="335" spans="1:1">
      <c r="A335" s="67" t="s">
        <v>1416</v>
      </c>
    </row>
    <row r="336" spans="1:1">
      <c r="A336" s="67" t="s">
        <v>1417</v>
      </c>
    </row>
    <row r="337" spans="1:1">
      <c r="A337" s="67" t="s">
        <v>1418</v>
      </c>
    </row>
    <row r="338" spans="1:1">
      <c r="A338" s="67" t="s">
        <v>1419</v>
      </c>
    </row>
    <row r="339" spans="1:1" ht="15.75" thickBot="1">
      <c r="A339" s="354" t="s">
        <v>1420</v>
      </c>
    </row>
    <row r="340" spans="1:1" ht="15.75" thickBot="1">
      <c r="A340" s="355" t="s">
        <v>1421</v>
      </c>
    </row>
    <row r="341" spans="1:1" ht="15.75" thickBot="1">
      <c r="A341" s="355" t="s">
        <v>1422</v>
      </c>
    </row>
    <row r="342" spans="1:1" ht="15.75" thickBot="1">
      <c r="A342" s="355" t="s">
        <v>1423</v>
      </c>
    </row>
    <row r="343" spans="1:1">
      <c r="A343" s="67" t="s">
        <v>1424</v>
      </c>
    </row>
    <row r="344" spans="1:1" ht="15.75" thickBot="1">
      <c r="A344" s="354" t="s">
        <v>1425</v>
      </c>
    </row>
    <row r="345" spans="1:1">
      <c r="A345" s="351" t="s">
        <v>1426</v>
      </c>
    </row>
    <row r="346" spans="1:1">
      <c r="A346" s="67" t="s">
        <v>1427</v>
      </c>
    </row>
    <row r="347" spans="1:1">
      <c r="A347" s="67" t="s">
        <v>1428</v>
      </c>
    </row>
    <row r="348" spans="1:1">
      <c r="A348" s="67" t="s">
        <v>1429</v>
      </c>
    </row>
    <row r="349" spans="1:1">
      <c r="A349" s="67" t="s">
        <v>1430</v>
      </c>
    </row>
    <row r="350" spans="1:1">
      <c r="A350" s="67" t="s">
        <v>1431</v>
      </c>
    </row>
    <row r="351" spans="1:1">
      <c r="A351" s="67" t="s">
        <v>1432</v>
      </c>
    </row>
    <row r="352" spans="1:1">
      <c r="A352" s="67" t="s">
        <v>1433</v>
      </c>
    </row>
    <row r="353" spans="1:1" ht="15.75" thickBot="1">
      <c r="A353" s="354" t="s">
        <v>1434</v>
      </c>
    </row>
    <row r="354" spans="1:1">
      <c r="A354" s="351" t="s">
        <v>1435</v>
      </c>
    </row>
    <row r="355" spans="1:1">
      <c r="A355" s="67" t="s">
        <v>1436</v>
      </c>
    </row>
    <row r="356" spans="1:1" ht="15.75" thickBot="1">
      <c r="A356" s="354" t="s">
        <v>1437</v>
      </c>
    </row>
    <row r="357" spans="1:1" ht="15.75" thickBot="1">
      <c r="A357" s="359" t="s">
        <v>1438</v>
      </c>
    </row>
    <row r="358" spans="1:1" ht="15.75" thickBot="1">
      <c r="A358" s="359" t="s">
        <v>1439</v>
      </c>
    </row>
    <row r="359" spans="1:1" ht="15.75" thickBot="1">
      <c r="A359" s="359" t="s">
        <v>1440</v>
      </c>
    </row>
    <row r="360" spans="1:1">
      <c r="A360" s="360" t="s">
        <v>1441</v>
      </c>
    </row>
    <row r="361" spans="1:1">
      <c r="A361" s="67" t="s">
        <v>1442</v>
      </c>
    </row>
    <row r="362" spans="1:1" ht="15.75" thickBot="1">
      <c r="A362" s="302" t="s">
        <v>1443</v>
      </c>
    </row>
    <row r="363" spans="1:1" ht="15.75" thickTop="1">
      <c r="A363" s="350" t="s">
        <v>1444</v>
      </c>
    </row>
    <row r="364" spans="1:1">
      <c r="A364" s="67" t="s">
        <v>1445</v>
      </c>
    </row>
    <row r="365" spans="1:1">
      <c r="A365" s="67" t="s">
        <v>1446</v>
      </c>
    </row>
    <row r="366" spans="1:1">
      <c r="A366" s="67" t="s">
        <v>1447</v>
      </c>
    </row>
    <row r="367" spans="1:1">
      <c r="A367" s="67" t="s">
        <v>1448</v>
      </c>
    </row>
    <row r="368" spans="1:1">
      <c r="A368" s="67" t="s">
        <v>1449</v>
      </c>
    </row>
    <row r="369" spans="1:1">
      <c r="A369" s="67" t="s">
        <v>1450</v>
      </c>
    </row>
    <row r="370" spans="1:1">
      <c r="A370" s="67" t="s">
        <v>1451</v>
      </c>
    </row>
    <row r="371" spans="1:1">
      <c r="A371" s="67" t="s">
        <v>1452</v>
      </c>
    </row>
    <row r="372" spans="1:1">
      <c r="A372" s="67" t="s">
        <v>1453</v>
      </c>
    </row>
    <row r="373" spans="1:1" ht="15.75" thickBot="1">
      <c r="A373" s="302" t="s">
        <v>1454</v>
      </c>
    </row>
    <row r="374" spans="1:1" ht="15.75" thickTop="1">
      <c r="A374" s="361" t="s">
        <v>1455</v>
      </c>
    </row>
    <row r="375" spans="1:1">
      <c r="A375" s="351" t="s">
        <v>1456</v>
      </c>
    </row>
    <row r="376" spans="1:1">
      <c r="A376" s="351" t="s">
        <v>1457</v>
      </c>
    </row>
    <row r="377" spans="1:1">
      <c r="A377" s="351" t="s">
        <v>1458</v>
      </c>
    </row>
    <row r="378" spans="1:1">
      <c r="A378" s="351" t="s">
        <v>1459</v>
      </c>
    </row>
    <row r="379" spans="1:1">
      <c r="A379" s="351" t="s">
        <v>1460</v>
      </c>
    </row>
    <row r="380" spans="1:1">
      <c r="A380" s="351" t="s">
        <v>1461</v>
      </c>
    </row>
    <row r="381" spans="1:1">
      <c r="A381" s="351" t="s">
        <v>1462</v>
      </c>
    </row>
    <row r="382" spans="1:1">
      <c r="A382" s="351" t="s">
        <v>1463</v>
      </c>
    </row>
    <row r="383" spans="1:1" ht="15.75" thickBot="1">
      <c r="A383" s="353" t="s">
        <v>1464</v>
      </c>
    </row>
    <row r="384" spans="1:1">
      <c r="A384" s="360" t="s">
        <v>1465</v>
      </c>
    </row>
    <row r="385" spans="1:1">
      <c r="A385" s="67" t="s">
        <v>1466</v>
      </c>
    </row>
    <row r="386" spans="1:1">
      <c r="A386" s="67" t="s">
        <v>1467</v>
      </c>
    </row>
    <row r="387" spans="1:1">
      <c r="A387" s="67" t="s">
        <v>1468</v>
      </c>
    </row>
    <row r="388" spans="1:1">
      <c r="A388" s="67" t="s">
        <v>1469</v>
      </c>
    </row>
    <row r="389" spans="1:1">
      <c r="A389" s="67" t="s">
        <v>1470</v>
      </c>
    </row>
    <row r="390" spans="1:1">
      <c r="A390" s="67" t="s">
        <v>1471</v>
      </c>
    </row>
    <row r="391" spans="1:1">
      <c r="A391" s="67" t="s">
        <v>1472</v>
      </c>
    </row>
    <row r="392" spans="1:1">
      <c r="A392" s="67" t="s">
        <v>1473</v>
      </c>
    </row>
    <row r="393" spans="1:1">
      <c r="A393" s="67" t="s">
        <v>1474</v>
      </c>
    </row>
    <row r="394" spans="1:1">
      <c r="A394" s="67" t="s">
        <v>1475</v>
      </c>
    </row>
    <row r="395" spans="1:1">
      <c r="A395" s="67" t="s">
        <v>1476</v>
      </c>
    </row>
    <row r="396" spans="1:1" ht="15.75" thickBot="1">
      <c r="A396" s="302" t="s">
        <v>1477</v>
      </c>
    </row>
    <row r="397" spans="1:1" ht="15.75" thickTop="1">
      <c r="A397" s="350" t="s">
        <v>1478</v>
      </c>
    </row>
    <row r="398" spans="1:1">
      <c r="A398" s="351" t="s">
        <v>1479</v>
      </c>
    </row>
    <row r="399" spans="1:1">
      <c r="A399" s="351" t="s">
        <v>1480</v>
      </c>
    </row>
    <row r="400" spans="1:1" ht="30.75" thickBot="1">
      <c r="A400" s="362" t="s">
        <v>1481</v>
      </c>
    </row>
    <row r="401" spans="1:1" ht="15.75" thickTop="1">
      <c r="A401" s="350" t="s">
        <v>1482</v>
      </c>
    </row>
    <row r="402" spans="1:1">
      <c r="A402" s="351" t="s">
        <v>1483</v>
      </c>
    </row>
    <row r="403" spans="1:1">
      <c r="A403" s="351" t="s">
        <v>1484</v>
      </c>
    </row>
    <row r="404" spans="1:1">
      <c r="A404" s="124"/>
    </row>
    <row r="405" spans="1:1">
      <c r="A405" s="124"/>
    </row>
    <row r="406" spans="1:1">
      <c r="A406" s="124"/>
    </row>
    <row r="407" spans="1:1" ht="15.75" thickBot="1">
      <c r="A407" s="363" t="s">
        <v>1126</v>
      </c>
    </row>
    <row r="408" spans="1:1" ht="16.5" thickTop="1" thickBot="1">
      <c r="A408" s="364" t="s">
        <v>1485</v>
      </c>
    </row>
    <row r="409" spans="1:1">
      <c r="A409" s="351" t="s">
        <v>1486</v>
      </c>
    </row>
    <row r="410" spans="1:1">
      <c r="A410" s="67" t="s">
        <v>1487</v>
      </c>
    </row>
    <row r="411" spans="1:1">
      <c r="A411" s="67" t="s">
        <v>1488</v>
      </c>
    </row>
    <row r="412" spans="1:1">
      <c r="A412" s="67" t="s">
        <v>1489</v>
      </c>
    </row>
    <row r="413" spans="1:1">
      <c r="A413" s="67" t="s">
        <v>1490</v>
      </c>
    </row>
    <row r="414" spans="1:1">
      <c r="A414" s="67" t="s">
        <v>1491</v>
      </c>
    </row>
    <row r="415" spans="1:1">
      <c r="A415" s="67" t="s">
        <v>1492</v>
      </c>
    </row>
    <row r="416" spans="1:1">
      <c r="A416" s="67" t="s">
        <v>1493</v>
      </c>
    </row>
    <row r="417" spans="1:1">
      <c r="A417" s="67" t="s">
        <v>1494</v>
      </c>
    </row>
    <row r="418" spans="1:1">
      <c r="A418" s="67" t="s">
        <v>1495</v>
      </c>
    </row>
    <row r="419" spans="1:1" ht="15.75" thickBot="1">
      <c r="A419" s="354" t="s">
        <v>1496</v>
      </c>
    </row>
    <row r="420" spans="1:1">
      <c r="A420" s="351" t="s">
        <v>1497</v>
      </c>
    </row>
    <row r="421" spans="1:1">
      <c r="A421" s="67" t="s">
        <v>1498</v>
      </c>
    </row>
    <row r="422" spans="1:1">
      <c r="A422" s="67" t="s">
        <v>1499</v>
      </c>
    </row>
    <row r="423" spans="1:1">
      <c r="A423" s="67" t="s">
        <v>1500</v>
      </c>
    </row>
    <row r="424" spans="1:1">
      <c r="A424" s="67" t="s">
        <v>1501</v>
      </c>
    </row>
    <row r="425" spans="1:1">
      <c r="A425" s="67" t="s">
        <v>1502</v>
      </c>
    </row>
    <row r="426" spans="1:1" ht="15.75" thickBot="1">
      <c r="A426" s="354" t="s">
        <v>1503</v>
      </c>
    </row>
    <row r="427" spans="1:1" ht="15.75" thickBot="1">
      <c r="A427" s="365" t="s">
        <v>1504</v>
      </c>
    </row>
    <row r="428" spans="1:1" ht="15.75" thickTop="1">
      <c r="A428" s="366" t="s">
        <v>1505</v>
      </c>
    </row>
    <row r="429" spans="1:1">
      <c r="A429" s="351" t="s">
        <v>1506</v>
      </c>
    </row>
    <row r="430" spans="1:1" ht="15.75" thickBot="1">
      <c r="A430" s="353" t="s">
        <v>1507</v>
      </c>
    </row>
    <row r="431" spans="1:1">
      <c r="A431" s="351" t="s">
        <v>1508</v>
      </c>
    </row>
    <row r="432" spans="1:1">
      <c r="A432" s="67" t="s">
        <v>1509</v>
      </c>
    </row>
    <row r="433" spans="1:1">
      <c r="A433" s="67" t="s">
        <v>1510</v>
      </c>
    </row>
    <row r="434" spans="1:1">
      <c r="A434" s="67" t="s">
        <v>1511</v>
      </c>
    </row>
    <row r="435" spans="1:1" ht="15.75" thickBot="1">
      <c r="A435" s="354" t="s">
        <v>1512</v>
      </c>
    </row>
    <row r="436" spans="1:1">
      <c r="A436" s="351" t="s">
        <v>1513</v>
      </c>
    </row>
    <row r="437" spans="1:1">
      <c r="A437" s="351" t="s">
        <v>1514</v>
      </c>
    </row>
    <row r="438" spans="1:1">
      <c r="A438" s="351" t="s">
        <v>1515</v>
      </c>
    </row>
    <row r="439" spans="1:1" ht="15.75" thickBot="1">
      <c r="A439" s="353" t="s">
        <v>1516</v>
      </c>
    </row>
    <row r="440" spans="1:1">
      <c r="A440" s="351" t="s">
        <v>1517</v>
      </c>
    </row>
    <row r="441" spans="1:1">
      <c r="A441" s="67" t="s">
        <v>1518</v>
      </c>
    </row>
    <row r="442" spans="1:1">
      <c r="A442" s="67" t="s">
        <v>1519</v>
      </c>
    </row>
    <row r="443" spans="1:1">
      <c r="A443" s="67" t="s">
        <v>1520</v>
      </c>
    </row>
    <row r="444" spans="1:1">
      <c r="A444" s="67" t="s">
        <v>1521</v>
      </c>
    </row>
    <row r="445" spans="1:1">
      <c r="A445" s="67" t="s">
        <v>1522</v>
      </c>
    </row>
    <row r="446" spans="1:1">
      <c r="A446" s="67" t="s">
        <v>1523</v>
      </c>
    </row>
    <row r="447" spans="1:1">
      <c r="A447" s="67" t="s">
        <v>1524</v>
      </c>
    </row>
    <row r="448" spans="1:1">
      <c r="A448" s="67" t="s">
        <v>1525</v>
      </c>
    </row>
    <row r="449" spans="1:1" ht="15.75" thickBot="1">
      <c r="A449" s="354" t="s">
        <v>1526</v>
      </c>
    </row>
    <row r="450" spans="1:1">
      <c r="A450" s="351" t="s">
        <v>1527</v>
      </c>
    </row>
    <row r="451" spans="1:1">
      <c r="A451" s="67" t="s">
        <v>1528</v>
      </c>
    </row>
    <row r="452" spans="1:1">
      <c r="A452" s="67" t="s">
        <v>1529</v>
      </c>
    </row>
    <row r="453" spans="1:1">
      <c r="A453" s="67" t="s">
        <v>1530</v>
      </c>
    </row>
    <row r="454" spans="1:1">
      <c r="A454" s="357" t="s">
        <v>1531</v>
      </c>
    </row>
    <row r="455" spans="1:1" ht="15.75" thickBot="1">
      <c r="A455" s="358" t="s">
        <v>1532</v>
      </c>
    </row>
    <row r="456" spans="1:1">
      <c r="A456" s="360" t="s">
        <v>1533</v>
      </c>
    </row>
    <row r="457" spans="1:1" ht="15.75" thickBot="1">
      <c r="A457" s="362" t="s">
        <v>1534</v>
      </c>
    </row>
    <row r="458" spans="1:1" ht="16.5" thickTop="1" thickBot="1">
      <c r="A458" s="364" t="s">
        <v>1535</v>
      </c>
    </row>
    <row r="459" spans="1:1">
      <c r="A459" s="351" t="s">
        <v>1536</v>
      </c>
    </row>
    <row r="460" spans="1:1">
      <c r="A460" s="67" t="s">
        <v>1537</v>
      </c>
    </row>
    <row r="461" spans="1:1">
      <c r="A461" s="67" t="s">
        <v>1538</v>
      </c>
    </row>
    <row r="462" spans="1:1">
      <c r="A462" s="67" t="s">
        <v>1539</v>
      </c>
    </row>
    <row r="463" spans="1:1">
      <c r="A463" s="67" t="s">
        <v>1540</v>
      </c>
    </row>
    <row r="464" spans="1:1">
      <c r="A464" s="67" t="s">
        <v>1541</v>
      </c>
    </row>
    <row r="465" spans="1:1">
      <c r="A465" s="67" t="s">
        <v>1542</v>
      </c>
    </row>
    <row r="466" spans="1:1">
      <c r="A466" s="67" t="s">
        <v>1543</v>
      </c>
    </row>
    <row r="467" spans="1:1">
      <c r="A467" s="67" t="s">
        <v>1544</v>
      </c>
    </row>
    <row r="468" spans="1:1">
      <c r="A468" s="67" t="s">
        <v>1545</v>
      </c>
    </row>
    <row r="469" spans="1:1">
      <c r="A469" s="67" t="s">
        <v>1546</v>
      </c>
    </row>
    <row r="470" spans="1:1">
      <c r="A470" s="67" t="s">
        <v>1547</v>
      </c>
    </row>
    <row r="471" spans="1:1">
      <c r="A471" s="351" t="s">
        <v>1548</v>
      </c>
    </row>
    <row r="472" spans="1:1">
      <c r="A472" s="67" t="s">
        <v>1549</v>
      </c>
    </row>
    <row r="473" spans="1:1">
      <c r="A473" s="67" t="s">
        <v>1550</v>
      </c>
    </row>
    <row r="474" spans="1:1">
      <c r="A474" s="67" t="s">
        <v>1551</v>
      </c>
    </row>
    <row r="475" spans="1:1">
      <c r="A475" s="67" t="s">
        <v>1552</v>
      </c>
    </row>
    <row r="476" spans="1:1">
      <c r="A476" s="67" t="s">
        <v>1553</v>
      </c>
    </row>
    <row r="477" spans="1:1">
      <c r="A477" s="67" t="s">
        <v>1554</v>
      </c>
    </row>
    <row r="478" spans="1:1" ht="15.75" thickBot="1">
      <c r="A478" s="354" t="s">
        <v>1555</v>
      </c>
    </row>
    <row r="479" spans="1:1">
      <c r="A479" s="351" t="s">
        <v>1556</v>
      </c>
    </row>
    <row r="480" spans="1:1">
      <c r="A480" s="67" t="s">
        <v>1557</v>
      </c>
    </row>
    <row r="481" spans="1:1">
      <c r="A481" s="67" t="s">
        <v>1558</v>
      </c>
    </row>
    <row r="482" spans="1:1" ht="15.75" thickBot="1">
      <c r="A482" s="354" t="s">
        <v>1559</v>
      </c>
    </row>
    <row r="483" spans="1:1">
      <c r="A483" s="351" t="s">
        <v>1560</v>
      </c>
    </row>
    <row r="484" spans="1:1">
      <c r="A484" s="67" t="s">
        <v>1561</v>
      </c>
    </row>
    <row r="485" spans="1:1">
      <c r="A485" s="67" t="s">
        <v>1562</v>
      </c>
    </row>
    <row r="486" spans="1:1">
      <c r="A486" s="67" t="s">
        <v>1563</v>
      </c>
    </row>
    <row r="487" spans="1:1">
      <c r="A487" s="67" t="s">
        <v>1564</v>
      </c>
    </row>
    <row r="488" spans="1:1">
      <c r="A488" s="67" t="s">
        <v>1565</v>
      </c>
    </row>
    <row r="489" spans="1:1">
      <c r="A489" s="67" t="s">
        <v>1566</v>
      </c>
    </row>
    <row r="490" spans="1:1">
      <c r="A490" s="67" t="s">
        <v>1567</v>
      </c>
    </row>
    <row r="491" spans="1:1">
      <c r="A491" s="67" t="s">
        <v>1568</v>
      </c>
    </row>
    <row r="492" spans="1:1" ht="15.75" thickBot="1">
      <c r="A492" s="354" t="s">
        <v>1569</v>
      </c>
    </row>
    <row r="493" spans="1:1">
      <c r="A493" s="351" t="s">
        <v>1570</v>
      </c>
    </row>
    <row r="494" spans="1:1">
      <c r="A494" s="67" t="s">
        <v>1571</v>
      </c>
    </row>
    <row r="495" spans="1:1">
      <c r="A495" s="67" t="s">
        <v>1572</v>
      </c>
    </row>
    <row r="496" spans="1:1">
      <c r="A496" s="67" t="s">
        <v>1573</v>
      </c>
    </row>
    <row r="497" spans="1:1">
      <c r="A497" s="67" t="s">
        <v>1574</v>
      </c>
    </row>
    <row r="498" spans="1:1">
      <c r="A498" s="67" t="s">
        <v>1575</v>
      </c>
    </row>
    <row r="499" spans="1:1">
      <c r="A499" s="67" t="s">
        <v>1576</v>
      </c>
    </row>
    <row r="500" spans="1:1">
      <c r="A500" s="67" t="s">
        <v>1577</v>
      </c>
    </row>
    <row r="501" spans="1:1">
      <c r="A501" s="67" t="s">
        <v>1578</v>
      </c>
    </row>
    <row r="502" spans="1:1">
      <c r="A502" s="67" t="s">
        <v>1579</v>
      </c>
    </row>
    <row r="503" spans="1:1">
      <c r="A503" s="67" t="s">
        <v>1580</v>
      </c>
    </row>
    <row r="504" spans="1:1">
      <c r="A504" s="67" t="s">
        <v>1581</v>
      </c>
    </row>
    <row r="505" spans="1:1">
      <c r="A505" s="67" t="s">
        <v>1582</v>
      </c>
    </row>
    <row r="506" spans="1:1">
      <c r="A506" s="67" t="s">
        <v>1583</v>
      </c>
    </row>
    <row r="507" spans="1:1" ht="15.75" thickBot="1">
      <c r="A507" s="354" t="s">
        <v>1584</v>
      </c>
    </row>
    <row r="508" spans="1:1">
      <c r="A508" s="351" t="s">
        <v>1585</v>
      </c>
    </row>
    <row r="509" spans="1:1">
      <c r="A509" s="67" t="s">
        <v>1586</v>
      </c>
    </row>
    <row r="510" spans="1:1">
      <c r="A510" s="67" t="s">
        <v>1587</v>
      </c>
    </row>
    <row r="511" spans="1:1">
      <c r="A511" s="67" t="s">
        <v>1588</v>
      </c>
    </row>
    <row r="512" spans="1:1" ht="15.75" thickBot="1">
      <c r="A512" s="302" t="s">
        <v>1589</v>
      </c>
    </row>
    <row r="513" spans="1:1" ht="15.75" thickTop="1">
      <c r="A513" s="366" t="s">
        <v>1590</v>
      </c>
    </row>
    <row r="514" spans="1:1">
      <c r="A514" s="351" t="s">
        <v>1591</v>
      </c>
    </row>
    <row r="515" spans="1:1">
      <c r="A515" s="351" t="s">
        <v>1592</v>
      </c>
    </row>
    <row r="516" spans="1:1" ht="15.75" thickBot="1">
      <c r="A516" s="353" t="s">
        <v>1593</v>
      </c>
    </row>
    <row r="517" spans="1:1">
      <c r="A517" s="351" t="s">
        <v>1594</v>
      </c>
    </row>
    <row r="518" spans="1:1">
      <c r="A518" s="67" t="s">
        <v>1595</v>
      </c>
    </row>
    <row r="519" spans="1:1">
      <c r="A519" s="67" t="s">
        <v>1596</v>
      </c>
    </row>
    <row r="520" spans="1:1" ht="15.75" thickBot="1">
      <c r="A520" s="354" t="s">
        <v>1597</v>
      </c>
    </row>
    <row r="521" spans="1:1">
      <c r="A521" s="351" t="s">
        <v>1598</v>
      </c>
    </row>
    <row r="522" spans="1:1">
      <c r="A522" s="351" t="s">
        <v>1599</v>
      </c>
    </row>
    <row r="523" spans="1:1">
      <c r="A523" s="351" t="s">
        <v>1600</v>
      </c>
    </row>
    <row r="524" spans="1:1">
      <c r="A524" s="351" t="s">
        <v>1601</v>
      </c>
    </row>
    <row r="525" spans="1:1">
      <c r="A525" s="351" t="s">
        <v>1602</v>
      </c>
    </row>
    <row r="526" spans="1:1">
      <c r="A526" s="351" t="s">
        <v>1603</v>
      </c>
    </row>
    <row r="527" spans="1:1">
      <c r="A527" s="351" t="s">
        <v>1604</v>
      </c>
    </row>
    <row r="528" spans="1:1">
      <c r="A528" s="351" t="s">
        <v>1605</v>
      </c>
    </row>
    <row r="529" spans="1:1">
      <c r="A529" s="351" t="s">
        <v>1606</v>
      </c>
    </row>
    <row r="530" spans="1:1" ht="15.75" thickBot="1">
      <c r="A530" s="353" t="s">
        <v>1607</v>
      </c>
    </row>
    <row r="531" spans="1:1">
      <c r="A531" s="351" t="s">
        <v>1608</v>
      </c>
    </row>
    <row r="532" spans="1:1">
      <c r="A532" s="67" t="s">
        <v>1609</v>
      </c>
    </row>
    <row r="533" spans="1:1" ht="15.75" thickBot="1">
      <c r="A533" s="354" t="s">
        <v>1610</v>
      </c>
    </row>
    <row r="534" spans="1:1">
      <c r="A534" s="67" t="s">
        <v>1611</v>
      </c>
    </row>
    <row r="535" spans="1:1" ht="15.75" thickBot="1">
      <c r="A535" s="302" t="s">
        <v>1612</v>
      </c>
    </row>
    <row r="536" spans="1:1" ht="15.75" thickTop="1">
      <c r="A536" s="366" t="s">
        <v>1613</v>
      </c>
    </row>
    <row r="537" spans="1:1">
      <c r="A537" s="351" t="s">
        <v>1614</v>
      </c>
    </row>
    <row r="538" spans="1:1">
      <c r="A538" s="67" t="s">
        <v>1615</v>
      </c>
    </row>
    <row r="539" spans="1:1">
      <c r="A539" s="67" t="s">
        <v>1616</v>
      </c>
    </row>
    <row r="540" spans="1:1">
      <c r="A540" s="67" t="s">
        <v>1617</v>
      </c>
    </row>
    <row r="541" spans="1:1">
      <c r="A541" s="67" t="s">
        <v>1618</v>
      </c>
    </row>
    <row r="542" spans="1:1" ht="15.75" thickBot="1">
      <c r="A542" s="354" t="s">
        <v>1619</v>
      </c>
    </row>
    <row r="543" spans="1:1">
      <c r="A543" s="351" t="s">
        <v>1620</v>
      </c>
    </row>
    <row r="544" spans="1:1">
      <c r="A544" s="67" t="s">
        <v>1621</v>
      </c>
    </row>
    <row r="545" spans="1:1">
      <c r="A545" s="67" t="s">
        <v>1622</v>
      </c>
    </row>
    <row r="546" spans="1:1" ht="15.75" thickBot="1">
      <c r="A546" s="302" t="s">
        <v>1623</v>
      </c>
    </row>
    <row r="547" spans="1:1" ht="15.75" thickTop="1">
      <c r="A547" s="366" t="s">
        <v>1624</v>
      </c>
    </row>
    <row r="548" spans="1:1">
      <c r="A548" s="351" t="s">
        <v>1625</v>
      </c>
    </row>
    <row r="549" spans="1:1">
      <c r="A549" s="67" t="s">
        <v>1626</v>
      </c>
    </row>
    <row r="550" spans="1:1">
      <c r="A550" s="67" t="s">
        <v>1627</v>
      </c>
    </row>
    <row r="551" spans="1:1">
      <c r="A551" s="67" t="s">
        <v>1628</v>
      </c>
    </row>
    <row r="552" spans="1:1">
      <c r="A552" s="67" t="s">
        <v>1629</v>
      </c>
    </row>
    <row r="553" spans="1:1">
      <c r="A553" s="67" t="s">
        <v>1630</v>
      </c>
    </row>
    <row r="554" spans="1:1">
      <c r="A554" s="67" t="s">
        <v>1631</v>
      </c>
    </row>
    <row r="555" spans="1:1">
      <c r="A555" s="67" t="s">
        <v>1632</v>
      </c>
    </row>
    <row r="556" spans="1:1">
      <c r="A556" s="67" t="s">
        <v>1633</v>
      </c>
    </row>
    <row r="557" spans="1:1">
      <c r="A557" s="67" t="s">
        <v>1634</v>
      </c>
    </row>
    <row r="558" spans="1:1" ht="15.75" thickBot="1">
      <c r="A558" s="354" t="s">
        <v>1635</v>
      </c>
    </row>
    <row r="559" spans="1:1">
      <c r="A559" s="351" t="s">
        <v>1636</v>
      </c>
    </row>
    <row r="560" spans="1:1">
      <c r="A560" s="67" t="s">
        <v>1637</v>
      </c>
    </row>
    <row r="561" spans="1:1">
      <c r="A561" s="67" t="s">
        <v>1638</v>
      </c>
    </row>
    <row r="562" spans="1:1">
      <c r="A562" s="67" t="s">
        <v>1639</v>
      </c>
    </row>
    <row r="563" spans="1:1">
      <c r="A563" s="67" t="s">
        <v>1640</v>
      </c>
    </row>
    <row r="564" spans="1:1">
      <c r="A564" s="67" t="s">
        <v>1641</v>
      </c>
    </row>
    <row r="565" spans="1:1">
      <c r="A565" s="67" t="s">
        <v>1642</v>
      </c>
    </row>
    <row r="566" spans="1:1">
      <c r="A566" s="67" t="s">
        <v>1643</v>
      </c>
    </row>
    <row r="567" spans="1:1">
      <c r="A567" s="67" t="s">
        <v>1644</v>
      </c>
    </row>
    <row r="568" spans="1:1">
      <c r="A568" s="67" t="s">
        <v>1645</v>
      </c>
    </row>
    <row r="569" spans="1:1">
      <c r="A569" s="67" t="s">
        <v>1646</v>
      </c>
    </row>
    <row r="570" spans="1:1" ht="15.75" thickBot="1">
      <c r="A570" s="354" t="s">
        <v>1647</v>
      </c>
    </row>
    <row r="571" spans="1:1">
      <c r="A571" s="351" t="s">
        <v>1648</v>
      </c>
    </row>
    <row r="572" spans="1:1">
      <c r="A572" s="67" t="s">
        <v>1649</v>
      </c>
    </row>
    <row r="573" spans="1:1">
      <c r="A573" s="67" t="s">
        <v>1650</v>
      </c>
    </row>
    <row r="574" spans="1:1">
      <c r="A574" s="67" t="s">
        <v>1651</v>
      </c>
    </row>
    <row r="575" spans="1:1">
      <c r="A575" s="67" t="s">
        <v>1652</v>
      </c>
    </row>
    <row r="576" spans="1:1">
      <c r="A576" s="67" t="s">
        <v>1653</v>
      </c>
    </row>
    <row r="577" spans="1:1">
      <c r="A577" s="67" t="s">
        <v>1654</v>
      </c>
    </row>
    <row r="578" spans="1:1">
      <c r="A578" s="67" t="s">
        <v>1655</v>
      </c>
    </row>
    <row r="579" spans="1:1">
      <c r="A579" s="67" t="s">
        <v>1656</v>
      </c>
    </row>
    <row r="580" spans="1:1" ht="15.75" thickBot="1">
      <c r="A580" s="354" t="s">
        <v>1657</v>
      </c>
    </row>
    <row r="581" spans="1:1">
      <c r="A581" s="351" t="s">
        <v>1658</v>
      </c>
    </row>
    <row r="582" spans="1:1">
      <c r="A582" s="67" t="s">
        <v>1659</v>
      </c>
    </row>
    <row r="583" spans="1:1" ht="15.75" thickBot="1">
      <c r="A583" s="354" t="s">
        <v>1660</v>
      </c>
    </row>
    <row r="584" spans="1:1" ht="15.75" thickBot="1">
      <c r="A584" s="365" t="s">
        <v>1661</v>
      </c>
    </row>
    <row r="585" spans="1:1" ht="15.75" thickTop="1">
      <c r="A585" s="351" t="s">
        <v>1662</v>
      </c>
    </row>
    <row r="586" spans="1:1">
      <c r="A586" s="67" t="s">
        <v>1155</v>
      </c>
    </row>
    <row r="587" spans="1:1">
      <c r="A587" s="67" t="s">
        <v>1663</v>
      </c>
    </row>
    <row r="588" spans="1:1">
      <c r="A588" s="67" t="s">
        <v>1664</v>
      </c>
    </row>
    <row r="589" spans="1:1">
      <c r="A589" s="67" t="s">
        <v>1665</v>
      </c>
    </row>
    <row r="590" spans="1:1" ht="15.75" thickBot="1">
      <c r="A590" s="354" t="s">
        <v>1666</v>
      </c>
    </row>
    <row r="591" spans="1:1">
      <c r="A591" s="351" t="s">
        <v>1667</v>
      </c>
    </row>
    <row r="592" spans="1:1">
      <c r="A592" s="67" t="s">
        <v>1668</v>
      </c>
    </row>
    <row r="593" spans="1:1" ht="15.75" thickBot="1">
      <c r="A593" s="354" t="s">
        <v>1669</v>
      </c>
    </row>
    <row r="594" spans="1:1">
      <c r="A594" s="351" t="s">
        <v>1670</v>
      </c>
    </row>
    <row r="595" spans="1:1">
      <c r="A595" s="351" t="s">
        <v>1671</v>
      </c>
    </row>
    <row r="596" spans="1:1">
      <c r="A596" s="351" t="s">
        <v>1672</v>
      </c>
    </row>
    <row r="597" spans="1:1" ht="15.75" thickBot="1">
      <c r="A597" s="353" t="s">
        <v>1673</v>
      </c>
    </row>
    <row r="598" spans="1:1">
      <c r="A598" s="351" t="s">
        <v>1674</v>
      </c>
    </row>
    <row r="599" spans="1:1">
      <c r="A599" s="67" t="s">
        <v>1675</v>
      </c>
    </row>
    <row r="600" spans="1:1">
      <c r="A600" s="67" t="s">
        <v>1676</v>
      </c>
    </row>
    <row r="601" spans="1:1">
      <c r="A601" s="67" t="s">
        <v>1677</v>
      </c>
    </row>
    <row r="602" spans="1:1">
      <c r="A602" s="67" t="s">
        <v>1678</v>
      </c>
    </row>
    <row r="603" spans="1:1">
      <c r="A603" s="67" t="s">
        <v>1679</v>
      </c>
    </row>
    <row r="604" spans="1:1">
      <c r="A604" s="67" t="s">
        <v>1680</v>
      </c>
    </row>
    <row r="605" spans="1:1">
      <c r="A605" s="67" t="s">
        <v>1681</v>
      </c>
    </row>
    <row r="606" spans="1:1">
      <c r="A606" s="67" t="s">
        <v>1682</v>
      </c>
    </row>
    <row r="607" spans="1:1">
      <c r="A607" s="67" t="s">
        <v>1683</v>
      </c>
    </row>
    <row r="608" spans="1:1">
      <c r="A608" s="67" t="s">
        <v>1684</v>
      </c>
    </row>
    <row r="609" spans="1:1">
      <c r="A609" s="67" t="s">
        <v>1685</v>
      </c>
    </row>
    <row r="610" spans="1:1">
      <c r="A610" s="67" t="s">
        <v>1686</v>
      </c>
    </row>
    <row r="611" spans="1:1">
      <c r="A611" s="67" t="s">
        <v>1684</v>
      </c>
    </row>
    <row r="612" spans="1:1" ht="30.75" thickBot="1">
      <c r="A612" s="354" t="s">
        <v>1687</v>
      </c>
    </row>
    <row r="613" spans="1:1" ht="15.75" thickBot="1">
      <c r="A613" s="355" t="s">
        <v>1688</v>
      </c>
    </row>
    <row r="614" spans="1:1">
      <c r="A614" s="351" t="s">
        <v>1689</v>
      </c>
    </row>
    <row r="615" spans="1:1">
      <c r="A615" s="67" t="s">
        <v>1690</v>
      </c>
    </row>
    <row r="616" spans="1:1">
      <c r="A616" s="67" t="s">
        <v>1691</v>
      </c>
    </row>
    <row r="617" spans="1:1">
      <c r="A617" s="67" t="s">
        <v>1692</v>
      </c>
    </row>
    <row r="618" spans="1:1">
      <c r="A618" s="67" t="s">
        <v>1693</v>
      </c>
    </row>
    <row r="619" spans="1:1">
      <c r="A619" s="67" t="s">
        <v>1694</v>
      </c>
    </row>
    <row r="620" spans="1:1">
      <c r="A620" s="67" t="s">
        <v>1695</v>
      </c>
    </row>
    <row r="621" spans="1:1" ht="15.75" thickBot="1">
      <c r="A621" s="354" t="s">
        <v>1696</v>
      </c>
    </row>
    <row r="622" spans="1:1">
      <c r="A622" s="351" t="s">
        <v>1697</v>
      </c>
    </row>
    <row r="623" spans="1:1">
      <c r="A623" s="351" t="s">
        <v>1698</v>
      </c>
    </row>
    <row r="624" spans="1:1">
      <c r="A624" s="351" t="s">
        <v>1699</v>
      </c>
    </row>
    <row r="625" spans="1:1">
      <c r="A625" s="67"/>
    </row>
    <row r="626" spans="1:1">
      <c r="A626" s="67" t="s">
        <v>1700</v>
      </c>
    </row>
    <row r="627" spans="1:1">
      <c r="A627" s="67"/>
    </row>
    <row r="628" spans="1:1">
      <c r="A628" s="67"/>
    </row>
    <row r="629" spans="1:1">
      <c r="A629" s="67"/>
    </row>
    <row r="1005" spans="1:1" ht="15.75">
      <c r="A1005" s="344" t="s">
        <v>1701</v>
      </c>
    </row>
    <row r="1006" spans="1:1">
      <c r="A1006" s="67" t="s">
        <v>1149</v>
      </c>
    </row>
    <row r="1007" spans="1:1">
      <c r="A1007" s="67" t="s">
        <v>1125</v>
      </c>
    </row>
    <row r="1008" spans="1:1">
      <c r="A1008" s="67" t="s">
        <v>1148</v>
      </c>
    </row>
    <row r="1009" spans="1:1">
      <c r="A1009" s="67" t="s">
        <v>1159</v>
      </c>
    </row>
    <row r="1010" spans="1:1">
      <c r="A1010" s="67" t="s">
        <v>1127</v>
      </c>
    </row>
    <row r="1011" spans="1:1">
      <c r="A1011" s="67" t="s">
        <v>1157</v>
      </c>
    </row>
    <row r="1012" spans="1:1">
      <c r="A1012" s="67" t="s">
        <v>1141</v>
      </c>
    </row>
    <row r="1013" spans="1:1">
      <c r="A1013" s="67" t="s">
        <v>1124</v>
      </c>
    </row>
    <row r="1014" spans="1:1">
      <c r="A1014" s="67" t="s">
        <v>1137</v>
      </c>
    </row>
    <row r="1015" spans="1:1">
      <c r="A1015" s="67" t="s">
        <v>1135</v>
      </c>
    </row>
    <row r="1016" spans="1:1">
      <c r="A1016" s="67" t="s">
        <v>1145</v>
      </c>
    </row>
    <row r="1017" spans="1:1">
      <c r="A1017" s="67" t="s">
        <v>1152</v>
      </c>
    </row>
    <row r="1018" spans="1:1">
      <c r="A1018" s="67" t="s">
        <v>1158</v>
      </c>
    </row>
    <row r="1019" spans="1:1">
      <c r="A1019" s="67" t="s">
        <v>1138</v>
      </c>
    </row>
  </sheetData>
  <conditionalFormatting sqref="A636:A821 A827:A1004 A385:A427 A81:A374 A1:A13 A47:A48 A75:A78 A429:A630 A15:A36 A1006:A1048576">
    <cfRule type="duplicateValues" dxfId="9" priority="1"/>
  </conditionalFormatting>
  <dataValidations disablePrompts="1" count="9">
    <dataValidation type="list" allowBlank="1" showInputMessage="1" showErrorMessage="1" sqref="AB3:AB9" xr:uid="{B247041B-22A2-4D7D-B6D9-51AB3BA4A724}">
      <formula1>$A$58:$A$62</formula1>
    </dataValidation>
    <dataValidation type="list" allowBlank="1" showInputMessage="1" showErrorMessage="1" sqref="U3:U9" xr:uid="{0AA2571F-50DF-408D-902B-69AFB3DC3474}">
      <formula1>SignificanceLevel</formula1>
    </dataValidation>
    <dataValidation type="list" allowBlank="1" showInputMessage="1" showErrorMessage="1" sqref="AJ3:AJ9" xr:uid="{4FE8A675-3FF6-4C72-90B6-F1EB61D151D7}">
      <formula1>$A$38:$A$45</formula1>
    </dataValidation>
    <dataValidation type="list" allowBlank="1" showInputMessage="1" showErrorMessage="1" sqref="L3:M9 AI3:AI9" xr:uid="{8CECCDE0-0A04-463D-878C-1D01F26102E3}">
      <formula1>$A$1007:$A$1019</formula1>
    </dataValidation>
    <dataValidation type="list" allowBlank="1" showInputMessage="1" showErrorMessage="1" sqref="AF3:AF9 R3:R9 F3:F9 AN3:AN9" xr:uid="{7B7E8D17-31C8-428A-BF74-41FCAF30D418}">
      <formula1>$A$84:$A$93</formula1>
    </dataValidation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U3:AU9" xr:uid="{FDD191DE-E5D9-42E1-B1E1-4872F464B1AE}"/>
    <dataValidation type="list" allowBlank="1" showInputMessage="1" showErrorMessage="1" sqref="AS3:AT9" xr:uid="{0724BE16-E615-4C62-8612-EB66B6225459}">
      <formula1>$A$50:$A$53</formula1>
    </dataValidation>
    <dataValidation type="list" allowBlank="1" showInputMessage="1" showErrorMessage="1" sqref="K3:K9" xr:uid="{94670B7B-A94D-40F1-A9C8-6CF574769DB5}">
      <formula1>INDIRECT($J3)</formula1>
    </dataValidation>
    <dataValidation type="list" allowBlank="1" showInputMessage="1" showErrorMessage="1" sqref="J3:J9" xr:uid="{74097BBA-2D63-4A0F-9AE6-A1A05F958176}">
      <formula1>$A$17:$A$18</formula1>
    </dataValidation>
  </dataValidations>
  <hyperlinks>
    <hyperlink ref="A3" location="فهرست!A1" display="فهرست" xr:uid="{9B38EBD2-8F69-4BD9-9227-96EE0F7DFE49}"/>
    <hyperlink ref="A5" location="'مدیریت وام و اقساط'!A1" display="وام و اقساط" xr:uid="{36F4E244-95F8-469A-8705-441BC1958B2A}"/>
    <hyperlink ref="A6" location="'مدیریت چک‌ها'!A1" display="چک‌ها" xr:uid="{1E734BEC-322A-4960-A4EC-D4F1A2C39787}"/>
    <hyperlink ref="A7" location="'مدیریت بدهی‌ها-طلب‌ها'!A1" display="بدهی‌ها و طلب‌ها" xr:uid="{8F35A24F-C043-4668-8480-81C449983410}"/>
    <hyperlink ref="A8" location="'برنامه ریزی پرداخت‌ها'!A1" display="برنامه ریزی" xr:uid="{50FAFD6F-ADED-4013-97DB-971670910AB9}"/>
    <hyperlink ref="A9" location="تقویم!A1" display="تقویم" xr:uid="{9F6278FD-B841-40BD-91DA-D020728A4628}"/>
    <hyperlink ref="A10" location="'تنظیمات حساب'!A1" display="تنظیمات حساب" xr:uid="{9C45D0A3-4B7D-486A-A0B8-C7577F1EF31B}"/>
    <hyperlink ref="A11" location="'گزارش فعالیت‌های ماه جاری'!A1" display="ماه جاری" xr:uid="{77C6AF54-84E6-49C2-A6AB-0F34A9FEAEA0}"/>
    <hyperlink ref="A12" location="'جست و جو'!A1" display="جست و جو" xr:uid="{BE6C7AB5-8D22-4AAA-B85C-28CA0D3FDB9C}"/>
    <hyperlink ref="A4" location="تراکنش‌ها!A1" display="تراکنش‌ها" xr:uid="{4966E165-589A-4119-8528-9FF522D56E89}"/>
    <hyperlink ref="A14" location="'روند مینیمالیسم شدن'!A1005" display="لیست تحویل دهنده | گیرنده کالا" xr:uid="{474A2BB0-447F-43AE-9800-F054B8748749}"/>
    <hyperlink ref="A1005" location="'روند مینیمالیسم شدن'!A1" display="بازگشت به بالا" xr:uid="{3FD6F09D-9BA0-4894-8BCF-FAF504ECC9AE}"/>
  </hyperlinks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  <sheetView rightToLeft="1" workbookViewId="1"/>
  </sheetViews>
  <sheetFormatPr defaultRowHeight="1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/>
    <row r="3" spans="1:23" ht="15.75">
      <c r="A3" s="328" t="s">
        <v>155</v>
      </c>
      <c r="B3" s="328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>
      <c r="A4" s="43" t="s">
        <v>154</v>
      </c>
      <c r="B4" s="43" t="s">
        <v>166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>
      <c r="A5" s="42">
        <v>1</v>
      </c>
      <c r="B5" s="42" t="s">
        <v>304</v>
      </c>
      <c r="D5" s="67" t="s">
        <v>304</v>
      </c>
      <c r="F5" s="67" t="s">
        <v>156</v>
      </c>
      <c r="G5" s="48"/>
      <c r="H5" s="67" t="s">
        <v>158</v>
      </c>
      <c r="I5" s="48"/>
      <c r="J5" s="67" t="s">
        <v>160</v>
      </c>
      <c r="K5" s="48"/>
      <c r="L5" s="67" t="s">
        <v>162</v>
      </c>
      <c r="N5" s="67" t="s">
        <v>163</v>
      </c>
      <c r="O5" s="48"/>
      <c r="P5" s="67" t="s">
        <v>161</v>
      </c>
      <c r="Q5" s="48"/>
      <c r="R5" s="68" t="s">
        <v>314</v>
      </c>
    </row>
    <row r="6" spans="1:23" ht="15.75">
      <c r="A6" s="42">
        <v>2</v>
      </c>
      <c r="B6" s="65" t="s">
        <v>156</v>
      </c>
      <c r="D6" s="67" t="s">
        <v>315</v>
      </c>
      <c r="F6" s="67" t="s">
        <v>157</v>
      </c>
      <c r="G6" s="48"/>
      <c r="H6" s="67" t="s">
        <v>159</v>
      </c>
      <c r="I6" s="48"/>
      <c r="J6" s="67" t="s">
        <v>316</v>
      </c>
      <c r="K6" s="48"/>
      <c r="L6" s="67" t="s">
        <v>315</v>
      </c>
      <c r="M6" s="48"/>
      <c r="N6" s="67" t="s">
        <v>151</v>
      </c>
      <c r="O6" s="48"/>
      <c r="P6" s="67" t="s">
        <v>317</v>
      </c>
      <c r="Q6" s="48"/>
      <c r="R6" s="66" t="s">
        <v>312</v>
      </c>
    </row>
    <row r="7" spans="1:23" ht="15.75">
      <c r="A7" s="42">
        <v>3</v>
      </c>
      <c r="B7" s="42" t="s">
        <v>308</v>
      </c>
      <c r="F7" s="47"/>
      <c r="G7" s="48"/>
      <c r="H7" s="47"/>
      <c r="I7" s="48"/>
      <c r="J7" s="47"/>
      <c r="K7" s="48"/>
      <c r="L7" s="67" t="s">
        <v>309</v>
      </c>
      <c r="M7" s="48"/>
      <c r="N7" s="47"/>
      <c r="O7" s="48"/>
      <c r="P7" s="47"/>
      <c r="Q7" s="48"/>
    </row>
    <row r="8" spans="1:23" ht="15.75">
      <c r="A8" s="42">
        <v>4</v>
      </c>
      <c r="B8" s="42" t="s">
        <v>305</v>
      </c>
      <c r="F8" s="47"/>
      <c r="G8" s="48"/>
      <c r="H8" s="47"/>
      <c r="I8" s="48"/>
      <c r="J8" s="47"/>
      <c r="K8" s="48"/>
      <c r="L8" s="67" t="s">
        <v>310</v>
      </c>
      <c r="M8" s="48"/>
      <c r="N8" s="47"/>
      <c r="O8" s="48"/>
      <c r="P8" s="47"/>
      <c r="Q8" s="48"/>
    </row>
    <row r="9" spans="1:23" ht="15.75">
      <c r="A9" s="42">
        <v>5</v>
      </c>
      <c r="B9" s="42" t="s">
        <v>311</v>
      </c>
      <c r="H9" s="47"/>
      <c r="I9" s="48"/>
      <c r="J9" s="47"/>
      <c r="K9" s="48"/>
      <c r="L9" s="47"/>
      <c r="M9" s="48"/>
      <c r="N9" s="47"/>
      <c r="O9" s="48"/>
    </row>
    <row r="10" spans="1:23" ht="15.75">
      <c r="A10" s="42">
        <v>6</v>
      </c>
      <c r="B10" s="42" t="s">
        <v>306</v>
      </c>
      <c r="L10" s="47"/>
    </row>
    <row r="11" spans="1:23" ht="15.75">
      <c r="A11" s="42">
        <v>7</v>
      </c>
      <c r="B11" s="42" t="s">
        <v>307</v>
      </c>
      <c r="L11" s="47"/>
    </row>
    <row r="12" spans="1:23" ht="15.75">
      <c r="A12" s="42">
        <v>8</v>
      </c>
      <c r="B12" s="42" t="s">
        <v>313</v>
      </c>
    </row>
    <row r="13" spans="1:23" ht="15.75">
      <c r="A13" s="42"/>
      <c r="B13" s="42"/>
    </row>
    <row r="14" spans="1:23" ht="15.75">
      <c r="A14" s="42"/>
      <c r="B14" s="42"/>
    </row>
    <row r="15" spans="1:23" ht="15.7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  <sheetView rightToLeft="1" workbookViewId="1"/>
  </sheetViews>
  <sheetFormatPr defaultRowHeight="15"/>
  <sheetData>
    <row r="1" spans="1:2">
      <c r="A1" t="s">
        <v>12</v>
      </c>
    </row>
    <row r="4" spans="1:2">
      <c r="B4" t="s">
        <v>140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  <sheetView rightToLeft="1" topLeftCell="A2" workbookViewId="1"/>
  </sheetViews>
  <sheetFormatPr defaultRowHeight="1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>
      <c r="A4" s="329" t="s">
        <v>164</v>
      </c>
      <c r="B4" s="329"/>
      <c r="D4" s="42" t="s">
        <v>182</v>
      </c>
      <c r="E4" s="61"/>
      <c r="F4" s="42" t="s">
        <v>186</v>
      </c>
      <c r="G4" s="61"/>
      <c r="H4" s="42" t="s">
        <v>180</v>
      </c>
      <c r="I4" s="61"/>
      <c r="J4" s="42" t="s">
        <v>170</v>
      </c>
      <c r="K4" s="61"/>
      <c r="L4" s="42" t="s">
        <v>169</v>
      </c>
      <c r="M4" s="61"/>
      <c r="N4" s="42" t="s">
        <v>171</v>
      </c>
      <c r="O4" s="61"/>
      <c r="P4" s="42" t="s">
        <v>175</v>
      </c>
      <c r="Q4" s="61"/>
      <c r="R4" s="42" t="s">
        <v>181</v>
      </c>
      <c r="S4" s="61"/>
      <c r="T4" s="42" t="s">
        <v>196</v>
      </c>
      <c r="U4" s="61"/>
      <c r="V4" s="42" t="s">
        <v>179</v>
      </c>
      <c r="W4" s="61"/>
      <c r="X4" s="42" t="s">
        <v>258</v>
      </c>
      <c r="Y4" s="61"/>
      <c r="Z4" s="42" t="s">
        <v>183</v>
      </c>
      <c r="AA4" s="61"/>
      <c r="AB4" s="42" t="s">
        <v>200</v>
      </c>
      <c r="AC4" s="61"/>
      <c r="AD4" s="42" t="s">
        <v>268</v>
      </c>
      <c r="AE4" s="62"/>
      <c r="AF4" s="42" t="s">
        <v>271</v>
      </c>
      <c r="AG4" s="62"/>
      <c r="AH4" s="42" t="s">
        <v>273</v>
      </c>
      <c r="AI4" s="62"/>
      <c r="AJ4" s="42" t="s">
        <v>173</v>
      </c>
      <c r="AK4" s="62"/>
      <c r="AL4" s="42" t="s">
        <v>222</v>
      </c>
      <c r="AM4" s="62"/>
      <c r="AN4" s="42" t="s">
        <v>236</v>
      </c>
      <c r="AO4" s="62"/>
      <c r="AP4" s="42" t="s">
        <v>172</v>
      </c>
      <c r="AQ4" s="62"/>
      <c r="AR4" s="42" t="s">
        <v>274</v>
      </c>
      <c r="AS4" s="62"/>
      <c r="AT4" s="42" t="s">
        <v>241</v>
      </c>
      <c r="AU4" s="62"/>
      <c r="AV4" s="42" t="s">
        <v>174</v>
      </c>
      <c r="AW4" s="48"/>
      <c r="AX4" s="47" t="s">
        <v>168</v>
      </c>
      <c r="AY4" s="47"/>
      <c r="AZ4" s="47"/>
      <c r="BA4" s="47"/>
    </row>
    <row r="5" spans="1:55" ht="15.75">
      <c r="A5" s="42" t="s">
        <v>165</v>
      </c>
      <c r="B5" s="42" t="s">
        <v>167</v>
      </c>
      <c r="D5" s="42" t="s">
        <v>261</v>
      </c>
      <c r="E5" s="61"/>
      <c r="F5" s="42" t="s">
        <v>191</v>
      </c>
      <c r="G5" s="61"/>
      <c r="H5" s="42" t="s">
        <v>210</v>
      </c>
      <c r="I5" s="61"/>
      <c r="J5" s="42" t="s">
        <v>215</v>
      </c>
      <c r="K5" s="61"/>
      <c r="L5" s="42" t="s">
        <v>219</v>
      </c>
      <c r="M5" s="61"/>
      <c r="N5" s="42" t="s">
        <v>197</v>
      </c>
      <c r="O5" s="61"/>
      <c r="P5" s="42" t="s">
        <v>264</v>
      </c>
      <c r="Q5" s="61"/>
      <c r="R5" s="42" t="s">
        <v>232</v>
      </c>
      <c r="S5" s="61"/>
      <c r="T5" s="42" t="s">
        <v>201</v>
      </c>
      <c r="U5" s="61"/>
      <c r="V5" s="42" t="s">
        <v>206</v>
      </c>
      <c r="W5" s="61"/>
      <c r="X5" s="42" t="s">
        <v>265</v>
      </c>
      <c r="Y5" s="61"/>
      <c r="Z5" s="42" t="s">
        <v>266</v>
      </c>
      <c r="AA5" s="61"/>
      <c r="AB5" s="42" t="s">
        <v>263</v>
      </c>
      <c r="AC5" s="61"/>
      <c r="AD5" s="42" t="s">
        <v>277</v>
      </c>
      <c r="AE5" s="62"/>
      <c r="AF5" s="42" t="s">
        <v>272</v>
      </c>
      <c r="AG5" s="62"/>
      <c r="AH5" s="42" t="s">
        <v>300</v>
      </c>
      <c r="AI5" s="62"/>
      <c r="AJ5" s="42" t="s">
        <v>250</v>
      </c>
      <c r="AK5" s="62"/>
      <c r="AL5" s="42" t="s">
        <v>248</v>
      </c>
      <c r="AM5" s="62"/>
      <c r="AN5" s="42" t="s">
        <v>238</v>
      </c>
      <c r="AO5" s="62"/>
      <c r="AP5" s="42" t="s">
        <v>196</v>
      </c>
      <c r="AQ5" s="62"/>
      <c r="AR5" s="42" t="s">
        <v>275</v>
      </c>
      <c r="AS5" s="62"/>
      <c r="AT5" s="42" t="s">
        <v>243</v>
      </c>
      <c r="AU5" s="62"/>
      <c r="AV5" s="42" t="s">
        <v>253</v>
      </c>
      <c r="AW5" s="48"/>
      <c r="AX5" s="47" t="s">
        <v>296</v>
      </c>
      <c r="AY5" s="47"/>
      <c r="AZ5" s="47"/>
      <c r="BA5" s="47"/>
    </row>
    <row r="6" spans="1:55" ht="15.75">
      <c r="A6" s="42">
        <v>1</v>
      </c>
      <c r="B6" s="58" t="s">
        <v>182</v>
      </c>
      <c r="D6" s="42" t="s">
        <v>262</v>
      </c>
      <c r="E6" s="61"/>
      <c r="F6" s="42" t="s">
        <v>190</v>
      </c>
      <c r="G6" s="61"/>
      <c r="H6" s="42" t="s">
        <v>211</v>
      </c>
      <c r="I6" s="61"/>
      <c r="J6" s="42" t="s">
        <v>218</v>
      </c>
      <c r="K6" s="61"/>
      <c r="L6" s="42" t="s">
        <v>220</v>
      </c>
      <c r="M6" s="61"/>
      <c r="N6" s="42" t="s">
        <v>196</v>
      </c>
      <c r="O6" s="61"/>
      <c r="P6" s="42" t="s">
        <v>151</v>
      </c>
      <c r="Q6" s="61"/>
      <c r="R6" s="42" t="s">
        <v>233</v>
      </c>
      <c r="S6" s="61"/>
      <c r="T6" s="42" t="s">
        <v>205</v>
      </c>
      <c r="U6" s="61"/>
      <c r="V6" s="42" t="s">
        <v>207</v>
      </c>
      <c r="W6" s="61"/>
      <c r="X6" s="42" t="s">
        <v>151</v>
      </c>
      <c r="Y6" s="61"/>
      <c r="Z6" s="42" t="s">
        <v>267</v>
      </c>
      <c r="AA6" s="61"/>
      <c r="AB6" s="42" t="s">
        <v>228</v>
      </c>
      <c r="AC6" s="61"/>
      <c r="AD6" s="42" t="s">
        <v>276</v>
      </c>
      <c r="AE6" s="62"/>
      <c r="AF6" s="42" t="s">
        <v>299</v>
      </c>
      <c r="AG6" s="62"/>
      <c r="AH6" s="42" t="s">
        <v>315</v>
      </c>
      <c r="AI6" s="62"/>
      <c r="AJ6" s="42" t="s">
        <v>249</v>
      </c>
      <c r="AK6" s="62"/>
      <c r="AL6" s="42" t="s">
        <v>223</v>
      </c>
      <c r="AM6" s="62"/>
      <c r="AN6" s="42" t="s">
        <v>237</v>
      </c>
      <c r="AO6" s="62"/>
      <c r="AP6" s="42" t="s">
        <v>245</v>
      </c>
      <c r="AQ6" s="62"/>
      <c r="AR6" s="42" t="s">
        <v>301</v>
      </c>
      <c r="AS6" s="62"/>
      <c r="AT6" s="42" t="s">
        <v>242</v>
      </c>
      <c r="AU6" s="62"/>
      <c r="AV6" s="42" t="s">
        <v>254</v>
      </c>
      <c r="AW6" s="48"/>
      <c r="AX6" s="47" t="s">
        <v>295</v>
      </c>
      <c r="AY6" s="47"/>
      <c r="AZ6" s="47"/>
      <c r="BA6" s="47"/>
    </row>
    <row r="7" spans="1:55" ht="15.75">
      <c r="A7" s="42">
        <v>2</v>
      </c>
      <c r="B7" s="59" t="s">
        <v>280</v>
      </c>
      <c r="D7" s="42" t="s">
        <v>259</v>
      </c>
      <c r="E7" s="61"/>
      <c r="F7" s="42" t="s">
        <v>189</v>
      </c>
      <c r="G7" s="61"/>
      <c r="H7" s="42" t="s">
        <v>212</v>
      </c>
      <c r="I7" s="61"/>
      <c r="J7" s="42" t="s">
        <v>216</v>
      </c>
      <c r="K7" s="61"/>
      <c r="L7" s="42"/>
      <c r="M7" s="61"/>
      <c r="N7" s="42" t="s">
        <v>198</v>
      </c>
      <c r="O7" s="61"/>
      <c r="P7" s="42"/>
      <c r="Q7" s="61"/>
      <c r="R7" s="42" t="s">
        <v>234</v>
      </c>
      <c r="S7" s="61"/>
      <c r="T7" s="42" t="s">
        <v>202</v>
      </c>
      <c r="U7" s="61"/>
      <c r="V7" s="42" t="s">
        <v>208</v>
      </c>
      <c r="W7" s="61"/>
      <c r="X7" s="42"/>
      <c r="Y7" s="61"/>
      <c r="Z7" s="42"/>
      <c r="AA7" s="61"/>
      <c r="AB7" s="42"/>
      <c r="AC7" s="61"/>
      <c r="AD7" s="42" t="s">
        <v>269</v>
      </c>
      <c r="AE7" s="62"/>
      <c r="AF7" s="42"/>
      <c r="AG7" s="62"/>
      <c r="AH7" s="42"/>
      <c r="AI7" s="62"/>
      <c r="AJ7" s="42"/>
      <c r="AK7" s="62"/>
      <c r="AL7" s="42" t="s">
        <v>224</v>
      </c>
      <c r="AM7" s="62"/>
      <c r="AN7" s="42" t="s">
        <v>239</v>
      </c>
      <c r="AO7" s="62"/>
      <c r="AP7" s="42" t="s">
        <v>246</v>
      </c>
      <c r="AQ7" s="62"/>
      <c r="AR7" s="42"/>
      <c r="AS7" s="62"/>
      <c r="AT7" s="42" t="s">
        <v>244</v>
      </c>
      <c r="AU7" s="62"/>
      <c r="AV7" s="42" t="s">
        <v>255</v>
      </c>
      <c r="AW7" s="48"/>
      <c r="AX7" s="47" t="s">
        <v>297</v>
      </c>
      <c r="AY7" s="47"/>
      <c r="AZ7" s="47"/>
      <c r="BA7" s="47"/>
    </row>
    <row r="8" spans="1:55" ht="15.75">
      <c r="A8" s="42">
        <v>3</v>
      </c>
      <c r="B8" s="59" t="s">
        <v>281</v>
      </c>
      <c r="D8" s="42" t="s">
        <v>260</v>
      </c>
      <c r="E8" s="61"/>
      <c r="F8" s="42" t="s">
        <v>187</v>
      </c>
      <c r="G8" s="61"/>
      <c r="H8" s="42" t="s">
        <v>213</v>
      </c>
      <c r="I8" s="61"/>
      <c r="J8" s="42" t="s">
        <v>221</v>
      </c>
      <c r="K8" s="61"/>
      <c r="L8" s="42"/>
      <c r="M8" s="61"/>
      <c r="N8" s="42" t="s">
        <v>199</v>
      </c>
      <c r="O8" s="61"/>
      <c r="P8" s="42"/>
      <c r="Q8" s="61"/>
      <c r="R8" s="42" t="s">
        <v>235</v>
      </c>
      <c r="S8" s="61"/>
      <c r="T8" s="42" t="s">
        <v>203</v>
      </c>
      <c r="U8" s="61"/>
      <c r="V8" s="42" t="s">
        <v>209</v>
      </c>
      <c r="W8" s="61"/>
      <c r="X8" s="42"/>
      <c r="Y8" s="61"/>
      <c r="Z8" s="42"/>
      <c r="AA8" s="61"/>
      <c r="AB8" s="42"/>
      <c r="AC8" s="61"/>
      <c r="AD8" s="42" t="s">
        <v>270</v>
      </c>
      <c r="AE8" s="62"/>
      <c r="AF8" s="42"/>
      <c r="AG8" s="62"/>
      <c r="AH8" s="42"/>
      <c r="AI8" s="62"/>
      <c r="AJ8" s="42"/>
      <c r="AK8" s="62"/>
      <c r="AL8" s="42" t="s">
        <v>225</v>
      </c>
      <c r="AM8" s="62"/>
      <c r="AN8" s="42" t="s">
        <v>240</v>
      </c>
      <c r="AO8" s="62"/>
      <c r="AP8" s="42" t="s">
        <v>247</v>
      </c>
      <c r="AQ8" s="62"/>
      <c r="AR8" s="42"/>
      <c r="AS8" s="62"/>
      <c r="AT8" s="42"/>
      <c r="AU8" s="62"/>
      <c r="AV8" s="42" t="s">
        <v>251</v>
      </c>
      <c r="AW8" s="48"/>
      <c r="AX8" s="47"/>
      <c r="AY8" s="47"/>
      <c r="AZ8" s="47"/>
      <c r="BA8" s="47"/>
    </row>
    <row r="9" spans="1:55" ht="15.75">
      <c r="A9" s="42">
        <v>4</v>
      </c>
      <c r="B9" s="58" t="s">
        <v>282</v>
      </c>
      <c r="D9" s="42"/>
      <c r="E9" s="61"/>
      <c r="F9" s="42" t="s">
        <v>188</v>
      </c>
      <c r="G9" s="61"/>
      <c r="H9" s="42" t="s">
        <v>214</v>
      </c>
      <c r="I9" s="61"/>
      <c r="J9" s="42" t="s">
        <v>217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204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231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252</v>
      </c>
      <c r="AW9" s="48"/>
      <c r="AX9" s="47"/>
      <c r="AY9" s="47"/>
      <c r="AZ9" s="47"/>
      <c r="BA9" s="47"/>
    </row>
    <row r="10" spans="1:55" ht="15.75">
      <c r="A10" s="42">
        <v>5</v>
      </c>
      <c r="B10" s="58" t="s">
        <v>283</v>
      </c>
      <c r="D10" s="42"/>
      <c r="E10" s="61"/>
      <c r="F10" s="42" t="s">
        <v>192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226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256</v>
      </c>
      <c r="AW10" s="48"/>
      <c r="AX10" s="47"/>
      <c r="AY10" s="47"/>
      <c r="AZ10" s="47"/>
      <c r="BA10" s="47"/>
    </row>
    <row r="11" spans="1:55" ht="15.75">
      <c r="A11" s="42">
        <v>6</v>
      </c>
      <c r="B11" s="59" t="s">
        <v>171</v>
      </c>
      <c r="D11" s="42"/>
      <c r="E11" s="61"/>
      <c r="F11" s="42" t="s">
        <v>195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230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257</v>
      </c>
      <c r="AW11" s="48"/>
      <c r="AX11" s="47"/>
      <c r="AY11" s="47"/>
      <c r="AZ11" s="47"/>
      <c r="BA11" s="47"/>
    </row>
    <row r="12" spans="1:55" ht="15.75">
      <c r="A12" s="42">
        <v>7</v>
      </c>
      <c r="B12" s="59" t="s">
        <v>284</v>
      </c>
      <c r="D12" s="42"/>
      <c r="E12" s="61"/>
      <c r="F12" s="42" t="s">
        <v>193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245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>
      <c r="A13" s="42">
        <v>8</v>
      </c>
      <c r="B13" s="59" t="s">
        <v>285</v>
      </c>
      <c r="D13" s="42"/>
      <c r="E13" s="61"/>
      <c r="F13" s="42" t="s">
        <v>194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229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>
      <c r="A14" s="42">
        <v>9</v>
      </c>
      <c r="B14" s="58" t="s">
        <v>196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227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>
      <c r="A15" s="42">
        <v>10</v>
      </c>
      <c r="B15" s="59" t="s">
        <v>286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228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>
      <c r="A16" s="42">
        <v>11</v>
      </c>
      <c r="B16" s="59" t="s">
        <v>279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>
      <c r="A17" s="42">
        <v>12</v>
      </c>
      <c r="B17" s="59" t="s">
        <v>183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>
      <c r="A18" s="42">
        <v>13</v>
      </c>
      <c r="B18" s="58" t="s">
        <v>200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>
      <c r="A19" s="42">
        <v>14</v>
      </c>
      <c r="B19" s="59" t="s">
        <v>287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>
      <c r="A20" s="42">
        <v>15</v>
      </c>
      <c r="B20" s="59" t="s">
        <v>288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>
      <c r="A21" s="42">
        <v>16</v>
      </c>
      <c r="B21" s="59" t="s">
        <v>289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>
      <c r="A22" s="42">
        <v>17</v>
      </c>
      <c r="B22" s="59" t="s">
        <v>290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>
      <c r="A23" s="42">
        <v>18</v>
      </c>
      <c r="B23" s="58" t="s">
        <v>298</v>
      </c>
    </row>
    <row r="24" spans="1:53" ht="15.75">
      <c r="A24" s="42">
        <v>19</v>
      </c>
      <c r="B24" s="59" t="s">
        <v>291</v>
      </c>
    </row>
    <row r="25" spans="1:53" ht="15.75">
      <c r="A25" s="42">
        <v>20</v>
      </c>
      <c r="B25" s="59" t="s">
        <v>172</v>
      </c>
    </row>
    <row r="26" spans="1:53" ht="15.75">
      <c r="A26" s="42">
        <v>21</v>
      </c>
      <c r="B26" s="59" t="s">
        <v>292</v>
      </c>
    </row>
    <row r="27" spans="1:53" ht="15.75">
      <c r="A27" s="42">
        <v>22</v>
      </c>
      <c r="B27" s="59" t="s">
        <v>293</v>
      </c>
    </row>
    <row r="28" spans="1:53" ht="15.75">
      <c r="A28" s="42">
        <v>23</v>
      </c>
      <c r="B28" s="58" t="s">
        <v>241</v>
      </c>
    </row>
    <row r="29" spans="1:53" ht="15.75">
      <c r="A29" s="42">
        <v>24</v>
      </c>
      <c r="B29" s="59" t="s">
        <v>294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  <sheetView rightToLeft="1" workbookViewId="1"/>
  </sheetViews>
  <sheetFormatPr defaultRowHeight="15"/>
  <sheetData>
    <row r="1" spans="1:2">
      <c r="A1" t="s">
        <v>12</v>
      </c>
    </row>
    <row r="7" spans="1:2">
      <c r="B7" t="s">
        <v>141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  <sheetView rightToLeft="1" workbookViewId="1"/>
  </sheetViews>
  <sheetFormatPr defaultRowHeight="15"/>
  <sheetData>
    <row r="4" spans="4:4">
      <c r="D4" t="s">
        <v>176</v>
      </c>
    </row>
    <row r="5" spans="4:4">
      <c r="D5" t="s">
        <v>177</v>
      </c>
    </row>
    <row r="6" spans="4:4">
      <c r="D6" t="s">
        <v>178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  <sheetView rightToLeft="1" workbookViewId="1"/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4" sqref="A4"/>
    </sheetView>
    <sheetView rightToLeft="1" workbookViewId="1"/>
  </sheetViews>
  <sheetFormatPr defaultRowHeight="15"/>
  <cols>
    <col min="1" max="1" width="32.7109375" style="151" customWidth="1"/>
    <col min="2" max="2" width="0.7109375" style="151" customWidth="1"/>
    <col min="3" max="3" width="4.5703125" style="152" customWidth="1"/>
    <col min="4" max="4" width="36.5703125" style="191" customWidth="1"/>
    <col min="5" max="5" width="4.5703125" style="192" customWidth="1"/>
    <col min="6" max="6" width="18.140625" style="192" bestFit="1" customWidth="1"/>
    <col min="7" max="7" width="27.28515625" style="192" bestFit="1" customWidth="1"/>
    <col min="8" max="8" width="30.5703125" style="192" bestFit="1" customWidth="1"/>
    <col min="9" max="9" width="11" style="192" customWidth="1"/>
    <col min="10" max="10" width="17.7109375" style="192" customWidth="1"/>
    <col min="11" max="11" width="27.28515625" style="192" customWidth="1"/>
    <col min="12" max="12" width="10.7109375" style="192" customWidth="1"/>
    <col min="13" max="13" width="11.85546875" style="192" customWidth="1"/>
    <col min="14" max="15" width="18.28515625" style="192" customWidth="1"/>
    <col min="16" max="16384" width="9.140625" style="192"/>
  </cols>
  <sheetData>
    <row r="1" spans="1:10" ht="24" customHeight="1">
      <c r="A1" s="168" t="s">
        <v>974</v>
      </c>
      <c r="C1" s="192"/>
      <c r="D1" s="330" t="s">
        <v>399</v>
      </c>
      <c r="E1" s="330"/>
      <c r="F1" s="330"/>
      <c r="G1" s="330"/>
      <c r="H1" s="330"/>
      <c r="I1" s="330"/>
      <c r="J1" s="330"/>
    </row>
    <row r="2" spans="1:10" ht="3.75" customHeight="1">
      <c r="D2" s="192"/>
    </row>
    <row r="3" spans="1:10" ht="18.75">
      <c r="A3" s="157" t="s">
        <v>8</v>
      </c>
      <c r="D3" s="44" t="s">
        <v>979</v>
      </c>
      <c r="H3" s="184"/>
    </row>
    <row r="4" spans="1:10" ht="18.75">
      <c r="A4" s="158" t="s">
        <v>115</v>
      </c>
      <c r="D4" s="27" t="s">
        <v>136</v>
      </c>
      <c r="F4" s="193"/>
      <c r="G4" s="193"/>
      <c r="H4" s="194"/>
      <c r="I4" s="193"/>
    </row>
    <row r="5" spans="1:10" ht="18.75">
      <c r="A5" s="159" t="s">
        <v>102</v>
      </c>
      <c r="D5" s="27" t="s">
        <v>947</v>
      </c>
      <c r="F5" s="193"/>
      <c r="G5" s="193"/>
      <c r="H5" s="194"/>
      <c r="I5" s="193"/>
    </row>
    <row r="6" spans="1:10" ht="18.75">
      <c r="A6" s="160" t="s">
        <v>103</v>
      </c>
      <c r="D6" s="27" t="s">
        <v>965</v>
      </c>
      <c r="F6" s="193"/>
      <c r="G6" s="193"/>
      <c r="H6" s="193"/>
      <c r="I6" s="193"/>
    </row>
    <row r="7" spans="1:10" ht="18.75">
      <c r="A7" s="161" t="s">
        <v>104</v>
      </c>
      <c r="D7" s="27" t="s">
        <v>948</v>
      </c>
      <c r="F7" s="193"/>
      <c r="G7" s="193"/>
      <c r="H7" s="193"/>
      <c r="I7" s="193"/>
    </row>
    <row r="8" spans="1:10" ht="18.75">
      <c r="A8" s="144" t="s">
        <v>110</v>
      </c>
      <c r="D8" s="27" t="s">
        <v>319</v>
      </c>
      <c r="F8" s="193"/>
      <c r="G8" s="193"/>
      <c r="H8" s="193"/>
      <c r="I8" s="193"/>
    </row>
    <row r="9" spans="1:10" ht="18.75">
      <c r="A9" s="162" t="s">
        <v>89</v>
      </c>
      <c r="D9" s="27" t="s">
        <v>954</v>
      </c>
      <c r="F9" s="193"/>
      <c r="G9" s="193"/>
      <c r="H9" s="193"/>
      <c r="I9" s="193"/>
    </row>
    <row r="10" spans="1:10" ht="18.75">
      <c r="A10" s="163" t="s">
        <v>111</v>
      </c>
      <c r="D10" s="27" t="s">
        <v>957</v>
      </c>
      <c r="F10" s="193"/>
      <c r="G10" s="193"/>
      <c r="H10" s="193"/>
      <c r="I10" s="193"/>
    </row>
    <row r="11" spans="1:10" ht="18.75">
      <c r="A11" s="164" t="s">
        <v>105</v>
      </c>
      <c r="D11" s="27" t="s">
        <v>958</v>
      </c>
      <c r="F11" s="193"/>
      <c r="G11" s="193"/>
      <c r="H11" s="193"/>
    </row>
    <row r="12" spans="1:10" ht="18.75">
      <c r="A12" s="165" t="s">
        <v>98</v>
      </c>
      <c r="D12" s="27" t="s">
        <v>959</v>
      </c>
      <c r="F12" s="193"/>
      <c r="G12" s="193"/>
      <c r="H12" s="193"/>
    </row>
    <row r="13" spans="1:10" ht="15.75">
      <c r="A13" s="185"/>
      <c r="D13" s="27" t="s">
        <v>963</v>
      </c>
      <c r="F13" s="193"/>
      <c r="G13" s="193"/>
      <c r="H13" s="193"/>
    </row>
    <row r="14" spans="1:10" ht="15.75">
      <c r="A14" s="185"/>
      <c r="D14" s="27" t="s">
        <v>975</v>
      </c>
      <c r="F14" s="193"/>
      <c r="G14" s="193"/>
      <c r="H14" s="193"/>
    </row>
    <row r="15" spans="1:10" ht="15.75">
      <c r="A15" s="185"/>
      <c r="D15" s="27" t="s">
        <v>976</v>
      </c>
      <c r="F15" s="193"/>
      <c r="G15" s="193"/>
      <c r="H15" s="193"/>
    </row>
    <row r="16" spans="1:10" ht="15.75">
      <c r="A16" s="185"/>
      <c r="D16" s="27" t="s">
        <v>977</v>
      </c>
      <c r="F16" s="193"/>
      <c r="G16" s="193"/>
      <c r="H16" s="193"/>
    </row>
    <row r="17" spans="1:8" ht="15.75">
      <c r="A17" s="185"/>
      <c r="D17" s="27" t="s">
        <v>978</v>
      </c>
      <c r="F17" s="193"/>
      <c r="G17" s="193"/>
      <c r="H17" s="193"/>
    </row>
    <row r="18" spans="1:8" ht="15.75">
      <c r="A18" s="185"/>
      <c r="D18" s="27" t="s">
        <v>980</v>
      </c>
    </row>
    <row r="19" spans="1:8" ht="15.75">
      <c r="A19" s="185"/>
      <c r="D19" s="27"/>
    </row>
    <row r="20" spans="1:8" ht="15.75">
      <c r="A20" s="185"/>
      <c r="D20" s="27"/>
    </row>
    <row r="21" spans="1:8" ht="15.75">
      <c r="A21" s="185"/>
      <c r="D21" s="27"/>
    </row>
    <row r="22" spans="1:8" ht="15.75">
      <c r="A22" s="185"/>
      <c r="D22" s="27"/>
    </row>
    <row r="23" spans="1:8" ht="15.75">
      <c r="A23" s="185"/>
      <c r="D23" s="27"/>
    </row>
    <row r="24" spans="1:8" ht="15.75">
      <c r="D24" s="27"/>
    </row>
    <row r="25" spans="1:8" ht="15.75">
      <c r="D25" s="27"/>
    </row>
    <row r="26" spans="1:8" ht="15.75">
      <c r="D26" s="27"/>
    </row>
    <row r="27" spans="1:8" ht="15.75">
      <c r="D27" s="27"/>
    </row>
    <row r="28" spans="1:8" ht="15.75">
      <c r="D28" s="27"/>
    </row>
    <row r="29" spans="1:8" ht="15.75">
      <c r="D29" s="27"/>
    </row>
    <row r="30" spans="1:8" ht="15.75">
      <c r="D30" s="27"/>
    </row>
    <row r="31" spans="1:8" ht="15.75">
      <c r="D31" s="27"/>
    </row>
    <row r="32" spans="1:8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>
      <selection activeCell="E27" sqref="E27"/>
    </sheetView>
    <sheetView rightToLeft="1" workbookViewId="1">
      <selection activeCell="A17" sqref="A17"/>
    </sheetView>
  </sheetViews>
  <sheetFormatPr defaultRowHeight="15"/>
  <cols>
    <col min="1" max="1" width="32.7109375" style="151" customWidth="1"/>
    <col min="2" max="2" width="0.7109375" style="151" customWidth="1"/>
    <col min="3" max="3" width="4.5703125" style="152" customWidth="1"/>
    <col min="4" max="4" width="5.85546875" style="152" customWidth="1"/>
    <col min="5" max="5" width="44" style="152" customWidth="1"/>
    <col min="6" max="6" width="28.5703125" style="152" customWidth="1"/>
    <col min="7" max="7" width="18.28515625" style="152" customWidth="1"/>
    <col min="8" max="8" width="36.5703125" style="152" customWidth="1"/>
    <col min="9" max="9" width="32" style="152" customWidth="1"/>
    <col min="10" max="10" width="18.28515625" style="152" customWidth="1"/>
    <col min="11" max="11" width="34.28515625" style="152" customWidth="1"/>
    <col min="12" max="12" width="30" style="152" customWidth="1"/>
    <col min="13" max="13" width="31.42578125" style="152" customWidth="1"/>
    <col min="14" max="14" width="39.42578125" style="152" customWidth="1"/>
    <col min="15" max="15" width="21.42578125" style="152" customWidth="1"/>
    <col min="16" max="16" width="24.42578125" style="152" bestFit="1" customWidth="1"/>
    <col min="17" max="17" width="18.28515625" style="152" customWidth="1"/>
    <col min="18" max="19" width="9.140625" style="152"/>
    <col min="20" max="16384" width="9.140625" style="156"/>
  </cols>
  <sheetData>
    <row r="1" spans="1:18" ht="24" customHeight="1">
      <c r="A1" s="168" t="s">
        <v>396</v>
      </c>
      <c r="D1" s="330" t="s">
        <v>399</v>
      </c>
      <c r="E1" s="330"/>
      <c r="F1" s="330"/>
      <c r="G1" s="330"/>
      <c r="H1" s="330"/>
      <c r="I1" s="330"/>
      <c r="J1" s="330"/>
      <c r="K1" s="153"/>
      <c r="L1" s="154"/>
      <c r="M1" s="155"/>
    </row>
    <row r="2" spans="1:18" ht="3.75" customHeight="1">
      <c r="F2" s="152" t="s">
        <v>3</v>
      </c>
    </row>
    <row r="3" spans="1:18" ht="18.75">
      <c r="A3" s="157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1719</v>
      </c>
      <c r="I3" s="120" t="s">
        <v>130</v>
      </c>
      <c r="J3" s="120" t="s">
        <v>131</v>
      </c>
      <c r="K3" s="120" t="s">
        <v>132</v>
      </c>
      <c r="L3" s="120" t="s">
        <v>1111</v>
      </c>
    </row>
    <row r="4" spans="1:18" ht="18.75">
      <c r="A4" s="158" t="s">
        <v>115</v>
      </c>
      <c r="D4" s="27">
        <v>0</v>
      </c>
      <c r="E4" s="27" t="s">
        <v>119</v>
      </c>
      <c r="F4" s="166">
        <v>1234567890</v>
      </c>
      <c r="G4" s="31" t="s">
        <v>945</v>
      </c>
      <c r="H4" s="167" t="s">
        <v>946</v>
      </c>
      <c r="I4" s="31" t="s">
        <v>133</v>
      </c>
      <c r="J4" s="27"/>
      <c r="K4" s="27"/>
      <c r="L4" s="27"/>
    </row>
    <row r="5" spans="1:18" ht="24" customHeight="1">
      <c r="A5" s="159" t="s">
        <v>102</v>
      </c>
    </row>
    <row r="6" spans="1:18" ht="34.5" customHeight="1">
      <c r="A6" s="160" t="s">
        <v>103</v>
      </c>
    </row>
    <row r="7" spans="1:18" ht="18.75">
      <c r="A7" s="161" t="s">
        <v>104</v>
      </c>
      <c r="D7" s="169"/>
      <c r="E7" s="169"/>
      <c r="F7" s="169"/>
      <c r="G7" s="169"/>
      <c r="H7" s="169"/>
      <c r="I7" s="169"/>
      <c r="J7" s="169"/>
    </row>
    <row r="8" spans="1:18" ht="18.75">
      <c r="A8" s="144" t="s">
        <v>110</v>
      </c>
      <c r="D8" s="121" t="s">
        <v>124</v>
      </c>
      <c r="E8" s="121" t="s">
        <v>125</v>
      </c>
      <c r="F8" s="121" t="s">
        <v>949</v>
      </c>
      <c r="G8" s="122" t="s">
        <v>127</v>
      </c>
      <c r="H8" s="121" t="s">
        <v>328</v>
      </c>
      <c r="I8" s="121" t="s">
        <v>327</v>
      </c>
      <c r="J8" s="121" t="s">
        <v>329</v>
      </c>
      <c r="K8" s="121" t="s">
        <v>330</v>
      </c>
      <c r="L8" s="121" t="s">
        <v>397</v>
      </c>
      <c r="M8" s="121" t="s">
        <v>126</v>
      </c>
      <c r="N8" s="121" t="s">
        <v>120</v>
      </c>
      <c r="O8" s="121" t="s">
        <v>398</v>
      </c>
      <c r="P8" s="123" t="s">
        <v>121</v>
      </c>
      <c r="Q8" s="123" t="s">
        <v>134</v>
      </c>
      <c r="R8" s="121" t="s">
        <v>122</v>
      </c>
    </row>
    <row r="9" spans="1:18" ht="18.75">
      <c r="A9" s="162" t="s">
        <v>89</v>
      </c>
      <c r="D9" s="27">
        <v>0</v>
      </c>
      <c r="E9" s="27" t="s">
        <v>136</v>
      </c>
      <c r="F9" s="27" t="s">
        <v>956</v>
      </c>
      <c r="G9" s="25">
        <v>0</v>
      </c>
      <c r="H9" s="170" t="e">
        <v>#REF!</v>
      </c>
      <c r="I9" s="170" t="e">
        <v>#REF!</v>
      </c>
      <c r="J9" s="170" t="e">
        <f>(FinancialAccountsTable[[#This Row],[جمع دریافتی]]+FinancialAccountsTable[[#This Row],[موجودی اولیه]])-FinancialAccountsTable[[#This Row],[جمع پرداختی]]</f>
        <v>#REF!</v>
      </c>
      <c r="K9" s="138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163" t="s">
        <v>111</v>
      </c>
      <c r="D10" s="27">
        <v>1</v>
      </c>
      <c r="E10" s="27" t="s">
        <v>947</v>
      </c>
      <c r="F10" s="27" t="s">
        <v>953</v>
      </c>
      <c r="G10" s="25">
        <v>0</v>
      </c>
      <c r="H10" s="170" t="e">
        <v>#REF!</v>
      </c>
      <c r="I10" s="170" t="e">
        <v>#REF!</v>
      </c>
      <c r="J10" s="170" t="e">
        <f>(FinancialAccountsTable[[#This Row],[جمع دریافتی]]+FinancialAccountsTable[[#This Row],[موجودی اولیه]])-FinancialAccountsTable[[#This Row],[جمع پرداختی]]</f>
        <v>#REF!</v>
      </c>
      <c r="K10" s="138" t="e">
        <f>IF(FinancialAccountsTable[[#This Row],[مانده]]=0,"",IF(FinancialAccountsTable[[#This Row],[مانده]]&gt;0,"بدهکار","بستانکار"))</f>
        <v>#REF!</v>
      </c>
      <c r="L10" s="27" t="s">
        <v>966</v>
      </c>
      <c r="M10" s="27" t="s">
        <v>971</v>
      </c>
      <c r="N10" s="27"/>
      <c r="O10" s="27"/>
      <c r="P10" s="31"/>
      <c r="Q10" s="31"/>
      <c r="R10" s="27"/>
    </row>
    <row r="11" spans="1:18" ht="31.5">
      <c r="A11" s="164" t="s">
        <v>105</v>
      </c>
      <c r="D11" s="27">
        <v>2</v>
      </c>
      <c r="E11" s="27" t="s">
        <v>965</v>
      </c>
      <c r="F11" s="27" t="s">
        <v>950</v>
      </c>
      <c r="G11" s="25">
        <v>0</v>
      </c>
      <c r="H11" s="170" t="e">
        <v>#REF!</v>
      </c>
      <c r="I11" s="170" t="e">
        <v>#REF!</v>
      </c>
      <c r="J11" s="170" t="e">
        <f>(FinancialAccountsTable[[#This Row],[جمع دریافتی]]+FinancialAccountsTable[[#This Row],[موجودی اولیه]])-FinancialAccountsTable[[#This Row],[جمع پرداختی]]</f>
        <v>#REF!</v>
      </c>
      <c r="K11" s="138" t="e">
        <f>IF(FinancialAccountsTable[[#This Row],[مانده]]=0,"",IF(FinancialAccountsTable[[#This Row],[مانده]]&gt;0,"بدهکار","بستانکار"))</f>
        <v>#REF!</v>
      </c>
      <c r="L11" s="27" t="s">
        <v>967</v>
      </c>
      <c r="M11" s="27"/>
      <c r="N11" s="27"/>
      <c r="O11" s="27"/>
      <c r="P11" s="31"/>
      <c r="Q11" s="31"/>
      <c r="R11" s="27"/>
    </row>
    <row r="12" spans="1:18" ht="24" customHeight="1">
      <c r="A12" s="165" t="s">
        <v>98</v>
      </c>
      <c r="D12" s="27">
        <v>3</v>
      </c>
      <c r="E12" s="27" t="s">
        <v>948</v>
      </c>
      <c r="F12" s="27" t="s">
        <v>951</v>
      </c>
      <c r="G12" s="25">
        <v>0</v>
      </c>
      <c r="H12" s="170" t="e">
        <v>#REF!</v>
      </c>
      <c r="I12" s="170" t="e">
        <v>#REF!</v>
      </c>
      <c r="J12" s="170" t="e">
        <f>(FinancialAccountsTable[[#This Row],[جمع دریافتی]]+FinancialAccountsTable[[#This Row],[موجودی اولیه]])-FinancialAccountsTable[[#This Row],[جمع پرداختی]]</f>
        <v>#REF!</v>
      </c>
      <c r="K12" s="138" t="e">
        <f>IF(FinancialAccountsTable[[#This Row],[مانده]]=0,"",IF(FinancialAccountsTable[[#This Row],[مانده]]&gt;0,"بدهکار","بستانکار"))</f>
        <v>#REF!</v>
      </c>
      <c r="L12" s="27" t="s">
        <v>968</v>
      </c>
      <c r="M12" s="27"/>
      <c r="N12" s="27"/>
      <c r="O12" s="27"/>
      <c r="P12" s="31"/>
      <c r="Q12" s="31"/>
      <c r="R12" s="27"/>
    </row>
    <row r="13" spans="1:18" ht="24" customHeight="1">
      <c r="A13" s="124"/>
      <c r="D13" s="27">
        <v>4</v>
      </c>
      <c r="E13" s="27" t="s">
        <v>319</v>
      </c>
      <c r="F13" s="27" t="s">
        <v>952</v>
      </c>
      <c r="G13" s="25">
        <v>0</v>
      </c>
      <c r="H13" s="170" t="e">
        <v>#REF!</v>
      </c>
      <c r="I13" s="170" t="e">
        <v>#REF!</v>
      </c>
      <c r="J13" s="170" t="e">
        <f>(FinancialAccountsTable[[#This Row],[جمع دریافتی]]+FinancialAccountsTable[[#This Row],[موجودی اولیه]])-FinancialAccountsTable[[#This Row],[جمع پرداختی]]</f>
        <v>#REF!</v>
      </c>
      <c r="K13" s="138" t="e">
        <f>IF(FinancialAccountsTable[[#This Row],[مانده]]=0,"",IF(FinancialAccountsTable[[#This Row],[مانده]]&gt;0,"بدهکار","بستانکار"))</f>
        <v>#REF!</v>
      </c>
      <c r="L13" s="27" t="s">
        <v>969</v>
      </c>
      <c r="M13" s="27"/>
      <c r="N13" s="27"/>
      <c r="O13" s="27"/>
      <c r="P13" s="31"/>
      <c r="Q13" s="31"/>
      <c r="R13" s="27"/>
    </row>
    <row r="14" spans="1:18" ht="34.5" customHeight="1">
      <c r="A14" s="124"/>
      <c r="D14" s="27">
        <v>5</v>
      </c>
      <c r="E14" s="27" t="s">
        <v>954</v>
      </c>
      <c r="F14" s="27" t="s">
        <v>955</v>
      </c>
      <c r="G14" s="25">
        <v>0</v>
      </c>
      <c r="H14" s="170" t="e">
        <v>#REF!</v>
      </c>
      <c r="I14" s="170" t="e">
        <v>#REF!</v>
      </c>
      <c r="J14" s="170" t="e">
        <f>(FinancialAccountsTable[[#This Row],[جمع دریافتی]]+FinancialAccountsTable[[#This Row],[موجودی اولیه]])-FinancialAccountsTable[[#This Row],[جمع پرداختی]]</f>
        <v>#REF!</v>
      </c>
      <c r="K14" s="138" t="e">
        <f>IF(FinancialAccountsTable[[#This Row],[مانده]]=0,"",IF(FinancialAccountsTable[[#This Row],[مانده]]&gt;0,"بدهکار","بستانکار"))</f>
        <v>#REF!</v>
      </c>
      <c r="L14" s="27" t="s">
        <v>970</v>
      </c>
      <c r="M14" s="27"/>
      <c r="N14" s="27"/>
      <c r="O14" s="27"/>
      <c r="P14" s="31"/>
      <c r="Q14" s="31"/>
      <c r="R14" s="27"/>
    </row>
    <row r="15" spans="1:18" ht="24" customHeight="1">
      <c r="A15" s="124"/>
      <c r="D15" s="27">
        <v>6</v>
      </c>
      <c r="E15" s="27" t="s">
        <v>957</v>
      </c>
      <c r="F15" s="27" t="s">
        <v>962</v>
      </c>
      <c r="G15" s="25">
        <v>0</v>
      </c>
      <c r="H15" s="170" t="e">
        <v>#REF!</v>
      </c>
      <c r="I15" s="170" t="e">
        <v>#REF!</v>
      </c>
      <c r="J15" s="170" t="e">
        <f>(FinancialAccountsTable[[#This Row],[جمع دریافتی]]+FinancialAccountsTable[[#This Row],[موجودی اولیه]])-FinancialAccountsTable[[#This Row],[جمع پرداختی]]</f>
        <v>#REF!</v>
      </c>
      <c r="K15" s="171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4"/>
      <c r="D16" s="27">
        <v>7</v>
      </c>
      <c r="E16" s="27" t="s">
        <v>958</v>
      </c>
      <c r="F16" s="27" t="s">
        <v>960</v>
      </c>
      <c r="G16" s="25">
        <v>0</v>
      </c>
      <c r="H16" s="170" t="e">
        <v>#REF!</v>
      </c>
      <c r="I16" s="170" t="e">
        <v>#REF!</v>
      </c>
      <c r="J16" s="170" t="e">
        <f>(FinancialAccountsTable[[#This Row],[جمع دریافتی]]+FinancialAccountsTable[[#This Row],[موجودی اولیه]])-FinancialAccountsTable[[#This Row],[جمع پرداختی]]</f>
        <v>#REF!</v>
      </c>
      <c r="K16" s="171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4"/>
      <c r="D17" s="27">
        <v>8</v>
      </c>
      <c r="E17" s="27" t="s">
        <v>959</v>
      </c>
      <c r="F17" s="27" t="s">
        <v>961</v>
      </c>
      <c r="G17" s="25">
        <v>0</v>
      </c>
      <c r="H17" s="170" t="e">
        <v>#REF!</v>
      </c>
      <c r="I17" s="170" t="e">
        <v>#REF!</v>
      </c>
      <c r="J17" s="170" t="e">
        <f>(FinancialAccountsTable[[#This Row],[جمع دریافتی]]+FinancialAccountsTable[[#This Row],[موجودی اولیه]])-FinancialAccountsTable[[#This Row],[جمع پرداختی]]</f>
        <v>#REF!</v>
      </c>
      <c r="K17" s="171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4"/>
      <c r="D18" s="27">
        <v>9</v>
      </c>
      <c r="E18" s="27" t="s">
        <v>963</v>
      </c>
      <c r="F18" s="27" t="s">
        <v>964</v>
      </c>
      <c r="G18" s="25">
        <v>0</v>
      </c>
      <c r="H18" s="170" t="e">
        <v>#REF!</v>
      </c>
      <c r="I18" s="170" t="e">
        <v>#REF!</v>
      </c>
      <c r="J18" s="170" t="e">
        <f>(FinancialAccountsTable[[#This Row],[جمع دریافتی]]+FinancialAccountsTable[[#This Row],[موجودی اولیه]])-FinancialAccountsTable[[#This Row],[جمع پرداختی]]</f>
        <v>#REF!</v>
      </c>
      <c r="K18" s="171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>
      <c r="A19" s="124"/>
      <c r="D19" s="138" t="s">
        <v>143</v>
      </c>
      <c r="E19" s="172"/>
      <c r="F19" s="172"/>
      <c r="G19" s="170">
        <f>SUBTOTAL(109,FinancialAccountsTable[موجودی اولیه])-G14</f>
        <v>0</v>
      </c>
      <c r="H19" s="170" t="e">
        <f>SUBTOTAL(109,FinancialAccountsTable[جمع پرداختی])-H14</f>
        <v>#REF!</v>
      </c>
      <c r="I19" s="170" t="e">
        <f>SUBTOTAL(109,FinancialAccountsTable[جمع دریافتی])-I14</f>
        <v>#REF!</v>
      </c>
      <c r="J19" s="170" t="e">
        <f>SUBTOTAL(109,FinancialAccountsTable[مانده])-J14</f>
        <v>#REF!</v>
      </c>
      <c r="K19" s="172"/>
      <c r="L19" s="172"/>
      <c r="M19" s="172"/>
      <c r="N19" s="173"/>
      <c r="O19" s="173"/>
      <c r="P19" s="173"/>
      <c r="Q19" s="173"/>
      <c r="R19" s="173"/>
    </row>
    <row r="20" spans="1:18">
      <c r="A20" s="124"/>
    </row>
    <row r="21" spans="1:18">
      <c r="A21" s="124"/>
    </row>
    <row r="22" spans="1:18">
      <c r="A22" s="124"/>
    </row>
    <row r="23" spans="1:18" ht="15.75">
      <c r="A23" s="124"/>
      <c r="D23" s="141"/>
      <c r="E23" s="141"/>
      <c r="F23" s="141"/>
      <c r="G23" s="175"/>
      <c r="H23" s="130"/>
      <c r="I23" s="176"/>
      <c r="J23" s="177"/>
      <c r="K23" s="141"/>
    </row>
    <row r="24" spans="1:18">
      <c r="D24" s="410"/>
      <c r="I24" s="174"/>
      <c r="K24" s="174"/>
    </row>
    <row r="25" spans="1:18">
      <c r="D25" s="411"/>
      <c r="E25" s="411"/>
      <c r="F25" s="411"/>
      <c r="G25" s="411"/>
      <c r="H25" s="411"/>
      <c r="I25" s="411"/>
      <c r="J25" s="411"/>
      <c r="K25" s="411"/>
      <c r="L25" s="411"/>
    </row>
    <row r="26" spans="1:18">
      <c r="D26" s="411"/>
      <c r="E26" s="411"/>
      <c r="F26" s="411"/>
      <c r="G26" s="411"/>
      <c r="H26" s="411"/>
      <c r="I26" s="411"/>
      <c r="J26" s="411"/>
      <c r="K26" s="411"/>
      <c r="L26" s="411"/>
    </row>
    <row r="27" spans="1:18">
      <c r="D27" s="411"/>
      <c r="E27" s="411"/>
      <c r="F27" s="411"/>
      <c r="G27" s="411"/>
      <c r="H27" s="411"/>
      <c r="I27" s="411"/>
      <c r="J27" s="411"/>
      <c r="K27" s="411"/>
      <c r="L27" s="411"/>
    </row>
    <row r="28" spans="1:18">
      <c r="D28" s="411"/>
      <c r="E28" s="411"/>
      <c r="F28" s="411"/>
      <c r="G28" s="411"/>
      <c r="H28" s="411"/>
      <c r="I28" s="411"/>
      <c r="J28" s="411"/>
      <c r="K28" s="411"/>
      <c r="L28" s="411"/>
    </row>
    <row r="29" spans="1:18">
      <c r="D29" s="411"/>
      <c r="E29" s="411"/>
      <c r="F29" s="411"/>
      <c r="G29" s="411"/>
      <c r="H29" s="411"/>
      <c r="I29" s="411"/>
      <c r="J29" s="411"/>
      <c r="K29" s="411"/>
      <c r="L29" s="411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S365"/>
  <sheetViews>
    <sheetView showGridLines="0" rightToLeft="1" topLeftCell="P9" workbookViewId="0">
      <selection activeCell="O6" sqref="O6"/>
    </sheetView>
    <sheetView rightToLeft="1" tabSelected="1" topLeftCell="Q8" workbookViewId="1">
      <selection activeCell="W14" sqref="W14:W18"/>
    </sheetView>
  </sheetViews>
  <sheetFormatPr defaultRowHeight="15"/>
  <cols>
    <col min="1" max="1" width="29.7109375" style="131" customWidth="1"/>
    <col min="2" max="2" width="0.7109375" style="132" customWidth="1"/>
    <col min="3" max="3" width="4.5703125" style="130" customWidth="1"/>
    <col min="4" max="4" width="4.5703125" style="397" customWidth="1"/>
    <col min="5" max="5" width="18.42578125" style="397" customWidth="1"/>
    <col min="6" max="6" width="4.5703125" style="397" customWidth="1"/>
    <col min="7" max="8" width="18.28515625" style="397" customWidth="1"/>
    <col min="9" max="9" width="4.5703125" style="397" customWidth="1"/>
    <col min="10" max="10" width="4.5703125" style="41" customWidth="1"/>
    <col min="12" max="12" width="18.28515625" customWidth="1"/>
    <col min="13" max="13" width="4.5703125" style="293" customWidth="1"/>
    <col min="14" max="15" width="18.28515625" style="293" customWidth="1"/>
    <col min="16" max="16" width="4.5703125" style="293" customWidth="1"/>
    <col min="17" max="17" width="4.5703125" style="130" customWidth="1"/>
    <col min="18" max="18" width="4.5703125" style="408" customWidth="1"/>
    <col min="19" max="19" width="36.5703125" style="408" customWidth="1"/>
    <col min="20" max="20" width="4.5703125" style="408" customWidth="1"/>
    <col min="21" max="21" width="4.5703125" style="41" customWidth="1"/>
    <col min="22" max="22" width="4.5703125" style="415" customWidth="1"/>
    <col min="23" max="23" width="36.5703125" style="414" customWidth="1"/>
    <col min="24" max="24" width="4.5703125" style="413" customWidth="1"/>
    <col min="25" max="29" width="18.28515625" customWidth="1"/>
    <col min="30" max="30" width="18.28515625" style="130" customWidth="1"/>
    <col min="31" max="31" width="18.28515625" style="133" customWidth="1"/>
    <col min="32" max="46" width="18.28515625" style="130" customWidth="1"/>
    <col min="47" max="47" width="5.42578125" style="130" customWidth="1"/>
    <col min="48" max="16384" width="9.140625" style="130"/>
  </cols>
  <sheetData>
    <row r="1" spans="1:45" ht="24" customHeight="1" thickBot="1">
      <c r="A1" s="127" t="s">
        <v>395</v>
      </c>
      <c r="B1" s="128"/>
      <c r="C1" s="129"/>
      <c r="K1" s="293"/>
      <c r="L1" s="293"/>
      <c r="Q1" s="41"/>
      <c r="R1" s="407"/>
      <c r="S1" s="407"/>
      <c r="T1" s="407"/>
      <c r="V1" s="413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ht="24" customHeight="1" thickBot="1">
      <c r="E2" s="398" t="s">
        <v>1715</v>
      </c>
      <c r="F2" s="399"/>
      <c r="G2" s="399"/>
      <c r="H2" s="400"/>
      <c r="K2" s="293"/>
      <c r="L2" s="394" t="s">
        <v>1714</v>
      </c>
      <c r="M2" s="395"/>
      <c r="N2" s="395"/>
      <c r="O2" s="396"/>
      <c r="S2" s="409" t="s">
        <v>1717</v>
      </c>
      <c r="W2" s="416" t="s">
        <v>1720</v>
      </c>
    </row>
    <row r="3" spans="1:45" ht="30">
      <c r="A3" s="134" t="s">
        <v>8</v>
      </c>
      <c r="K3" s="293"/>
      <c r="L3" s="293"/>
      <c r="M3" s="391"/>
      <c r="O3" s="392"/>
      <c r="AD3" s="294" t="s">
        <v>358</v>
      </c>
      <c r="AE3" s="294"/>
      <c r="AF3" s="294"/>
      <c r="AG3" s="136"/>
      <c r="AH3" s="295" t="s">
        <v>359</v>
      </c>
      <c r="AI3" s="295"/>
      <c r="AJ3" s="295"/>
      <c r="AL3" s="296" t="s">
        <v>383</v>
      </c>
      <c r="AM3" s="296"/>
      <c r="AO3" s="292" t="s">
        <v>360</v>
      </c>
      <c r="AP3" s="292"/>
      <c r="AR3" s="293" t="s">
        <v>361</v>
      </c>
      <c r="AS3" s="293"/>
    </row>
    <row r="4" spans="1:45" ht="30" customHeight="1">
      <c r="A4" s="137" t="s">
        <v>115</v>
      </c>
      <c r="E4" s="404" t="s">
        <v>1716</v>
      </c>
      <c r="G4" s="401" t="s">
        <v>391</v>
      </c>
      <c r="H4" s="401"/>
      <c r="K4" s="293"/>
      <c r="L4" s="406" t="s">
        <v>137</v>
      </c>
      <c r="M4" s="393"/>
      <c r="N4" s="405" t="s">
        <v>386</v>
      </c>
      <c r="O4" s="405"/>
      <c r="S4" s="135" t="s">
        <v>1005</v>
      </c>
      <c r="W4" s="67" t="s">
        <v>1087</v>
      </c>
      <c r="AD4" s="135" t="s">
        <v>362</v>
      </c>
      <c r="AE4" s="139" t="s">
        <v>375</v>
      </c>
      <c r="AF4" s="139" t="s">
        <v>374</v>
      </c>
      <c r="AG4" s="133"/>
      <c r="AH4" s="135" t="s">
        <v>363</v>
      </c>
      <c r="AI4" s="135" t="s">
        <v>375</v>
      </c>
      <c r="AJ4" s="135" t="s">
        <v>374</v>
      </c>
      <c r="AL4" s="135" t="s">
        <v>364</v>
      </c>
      <c r="AM4" s="135" t="s">
        <v>392</v>
      </c>
      <c r="AO4" s="135" t="s">
        <v>365</v>
      </c>
      <c r="AP4" s="135" t="s">
        <v>392</v>
      </c>
      <c r="AR4" s="178" t="s">
        <v>366</v>
      </c>
      <c r="AS4" s="178" t="s">
        <v>392</v>
      </c>
    </row>
    <row r="5" spans="1:45" ht="60">
      <c r="A5" s="140" t="s">
        <v>102</v>
      </c>
      <c r="E5" s="67" t="s">
        <v>1080</v>
      </c>
      <c r="G5" s="402" t="s">
        <v>124</v>
      </c>
      <c r="H5" s="403" t="s">
        <v>378</v>
      </c>
      <c r="K5" s="293"/>
      <c r="L5" s="138" t="s">
        <v>278</v>
      </c>
      <c r="M5" s="393"/>
      <c r="N5" s="135" t="s">
        <v>384</v>
      </c>
      <c r="O5" s="135" t="s">
        <v>385</v>
      </c>
      <c r="S5" s="135" t="s">
        <v>987</v>
      </c>
      <c r="W5" s="67" t="s">
        <v>1086</v>
      </c>
      <c r="AD5" s="139" t="s">
        <v>376</v>
      </c>
      <c r="AE5" s="139" t="s">
        <v>367</v>
      </c>
      <c r="AF5" s="135" t="str">
        <f>CONCATENATE(تقویم!$A$2,HolidayTable[[#This Row],[روز و ماه]])</f>
        <v>14000101</v>
      </c>
      <c r="AH5" s="179" t="s">
        <v>419</v>
      </c>
      <c r="AI5" s="139" t="s">
        <v>368</v>
      </c>
      <c r="AJ5" s="135" t="str">
        <f>CONCATENATE(تقویم!$A$2,EventsTable[[#This Row],[روز و ماه]])</f>
        <v>14000102</v>
      </c>
      <c r="AL5" s="139" t="s">
        <v>788</v>
      </c>
      <c r="AM5" s="139" t="s">
        <v>789</v>
      </c>
      <c r="AO5" s="179" t="s">
        <v>824</v>
      </c>
      <c r="AP5" s="139" t="s">
        <v>367</v>
      </c>
      <c r="AR5" s="139" t="s">
        <v>905</v>
      </c>
      <c r="AS5" s="139" t="s">
        <v>367</v>
      </c>
    </row>
    <row r="6" spans="1:45" ht="30" customHeight="1" thickBot="1">
      <c r="A6" s="142" t="s">
        <v>103</v>
      </c>
      <c r="E6" s="67" t="s">
        <v>1081</v>
      </c>
      <c r="G6" s="135">
        <v>0</v>
      </c>
      <c r="H6" s="139" t="s">
        <v>382</v>
      </c>
      <c r="K6" s="293"/>
      <c r="L6" s="138" t="s">
        <v>302</v>
      </c>
      <c r="M6" s="393"/>
      <c r="N6" s="135" t="s">
        <v>147</v>
      </c>
      <c r="O6" s="135"/>
      <c r="S6" s="135" t="s">
        <v>982</v>
      </c>
      <c r="W6" s="302" t="s">
        <v>982</v>
      </c>
      <c r="AD6" s="139" t="s">
        <v>377</v>
      </c>
      <c r="AE6" s="139" t="s">
        <v>368</v>
      </c>
      <c r="AF6" s="135" t="str">
        <f>CONCATENATE(تقویم!$A$2,HolidayTable[[#This Row],[روز و ماه]])</f>
        <v>14000102</v>
      </c>
      <c r="AH6" s="179" t="s">
        <v>420</v>
      </c>
      <c r="AI6" s="139" t="s">
        <v>368</v>
      </c>
      <c r="AJ6" s="135" t="str">
        <f>CONCATENATE(تقویم!$A$2,EventsTable[[#This Row],[روز و ماه]])</f>
        <v>14000102</v>
      </c>
      <c r="AL6" s="139" t="s">
        <v>790</v>
      </c>
      <c r="AM6" s="139" t="s">
        <v>791</v>
      </c>
      <c r="AO6" s="179" t="s">
        <v>825</v>
      </c>
      <c r="AP6" s="139" t="s">
        <v>826</v>
      </c>
      <c r="AR6" s="139" t="s">
        <v>906</v>
      </c>
      <c r="AS6" s="139" t="s">
        <v>907</v>
      </c>
    </row>
    <row r="7" spans="1:45" ht="45.75" thickTop="1">
      <c r="A7" s="143" t="s">
        <v>104</v>
      </c>
      <c r="E7" s="67" t="s">
        <v>1082</v>
      </c>
      <c r="G7" s="135">
        <v>1</v>
      </c>
      <c r="H7" s="139"/>
      <c r="K7" s="293"/>
      <c r="L7" s="138" t="s">
        <v>138</v>
      </c>
      <c r="N7" s="135" t="s">
        <v>387</v>
      </c>
      <c r="O7" s="135"/>
      <c r="S7" s="135" t="s">
        <v>988</v>
      </c>
      <c r="W7" s="67" t="s">
        <v>223</v>
      </c>
      <c r="AD7" s="139" t="s">
        <v>377</v>
      </c>
      <c r="AE7" s="139" t="s">
        <v>369</v>
      </c>
      <c r="AF7" s="135" t="str">
        <f>CONCATENATE(تقویم!$A$2,HolidayTable[[#This Row],[روز و ماه]])</f>
        <v>14000103</v>
      </c>
      <c r="AH7" s="179" t="s">
        <v>421</v>
      </c>
      <c r="AI7" s="139" t="s">
        <v>422</v>
      </c>
      <c r="AJ7" s="135" t="str">
        <f>CONCATENATE(تقویم!$A$2,EventsTable[[#This Row],[روز و ماه]])</f>
        <v>14000106</v>
      </c>
      <c r="AL7" s="139" t="s">
        <v>792</v>
      </c>
      <c r="AM7" s="139" t="s">
        <v>793</v>
      </c>
      <c r="AO7" s="179" t="s">
        <v>827</v>
      </c>
      <c r="AP7" s="139" t="s">
        <v>371</v>
      </c>
      <c r="AR7" s="139" t="s">
        <v>908</v>
      </c>
      <c r="AS7" s="139" t="s">
        <v>909</v>
      </c>
    </row>
    <row r="8" spans="1:45" ht="45">
      <c r="A8" s="144" t="s">
        <v>110</v>
      </c>
      <c r="E8" s="67" t="s">
        <v>1083</v>
      </c>
      <c r="G8" s="135">
        <v>2</v>
      </c>
      <c r="H8" s="139"/>
      <c r="K8" s="293"/>
      <c r="L8" s="293"/>
      <c r="N8" s="135" t="s">
        <v>388</v>
      </c>
      <c r="O8" s="135"/>
      <c r="S8" s="135" t="s">
        <v>989</v>
      </c>
      <c r="W8" s="67" t="s">
        <v>983</v>
      </c>
      <c r="AD8" s="139" t="s">
        <v>377</v>
      </c>
      <c r="AE8" s="139" t="s">
        <v>370</v>
      </c>
      <c r="AF8" s="135" t="str">
        <f>CONCATENATE(تقویم!$A$2,HolidayTable[[#This Row],[روز و ماه]])</f>
        <v>14000104</v>
      </c>
      <c r="AH8" s="179" t="s">
        <v>423</v>
      </c>
      <c r="AI8" s="139" t="s">
        <v>424</v>
      </c>
      <c r="AJ8" s="135" t="str">
        <f>CONCATENATE(تقویم!$A$2,EventsTable[[#This Row],[روز و ماه]])</f>
        <v>14000107</v>
      </c>
      <c r="AL8" s="139" t="s">
        <v>794</v>
      </c>
      <c r="AM8" s="139" t="s">
        <v>474</v>
      </c>
      <c r="AO8" s="179" t="s">
        <v>828</v>
      </c>
      <c r="AP8" s="139" t="s">
        <v>436</v>
      </c>
      <c r="AR8" s="139" t="s">
        <v>910</v>
      </c>
      <c r="AS8" s="139" t="s">
        <v>911</v>
      </c>
    </row>
    <row r="9" spans="1:45" ht="60">
      <c r="A9" s="145" t="s">
        <v>89</v>
      </c>
      <c r="E9" s="67" t="s">
        <v>1084</v>
      </c>
      <c r="G9" s="135">
        <v>3</v>
      </c>
      <c r="H9" s="139"/>
      <c r="K9" s="293"/>
      <c r="L9" s="120" t="s">
        <v>112</v>
      </c>
      <c r="N9" s="135" t="s">
        <v>389</v>
      </c>
      <c r="O9" s="135"/>
      <c r="S9" s="135" t="s">
        <v>991</v>
      </c>
      <c r="W9" s="67" t="s">
        <v>985</v>
      </c>
      <c r="AD9" s="139" t="s">
        <v>373</v>
      </c>
      <c r="AE9" s="139" t="s">
        <v>371</v>
      </c>
      <c r="AF9" s="135" t="str">
        <f>CONCATENATE(تقویم!$A$2,HolidayTable[[#This Row],[روز و ماه]])</f>
        <v>14000112</v>
      </c>
      <c r="AH9" s="179" t="s">
        <v>425</v>
      </c>
      <c r="AI9" s="139" t="s">
        <v>416</v>
      </c>
      <c r="AJ9" s="135" t="str">
        <f>CONCATENATE(تقویم!$A$2,EventsTable[[#This Row],[روز و ماه]])</f>
        <v>14000115</v>
      </c>
      <c r="AL9" s="139" t="s">
        <v>795</v>
      </c>
      <c r="AM9" s="139" t="s">
        <v>474</v>
      </c>
      <c r="AO9" s="179" t="s">
        <v>829</v>
      </c>
      <c r="AP9" s="139" t="s">
        <v>452</v>
      </c>
      <c r="AR9" s="139" t="s">
        <v>912</v>
      </c>
      <c r="AS9" s="139" t="s">
        <v>913</v>
      </c>
    </row>
    <row r="10" spans="1:45" ht="30">
      <c r="A10" s="146" t="s">
        <v>111</v>
      </c>
      <c r="K10" s="293"/>
      <c r="L10" s="138" t="s">
        <v>113</v>
      </c>
      <c r="N10" s="135" t="s">
        <v>390</v>
      </c>
      <c r="O10" s="135"/>
      <c r="S10" s="135" t="s">
        <v>990</v>
      </c>
      <c r="W10" s="67" t="s">
        <v>984</v>
      </c>
      <c r="AD10" s="139" t="s">
        <v>410</v>
      </c>
      <c r="AE10" s="139" t="s">
        <v>372</v>
      </c>
      <c r="AF10" s="135" t="str">
        <f>CONCATENATE(تقویم!$A$2,HolidayTable[[#This Row],[روز و ماه]])</f>
        <v>14000113</v>
      </c>
      <c r="AH10" s="180" t="s">
        <v>426</v>
      </c>
      <c r="AI10" s="139" t="s">
        <v>427</v>
      </c>
      <c r="AJ10" s="135" t="str">
        <f>CONCATENATE(تقویم!$A$2,EventsTable[[#This Row],[روز و ماه]])</f>
        <v>14000118</v>
      </c>
      <c r="AL10" s="139" t="s">
        <v>796</v>
      </c>
      <c r="AM10" s="139" t="s">
        <v>797</v>
      </c>
      <c r="AO10" s="139" t="s">
        <v>830</v>
      </c>
      <c r="AP10" s="139" t="s">
        <v>831</v>
      </c>
      <c r="AR10" s="139" t="s">
        <v>914</v>
      </c>
      <c r="AS10" s="139" t="s">
        <v>550</v>
      </c>
    </row>
    <row r="11" spans="1:45" ht="90">
      <c r="A11" s="147" t="s">
        <v>105</v>
      </c>
      <c r="K11" s="293"/>
      <c r="L11" s="138" t="s">
        <v>114</v>
      </c>
      <c r="S11" s="135" t="s">
        <v>992</v>
      </c>
      <c r="W11" s="67" t="s">
        <v>1007</v>
      </c>
      <c r="AD11" s="181" t="s">
        <v>411</v>
      </c>
      <c r="AE11" s="139" t="s">
        <v>415</v>
      </c>
      <c r="AF11" s="148" t="str">
        <f>CONCATENATE(تقویم!$A$2,HolidayTable[[#This Row],[روز و ماه]])</f>
        <v>14000314</v>
      </c>
      <c r="AH11" s="180" t="s">
        <v>428</v>
      </c>
      <c r="AI11" s="139" t="s">
        <v>429</v>
      </c>
      <c r="AJ11" s="148" t="str">
        <f>CONCATENATE(تقویم!$A$2,EventsTable[[#This Row],[روز و ماه]])</f>
        <v>14000119</v>
      </c>
      <c r="AL11" s="139" t="s">
        <v>798</v>
      </c>
      <c r="AM11" s="139" t="s">
        <v>799</v>
      </c>
      <c r="AO11" s="179" t="s">
        <v>832</v>
      </c>
      <c r="AP11" s="139" t="s">
        <v>472</v>
      </c>
      <c r="AR11" s="139" t="s">
        <v>915</v>
      </c>
      <c r="AS11" s="139" t="s">
        <v>554</v>
      </c>
    </row>
    <row r="12" spans="1:45" ht="45">
      <c r="A12" s="149" t="s">
        <v>98</v>
      </c>
      <c r="K12" s="293"/>
      <c r="L12" s="138" t="s">
        <v>139</v>
      </c>
      <c r="S12" s="135" t="s">
        <v>1023</v>
      </c>
      <c r="AD12" s="139" t="s">
        <v>412</v>
      </c>
      <c r="AE12" s="139" t="s">
        <v>416</v>
      </c>
      <c r="AF12" s="148" t="str">
        <f>CONCATENATE(تقویم!$A$2,HolidayTable[[#This Row],[روز و ماه]])</f>
        <v>14000115</v>
      </c>
      <c r="AH12" s="180" t="s">
        <v>430</v>
      </c>
      <c r="AI12" s="139" t="s">
        <v>431</v>
      </c>
      <c r="AJ12" s="148" t="str">
        <f>CONCATENATE(تقویم!$A$2,EventsTable[[#This Row],[روز و ماه]])</f>
        <v>14000120</v>
      </c>
      <c r="AL12" s="139" t="s">
        <v>800</v>
      </c>
      <c r="AM12" s="139" t="s">
        <v>799</v>
      </c>
      <c r="AO12" s="179" t="s">
        <v>833</v>
      </c>
      <c r="AP12" s="139" t="s">
        <v>480</v>
      </c>
      <c r="AR12" s="139" t="s">
        <v>916</v>
      </c>
      <c r="AS12" s="139" t="s">
        <v>569</v>
      </c>
    </row>
    <row r="13" spans="1:45" ht="60">
      <c r="K13" s="293"/>
      <c r="L13" s="293"/>
      <c r="S13" s="135" t="s">
        <v>1025</v>
      </c>
      <c r="W13" s="135" t="s">
        <v>1000</v>
      </c>
      <c r="AD13" s="139" t="s">
        <v>413</v>
      </c>
      <c r="AE13" s="139" t="s">
        <v>417</v>
      </c>
      <c r="AF13" s="148" t="str">
        <f>CONCATENATE(تقویم!$A$2,HolidayTable[[#This Row],[روز و ماه]])</f>
        <v>14001122</v>
      </c>
      <c r="AH13" s="180" t="s">
        <v>432</v>
      </c>
      <c r="AI13" s="139" t="s">
        <v>431</v>
      </c>
      <c r="AJ13" s="148" t="str">
        <f>CONCATENATE(تقویم!$A$2,EventsTable[[#This Row],[روز و ماه]])</f>
        <v>14000120</v>
      </c>
      <c r="AL13" s="139" t="s">
        <v>801</v>
      </c>
      <c r="AM13" s="139" t="s">
        <v>802</v>
      </c>
      <c r="AO13" s="179" t="s">
        <v>834</v>
      </c>
      <c r="AP13" s="139" t="s">
        <v>835</v>
      </c>
      <c r="AR13" s="139" t="s">
        <v>917</v>
      </c>
      <c r="AS13" s="139" t="s">
        <v>584</v>
      </c>
    </row>
    <row r="14" spans="1:45" ht="60.75" thickBot="1">
      <c r="K14" s="293"/>
      <c r="L14" s="135" t="s">
        <v>145</v>
      </c>
      <c r="S14" s="266" t="s">
        <v>998</v>
      </c>
      <c r="W14" s="135" t="s">
        <v>123</v>
      </c>
      <c r="AD14" s="139" t="s">
        <v>414</v>
      </c>
      <c r="AE14" s="139" t="s">
        <v>418</v>
      </c>
      <c r="AF14" s="148" t="str">
        <f>CONCATENATE(تقویم!$A$2,HolidayTable[[#This Row],[روز و ماه]])</f>
        <v>14001229</v>
      </c>
      <c r="AH14" s="180" t="s">
        <v>433</v>
      </c>
      <c r="AI14" s="139" t="s">
        <v>434</v>
      </c>
      <c r="AJ14" s="148" t="str">
        <f>CONCATENATE(تقویم!$A$2,EventsTable[[#This Row],[روز و ماه]])</f>
        <v>14000121</v>
      </c>
      <c r="AL14" s="139" t="s">
        <v>803</v>
      </c>
      <c r="AM14" s="139" t="s">
        <v>802</v>
      </c>
      <c r="AO14" s="179" t="s">
        <v>836</v>
      </c>
      <c r="AP14" s="139" t="s">
        <v>835</v>
      </c>
      <c r="AR14" s="139" t="s">
        <v>918</v>
      </c>
      <c r="AS14" s="139" t="s">
        <v>596</v>
      </c>
    </row>
    <row r="15" spans="1:45" ht="90.75" thickTop="1">
      <c r="K15" s="293"/>
      <c r="L15" s="135" t="s">
        <v>149</v>
      </c>
      <c r="S15" s="135" t="s">
        <v>983</v>
      </c>
      <c r="W15" s="267" t="s">
        <v>1056</v>
      </c>
      <c r="AF15" s="150"/>
      <c r="AH15" s="180" t="s">
        <v>435</v>
      </c>
      <c r="AI15" s="139" t="s">
        <v>434</v>
      </c>
      <c r="AJ15" s="148" t="str">
        <f>CONCATENATE(تقویم!$A$2,EventsTable[[#This Row],[روز و ماه]])</f>
        <v>14000121</v>
      </c>
      <c r="AL15" s="139" t="s">
        <v>804</v>
      </c>
      <c r="AM15" s="139" t="s">
        <v>592</v>
      </c>
      <c r="AO15" s="139" t="s">
        <v>837</v>
      </c>
      <c r="AP15" s="139" t="s">
        <v>838</v>
      </c>
      <c r="AR15" s="139" t="s">
        <v>919</v>
      </c>
      <c r="AS15" s="139" t="s">
        <v>615</v>
      </c>
    </row>
    <row r="16" spans="1:45" ht="45">
      <c r="K16" s="293"/>
      <c r="L16" s="135" t="s">
        <v>146</v>
      </c>
      <c r="S16" s="135" t="s">
        <v>985</v>
      </c>
      <c r="W16" s="135" t="s">
        <v>1054</v>
      </c>
      <c r="AF16" s="150"/>
      <c r="AH16" s="180" t="s">
        <v>821</v>
      </c>
      <c r="AI16" s="139" t="s">
        <v>436</v>
      </c>
      <c r="AJ16" s="148" t="str">
        <f>CONCATENATE(تقویم!$A$2,EventsTable[[#This Row],[روز و ماه]])</f>
        <v>14000125</v>
      </c>
      <c r="AL16" s="139" t="s">
        <v>805</v>
      </c>
      <c r="AM16" s="139" t="s">
        <v>640</v>
      </c>
      <c r="AO16" s="139" t="s">
        <v>839</v>
      </c>
      <c r="AP16" s="139" t="s">
        <v>515</v>
      </c>
      <c r="AR16" s="139" t="s">
        <v>920</v>
      </c>
      <c r="AS16" s="139" t="s">
        <v>921</v>
      </c>
    </row>
    <row r="17" spans="11:45" ht="45">
      <c r="K17" s="293"/>
      <c r="L17" s="135" t="s">
        <v>147</v>
      </c>
      <c r="S17" s="135" t="s">
        <v>1024</v>
      </c>
      <c r="W17" s="135" t="s">
        <v>1001</v>
      </c>
      <c r="AF17" s="150"/>
      <c r="AH17" s="180" t="s">
        <v>437</v>
      </c>
      <c r="AI17" s="139" t="s">
        <v>438</v>
      </c>
      <c r="AJ17" s="148" t="str">
        <f>CONCATENATE(تقویم!$A$2,EventsTable[[#This Row],[روز و ماه]])</f>
        <v>14000129</v>
      </c>
      <c r="AL17" s="139" t="s">
        <v>806</v>
      </c>
      <c r="AM17" s="139" t="s">
        <v>807</v>
      </c>
      <c r="AO17" s="139" t="s">
        <v>840</v>
      </c>
      <c r="AP17" s="139" t="s">
        <v>517</v>
      </c>
      <c r="AR17" s="139" t="s">
        <v>922</v>
      </c>
      <c r="AS17" s="139" t="s">
        <v>658</v>
      </c>
    </row>
    <row r="18" spans="11:45" ht="60">
      <c r="K18" s="293"/>
      <c r="L18" s="135" t="s">
        <v>303</v>
      </c>
      <c r="S18" s="135" t="s">
        <v>1026</v>
      </c>
      <c r="W18" s="135" t="s">
        <v>1004</v>
      </c>
      <c r="AF18" s="150"/>
      <c r="AH18" s="180" t="s">
        <v>439</v>
      </c>
      <c r="AI18" s="139" t="s">
        <v>440</v>
      </c>
      <c r="AJ18" s="148" t="str">
        <f>CONCATENATE(تقویم!$A$2,EventsTable[[#This Row],[روز و ماه]])</f>
        <v>14000201</v>
      </c>
      <c r="AL18" s="139" t="s">
        <v>808</v>
      </c>
      <c r="AM18" s="139" t="s">
        <v>809</v>
      </c>
      <c r="AO18" s="139" t="s">
        <v>841</v>
      </c>
      <c r="AP18" s="139" t="s">
        <v>550</v>
      </c>
      <c r="AR18" s="139" t="s">
        <v>923</v>
      </c>
      <c r="AS18" s="139" t="s">
        <v>924</v>
      </c>
    </row>
    <row r="19" spans="11:45" ht="60">
      <c r="K19" s="293"/>
      <c r="L19" s="135" t="s">
        <v>150</v>
      </c>
      <c r="S19" s="135" t="s">
        <v>986</v>
      </c>
      <c r="AF19" s="150"/>
      <c r="AH19" s="180" t="s">
        <v>441</v>
      </c>
      <c r="AI19" s="139" t="s">
        <v>442</v>
      </c>
      <c r="AJ19" s="148" t="str">
        <f>CONCATENATE(تقویم!$A$2,EventsTable[[#This Row],[روز و ماه]])</f>
        <v>14000202</v>
      </c>
      <c r="AL19" s="139" t="s">
        <v>810</v>
      </c>
      <c r="AM19" s="139" t="s">
        <v>811</v>
      </c>
      <c r="AO19" s="139" t="s">
        <v>842</v>
      </c>
      <c r="AP19" s="139" t="s">
        <v>843</v>
      </c>
      <c r="AR19" s="139" t="s">
        <v>925</v>
      </c>
      <c r="AS19" s="139" t="s">
        <v>710</v>
      </c>
    </row>
    <row r="20" spans="11:45" ht="150">
      <c r="K20" s="293"/>
      <c r="L20" s="135" t="s">
        <v>77</v>
      </c>
      <c r="S20" s="135" t="s">
        <v>993</v>
      </c>
      <c r="AF20" s="150"/>
      <c r="AH20" s="180" t="s">
        <v>443</v>
      </c>
      <c r="AI20" s="139" t="s">
        <v>442</v>
      </c>
      <c r="AJ20" s="148" t="str">
        <f>CONCATENATE(تقویم!$A$2,EventsTable[[#This Row],[روز و ماه]])</f>
        <v>14000202</v>
      </c>
      <c r="AL20" s="139" t="s">
        <v>812</v>
      </c>
      <c r="AM20" s="139" t="s">
        <v>813</v>
      </c>
      <c r="AO20" s="139" t="s">
        <v>844</v>
      </c>
      <c r="AP20" s="139" t="s">
        <v>610</v>
      </c>
      <c r="AR20" s="139" t="s">
        <v>926</v>
      </c>
      <c r="AS20" s="139" t="s">
        <v>715</v>
      </c>
    </row>
    <row r="21" spans="11:45" ht="105">
      <c r="K21" s="293"/>
      <c r="L21" s="135" t="s">
        <v>148</v>
      </c>
      <c r="S21" s="139" t="s">
        <v>1007</v>
      </c>
      <c r="AF21" s="150"/>
      <c r="AH21" s="180" t="s">
        <v>444</v>
      </c>
      <c r="AI21" s="139" t="s">
        <v>442</v>
      </c>
      <c r="AJ21" s="148" t="str">
        <f>CONCATENATE(تقویم!$A$2,EventsTable[[#This Row],[روز و ماه]])</f>
        <v>14000202</v>
      </c>
      <c r="AL21" s="139" t="s">
        <v>814</v>
      </c>
      <c r="AM21" s="139" t="s">
        <v>815</v>
      </c>
      <c r="AO21" s="139" t="s">
        <v>845</v>
      </c>
      <c r="AP21" s="139" t="s">
        <v>610</v>
      </c>
      <c r="AR21" s="139" t="s">
        <v>927</v>
      </c>
      <c r="AS21" s="139" t="s">
        <v>715</v>
      </c>
    </row>
    <row r="22" spans="11:45" ht="210">
      <c r="K22" s="293"/>
      <c r="L22" s="293"/>
      <c r="S22" s="135" t="s">
        <v>984</v>
      </c>
      <c r="AF22" s="150"/>
      <c r="AH22" s="180" t="s">
        <v>445</v>
      </c>
      <c r="AI22" s="139" t="s">
        <v>446</v>
      </c>
      <c r="AJ22" s="148" t="str">
        <f>CONCATENATE(تقویم!$A$2,EventsTable[[#This Row],[روز و ماه]])</f>
        <v>14000203</v>
      </c>
      <c r="AL22" s="139" t="s">
        <v>816</v>
      </c>
      <c r="AM22" s="139" t="s">
        <v>817</v>
      </c>
      <c r="AO22" s="139" t="s">
        <v>846</v>
      </c>
      <c r="AP22" s="139" t="s">
        <v>619</v>
      </c>
      <c r="AR22" s="139" t="s">
        <v>928</v>
      </c>
      <c r="AS22" s="139" t="s">
        <v>813</v>
      </c>
    </row>
    <row r="23" spans="11:45" ht="285">
      <c r="K23" s="293"/>
      <c r="L23" s="293"/>
      <c r="AF23" s="150"/>
      <c r="AH23" s="180" t="s">
        <v>447</v>
      </c>
      <c r="AI23" s="139" t="s">
        <v>446</v>
      </c>
      <c r="AJ23" s="148" t="str">
        <f>CONCATENATE(تقویم!$A$2,EventsTable[[#This Row],[روز و ماه]])</f>
        <v>14000203</v>
      </c>
      <c r="AL23" s="139" t="s">
        <v>818</v>
      </c>
      <c r="AM23" s="139" t="s">
        <v>819</v>
      </c>
      <c r="AO23" s="139" t="s">
        <v>847</v>
      </c>
      <c r="AP23" s="139" t="s">
        <v>619</v>
      </c>
      <c r="AR23" s="139" t="s">
        <v>929</v>
      </c>
      <c r="AS23" s="139" t="s">
        <v>724</v>
      </c>
    </row>
    <row r="24" spans="11:45" ht="150">
      <c r="K24" s="293"/>
      <c r="L24" s="293"/>
      <c r="S24" s="135" t="s">
        <v>1000</v>
      </c>
      <c r="AF24" s="150"/>
      <c r="AH24" s="180" t="s">
        <v>448</v>
      </c>
      <c r="AI24" s="139" t="s">
        <v>446</v>
      </c>
      <c r="AJ24" s="148" t="str">
        <f>CONCATENATE(تقویم!$A$2,EventsTable[[#This Row],[روز و ماه]])</f>
        <v>14000203</v>
      </c>
      <c r="AL24" s="139" t="s">
        <v>820</v>
      </c>
      <c r="AM24" s="139" t="s">
        <v>776</v>
      </c>
      <c r="AO24" s="139" t="s">
        <v>848</v>
      </c>
      <c r="AP24" s="139" t="s">
        <v>619</v>
      </c>
      <c r="AR24" s="139" t="s">
        <v>930</v>
      </c>
      <c r="AS24" s="139" t="s">
        <v>726</v>
      </c>
    </row>
    <row r="25" spans="11:45" ht="180">
      <c r="K25" s="293"/>
      <c r="L25" s="293"/>
      <c r="S25" s="135" t="s">
        <v>123</v>
      </c>
      <c r="AF25" s="150"/>
      <c r="AH25" s="180" t="s">
        <v>449</v>
      </c>
      <c r="AI25" s="139" t="s">
        <v>450</v>
      </c>
      <c r="AJ25" s="148" t="str">
        <f>CONCATENATE(تقویم!$A$2,EventsTable[[#This Row],[روز و ماه]])</f>
        <v>14000205</v>
      </c>
      <c r="AO25" s="139" t="s">
        <v>849</v>
      </c>
      <c r="AP25" s="139" t="s">
        <v>850</v>
      </c>
      <c r="AR25" s="139" t="s">
        <v>931</v>
      </c>
      <c r="AS25" s="139" t="s">
        <v>932</v>
      </c>
    </row>
    <row r="26" spans="11:45" ht="195">
      <c r="K26" s="293"/>
      <c r="L26" s="293"/>
      <c r="S26" s="267" t="s">
        <v>1056</v>
      </c>
      <c r="AF26" s="150"/>
      <c r="AH26" s="180" t="s">
        <v>451</v>
      </c>
      <c r="AI26" s="139" t="s">
        <v>452</v>
      </c>
      <c r="AJ26" s="148" t="str">
        <f>CONCATENATE(تقویم!$A$2,EventsTable[[#This Row],[روز و ماه]])</f>
        <v>14000207</v>
      </c>
      <c r="AO26" s="139" t="s">
        <v>851</v>
      </c>
      <c r="AP26" s="139" t="s">
        <v>852</v>
      </c>
      <c r="AR26" s="139" t="s">
        <v>933</v>
      </c>
      <c r="AS26" s="139" t="s">
        <v>934</v>
      </c>
    </row>
    <row r="27" spans="11:45" ht="210">
      <c r="K27" s="293"/>
      <c r="L27" s="293"/>
      <c r="S27" s="135" t="s">
        <v>1054</v>
      </c>
      <c r="AF27" s="150"/>
      <c r="AH27" s="180" t="s">
        <v>453</v>
      </c>
      <c r="AI27" s="139" t="s">
        <v>454</v>
      </c>
      <c r="AJ27" s="148" t="str">
        <f>CONCATENATE(تقویم!$A$2,EventsTable[[#This Row],[روز و ماه]])</f>
        <v>14000209</v>
      </c>
      <c r="AO27" s="139" t="s">
        <v>853</v>
      </c>
      <c r="AP27" s="139" t="s">
        <v>854</v>
      </c>
      <c r="AR27" s="139" t="s">
        <v>935</v>
      </c>
      <c r="AS27" s="139" t="s">
        <v>936</v>
      </c>
    </row>
    <row r="28" spans="11:45" ht="150">
      <c r="K28" s="293"/>
      <c r="L28" s="293"/>
      <c r="S28" s="135" t="s">
        <v>1001</v>
      </c>
      <c r="AF28" s="150"/>
      <c r="AH28" s="180" t="s">
        <v>455</v>
      </c>
      <c r="AI28" s="139" t="s">
        <v>456</v>
      </c>
      <c r="AJ28" s="148" t="str">
        <f>CONCATENATE(تقویم!$A$2,EventsTable[[#This Row],[روز و ماه]])</f>
        <v>14000210</v>
      </c>
      <c r="AO28" s="139" t="s">
        <v>855</v>
      </c>
      <c r="AP28" s="139" t="s">
        <v>640</v>
      </c>
      <c r="AR28" s="139" t="s">
        <v>937</v>
      </c>
      <c r="AS28" s="139" t="s">
        <v>938</v>
      </c>
    </row>
    <row r="29" spans="11:45" ht="135">
      <c r="K29" s="293"/>
      <c r="L29" s="293"/>
      <c r="S29" s="135" t="s">
        <v>1002</v>
      </c>
      <c r="AF29" s="150"/>
      <c r="AH29" s="180" t="s">
        <v>457</v>
      </c>
      <c r="AI29" s="139" t="s">
        <v>456</v>
      </c>
      <c r="AJ29" s="148" t="str">
        <f>CONCATENATE(تقویم!$A$2,EventsTable[[#This Row],[روز و ماه]])</f>
        <v>14000210</v>
      </c>
      <c r="AO29" s="139" t="s">
        <v>856</v>
      </c>
      <c r="AP29" s="139" t="s">
        <v>640</v>
      </c>
      <c r="AR29" s="139" t="s">
        <v>939</v>
      </c>
      <c r="AS29" s="139" t="s">
        <v>893</v>
      </c>
    </row>
    <row r="30" spans="11:45" ht="180">
      <c r="K30" s="293"/>
      <c r="L30" s="293"/>
      <c r="S30" s="135" t="s">
        <v>1055</v>
      </c>
      <c r="AF30" s="150"/>
      <c r="AH30" s="180" t="s">
        <v>458</v>
      </c>
      <c r="AI30" s="139" t="s">
        <v>459</v>
      </c>
      <c r="AJ30" s="148" t="str">
        <f>CONCATENATE(تقویم!$A$2,EventsTable[[#This Row],[روز و ماه]])</f>
        <v>14000212</v>
      </c>
      <c r="AO30" s="139" t="s">
        <v>857</v>
      </c>
      <c r="AP30" s="139" t="s">
        <v>645</v>
      </c>
      <c r="AR30" s="139" t="s">
        <v>940</v>
      </c>
      <c r="AS30" s="139" t="s">
        <v>761</v>
      </c>
    </row>
    <row r="31" spans="11:45" ht="195">
      <c r="K31" s="293"/>
      <c r="L31" s="293"/>
      <c r="S31" s="135" t="s">
        <v>1003</v>
      </c>
      <c r="AF31" s="150"/>
      <c r="AH31" s="180" t="s">
        <v>460</v>
      </c>
      <c r="AI31" s="139" t="s">
        <v>461</v>
      </c>
      <c r="AJ31" s="148" t="str">
        <f>CONCATENATE(تقویم!$A$2,EventsTable[[#This Row],[روز و ماه]])</f>
        <v>14000215</v>
      </c>
      <c r="AO31" s="139" t="s">
        <v>858</v>
      </c>
      <c r="AP31" s="139" t="s">
        <v>645</v>
      </c>
      <c r="AR31" s="139" t="s">
        <v>941</v>
      </c>
      <c r="AS31" s="139" t="s">
        <v>898</v>
      </c>
    </row>
    <row r="32" spans="11:45" ht="165">
      <c r="K32" s="293"/>
      <c r="L32" s="293"/>
      <c r="S32" s="135" t="s">
        <v>1004</v>
      </c>
      <c r="AF32" s="150"/>
      <c r="AH32" s="180" t="s">
        <v>462</v>
      </c>
      <c r="AI32" s="139" t="s">
        <v>463</v>
      </c>
      <c r="AJ32" s="148" t="str">
        <f>CONCATENATE(تقویم!$A$2,EventsTable[[#This Row],[روز و ماه]])</f>
        <v>14000218</v>
      </c>
      <c r="AO32" s="139" t="s">
        <v>859</v>
      </c>
      <c r="AP32" s="139" t="s">
        <v>860</v>
      </c>
      <c r="AR32" s="139" t="s">
        <v>942</v>
      </c>
      <c r="AS32" s="139" t="s">
        <v>785</v>
      </c>
    </row>
    <row r="33" spans="11:42" ht="195">
      <c r="K33" s="293"/>
      <c r="L33" s="293"/>
      <c r="AF33" s="150"/>
      <c r="AH33" s="180" t="s">
        <v>464</v>
      </c>
      <c r="AI33" s="139" t="s">
        <v>465</v>
      </c>
      <c r="AJ33" s="148" t="str">
        <f>CONCATENATE(تقویم!$A$2,EventsTable[[#This Row],[روز و ماه]])</f>
        <v>14000219</v>
      </c>
      <c r="AO33" s="139" t="s">
        <v>861</v>
      </c>
      <c r="AP33" s="139" t="s">
        <v>862</v>
      </c>
    </row>
    <row r="34" spans="11:42" ht="210">
      <c r="K34" s="293"/>
      <c r="L34" s="293"/>
      <c r="AF34" s="150"/>
      <c r="AH34" s="180" t="s">
        <v>466</v>
      </c>
      <c r="AI34" s="139" t="s">
        <v>465</v>
      </c>
      <c r="AJ34" s="148" t="str">
        <f>CONCATENATE(تقویم!$A$2,EventsTable[[#This Row],[روز و ماه]])</f>
        <v>14000219</v>
      </c>
      <c r="AO34" s="139" t="s">
        <v>863</v>
      </c>
      <c r="AP34" s="139" t="s">
        <v>661</v>
      </c>
    </row>
    <row r="35" spans="11:42" ht="210">
      <c r="K35" s="293"/>
      <c r="L35" s="293"/>
      <c r="AF35" s="150"/>
      <c r="AH35" s="180" t="s">
        <v>467</v>
      </c>
      <c r="AI35" s="139" t="s">
        <v>468</v>
      </c>
      <c r="AJ35" s="148" t="str">
        <f>CONCATENATE(تقویم!$A$2,EventsTable[[#This Row],[روز و ماه]])</f>
        <v>14000224</v>
      </c>
      <c r="AO35" s="139" t="s">
        <v>864</v>
      </c>
      <c r="AP35" s="139" t="s">
        <v>865</v>
      </c>
    </row>
    <row r="36" spans="11:42" ht="195">
      <c r="K36" s="293"/>
      <c r="L36" s="293"/>
      <c r="AF36" s="150"/>
      <c r="AH36" s="180" t="s">
        <v>469</v>
      </c>
      <c r="AI36" s="139" t="s">
        <v>470</v>
      </c>
      <c r="AJ36" s="148" t="str">
        <f>CONCATENATE(تقویم!$A$2,EventsTable[[#This Row],[روز و ماه]])</f>
        <v>14000225</v>
      </c>
      <c r="AO36" s="139" t="s">
        <v>866</v>
      </c>
      <c r="AP36" s="139" t="s">
        <v>867</v>
      </c>
    </row>
    <row r="37" spans="11:42" ht="105">
      <c r="AF37" s="150"/>
      <c r="AH37" s="180" t="s">
        <v>471</v>
      </c>
      <c r="AI37" s="139" t="s">
        <v>472</v>
      </c>
      <c r="AJ37" s="148" t="str">
        <f>CONCATENATE(تقویم!$A$2,EventsTable[[#This Row],[روز و ماه]])</f>
        <v>14000227</v>
      </c>
      <c r="AO37" s="139" t="s">
        <v>868</v>
      </c>
      <c r="AP37" s="139" t="s">
        <v>809</v>
      </c>
    </row>
    <row r="38" spans="11:42" ht="150">
      <c r="AF38" s="150"/>
      <c r="AH38" s="180" t="s">
        <v>473</v>
      </c>
      <c r="AI38" s="139" t="s">
        <v>474</v>
      </c>
      <c r="AJ38" s="148" t="str">
        <f>CONCATENATE(تقویم!$A$2,EventsTable[[#This Row],[روز و ماه]])</f>
        <v>14000228</v>
      </c>
      <c r="AO38" s="139" t="s">
        <v>869</v>
      </c>
      <c r="AP38" s="139" t="s">
        <v>690</v>
      </c>
    </row>
    <row r="39" spans="11:42" ht="180">
      <c r="AF39" s="150"/>
      <c r="AH39" s="180" t="s">
        <v>475</v>
      </c>
      <c r="AI39" s="139" t="s">
        <v>476</v>
      </c>
      <c r="AJ39" s="148" t="str">
        <f>CONCATENATE(تقویم!$A$2,EventsTable[[#This Row],[روز و ماه]])</f>
        <v>14000230</v>
      </c>
      <c r="AO39" s="139" t="s">
        <v>870</v>
      </c>
      <c r="AP39" s="139" t="s">
        <v>871</v>
      </c>
    </row>
    <row r="40" spans="11:42" ht="105">
      <c r="AF40" s="150"/>
      <c r="AH40" s="180" t="s">
        <v>477</v>
      </c>
      <c r="AI40" s="139" t="s">
        <v>478</v>
      </c>
      <c r="AJ40" s="148" t="str">
        <f>CONCATENATE(تقویم!$A$2,EventsTable[[#This Row],[روز و ماه]])</f>
        <v>14000231</v>
      </c>
      <c r="AO40" s="139" t="s">
        <v>872</v>
      </c>
      <c r="AP40" s="139" t="s">
        <v>871</v>
      </c>
    </row>
    <row r="41" spans="11:42" ht="105">
      <c r="AF41" s="150"/>
      <c r="AH41" s="180" t="s">
        <v>479</v>
      </c>
      <c r="AI41" s="139" t="s">
        <v>480</v>
      </c>
      <c r="AJ41" s="148" t="str">
        <f>CONCATENATE(تقویم!$A$2,EventsTable[[#This Row],[روز و ماه]])</f>
        <v>14000301</v>
      </c>
      <c r="AO41" s="139" t="s">
        <v>873</v>
      </c>
      <c r="AP41" s="139" t="s">
        <v>700</v>
      </c>
    </row>
    <row r="42" spans="11:42" ht="165">
      <c r="AF42" s="150"/>
      <c r="AH42" s="180" t="s">
        <v>481</v>
      </c>
      <c r="AI42" s="139" t="s">
        <v>480</v>
      </c>
      <c r="AJ42" s="148" t="str">
        <f>CONCATENATE(تقویم!$A$2,EventsTable[[#This Row],[روز و ماه]])</f>
        <v>14000301</v>
      </c>
      <c r="AO42" s="139" t="s">
        <v>874</v>
      </c>
      <c r="AP42" s="139" t="s">
        <v>702</v>
      </c>
    </row>
    <row r="43" spans="11:42" ht="285">
      <c r="AF43" s="150"/>
      <c r="AH43" s="180" t="s">
        <v>482</v>
      </c>
      <c r="AI43" s="139" t="s">
        <v>483</v>
      </c>
      <c r="AJ43" s="148" t="str">
        <f>CONCATENATE(تقویم!$A$2,EventsTable[[#This Row],[روز و ماه]])</f>
        <v>14000303</v>
      </c>
      <c r="AO43" s="139" t="s">
        <v>873</v>
      </c>
      <c r="AP43" s="139" t="s">
        <v>704</v>
      </c>
    </row>
    <row r="44" spans="11:42" ht="45">
      <c r="AF44" s="150"/>
      <c r="AH44" s="180" t="s">
        <v>822</v>
      </c>
      <c r="AI44" s="139" t="s">
        <v>484</v>
      </c>
      <c r="AJ44" s="148" t="str">
        <f>CONCATENATE(تقویم!$A$2,EventsTable[[#This Row],[روز و ماه]])</f>
        <v>14000304</v>
      </c>
      <c r="AO44" s="139" t="s">
        <v>873</v>
      </c>
      <c r="AP44" s="139" t="s">
        <v>875</v>
      </c>
    </row>
    <row r="45" spans="11:42" ht="225">
      <c r="AF45" s="150"/>
      <c r="AH45" s="180" t="s">
        <v>485</v>
      </c>
      <c r="AI45" s="139" t="s">
        <v>484</v>
      </c>
      <c r="AJ45" s="148" t="str">
        <f>CONCATENATE(تقویم!$A$2,EventsTable[[#This Row],[روز و ماه]])</f>
        <v>14000304</v>
      </c>
      <c r="AO45" s="139" t="s">
        <v>876</v>
      </c>
      <c r="AP45" s="139" t="s">
        <v>877</v>
      </c>
    </row>
    <row r="46" spans="11:42" ht="150">
      <c r="AF46" s="150"/>
      <c r="AH46" s="180" t="s">
        <v>486</v>
      </c>
      <c r="AI46" s="139" t="s">
        <v>487</v>
      </c>
      <c r="AJ46" s="148" t="str">
        <f>CONCATENATE(تقویم!$A$2,EventsTable[[#This Row],[روز و ماه]])</f>
        <v>14000305</v>
      </c>
      <c r="AO46" s="139" t="s">
        <v>878</v>
      </c>
      <c r="AP46" s="139" t="s">
        <v>731</v>
      </c>
    </row>
    <row r="47" spans="11:42" ht="195">
      <c r="AF47" s="150"/>
      <c r="AH47" s="180" t="s">
        <v>488</v>
      </c>
      <c r="AI47" s="139" t="s">
        <v>489</v>
      </c>
      <c r="AJ47" s="148" t="str">
        <f>CONCATENATE(تقویم!$A$2,EventsTable[[#This Row],[روز و ماه]])</f>
        <v>14000307</v>
      </c>
      <c r="AO47" s="139" t="s">
        <v>879</v>
      </c>
      <c r="AP47" s="139" t="s">
        <v>880</v>
      </c>
    </row>
    <row r="48" spans="11:42" ht="210">
      <c r="AF48" s="150"/>
      <c r="AH48" s="180" t="s">
        <v>490</v>
      </c>
      <c r="AI48" s="139" t="s">
        <v>415</v>
      </c>
      <c r="AJ48" s="148" t="str">
        <f>CONCATENATE(تقویم!$A$2,EventsTable[[#This Row],[روز و ماه]])</f>
        <v>14000314</v>
      </c>
      <c r="AO48" s="139" t="s">
        <v>881</v>
      </c>
      <c r="AP48" s="139" t="s">
        <v>882</v>
      </c>
    </row>
    <row r="49" spans="32:42" ht="315">
      <c r="AF49" s="150"/>
      <c r="AH49" s="180" t="s">
        <v>491</v>
      </c>
      <c r="AI49" s="139" t="s">
        <v>492</v>
      </c>
      <c r="AJ49" s="148" t="str">
        <f>CONCATENATE(تقویم!$A$2,EventsTable[[#This Row],[روز و ماه]])</f>
        <v>14000315</v>
      </c>
      <c r="AO49" s="139" t="s">
        <v>883</v>
      </c>
      <c r="AP49" s="139" t="s">
        <v>884</v>
      </c>
    </row>
    <row r="50" spans="32:42" ht="165">
      <c r="AF50" s="150"/>
      <c r="AH50" s="180" t="s">
        <v>493</v>
      </c>
      <c r="AI50" s="139" t="s">
        <v>494</v>
      </c>
      <c r="AJ50" s="148" t="str">
        <f>CONCATENATE(تقویم!$A$2,EventsTable[[#This Row],[روز و ماه]])</f>
        <v>14000320</v>
      </c>
      <c r="AO50" s="139" t="s">
        <v>885</v>
      </c>
      <c r="AP50" s="139" t="s">
        <v>884</v>
      </c>
    </row>
    <row r="51" spans="32:42" ht="240">
      <c r="AF51" s="150"/>
      <c r="AH51" s="180" t="s">
        <v>495</v>
      </c>
      <c r="AI51" s="139" t="s">
        <v>494</v>
      </c>
      <c r="AJ51" s="148" t="str">
        <f>CONCATENATE(تقویم!$A$2,EventsTable[[#This Row],[روز و ماه]])</f>
        <v>14000320</v>
      </c>
      <c r="AO51" s="139" t="s">
        <v>886</v>
      </c>
      <c r="AP51" s="139" t="s">
        <v>746</v>
      </c>
    </row>
    <row r="52" spans="32:42" ht="255">
      <c r="AF52" s="150"/>
      <c r="AH52" s="180" t="s">
        <v>496</v>
      </c>
      <c r="AI52" s="139" t="s">
        <v>497</v>
      </c>
      <c r="AJ52" s="148" t="str">
        <f>CONCATENATE(تقویم!$A$2,EventsTable[[#This Row],[روز و ماه]])</f>
        <v>14000326</v>
      </c>
      <c r="AO52" s="139" t="s">
        <v>887</v>
      </c>
      <c r="AP52" s="139" t="s">
        <v>888</v>
      </c>
    </row>
    <row r="53" spans="32:42" ht="330">
      <c r="AF53" s="150"/>
      <c r="AH53" s="180" t="s">
        <v>498</v>
      </c>
      <c r="AI53" s="139" t="s">
        <v>499</v>
      </c>
      <c r="AJ53" s="148" t="str">
        <f>CONCATENATE(تقویم!$A$2,EventsTable[[#This Row],[روز و ماه]])</f>
        <v>14000327</v>
      </c>
      <c r="AO53" s="139" t="s">
        <v>889</v>
      </c>
      <c r="AP53" s="139" t="s">
        <v>758</v>
      </c>
    </row>
    <row r="54" spans="32:42" ht="210">
      <c r="AF54" s="150"/>
      <c r="AH54" s="180" t="s">
        <v>500</v>
      </c>
      <c r="AI54" s="139" t="s">
        <v>501</v>
      </c>
      <c r="AJ54" s="148" t="str">
        <f>CONCATENATE(تقویم!$A$2,EventsTable[[#This Row],[روز و ماه]])</f>
        <v>14000329</v>
      </c>
      <c r="AO54" s="139" t="s">
        <v>890</v>
      </c>
      <c r="AP54" s="139" t="s">
        <v>891</v>
      </c>
    </row>
    <row r="55" spans="32:42" ht="300">
      <c r="AF55" s="150"/>
      <c r="AH55" s="180" t="s">
        <v>502</v>
      </c>
      <c r="AI55" s="139" t="s">
        <v>503</v>
      </c>
      <c r="AJ55" s="148" t="str">
        <f>CONCATENATE(تقویم!$A$2,EventsTable[[#This Row],[روز و ماه]])</f>
        <v>14000330</v>
      </c>
      <c r="AO55" s="139" t="s">
        <v>892</v>
      </c>
      <c r="AP55" s="139" t="s">
        <v>893</v>
      </c>
    </row>
    <row r="56" spans="32:42" ht="150">
      <c r="AF56" s="150"/>
      <c r="AH56" s="180" t="s">
        <v>504</v>
      </c>
      <c r="AI56" s="139" t="s">
        <v>505</v>
      </c>
      <c r="AJ56" s="148" t="str">
        <f>CONCATENATE(تقویم!$A$2,EventsTable[[#This Row],[روز و ماه]])</f>
        <v>14000331</v>
      </c>
      <c r="AO56" s="139" t="s">
        <v>894</v>
      </c>
      <c r="AP56" s="139" t="s">
        <v>893</v>
      </c>
    </row>
    <row r="57" spans="32:42" ht="345">
      <c r="AF57" s="150"/>
      <c r="AH57" s="180" t="s">
        <v>506</v>
      </c>
      <c r="AI57" s="139" t="s">
        <v>505</v>
      </c>
      <c r="AJ57" s="148" t="str">
        <f>CONCATENATE(تقویم!$A$2,EventsTable[[#This Row],[روز و ماه]])</f>
        <v>14000331</v>
      </c>
      <c r="AO57" s="139" t="s">
        <v>895</v>
      </c>
      <c r="AP57" s="139" t="s">
        <v>896</v>
      </c>
    </row>
    <row r="58" spans="32:42" ht="409.5">
      <c r="AF58" s="150"/>
      <c r="AH58" s="180" t="s">
        <v>507</v>
      </c>
      <c r="AI58" s="139" t="s">
        <v>508</v>
      </c>
      <c r="AJ58" s="148" t="str">
        <f>CONCATENATE(تقویم!$A$2,EventsTable[[#This Row],[روز و ماه]])</f>
        <v>14000401</v>
      </c>
      <c r="AO58" s="139" t="s">
        <v>897</v>
      </c>
      <c r="AP58" s="139" t="s">
        <v>898</v>
      </c>
    </row>
    <row r="59" spans="32:42" ht="75">
      <c r="AF59" s="150"/>
      <c r="AH59" s="180" t="s">
        <v>509</v>
      </c>
      <c r="AI59" s="139" t="s">
        <v>508</v>
      </c>
      <c r="AJ59" s="148" t="str">
        <f>CONCATENATE(تقویم!$A$2,EventsTable[[#This Row],[روز و ماه]])</f>
        <v>14000401</v>
      </c>
      <c r="AO59" s="139" t="s">
        <v>899</v>
      </c>
      <c r="AP59" s="139" t="s">
        <v>769</v>
      </c>
    </row>
    <row r="60" spans="32:42" ht="409.5">
      <c r="AF60" s="150"/>
      <c r="AH60" s="180" t="s">
        <v>510</v>
      </c>
      <c r="AI60" s="139" t="s">
        <v>511</v>
      </c>
      <c r="AJ60" s="148" t="str">
        <f>CONCATENATE(تقویم!$A$2,EventsTable[[#This Row],[روز و ماه]])</f>
        <v>14000407</v>
      </c>
      <c r="AO60" s="139" t="s">
        <v>900</v>
      </c>
      <c r="AP60" s="139" t="s">
        <v>774</v>
      </c>
    </row>
    <row r="61" spans="32:42" ht="165">
      <c r="AF61" s="150"/>
      <c r="AH61" s="180" t="s">
        <v>512</v>
      </c>
      <c r="AI61" s="139" t="s">
        <v>511</v>
      </c>
      <c r="AJ61" s="148" t="str">
        <f>CONCATENATE(تقویم!$A$2,EventsTable[[#This Row],[روز و ماه]])</f>
        <v>14000407</v>
      </c>
      <c r="AO61" s="139" t="s">
        <v>901</v>
      </c>
      <c r="AP61" s="139" t="s">
        <v>779</v>
      </c>
    </row>
    <row r="62" spans="32:42" ht="180">
      <c r="AF62" s="150"/>
      <c r="AH62" s="180" t="s">
        <v>513</v>
      </c>
      <c r="AI62" s="139" t="s">
        <v>511</v>
      </c>
      <c r="AJ62" s="148" t="str">
        <f>CONCATENATE(تقویم!$A$2,EventsTable[[#This Row],[روز و ماه]])</f>
        <v>14000407</v>
      </c>
      <c r="AO62" s="139" t="s">
        <v>902</v>
      </c>
      <c r="AP62" s="139" t="s">
        <v>903</v>
      </c>
    </row>
    <row r="63" spans="32:42" ht="135">
      <c r="AF63" s="150"/>
      <c r="AH63" s="180" t="s">
        <v>514</v>
      </c>
      <c r="AI63" s="139" t="s">
        <v>515</v>
      </c>
      <c r="AJ63" s="148" t="str">
        <f>CONCATENATE(تقویم!$A$2,EventsTable[[#This Row],[روز و ماه]])</f>
        <v>14000408</v>
      </c>
      <c r="AO63" s="139" t="s">
        <v>904</v>
      </c>
      <c r="AP63" s="139" t="s">
        <v>785</v>
      </c>
    </row>
    <row r="64" spans="32:42" ht="60">
      <c r="AF64" s="150"/>
      <c r="AH64" s="180" t="s">
        <v>516</v>
      </c>
      <c r="AI64" s="139" t="s">
        <v>517</v>
      </c>
      <c r="AJ64" s="148" t="str">
        <f>CONCATENATE(تقویم!$A$2,EventsTable[[#This Row],[روز و ماه]])</f>
        <v>14000410</v>
      </c>
    </row>
    <row r="65" spans="32:36" ht="75">
      <c r="AF65" s="150"/>
      <c r="AH65" s="180" t="s">
        <v>518</v>
      </c>
      <c r="AI65" s="139" t="s">
        <v>517</v>
      </c>
      <c r="AJ65" s="148" t="str">
        <f>CONCATENATE(تقویم!$A$2,EventsTable[[#This Row],[روز و ماه]])</f>
        <v>14000410</v>
      </c>
    </row>
    <row r="66" spans="32:36" ht="90">
      <c r="AF66" s="150"/>
      <c r="AH66" s="180" t="s">
        <v>519</v>
      </c>
      <c r="AI66" s="139" t="s">
        <v>517</v>
      </c>
      <c r="AJ66" s="148" t="str">
        <f>CONCATENATE(تقویم!$A$2,EventsTable[[#This Row],[روز و ماه]])</f>
        <v>14000410</v>
      </c>
    </row>
    <row r="67" spans="32:36" ht="255">
      <c r="AF67" s="150"/>
      <c r="AH67" s="180" t="s">
        <v>520</v>
      </c>
      <c r="AI67" s="139" t="s">
        <v>521</v>
      </c>
      <c r="AJ67" s="148" t="str">
        <f>CONCATENATE(تقویم!$A$2,EventsTable[[#This Row],[روز و ماه]])</f>
        <v>14000411</v>
      </c>
    </row>
    <row r="68" spans="32:36" ht="330">
      <c r="AF68" s="150"/>
      <c r="AH68" s="180" t="s">
        <v>522</v>
      </c>
      <c r="AI68" s="139" t="s">
        <v>523</v>
      </c>
      <c r="AJ68" s="148" t="str">
        <f>CONCATENATE(تقویم!$A$2,EventsTable[[#This Row],[روز و ماه]])</f>
        <v>14000412</v>
      </c>
    </row>
    <row r="69" spans="32:36" ht="105">
      <c r="AF69" s="150"/>
      <c r="AH69" s="180" t="s">
        <v>524</v>
      </c>
      <c r="AI69" s="139" t="s">
        <v>523</v>
      </c>
      <c r="AJ69" s="148" t="str">
        <f>CONCATENATE(تقویم!$A$2,EventsTable[[#This Row],[روز و ماه]])</f>
        <v>14000412</v>
      </c>
    </row>
    <row r="70" spans="32:36" ht="120">
      <c r="AF70" s="150"/>
      <c r="AH70" s="180" t="s">
        <v>525</v>
      </c>
      <c r="AI70" s="139" t="s">
        <v>523</v>
      </c>
      <c r="AJ70" s="148" t="str">
        <f>CONCATENATE(تقویم!$A$2,EventsTable[[#This Row],[روز و ماه]])</f>
        <v>14000412</v>
      </c>
    </row>
    <row r="71" spans="32:36" ht="30">
      <c r="AF71" s="150"/>
      <c r="AH71" s="180" t="s">
        <v>943</v>
      </c>
      <c r="AI71" s="139" t="s">
        <v>527</v>
      </c>
      <c r="AJ71" s="148" t="str">
        <f>CONCATENATE(تقویم!$A$2,EventsTable[[#This Row],[روز و ماه]])</f>
        <v>14000414</v>
      </c>
    </row>
    <row r="72" spans="32:36" ht="75">
      <c r="AF72" s="150"/>
      <c r="AH72" s="180" t="s">
        <v>526</v>
      </c>
      <c r="AI72" s="139" t="s">
        <v>527</v>
      </c>
      <c r="AJ72" s="148" t="str">
        <f>CONCATENATE(تقویم!$A$2,EventsTable[[#This Row],[روز و ماه]])</f>
        <v>14000414</v>
      </c>
    </row>
    <row r="73" spans="32:36" ht="45">
      <c r="AF73" s="150"/>
      <c r="AH73" s="180" t="s">
        <v>528</v>
      </c>
      <c r="AI73" s="139" t="s">
        <v>529</v>
      </c>
      <c r="AJ73" s="148" t="str">
        <f>CONCATENATE(تقویم!$A$2,EventsTable[[#This Row],[روز و ماه]])</f>
        <v>14000416</v>
      </c>
    </row>
    <row r="74" spans="32:36" ht="105">
      <c r="AF74" s="150"/>
      <c r="AH74" s="180" t="s">
        <v>530</v>
      </c>
      <c r="AI74" s="139" t="s">
        <v>531</v>
      </c>
      <c r="AJ74" s="148" t="str">
        <f>CONCATENATE(تقویم!$A$2,EventsTable[[#This Row],[روز و ماه]])</f>
        <v>14000418</v>
      </c>
    </row>
    <row r="75" spans="32:36" ht="285">
      <c r="AF75" s="150"/>
      <c r="AH75" s="180" t="s">
        <v>532</v>
      </c>
      <c r="AI75" s="139" t="s">
        <v>531</v>
      </c>
      <c r="AJ75" s="148" t="str">
        <f>CONCATENATE(تقویم!$A$2,EventsTable[[#This Row],[روز و ماه]])</f>
        <v>14000418</v>
      </c>
    </row>
    <row r="76" spans="32:36" ht="75">
      <c r="AF76" s="150"/>
      <c r="AH76" s="180" t="s">
        <v>533</v>
      </c>
      <c r="AI76" s="139" t="s">
        <v>534</v>
      </c>
      <c r="AJ76" s="148" t="str">
        <f>CONCATENATE(تقویم!$A$2,EventsTable[[#This Row],[روز و ماه]])</f>
        <v>14000421</v>
      </c>
    </row>
    <row r="77" spans="32:36" ht="225">
      <c r="AF77" s="150"/>
      <c r="AH77" s="180" t="s">
        <v>535</v>
      </c>
      <c r="AI77" s="139" t="s">
        <v>534</v>
      </c>
      <c r="AJ77" s="148" t="str">
        <f>CONCATENATE(تقویم!$A$2,EventsTable[[#This Row],[روز و ماه]])</f>
        <v>14000421</v>
      </c>
    </row>
    <row r="78" spans="32:36" ht="210">
      <c r="AF78" s="150"/>
      <c r="AH78" s="180" t="s">
        <v>536</v>
      </c>
      <c r="AI78" s="139" t="s">
        <v>537</v>
      </c>
      <c r="AJ78" s="148" t="str">
        <f>CONCATENATE(تقویم!$A$2,EventsTable[[#This Row],[روز و ماه]])</f>
        <v>14000423</v>
      </c>
    </row>
    <row r="79" spans="32:36" ht="195">
      <c r="AF79" s="150"/>
      <c r="AH79" s="180" t="s">
        <v>538</v>
      </c>
      <c r="AI79" s="139" t="s">
        <v>537</v>
      </c>
      <c r="AJ79" s="148" t="str">
        <f>CONCATENATE(تقویم!$A$2,EventsTable[[#This Row],[روز و ماه]])</f>
        <v>14000423</v>
      </c>
    </row>
    <row r="80" spans="32:36" ht="105">
      <c r="AF80" s="150"/>
      <c r="AH80" s="180" t="s">
        <v>539</v>
      </c>
      <c r="AI80" s="139" t="s">
        <v>540</v>
      </c>
      <c r="AJ80" s="148" t="str">
        <f>CONCATENATE(تقویم!$A$2,EventsTable[[#This Row],[روز و ماه]])</f>
        <v>14000425</v>
      </c>
    </row>
    <row r="81" spans="32:36" ht="180">
      <c r="AF81" s="150"/>
      <c r="AH81" s="180" t="s">
        <v>541</v>
      </c>
      <c r="AI81" s="139" t="s">
        <v>542</v>
      </c>
      <c r="AJ81" s="148" t="str">
        <f>CONCATENATE(تقویم!$A$2,EventsTable[[#This Row],[روز و ماه]])</f>
        <v>14000426</v>
      </c>
    </row>
    <row r="82" spans="32:36" ht="225">
      <c r="AF82" s="150"/>
      <c r="AH82" s="180" t="s">
        <v>543</v>
      </c>
      <c r="AI82" s="139" t="s">
        <v>544</v>
      </c>
      <c r="AJ82" s="148" t="str">
        <f>CONCATENATE(تقویم!$A$2,EventsTable[[#This Row],[روز و ماه]])</f>
        <v>14000427</v>
      </c>
    </row>
    <row r="83" spans="32:36" ht="150">
      <c r="AF83" s="150"/>
      <c r="AH83" s="180" t="s">
        <v>545</v>
      </c>
      <c r="AI83" s="139" t="s">
        <v>546</v>
      </c>
      <c r="AJ83" s="148" t="str">
        <f>CONCATENATE(تقویم!$A$2,EventsTable[[#This Row],[روز و ماه]])</f>
        <v>14000730</v>
      </c>
    </row>
    <row r="84" spans="32:36" ht="120">
      <c r="AF84" s="150"/>
      <c r="AH84" s="180" t="s">
        <v>547</v>
      </c>
      <c r="AI84" s="139" t="s">
        <v>548</v>
      </c>
      <c r="AJ84" s="148" t="str">
        <f>CONCATENATE(تقویم!$A$2,EventsTable[[#This Row],[روز و ماه]])</f>
        <v>14000504</v>
      </c>
    </row>
    <row r="85" spans="32:36" ht="165">
      <c r="AF85" s="150"/>
      <c r="AH85" s="180" t="s">
        <v>549</v>
      </c>
      <c r="AI85" s="139" t="s">
        <v>550</v>
      </c>
      <c r="AJ85" s="148" t="str">
        <f>CONCATENATE(تقویم!$A$2,EventsTable[[#This Row],[روز و ماه]])</f>
        <v>14000505</v>
      </c>
    </row>
    <row r="86" spans="32:36" ht="120">
      <c r="AF86" s="150"/>
      <c r="AH86" s="180" t="s">
        <v>551</v>
      </c>
      <c r="AI86" s="139" t="s">
        <v>552</v>
      </c>
      <c r="AJ86" s="148" t="str">
        <f>CONCATENATE(تقویم!$A$2,EventsTable[[#This Row],[روز و ماه]])</f>
        <v>14000506</v>
      </c>
    </row>
    <row r="87" spans="32:36" ht="165">
      <c r="AF87" s="150"/>
      <c r="AH87" s="180" t="s">
        <v>553</v>
      </c>
      <c r="AI87" s="139" t="s">
        <v>554</v>
      </c>
      <c r="AJ87" s="148" t="str">
        <f>CONCATENATE(تقویم!$A$2,EventsTable[[#This Row],[روز و ماه]])</f>
        <v>14000508</v>
      </c>
    </row>
    <row r="88" spans="32:36" ht="45">
      <c r="AF88" s="150"/>
      <c r="AH88" s="180" t="s">
        <v>555</v>
      </c>
      <c r="AI88" s="139" t="s">
        <v>556</v>
      </c>
      <c r="AJ88" s="148" t="str">
        <f>CONCATENATE(تقویم!$A$2,EventsTable[[#This Row],[روز و ماه]])</f>
        <v>14000509</v>
      </c>
    </row>
    <row r="89" spans="32:36" ht="165">
      <c r="AF89" s="150"/>
      <c r="AH89" s="180" t="s">
        <v>557</v>
      </c>
      <c r="AI89" s="139" t="s">
        <v>558</v>
      </c>
      <c r="AJ89" s="148" t="str">
        <f>CONCATENATE(تقویم!$A$2,EventsTable[[#This Row],[روز و ماه]])</f>
        <v>14000511</v>
      </c>
    </row>
    <row r="90" spans="32:36" ht="135">
      <c r="AF90" s="150"/>
      <c r="AH90" s="180" t="s">
        <v>823</v>
      </c>
      <c r="AI90" s="139" t="s">
        <v>559</v>
      </c>
      <c r="AJ90" s="148" t="str">
        <f>CONCATENATE(تقویم!$A$2,EventsTable[[#This Row],[روز و ماه]])</f>
        <v>14000514</v>
      </c>
    </row>
    <row r="91" spans="32:36" ht="120">
      <c r="AF91" s="150"/>
      <c r="AH91" s="180" t="s">
        <v>560</v>
      </c>
      <c r="AI91" s="139" t="s">
        <v>559</v>
      </c>
      <c r="AJ91" s="148" t="str">
        <f>CONCATENATE(تقویم!$A$2,EventsTable[[#This Row],[روز و ماه]])</f>
        <v>14000514</v>
      </c>
    </row>
    <row r="92" spans="32:36" ht="330">
      <c r="AF92" s="150"/>
      <c r="AH92" s="180" t="s">
        <v>561</v>
      </c>
      <c r="AI92" s="139" t="s">
        <v>562</v>
      </c>
      <c r="AJ92" s="148" t="str">
        <f>CONCATENATE(تقویم!$A$2,EventsTable[[#This Row],[روز و ماه]])</f>
        <v>14000515</v>
      </c>
    </row>
    <row r="93" spans="32:36" ht="210">
      <c r="AF93" s="150"/>
      <c r="AH93" s="180" t="s">
        <v>563</v>
      </c>
      <c r="AI93" s="139" t="s">
        <v>562</v>
      </c>
      <c r="AJ93" s="148" t="str">
        <f>CONCATENATE(تقویم!$A$2,EventsTable[[#This Row],[روز و ماه]])</f>
        <v>14000515</v>
      </c>
    </row>
    <row r="94" spans="32:36" ht="120">
      <c r="AF94" s="150"/>
      <c r="AH94" s="180" t="s">
        <v>564</v>
      </c>
      <c r="AI94" s="139" t="s">
        <v>565</v>
      </c>
      <c r="AJ94" s="148" t="str">
        <f>CONCATENATE(تقویم!$A$2,EventsTable[[#This Row],[روز و ماه]])</f>
        <v>14000516</v>
      </c>
    </row>
    <row r="95" spans="32:36" ht="45">
      <c r="AF95" s="150"/>
      <c r="AH95" s="180" t="s">
        <v>566</v>
      </c>
      <c r="AI95" s="139" t="s">
        <v>567</v>
      </c>
      <c r="AJ95" s="148" t="str">
        <f>CONCATENATE(تقویم!$A$2,EventsTable[[#This Row],[روز و ماه]])</f>
        <v>14000517</v>
      </c>
    </row>
    <row r="96" spans="32:36" ht="105">
      <c r="AF96" s="150"/>
      <c r="AH96" s="180" t="s">
        <v>568</v>
      </c>
      <c r="AI96" s="139" t="s">
        <v>569</v>
      </c>
      <c r="AJ96" s="148" t="str">
        <f>CONCATENATE(تقویم!$A$2,EventsTable[[#This Row],[روز و ماه]])</f>
        <v>14000518</v>
      </c>
    </row>
    <row r="97" spans="32:36" ht="105">
      <c r="AF97" s="150"/>
      <c r="AH97" s="180" t="s">
        <v>570</v>
      </c>
      <c r="AI97" s="139" t="s">
        <v>571</v>
      </c>
      <c r="AJ97" s="148" t="str">
        <f>CONCATENATE(تقویم!$A$2,EventsTable[[#This Row],[روز و ماه]])</f>
        <v>14000521</v>
      </c>
    </row>
    <row r="98" spans="32:36" ht="120">
      <c r="AF98" s="150"/>
      <c r="AH98" s="180" t="s">
        <v>572</v>
      </c>
      <c r="AI98" s="139" t="s">
        <v>573</v>
      </c>
      <c r="AJ98" s="148" t="str">
        <f>CONCATENATE(تقویم!$A$2,EventsTable[[#This Row],[روز و ماه]])</f>
        <v>14000522</v>
      </c>
    </row>
    <row r="99" spans="32:36" ht="60">
      <c r="AF99" s="150"/>
      <c r="AH99" s="180" t="s">
        <v>574</v>
      </c>
      <c r="AI99" s="139" t="s">
        <v>575</v>
      </c>
      <c r="AJ99" s="148" t="str">
        <f>CONCATENATE(تقویم!$A$2,EventsTable[[#This Row],[روز و ماه]])</f>
        <v>14000523</v>
      </c>
    </row>
    <row r="100" spans="32:36" ht="165">
      <c r="AF100" s="150"/>
      <c r="AH100" s="180" t="s">
        <v>576</v>
      </c>
      <c r="AI100" s="139" t="s">
        <v>577</v>
      </c>
      <c r="AJ100" s="148" t="str">
        <f>CONCATENATE(تقویم!$A$2,EventsTable[[#This Row],[روز و ماه]])</f>
        <v>14000526</v>
      </c>
    </row>
    <row r="101" spans="32:36" ht="150">
      <c r="AF101" s="150"/>
      <c r="AH101" s="180" t="s">
        <v>578</v>
      </c>
      <c r="AI101" s="139" t="s">
        <v>579</v>
      </c>
      <c r="AJ101" s="148" t="str">
        <f>CONCATENATE(تقویم!$A$2,EventsTable[[#This Row],[روز و ماه]])</f>
        <v>14000528</v>
      </c>
    </row>
    <row r="102" spans="32:36" ht="285">
      <c r="AF102" s="150"/>
      <c r="AH102" s="180" t="s">
        <v>580</v>
      </c>
      <c r="AI102" s="139" t="s">
        <v>579</v>
      </c>
      <c r="AJ102" s="148" t="str">
        <f>CONCATENATE(تقویم!$A$2,EventsTable[[#This Row],[روز و ماه]])</f>
        <v>14000528</v>
      </c>
    </row>
    <row r="103" spans="32:36" ht="105">
      <c r="AF103" s="150"/>
      <c r="AH103" s="180" t="s">
        <v>581</v>
      </c>
      <c r="AI103" s="139" t="s">
        <v>582</v>
      </c>
      <c r="AJ103" s="148" t="str">
        <f>CONCATENATE(تقویم!$A$2,EventsTable[[#This Row],[روز و ماه]])</f>
        <v>14000530</v>
      </c>
    </row>
    <row r="104" spans="32:36" ht="60">
      <c r="AF104" s="150"/>
      <c r="AH104" s="180" t="s">
        <v>583</v>
      </c>
      <c r="AI104" s="139" t="s">
        <v>584</v>
      </c>
      <c r="AJ104" s="148" t="str">
        <f>CONCATENATE(تقویم!$A$2,EventsTable[[#This Row],[روز و ماه]])</f>
        <v>14000531</v>
      </c>
    </row>
    <row r="105" spans="32:36" ht="75">
      <c r="AF105" s="150"/>
      <c r="AH105" s="180" t="s">
        <v>585</v>
      </c>
      <c r="AI105" s="139" t="s">
        <v>586</v>
      </c>
      <c r="AJ105" s="148" t="str">
        <f>CONCATENATE(تقویم!$A$2,EventsTable[[#This Row],[روز و ماه]])</f>
        <v>14000601</v>
      </c>
    </row>
    <row r="106" spans="32:36" ht="45">
      <c r="AF106" s="150"/>
      <c r="AH106" s="180" t="s">
        <v>587</v>
      </c>
      <c r="AI106" s="139" t="s">
        <v>586</v>
      </c>
      <c r="AJ106" s="148" t="str">
        <f>CONCATENATE(تقویم!$A$2,EventsTable[[#This Row],[روز و ماه]])</f>
        <v>14000601</v>
      </c>
    </row>
    <row r="107" spans="32:36" ht="60">
      <c r="AF107" s="150"/>
      <c r="AH107" s="180" t="s">
        <v>588</v>
      </c>
      <c r="AI107" s="139" t="s">
        <v>589</v>
      </c>
      <c r="AJ107" s="148" t="str">
        <f>CONCATENATE(تقویم!$A$2,EventsTable[[#This Row],[روز و ماه]])</f>
        <v>14000602</v>
      </c>
    </row>
    <row r="108" spans="32:36" ht="255">
      <c r="AF108" s="150"/>
      <c r="AH108" s="180" t="s">
        <v>590</v>
      </c>
      <c r="AI108" s="139" t="s">
        <v>589</v>
      </c>
      <c r="AJ108" s="148" t="str">
        <f>CONCATENATE(تقویم!$A$2,EventsTable[[#This Row],[روز و ماه]])</f>
        <v>14000602</v>
      </c>
    </row>
    <row r="109" spans="32:36" ht="180">
      <c r="AF109" s="150"/>
      <c r="AH109" s="180" t="s">
        <v>591</v>
      </c>
      <c r="AI109" s="139" t="s">
        <v>592</v>
      </c>
      <c r="AJ109" s="148" t="str">
        <f>CONCATENATE(تقویم!$A$2,EventsTable[[#This Row],[روز و ماه]])</f>
        <v>14000603</v>
      </c>
    </row>
    <row r="110" spans="32:36" ht="30">
      <c r="AF110" s="150"/>
      <c r="AH110" s="180" t="s">
        <v>593</v>
      </c>
      <c r="AI110" s="139" t="s">
        <v>594</v>
      </c>
      <c r="AJ110" s="148" t="str">
        <f>CONCATENATE(تقویم!$A$2,EventsTable[[#This Row],[روز و ماه]])</f>
        <v>14000604</v>
      </c>
    </row>
    <row r="111" spans="32:36" ht="120">
      <c r="AF111" s="150"/>
      <c r="AH111" s="180" t="s">
        <v>595</v>
      </c>
      <c r="AI111" s="139" t="s">
        <v>596</v>
      </c>
      <c r="AJ111" s="148" t="str">
        <f>CONCATENATE(تقویم!$A$2,EventsTable[[#This Row],[روز و ماه]])</f>
        <v>14000605</v>
      </c>
    </row>
    <row r="112" spans="32:36" ht="45">
      <c r="AF112" s="150"/>
      <c r="AH112" s="180" t="s">
        <v>597</v>
      </c>
      <c r="AI112" s="139" t="s">
        <v>596</v>
      </c>
      <c r="AJ112" s="148" t="str">
        <f>CONCATENATE(تقویم!$A$2,EventsTable[[#This Row],[روز و ماه]])</f>
        <v>14000605</v>
      </c>
    </row>
    <row r="113" spans="32:36" ht="30">
      <c r="AF113" s="150"/>
      <c r="AH113" s="180" t="s">
        <v>598</v>
      </c>
      <c r="AI113" s="139" t="s">
        <v>596</v>
      </c>
      <c r="AJ113" s="148" t="str">
        <f>CONCATENATE(تقویم!$A$2,EventsTable[[#This Row],[روز و ماه]])</f>
        <v>14000605</v>
      </c>
    </row>
    <row r="114" spans="32:36" ht="405">
      <c r="AF114" s="150"/>
      <c r="AH114" s="180" t="s">
        <v>599</v>
      </c>
      <c r="AI114" s="139" t="s">
        <v>600</v>
      </c>
      <c r="AJ114" s="148" t="str">
        <f>CONCATENATE(تقویم!$A$2,EventsTable[[#This Row],[روز و ماه]])</f>
        <v>14000608</v>
      </c>
    </row>
    <row r="115" spans="32:36" ht="270">
      <c r="AF115" s="150"/>
      <c r="AH115" s="180" t="s">
        <v>601</v>
      </c>
      <c r="AI115" s="139" t="s">
        <v>602</v>
      </c>
      <c r="AJ115" s="148" t="str">
        <f>CONCATENATE(تقویم!$A$2,EventsTable[[#This Row],[روز و ماه]])</f>
        <v>14000610</v>
      </c>
    </row>
    <row r="116" spans="32:36" ht="285">
      <c r="AF116" s="150"/>
      <c r="AH116" s="180" t="s">
        <v>603</v>
      </c>
      <c r="AI116" s="139" t="s">
        <v>602</v>
      </c>
      <c r="AJ116" s="148" t="str">
        <f>CONCATENATE(تقویم!$A$2,EventsTable[[#This Row],[روز و ماه]])</f>
        <v>14000610</v>
      </c>
    </row>
    <row r="117" spans="32:36" ht="60">
      <c r="AF117" s="150"/>
      <c r="AH117" s="180" t="s">
        <v>604</v>
      </c>
      <c r="AI117" s="139" t="s">
        <v>605</v>
      </c>
      <c r="AJ117" s="148" t="str">
        <f>CONCATENATE(تقویم!$A$2,EventsTable[[#This Row],[روز و ماه]])</f>
        <v>14000611</v>
      </c>
    </row>
    <row r="118" spans="32:36" ht="255">
      <c r="AF118" s="150"/>
      <c r="AH118" s="180" t="s">
        <v>606</v>
      </c>
      <c r="AI118" s="139" t="s">
        <v>607</v>
      </c>
      <c r="AJ118" s="148" t="str">
        <f>CONCATENATE(تقویم!$A$2,EventsTable[[#This Row],[روز و ماه]])</f>
        <v>14000612</v>
      </c>
    </row>
    <row r="119" spans="32:36" ht="30">
      <c r="AF119" s="150"/>
      <c r="AH119" s="180" t="s">
        <v>608</v>
      </c>
      <c r="AI119" s="139" t="s">
        <v>607</v>
      </c>
      <c r="AJ119" s="148" t="str">
        <f>CONCATENATE(تقویم!$A$2,EventsTable[[#This Row],[روز و ماه]])</f>
        <v>14000612</v>
      </c>
    </row>
    <row r="120" spans="32:36" ht="30">
      <c r="AF120" s="150"/>
      <c r="AH120" s="139" t="s">
        <v>609</v>
      </c>
      <c r="AI120" s="139" t="s">
        <v>610</v>
      </c>
      <c r="AJ120" s="148" t="str">
        <f>CONCATENATE(تقویم!$A$2,EventsTable[[#This Row],[روز و ماه]])</f>
        <v>14000613</v>
      </c>
    </row>
    <row r="121" spans="32:36" ht="90">
      <c r="AF121" s="150"/>
      <c r="AH121" s="139" t="s">
        <v>611</v>
      </c>
      <c r="AI121" s="139" t="s">
        <v>610</v>
      </c>
      <c r="AJ121" s="148" t="str">
        <f>CONCATENATE(تقویم!$A$2,EventsTable[[#This Row],[روز و ماه]])</f>
        <v>14000613</v>
      </c>
    </row>
    <row r="122" spans="32:36" ht="60">
      <c r="AF122" s="150"/>
      <c r="AH122" s="139" t="s">
        <v>944</v>
      </c>
      <c r="AI122" s="139" t="s">
        <v>610</v>
      </c>
      <c r="AJ122" s="148" t="str">
        <f>CONCATENATE(تقویم!$A$2,EventsTable[[#This Row],[روز و ماه]])</f>
        <v>14000613</v>
      </c>
    </row>
    <row r="123" spans="32:36" ht="210">
      <c r="AF123" s="150"/>
      <c r="AH123" s="139" t="s">
        <v>612</v>
      </c>
      <c r="AI123" s="139" t="s">
        <v>613</v>
      </c>
      <c r="AJ123" s="148" t="str">
        <f>CONCATENATE(تقویم!$A$2,EventsTable[[#This Row],[روز و ماه]])</f>
        <v>14000614</v>
      </c>
    </row>
    <row r="124" spans="32:36" ht="300">
      <c r="AF124" s="150"/>
      <c r="AH124" s="139" t="s">
        <v>614</v>
      </c>
      <c r="AI124" s="139" t="s">
        <v>615</v>
      </c>
      <c r="AJ124" s="148" t="str">
        <f>CONCATENATE(تقویم!$A$2,EventsTable[[#This Row],[روز و ماه]])</f>
        <v>14000617</v>
      </c>
    </row>
    <row r="125" spans="32:36" ht="225">
      <c r="AF125" s="150"/>
      <c r="AH125" s="139" t="s">
        <v>616</v>
      </c>
      <c r="AI125" s="139" t="s">
        <v>617</v>
      </c>
      <c r="AJ125" s="148" t="str">
        <f>CONCATENATE(تقویم!$A$2,EventsTable[[#This Row],[روز و ماه]])</f>
        <v>14000619</v>
      </c>
    </row>
    <row r="126" spans="32:36" ht="255">
      <c r="AF126" s="150"/>
      <c r="AH126" s="139" t="s">
        <v>618</v>
      </c>
      <c r="AI126" s="139" t="s">
        <v>619</v>
      </c>
      <c r="AJ126" s="148" t="str">
        <f>CONCATENATE(تقویم!$A$2,EventsTable[[#This Row],[روز و ماه]])</f>
        <v>14000620</v>
      </c>
    </row>
    <row r="127" spans="32:36" ht="30">
      <c r="AF127" s="150"/>
      <c r="AH127" s="139" t="s">
        <v>620</v>
      </c>
      <c r="AI127" s="139" t="s">
        <v>621</v>
      </c>
      <c r="AJ127" s="148" t="str">
        <f>CONCATENATE(تقویم!$A$2,EventsTable[[#This Row],[روز و ماه]])</f>
        <v>14000621</v>
      </c>
    </row>
    <row r="128" spans="32:36" ht="75">
      <c r="AF128" s="150"/>
      <c r="AH128" s="139" t="s">
        <v>622</v>
      </c>
      <c r="AI128" s="139" t="s">
        <v>623</v>
      </c>
      <c r="AJ128" s="148" t="str">
        <f>CONCATENATE(تقویم!$A$2,EventsTable[[#This Row],[روز و ماه]])</f>
        <v>14000627</v>
      </c>
    </row>
    <row r="129" spans="32:36" ht="150">
      <c r="AF129" s="150"/>
      <c r="AH129" s="139" t="s">
        <v>624</v>
      </c>
      <c r="AI129" s="139" t="s">
        <v>623</v>
      </c>
      <c r="AJ129" s="148" t="str">
        <f>CONCATENATE(تقویم!$A$2,EventsTable[[#This Row],[روز و ماه]])</f>
        <v>14000627</v>
      </c>
    </row>
    <row r="130" spans="32:36" ht="105">
      <c r="AF130" s="150"/>
      <c r="AH130" s="139" t="s">
        <v>625</v>
      </c>
      <c r="AI130" s="139" t="s">
        <v>626</v>
      </c>
      <c r="AJ130" s="148" t="str">
        <f>CONCATENATE(تقویم!$A$2,EventsTable[[#This Row],[روز و ماه]])</f>
        <v>14000631</v>
      </c>
    </row>
    <row r="131" spans="32:36" ht="90">
      <c r="AF131" s="150"/>
      <c r="AH131" s="139" t="s">
        <v>627</v>
      </c>
      <c r="AI131" s="139" t="s">
        <v>626</v>
      </c>
      <c r="AJ131" s="148" t="str">
        <f>CONCATENATE(تقویم!$A$2,EventsTable[[#This Row],[روز و ماه]])</f>
        <v>14000631</v>
      </c>
    </row>
    <row r="132" spans="32:36" ht="210">
      <c r="AF132" s="150"/>
      <c r="AH132" s="139" t="s">
        <v>628</v>
      </c>
      <c r="AI132" s="139" t="s">
        <v>629</v>
      </c>
      <c r="AJ132" s="148" t="str">
        <f>CONCATENATE(تقویم!$A$2,EventsTable[[#This Row],[روز و ماه]])</f>
        <v>14000705</v>
      </c>
    </row>
    <row r="133" spans="32:36" ht="135">
      <c r="AF133" s="150"/>
      <c r="AH133" s="139" t="s">
        <v>630</v>
      </c>
      <c r="AI133" s="139" t="s">
        <v>631</v>
      </c>
      <c r="AJ133" s="148" t="str">
        <f>CONCATENATE(تقویم!$A$2,EventsTable[[#This Row],[روز و ماه]])</f>
        <v>14000707</v>
      </c>
    </row>
    <row r="134" spans="32:36" ht="285">
      <c r="AF134" s="150"/>
      <c r="AH134" s="139" t="s">
        <v>632</v>
      </c>
      <c r="AI134" s="139" t="s">
        <v>631</v>
      </c>
      <c r="AJ134" s="148" t="str">
        <f>CONCATENATE(تقویم!$A$2,EventsTable[[#This Row],[روز و ماه]])</f>
        <v>14000707</v>
      </c>
    </row>
    <row r="135" spans="32:36" ht="75">
      <c r="AF135" s="150"/>
      <c r="AH135" s="139" t="s">
        <v>633</v>
      </c>
      <c r="AI135" s="139" t="s">
        <v>631</v>
      </c>
      <c r="AJ135" s="148" t="str">
        <f>CONCATENATE(تقویم!$A$2,EventsTable[[#This Row],[روز و ماه]])</f>
        <v>14000707</v>
      </c>
    </row>
    <row r="136" spans="32:36" ht="60">
      <c r="AF136" s="150"/>
      <c r="AH136" s="139" t="s">
        <v>634</v>
      </c>
      <c r="AI136" s="139" t="s">
        <v>631</v>
      </c>
      <c r="AJ136" s="148" t="str">
        <f>CONCATENATE(تقویم!$A$2,EventsTable[[#This Row],[روز و ماه]])</f>
        <v>14000707</v>
      </c>
    </row>
    <row r="137" spans="32:36" ht="60">
      <c r="AF137" s="150"/>
      <c r="AH137" s="139" t="s">
        <v>635</v>
      </c>
      <c r="AI137" s="139" t="s">
        <v>636</v>
      </c>
      <c r="AJ137" s="148" t="str">
        <f>CONCATENATE(تقویم!$A$2,EventsTable[[#This Row],[روز و ماه]])</f>
        <v>14000708</v>
      </c>
    </row>
    <row r="138" spans="32:36" ht="180">
      <c r="AF138" s="150"/>
      <c r="AH138" s="139" t="s">
        <v>637</v>
      </c>
      <c r="AI138" s="139" t="s">
        <v>638</v>
      </c>
      <c r="AJ138" s="148" t="str">
        <f>CONCATENATE(تقویم!$A$2,EventsTable[[#This Row],[روز و ماه]])</f>
        <v>14000709</v>
      </c>
    </row>
    <row r="139" spans="32:36" ht="270">
      <c r="AF139" s="150"/>
      <c r="AH139" s="139" t="s">
        <v>639</v>
      </c>
      <c r="AI139" s="139" t="s">
        <v>640</v>
      </c>
      <c r="AJ139" s="148" t="str">
        <f>CONCATENATE(تقویم!$A$2,EventsTable[[#This Row],[روز و ماه]])</f>
        <v>14000713</v>
      </c>
    </row>
    <row r="140" spans="32:36" ht="75">
      <c r="AF140" s="150"/>
      <c r="AH140" s="139" t="s">
        <v>641</v>
      </c>
      <c r="AI140" s="139" t="s">
        <v>640</v>
      </c>
      <c r="AJ140" s="148" t="str">
        <f>CONCATENATE(تقویم!$A$2,EventsTable[[#This Row],[روز و ماه]])</f>
        <v>14000713</v>
      </c>
    </row>
    <row r="141" spans="32:36" ht="45">
      <c r="AF141" s="150"/>
      <c r="AH141" s="139" t="s">
        <v>642</v>
      </c>
      <c r="AI141" s="139" t="s">
        <v>643</v>
      </c>
      <c r="AJ141" s="148" t="str">
        <f>CONCATENATE(تقویم!$A$2,EventsTable[[#This Row],[روز و ماه]])</f>
        <v>14000714</v>
      </c>
    </row>
    <row r="142" spans="32:36" ht="75">
      <c r="AF142" s="150"/>
      <c r="AH142" s="139" t="s">
        <v>644</v>
      </c>
      <c r="AI142" s="139" t="s">
        <v>645</v>
      </c>
      <c r="AJ142" s="148" t="str">
        <f>CONCATENATE(تقویم!$A$2,EventsTable[[#This Row],[روز و ماه]])</f>
        <v>14000715</v>
      </c>
    </row>
    <row r="143" spans="32:36" ht="60">
      <c r="AF143" s="150"/>
      <c r="AH143" s="139" t="s">
        <v>646</v>
      </c>
      <c r="AI143" s="139" t="s">
        <v>647</v>
      </c>
      <c r="AJ143" s="148" t="str">
        <f>CONCATENATE(تقویم!$A$2,EventsTable[[#This Row],[روز و ماه]])</f>
        <v>14000720</v>
      </c>
    </row>
    <row r="144" spans="32:36" ht="270">
      <c r="AF144" s="150"/>
      <c r="AH144" s="139" t="s">
        <v>648</v>
      </c>
      <c r="AI144" s="139" t="s">
        <v>575</v>
      </c>
      <c r="AJ144" s="148" t="str">
        <f>CONCATENATE(تقویم!$A$2,EventsTable[[#This Row],[روز و ماه]])</f>
        <v>14000523</v>
      </c>
    </row>
    <row r="145" spans="32:36" ht="60">
      <c r="AF145" s="150"/>
      <c r="AH145" s="139" t="s">
        <v>649</v>
      </c>
      <c r="AI145" s="139" t="s">
        <v>650</v>
      </c>
      <c r="AJ145" s="148" t="str">
        <f>CONCATENATE(تقویم!$A$2,EventsTable[[#This Row],[روز و ماه]])</f>
        <v>14000724</v>
      </c>
    </row>
    <row r="146" spans="32:36" ht="60">
      <c r="AF146" s="150"/>
      <c r="AH146" s="139" t="s">
        <v>651</v>
      </c>
      <c r="AI146" s="139" t="s">
        <v>650</v>
      </c>
      <c r="AJ146" s="148" t="str">
        <f>CONCATENATE(تقویم!$A$2,EventsTable[[#This Row],[روز و ماه]])</f>
        <v>14000724</v>
      </c>
    </row>
    <row r="147" spans="32:36" ht="345">
      <c r="AF147" s="150"/>
      <c r="AH147" s="139" t="s">
        <v>652</v>
      </c>
      <c r="AI147" s="139" t="s">
        <v>650</v>
      </c>
      <c r="AJ147" s="148" t="str">
        <f>CONCATENATE(تقویم!$A$2,EventsTable[[#This Row],[روز و ماه]])</f>
        <v>14000724</v>
      </c>
    </row>
    <row r="148" spans="32:36" ht="75">
      <c r="AF148" s="150"/>
      <c r="AH148" s="139" t="s">
        <v>653</v>
      </c>
      <c r="AI148" s="139" t="s">
        <v>654</v>
      </c>
      <c r="AJ148" s="148" t="str">
        <f>CONCATENATE(تقویم!$A$2,EventsTable[[#This Row],[روز و ماه]])</f>
        <v>14000726</v>
      </c>
    </row>
    <row r="149" spans="32:36" ht="45">
      <c r="AF149" s="150"/>
      <c r="AH149" s="139" t="s">
        <v>655</v>
      </c>
      <c r="AI149" s="139" t="s">
        <v>656</v>
      </c>
      <c r="AJ149" s="148" t="str">
        <f>CONCATENATE(تقویم!$A$2,EventsTable[[#This Row],[روز و ماه]])</f>
        <v>14000729</v>
      </c>
    </row>
    <row r="150" spans="32:36" ht="225">
      <c r="AF150" s="150"/>
      <c r="AH150" s="139" t="s">
        <v>657</v>
      </c>
      <c r="AI150" s="139" t="s">
        <v>658</v>
      </c>
      <c r="AJ150" s="148" t="str">
        <f>CONCATENATE(تقویم!$A$2,EventsTable[[#This Row],[روز و ماه]])</f>
        <v>14000801</v>
      </c>
    </row>
    <row r="151" spans="32:36" ht="75">
      <c r="AF151" s="150"/>
      <c r="AH151" s="139" t="s">
        <v>659</v>
      </c>
      <c r="AI151" s="139" t="s">
        <v>658</v>
      </c>
      <c r="AJ151" s="148" t="str">
        <f>CONCATENATE(تقویم!$A$2,EventsTable[[#This Row],[روز و ماه]])</f>
        <v>14000801</v>
      </c>
    </row>
    <row r="152" spans="32:36" ht="270">
      <c r="AF152" s="150"/>
      <c r="AH152" s="139" t="s">
        <v>660</v>
      </c>
      <c r="AI152" s="139" t="s">
        <v>661</v>
      </c>
      <c r="AJ152" s="148" t="str">
        <f>CONCATENATE(تقویم!$A$2,EventsTable[[#This Row],[روز و ماه]])</f>
        <v>14000804</v>
      </c>
    </row>
    <row r="153" spans="32:36" ht="225">
      <c r="AF153" s="150"/>
      <c r="AH153" s="139" t="s">
        <v>662</v>
      </c>
      <c r="AI153" s="139" t="s">
        <v>663</v>
      </c>
      <c r="AJ153" s="148" t="str">
        <f>CONCATENATE(تقویم!$A$2,EventsTable[[#This Row],[روز و ماه]])</f>
        <v>14000808</v>
      </c>
    </row>
    <row r="154" spans="32:36">
      <c r="AF154" s="150"/>
      <c r="AH154" s="139"/>
      <c r="AI154" s="139"/>
      <c r="AJ154" s="148" t="str">
        <f>CONCATENATE(تقویم!$A$2,EventsTable[[#This Row],[روز و ماه]])</f>
        <v>1400</v>
      </c>
    </row>
    <row r="155" spans="32:36" ht="90">
      <c r="AF155" s="150"/>
      <c r="AH155" s="139" t="s">
        <v>664</v>
      </c>
      <c r="AI155" s="139" t="s">
        <v>663</v>
      </c>
      <c r="AJ155" s="148" t="str">
        <f>CONCATENATE(تقویم!$A$2,EventsTable[[#This Row],[روز و ماه]])</f>
        <v>14000808</v>
      </c>
    </row>
    <row r="156" spans="32:36" ht="75">
      <c r="AF156" s="150"/>
      <c r="AH156" s="139" t="s">
        <v>665</v>
      </c>
      <c r="AI156" s="139" t="s">
        <v>663</v>
      </c>
      <c r="AJ156" s="148" t="str">
        <f>CONCATENATE(تقویم!$A$2,EventsTable[[#This Row],[روز و ماه]])</f>
        <v>14000808</v>
      </c>
    </row>
    <row r="157" spans="32:36" ht="255">
      <c r="AF157" s="150"/>
      <c r="AH157" s="139" t="s">
        <v>666</v>
      </c>
      <c r="AI157" s="139" t="s">
        <v>667</v>
      </c>
      <c r="AJ157" s="148" t="str">
        <f>CONCATENATE(تقویم!$A$2,EventsTable[[#This Row],[روز و ماه]])</f>
        <v>14000810</v>
      </c>
    </row>
    <row r="158" spans="32:36" ht="255">
      <c r="AF158" s="150"/>
      <c r="AH158" s="139" t="s">
        <v>668</v>
      </c>
      <c r="AI158" s="139" t="s">
        <v>669</v>
      </c>
      <c r="AJ158" s="148" t="str">
        <f>CONCATENATE(تقویم!$A$2,EventsTable[[#This Row],[روز و ماه]])</f>
        <v>14000813</v>
      </c>
    </row>
    <row r="159" spans="32:36" ht="105">
      <c r="AF159" s="150"/>
      <c r="AH159" s="139" t="s">
        <v>670</v>
      </c>
      <c r="AI159" s="139" t="s">
        <v>669</v>
      </c>
      <c r="AJ159" s="148" t="str">
        <f>CONCATENATE(تقویم!$A$2,EventsTable[[#This Row],[روز و ماه]])</f>
        <v>14000813</v>
      </c>
    </row>
    <row r="160" spans="32:36" ht="45">
      <c r="AF160" s="150"/>
      <c r="AH160" s="139" t="s">
        <v>671</v>
      </c>
      <c r="AI160" s="139" t="s">
        <v>669</v>
      </c>
      <c r="AJ160" s="148" t="str">
        <f>CONCATENATE(تقویم!$A$2,EventsTable[[#This Row],[روز و ماه]])</f>
        <v>14000813</v>
      </c>
    </row>
    <row r="161" spans="32:36" ht="240">
      <c r="AF161" s="150"/>
      <c r="AH161" s="139" t="s">
        <v>672</v>
      </c>
      <c r="AI161" s="139" t="s">
        <v>669</v>
      </c>
      <c r="AJ161" s="148" t="str">
        <f>CONCATENATE(تقویم!$A$2,EventsTable[[#This Row],[روز و ماه]])</f>
        <v>14000813</v>
      </c>
    </row>
    <row r="162" spans="32:36" ht="60">
      <c r="AF162" s="150"/>
      <c r="AH162" s="139" t="s">
        <v>673</v>
      </c>
      <c r="AI162" s="139" t="s">
        <v>674</v>
      </c>
      <c r="AJ162" s="148" t="str">
        <f>CONCATENATE(تقویم!$A$2,EventsTable[[#This Row],[روز و ماه]])</f>
        <v>14000814</v>
      </c>
    </row>
    <row r="163" spans="32:36" ht="45">
      <c r="AF163" s="150"/>
      <c r="AH163" s="139" t="s">
        <v>675</v>
      </c>
      <c r="AI163" s="139" t="s">
        <v>676</v>
      </c>
      <c r="AJ163" s="148" t="str">
        <f>CONCATENATE(تقویم!$A$2,EventsTable[[#This Row],[روز و ماه]])</f>
        <v>14000818</v>
      </c>
    </row>
    <row r="164" spans="32:36" ht="120">
      <c r="AF164" s="150"/>
      <c r="AH164" s="139" t="s">
        <v>677</v>
      </c>
      <c r="AI164" s="139" t="s">
        <v>678</v>
      </c>
      <c r="AJ164" s="148" t="str">
        <f>CONCATENATE(تقویم!$A$2,EventsTable[[#This Row],[روز و ماه]])</f>
        <v>14000824</v>
      </c>
    </row>
    <row r="165" spans="32:36" ht="240">
      <c r="AF165" s="150"/>
      <c r="AH165" s="139" t="s">
        <v>679</v>
      </c>
      <c r="AI165" s="139" t="s">
        <v>678</v>
      </c>
      <c r="AJ165" s="148" t="str">
        <f>CONCATENATE(تقویم!$A$2,EventsTable[[#This Row],[روز و ماه]])</f>
        <v>14000824</v>
      </c>
    </row>
    <row r="166" spans="32:36" ht="135">
      <c r="AF166" s="150"/>
      <c r="AH166" s="139" t="s">
        <v>680</v>
      </c>
      <c r="AI166" s="139" t="s">
        <v>681</v>
      </c>
      <c r="AJ166" s="148" t="str">
        <f>CONCATENATE(تقویم!$A$2,EventsTable[[#This Row],[روز و ماه]])</f>
        <v>14000826</v>
      </c>
    </row>
    <row r="167" spans="32:36" ht="345">
      <c r="AF167" s="150"/>
      <c r="AH167" s="139" t="s">
        <v>682</v>
      </c>
      <c r="AI167" s="139" t="s">
        <v>683</v>
      </c>
      <c r="AJ167" s="148" t="str">
        <f>CONCATENATE(تقویم!$A$2,EventsTable[[#This Row],[روز و ماه]])</f>
        <v>14000905</v>
      </c>
    </row>
    <row r="168" spans="32:36" ht="105">
      <c r="AF168" s="150"/>
      <c r="AH168" s="139" t="s">
        <v>684</v>
      </c>
      <c r="AI168" s="139" t="s">
        <v>683</v>
      </c>
      <c r="AJ168" s="148" t="str">
        <f>CONCATENATE(تقویم!$A$2,EventsTable[[#This Row],[روز و ماه]])</f>
        <v>14000905</v>
      </c>
    </row>
    <row r="169" spans="32:36" ht="45">
      <c r="AF169" s="150"/>
      <c r="AH169" s="139" t="s">
        <v>685</v>
      </c>
      <c r="AI169" s="139" t="s">
        <v>686</v>
      </c>
      <c r="AJ169" s="148" t="str">
        <f>CONCATENATE(تقویم!$A$2,EventsTable[[#This Row],[روز و ماه]])</f>
        <v>14000907</v>
      </c>
    </row>
    <row r="170" spans="32:36" ht="75">
      <c r="AF170" s="150"/>
      <c r="AH170" s="139" t="s">
        <v>687</v>
      </c>
      <c r="AI170" s="139" t="s">
        <v>688</v>
      </c>
      <c r="AJ170" s="148" t="str">
        <f>CONCATENATE(تقویم!$A$2,EventsTable[[#This Row],[روز و ماه]])</f>
        <v>14000909</v>
      </c>
    </row>
    <row r="171" spans="32:36" ht="195">
      <c r="AF171" s="150"/>
      <c r="AH171" s="139" t="s">
        <v>689</v>
      </c>
      <c r="AI171" s="139" t="s">
        <v>690</v>
      </c>
      <c r="AJ171" s="148" t="str">
        <f>CONCATENATE(تقویم!$A$2,EventsTable[[#This Row],[روز و ماه]])</f>
        <v>14000910</v>
      </c>
    </row>
    <row r="172" spans="32:36" ht="165">
      <c r="AF172" s="150"/>
      <c r="AH172" s="139" t="s">
        <v>691</v>
      </c>
      <c r="AI172" s="139" t="s">
        <v>692</v>
      </c>
      <c r="AJ172" s="148" t="str">
        <f>CONCATENATE(تقویم!$A$2,EventsTable[[#This Row],[روز و ماه]])</f>
        <v>14000911</v>
      </c>
    </row>
    <row r="173" spans="32:36" ht="330">
      <c r="AF173" s="150"/>
      <c r="AH173" s="139" t="s">
        <v>693</v>
      </c>
      <c r="AI173" s="139" t="s">
        <v>694</v>
      </c>
      <c r="AJ173" s="148" t="str">
        <f>CONCATENATE(تقویم!$A$2,EventsTable[[#This Row],[روز و ماه]])</f>
        <v>14000912</v>
      </c>
    </row>
    <row r="174" spans="32:36" ht="30">
      <c r="AF174" s="150"/>
      <c r="AH174" s="139" t="s">
        <v>695</v>
      </c>
      <c r="AI174" s="139" t="s">
        <v>696</v>
      </c>
      <c r="AJ174" s="148" t="str">
        <f>CONCATENATE(تقویم!$A$2,EventsTable[[#This Row],[روز و ماه]])</f>
        <v>14000913</v>
      </c>
    </row>
    <row r="175" spans="32:36" ht="45">
      <c r="AF175" s="150"/>
      <c r="AH175" s="139" t="s">
        <v>697</v>
      </c>
      <c r="AI175" s="139" t="s">
        <v>698</v>
      </c>
      <c r="AJ175" s="148" t="str">
        <f>CONCATENATE(تقویم!$A$2,EventsTable[[#This Row],[روز و ماه]])</f>
        <v>14000916</v>
      </c>
    </row>
    <row r="176" spans="32:36" ht="255">
      <c r="AF176" s="150"/>
      <c r="AH176" s="139" t="s">
        <v>699</v>
      </c>
      <c r="AI176" s="139" t="s">
        <v>700</v>
      </c>
      <c r="AJ176" s="148" t="str">
        <f>CONCATENATE(تقویم!$A$2,EventsTable[[#This Row],[روز و ماه]])</f>
        <v>14000918</v>
      </c>
    </row>
    <row r="177" spans="32:36" ht="315">
      <c r="AF177" s="150"/>
      <c r="AH177" s="139" t="s">
        <v>701</v>
      </c>
      <c r="AI177" s="139" t="s">
        <v>702</v>
      </c>
      <c r="AJ177" s="148" t="str">
        <f>CONCATENATE(تقویم!$A$2,EventsTable[[#This Row],[روز و ماه]])</f>
        <v>14000919</v>
      </c>
    </row>
    <row r="178" spans="32:36" ht="255">
      <c r="AF178" s="150"/>
      <c r="AH178" s="139" t="s">
        <v>703</v>
      </c>
      <c r="AI178" s="139" t="s">
        <v>704</v>
      </c>
      <c r="AJ178" s="148" t="str">
        <f>CONCATENATE(تقویم!$A$2,EventsTable[[#This Row],[روز و ماه]])</f>
        <v>14000920</v>
      </c>
    </row>
    <row r="179" spans="32:36" ht="45">
      <c r="AF179" s="150"/>
      <c r="AH179" s="139" t="s">
        <v>705</v>
      </c>
      <c r="AI179" s="139" t="s">
        <v>706</v>
      </c>
      <c r="AJ179" s="148" t="str">
        <f>CONCATENATE(تقویم!$A$2,EventsTable[[#This Row],[روز و ماه]])</f>
        <v>14000925</v>
      </c>
    </row>
    <row r="180" spans="32:36" ht="75">
      <c r="AF180" s="150"/>
      <c r="AH180" s="139" t="s">
        <v>707</v>
      </c>
      <c r="AI180" s="139" t="s">
        <v>708</v>
      </c>
      <c r="AJ180" s="148" t="str">
        <f>CONCATENATE(تقویم!$A$2,EventsTable[[#This Row],[روز و ماه]])</f>
        <v>14000926</v>
      </c>
    </row>
    <row r="181" spans="32:36" ht="150">
      <c r="AF181" s="150"/>
      <c r="AH181" s="139" t="s">
        <v>709</v>
      </c>
      <c r="AI181" s="139" t="s">
        <v>710</v>
      </c>
      <c r="AJ181" s="148" t="str">
        <f>CONCATENATE(تقویم!$A$2,EventsTable[[#This Row],[روز و ماه]])</f>
        <v>14000927</v>
      </c>
    </row>
    <row r="182" spans="32:36" ht="105">
      <c r="AF182" s="150"/>
      <c r="AH182" s="139" t="s">
        <v>711</v>
      </c>
      <c r="AI182" s="139" t="s">
        <v>710</v>
      </c>
      <c r="AJ182" s="148" t="str">
        <f>CONCATENATE(تقویم!$A$2,EventsTable[[#This Row],[روز و ماه]])</f>
        <v>14000927</v>
      </c>
    </row>
    <row r="183" spans="32:36" ht="90">
      <c r="AF183" s="150"/>
      <c r="AH183" s="139" t="s">
        <v>712</v>
      </c>
      <c r="AI183" s="139" t="s">
        <v>713</v>
      </c>
      <c r="AJ183" s="148" t="str">
        <f>CONCATENATE(تقویم!$A$2,EventsTable[[#This Row],[روز و ماه]])</f>
        <v>14000929</v>
      </c>
    </row>
    <row r="184" spans="32:36" ht="30">
      <c r="AF184" s="150"/>
      <c r="AH184" s="139" t="s">
        <v>714</v>
      </c>
      <c r="AI184" s="139" t="s">
        <v>715</v>
      </c>
      <c r="AJ184" s="148" t="str">
        <f>CONCATENATE(تقویم!$A$2,EventsTable[[#This Row],[روز و ماه]])</f>
        <v>14000930</v>
      </c>
    </row>
    <row r="185" spans="32:36" ht="45">
      <c r="AF185" s="150"/>
      <c r="AH185" s="139" t="s">
        <v>716</v>
      </c>
      <c r="AI185" s="139" t="s">
        <v>717</v>
      </c>
      <c r="AJ185" s="148" t="str">
        <f>CONCATENATE(تقویم!$A$2,EventsTable[[#This Row],[روز و ماه]])</f>
        <v>14001003</v>
      </c>
    </row>
    <row r="186" spans="32:36" ht="180">
      <c r="AF186" s="150"/>
      <c r="AH186" s="139" t="s">
        <v>718</v>
      </c>
      <c r="AI186" s="139" t="s">
        <v>719</v>
      </c>
      <c r="AJ186" s="148" t="str">
        <f>CONCATENATE(تقویم!$A$2,EventsTable[[#This Row],[روز و ماه]])</f>
        <v>14001005</v>
      </c>
    </row>
    <row r="187" spans="32:36" ht="315">
      <c r="AF187" s="150"/>
      <c r="AH187" s="139" t="s">
        <v>720</v>
      </c>
      <c r="AI187" s="139" t="s">
        <v>721</v>
      </c>
      <c r="AJ187" s="148" t="str">
        <f>CONCATENATE(تقویم!$A$2,EventsTable[[#This Row],[روز و ماه]])</f>
        <v>14001007</v>
      </c>
    </row>
    <row r="188" spans="32:36" ht="270">
      <c r="AF188" s="150"/>
      <c r="AH188" s="139" t="s">
        <v>722</v>
      </c>
      <c r="AI188" s="139" t="s">
        <v>721</v>
      </c>
      <c r="AJ188" s="148" t="str">
        <f>CONCATENATE(تقویم!$A$2,EventsTable[[#This Row],[روز و ماه]])</f>
        <v>14001007</v>
      </c>
    </row>
    <row r="189" spans="32:36" ht="75">
      <c r="AF189" s="150"/>
      <c r="AH189" s="139" t="s">
        <v>723</v>
      </c>
      <c r="AI189" s="139" t="s">
        <v>724</v>
      </c>
      <c r="AJ189" s="148" t="str">
        <f>CONCATENATE(تقویم!$A$2,EventsTable[[#This Row],[روز و ماه]])</f>
        <v>14001008</v>
      </c>
    </row>
    <row r="190" spans="32:36" ht="210">
      <c r="AF190" s="150"/>
      <c r="AH190" s="139" t="s">
        <v>725</v>
      </c>
      <c r="AI190" s="139" t="s">
        <v>726</v>
      </c>
      <c r="AJ190" s="148" t="str">
        <f>CONCATENATE(تقویم!$A$2,EventsTable[[#This Row],[روز و ماه]])</f>
        <v>14001009</v>
      </c>
    </row>
    <row r="191" spans="32:36" ht="409.5">
      <c r="AF191" s="150"/>
      <c r="AH191" s="139" t="s">
        <v>727</v>
      </c>
      <c r="AI191" s="139" t="s">
        <v>728</v>
      </c>
      <c r="AJ191" s="148" t="str">
        <f>CONCATENATE(تقویم!$A$2,EventsTable[[#This Row],[روز و ماه]])</f>
        <v>14001013</v>
      </c>
    </row>
    <row r="192" spans="32:36" ht="285">
      <c r="AF192" s="150"/>
      <c r="AH192" s="139" t="s">
        <v>729</v>
      </c>
      <c r="AI192" s="139" t="s">
        <v>728</v>
      </c>
      <c r="AJ192" s="148" t="str">
        <f>CONCATENATE(تقویم!$A$2,EventsTable[[#This Row],[روز و ماه]])</f>
        <v>14001013</v>
      </c>
    </row>
    <row r="193" spans="32:36" ht="315">
      <c r="AF193" s="150"/>
      <c r="AH193" s="139" t="s">
        <v>730</v>
      </c>
      <c r="AI193" s="139" t="s">
        <v>731</v>
      </c>
      <c r="AJ193" s="148" t="str">
        <f>CONCATENATE(تقویم!$A$2,EventsTable[[#This Row],[روز و ماه]])</f>
        <v>14001017</v>
      </c>
    </row>
    <row r="194" spans="32:36" ht="105">
      <c r="AF194" s="150"/>
      <c r="AH194" s="139" t="s">
        <v>732</v>
      </c>
      <c r="AI194" s="139" t="s">
        <v>731</v>
      </c>
      <c r="AJ194" s="148" t="str">
        <f>CONCATENATE(تقویم!$A$2,EventsTable[[#This Row],[روز و ماه]])</f>
        <v>14001017</v>
      </c>
    </row>
    <row r="195" spans="32:36" ht="105">
      <c r="AF195" s="150"/>
      <c r="AH195" s="139" t="s">
        <v>733</v>
      </c>
      <c r="AI195" s="139" t="s">
        <v>734</v>
      </c>
      <c r="AJ195" s="148" t="str">
        <f>CONCATENATE(تقویم!$A$2,EventsTable[[#This Row],[روز و ماه]])</f>
        <v>14001019</v>
      </c>
    </row>
    <row r="196" spans="32:36" ht="150">
      <c r="AF196" s="150"/>
      <c r="AH196" s="139" t="s">
        <v>735</v>
      </c>
      <c r="AI196" s="139" t="s">
        <v>736</v>
      </c>
      <c r="AJ196" s="148" t="str">
        <f>CONCATENATE(تقویم!$A$2,EventsTable[[#This Row],[روز و ماه]])</f>
        <v>14001020</v>
      </c>
    </row>
    <row r="197" spans="32:36" ht="270">
      <c r="AF197" s="150"/>
      <c r="AH197" s="139" t="s">
        <v>737</v>
      </c>
      <c r="AI197" s="139" t="s">
        <v>738</v>
      </c>
      <c r="AJ197" s="148" t="str">
        <f>CONCATENATE(تقویم!$A$2,EventsTable[[#This Row],[روز و ماه]])</f>
        <v>14001022</v>
      </c>
    </row>
    <row r="198" spans="32:36" ht="105">
      <c r="AF198" s="150"/>
      <c r="AH198" s="139" t="s">
        <v>739</v>
      </c>
      <c r="AI198" s="139" t="s">
        <v>740</v>
      </c>
      <c r="AJ198" s="148" t="str">
        <f>CONCATENATE(تقویم!$A$2,EventsTable[[#This Row],[روز و ماه]])</f>
        <v>14001026</v>
      </c>
    </row>
    <row r="199" spans="32:36" ht="300">
      <c r="AF199" s="150"/>
      <c r="AH199" s="139" t="s">
        <v>741</v>
      </c>
      <c r="AI199" s="139" t="s">
        <v>742</v>
      </c>
      <c r="AJ199" s="148" t="str">
        <f>CONCATENATE(تقویم!$A$2,EventsTable[[#This Row],[روز و ماه]])</f>
        <v>14001027</v>
      </c>
    </row>
    <row r="200" spans="32:36" ht="30">
      <c r="AF200" s="150"/>
      <c r="AH200" s="139" t="s">
        <v>743</v>
      </c>
      <c r="AI200" s="139" t="s">
        <v>744</v>
      </c>
      <c r="AJ200" s="148" t="str">
        <f>CONCATENATE(تقویم!$A$2,EventsTable[[#This Row],[روز و ماه]])</f>
        <v>14001029</v>
      </c>
    </row>
    <row r="201" spans="32:36" ht="90">
      <c r="AF201" s="150"/>
      <c r="AH201" s="139" t="s">
        <v>745</v>
      </c>
      <c r="AI201" s="139" t="s">
        <v>746</v>
      </c>
      <c r="AJ201" s="148" t="str">
        <f>CONCATENATE(تقویم!$A$2,EventsTable[[#This Row],[روز و ماه]])</f>
        <v>14001106</v>
      </c>
    </row>
    <row r="202" spans="32:36" ht="345">
      <c r="AF202" s="150"/>
      <c r="AH202" s="139" t="s">
        <v>747</v>
      </c>
      <c r="AI202" s="139" t="s">
        <v>748</v>
      </c>
      <c r="AJ202" s="148" t="str">
        <f>CONCATENATE(تقویم!$A$2,EventsTable[[#This Row],[روز و ماه]])</f>
        <v>14001112</v>
      </c>
    </row>
    <row r="203" spans="32:36" ht="60">
      <c r="AF203" s="150"/>
      <c r="AH203" s="139" t="s">
        <v>749</v>
      </c>
      <c r="AI203" s="139" t="s">
        <v>750</v>
      </c>
      <c r="AJ203" s="148" t="str">
        <f>CONCATENATE(تقویم!$A$2,EventsTable[[#This Row],[روز و ماه]])</f>
        <v>14001114</v>
      </c>
    </row>
    <row r="204" spans="32:36" ht="45">
      <c r="AF204" s="150"/>
      <c r="AH204" s="139" t="s">
        <v>751</v>
      </c>
      <c r="AI204" s="139" t="s">
        <v>752</v>
      </c>
      <c r="AJ204" s="148" t="str">
        <f>CONCATENATE(تقویم!$A$2,EventsTable[[#This Row],[روز و ماه]])</f>
        <v>14001119</v>
      </c>
    </row>
    <row r="205" spans="32:36" ht="240">
      <c r="AF205" s="150"/>
      <c r="AH205" s="139" t="s">
        <v>753</v>
      </c>
      <c r="AI205" s="139" t="s">
        <v>754</v>
      </c>
      <c r="AJ205" s="148" t="str">
        <f>CONCATENATE(تقویم!$A$2,EventsTable[[#This Row],[روز و ماه]])</f>
        <v>14001121</v>
      </c>
    </row>
    <row r="206" spans="32:36" ht="405">
      <c r="AF206" s="150"/>
      <c r="AH206" s="139" t="s">
        <v>755</v>
      </c>
      <c r="AI206" s="139" t="s">
        <v>756</v>
      </c>
      <c r="AJ206" s="148" t="str">
        <f>CONCATENATE(تقویم!$A$2,EventsTable[[#This Row],[روز و ماه]])</f>
        <v>14001125</v>
      </c>
    </row>
    <row r="207" spans="32:36" ht="240">
      <c r="AF207" s="150"/>
      <c r="AH207" s="139" t="s">
        <v>757</v>
      </c>
      <c r="AI207" s="139" t="s">
        <v>758</v>
      </c>
      <c r="AJ207" s="148" t="str">
        <f>CONCATENATE(تقویم!$A$2,EventsTable[[#This Row],[روز و ماه]])</f>
        <v>14001129</v>
      </c>
    </row>
    <row r="208" spans="32:36" ht="105">
      <c r="AF208" s="150"/>
      <c r="AH208" s="139" t="s">
        <v>759</v>
      </c>
      <c r="AI208" s="139" t="s">
        <v>758</v>
      </c>
      <c r="AJ208" s="148" t="str">
        <f>CONCATENATE(تقویم!$A$2,EventsTable[[#This Row],[روز و ماه]])</f>
        <v>14001129</v>
      </c>
    </row>
    <row r="209" spans="32:36" ht="135">
      <c r="AF209" s="150"/>
      <c r="AH209" s="139" t="s">
        <v>760</v>
      </c>
      <c r="AI209" s="139" t="s">
        <v>761</v>
      </c>
      <c r="AJ209" s="148" t="str">
        <f>CONCATENATE(تقویم!$A$2,EventsTable[[#This Row],[روز و ماه]])</f>
        <v>14001203</v>
      </c>
    </row>
    <row r="210" spans="32:36" ht="105">
      <c r="AF210" s="150"/>
      <c r="AH210" s="139" t="s">
        <v>762</v>
      </c>
      <c r="AI210" s="139" t="s">
        <v>763</v>
      </c>
      <c r="AJ210" s="148" t="str">
        <f>CONCATENATE(تقویم!$A$2,EventsTable[[#This Row],[روز و ماه]])</f>
        <v>14001205</v>
      </c>
    </row>
    <row r="211" spans="32:36" ht="45">
      <c r="AF211" s="150"/>
      <c r="AH211" s="139" t="s">
        <v>764</v>
      </c>
      <c r="AI211" s="139" t="s">
        <v>763</v>
      </c>
      <c r="AJ211" s="148" t="str">
        <f>CONCATENATE(تقویم!$A$2,EventsTable[[#This Row],[روز و ماه]])</f>
        <v>14001205</v>
      </c>
    </row>
    <row r="212" spans="32:36" ht="105">
      <c r="AF212" s="150"/>
      <c r="AH212" s="139" t="s">
        <v>765</v>
      </c>
      <c r="AI212" s="139" t="s">
        <v>766</v>
      </c>
      <c r="AJ212" s="148" t="str">
        <f>CONCATENATE(تقویم!$A$2,EventsTable[[#This Row],[روز و ماه]])</f>
        <v>14001208</v>
      </c>
    </row>
    <row r="213" spans="32:36" ht="120">
      <c r="AF213" s="150"/>
      <c r="AH213" s="139" t="s">
        <v>767</v>
      </c>
      <c r="AI213" s="139" t="s">
        <v>766</v>
      </c>
      <c r="AJ213" s="148" t="str">
        <f>CONCATENATE(تقویم!$A$2,EventsTable[[#This Row],[روز و ماه]])</f>
        <v>14001208</v>
      </c>
    </row>
    <row r="214" spans="32:36" ht="120">
      <c r="AF214" s="150"/>
      <c r="AH214" s="139" t="s">
        <v>768</v>
      </c>
      <c r="AI214" s="139" t="s">
        <v>769</v>
      </c>
      <c r="AJ214" s="148" t="str">
        <f>CONCATENATE(تقویم!$A$2,EventsTable[[#This Row],[روز و ماه]])</f>
        <v>14001209</v>
      </c>
    </row>
    <row r="215" spans="32:36" ht="75">
      <c r="AF215" s="150"/>
      <c r="AH215" s="139" t="s">
        <v>770</v>
      </c>
      <c r="AI215" s="139" t="s">
        <v>771</v>
      </c>
      <c r="AJ215" s="148" t="str">
        <f>CONCATENATE(تقویم!$A$2,EventsTable[[#This Row],[روز و ماه]])</f>
        <v>14001214</v>
      </c>
    </row>
    <row r="216" spans="32:36" ht="120">
      <c r="AF216" s="150"/>
      <c r="AH216" s="139" t="s">
        <v>772</v>
      </c>
      <c r="AI216" s="139" t="s">
        <v>771</v>
      </c>
      <c r="AJ216" s="148" t="str">
        <f>CONCATENATE(تقویم!$A$2,EventsTable[[#This Row],[روز و ماه]])</f>
        <v>14001214</v>
      </c>
    </row>
    <row r="217" spans="32:36" ht="45">
      <c r="AF217" s="150"/>
      <c r="AH217" s="139" t="s">
        <v>773</v>
      </c>
      <c r="AI217" s="139" t="s">
        <v>774</v>
      </c>
      <c r="AJ217" s="148" t="str">
        <f>CONCATENATE(تقویم!$A$2,EventsTable[[#This Row],[روز و ماه]])</f>
        <v>14001215</v>
      </c>
    </row>
    <row r="218" spans="32:36" ht="105">
      <c r="AF218" s="150"/>
      <c r="AH218" s="139" t="s">
        <v>775</v>
      </c>
      <c r="AI218" s="139" t="s">
        <v>776</v>
      </c>
      <c r="AJ218" s="148" t="str">
        <f>CONCATENATE(تقویم!$A$2,EventsTable[[#This Row],[روز و ماه]])</f>
        <v>14001218</v>
      </c>
    </row>
    <row r="219" spans="32:36" ht="180">
      <c r="AF219" s="150"/>
      <c r="AH219" s="139" t="s">
        <v>777</v>
      </c>
      <c r="AI219" s="139" t="s">
        <v>776</v>
      </c>
      <c r="AJ219" s="148" t="str">
        <f>CONCATENATE(تقویم!$A$2,EventsTable[[#This Row],[روز و ماه]])</f>
        <v>14001218</v>
      </c>
    </row>
    <row r="220" spans="32:36" ht="45">
      <c r="AF220" s="150"/>
      <c r="AH220" s="139" t="s">
        <v>778</v>
      </c>
      <c r="AI220" s="139" t="s">
        <v>779</v>
      </c>
      <c r="AJ220" s="148" t="str">
        <f>CONCATENATE(تقویم!$A$2,EventsTable[[#This Row],[روز و ماه]])</f>
        <v>14001220</v>
      </c>
    </row>
    <row r="221" spans="32:36" ht="90">
      <c r="AF221" s="150"/>
      <c r="AH221" s="139" t="s">
        <v>780</v>
      </c>
      <c r="AI221" s="139" t="s">
        <v>781</v>
      </c>
      <c r="AJ221" s="148" t="str">
        <f>CONCATENATE(تقویم!$A$2,EventsTable[[#This Row],[روز و ماه]])</f>
        <v>14001221</v>
      </c>
    </row>
    <row r="222" spans="32:36" ht="409.5">
      <c r="AF222" s="150"/>
      <c r="AH222" s="139" t="s">
        <v>782</v>
      </c>
      <c r="AI222" s="139" t="s">
        <v>783</v>
      </c>
      <c r="AJ222" s="148" t="str">
        <f>CONCATENATE(تقویم!$A$2,EventsTable[[#This Row],[روز و ماه]])</f>
        <v>14001222</v>
      </c>
    </row>
    <row r="223" spans="32:36" ht="195">
      <c r="AF223" s="150"/>
      <c r="AH223" s="139" t="s">
        <v>784</v>
      </c>
      <c r="AI223" s="139" t="s">
        <v>785</v>
      </c>
      <c r="AJ223" s="148" t="str">
        <f>CONCATENATE(تقویم!$A$2,EventsTable[[#This Row],[روز و ماه]])</f>
        <v>14001225</v>
      </c>
    </row>
    <row r="224" spans="32:36" ht="255">
      <c r="AF224" s="150"/>
      <c r="AH224" s="139" t="s">
        <v>786</v>
      </c>
      <c r="AI224" s="139" t="s">
        <v>787</v>
      </c>
      <c r="AJ224" s="148" t="str">
        <f>CONCATENATE(تقویم!$A$2,EventsTable[[#This Row],[روز و ماه]])</f>
        <v>14001230</v>
      </c>
    </row>
    <row r="225" spans="32:36">
      <c r="AF225" s="150"/>
      <c r="AJ225" s="150"/>
    </row>
    <row r="226" spans="32:36">
      <c r="AF226" s="150"/>
      <c r="AJ226" s="150"/>
    </row>
    <row r="227" spans="32:36">
      <c r="AF227" s="150"/>
      <c r="AJ227" s="150"/>
    </row>
    <row r="228" spans="32:36">
      <c r="AF228" s="150"/>
      <c r="AJ228" s="150"/>
    </row>
    <row r="229" spans="32:36">
      <c r="AF229" s="150"/>
      <c r="AJ229" s="150"/>
    </row>
    <row r="230" spans="32:36">
      <c r="AF230" s="150"/>
      <c r="AJ230" s="150"/>
    </row>
    <row r="231" spans="32:36">
      <c r="AF231" s="150"/>
      <c r="AJ231" s="150"/>
    </row>
    <row r="232" spans="32:36">
      <c r="AF232" s="150"/>
      <c r="AJ232" s="150"/>
    </row>
    <row r="233" spans="32:36">
      <c r="AF233" s="150"/>
      <c r="AJ233" s="150"/>
    </row>
    <row r="234" spans="32:36">
      <c r="AF234" s="150"/>
      <c r="AJ234" s="150"/>
    </row>
    <row r="235" spans="32:36">
      <c r="AF235" s="150"/>
      <c r="AJ235" s="150"/>
    </row>
    <row r="236" spans="32:36">
      <c r="AF236" s="150"/>
      <c r="AJ236" s="150"/>
    </row>
    <row r="237" spans="32:36">
      <c r="AF237" s="150"/>
      <c r="AJ237" s="150"/>
    </row>
    <row r="238" spans="32:36">
      <c r="AF238" s="150"/>
      <c r="AJ238" s="150"/>
    </row>
    <row r="239" spans="32:36">
      <c r="AF239" s="150"/>
      <c r="AJ239" s="150"/>
    </row>
    <row r="240" spans="32:36">
      <c r="AF240" s="150"/>
      <c r="AJ240" s="150"/>
    </row>
    <row r="241" spans="32:36">
      <c r="AF241" s="150"/>
      <c r="AJ241" s="150"/>
    </row>
    <row r="242" spans="32:36">
      <c r="AF242" s="150"/>
      <c r="AJ242" s="150"/>
    </row>
    <row r="243" spans="32:36">
      <c r="AF243" s="150"/>
      <c r="AJ243" s="150"/>
    </row>
    <row r="244" spans="32:36">
      <c r="AF244" s="150"/>
      <c r="AJ244" s="150"/>
    </row>
    <row r="245" spans="32:36">
      <c r="AF245" s="150"/>
      <c r="AJ245" s="150"/>
    </row>
    <row r="246" spans="32:36">
      <c r="AF246" s="150"/>
      <c r="AJ246" s="150"/>
    </row>
    <row r="247" spans="32:36">
      <c r="AF247" s="150"/>
      <c r="AJ247" s="150"/>
    </row>
    <row r="248" spans="32:36">
      <c r="AF248" s="150"/>
      <c r="AJ248" s="150"/>
    </row>
    <row r="249" spans="32:36">
      <c r="AF249" s="150"/>
      <c r="AJ249" s="150"/>
    </row>
    <row r="250" spans="32:36">
      <c r="AF250" s="150"/>
      <c r="AJ250" s="150"/>
    </row>
    <row r="251" spans="32:36">
      <c r="AF251" s="150"/>
      <c r="AJ251" s="150"/>
    </row>
    <row r="252" spans="32:36">
      <c r="AF252" s="150"/>
      <c r="AJ252" s="150"/>
    </row>
    <row r="253" spans="32:36">
      <c r="AF253" s="150"/>
      <c r="AJ253" s="150"/>
    </row>
    <row r="254" spans="32:36">
      <c r="AF254" s="150"/>
      <c r="AJ254" s="150"/>
    </row>
    <row r="255" spans="32:36">
      <c r="AF255" s="150"/>
      <c r="AJ255" s="150"/>
    </row>
    <row r="256" spans="32:36">
      <c r="AF256" s="150"/>
      <c r="AJ256" s="150"/>
    </row>
    <row r="257" spans="32:36">
      <c r="AF257" s="150"/>
      <c r="AJ257" s="150"/>
    </row>
    <row r="258" spans="32:36">
      <c r="AF258" s="150"/>
      <c r="AJ258" s="150"/>
    </row>
    <row r="259" spans="32:36">
      <c r="AF259" s="150"/>
      <c r="AJ259" s="150"/>
    </row>
    <row r="260" spans="32:36">
      <c r="AF260" s="150"/>
      <c r="AJ260" s="150"/>
    </row>
    <row r="261" spans="32:36">
      <c r="AF261" s="150"/>
      <c r="AJ261" s="150"/>
    </row>
    <row r="262" spans="32:36">
      <c r="AF262" s="150"/>
      <c r="AJ262" s="150"/>
    </row>
    <row r="263" spans="32:36">
      <c r="AF263" s="150"/>
      <c r="AJ263" s="150"/>
    </row>
    <row r="264" spans="32:36">
      <c r="AF264" s="150"/>
      <c r="AJ264" s="150"/>
    </row>
    <row r="265" spans="32:36">
      <c r="AF265" s="150"/>
      <c r="AJ265" s="150"/>
    </row>
    <row r="266" spans="32:36">
      <c r="AF266" s="150"/>
      <c r="AJ266" s="150"/>
    </row>
    <row r="267" spans="32:36">
      <c r="AF267" s="150"/>
      <c r="AJ267" s="150"/>
    </row>
    <row r="268" spans="32:36">
      <c r="AF268" s="150"/>
      <c r="AJ268" s="150"/>
    </row>
    <row r="269" spans="32:36">
      <c r="AF269" s="150"/>
      <c r="AJ269" s="150"/>
    </row>
    <row r="270" spans="32:36">
      <c r="AF270" s="150"/>
      <c r="AJ270" s="150"/>
    </row>
    <row r="271" spans="32:36">
      <c r="AF271" s="150"/>
      <c r="AJ271" s="150"/>
    </row>
    <row r="272" spans="32:36">
      <c r="AF272" s="150"/>
      <c r="AJ272" s="150"/>
    </row>
    <row r="273" spans="32:36">
      <c r="AF273" s="150"/>
      <c r="AJ273" s="150"/>
    </row>
    <row r="274" spans="32:36">
      <c r="AF274" s="150"/>
      <c r="AJ274" s="150"/>
    </row>
    <row r="275" spans="32:36">
      <c r="AF275" s="150"/>
      <c r="AJ275" s="150"/>
    </row>
    <row r="276" spans="32:36">
      <c r="AF276" s="150"/>
      <c r="AJ276" s="150"/>
    </row>
    <row r="277" spans="32:36">
      <c r="AF277" s="150"/>
      <c r="AJ277" s="150"/>
    </row>
    <row r="278" spans="32:36">
      <c r="AF278" s="150"/>
      <c r="AJ278" s="150"/>
    </row>
    <row r="279" spans="32:36">
      <c r="AF279" s="150"/>
      <c r="AJ279" s="150"/>
    </row>
    <row r="280" spans="32:36">
      <c r="AF280" s="150"/>
      <c r="AJ280" s="150"/>
    </row>
    <row r="281" spans="32:36">
      <c r="AF281" s="150"/>
      <c r="AJ281" s="150"/>
    </row>
    <row r="282" spans="32:36">
      <c r="AF282" s="150"/>
      <c r="AJ282" s="150"/>
    </row>
    <row r="283" spans="32:36">
      <c r="AF283" s="150"/>
      <c r="AJ283" s="150"/>
    </row>
    <row r="284" spans="32:36">
      <c r="AF284" s="150"/>
      <c r="AJ284" s="150"/>
    </row>
    <row r="285" spans="32:36">
      <c r="AF285" s="150"/>
      <c r="AJ285" s="150"/>
    </row>
    <row r="286" spans="32:36">
      <c r="AF286" s="150"/>
      <c r="AJ286" s="150"/>
    </row>
    <row r="287" spans="32:36">
      <c r="AF287" s="150"/>
      <c r="AJ287" s="150"/>
    </row>
    <row r="288" spans="32:36">
      <c r="AF288" s="150"/>
      <c r="AJ288" s="150"/>
    </row>
    <row r="289" spans="32:36">
      <c r="AF289" s="150"/>
      <c r="AJ289" s="150"/>
    </row>
    <row r="290" spans="32:36">
      <c r="AF290" s="150"/>
      <c r="AJ290" s="150"/>
    </row>
    <row r="291" spans="32:36">
      <c r="AF291" s="150"/>
      <c r="AJ291" s="150"/>
    </row>
    <row r="292" spans="32:36">
      <c r="AF292" s="150"/>
      <c r="AJ292" s="150"/>
    </row>
    <row r="293" spans="32:36">
      <c r="AF293" s="150"/>
      <c r="AJ293" s="150"/>
    </row>
    <row r="294" spans="32:36">
      <c r="AF294" s="150"/>
      <c r="AJ294" s="150"/>
    </row>
    <row r="295" spans="32:36">
      <c r="AF295" s="150"/>
      <c r="AJ295" s="150"/>
    </row>
    <row r="296" spans="32:36">
      <c r="AF296" s="150"/>
      <c r="AJ296" s="150"/>
    </row>
    <row r="297" spans="32:36">
      <c r="AF297" s="150"/>
      <c r="AJ297" s="150"/>
    </row>
    <row r="298" spans="32:36">
      <c r="AF298" s="150"/>
      <c r="AJ298" s="150"/>
    </row>
    <row r="299" spans="32:36">
      <c r="AF299" s="150"/>
      <c r="AJ299" s="150"/>
    </row>
    <row r="300" spans="32:36">
      <c r="AF300" s="150"/>
      <c r="AJ300" s="150"/>
    </row>
    <row r="301" spans="32:36">
      <c r="AF301" s="150"/>
      <c r="AJ301" s="150"/>
    </row>
    <row r="302" spans="32:36">
      <c r="AF302" s="150"/>
      <c r="AJ302" s="150"/>
    </row>
    <row r="303" spans="32:36">
      <c r="AF303" s="150"/>
      <c r="AJ303" s="150"/>
    </row>
    <row r="304" spans="32:36">
      <c r="AF304" s="150"/>
      <c r="AJ304" s="150"/>
    </row>
    <row r="305" spans="32:36">
      <c r="AF305" s="150"/>
      <c r="AJ305" s="150"/>
    </row>
    <row r="306" spans="32:36">
      <c r="AF306" s="150"/>
      <c r="AJ306" s="150"/>
    </row>
    <row r="307" spans="32:36">
      <c r="AF307" s="150"/>
      <c r="AJ307" s="150"/>
    </row>
    <row r="308" spans="32:36">
      <c r="AF308" s="150"/>
      <c r="AJ308" s="150"/>
    </row>
    <row r="309" spans="32:36">
      <c r="AF309" s="150"/>
      <c r="AJ309" s="150"/>
    </row>
    <row r="310" spans="32:36">
      <c r="AF310" s="150"/>
      <c r="AJ310" s="150"/>
    </row>
    <row r="311" spans="32:36">
      <c r="AF311" s="150"/>
      <c r="AJ311" s="150"/>
    </row>
    <row r="312" spans="32:36">
      <c r="AF312" s="150"/>
      <c r="AJ312" s="150"/>
    </row>
    <row r="313" spans="32:36">
      <c r="AF313" s="150"/>
      <c r="AJ313" s="150"/>
    </row>
    <row r="314" spans="32:36">
      <c r="AF314" s="150"/>
      <c r="AJ314" s="150"/>
    </row>
    <row r="315" spans="32:36">
      <c r="AF315" s="150"/>
      <c r="AJ315" s="150"/>
    </row>
    <row r="316" spans="32:36">
      <c r="AF316" s="150"/>
      <c r="AJ316" s="150"/>
    </row>
    <row r="317" spans="32:36">
      <c r="AF317" s="150"/>
      <c r="AJ317" s="150"/>
    </row>
    <row r="318" spans="32:36">
      <c r="AF318" s="150"/>
      <c r="AJ318" s="150"/>
    </row>
    <row r="319" spans="32:36">
      <c r="AF319" s="150"/>
      <c r="AJ319" s="150"/>
    </row>
    <row r="320" spans="32:36">
      <c r="AF320" s="150"/>
      <c r="AJ320" s="150"/>
    </row>
    <row r="321" spans="32:36">
      <c r="AF321" s="150"/>
      <c r="AJ321" s="150"/>
    </row>
    <row r="322" spans="32:36">
      <c r="AF322" s="150"/>
      <c r="AJ322" s="150"/>
    </row>
    <row r="323" spans="32:36">
      <c r="AF323" s="150"/>
      <c r="AJ323" s="150"/>
    </row>
    <row r="324" spans="32:36">
      <c r="AF324" s="150"/>
      <c r="AJ324" s="150"/>
    </row>
    <row r="325" spans="32:36">
      <c r="AF325" s="150"/>
      <c r="AJ325" s="150"/>
    </row>
    <row r="326" spans="32:36">
      <c r="AF326" s="150"/>
      <c r="AJ326" s="150"/>
    </row>
    <row r="327" spans="32:36">
      <c r="AF327" s="150"/>
      <c r="AJ327" s="150"/>
    </row>
    <row r="328" spans="32:36">
      <c r="AF328" s="150"/>
      <c r="AJ328" s="150"/>
    </row>
    <row r="329" spans="32:36">
      <c r="AF329" s="150"/>
      <c r="AJ329" s="150"/>
    </row>
    <row r="330" spans="32:36">
      <c r="AF330" s="150"/>
      <c r="AJ330" s="150"/>
    </row>
    <row r="331" spans="32:36">
      <c r="AF331" s="150"/>
      <c r="AJ331" s="150"/>
    </row>
    <row r="332" spans="32:36">
      <c r="AF332" s="150"/>
      <c r="AJ332" s="150"/>
    </row>
    <row r="333" spans="32:36">
      <c r="AF333" s="150"/>
      <c r="AJ333" s="150"/>
    </row>
    <row r="334" spans="32:36">
      <c r="AF334" s="150"/>
      <c r="AJ334" s="150"/>
    </row>
    <row r="335" spans="32:36">
      <c r="AF335" s="150"/>
      <c r="AJ335" s="150"/>
    </row>
    <row r="336" spans="32:36">
      <c r="AF336" s="150"/>
      <c r="AJ336" s="150"/>
    </row>
    <row r="337" spans="32:36">
      <c r="AF337" s="150"/>
      <c r="AJ337" s="150"/>
    </row>
    <row r="338" spans="32:36">
      <c r="AF338" s="150"/>
      <c r="AJ338" s="150"/>
    </row>
    <row r="339" spans="32:36">
      <c r="AF339" s="150"/>
      <c r="AJ339" s="150"/>
    </row>
    <row r="340" spans="32:36">
      <c r="AF340" s="150"/>
      <c r="AJ340" s="150"/>
    </row>
    <row r="341" spans="32:36">
      <c r="AF341" s="150"/>
      <c r="AJ341" s="150"/>
    </row>
    <row r="342" spans="32:36">
      <c r="AF342" s="150"/>
      <c r="AJ342" s="150"/>
    </row>
    <row r="343" spans="32:36">
      <c r="AF343" s="150"/>
      <c r="AJ343" s="150"/>
    </row>
    <row r="344" spans="32:36">
      <c r="AF344" s="150"/>
      <c r="AJ344" s="150"/>
    </row>
    <row r="345" spans="32:36">
      <c r="AF345" s="150"/>
      <c r="AJ345" s="150"/>
    </row>
    <row r="346" spans="32:36">
      <c r="AF346" s="150"/>
      <c r="AJ346" s="150"/>
    </row>
    <row r="347" spans="32:36">
      <c r="AF347" s="150"/>
      <c r="AJ347" s="150"/>
    </row>
    <row r="348" spans="32:36">
      <c r="AF348" s="150"/>
      <c r="AJ348" s="150"/>
    </row>
    <row r="349" spans="32:36">
      <c r="AF349" s="150"/>
      <c r="AJ349" s="150"/>
    </row>
    <row r="350" spans="32:36">
      <c r="AF350" s="150"/>
      <c r="AJ350" s="150"/>
    </row>
    <row r="351" spans="32:36">
      <c r="AF351" s="150"/>
      <c r="AJ351" s="150"/>
    </row>
    <row r="352" spans="32:36">
      <c r="AF352" s="150"/>
      <c r="AJ352" s="150"/>
    </row>
    <row r="353" spans="32:36">
      <c r="AF353" s="150"/>
      <c r="AJ353" s="150"/>
    </row>
    <row r="354" spans="32:36">
      <c r="AF354" s="150"/>
      <c r="AJ354" s="150"/>
    </row>
    <row r="355" spans="32:36">
      <c r="AF355" s="150"/>
      <c r="AJ355" s="150"/>
    </row>
    <row r="356" spans="32:36">
      <c r="AF356" s="150"/>
      <c r="AJ356" s="150"/>
    </row>
    <row r="357" spans="32:36">
      <c r="AF357" s="150"/>
      <c r="AJ357" s="150"/>
    </row>
    <row r="358" spans="32:36">
      <c r="AF358" s="150"/>
      <c r="AJ358" s="150"/>
    </row>
    <row r="359" spans="32:36">
      <c r="AF359" s="150"/>
      <c r="AJ359" s="150"/>
    </row>
    <row r="360" spans="32:36">
      <c r="AF360" s="150"/>
      <c r="AJ360" s="150"/>
    </row>
    <row r="361" spans="32:36">
      <c r="AF361" s="150"/>
      <c r="AJ361" s="150"/>
    </row>
    <row r="362" spans="32:36">
      <c r="AF362" s="150"/>
      <c r="AJ362" s="150"/>
    </row>
    <row r="363" spans="32:36">
      <c r="AF363" s="150"/>
      <c r="AJ363" s="150"/>
    </row>
    <row r="364" spans="32:36">
      <c r="AF364" s="150"/>
      <c r="AJ364" s="150"/>
    </row>
    <row r="365" spans="32:36">
      <c r="AF365" s="150"/>
      <c r="AJ365" s="150"/>
    </row>
  </sheetData>
  <mergeCells count="4">
    <mergeCell ref="G4:H4"/>
    <mergeCell ref="L2:O2"/>
    <mergeCell ref="E2:H2"/>
    <mergeCell ref="N4:O4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11"/>
  <sheetViews>
    <sheetView rightToLeft="1" workbookViewId="0">
      <pane ySplit="2" topLeftCell="A3" activePane="bottomLeft" state="frozen"/>
      <selection pane="bottomLeft" activeCell="D17" sqref="D17"/>
    </sheetView>
    <sheetView rightToLeft="1" workbookViewId="1">
      <selection activeCell="E11" sqref="E11"/>
    </sheetView>
  </sheetViews>
  <sheetFormatPr defaultRowHeight="15"/>
  <cols>
    <col min="1" max="1" width="30.5703125" style="185" customWidth="1"/>
    <col min="2" max="2" width="0.7109375" style="185" customWidth="1"/>
    <col min="3" max="3" width="4.5703125" style="187" customWidth="1"/>
    <col min="4" max="4" width="18.28515625" style="187" customWidth="1"/>
    <col min="5" max="5" width="36.5703125" style="187" customWidth="1"/>
    <col min="6" max="6" width="28.5703125" style="187" customWidth="1"/>
    <col min="7" max="10" width="18.28515625" style="187" customWidth="1"/>
    <col min="11" max="11" width="61.5703125" style="187" customWidth="1"/>
    <col min="12" max="12" width="20.85546875" style="187" customWidth="1"/>
    <col min="13" max="13" width="28.7109375" style="187" customWidth="1"/>
    <col min="14" max="16384" width="9.140625" style="187"/>
  </cols>
  <sheetData>
    <row r="1" spans="1:8" s="184" customFormat="1" ht="21" customHeight="1">
      <c r="A1" s="182" t="s">
        <v>400</v>
      </c>
      <c r="B1" s="183"/>
      <c r="D1" s="332" t="s">
        <v>407</v>
      </c>
      <c r="E1" s="332"/>
      <c r="F1" s="169"/>
      <c r="G1" s="169"/>
      <c r="H1" s="169"/>
    </row>
    <row r="2" spans="1:8" s="184" customFormat="1" ht="3" customHeight="1">
      <c r="A2" s="185"/>
      <c r="B2" s="185"/>
    </row>
    <row r="3" spans="1:8" ht="18.75">
      <c r="A3" s="9" t="s">
        <v>8</v>
      </c>
      <c r="B3" s="186"/>
    </row>
    <row r="4" spans="1:8" ht="18.75">
      <c r="A4" s="15" t="s">
        <v>98</v>
      </c>
      <c r="D4" s="331" t="s">
        <v>401</v>
      </c>
      <c r="E4" s="331"/>
      <c r="F4" s="331"/>
    </row>
    <row r="5" spans="1:8">
      <c r="D5" s="188" t="s">
        <v>402</v>
      </c>
      <c r="E5" s="188" t="s">
        <v>40</v>
      </c>
      <c r="F5" s="188" t="s">
        <v>403</v>
      </c>
    </row>
    <row r="6" spans="1:8" ht="45">
      <c r="D6" s="189" t="s">
        <v>8</v>
      </c>
      <c r="E6" s="190" t="s">
        <v>404</v>
      </c>
      <c r="F6" s="190" t="s">
        <v>123</v>
      </c>
    </row>
    <row r="7" spans="1:8" ht="75">
      <c r="D7" s="189" t="s">
        <v>107</v>
      </c>
      <c r="E7" s="190" t="s">
        <v>405</v>
      </c>
      <c r="F7" s="190" t="s">
        <v>406</v>
      </c>
    </row>
    <row r="11" spans="1:8" ht="90">
      <c r="D11" s="187" t="s">
        <v>393</v>
      </c>
      <c r="E11" s="187" t="s">
        <v>394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43</vt:i4>
      </vt:variant>
    </vt:vector>
  </HeadingPairs>
  <TitlesOfParts>
    <vt:vector size="69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2021-12-28T09:49:43Z</dcterms:modified>
</cp:coreProperties>
</file>