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A5915D67-4859-43BB-B50D-ACB73E93750F}" xr6:coauthVersionLast="47" xr6:coauthVersionMax="47" xr10:uidLastSave="{00000000-0000-0000-0000-000000000000}"/>
  <bookViews>
    <workbookView xWindow="-120" yWindow="330" windowWidth="25440" windowHeight="15540" tabRatio="907" activeTab="2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3" l="1"/>
  <c r="L10" i="1"/>
  <c r="L11" i="1"/>
  <c r="L12" i="1" s="1"/>
  <c r="L13" i="1" s="1"/>
  <c r="L14" i="1" s="1"/>
  <c r="L15" i="1" s="1"/>
  <c r="L16" i="1" s="1"/>
  <c r="L17" i="1" s="1"/>
  <c r="L18" i="1" s="1"/>
  <c r="L9" i="1"/>
  <c r="L8" i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G31" i="3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I3" i="1" l="1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<sst xmlns="http://schemas.openxmlformats.org/spreadsheetml/2006/main" count="1809" uniqueCount="1192">
  <si>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</si>
  <si>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</si>
  <si>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</si>
  <si>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</si>
  <si>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</si>
  <si>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</si>
  <si>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</si>
  <si>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</si>
  <si>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</si>
  <si>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</si>
  <si>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</si>
  <si>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</si>
  <si>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</si>
  <si>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</si>
  <si>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</si>
  <si>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</si>
  <si>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</si>
  <si>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</si>
  <si>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</si>
  <si>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</si>
  <si>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</si>
  <si>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</si>
  <si>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</si>
  <si>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</si>
  <si>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</si>
  <si>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</si>
  <si>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</si>
  <si>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</si>
  <si>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</si>
  <si>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</si>
  <si>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</si>
  <si>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</si>
  <si>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</si>
  <si>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</si>
  <si>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</si>
  <si>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</si>
  <si>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</si>
  <si>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</si>
  <si>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</si>
  <si>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</si>
  <si>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</si>
  <si>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</si>
  <si>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</si>
  <si>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</si>
  <si>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</si>
  <si>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</si>
  <si>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</si>
  <si>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</si>
  <si>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</si>
  <si>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</si>
  <si>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</si>
  <si>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</si>
  <si>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</si>
  <si>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</si>
  <si>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</si>
  <si>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</si>
  <si>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</si>
  <si>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</si>
  <si>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</si>
  <si>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</si>
  <si>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</si>
  <si>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</si>
  <si>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</si>
  <si>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</si>
  <si>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</si>
  <si>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</si>
  <si>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</si>
  <si>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</si>
  <si>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</si>
  <si>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</si>
  <si>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</si>
  <si>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</si>
  <si>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</si>
  <si>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</si>
  <si>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</si>
  <si>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</si>
  <si>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</si>
  <si>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</si>
  <si>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</si>
  <si>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</si>
  <si>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</si>
  <si>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</si>
  <si>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</si>
  <si>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</si>
  <si>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</si>
  <si>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</si>
  <si>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</si>
  <si>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</si>
  <si>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</si>
  <si>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</si>
  <si>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</si>
  <si>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</si>
  <si>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</si>
  <si>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</si>
  <si>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</si>
  <si>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</si>
  <si>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</si>
  <si>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</si>
  <si>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</si>
  <si>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</si>
  <si>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</si>
  <si>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</si>
  <si>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</si>
  <si>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</si>
  <si>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</si>
  <si>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</si>
  <si>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</si>
  <si>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</si>
  <si>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</si>
  <si>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</si>
  <si>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</si>
  <si>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</si>
  <si>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</si>
  <si>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</si>
  <si>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</si>
  <si>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</si>
  <si>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</si>
  <si>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</si>
  <si>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</si>
  <si>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</si>
  <si>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</si>
  <si>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</si>
  <si>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</si>
  <si>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</si>
  <si>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</si>
  <si>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</si>
  <si>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</si>
  <si>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</si>
  <si>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</si>
  <si>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</si>
  <si>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</si>
  <si>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</si>
  <si>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</si>
  <si>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</si>
  <si>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</si>
  <si>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</si>
  <si>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</si>
  <si>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</si>
  <si>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</si>
  <si>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</si>
  <si>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</si>
  <si>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</si>
  <si>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</si>
  <si>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</si>
  <si>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</si>
  <si>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</si>
  <si>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</si>
  <si>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</si>
  <si>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</si>
  <si>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</si>
  <si>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</si>
  <si>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</si>
  <si>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</si>
  <si>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</si>
  <si>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</si>
  <si>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</si>
  <si>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</si>
  <si>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</si>
  <si>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</si>
  <si>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</si>
  <si>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</si>
  <si>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</si>
  <si>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</si>
  <si>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</si>
  <si>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</si>
  <si>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</si>
  <si>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</si>
  <si>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</si>
  <si>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</si>
  <si>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</si>
  <si>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</si>
  <si>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</si>
  <si>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</si>
  <si>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</si>
  <si>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</si>
  <si>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</si>
  <si>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</si>
  <si>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</si>
  <si>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</si>
  <si>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</si>
  <si>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</si>
  <si>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</si>
  <si>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</si>
  <si>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</si>
  <si>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</si>
  <si>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</si>
  <si>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</si>
  <si>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</si>
  <si>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</si>
  <si>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</si>
  <si>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</si>
  <si>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</si>
  <si>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</si>
  <si>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</si>
  <si>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</si>
  <si>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</si>
  <si>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</si>
  <si>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</si>
  <si>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</si>
  <si>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</si>
  <si>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</si>
  <si>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</si>
  <si>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</si>
  <si>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</si>
  <si>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</si>
  <si>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</si>
  <si>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</si>
  <si>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</si>
  <si>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</si>
  <si>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</si>
  <si>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</si>
  <si>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</si>
  <si>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</si>
  <si>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</si>
  <si>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</si>
  <si>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</si>
  <si>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</si>
  <si>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</si>
  <si>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</si>
  <si>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</si>
  <si>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</si>
  <si>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</si>
  <si>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</si>
  <si>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</si>
  <si>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</si>
  <si>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</si>
  <si>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</si>
  <si>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</si>
  <si>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</si>
  <si>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</si>
  <si>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</si>
  <si>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</si>
  <si>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</si>
  <si>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</si>
  <si>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</si>
  <si>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</si>
  <si>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</si>
  <si>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</si>
  <si>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</si>
  <si>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</si>
  <si>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</si>
  <si>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</si>
  <si>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</si>
  <si>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</si>
  <si>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</si>
  <si>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</si>
  <si>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</si>
  <si>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</si>
  <si>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</si>
  <si>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</si>
  <si>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</si>
  <si>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</si>
  <si>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</si>
  <si>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</si>
  <si>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</si>
  <si>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</si>
  <si>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</si>
  <si>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</si>
  <si>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</si>
  <si>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</si>
  <si>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</si>
  <si>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</si>
  <si>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</si>
  <si>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</si>
  <si>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</si>
  <si>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</si>
  <si>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</si>
  <si>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</si>
  <si>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</si>
  <si>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</si>
  <si>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</si>
  <si>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</si>
  <si>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</si>
  <si>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</si>
  <si>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</si>
  <si>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</si>
  <si>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</si>
  <si>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</si>
  <si>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</si>
  <si>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</si>
  <si>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</si>
  <si>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</si>
  <si>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</si>
  <si>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</si>
  <si>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</si>
  <si>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</si>
  <si>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</si>
  <si>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</si>
  <si>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</si>
  <si>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</si>
  <si>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</si>
  <si>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</si>
  <si>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</si>
  <si>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</si>
  <si>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</si>
  <si>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</si>
  <si>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</si>
  <si>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</si>
  <si>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</si>
  <si>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</si>
  <si>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</si>
  <si>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</si>
  <si>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</si>
  <si>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</si>
  <si>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</si>
  <si>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</si>
  <si>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</si>
  <si>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</si>
  <si>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</si>
  <si>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</si>
  <si>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</si>
  <si>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</si>
  <si>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</si>
  <si>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</si>
  <si>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</si>
  <si>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</si>
  <si>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</si>
  <si>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</si>
  <si>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 xml:space="preserve">مغازه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</si>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</sst>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07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0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1" borderId="0" xfId="0" applyFill="1"/>
    <xf numFmtId="0" fontId="9" fillId="21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1" borderId="0" xfId="0" applyFont="1" applyFill="1" applyAlignment="1">
      <alignment horizontal="center" vertical="center" wrapText="1" readingOrder="2"/>
    </xf>
    <xf numFmtId="0" fontId="0" fillId="21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2" borderId="1" xfId="0" applyNumberFormat="1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0" fontId="8" fillId="22" borderId="1" xfId="0" applyNumberFormat="1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165" fontId="8" fillId="22" borderId="1" xfId="0" applyNumberFormat="1" applyFont="1" applyFill="1" applyBorder="1" applyAlignment="1">
      <alignment horizontal="center" vertical="center"/>
    </xf>
    <xf numFmtId="1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Font="1" applyFill="1" applyBorder="1" applyAlignment="1">
      <alignment horizontal="center" vertical="center" wrapText="1" readingOrder="2"/>
    </xf>
    <xf numFmtId="166" fontId="9" fillId="23" borderId="2" xfId="0" applyNumberFormat="1" applyFont="1" applyFill="1" applyBorder="1" applyAlignment="1">
      <alignment horizontal="center" vertical="center" wrapText="1" readingOrder="2"/>
    </xf>
    <xf numFmtId="49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NumberFormat="1" applyFont="1" applyFill="1" applyBorder="1" applyAlignment="1">
      <alignment horizontal="center" vertical="center" wrapText="1" readingOrder="2"/>
    </xf>
    <xf numFmtId="165" fontId="9" fillId="23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4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4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3" fillId="25" borderId="0" xfId="1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4" fillId="26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7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7" borderId="0" xfId="0" applyFill="1"/>
    <xf numFmtId="0" fontId="0" fillId="0" borderId="0" xfId="0" applyFill="1"/>
    <xf numFmtId="0" fontId="15" fillId="28" borderId="0" xfId="0" applyFont="1" applyFill="1" applyAlignment="1">
      <alignment horizontal="center" vertical="center" wrapText="1" readingOrder="2"/>
    </xf>
    <xf numFmtId="0" fontId="0" fillId="28" borderId="0" xfId="0" applyFill="1"/>
    <xf numFmtId="0" fontId="19" fillId="16" borderId="0" xfId="0" applyFont="1" applyFill="1" applyAlignment="1">
      <alignment horizontal="center" vertical="center" wrapText="1" readingOrder="2"/>
    </xf>
    <xf numFmtId="0" fontId="20" fillId="16" borderId="0" xfId="0" applyFont="1" applyFill="1"/>
    <xf numFmtId="0" fontId="0" fillId="16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9" borderId="0" xfId="0" applyFont="1" applyFill="1" applyAlignment="1">
      <alignment horizontal="center" vertical="center" wrapText="1" readingOrder="2"/>
    </xf>
    <xf numFmtId="0" fontId="20" fillId="29" borderId="0" xfId="0" applyFont="1" applyFill="1"/>
    <xf numFmtId="0" fontId="0" fillId="29" borderId="0" xfId="0" applyFill="1"/>
    <xf numFmtId="0" fontId="13" fillId="30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3" borderId="0" xfId="0" applyFill="1"/>
    <xf numFmtId="169" fontId="23" fillId="33" borderId="0" xfId="0" applyNumberFormat="1" applyFont="1" applyFill="1" applyAlignment="1" applyProtection="1">
      <alignment horizontal="center" vertical="center"/>
    </xf>
    <xf numFmtId="0" fontId="21" fillId="33" borderId="0" xfId="0" applyNumberFormat="1" applyFont="1" applyFill="1" applyAlignment="1" applyProtection="1">
      <alignment horizontal="center" vertical="center"/>
    </xf>
    <xf numFmtId="0" fontId="4" fillId="19" borderId="0" xfId="0" applyFont="1" applyFill="1" applyAlignment="1" applyProtection="1">
      <alignment horizontal="center" vertical="center" wrapText="1" readingOrder="2"/>
    </xf>
    <xf numFmtId="0" fontId="4" fillId="33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3" borderId="0" xfId="0" applyFont="1" applyFill="1" applyAlignment="1" applyProtection="1">
      <alignment horizontal="center" vertical="center" wrapText="1" readingOrder="2"/>
    </xf>
    <xf numFmtId="0" fontId="20" fillId="33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3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7" borderId="0" xfId="0" applyFont="1" applyFill="1" applyAlignment="1" applyProtection="1">
      <alignment horizontal="center" vertical="center" wrapText="1" readingOrder="2"/>
    </xf>
    <xf numFmtId="0" fontId="27" fillId="17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9" borderId="0" xfId="0" applyFont="1" applyFill="1" applyAlignment="1" applyProtection="1">
      <alignment horizontal="center" vertical="center"/>
    </xf>
    <xf numFmtId="0" fontId="0" fillId="3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3" borderId="0" xfId="0" applyFont="1" applyFill="1" applyProtection="1"/>
    <xf numFmtId="0" fontId="0" fillId="33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1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35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/>
    </xf>
    <xf numFmtId="0" fontId="0" fillId="35" borderId="0" xfId="0" applyFont="1" applyFill="1" applyProtection="1"/>
    <xf numFmtId="170" fontId="0" fillId="33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35" borderId="0" xfId="0" applyNumberFormat="1" applyFont="1" applyFill="1" applyAlignment="1" applyProtection="1">
      <protection locked="0"/>
    </xf>
    <xf numFmtId="0" fontId="32" fillId="35" borderId="0" xfId="0" applyFont="1" applyFill="1" applyProtection="1"/>
    <xf numFmtId="0" fontId="0" fillId="35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7" borderId="0" xfId="0" applyNumberFormat="1" applyFill="1" applyAlignment="1" applyProtection="1">
      <alignment horizontal="center" vertical="center" wrapText="1" readingOrder="2"/>
      <protection locked="0"/>
    </xf>
    <xf numFmtId="170" fontId="0" fillId="17" borderId="0" xfId="0" applyNumberFormat="1" applyFill="1" applyAlignment="1" applyProtection="1">
      <alignment horizontal="center" vertical="center" readingOrder="2"/>
      <protection locked="0"/>
    </xf>
    <xf numFmtId="3" fontId="0" fillId="35" borderId="0" xfId="0" applyNumberFormat="1" applyFill="1" applyProtection="1">
      <protection locked="0"/>
    </xf>
    <xf numFmtId="49" fontId="0" fillId="35" borderId="0" xfId="0" applyNumberFormat="1" applyFill="1" applyProtection="1">
      <protection locked="0"/>
    </xf>
    <xf numFmtId="170" fontId="0" fillId="35" borderId="0" xfId="0" applyNumberFormat="1" applyFill="1" applyAlignment="1" applyProtection="1">
      <protection locked="0"/>
    </xf>
    <xf numFmtId="0" fontId="0" fillId="33" borderId="0" xfId="0" applyFont="1" applyFill="1" applyProtection="1">
      <protection locked="0"/>
    </xf>
    <xf numFmtId="0" fontId="8" fillId="20" borderId="0" xfId="0" applyFont="1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0" fillId="20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35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0" borderId="0" xfId="0" applyNumberFormat="1" applyFont="1" applyFill="1" applyBorder="1" applyAlignment="1" applyProtection="1">
      <alignment horizontal="center" vertical="center" wrapText="1" readingOrder="2"/>
    </xf>
    <xf numFmtId="0" fontId="13" fillId="16" borderId="0" xfId="1" applyFont="1" applyFill="1" applyAlignment="1" applyProtection="1">
      <alignment horizontal="center" vertical="center" wrapText="1"/>
    </xf>
    <xf numFmtId="0" fontId="22" fillId="28" borderId="0" xfId="0" applyFont="1" applyFill="1" applyAlignment="1">
      <alignment horizontal="center" vertical="center" wrapText="1" readingOrder="2"/>
    </xf>
    <xf numFmtId="0" fontId="22" fillId="27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0" borderId="0" xfId="0" applyFont="1" applyFill="1" applyAlignment="1">
      <alignment horizontal="center" vertical="center" textRotation="180" wrapText="1" readingOrder="2"/>
    </xf>
    <xf numFmtId="0" fontId="22" fillId="16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8" borderId="0" xfId="0" applyNumberFormat="1" applyFont="1" applyFill="1" applyAlignment="1">
      <alignment horizontal="center" vertical="center" wrapText="1" readingOrder="2"/>
    </xf>
    <xf numFmtId="0" fontId="8" fillId="17" borderId="0" xfId="0" applyFont="1" applyFill="1" applyAlignment="1">
      <alignment horizontal="center" vertical="center" wrapText="1" readingOrder="2"/>
    </xf>
    <xf numFmtId="0" fontId="8" fillId="34" borderId="0" xfId="1" applyFont="1" applyFill="1" applyBorder="1" applyAlignment="1" applyProtection="1">
      <alignment horizontal="center" vertical="center" wrapText="1"/>
    </xf>
    <xf numFmtId="0" fontId="18" fillId="31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2" borderId="0" xfId="0" applyFont="1" applyFill="1" applyAlignment="1" applyProtection="1">
      <alignment horizontal="center" vertical="center" wrapText="1" readingOrder="2"/>
    </xf>
    <xf numFmtId="0" fontId="8" fillId="17" borderId="0" xfId="0" applyFont="1" applyFill="1" applyAlignment="1" applyProtection="1">
      <alignment horizontal="center" vertical="center" wrapText="1"/>
    </xf>
    <xf numFmtId="0" fontId="7" fillId="25" borderId="0" xfId="0" applyFont="1" applyFill="1" applyAlignment="1" applyProtection="1">
      <alignment horizontal="center" vertical="center" wrapText="1"/>
    </xf>
    <xf numFmtId="0" fontId="0" fillId="33" borderId="0" xfId="0" applyFill="1" applyAlignment="1">
      <alignment horizontal="center" vertical="center" wrapText="1" readingOrder="2"/>
    </xf>
    <xf numFmtId="0" fontId="33" fillId="19" borderId="0" xfId="0" applyFont="1" applyFill="1" applyAlignment="1">
      <alignment horizontal="center" vertical="center"/>
    </xf>
    <xf numFmtId="0" fontId="0" fillId="36" borderId="0" xfId="0" applyFill="1" applyAlignment="1">
      <alignment horizontal="center" vertical="center" wrapText="1" readingOrder="2"/>
    </xf>
    <xf numFmtId="49" fontId="0" fillId="38" borderId="0" xfId="0" applyNumberFormat="1" applyFill="1" applyAlignment="1">
      <alignment horizontal="center" vertical="center" wrapText="1" readingOrder="2"/>
    </xf>
    <xf numFmtId="3" fontId="0" fillId="38" borderId="0" xfId="0" applyNumberFormat="1" applyFill="1" applyAlignment="1">
      <alignment horizontal="center" vertical="center" wrapText="1" readingOrder="2"/>
    </xf>
    <xf numFmtId="165" fontId="18" fillId="38" borderId="0" xfId="0" applyNumberFormat="1" applyFont="1" applyFill="1" applyAlignment="1">
      <alignment horizontal="center" vertical="center" wrapText="1" readingOrder="2"/>
    </xf>
    <xf numFmtId="0" fontId="0" fillId="38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33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35" borderId="0" xfId="0" applyFont="1" applyFill="1" applyAlignment="1" applyProtection="1">
      <alignment horizontal="right" vertical="center" readingOrder="2"/>
    </xf>
    <xf numFmtId="0" fontId="5" fillId="35" borderId="0" xfId="0" applyFont="1" applyFill="1" applyAlignment="1">
      <alignment horizontal="center"/>
    </xf>
    <xf numFmtId="0" fontId="5" fillId="35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5" borderId="0" xfId="0" applyFont="1" applyFill="1" applyAlignment="1">
      <alignment horizontal="right" vertical="center" wrapText="1" readingOrder="2"/>
    </xf>
    <xf numFmtId="49" fontId="0" fillId="35" borderId="0" xfId="0" applyNumberFormat="1" applyFill="1"/>
    <xf numFmtId="3" fontId="0" fillId="35" borderId="0" xfId="0" applyNumberFormat="1" applyFill="1"/>
    <xf numFmtId="165" fontId="0" fillId="35" borderId="0" xfId="0" applyNumberFormat="1" applyFill="1"/>
    <xf numFmtId="0" fontId="0" fillId="35" borderId="0" xfId="0" applyFill="1" applyAlignment="1">
      <alignment horizontal="center" vertical="center" wrapText="1" readingOrder="2"/>
    </xf>
    <xf numFmtId="0" fontId="2" fillId="35" borderId="0" xfId="1" applyFill="1" applyAlignment="1">
      <alignment horizontal="center" vertical="center" wrapText="1" readingOrder="2"/>
    </xf>
    <xf numFmtId="3" fontId="0" fillId="35" borderId="0" xfId="0" applyNumberFormat="1" applyFill="1" applyAlignment="1">
      <alignment horizontal="center" vertical="center" wrapText="1" readingOrder="2"/>
    </xf>
    <xf numFmtId="49" fontId="0" fillId="35" borderId="0" xfId="0" applyNumberFormat="1" applyFill="1" applyAlignment="1">
      <alignment horizontal="center" vertical="center" wrapText="1" readingOrder="2"/>
    </xf>
    <xf numFmtId="0" fontId="4" fillId="15" borderId="0" xfId="0" applyFont="1" applyFill="1" applyAlignment="1" applyProtection="1">
      <alignment horizontal="center" vertical="center" wrapText="1" readingOrder="2"/>
    </xf>
    <xf numFmtId="0" fontId="8" fillId="15" borderId="0" xfId="0" applyFont="1" applyFill="1" applyAlignment="1" applyProtection="1">
      <alignment horizontal="center" vertical="center" wrapText="1" readingOrder="2"/>
    </xf>
    <xf numFmtId="0" fontId="9" fillId="15" borderId="0" xfId="0" applyFont="1" applyFill="1" applyAlignment="1" applyProtection="1">
      <alignment horizontal="center" vertical="center" wrapText="1" readingOrder="2"/>
    </xf>
    <xf numFmtId="0" fontId="5" fillId="15" borderId="31" xfId="0" applyFont="1" applyFill="1" applyBorder="1" applyAlignment="1" applyProtection="1">
      <alignment horizontal="center" vertical="center" wrapText="1" readingOrder="2"/>
    </xf>
    <xf numFmtId="0" fontId="5" fillId="15" borderId="11" xfId="0" applyFont="1" applyFill="1" applyBorder="1" applyAlignment="1" applyProtection="1">
      <alignment horizontal="center" vertical="center" wrapText="1" readingOrder="2"/>
    </xf>
    <xf numFmtId="0" fontId="5" fillId="15" borderId="32" xfId="0" applyFont="1" applyFill="1" applyBorder="1" applyAlignment="1" applyProtection="1">
      <alignment horizontal="center" vertical="center" wrapText="1" readingOrder="2"/>
    </xf>
    <xf numFmtId="0" fontId="0" fillId="5" borderId="0" xfId="0" applyFill="1"/>
    <xf numFmtId="0" fontId="8" fillId="5" borderId="31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1" fillId="17" borderId="0" xfId="0" applyFont="1" applyFill="1" applyAlignment="1" applyProtection="1">
      <alignment horizontal="center" vertical="center" wrapText="1" readingOrder="2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14" borderId="0" xfId="0" applyFill="1"/>
    <xf numFmtId="0" fontId="0" fillId="14" borderId="0" xfId="0" applyFont="1" applyFill="1" applyAlignment="1" applyProtection="1">
      <alignment horizontal="center" vertical="center" wrapText="1" readingOrder="2"/>
    </xf>
    <xf numFmtId="0" fontId="8" fillId="14" borderId="30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2" borderId="0" xfId="0" applyFill="1" applyAlignment="1">
      <alignment horizontal="center" vertical="center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12" borderId="0" xfId="0" applyNumberFormat="1" applyFont="1" applyFill="1" applyAlignment="1" applyProtection="1">
      <alignment horizontal="center" vertical="center" wrapText="1" readingOrder="2"/>
    </xf>
    <xf numFmtId="0" fontId="1" fillId="12" borderId="30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9" borderId="0" xfId="0" applyFill="1"/>
    <xf numFmtId="0" fontId="1" fillId="39" borderId="30" xfId="0" applyFont="1" applyFill="1" applyBorder="1" applyAlignment="1">
      <alignment horizontal="center" vertical="center" wrapText="1"/>
    </xf>
    <xf numFmtId="0" fontId="0" fillId="40" borderId="0" xfId="0" applyFill="1"/>
    <xf numFmtId="0" fontId="0" fillId="40" borderId="0" xfId="0" applyFont="1" applyFill="1" applyAlignment="1" applyProtection="1">
      <alignment horizontal="center" vertical="center" wrapText="1" readingOrder="2"/>
    </xf>
    <xf numFmtId="49" fontId="0" fillId="40" borderId="0" xfId="0" applyNumberFormat="1" applyFont="1" applyFill="1" applyAlignment="1" applyProtection="1">
      <alignment horizontal="center" vertical="center" wrapText="1" readingOrder="2"/>
    </xf>
    <xf numFmtId="0" fontId="18" fillId="40" borderId="0" xfId="0" applyFont="1" applyFill="1" applyAlignment="1" applyProtection="1">
      <alignment horizontal="center" vertical="center" wrapText="1" readingOrder="2"/>
    </xf>
    <xf numFmtId="0" fontId="0" fillId="40" borderId="0" xfId="0" applyNumberFormat="1" applyFont="1" applyFill="1" applyAlignment="1" applyProtection="1">
      <alignment horizontal="center" vertical="center" wrapText="1" readingOrder="2"/>
    </xf>
    <xf numFmtId="0" fontId="5" fillId="40" borderId="31" xfId="0" applyFont="1" applyFill="1" applyBorder="1" applyAlignment="1">
      <alignment horizontal="right"/>
    </xf>
    <xf numFmtId="0" fontId="5" fillId="40" borderId="11" xfId="0" applyFont="1" applyFill="1" applyBorder="1" applyAlignment="1">
      <alignment horizontal="right"/>
    </xf>
    <xf numFmtId="0" fontId="5" fillId="40" borderId="32" xfId="0" applyFont="1" applyFill="1" applyBorder="1" applyAlignment="1">
      <alignment horizontal="right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33" borderId="0" xfId="1" applyFont="1" applyFill="1" applyAlignment="1">
      <alignment horizontal="center" vertical="center" wrapText="1" readingOrder="2"/>
    </xf>
    <xf numFmtId="49" fontId="1" fillId="38" borderId="0" xfId="0" applyNumberFormat="1" applyFont="1" applyFill="1" applyBorder="1" applyAlignment="1">
      <alignment horizontal="center" vertical="center" wrapText="1"/>
    </xf>
    <xf numFmtId="49" fontId="1" fillId="17" borderId="0" xfId="0" applyNumberFormat="1" applyFont="1" applyFill="1" applyAlignment="1">
      <alignment horizontal="center" vertical="center" wrapText="1" readingOrder="2"/>
    </xf>
    <xf numFmtId="49" fontId="1" fillId="36" borderId="0" xfId="0" applyNumberFormat="1" applyFont="1" applyFill="1" applyAlignment="1">
      <alignment horizontal="center" vertical="center" wrapText="1" readingOrder="2"/>
    </xf>
    <xf numFmtId="170" fontId="0" fillId="0" borderId="0" xfId="0" applyNumberFormat="1" applyAlignment="1" applyProtection="1">
      <alignment horizontal="center" vertical="center" wrapText="1" readingOrder="2"/>
      <protection locked="0"/>
    </xf>
    <xf numFmtId="0" fontId="0" fillId="17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8" borderId="0" xfId="0" applyNumberFormat="1" applyFont="1" applyFill="1" applyBorder="1" applyAlignment="1">
      <alignment horizontal="center" vertical="center" wrapText="1"/>
    </xf>
    <xf numFmtId="0" fontId="0" fillId="38" borderId="0" xfId="0" applyFill="1" applyAlignment="1" applyProtection="1">
      <alignment horizontal="center" vertical="center" wrapText="1" readingOrder="2"/>
      <protection locked="0"/>
    </xf>
    <xf numFmtId="0" fontId="0" fillId="38" borderId="0" xfId="0" applyFill="1" applyAlignment="1" applyProtection="1">
      <alignment horizontal="center" vertical="center" wrapText="1" readingOrder="2"/>
    </xf>
    <xf numFmtId="0" fontId="0" fillId="15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35" borderId="0" xfId="0" applyNumberFormat="1" applyFill="1" applyAlignment="1">
      <alignment horizontal="center" vertical="center"/>
    </xf>
    <xf numFmtId="49" fontId="0" fillId="35" borderId="0" xfId="0" applyNumberFormat="1" applyFill="1" applyAlignment="1">
      <alignment horizontal="center" vertical="center"/>
    </xf>
    <xf numFmtId="3" fontId="0" fillId="35" borderId="0" xfId="0" applyNumberFormat="1" applyFill="1" applyAlignment="1" applyProtection="1">
      <alignment horizontal="center" vertical="center" wrapText="1" readingOrder="2"/>
      <protection locked="0"/>
    </xf>
    <xf numFmtId="49" fontId="0" fillId="35" borderId="0" xfId="0" applyNumberFormat="1" applyFill="1" applyAlignment="1" applyProtection="1">
      <alignment horizontal="center" vertical="center" wrapText="1" readingOrder="2"/>
      <protection locked="0"/>
    </xf>
    <xf numFmtId="165" fontId="0" fillId="35" borderId="0" xfId="0" applyNumberFormat="1" applyFill="1" applyAlignment="1" applyProtection="1">
      <alignment horizontal="center" vertical="center" wrapText="1" readingOrder="2"/>
      <protection locked="0"/>
    </xf>
    <xf numFmtId="165" fontId="0" fillId="35" borderId="0" xfId="0" applyNumberFormat="1" applyFill="1" applyAlignment="1" applyProtection="1">
      <alignment horizontal="center" vertical="center" wrapText="1" readingOrder="2"/>
    </xf>
    <xf numFmtId="3" fontId="1" fillId="17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 applyProtection="1">
      <alignment horizontal="center" vertical="center" wrapText="1" readingOrder="2"/>
    </xf>
    <xf numFmtId="49" fontId="1" fillId="17" borderId="0" xfId="0" applyNumberFormat="1" applyFont="1" applyFill="1" applyAlignment="1" applyProtection="1">
      <alignment horizontal="center" vertical="center" wrapText="1" readingOrder="2"/>
      <protection locked="0"/>
    </xf>
    <xf numFmtId="49" fontId="1" fillId="17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35" borderId="0" xfId="0" applyFont="1" applyFill="1" applyAlignment="1" applyProtection="1">
      <protection locked="0"/>
    </xf>
    <xf numFmtId="49" fontId="5" fillId="12" borderId="0" xfId="1" applyNumberFormat="1" applyFont="1" applyFill="1" applyBorder="1" applyAlignment="1" applyProtection="1">
      <alignment horizontal="center" vertical="center" wrapText="1" readingOrder="2"/>
    </xf>
    <xf numFmtId="49" fontId="1" fillId="12" borderId="0" xfId="1" applyNumberFormat="1" applyFont="1" applyFill="1" applyBorder="1" applyAlignment="1" applyProtection="1">
      <alignment horizontal="center" vertical="center" wrapText="1" readingOrder="2"/>
    </xf>
    <xf numFmtId="49" fontId="5" fillId="38" borderId="0" xfId="1" applyNumberFormat="1" applyFont="1" applyFill="1" applyBorder="1" applyAlignment="1" applyProtection="1">
      <alignment horizontal="center" vertical="center" wrapText="1" readingOrder="2"/>
    </xf>
    <xf numFmtId="0" fontId="5" fillId="30" borderId="0" xfId="1" applyFont="1" applyFill="1" applyAlignment="1">
      <alignment horizontal="center" vertical="center" wrapText="1" readingOrder="2"/>
    </xf>
    <xf numFmtId="0" fontId="5" fillId="37" borderId="0" xfId="1" applyFont="1" applyFill="1" applyAlignment="1">
      <alignment horizontal="center" vertical="center" wrapText="1" readingOrder="2"/>
    </xf>
    <xf numFmtId="49" fontId="5" fillId="16" borderId="0" xfId="1" applyNumberFormat="1" applyFont="1" applyFill="1" applyBorder="1" applyAlignment="1" applyProtection="1">
      <alignment horizontal="center" vertical="center" wrapText="1" readingOrder="2"/>
    </xf>
    <xf numFmtId="49" fontId="34" fillId="16" borderId="0" xfId="1" applyNumberFormat="1" applyFont="1" applyFill="1" applyBorder="1" applyAlignment="1" applyProtection="1">
      <alignment horizontal="center" vertical="center" wrapText="1" readingOrder="2"/>
    </xf>
    <xf numFmtId="0" fontId="8" fillId="30" borderId="0" xfId="1" applyFont="1" applyFill="1" applyAlignment="1">
      <alignment horizontal="center" vertical="center" wrapText="1" readingOrder="2"/>
    </xf>
    <xf numFmtId="0" fontId="8" fillId="37" borderId="0" xfId="1" applyFont="1" applyFill="1" applyAlignment="1">
      <alignment horizontal="center" vertical="center" wrapText="1" readingOrder="2"/>
    </xf>
    <xf numFmtId="49" fontId="8" fillId="38" borderId="0" xfId="1" applyNumberFormat="1" applyFont="1" applyFill="1" applyBorder="1" applyAlignment="1" applyProtection="1">
      <alignment horizontal="center" vertical="center" wrapText="1" readingOrder="2"/>
    </xf>
    <xf numFmtId="0" fontId="8" fillId="14" borderId="0" xfId="1" applyNumberFormat="1" applyFont="1" applyFill="1" applyAlignment="1" applyProtection="1">
      <alignment horizontal="center" vertical="center" wrapText="1"/>
    </xf>
    <xf numFmtId="0" fontId="8" fillId="15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412" dataDxfId="411">
  <autoFilter ref="A7:N507" xr:uid="{00000000-0009-0000-0100-000003000000}"/>
  <tableColumns count="14">
    <tableColumn id="1" xr3:uid="{00000000-0010-0000-0000-000001000000}" name="ردیف" dataDxfId="150"/>
    <tableColumn id="2" xr3:uid="{00000000-0010-0000-0000-000002000000}" name="افراد (اعضا)" dataDxfId="149"/>
    <tableColumn id="4" xr3:uid="{00000000-0010-0000-0000-000004000000}" name="تاریخ" dataDxfId="148"/>
    <tableColumn id="5" xr3:uid="{00000000-0010-0000-0000-000005000000}" name="عنوان" dataDxfId="147"/>
    <tableColumn id="14" xr3:uid="{00000000-0010-0000-0000-00000E000000}" name="تراکنش" dataDxfId="146"/>
    <tableColumn id="6" xr3:uid="{00000000-0010-0000-0000-000006000000}" name="گروه (درآمد/هزینه)" dataDxfId="145"/>
    <tableColumn id="7" xr3:uid="{00000000-0010-0000-0000-000007000000}" name="زیر گروه" dataDxfId="144"/>
    <tableColumn id="3" xr3:uid="{00000000-0010-0000-0000-000003000000}" name="روش تراکنش" dataDxfId="143"/>
    <tableColumn id="8" xr3:uid="{00000000-0010-0000-0000-000008000000}" name="مبلغ (ریال)" dataDxfId="142"/>
    <tableColumn id="9" xr3:uid="{00000000-0010-0000-0000-000009000000}" name="پرداخت کننده" dataDxfId="141"/>
    <tableColumn id="10" xr3:uid="{00000000-0010-0000-0000-00000A000000}" name="دریافت کننده" dataDxfId="139"/>
    <tableColumn id="11" xr3:uid="{00000000-0010-0000-0000-00000B000000}" name="مانده حساب‌ها" dataDxfId="140" dataCellStyle="Currency"/>
    <tableColumn id="12" xr3:uid="{00000000-0010-0000-0000-00000C000000}" name="نوع خرج" dataDxfId="410"/>
    <tableColumn id="13" xr3:uid="{00000000-0010-0000-0000-00000D000000}" name="ملاحظات" dataDxfId="40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408" dataDxfId="407" totalsRowDxfId="406">
  <autoFilter ref="D2:K30" xr:uid="{42DADA0B-0B6E-471B-8179-A8983A9B7F20}"/>
  <tableColumns count="8">
    <tableColumn id="7" xr3:uid="{46F43D95-9902-48AB-884C-F451DC2D7FAD}" name="نوع" dataDxfId="232" totalsRowDxfId="55"/>
    <tableColumn id="1" xr3:uid="{DD414367-F788-4733-BEA6-377AEC32C3FF}" name="عنوان" totalsRowLabel="مانده:" dataDxfId="231" totalsRowDxfId="54"/>
    <tableColumn id="4" xr3:uid="{134980A4-4BA6-499B-B1F0-88F36A6CD787}" name="اهمیت" dataDxfId="230" totalsRowDxfId="53"/>
    <tableColumn id="2" xr3:uid="{F1FA2425-CBFB-4F05-8BD4-1DF8DC85BFF4}" name="مبلغ بودجه (ریال)" totalsRowFunction="sum" dataDxfId="229" totalsRowDxfId="52"/>
    <tableColumn id="6" xr3:uid="{89994E85-8B50-411A-87FD-D9E3D61DE5CD}" name="عملیات و تاریخ  مقرر " dataDxfId="228" totalsRowDxfId="51"/>
    <tableColumn id="3" xr3:uid="{5769A98B-C5B5-403D-BB77-C90472D5BF72}" name="ملاحظات" dataDxfId="227" totalsRowDxfId="50"/>
    <tableColumn id="9" xr3:uid="{CAB497DF-1678-41B3-8376-86B9A08D3445}" name="وضعیت عملیات" dataDxfId="226" totalsRowDxfId="49"/>
    <tableColumn id="5" xr3:uid="{182B9E66-EE1A-44DE-B4B4-F623AD05F6F8}" name="لینک رسید و تاریخ عملیات" dataDxfId="225" totalsRowDxfId="48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405" dataDxfId="404" totalsRowDxfId="403">
  <autoFilter ref="D2:K7" xr:uid="{2AED775E-0580-4586-9DD7-1307A295C19A}"/>
  <tableColumns count="8">
    <tableColumn id="1" xr3:uid="{C6B1C087-18D2-4286-906F-B33A7B1F3A07}" name="ردیف" totalsRowLabel="Total" dataDxfId="242" totalsRowDxfId="63"/>
    <tableColumn id="2" xr3:uid="{C66CC0FB-71CE-4604-9CCE-83F8274F9FDE}" name="تاریخ" dataDxfId="241" totalsRowDxfId="62"/>
    <tableColumn id="3" xr3:uid="{F65E6844-8F46-4532-A822-05752BCB35D3}" name="بابت" dataDxfId="240" totalsRowDxfId="61"/>
    <tableColumn id="4" xr3:uid="{44B522F5-C660-407E-B343-594A19F54E50}" name="مبلغ (ریال)" totalsRowFunction="sum" dataDxfId="239" totalsRowDxfId="60"/>
    <tableColumn id="15" xr3:uid="{EF2F91E4-B493-4D1D-A280-C7E4262BA70B}" name="پرداخت کننده" dataDxfId="238" totalsRowDxfId="59"/>
    <tableColumn id="5" xr3:uid="{981E60EF-5ABE-44B1-BAC8-AF37CEDEBBC1}" name="دریافت کننده" dataDxfId="237" totalsRowDxfId="58"/>
    <tableColumn id="6" xr3:uid="{01F8159F-C048-413D-A233-C70050BAA01C}" name="رسید تراکنش" dataDxfId="236" totalsRowDxfId="57"/>
    <tableColumn id="12" xr3:uid="{E1A50250-48F8-4972-927C-843E1BF519D4}" name="ملاحظات" dataDxfId="235" totalsRowDxfId="56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402" dataDxfId="401" totalsRowDxfId="400">
  <autoFilter ref="M2:T17" xr:uid="{C6BFB907-AF34-4120-8643-C3F3C34D3FF0}"/>
  <tableColumns count="8">
    <tableColumn id="7" xr3:uid="{906DA9B9-89A5-4F98-AA00-A40DFF1D5937}" name="نوع" dataDxfId="399" totalsRowDxfId="203"/>
    <tableColumn id="1" xr3:uid="{32880057-5030-4F5C-9869-8DA0742F486E}" name="عنوان" totalsRowLabel="مانده:" dataDxfId="398" totalsRowDxfId="202"/>
    <tableColumn id="4" xr3:uid="{1B540053-4F04-4C5C-989F-2285DB78C91F}" name="اهمیت" dataDxfId="397" totalsRowDxfId="201"/>
    <tableColumn id="2" xr3:uid="{BA17F4B4-9221-4B24-B220-3D62409234D6}" name="مبلغ بودجه (ریال)" totalsRowFunction="sum" dataDxfId="396" totalsRowDxfId="200"/>
    <tableColumn id="6" xr3:uid="{08546F04-4128-43DC-BD81-70F8F2954FB6}" name="عملیات و تاریخ  مقرر " dataDxfId="395" totalsRowDxfId="199"/>
    <tableColumn id="3" xr3:uid="{03534C5D-3CFA-454E-9637-DA321D548A3B}" name="ملاحظات" dataDxfId="394" totalsRowDxfId="198"/>
    <tableColumn id="9" xr3:uid="{4D6F3F09-8DBB-4F13-8572-898CD150F6E6}" name="وضعیت عملیات" dataDxfId="393" totalsRowDxfId="197"/>
    <tableColumn id="5" xr3:uid="{16061E04-BB85-4A80-AF2A-8C776F386F37}" name="لینک رسید و تاریخ عملیات" dataDxfId="392" totalsRowDxfId="196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100" dataDxfId="99">
  <autoFilter ref="D2:N9" xr:uid="{8DB423BC-62BB-4963-BB3C-71D63DEF414D}"/>
  <tableColumns count="11">
    <tableColumn id="1" xr3:uid="{D2FB81D8-053F-4C66-9D84-FFE500D8CAB6}" name="ردیف" totalsRowLabel="Total" dataDxfId="97" totalsRowDxfId="98"/>
    <tableColumn id="2" xr3:uid="{9B68868D-C629-43FE-9F5F-2930D4BFCD02}" name="تاریخ" dataDxfId="95" totalsRowDxfId="96"/>
    <tableColumn id="3" xr3:uid="{E5A08DB4-721E-450F-925D-B83AA74A5AFF}" name="دسته کالا" dataDxfId="93" totalsRowDxfId="94"/>
    <tableColumn id="5" xr3:uid="{FFD140E2-1299-4416-A05A-79F9C1455A1E}" name="شرح کالا" dataDxfId="91" totalsRowDxfId="92"/>
    <tableColumn id="12" xr3:uid="{E4D049D9-EE8A-4F8C-BBC0-19B3D7BCD719}" name="تعداد کالا" totalsRowFunction="sum" dataDxfId="89" totalsRowDxfId="90"/>
    <tableColumn id="6" xr3:uid="{28CEB1B7-CAB8-4D1D-ABA9-24E08D8E0821}" name="کالای ورود | خروج" dataDxfId="87" totalsRowDxfId="88"/>
    <tableColumn id="7" xr3:uid="{0A166D41-6596-44C1-9C0E-85DF28A76133}" name="دسته کالای ورود | خروج" dataDxfId="85" totalsRowDxfId="86"/>
    <tableColumn id="8" xr3:uid="{164E1C31-5F59-4D0C-B773-FEB3D7537769}" name="تحویل دهنده کالا" dataDxfId="83" totalsRowDxfId="84"/>
    <tableColumn id="9" xr3:uid="{A258D195-EE18-4B39-AA84-B7390B1A7211}" name="تحویل گیرنده کالا" dataDxfId="81" totalsRowDxfId="82"/>
    <tableColumn id="10" xr3:uid="{8B06EF76-3B64-47B4-8E58-15E598B43F9A}" name="ملاحظات" dataDxfId="79" totalsRowDxfId="80"/>
    <tableColumn id="11" xr3:uid="{A3B7F579-86BE-46C5-922E-55BF4C6801B1}" name="لینک تصویر کالا" totalsRowFunction="count" dataDxfId="77" totalsRowDxfId="78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243" dataDxfId="116">
  <autoFilter ref="AD2:AJ5" xr:uid="{9C6741DB-820C-48D8-A4F1-631BBF62AB22}"/>
  <tableColumns count="7">
    <tableColumn id="1" xr3:uid="{FE981FEE-7B34-4C41-BB5C-3A492E83AA59}" name="ردیف" dataDxfId="123"/>
    <tableColumn id="2" xr3:uid="{691DD8C5-6635-4E35-85AC-F7C7849B153B}" name="دسته کالا" dataDxfId="122"/>
    <tableColumn id="4" xr3:uid="{167D085D-FA38-4DD2-AA50-CC8B010FC32D}" name="شرح کالا" dataDxfId="121"/>
    <tableColumn id="5" xr3:uid="{57462AF5-D433-4BDE-9FF0-898C9DAD082F}" name="شرح عیب کالا" dataDxfId="120"/>
    <tableColumn id="6" xr3:uid="{0E0C789A-526E-47F3-9848-CE636158E165}" name="ملاحظات رفع عیب" dataDxfId="119"/>
    <tableColumn id="7" xr3:uid="{AF0701CC-B3F1-466F-8A02-664E27D309D8}" name="وضعیت تعمیر کالا" dataDxfId="118"/>
    <tableColumn id="8" xr3:uid="{FCA6FA39-0DBA-4E4C-B2A7-04766611A2BC}" name="ملاحظات مالی" dataDxfId="117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115" dataDxfId="114">
  <autoFilter ref="P2:AB7" xr:uid="{C47851D2-206E-4057-A100-426D8D29EEB5}"/>
  <tableColumns count="13">
    <tableColumn id="1" xr3:uid="{B855F12E-7BDB-4261-82D9-A160AEA015E1}" name="ردیف" totalsRowLabel="Total" dataDxfId="113" totalsRowDxfId="76"/>
    <tableColumn id="2" xr3:uid="{33AEF0AB-9504-4368-BF02-97877CF44A6F}" name="دسته کالا" dataDxfId="112" totalsRowDxfId="75"/>
    <tableColumn id="4" xr3:uid="{693D8667-265A-4A6C-B516-DABC6F5B1899}" name="شرح کالا" dataDxfId="111" totalsRowDxfId="74"/>
    <tableColumn id="5" xr3:uid="{BB513177-840D-4318-B844-94FD9F02C9E6}" name="اهمیت" dataDxfId="110" totalsRowDxfId="73"/>
    <tableColumn id="9" xr3:uid="{407821B9-53EA-419D-A5FF-69312E111FF9}" name="دلیل خرید" dataDxfId="109" totalsRowDxfId="72"/>
    <tableColumn id="16" xr3:uid="{D7F0D13C-92BF-4C32-9C04-3BB836883F86}" name="تعداد" totalsRowFunction="sum" dataDxfId="108" totalsRowDxfId="71"/>
    <tableColumn id="15" xr3:uid="{4A29B0AE-5409-4155-A332-F4DFEF442C6D}" name="قیمت واحد" dataDxfId="107" totalsRowDxfId="70"/>
    <tableColumn id="6" xr3:uid="{6372E0F9-EEA7-4DB4-8B95-3A697436E920}" name="قیمت کل" dataDxfId="106" totalsRowDxfId="69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105" totalsRowDxfId="68"/>
    <tableColumn id="8" xr3:uid="{E8CBCD21-AAE9-48BC-AEAD-E077DB19C075}" name="مانده تا هدف" dataDxfId="104" totalsRowDxfId="67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103" totalsRowDxfId="66"/>
    <tableColumn id="11" xr3:uid="{84E0A9EA-CFFF-4868-B9AF-C14B482636C2}" name="وضعیت تهیه کالا" dataDxfId="102" totalsRowDxfId="65"/>
    <tableColumn id="12" xr3:uid="{962B53C8-D2E6-4D79-BD41-2E6E572B3AE6}" name="ملاحظات" dataDxfId="101" totalsRowDxfId="64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91" dataDxfId="390">
  <autoFilter ref="A4:B12" xr:uid="{00000000-0009-0000-0100-00000A000000}"/>
  <tableColumns count="2">
    <tableColumn id="1" xr3:uid="{00000000-0010-0000-0100-000001000000}" name="کد گروه درآمدی" dataDxfId="389"/>
    <tableColumn id="2" xr3:uid="{00000000-0010-0000-0100-000002000000}" name="نام گروه درآمد" dataDxfId="388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87" dataDxfId="386">
  <autoFilter ref="F5:F6" xr:uid="{00000000-0009-0000-0100-00000B000000}"/>
  <tableColumns count="1">
    <tableColumn id="1" xr3:uid="{00000000-0010-0000-0200-000001000000}" name="دستمزد" dataDxfId="385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84" dataDxfId="383">
  <autoFilter ref="H5:H6" xr:uid="{00000000-0009-0000-0100-00000C000000}"/>
  <tableColumns count="1">
    <tableColumn id="1" xr3:uid="{00000000-0010-0000-0300-000001000000}" name="منفعت کسب" dataDxfId="38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81" dataDxfId="380">
  <autoFilter ref="J5:J6" xr:uid="{00000000-0009-0000-0100-00000D000000}"/>
  <tableColumns count="1">
    <tableColumn id="1" xr3:uid="{00000000-0010-0000-0400-000001000000}" name="سود سرمایه‌گذاری" dataDxfId="379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78" dataDxfId="377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76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75" dataDxfId="374">
  <autoFilter ref="N5:N6" xr:uid="{00000000-0009-0000-0100-000010000000}"/>
  <tableColumns count="1">
    <tableColumn id="1" xr3:uid="{00000000-0010-0000-0600-000001000000}" name="دریافت رهن و اجاره" dataDxfId="373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72" dataDxfId="371">
  <autoFilter ref="P5:P6" xr:uid="{00000000-0009-0000-0100-000011000000}"/>
  <tableColumns count="1">
    <tableColumn id="1" xr3:uid="{00000000-0010-0000-0700-000001000000}" name="دریافت وام" dataDxfId="370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69" dataDxfId="368">
  <autoFilter ref="R5:R6" xr:uid="{00000000-0009-0000-0100-000012000000}"/>
  <tableColumns count="1">
    <tableColumn id="1" xr3:uid="{00000000-0010-0000-0800-000001000000}" name="درآمد متفرقه" dataDxfId="367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66" dataDxfId="365">
  <autoFilter ref="D5:D6" xr:uid="{00000000-0009-0000-0100-00002A000000}"/>
  <tableColumns count="1">
    <tableColumn id="1" xr3:uid="{00000000-0010-0000-0900-000001000000}" name="حقوق" dataDxfId="36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63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62"/>
    <tableColumn id="2" xr3:uid="{00000000-0010-0000-0A00-000002000000}" name="نام گروه هزینه" dataDxfId="361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60" dataDxfId="359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5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57" dataDxfId="356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5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54" dataDxfId="353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52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51" dataDxfId="350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49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48" dataDxfId="347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46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45" dataDxfId="344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43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42" dataDxfId="341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40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39" dataDxfId="338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33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336" dataDxfId="335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334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333" dataDxfId="332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331"/>
  </tableColumns>
  <tableStyleInfo name="TableStyleMedium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330" dataDxfId="329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328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327" dataDxfId="326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325"/>
  </tableColumns>
  <tableStyleInfo name="TableStyleMedium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324" dataDxfId="323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32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321" dataDxfId="320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31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318" dataDxfId="317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316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315" dataDxfId="314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31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312" dataDxfId="311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310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309" dataDxfId="308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307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306" dataDxfId="305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304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303" dataDxfId="302">
  <autoFilter ref="AP4:AP8" xr:uid="{00000000-0009-0000-0100-000025000000}"/>
  <tableColumns count="1">
    <tableColumn id="1" xr3:uid="{00000000-0010-0000-1E00-000001000000}" name="مالیات" dataDxfId="30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300" dataDxfId="299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98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97" dataDxfId="296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95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94" dataDxfId="293">
  <autoFilter ref="AV4:AV11" xr:uid="{00000000-0009-0000-0100-000028000000}"/>
  <tableColumns count="1">
    <tableColumn id="1" xr3:uid="{00000000-0010-0000-2100-000001000000}" name="هدیه و کادو" dataDxfId="292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91" dataDxfId="290">
  <autoFilter ref="AX4:AX7" xr:uid="{00000000-0009-0000-0100-000029000000}"/>
  <tableColumns count="1">
    <tableColumn id="1" xr3:uid="{00000000-0010-0000-2200-000001000000}" name="یادگیری و توسعه فردی" dataDxfId="289"/>
  </tableColumns>
  <tableStyleInfo name="TableStyleMedium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73" dataDxfId="172">
  <autoFilter ref="D3:D18" xr:uid="{282954C5-616F-485C-A314-4D9D555112CE}"/>
  <tableColumns count="1">
    <tableColumn id="1" xr3:uid="{4F5516FC-A919-4D2F-9080-341CCE3046E2}" name="Accounts_Receivers_Payers" dataDxfId="174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70" dataDxfId="169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71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67" dataDxfId="166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68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88" dataDxfId="287">
  <autoFilter ref="D3:L4" xr:uid="{48C55AA4-F37D-4D99-BE2B-B1221861617E}"/>
  <tableColumns count="9">
    <tableColumn id="6" xr3:uid="{68E8881D-1F0D-41F5-8C5D-764D3CBD2FD0}" name="ID" dataDxfId="286"/>
    <tableColumn id="1" xr3:uid="{2F87ECEC-D557-47DE-89F2-D88E134F34F1}" name="افراد" dataDxfId="285"/>
    <tableColumn id="2" xr3:uid="{85475129-5B44-4EA7-938C-C7F633C408DC}" name="کد ملی" dataDxfId="284"/>
    <tableColumn id="3" xr3:uid="{AE0E4825-4DF9-4EF2-A007-8D15688BCB78}" name="شماره تماس" dataDxfId="283"/>
    <tableColumn id="4" xr3:uid="{6557281E-E601-4363-A5E8-D3F55F24CFFF}" name="آدرس رایانامه" dataDxfId="282" dataCellStyle="Hyperlink"/>
    <tableColumn id="5" xr3:uid="{7192D02E-A22E-46AF-B898-9ED00C2D1F34}" name="سایت اینترنتی" dataDxfId="281"/>
    <tableColumn id="7" xr3:uid="{31B3615E-F042-4B31-B668-D43C93A87FE5}" name="آدرس محل کار" dataDxfId="280"/>
    <tableColumn id="8" xr3:uid="{B916AA35-F910-4551-98CF-C16AFDBEFF70}" name="آدرس منزل" dataDxfId="279"/>
    <tableColumn id="9" xr3:uid="{8C252ACF-424E-4297-9478-B4372ACF1CCF}" name="ملاحظات" dataDxfId="278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77" dataDxfId="276" totalsRowDxfId="275">
  <autoFilter ref="D8:R18" xr:uid="{274EC88A-4B54-49A7-9AA9-7C2621AB40BC}"/>
  <tableColumns count="15">
    <tableColumn id="1" xr3:uid="{B07A4647-B141-4519-A431-57834BEB4690}" name="ID" totalsRowLabel="Total" dataDxfId="165" totalsRowDxfId="138"/>
    <tableColumn id="2" xr3:uid="{9B0863B0-2E0D-40E3-80A5-53A7C80DB031}" name="نام حساب" dataDxfId="164" totalsRowDxfId="137"/>
    <tableColumn id="3" xr3:uid="{22E26951-650A-4DA8-83F7-7342252ADAF4}" name="شرح حساب" dataDxfId="163" totalsRowDxfId="136"/>
    <tableColumn id="4" xr3:uid="{0ACE1E7A-4205-4BD4-B95E-C67B9D28BA4E}" name="موجودی اولیه" totalsRowFunction="sum" dataDxfId="162" totalsRowDxfId="135"/>
    <tableColumn id="9" xr3:uid="{9BF51EE3-668E-4C80-B6DB-2712CE69E2D3}" name="جمع پرداختی" totalsRowFunction="custom" dataDxfId="161" totalsRowDxfId="134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60" totalsRowDxfId="133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59" totalsRowDxfId="132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8" totalsRowDxfId="131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57" totalsRowDxfId="130"/>
    <tableColumn id="18" xr3:uid="{CD505A3A-0F06-41B5-9C88-ACE7BBDC75B9}" name="نوع حساب" dataDxfId="156" totalsRowDxfId="129"/>
    <tableColumn id="10" xr3:uid="{AB3BD14A-860C-4744-B018-FC385AC6514C}" name="شماره حساب" dataDxfId="155" totalsRowDxfId="128"/>
    <tableColumn id="19" xr3:uid="{7E3F7BE6-EF70-4DB5-ACF8-A36DE0C80E5B}" name="شماره شبا" dataDxfId="154" totalsRowDxfId="127"/>
    <tableColumn id="14" xr3:uid="{5D0BD8D2-3C56-4B7E-AE34-770948467C25}" name="شماره کارت" dataDxfId="153" totalsRowDxfId="126"/>
    <tableColumn id="15" xr3:uid="{F0EA249A-426E-4668-B36E-75E5633920DC}" name="تاریخ انقضاء کارت" dataDxfId="152" totalsRowDxfId="125"/>
    <tableColumn id="16" xr3:uid="{CF2BE494-D0B5-4C01-8126-ED743F936578}" name="CVV2" dataDxfId="151" totalsRowDxfId="124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220" dataDxfId="219">
  <autoFilter ref="L9:L12" xr:uid="{00000000-0009-0000-0100-000002000000}"/>
  <tableColumns count="1">
    <tableColumn id="1" xr3:uid="{00000000-0010-0000-2700-000001000000}" name="نوع خرج" dataDxfId="274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216" dataDxfId="273">
  <autoFilter ref="L4:L7" xr:uid="{00000000-0009-0000-0100-000006000000}"/>
  <tableColumns count="1">
    <tableColumn id="1" xr3:uid="{00000000-0010-0000-2800-000001000000}" name="نوع تراکنش" dataDxfId="272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218" dataDxfId="217">
  <autoFilter ref="L14:L21" xr:uid="{00000000-0009-0000-0100-000009000000}"/>
  <tableColumns count="1">
    <tableColumn id="1" xr3:uid="{00000000-0010-0000-2900-000001000000}" name="روش تراکنش" dataDxfId="271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270" dataDxfId="269">
  <autoFilter ref="AE5:AG15" xr:uid="{00000000-0009-0000-0100-00002C000000}"/>
  <tableColumns count="3">
    <tableColumn id="1" xr3:uid="{00000000-0010-0000-2A00-000001000000}" name="عنوان تعطیلات" dataDxfId="268"/>
    <tableColumn id="2" xr3:uid="{00000000-0010-0000-2A00-000002000000}" name="روز و ماه" dataDxfId="267"/>
    <tableColumn id="3" xr3:uid="{00000000-0010-0000-2A00-000003000000}" name="Date" dataDxfId="266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224" dataDxfId="265">
  <autoFilter ref="G5:H9" xr:uid="{00000000-0009-0000-0100-00002D000000}"/>
  <tableColumns count="2">
    <tableColumn id="1" xr3:uid="{00000000-0010-0000-2B00-000001000000}" name="ID" dataDxfId="264"/>
    <tableColumn id="2" xr3:uid="{00000000-0010-0000-2B00-000002000000}" name="شیوه نمایش تاریخ" dataDxfId="263"/>
  </tableColumns>
  <tableStyleInfo name="TableStyleMedium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262" dataDxfId="261">
  <autoFilter ref="AI5:AK225" xr:uid="{00000000-0009-0000-0100-00002E000000}"/>
  <tableColumns count="3">
    <tableColumn id="1" xr3:uid="{00000000-0010-0000-2C00-000001000000}" name="عنوان مناسبت" dataDxfId="260"/>
    <tableColumn id="2" xr3:uid="{00000000-0010-0000-2C00-000002000000}" name="روز و ماه" dataDxfId="259"/>
    <tableColumn id="3" xr3:uid="{00000000-0010-0000-2C00-000003000000}" name="Date" dataDxfId="258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257" dataDxfId="256">
  <autoFilter ref="AM5:AN25" xr:uid="{00000000-0009-0000-0100-00002F000000}"/>
  <tableColumns count="2">
    <tableColumn id="1" xr3:uid="{00000000-0010-0000-2D00-000001000000}" name="تعطیلات قمری" dataDxfId="255"/>
    <tableColumn id="2" xr3:uid="{00000000-0010-0000-2D00-000002000000}" name="Day and Month" dataDxfId="254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253" dataDxfId="252">
  <autoFilter ref="AP5:AQ64" xr:uid="{00000000-0009-0000-0100-000030000000}"/>
  <tableColumns count="2">
    <tableColumn id="1" xr3:uid="{00000000-0010-0000-2E00-000001000000}" name="مناسبت قمری" dataDxfId="251"/>
    <tableColumn id="2" xr3:uid="{00000000-0010-0000-2E00-000002000000}" name="Day and Month" dataDxfId="250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249" dataDxfId="248">
  <autoFilter ref="AS5:AT33" xr:uid="{00000000-0009-0000-0100-000031000000}"/>
  <tableColumns count="2">
    <tableColumn id="1" xr3:uid="{00000000-0010-0000-2F00-000001000000}" name="مناسبت میلادی" dataDxfId="247"/>
    <tableColumn id="2" xr3:uid="{00000000-0010-0000-2F00-000002000000}" name="Day and Month" dataDxfId="246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222" dataDxfId="221">
  <autoFilter ref="N5:O10" xr:uid="{00000000-0009-0000-0100-000032000000}"/>
  <tableColumns count="2">
    <tableColumn id="1" xr3:uid="{00000000-0010-0000-3000-000001000000}" name="عملیات" dataDxfId="245"/>
    <tableColumn id="2" xr3:uid="{00000000-0010-0000-3000-000002000000}" name="Wage" dataDxfId="244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223" dataDxfId="234">
  <autoFilter ref="E4:E9" xr:uid="{E9807C8F-C7B8-4738-88F1-BE3AF37D98D4}"/>
  <tableColumns count="1">
    <tableColumn id="1" xr3:uid="{9E36D182-93FB-4224-89E3-E4497B3B4CEF}" name="جدول سطح اهمیت" dataDxfId="233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215" dataDxfId="214">
  <autoFilter ref="S4:S22" xr:uid="{6AEC4E4F-D138-42A7-8625-32AF6446FB92}"/>
  <tableColumns count="1">
    <tableColumn id="1" xr3:uid="{93761557-8AAB-4CE7-978B-119DB8A02638}" name="جدول نوع بودجه" dataDxfId="213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212" dataDxfId="211">
  <autoFilter ref="S24:S32" xr:uid="{D62D46A7-088F-4632-AE66-1F49CCF96D94}"/>
  <tableColumns count="1">
    <tableColumn id="1" xr3:uid="{1ADF3900-55E8-4A50-8909-96F1F42EB08A}" name="جدول وضعیت عملیات" dataDxfId="210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209" dataDxfId="208">
  <autoFilter ref="W4:W11" xr:uid="{716586F3-B51A-402D-BE07-BBA97870EDBD}"/>
  <tableColumns count="1">
    <tableColumn id="1" xr3:uid="{C690CC00-9AFA-44D6-956F-8D45FB98A6DC}" name="جدول نوع بودجه - ویژه زندگی اشتراکی" dataDxfId="207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206" dataDxfId="205">
  <autoFilter ref="W13:W18" xr:uid="{3BF28091-7288-434D-A4E3-3D8467C73E65}"/>
  <tableColumns count="1">
    <tableColumn id="1" xr3:uid="{C739A285-95ED-451F-BBEF-DAE59F639380}" name="جدول وضعیت عملیات" dataDxfId="204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195" dataDxfId="194">
  <autoFilter ref="AA4:AA6" xr:uid="{C2EF4E78-E6AC-4EA0-9E00-C2B84F1BF519}"/>
  <tableColumns count="1">
    <tableColumn id="1" xr3:uid="{E27689AE-D073-4984-9DD5-68CCE768166C}" name="لیست حالت‌ها" dataDxfId="193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192" dataDxfId="191">
  <autoFilter ref="AA8:AA11" xr:uid="{9ED9E0CF-CD90-46B6-9C11-B5D68BDF594B}"/>
  <tableColumns count="1">
    <tableColumn id="1" xr3:uid="{20A92359-65E0-4CF5-92B9-5443337BAF08}" name="دسته ورودی" dataDxfId="190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189" dataDxfId="188">
  <autoFilter ref="AA13:AA20" xr:uid="{091FC02F-B51E-4B83-888B-9170BA69B5BC}"/>
  <tableColumns count="1">
    <tableColumn id="1" xr3:uid="{7112ED34-3B17-40F0-82A6-4EFB5DE2ED32}" name="دسته خروجی" dataDxfId="187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186" dataDxfId="185">
  <autoFilter ref="AA22:AA25" xr:uid="{BB969E9E-B2AB-40E5-84E2-8810FF9E947C}"/>
  <tableColumns count="1">
    <tableColumn id="1" xr3:uid="{F058078A-699D-450F-AC6A-F5B676111455}" name="وضعیت تعمیر کالا" dataDxfId="184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183" dataDxfId="182">
  <autoFilter ref="AA27:AA32" xr:uid="{F867909B-9723-4D88-ABFB-F8AFB1349957}"/>
  <tableColumns count="1">
    <tableColumn id="1" xr3:uid="{AC265F58-4BD8-4EE6-9D36-97273739BB2B}" name="وضعیت تهیه کالا" dataDxfId="181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177" dataDxfId="176">
  <autoFilter ref="AA34:AA43" xr:uid="{1FC65F67-9592-C849-A57F-DF9DD0F8A292}"/>
  <tableColumns count="1">
    <tableColumn id="1" xr3:uid="{A8C1B820-8069-4573-B755-54F968FDC5C5}" name="لیست دسته کالا" dataDxfId="175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D19:D23" totalsRowShown="0" headerRowDxfId="180" dataDxfId="179">
  <autoFilter ref="D19:D23" xr:uid="{1EAAB8A0-953B-408D-820C-ED446BA2C8F1}"/>
  <tableColumns count="1">
    <tableColumn id="1" xr3:uid="{0466B2E5-ECB0-4069-9BEC-3D2FD403708E}" name="راهنما" dataDxfId="17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26" Type="http://schemas.openxmlformats.org/officeDocument/2006/relationships/table" Target="../tables/table41.xml"/><Relationship Id="rId3" Type="http://schemas.openxmlformats.org/officeDocument/2006/relationships/table" Target="../tables/table18.xml"/><Relationship Id="rId21" Type="http://schemas.openxmlformats.org/officeDocument/2006/relationships/table" Target="../tables/table36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5" Type="http://schemas.openxmlformats.org/officeDocument/2006/relationships/table" Target="../tables/table40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20" Type="http://schemas.openxmlformats.org/officeDocument/2006/relationships/table" Target="../tables/table3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24" Type="http://schemas.openxmlformats.org/officeDocument/2006/relationships/table" Target="../tables/table39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23" Type="http://schemas.openxmlformats.org/officeDocument/2006/relationships/table" Target="../tables/table38.xml"/><Relationship Id="rId10" Type="http://schemas.openxmlformats.org/officeDocument/2006/relationships/table" Target="../tables/table25.xml"/><Relationship Id="rId19" Type="http://schemas.openxmlformats.org/officeDocument/2006/relationships/table" Target="../tables/table34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Relationship Id="rId22" Type="http://schemas.openxmlformats.org/officeDocument/2006/relationships/table" Target="../tables/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13" Type="http://schemas.openxmlformats.org/officeDocument/2006/relationships/table" Target="../tables/table58.xml"/><Relationship Id="rId18" Type="http://schemas.openxmlformats.org/officeDocument/2006/relationships/table" Target="../tables/table63.xml"/><Relationship Id="rId3" Type="http://schemas.openxmlformats.org/officeDocument/2006/relationships/table" Target="../tables/table48.xml"/><Relationship Id="rId21" Type="http://schemas.openxmlformats.org/officeDocument/2006/relationships/table" Target="../tables/table66.xml"/><Relationship Id="rId7" Type="http://schemas.openxmlformats.org/officeDocument/2006/relationships/table" Target="../tables/table52.xml"/><Relationship Id="rId12" Type="http://schemas.openxmlformats.org/officeDocument/2006/relationships/table" Target="../tables/table57.xml"/><Relationship Id="rId17" Type="http://schemas.openxmlformats.org/officeDocument/2006/relationships/table" Target="../tables/table62.xml"/><Relationship Id="rId2" Type="http://schemas.openxmlformats.org/officeDocument/2006/relationships/table" Target="../tables/table47.xml"/><Relationship Id="rId16" Type="http://schemas.openxmlformats.org/officeDocument/2006/relationships/table" Target="../tables/table61.xml"/><Relationship Id="rId20" Type="http://schemas.openxmlformats.org/officeDocument/2006/relationships/table" Target="../tables/table6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5" Type="http://schemas.openxmlformats.org/officeDocument/2006/relationships/table" Target="../tables/table60.xml"/><Relationship Id="rId10" Type="http://schemas.openxmlformats.org/officeDocument/2006/relationships/table" Target="../tables/table55.xml"/><Relationship Id="rId19" Type="http://schemas.openxmlformats.org/officeDocument/2006/relationships/table" Target="../tables/table64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Relationship Id="rId14" Type="http://schemas.openxmlformats.org/officeDocument/2006/relationships/table" Target="../tables/table59.xml"/><Relationship Id="rId22" Type="http://schemas.openxmlformats.org/officeDocument/2006/relationships/table" Target="../tables/table6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topLeftCell="E12" workbookViewId="0">
      <selection activeCell="I33" sqref="I33:P33"/>
    </sheetView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49.42578125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27.42578125" customWidth="1"/>
    <col min="14" max="14" width="21.140625" customWidth="1"/>
    <col min="15" max="15" width="14.7109375" customWidth="1"/>
    <col min="16" max="16" width="14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8" t="s">
        <v>1</v>
      </c>
      <c r="Q5" s="69" t="s">
        <v>118</v>
      </c>
      <c r="R5" s="69" t="s">
        <v>0</v>
      </c>
      <c r="S5" s="70" t="s">
        <v>17</v>
      </c>
      <c r="T5" s="71" t="s">
        <v>107</v>
      </c>
      <c r="U5" s="72" t="s">
        <v>143</v>
      </c>
      <c r="V5" s="69" t="s">
        <v>116</v>
      </c>
      <c r="W5" s="69" t="s">
        <v>144</v>
      </c>
      <c r="X5" s="73" t="s">
        <v>2</v>
      </c>
      <c r="Y5" s="69" t="s">
        <v>6</v>
      </c>
      <c r="Z5" s="69" t="s">
        <v>5</v>
      </c>
      <c r="AA5" s="69" t="s">
        <v>152</v>
      </c>
      <c r="AB5" s="70" t="s">
        <v>112</v>
      </c>
      <c r="AC5" s="70" t="s">
        <v>40</v>
      </c>
    </row>
    <row r="6" spans="1:29" ht="15.75">
      <c r="P6" s="74">
        <v>1</v>
      </c>
      <c r="Q6" s="75" t="s">
        <v>119</v>
      </c>
      <c r="R6" s="76">
        <f>DATE(2021,6,26)</f>
        <v>44373</v>
      </c>
      <c r="S6" s="77" t="s">
        <v>151</v>
      </c>
      <c r="T6" s="78" t="s">
        <v>277</v>
      </c>
      <c r="U6" s="75" t="s">
        <v>181</v>
      </c>
      <c r="V6" s="75" t="s">
        <v>265</v>
      </c>
      <c r="W6" s="75" t="s">
        <v>148</v>
      </c>
      <c r="X6" s="79">
        <v>80000</v>
      </c>
      <c r="Y6" s="75" t="s">
        <v>134</v>
      </c>
      <c r="Z6" s="75" t="s">
        <v>318</v>
      </c>
      <c r="AA6" s="75"/>
      <c r="AB6" s="77" t="s">
        <v>113</v>
      </c>
      <c r="AC6" s="77"/>
    </row>
    <row r="7" spans="1:29" ht="15.75">
      <c r="P7" s="80">
        <v>2</v>
      </c>
      <c r="Q7" s="81"/>
      <c r="R7" s="82">
        <f>DATE(2021,6,26)</f>
        <v>44373</v>
      </c>
      <c r="S7" s="83"/>
      <c r="T7" s="84" t="s">
        <v>277</v>
      </c>
      <c r="U7" s="81"/>
      <c r="V7" s="81"/>
      <c r="W7" s="81"/>
      <c r="X7" s="85"/>
      <c r="Y7" s="81"/>
      <c r="Z7" s="81"/>
      <c r="AA7" s="81"/>
      <c r="AB7" s="83"/>
      <c r="AC7" s="83"/>
    </row>
    <row r="8" spans="1:29" ht="15.75">
      <c r="P8" s="74">
        <v>3</v>
      </c>
      <c r="Q8" s="75"/>
      <c r="R8" s="76">
        <f>DATE(2021,8,17)</f>
        <v>44425</v>
      </c>
      <c r="S8" s="77"/>
      <c r="T8" s="78" t="s">
        <v>301</v>
      </c>
      <c r="U8" s="75" t="s">
        <v>304</v>
      </c>
      <c r="V8" s="75" t="s">
        <v>315</v>
      </c>
      <c r="W8" s="75"/>
      <c r="X8" s="79"/>
      <c r="Y8" s="75"/>
      <c r="Z8" s="75"/>
      <c r="AA8" s="75"/>
      <c r="AB8" s="77"/>
      <c r="AC8" s="77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325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324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4" t="str">
        <f>Slash(14000525)</f>
        <v>1400/05/25</v>
      </c>
      <c r="Q22">
        <v>7</v>
      </c>
    </row>
    <row r="23" spans="3:17">
      <c r="K23" s="94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F27" s="143" t="s">
        <v>8</v>
      </c>
    </row>
    <row r="28" spans="3:17" ht="18.75">
      <c r="C28" s="149" t="s">
        <v>98</v>
      </c>
      <c r="F28" s="144" t="s">
        <v>115</v>
      </c>
      <c r="M28" t="e">
        <f>CL</f>
        <v>#NAME?</v>
      </c>
    </row>
    <row r="29" spans="3:17" ht="18.75">
      <c r="F29" s="147" t="s">
        <v>1188</v>
      </c>
    </row>
    <row r="30" spans="3:17" ht="18.75">
      <c r="F30" s="394" t="s">
        <v>1189</v>
      </c>
    </row>
    <row r="31" spans="3:17" ht="18.75">
      <c r="C31" s="145" t="s">
        <v>961</v>
      </c>
      <c r="F31" s="396" t="s">
        <v>1190</v>
      </c>
    </row>
    <row r="32" spans="3:17" ht="18.75">
      <c r="F32" s="399" t="s">
        <v>1191</v>
      </c>
    </row>
    <row r="33" spans="3:16" ht="56.25">
      <c r="C33" s="146" t="s">
        <v>89</v>
      </c>
      <c r="F33" s="397" t="s">
        <v>7</v>
      </c>
      <c r="I33" s="143" t="s">
        <v>8</v>
      </c>
      <c r="J33" s="144" t="s">
        <v>115</v>
      </c>
      <c r="K33" s="147" t="s">
        <v>1188</v>
      </c>
      <c r="L33" s="394" t="s">
        <v>1189</v>
      </c>
      <c r="M33" s="396" t="s">
        <v>1190</v>
      </c>
      <c r="N33" s="399" t="s">
        <v>1191</v>
      </c>
      <c r="O33" s="397" t="s">
        <v>7</v>
      </c>
      <c r="P33" s="398" t="s">
        <v>100</v>
      </c>
    </row>
    <row r="34" spans="3:16" ht="18.75">
      <c r="C34" s="147" t="s">
        <v>111</v>
      </c>
      <c r="F34" s="398" t="s">
        <v>100</v>
      </c>
    </row>
    <row r="35" spans="3:16" ht="18.75">
      <c r="C35" s="148" t="s">
        <v>105</v>
      </c>
    </row>
    <row r="36" spans="3:16">
      <c r="C36" s="137"/>
    </row>
    <row r="37" spans="3:16">
      <c r="C37" s="137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F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F28" location="تراکنش‌ها!A1" display="تراکنش‌ها" xr:uid="{F7A3FC34-AB15-48A6-B0A2-3DC1AF3ECAB2}"/>
    <hyperlink ref="F29" location="'برنامه و بودجه بندی'!A1" display="برنامه و بودجه بندی" xr:uid="{EF637EEF-132D-415B-AFB7-4EE7DFCEE40A}"/>
    <hyperlink ref="F30" location="'مدیریت زندگی در محیط اشتراکی'!A1" display="مدیریت زندگی اشتراکی" xr:uid="{518315B4-DF9C-46C2-B8F0-B7979172C178}"/>
    <hyperlink ref="F31" location="'مدیریت وسایل (مینیمالیست)'!A1" display="مدیریت وسایل" xr:uid="{DB4CC3DC-A542-4904-B2BC-E8B7A5657E9B}"/>
    <hyperlink ref="F33" location="'تنظیمات حساب'!A1" display="تنظیمات حساب" xr:uid="{47F543BB-9A36-4AB9-B1A8-3FC04EACB0E3}"/>
    <hyperlink ref="F34" location="راهنما!A1" display="راهنما" xr:uid="{A78E6C7E-178B-401E-BF41-7F4A60513C68}"/>
    <hyperlink ref="F32" location="'دریافت کنندگان - پرداخت کنندگان'!A1" display="دریافت | پرداخت کنندگان" xr:uid="{8443D16B-6EA4-4A1A-B2E5-B4BBF12341F2}"/>
    <hyperlink ref="I33" location="فهرست!A1" display="فهرست" xr:uid="{8BFBEBFD-F171-483F-B5D1-4FE293E56531}"/>
    <hyperlink ref="J33" location="تراکنش‌ها!A1" display="تراکنش‌ها" xr:uid="{2DCC1D28-13E5-4DD1-88CB-DA72BB0B56D5}"/>
    <hyperlink ref="K33" location="'برنامه و بودجه بندی'!A1" display="برنامه و بودجه بندی" xr:uid="{93033458-F716-46C2-9821-B4D50671BB95}"/>
    <hyperlink ref="L33" location="'مدیریت زندگی در محیط اشتراکی'!A1" display="مدیریت زندگی اشتراکی" xr:uid="{60FB1E34-A3E5-458A-9F17-8ED1E644170C}"/>
    <hyperlink ref="M33" location="'مدیریت وسایل (مینیمالیست)'!A1" display="مدیریت وسایل" xr:uid="{AEB2C29D-7D69-4E53-AA45-0664F08CF8A3}"/>
    <hyperlink ref="N33" location="'دریافت کنندگان - پرداخت کنندگان'!A1" display="دریافت | پرداخت کنندگان" xr:uid="{975C56C2-BF85-4F2F-BF41-1E71E2E151EC}"/>
    <hyperlink ref="O33" location="'تنظیمات حساب'!A1" display="تنظیمات حساب" xr:uid="{CE06EED7-C9CC-402A-9221-36FB1FBE3E72}"/>
    <hyperlink ref="P33" location="راهنما!A1" display="راهنما" xr:uid="{AC1A4102-D076-4AAC-B2E3-33157FED0CF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141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abSelected="1" workbookViewId="0">
      <pane ySplit="7" topLeftCell="A8" activePane="bottomLeft" state="frozen"/>
      <selection pane="bottomLeft" activeCell="C13" sqref="C13"/>
    </sheetView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39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406" t="s">
        <v>8</v>
      </c>
      <c r="C1" s="405" t="s">
        <v>115</v>
      </c>
      <c r="D1" s="404" t="s">
        <v>1188</v>
      </c>
      <c r="E1" s="395" t="s">
        <v>1189</v>
      </c>
      <c r="F1" s="403" t="s">
        <v>1190</v>
      </c>
      <c r="G1" s="400" t="s">
        <v>1191</v>
      </c>
      <c r="H1" s="401" t="s">
        <v>7</v>
      </c>
      <c r="I1" s="402" t="s">
        <v>100</v>
      </c>
      <c r="J1" s="40"/>
      <c r="K1" s="40"/>
      <c r="L1" s="40"/>
      <c r="M1" s="28"/>
      <c r="N1" s="4"/>
      <c r="O1" s="44"/>
      <c r="P1" s="44"/>
      <c r="Q1" s="44"/>
      <c r="R1" s="44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4"/>
      <c r="P2" s="44"/>
      <c r="Q2" s="44"/>
      <c r="R2" s="44"/>
    </row>
    <row r="3" spans="1:19" ht="24" customHeight="1">
      <c r="A3" s="16"/>
      <c r="B3" s="5" t="s">
        <v>108</v>
      </c>
      <c r="C3" s="89">
        <f>SUMIF(Tarakonesh[تراکنش],"دریافت_درآمد",Tarakonesh[مبلغ (ریال)])</f>
        <v>0</v>
      </c>
      <c r="D3" s="6" t="s">
        <v>109</v>
      </c>
      <c r="E3" s="88">
        <f>SUMIF(Tarakonesh[تراکنش],"پرداخت_هزینه",Tarakonesh[مبلغ (ریال)])</f>
        <v>0</v>
      </c>
      <c r="F3" s="36" t="s">
        <v>323</v>
      </c>
      <c r="G3" s="87">
        <f>SUMIF(Tarakonesh[تراکنش],"انتقال",Tarakonesh[مبلغ (ریال)])</f>
        <v>0</v>
      </c>
      <c r="H3" s="91" t="s">
        <v>326</v>
      </c>
      <c r="I3" s="93" t="e">
        <f>#REF!</f>
        <v>#REF!</v>
      </c>
      <c r="J3" s="288" t="s">
        <v>141</v>
      </c>
      <c r="K3" s="288"/>
      <c r="L3" s="4"/>
      <c r="M3" s="29"/>
      <c r="N3" s="4"/>
      <c r="O3" s="44"/>
      <c r="P3" s="44"/>
      <c r="Q3" s="44"/>
      <c r="R3" s="44"/>
    </row>
    <row r="4" spans="1:19" s="55" customFormat="1" ht="3.75" customHeight="1">
      <c r="A4" s="16"/>
      <c r="B4" s="51"/>
      <c r="C4" s="51"/>
      <c r="D4" s="51"/>
      <c r="E4" s="52"/>
      <c r="F4" s="52"/>
      <c r="G4" s="92"/>
      <c r="H4" s="53"/>
      <c r="I4" s="4"/>
      <c r="J4" s="54"/>
      <c r="K4" s="54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1"/>
      <c r="C5" s="115">
        <v>0</v>
      </c>
      <c r="D5" s="51"/>
      <c r="E5" s="123" t="s">
        <v>398</v>
      </c>
      <c r="F5" s="122">
        <f ca="1">TODAY()</f>
        <v>44558</v>
      </c>
      <c r="G5" s="4"/>
      <c r="H5" s="53"/>
      <c r="I5" s="4"/>
      <c r="J5" s="50" t="s">
        <v>183</v>
      </c>
      <c r="K5" s="56" t="s">
        <v>184</v>
      </c>
      <c r="L5" s="4"/>
      <c r="M5" s="29"/>
      <c r="N5" s="4"/>
      <c r="O5" s="44"/>
      <c r="P5" s="44"/>
      <c r="Q5" s="44"/>
      <c r="R5" s="44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4"/>
      <c r="P6" s="44"/>
      <c r="Q6" s="44"/>
      <c r="R6" s="44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7" t="s">
        <v>107</v>
      </c>
      <c r="F7" s="45" t="s">
        <v>143</v>
      </c>
      <c r="G7" s="8" t="s">
        <v>116</v>
      </c>
      <c r="H7" s="8" t="s">
        <v>144</v>
      </c>
      <c r="I7" s="21" t="s">
        <v>2</v>
      </c>
      <c r="J7" s="8" t="s">
        <v>6</v>
      </c>
      <c r="K7" s="8" t="s">
        <v>5</v>
      </c>
      <c r="L7" s="8" t="s">
        <v>152</v>
      </c>
      <c r="M7" s="30" t="s">
        <v>112</v>
      </c>
      <c r="N7" s="30" t="s">
        <v>1100</v>
      </c>
      <c r="O7" s="44"/>
      <c r="P7" s="44"/>
      <c r="Q7" s="44"/>
      <c r="R7" s="44"/>
      <c r="S7" s="44"/>
    </row>
    <row r="8" spans="1:19">
      <c r="A8" s="26">
        <v>1</v>
      </c>
      <c r="B8" s="27"/>
      <c r="C8" s="31"/>
      <c r="D8" s="31"/>
      <c r="E8" s="38"/>
      <c r="F8" s="27"/>
      <c r="G8" s="27"/>
      <c r="H8" s="27"/>
      <c r="I8" s="25"/>
      <c r="J8" s="27"/>
      <c r="K8" s="27"/>
      <c r="L8" s="90" t="str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/>
      </c>
      <c r="M8" s="31"/>
      <c r="N8" s="31"/>
    </row>
    <row r="9" spans="1:19">
      <c r="A9" s="26">
        <v>2</v>
      </c>
      <c r="B9" s="27"/>
      <c r="C9" s="31"/>
      <c r="D9" s="31"/>
      <c r="E9" s="38"/>
      <c r="F9" s="27"/>
      <c r="G9" s="27"/>
      <c r="H9" s="27"/>
      <c r="I9" s="25"/>
      <c r="J9" s="27"/>
      <c r="K9" s="27"/>
      <c r="L9" s="90" t="str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/>
      </c>
      <c r="M9" s="31"/>
      <c r="N9" s="31"/>
    </row>
    <row r="10" spans="1:19">
      <c r="A10" s="26">
        <v>3</v>
      </c>
      <c r="B10" s="27"/>
      <c r="C10" s="31"/>
      <c r="D10" s="31"/>
      <c r="E10" s="38"/>
      <c r="F10" s="27"/>
      <c r="G10" s="27"/>
      <c r="H10" s="27"/>
      <c r="I10" s="25"/>
      <c r="J10" s="27"/>
      <c r="K10" s="27"/>
      <c r="L10" s="90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31"/>
      <c r="N10" s="31"/>
      <c r="R10" s="86"/>
    </row>
    <row r="11" spans="1:19">
      <c r="A11" s="26">
        <v>4</v>
      </c>
      <c r="B11" s="27"/>
      <c r="C11" s="31"/>
      <c r="D11" s="31"/>
      <c r="E11" s="38"/>
      <c r="F11" s="27"/>
      <c r="G11" s="27"/>
      <c r="H11" s="27"/>
      <c r="I11" s="25"/>
      <c r="J11" s="27"/>
      <c r="K11" s="27"/>
      <c r="L11" s="90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31"/>
      <c r="N11" s="31"/>
      <c r="R11" s="86"/>
    </row>
    <row r="12" spans="1:19">
      <c r="A12" s="26">
        <v>5</v>
      </c>
      <c r="B12" s="27"/>
      <c r="C12" s="31"/>
      <c r="D12" s="31"/>
      <c r="E12" s="38"/>
      <c r="F12" s="27"/>
      <c r="G12" s="27"/>
      <c r="H12" s="27"/>
      <c r="I12" s="25"/>
      <c r="J12" s="27"/>
      <c r="K12" s="27"/>
      <c r="L12" s="90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31"/>
      <c r="N12" s="31"/>
    </row>
    <row r="13" spans="1:19">
      <c r="A13" s="26">
        <v>6</v>
      </c>
      <c r="B13" s="27"/>
      <c r="C13" s="31"/>
      <c r="D13" s="31"/>
      <c r="E13" s="38"/>
      <c r="F13" s="27"/>
      <c r="G13" s="27"/>
      <c r="H13" s="27"/>
      <c r="I13" s="25"/>
      <c r="J13" s="27"/>
      <c r="K13" s="27"/>
      <c r="L13" s="90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31"/>
      <c r="N13" s="31"/>
    </row>
    <row r="14" spans="1:19">
      <c r="A14" s="26">
        <v>7</v>
      </c>
      <c r="B14" s="27"/>
      <c r="C14" s="31"/>
      <c r="D14" s="31"/>
      <c r="E14" s="38"/>
      <c r="F14" s="27"/>
      <c r="G14" s="27"/>
      <c r="H14" s="27"/>
      <c r="I14" s="25"/>
      <c r="J14" s="27"/>
      <c r="K14" s="27"/>
      <c r="L14" s="90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31"/>
      <c r="N14" s="31"/>
    </row>
    <row r="15" spans="1:19">
      <c r="A15" s="26">
        <v>8</v>
      </c>
      <c r="B15" s="27"/>
      <c r="C15" s="31"/>
      <c r="D15" s="31"/>
      <c r="E15" s="38"/>
      <c r="F15" s="27"/>
      <c r="G15" s="27"/>
      <c r="H15" s="27"/>
      <c r="I15" s="25"/>
      <c r="J15" s="27"/>
      <c r="K15" s="27"/>
      <c r="L15" s="90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31"/>
      <c r="N15" s="31"/>
    </row>
    <row r="16" spans="1:19">
      <c r="A16" s="26">
        <v>9</v>
      </c>
      <c r="B16" s="27"/>
      <c r="C16" s="31"/>
      <c r="D16" s="31"/>
      <c r="E16" s="38"/>
      <c r="F16" s="27"/>
      <c r="G16" s="27"/>
      <c r="H16" s="27"/>
      <c r="I16" s="25"/>
      <c r="J16" s="27"/>
      <c r="K16" s="27"/>
      <c r="L16" s="90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31"/>
      <c r="N16" s="31"/>
    </row>
    <row r="17" spans="1:14">
      <c r="A17" s="26">
        <v>10</v>
      </c>
      <c r="B17" s="27"/>
      <c r="C17" s="31"/>
      <c r="D17" s="31"/>
      <c r="E17" s="38"/>
      <c r="F17" s="27"/>
      <c r="G17" s="27"/>
      <c r="H17" s="27"/>
      <c r="I17" s="25"/>
      <c r="J17" s="27"/>
      <c r="K17" s="27"/>
      <c r="L17" s="90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31"/>
      <c r="N17" s="31"/>
    </row>
    <row r="18" spans="1:14">
      <c r="A18" s="26">
        <v>11</v>
      </c>
      <c r="B18" s="27"/>
      <c r="C18" s="31"/>
      <c r="D18" s="31"/>
      <c r="E18" s="38"/>
      <c r="F18" s="27"/>
      <c r="G18" s="27"/>
      <c r="H18" s="27"/>
      <c r="I18" s="25"/>
      <c r="J18" s="27"/>
      <c r="K18" s="27"/>
      <c r="L18" s="90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31"/>
      <c r="N18" s="31"/>
    </row>
    <row r="19" spans="1:14">
      <c r="A19" s="26">
        <v>12</v>
      </c>
      <c r="B19" s="27"/>
      <c r="C19" s="31"/>
      <c r="D19" s="31"/>
      <c r="E19" s="38"/>
      <c r="F19" s="27"/>
      <c r="G19" s="27"/>
      <c r="H19" s="27"/>
      <c r="I19" s="25"/>
      <c r="J19" s="27"/>
      <c r="K19" s="27"/>
      <c r="L19" s="90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8"/>
      <c r="F20" s="27"/>
      <c r="G20" s="27"/>
      <c r="H20" s="27"/>
      <c r="I20" s="25"/>
      <c r="J20" s="27"/>
      <c r="K20" s="27"/>
      <c r="L20" s="90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371</v>
      </c>
      <c r="D21" s="31"/>
      <c r="E21" s="38"/>
      <c r="F21" s="27"/>
      <c r="G21" s="27"/>
      <c r="H21" s="27"/>
      <c r="I21" s="25"/>
      <c r="J21" s="27"/>
      <c r="K21" s="27"/>
      <c r="L21" s="90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8"/>
      <c r="F22" s="27"/>
      <c r="G22" s="27"/>
      <c r="H22" s="27"/>
      <c r="I22" s="25"/>
      <c r="J22" s="27"/>
      <c r="K22" s="27"/>
      <c r="L22" s="90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8"/>
      <c r="F23" s="27"/>
      <c r="G23" s="27"/>
      <c r="H23" s="27"/>
      <c r="I23" s="25"/>
      <c r="J23" s="27"/>
      <c r="K23" s="27"/>
      <c r="L23" s="90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8"/>
      <c r="F24" s="27"/>
      <c r="G24" s="27"/>
      <c r="H24" s="27"/>
      <c r="I24" s="25"/>
      <c r="J24" s="27"/>
      <c r="K24" s="27"/>
      <c r="L24" s="90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8"/>
      <c r="F25" s="27"/>
      <c r="G25" s="27"/>
      <c r="H25" s="27"/>
      <c r="I25" s="25"/>
      <c r="J25" s="27"/>
      <c r="K25" s="27"/>
      <c r="L25" s="90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8"/>
      <c r="F26" s="27"/>
      <c r="G26" s="27"/>
      <c r="H26" s="27"/>
      <c r="I26" s="25"/>
      <c r="J26" s="27"/>
      <c r="K26" s="27"/>
      <c r="L26" s="90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8"/>
      <c r="F27" s="27"/>
      <c r="G27" s="27"/>
      <c r="H27" s="27"/>
      <c r="I27" s="25"/>
      <c r="J27" s="27"/>
      <c r="K27" s="27"/>
      <c r="L27" s="90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8"/>
      <c r="F28" s="27"/>
      <c r="G28" s="27"/>
      <c r="H28" s="27"/>
      <c r="I28" s="25"/>
      <c r="J28" s="27"/>
      <c r="K28" s="27"/>
      <c r="L28" s="90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8"/>
      <c r="F29" s="27"/>
      <c r="G29" s="27"/>
      <c r="H29" s="27"/>
      <c r="I29" s="25"/>
      <c r="J29" s="27"/>
      <c r="K29" s="27"/>
      <c r="L29" s="90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8"/>
      <c r="F30" s="27"/>
      <c r="G30" s="27"/>
      <c r="H30" s="27"/>
      <c r="I30" s="25"/>
      <c r="J30" s="27"/>
      <c r="K30" s="27"/>
      <c r="L30" s="90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8"/>
      <c r="F31" s="27"/>
      <c r="G31" s="27"/>
      <c r="H31" s="27"/>
      <c r="I31" s="25"/>
      <c r="J31" s="27"/>
      <c r="K31" s="27"/>
      <c r="L31" s="90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8"/>
      <c r="F32" s="27"/>
      <c r="G32" s="27"/>
      <c r="H32" s="27"/>
      <c r="I32" s="25"/>
      <c r="J32" s="27"/>
      <c r="K32" s="27"/>
      <c r="L32" s="90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8"/>
      <c r="F33" s="27"/>
      <c r="G33" s="27"/>
      <c r="H33" s="27"/>
      <c r="I33" s="25"/>
      <c r="J33" s="27"/>
      <c r="K33" s="27"/>
      <c r="L33" s="90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8"/>
      <c r="F34" s="27"/>
      <c r="G34" s="27"/>
      <c r="H34" s="27"/>
      <c r="I34" s="25"/>
      <c r="J34" s="27"/>
      <c r="K34" s="27"/>
      <c r="L34" s="90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8"/>
      <c r="F35" s="27"/>
      <c r="G35" s="27"/>
      <c r="H35" s="27"/>
      <c r="I35" s="25"/>
      <c r="J35" s="27"/>
      <c r="K35" s="27"/>
      <c r="L35" s="90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8"/>
      <c r="F36" s="27"/>
      <c r="G36" s="27"/>
      <c r="H36" s="27"/>
      <c r="I36" s="25"/>
      <c r="J36" s="27"/>
      <c r="K36" s="27"/>
      <c r="L36" s="90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8"/>
      <c r="F37" s="27"/>
      <c r="G37" s="27"/>
      <c r="H37" s="27"/>
      <c r="I37" s="25"/>
      <c r="J37" s="27"/>
      <c r="K37" s="27"/>
      <c r="L37" s="90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8"/>
      <c r="F38" s="27"/>
      <c r="G38" s="27"/>
      <c r="H38" s="27"/>
      <c r="I38" s="25"/>
      <c r="J38" s="27"/>
      <c r="K38" s="27"/>
      <c r="L38" s="90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8"/>
      <c r="F39" s="27"/>
      <c r="G39" s="27"/>
      <c r="H39" s="27"/>
      <c r="I39" s="25"/>
      <c r="J39" s="27"/>
      <c r="K39" s="27"/>
      <c r="L39" s="90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8"/>
      <c r="F40" s="27"/>
      <c r="G40" s="27"/>
      <c r="H40" s="27"/>
      <c r="I40" s="25"/>
      <c r="J40" s="27"/>
      <c r="K40" s="27"/>
      <c r="L40" s="90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8"/>
      <c r="F41" s="27"/>
      <c r="G41" s="27"/>
      <c r="H41" s="27"/>
      <c r="I41" s="25"/>
      <c r="J41" s="27"/>
      <c r="K41" s="27"/>
      <c r="L41" s="90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8"/>
      <c r="F42" s="27"/>
      <c r="G42" s="27"/>
      <c r="H42" s="27"/>
      <c r="I42" s="25"/>
      <c r="J42" s="27"/>
      <c r="K42" s="27"/>
      <c r="L42" s="90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8"/>
      <c r="F43" s="27"/>
      <c r="G43" s="27"/>
      <c r="H43" s="27"/>
      <c r="I43" s="25"/>
      <c r="J43" s="27"/>
      <c r="K43" s="27"/>
      <c r="L43" s="90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8"/>
      <c r="F44" s="27"/>
      <c r="G44" s="27"/>
      <c r="H44" s="27"/>
      <c r="I44" s="25"/>
      <c r="J44" s="27"/>
      <c r="K44" s="27"/>
      <c r="L44" s="90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8"/>
      <c r="F45" s="27"/>
      <c r="G45" s="27"/>
      <c r="H45" s="27"/>
      <c r="I45" s="25"/>
      <c r="J45" s="27"/>
      <c r="K45" s="27"/>
      <c r="L45" s="90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8"/>
      <c r="F46" s="27"/>
      <c r="G46" s="27"/>
      <c r="H46" s="27"/>
      <c r="I46" s="25"/>
      <c r="J46" s="27"/>
      <c r="K46" s="27"/>
      <c r="L46" s="90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8"/>
      <c r="F47" s="27"/>
      <c r="G47" s="27"/>
      <c r="H47" s="27"/>
      <c r="I47" s="25"/>
      <c r="J47" s="27"/>
      <c r="K47" s="27"/>
      <c r="L47" s="90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8"/>
      <c r="F48" s="27"/>
      <c r="G48" s="27"/>
      <c r="H48" s="27"/>
      <c r="I48" s="25"/>
      <c r="J48" s="27"/>
      <c r="K48" s="27"/>
      <c r="L48" s="90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8"/>
      <c r="F49" s="27"/>
      <c r="G49" s="27"/>
      <c r="H49" s="27"/>
      <c r="I49" s="25"/>
      <c r="J49" s="27"/>
      <c r="K49" s="27"/>
      <c r="L49" s="90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8"/>
      <c r="F50" s="27"/>
      <c r="G50" s="27"/>
      <c r="H50" s="27"/>
      <c r="I50" s="25"/>
      <c r="J50" s="27"/>
      <c r="K50" s="27"/>
      <c r="L50" s="90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8"/>
      <c r="F51" s="27"/>
      <c r="G51" s="27"/>
      <c r="H51" s="27"/>
      <c r="I51" s="25"/>
      <c r="J51" s="27"/>
      <c r="K51" s="27"/>
      <c r="L51" s="90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8"/>
      <c r="F52" s="27"/>
      <c r="G52" s="27"/>
      <c r="H52" s="27"/>
      <c r="I52" s="25"/>
      <c r="J52" s="27"/>
      <c r="K52" s="27"/>
      <c r="L52" s="90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8"/>
      <c r="F53" s="27"/>
      <c r="G53" s="27"/>
      <c r="H53" s="27"/>
      <c r="I53" s="25"/>
      <c r="J53" s="27"/>
      <c r="K53" s="27"/>
      <c r="L53" s="90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8"/>
      <c r="F54" s="27"/>
      <c r="G54" s="27"/>
      <c r="H54" s="27"/>
      <c r="I54" s="25"/>
      <c r="J54" s="27"/>
      <c r="K54" s="27"/>
      <c r="L54" s="90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8"/>
      <c r="F55" s="27"/>
      <c r="G55" s="27"/>
      <c r="H55" s="27"/>
      <c r="I55" s="25"/>
      <c r="J55" s="27"/>
      <c r="K55" s="27"/>
      <c r="L55" s="90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8"/>
      <c r="F56" s="27"/>
      <c r="G56" s="27"/>
      <c r="H56" s="27"/>
      <c r="I56" s="25"/>
      <c r="J56" s="27"/>
      <c r="K56" s="27"/>
      <c r="L56" s="90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8"/>
      <c r="F57" s="27"/>
      <c r="G57" s="27"/>
      <c r="H57" s="27"/>
      <c r="I57" s="25"/>
      <c r="J57" s="27"/>
      <c r="K57" s="27"/>
      <c r="L57" s="90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8"/>
      <c r="F58" s="27"/>
      <c r="G58" s="27"/>
      <c r="H58" s="27"/>
      <c r="I58" s="25"/>
      <c r="J58" s="27"/>
      <c r="K58" s="27"/>
      <c r="L58" s="90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8"/>
      <c r="F59" s="27"/>
      <c r="G59" s="27"/>
      <c r="H59" s="27"/>
      <c r="I59" s="25"/>
      <c r="J59" s="27"/>
      <c r="K59" s="27"/>
      <c r="L59" s="90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8"/>
      <c r="F60" s="27"/>
      <c r="G60" s="27"/>
      <c r="H60" s="27"/>
      <c r="I60" s="25"/>
      <c r="J60" s="27"/>
      <c r="K60" s="27"/>
      <c r="L60" s="90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8"/>
      <c r="F61" s="27"/>
      <c r="G61" s="27"/>
      <c r="H61" s="27"/>
      <c r="I61" s="25"/>
      <c r="J61" s="27"/>
      <c r="K61" s="27"/>
      <c r="L61" s="90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8"/>
      <c r="F62" s="27"/>
      <c r="G62" s="27"/>
      <c r="H62" s="27"/>
      <c r="I62" s="25"/>
      <c r="J62" s="27"/>
      <c r="K62" s="27"/>
      <c r="L62" s="90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8"/>
      <c r="F63" s="27"/>
      <c r="G63" s="27"/>
      <c r="H63" s="27"/>
      <c r="I63" s="25"/>
      <c r="J63" s="27"/>
      <c r="K63" s="27"/>
      <c r="L63" s="90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8"/>
      <c r="F64" s="27"/>
      <c r="G64" s="27"/>
      <c r="H64" s="27"/>
      <c r="I64" s="25"/>
      <c r="J64" s="27"/>
      <c r="K64" s="27"/>
      <c r="L64" s="90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8"/>
      <c r="F65" s="27"/>
      <c r="G65" s="27"/>
      <c r="H65" s="27"/>
      <c r="I65" s="25"/>
      <c r="J65" s="27"/>
      <c r="K65" s="27"/>
      <c r="L65" s="90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8"/>
      <c r="F66" s="27"/>
      <c r="G66" s="27"/>
      <c r="H66" s="27"/>
      <c r="I66" s="25"/>
      <c r="J66" s="27"/>
      <c r="K66" s="27"/>
      <c r="L66" s="90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8"/>
      <c r="F67" s="27"/>
      <c r="G67" s="27"/>
      <c r="H67" s="27"/>
      <c r="I67" s="25"/>
      <c r="J67" s="27"/>
      <c r="K67" s="27"/>
      <c r="L67" s="90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8"/>
      <c r="F68" s="27"/>
      <c r="G68" s="27"/>
      <c r="H68" s="27"/>
      <c r="I68" s="25"/>
      <c r="J68" s="27"/>
      <c r="K68" s="27"/>
      <c r="L68" s="90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8"/>
      <c r="F69" s="27"/>
      <c r="G69" s="27"/>
      <c r="H69" s="27"/>
      <c r="I69" s="25"/>
      <c r="J69" s="27"/>
      <c r="K69" s="27"/>
      <c r="L69" s="90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8"/>
      <c r="F70" s="27"/>
      <c r="G70" s="27"/>
      <c r="H70" s="27"/>
      <c r="I70" s="25"/>
      <c r="J70" s="27"/>
      <c r="K70" s="27"/>
      <c r="L70" s="90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8"/>
      <c r="F71" s="27"/>
      <c r="G71" s="27"/>
      <c r="H71" s="27"/>
      <c r="I71" s="25"/>
      <c r="J71" s="27"/>
      <c r="K71" s="27"/>
      <c r="L71" s="90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8"/>
      <c r="F72" s="27"/>
      <c r="G72" s="27"/>
      <c r="H72" s="27"/>
      <c r="I72" s="25"/>
      <c r="J72" s="27"/>
      <c r="K72" s="27"/>
      <c r="L72" s="90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8"/>
      <c r="F73" s="27"/>
      <c r="G73" s="27"/>
      <c r="H73" s="27"/>
      <c r="I73" s="25"/>
      <c r="J73" s="27"/>
      <c r="K73" s="27"/>
      <c r="L73" s="90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8"/>
      <c r="F74" s="27"/>
      <c r="G74" s="27"/>
      <c r="H74" s="27"/>
      <c r="I74" s="25"/>
      <c r="J74" s="27"/>
      <c r="K74" s="27"/>
      <c r="L74" s="90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8"/>
      <c r="F75" s="27"/>
      <c r="G75" s="27"/>
      <c r="H75" s="27"/>
      <c r="I75" s="25"/>
      <c r="J75" s="27"/>
      <c r="K75" s="27"/>
      <c r="L75" s="90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8"/>
      <c r="F76" s="27"/>
      <c r="G76" s="27"/>
      <c r="H76" s="27"/>
      <c r="I76" s="25"/>
      <c r="J76" s="27"/>
      <c r="K76" s="27"/>
      <c r="L76" s="90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8"/>
      <c r="F77" s="27"/>
      <c r="G77" s="27"/>
      <c r="H77" s="27"/>
      <c r="I77" s="25"/>
      <c r="J77" s="27"/>
      <c r="K77" s="27"/>
      <c r="L77" s="90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8"/>
      <c r="F78" s="27"/>
      <c r="G78" s="27"/>
      <c r="H78" s="27"/>
      <c r="I78" s="25"/>
      <c r="J78" s="27"/>
      <c r="K78" s="27"/>
      <c r="L78" s="90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8"/>
      <c r="F79" s="27"/>
      <c r="G79" s="27"/>
      <c r="H79" s="27"/>
      <c r="I79" s="25"/>
      <c r="J79" s="27"/>
      <c r="K79" s="27"/>
      <c r="L79" s="90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8"/>
      <c r="F80" s="27"/>
      <c r="G80" s="27"/>
      <c r="H80" s="27"/>
      <c r="I80" s="25"/>
      <c r="J80" s="27"/>
      <c r="K80" s="27"/>
      <c r="L80" s="90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8"/>
      <c r="F81" s="27"/>
      <c r="G81" s="27"/>
      <c r="H81" s="27"/>
      <c r="I81" s="25"/>
      <c r="J81" s="27"/>
      <c r="K81" s="27"/>
      <c r="L81" s="90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8"/>
      <c r="F82" s="27"/>
      <c r="G82" s="27"/>
      <c r="H82" s="27"/>
      <c r="I82" s="25"/>
      <c r="J82" s="27"/>
      <c r="K82" s="27"/>
      <c r="L82" s="90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8"/>
      <c r="F83" s="27"/>
      <c r="G83" s="27"/>
      <c r="H83" s="27"/>
      <c r="I83" s="25"/>
      <c r="J83" s="27"/>
      <c r="K83" s="27"/>
      <c r="L83" s="90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8"/>
      <c r="F84" s="27"/>
      <c r="G84" s="27"/>
      <c r="H84" s="27"/>
      <c r="I84" s="25"/>
      <c r="J84" s="27"/>
      <c r="K84" s="27"/>
      <c r="L84" s="90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8"/>
      <c r="F85" s="27"/>
      <c r="G85" s="27"/>
      <c r="H85" s="27"/>
      <c r="I85" s="25"/>
      <c r="J85" s="27"/>
      <c r="K85" s="27"/>
      <c r="L85" s="90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8"/>
      <c r="F86" s="27"/>
      <c r="G86" s="27"/>
      <c r="H86" s="27"/>
      <c r="I86" s="25"/>
      <c r="J86" s="27"/>
      <c r="K86" s="27"/>
      <c r="L86" s="90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8"/>
      <c r="F87" s="27"/>
      <c r="G87" s="27"/>
      <c r="H87" s="27"/>
      <c r="I87" s="25"/>
      <c r="J87" s="27"/>
      <c r="K87" s="27"/>
      <c r="L87" s="90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8"/>
      <c r="F88" s="27"/>
      <c r="G88" s="27"/>
      <c r="H88" s="27"/>
      <c r="I88" s="25"/>
      <c r="J88" s="27"/>
      <c r="K88" s="27"/>
      <c r="L88" s="90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8"/>
      <c r="F89" s="27"/>
      <c r="G89" s="27"/>
      <c r="H89" s="27"/>
      <c r="I89" s="25"/>
      <c r="J89" s="27"/>
      <c r="K89" s="27"/>
      <c r="L89" s="90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8"/>
      <c r="F90" s="27"/>
      <c r="G90" s="27"/>
      <c r="H90" s="27"/>
      <c r="I90" s="25"/>
      <c r="J90" s="27"/>
      <c r="K90" s="27"/>
      <c r="L90" s="90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8"/>
      <c r="F91" s="27"/>
      <c r="G91" s="27"/>
      <c r="H91" s="27"/>
      <c r="I91" s="25"/>
      <c r="J91" s="27"/>
      <c r="K91" s="27"/>
      <c r="L91" s="90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8"/>
      <c r="F92" s="27"/>
      <c r="G92" s="27"/>
      <c r="H92" s="27"/>
      <c r="I92" s="25"/>
      <c r="J92" s="27"/>
      <c r="K92" s="27"/>
      <c r="L92" s="90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8"/>
      <c r="F93" s="27"/>
      <c r="G93" s="27"/>
      <c r="H93" s="27"/>
      <c r="I93" s="25"/>
      <c r="J93" s="27"/>
      <c r="K93" s="27"/>
      <c r="L93" s="90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8"/>
      <c r="F94" s="27"/>
      <c r="G94" s="27"/>
      <c r="H94" s="27"/>
      <c r="I94" s="25"/>
      <c r="J94" s="27"/>
      <c r="K94" s="27"/>
      <c r="L94" s="90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8"/>
      <c r="F95" s="27"/>
      <c r="G95" s="27"/>
      <c r="H95" s="27"/>
      <c r="I95" s="25"/>
      <c r="J95" s="27"/>
      <c r="K95" s="27"/>
      <c r="L95" s="90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8"/>
      <c r="F96" s="27"/>
      <c r="G96" s="27"/>
      <c r="H96" s="27"/>
      <c r="I96" s="25"/>
      <c r="J96" s="27"/>
      <c r="K96" s="27"/>
      <c r="L96" s="90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8"/>
      <c r="F97" s="27"/>
      <c r="G97" s="27"/>
      <c r="H97" s="27"/>
      <c r="I97" s="25"/>
      <c r="J97" s="27"/>
      <c r="K97" s="27"/>
      <c r="L97" s="90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8"/>
      <c r="F98" s="27"/>
      <c r="G98" s="27"/>
      <c r="H98" s="27"/>
      <c r="I98" s="25"/>
      <c r="J98" s="27"/>
      <c r="K98" s="27"/>
      <c r="L98" s="90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8"/>
      <c r="F99" s="27"/>
      <c r="G99" s="27"/>
      <c r="H99" s="27"/>
      <c r="I99" s="25"/>
      <c r="J99" s="27"/>
      <c r="K99" s="27"/>
      <c r="L99" s="90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8"/>
      <c r="F100" s="27"/>
      <c r="G100" s="27"/>
      <c r="H100" s="27"/>
      <c r="I100" s="25"/>
      <c r="J100" s="27"/>
      <c r="K100" s="27"/>
      <c r="L100" s="90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8"/>
      <c r="F101" s="27"/>
      <c r="G101" s="27"/>
      <c r="H101" s="27"/>
      <c r="I101" s="25"/>
      <c r="J101" s="27"/>
      <c r="K101" s="27"/>
      <c r="L101" s="90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8"/>
      <c r="F102" s="27"/>
      <c r="G102" s="27"/>
      <c r="H102" s="27"/>
      <c r="I102" s="25"/>
      <c r="J102" s="27"/>
      <c r="K102" s="27"/>
      <c r="L102" s="90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8"/>
      <c r="F103" s="27"/>
      <c r="G103" s="27"/>
      <c r="H103" s="27"/>
      <c r="I103" s="25"/>
      <c r="J103" s="27"/>
      <c r="K103" s="27"/>
      <c r="L103" s="90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8"/>
      <c r="F104" s="27"/>
      <c r="G104" s="27"/>
      <c r="H104" s="27"/>
      <c r="I104" s="25"/>
      <c r="J104" s="27"/>
      <c r="K104" s="27"/>
      <c r="L104" s="90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8"/>
      <c r="F105" s="27"/>
      <c r="G105" s="27"/>
      <c r="H105" s="27"/>
      <c r="I105" s="25"/>
      <c r="J105" s="27"/>
      <c r="K105" s="27"/>
      <c r="L105" s="90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8"/>
      <c r="F106" s="27"/>
      <c r="G106" s="27"/>
      <c r="H106" s="27"/>
      <c r="I106" s="25"/>
      <c r="J106" s="27"/>
      <c r="K106" s="27"/>
      <c r="L106" s="90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8"/>
      <c r="F107" s="27"/>
      <c r="G107" s="27"/>
      <c r="H107" s="27"/>
      <c r="I107" s="25"/>
      <c r="J107" s="27"/>
      <c r="K107" s="27"/>
      <c r="L107" s="90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8"/>
      <c r="F108" s="27"/>
      <c r="G108" s="27"/>
      <c r="H108" s="27"/>
      <c r="I108" s="25"/>
      <c r="J108" s="27"/>
      <c r="K108" s="27"/>
      <c r="L108" s="90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8"/>
      <c r="F109" s="27"/>
      <c r="G109" s="27"/>
      <c r="H109" s="27"/>
      <c r="I109" s="25"/>
      <c r="J109" s="27"/>
      <c r="K109" s="27"/>
      <c r="L109" s="90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8"/>
      <c r="F110" s="27"/>
      <c r="G110" s="27"/>
      <c r="H110" s="27"/>
      <c r="I110" s="25"/>
      <c r="J110" s="27"/>
      <c r="K110" s="27"/>
      <c r="L110" s="90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8"/>
      <c r="F111" s="27"/>
      <c r="G111" s="27"/>
      <c r="H111" s="27"/>
      <c r="I111" s="25"/>
      <c r="J111" s="27"/>
      <c r="K111" s="27"/>
      <c r="L111" s="90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8"/>
      <c r="F112" s="27"/>
      <c r="G112" s="27"/>
      <c r="H112" s="27"/>
      <c r="I112" s="25"/>
      <c r="J112" s="27"/>
      <c r="K112" s="27"/>
      <c r="L112" s="90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8"/>
      <c r="F113" s="27"/>
      <c r="G113" s="27"/>
      <c r="H113" s="27"/>
      <c r="I113" s="25"/>
      <c r="J113" s="27"/>
      <c r="K113" s="27"/>
      <c r="L113" s="90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8"/>
      <c r="F114" s="27"/>
      <c r="G114" s="27"/>
      <c r="H114" s="27"/>
      <c r="I114" s="25"/>
      <c r="J114" s="27"/>
      <c r="K114" s="27"/>
      <c r="L114" s="90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8"/>
      <c r="F115" s="27"/>
      <c r="G115" s="27"/>
      <c r="H115" s="27"/>
      <c r="I115" s="25"/>
      <c r="J115" s="27"/>
      <c r="K115" s="27"/>
      <c r="L115" s="90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8"/>
      <c r="F116" s="27"/>
      <c r="G116" s="27"/>
      <c r="H116" s="27"/>
      <c r="I116" s="25"/>
      <c r="J116" s="27"/>
      <c r="K116" s="27"/>
      <c r="L116" s="90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8"/>
      <c r="F117" s="27"/>
      <c r="G117" s="27"/>
      <c r="H117" s="27"/>
      <c r="I117" s="25"/>
      <c r="J117" s="27"/>
      <c r="K117" s="27"/>
      <c r="L117" s="90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8"/>
      <c r="F118" s="27"/>
      <c r="G118" s="27"/>
      <c r="H118" s="27"/>
      <c r="I118" s="25"/>
      <c r="J118" s="27"/>
      <c r="K118" s="27"/>
      <c r="L118" s="90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8"/>
      <c r="F119" s="27"/>
      <c r="G119" s="27"/>
      <c r="H119" s="27"/>
      <c r="I119" s="25"/>
      <c r="J119" s="27"/>
      <c r="K119" s="27"/>
      <c r="L119" s="90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8"/>
      <c r="F120" s="27"/>
      <c r="G120" s="27"/>
      <c r="H120" s="27"/>
      <c r="I120" s="25"/>
      <c r="J120" s="27"/>
      <c r="K120" s="27"/>
      <c r="L120" s="90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8"/>
      <c r="F121" s="27"/>
      <c r="G121" s="27"/>
      <c r="H121" s="27"/>
      <c r="I121" s="25"/>
      <c r="J121" s="27"/>
      <c r="K121" s="27"/>
      <c r="L121" s="90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8"/>
      <c r="F122" s="27"/>
      <c r="G122" s="27"/>
      <c r="H122" s="27"/>
      <c r="I122" s="25"/>
      <c r="J122" s="27"/>
      <c r="K122" s="27"/>
      <c r="L122" s="90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8"/>
      <c r="F123" s="27"/>
      <c r="G123" s="27"/>
      <c r="H123" s="27"/>
      <c r="I123" s="25"/>
      <c r="J123" s="27"/>
      <c r="K123" s="27"/>
      <c r="L123" s="90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8"/>
      <c r="F124" s="27"/>
      <c r="G124" s="27"/>
      <c r="H124" s="27"/>
      <c r="I124" s="25"/>
      <c r="J124" s="27"/>
      <c r="K124" s="27"/>
      <c r="L124" s="90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8"/>
      <c r="F125" s="27"/>
      <c r="G125" s="27"/>
      <c r="H125" s="27"/>
      <c r="I125" s="25"/>
      <c r="J125" s="27"/>
      <c r="K125" s="27"/>
      <c r="L125" s="90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8"/>
      <c r="F126" s="27"/>
      <c r="G126" s="27"/>
      <c r="H126" s="27"/>
      <c r="I126" s="25"/>
      <c r="J126" s="27"/>
      <c r="K126" s="27"/>
      <c r="L126" s="90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8"/>
      <c r="F127" s="27"/>
      <c r="G127" s="27"/>
      <c r="H127" s="27"/>
      <c r="I127" s="25"/>
      <c r="J127" s="27"/>
      <c r="K127" s="27"/>
      <c r="L127" s="90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8"/>
      <c r="F128" s="27"/>
      <c r="G128" s="27"/>
      <c r="H128" s="27"/>
      <c r="I128" s="25"/>
      <c r="J128" s="27"/>
      <c r="K128" s="27"/>
      <c r="L128" s="90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8"/>
      <c r="F129" s="27"/>
      <c r="G129" s="27"/>
      <c r="H129" s="27"/>
      <c r="I129" s="25"/>
      <c r="J129" s="27"/>
      <c r="K129" s="27"/>
      <c r="L129" s="90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8"/>
      <c r="F130" s="27"/>
      <c r="G130" s="27"/>
      <c r="H130" s="27"/>
      <c r="I130" s="25"/>
      <c r="J130" s="27"/>
      <c r="K130" s="27"/>
      <c r="L130" s="90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8"/>
      <c r="F131" s="27"/>
      <c r="G131" s="27"/>
      <c r="H131" s="27"/>
      <c r="I131" s="25"/>
      <c r="J131" s="27"/>
      <c r="K131" s="27"/>
      <c r="L131" s="90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8"/>
      <c r="F132" s="27"/>
      <c r="G132" s="27"/>
      <c r="H132" s="27"/>
      <c r="I132" s="25"/>
      <c r="J132" s="27"/>
      <c r="K132" s="27"/>
      <c r="L132" s="90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8"/>
      <c r="F133" s="27"/>
      <c r="G133" s="27"/>
      <c r="H133" s="27"/>
      <c r="I133" s="25"/>
      <c r="J133" s="27"/>
      <c r="K133" s="27"/>
      <c r="L133" s="90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8"/>
      <c r="F134" s="27"/>
      <c r="G134" s="27"/>
      <c r="H134" s="27"/>
      <c r="I134" s="25"/>
      <c r="J134" s="27"/>
      <c r="K134" s="27"/>
      <c r="L134" s="90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8"/>
      <c r="F135" s="27"/>
      <c r="G135" s="27"/>
      <c r="H135" s="27"/>
      <c r="I135" s="25"/>
      <c r="J135" s="27"/>
      <c r="K135" s="27"/>
      <c r="L135" s="90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8"/>
      <c r="F136" s="27"/>
      <c r="G136" s="27"/>
      <c r="H136" s="27"/>
      <c r="I136" s="25"/>
      <c r="J136" s="27"/>
      <c r="K136" s="27"/>
      <c r="L136" s="90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8"/>
      <c r="F137" s="27"/>
      <c r="G137" s="27"/>
      <c r="H137" s="27"/>
      <c r="I137" s="25"/>
      <c r="J137" s="27"/>
      <c r="K137" s="27"/>
      <c r="L137" s="90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8"/>
      <c r="F138" s="27"/>
      <c r="G138" s="27"/>
      <c r="H138" s="27"/>
      <c r="I138" s="25"/>
      <c r="J138" s="27"/>
      <c r="K138" s="27"/>
      <c r="L138" s="90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8"/>
      <c r="F139" s="27"/>
      <c r="G139" s="27"/>
      <c r="H139" s="27"/>
      <c r="I139" s="25"/>
      <c r="J139" s="27"/>
      <c r="K139" s="27"/>
      <c r="L139" s="90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8"/>
      <c r="F140" s="27"/>
      <c r="G140" s="27"/>
      <c r="H140" s="27"/>
      <c r="I140" s="25"/>
      <c r="J140" s="27"/>
      <c r="K140" s="27"/>
      <c r="L140" s="90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8"/>
      <c r="F141" s="27"/>
      <c r="G141" s="27"/>
      <c r="H141" s="27"/>
      <c r="I141" s="25"/>
      <c r="J141" s="27"/>
      <c r="K141" s="27"/>
      <c r="L141" s="90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8"/>
      <c r="F142" s="27"/>
      <c r="G142" s="27"/>
      <c r="H142" s="27"/>
      <c r="I142" s="25"/>
      <c r="J142" s="27"/>
      <c r="K142" s="27"/>
      <c r="L142" s="90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8"/>
      <c r="F143" s="27"/>
      <c r="G143" s="27"/>
      <c r="H143" s="27"/>
      <c r="I143" s="25"/>
      <c r="J143" s="27"/>
      <c r="K143" s="27"/>
      <c r="L143" s="90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8"/>
      <c r="F144" s="27"/>
      <c r="G144" s="27"/>
      <c r="H144" s="27"/>
      <c r="I144" s="25"/>
      <c r="J144" s="27"/>
      <c r="K144" s="27"/>
      <c r="L144" s="90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8"/>
      <c r="F145" s="27"/>
      <c r="G145" s="27"/>
      <c r="H145" s="27"/>
      <c r="I145" s="25"/>
      <c r="J145" s="27"/>
      <c r="K145" s="27"/>
      <c r="L145" s="90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8"/>
      <c r="F146" s="27"/>
      <c r="G146" s="27"/>
      <c r="H146" s="27"/>
      <c r="I146" s="25"/>
      <c r="J146" s="27"/>
      <c r="K146" s="27"/>
      <c r="L146" s="90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8"/>
      <c r="F147" s="27"/>
      <c r="G147" s="27"/>
      <c r="H147" s="27"/>
      <c r="I147" s="25"/>
      <c r="J147" s="27"/>
      <c r="K147" s="27"/>
      <c r="L147" s="90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8"/>
      <c r="F148" s="27"/>
      <c r="G148" s="27"/>
      <c r="H148" s="27"/>
      <c r="I148" s="25"/>
      <c r="J148" s="27"/>
      <c r="K148" s="27"/>
      <c r="L148" s="90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8"/>
      <c r="F149" s="27"/>
      <c r="G149" s="27"/>
      <c r="H149" s="27"/>
      <c r="I149" s="25"/>
      <c r="J149" s="27"/>
      <c r="K149" s="27"/>
      <c r="L149" s="90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8"/>
      <c r="F150" s="27"/>
      <c r="G150" s="27"/>
      <c r="H150" s="27"/>
      <c r="I150" s="25"/>
      <c r="J150" s="27"/>
      <c r="K150" s="27"/>
      <c r="L150" s="90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8"/>
      <c r="F151" s="27"/>
      <c r="G151" s="27"/>
      <c r="H151" s="27"/>
      <c r="I151" s="25"/>
      <c r="J151" s="27"/>
      <c r="K151" s="27"/>
      <c r="L151" s="90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8"/>
      <c r="F152" s="27"/>
      <c r="G152" s="27"/>
      <c r="H152" s="27"/>
      <c r="I152" s="25"/>
      <c r="J152" s="27"/>
      <c r="K152" s="27"/>
      <c r="L152" s="90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8"/>
      <c r="F153" s="27"/>
      <c r="G153" s="27"/>
      <c r="H153" s="27"/>
      <c r="I153" s="25"/>
      <c r="J153" s="27"/>
      <c r="K153" s="27"/>
      <c r="L153" s="90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8"/>
      <c r="F154" s="27"/>
      <c r="G154" s="27"/>
      <c r="H154" s="27"/>
      <c r="I154" s="25"/>
      <c r="J154" s="27"/>
      <c r="K154" s="27"/>
      <c r="L154" s="90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8"/>
      <c r="F155" s="27"/>
      <c r="G155" s="27"/>
      <c r="H155" s="27"/>
      <c r="I155" s="25"/>
      <c r="J155" s="27"/>
      <c r="K155" s="27"/>
      <c r="L155" s="90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8"/>
      <c r="F156" s="27"/>
      <c r="G156" s="27"/>
      <c r="H156" s="27"/>
      <c r="I156" s="25"/>
      <c r="J156" s="27"/>
      <c r="K156" s="27"/>
      <c r="L156" s="90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8"/>
      <c r="F157" s="27"/>
      <c r="G157" s="27"/>
      <c r="H157" s="27"/>
      <c r="I157" s="25"/>
      <c r="J157" s="27"/>
      <c r="K157" s="27"/>
      <c r="L157" s="90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8"/>
      <c r="F158" s="27"/>
      <c r="G158" s="27"/>
      <c r="H158" s="27"/>
      <c r="I158" s="25"/>
      <c r="J158" s="27"/>
      <c r="K158" s="27"/>
      <c r="L158" s="90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8"/>
      <c r="F159" s="27"/>
      <c r="G159" s="27"/>
      <c r="H159" s="27"/>
      <c r="I159" s="25"/>
      <c r="J159" s="27"/>
      <c r="K159" s="27"/>
      <c r="L159" s="90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8"/>
      <c r="F160" s="27"/>
      <c r="G160" s="27"/>
      <c r="H160" s="27"/>
      <c r="I160" s="25"/>
      <c r="J160" s="27"/>
      <c r="K160" s="27"/>
      <c r="L160" s="90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8"/>
      <c r="F161" s="27"/>
      <c r="G161" s="27"/>
      <c r="H161" s="27"/>
      <c r="I161" s="25"/>
      <c r="J161" s="27"/>
      <c r="K161" s="27"/>
      <c r="L161" s="90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8"/>
      <c r="F162" s="27"/>
      <c r="G162" s="27"/>
      <c r="H162" s="27"/>
      <c r="I162" s="25"/>
      <c r="J162" s="27"/>
      <c r="K162" s="27"/>
      <c r="L162" s="90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8"/>
      <c r="F163" s="27"/>
      <c r="G163" s="27"/>
      <c r="H163" s="27"/>
      <c r="I163" s="25"/>
      <c r="J163" s="27"/>
      <c r="K163" s="27"/>
      <c r="L163" s="90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8"/>
      <c r="F164" s="27"/>
      <c r="G164" s="27"/>
      <c r="H164" s="27"/>
      <c r="I164" s="25"/>
      <c r="J164" s="27"/>
      <c r="K164" s="27"/>
      <c r="L164" s="90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8"/>
      <c r="F165" s="27"/>
      <c r="G165" s="27"/>
      <c r="H165" s="27"/>
      <c r="I165" s="25"/>
      <c r="J165" s="27"/>
      <c r="K165" s="27"/>
      <c r="L165" s="90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8"/>
      <c r="F166" s="27"/>
      <c r="G166" s="27"/>
      <c r="H166" s="27"/>
      <c r="I166" s="25"/>
      <c r="J166" s="27"/>
      <c r="K166" s="27"/>
      <c r="L166" s="90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8"/>
      <c r="F167" s="27"/>
      <c r="G167" s="27"/>
      <c r="H167" s="27"/>
      <c r="I167" s="25"/>
      <c r="J167" s="27"/>
      <c r="K167" s="27"/>
      <c r="L167" s="90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8"/>
      <c r="F168" s="27"/>
      <c r="G168" s="27"/>
      <c r="H168" s="27"/>
      <c r="I168" s="25"/>
      <c r="J168" s="27"/>
      <c r="K168" s="27"/>
      <c r="L168" s="90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8"/>
      <c r="F169" s="27"/>
      <c r="G169" s="27"/>
      <c r="H169" s="27"/>
      <c r="I169" s="25"/>
      <c r="J169" s="27"/>
      <c r="K169" s="27"/>
      <c r="L169" s="90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8"/>
      <c r="F170" s="27"/>
      <c r="G170" s="27"/>
      <c r="H170" s="27"/>
      <c r="I170" s="25"/>
      <c r="J170" s="27"/>
      <c r="K170" s="27"/>
      <c r="L170" s="90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8"/>
      <c r="F171" s="27"/>
      <c r="G171" s="27"/>
      <c r="H171" s="27"/>
      <c r="I171" s="25"/>
      <c r="J171" s="27"/>
      <c r="K171" s="27"/>
      <c r="L171" s="90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8"/>
      <c r="F172" s="27"/>
      <c r="G172" s="27"/>
      <c r="H172" s="27"/>
      <c r="I172" s="25"/>
      <c r="J172" s="27"/>
      <c r="K172" s="27"/>
      <c r="L172" s="90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8"/>
      <c r="F173" s="27"/>
      <c r="G173" s="27"/>
      <c r="H173" s="27"/>
      <c r="I173" s="25"/>
      <c r="J173" s="27"/>
      <c r="K173" s="27"/>
      <c r="L173" s="90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8"/>
      <c r="F174" s="27"/>
      <c r="G174" s="27"/>
      <c r="H174" s="27"/>
      <c r="I174" s="25"/>
      <c r="J174" s="27"/>
      <c r="K174" s="27"/>
      <c r="L174" s="90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8"/>
      <c r="F175" s="27"/>
      <c r="G175" s="27"/>
      <c r="H175" s="27"/>
      <c r="I175" s="25"/>
      <c r="J175" s="27"/>
      <c r="K175" s="27"/>
      <c r="L175" s="90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8"/>
      <c r="F176" s="27"/>
      <c r="G176" s="27"/>
      <c r="H176" s="27"/>
      <c r="I176" s="25"/>
      <c r="J176" s="27"/>
      <c r="K176" s="27"/>
      <c r="L176" s="90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8"/>
      <c r="F177" s="27"/>
      <c r="G177" s="27"/>
      <c r="H177" s="27"/>
      <c r="I177" s="25"/>
      <c r="J177" s="27"/>
      <c r="K177" s="27"/>
      <c r="L177" s="90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8"/>
      <c r="F178" s="27"/>
      <c r="G178" s="27"/>
      <c r="H178" s="27"/>
      <c r="I178" s="25"/>
      <c r="J178" s="27"/>
      <c r="K178" s="27"/>
      <c r="L178" s="90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8"/>
      <c r="F179" s="27"/>
      <c r="G179" s="27"/>
      <c r="H179" s="27"/>
      <c r="I179" s="25"/>
      <c r="J179" s="27"/>
      <c r="K179" s="27"/>
      <c r="L179" s="90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8"/>
      <c r="F180" s="27"/>
      <c r="G180" s="27"/>
      <c r="H180" s="27"/>
      <c r="I180" s="25"/>
      <c r="J180" s="27"/>
      <c r="K180" s="27"/>
      <c r="L180" s="90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8"/>
      <c r="F181" s="27"/>
      <c r="G181" s="27"/>
      <c r="H181" s="27"/>
      <c r="I181" s="25"/>
      <c r="J181" s="27"/>
      <c r="K181" s="27"/>
      <c r="L181" s="90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8"/>
      <c r="F182" s="27"/>
      <c r="G182" s="27"/>
      <c r="H182" s="27"/>
      <c r="I182" s="25"/>
      <c r="J182" s="27"/>
      <c r="K182" s="27"/>
      <c r="L182" s="90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8"/>
      <c r="F183" s="27"/>
      <c r="G183" s="27"/>
      <c r="H183" s="27"/>
      <c r="I183" s="25"/>
      <c r="J183" s="27"/>
      <c r="K183" s="27"/>
      <c r="L183" s="90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8"/>
      <c r="F184" s="27"/>
      <c r="G184" s="27"/>
      <c r="H184" s="27"/>
      <c r="I184" s="25"/>
      <c r="J184" s="27"/>
      <c r="K184" s="27"/>
      <c r="L184" s="90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8"/>
      <c r="F185" s="27"/>
      <c r="G185" s="27"/>
      <c r="H185" s="27"/>
      <c r="I185" s="25"/>
      <c r="J185" s="27"/>
      <c r="K185" s="27"/>
      <c r="L185" s="90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8"/>
      <c r="F186" s="27"/>
      <c r="G186" s="27"/>
      <c r="H186" s="27"/>
      <c r="I186" s="25"/>
      <c r="J186" s="27"/>
      <c r="K186" s="27"/>
      <c r="L186" s="90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8"/>
      <c r="F187" s="27"/>
      <c r="G187" s="27"/>
      <c r="H187" s="27"/>
      <c r="I187" s="25"/>
      <c r="J187" s="27"/>
      <c r="K187" s="27"/>
      <c r="L187" s="90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8"/>
      <c r="F188" s="27"/>
      <c r="G188" s="27"/>
      <c r="H188" s="27"/>
      <c r="I188" s="25"/>
      <c r="J188" s="27"/>
      <c r="K188" s="27"/>
      <c r="L188" s="90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8"/>
      <c r="F189" s="27"/>
      <c r="G189" s="27"/>
      <c r="H189" s="27"/>
      <c r="I189" s="25"/>
      <c r="J189" s="27"/>
      <c r="K189" s="27"/>
      <c r="L189" s="90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8"/>
      <c r="F190" s="27"/>
      <c r="G190" s="27"/>
      <c r="H190" s="27"/>
      <c r="I190" s="25"/>
      <c r="J190" s="27"/>
      <c r="K190" s="27"/>
      <c r="L190" s="90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8"/>
      <c r="F191" s="27"/>
      <c r="G191" s="27"/>
      <c r="H191" s="27"/>
      <c r="I191" s="25"/>
      <c r="J191" s="27"/>
      <c r="K191" s="27"/>
      <c r="L191" s="90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8"/>
      <c r="F192" s="27"/>
      <c r="G192" s="27"/>
      <c r="H192" s="27"/>
      <c r="I192" s="25"/>
      <c r="J192" s="27"/>
      <c r="K192" s="27"/>
      <c r="L192" s="90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8"/>
      <c r="F193" s="27"/>
      <c r="G193" s="27"/>
      <c r="H193" s="27"/>
      <c r="I193" s="25"/>
      <c r="J193" s="27"/>
      <c r="K193" s="27"/>
      <c r="L193" s="90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8"/>
      <c r="F194" s="27"/>
      <c r="G194" s="27"/>
      <c r="H194" s="27"/>
      <c r="I194" s="25"/>
      <c r="J194" s="27"/>
      <c r="K194" s="27"/>
      <c r="L194" s="90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8"/>
      <c r="F195" s="27"/>
      <c r="G195" s="27"/>
      <c r="H195" s="27"/>
      <c r="I195" s="25"/>
      <c r="J195" s="27"/>
      <c r="K195" s="27"/>
      <c r="L195" s="90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8"/>
      <c r="F196" s="27"/>
      <c r="G196" s="27"/>
      <c r="H196" s="27"/>
      <c r="I196" s="25"/>
      <c r="J196" s="27"/>
      <c r="K196" s="27"/>
      <c r="L196" s="90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8"/>
      <c r="F197" s="27"/>
      <c r="G197" s="27"/>
      <c r="H197" s="27"/>
      <c r="I197" s="25"/>
      <c r="J197" s="27"/>
      <c r="K197" s="27"/>
      <c r="L197" s="90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8"/>
      <c r="F198" s="27"/>
      <c r="G198" s="27"/>
      <c r="H198" s="27"/>
      <c r="I198" s="25"/>
      <c r="J198" s="27"/>
      <c r="K198" s="27"/>
      <c r="L198" s="90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8"/>
      <c r="F199" s="27"/>
      <c r="G199" s="27"/>
      <c r="H199" s="27"/>
      <c r="I199" s="25"/>
      <c r="J199" s="27"/>
      <c r="K199" s="27"/>
      <c r="L199" s="90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8"/>
      <c r="F200" s="27"/>
      <c r="G200" s="27"/>
      <c r="H200" s="27"/>
      <c r="I200" s="25"/>
      <c r="J200" s="27"/>
      <c r="K200" s="27"/>
      <c r="L200" s="90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8"/>
      <c r="F201" s="27"/>
      <c r="G201" s="27"/>
      <c r="H201" s="27"/>
      <c r="I201" s="25"/>
      <c r="J201" s="27"/>
      <c r="K201" s="27"/>
      <c r="L201" s="90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8"/>
      <c r="F202" s="27"/>
      <c r="G202" s="27"/>
      <c r="H202" s="27"/>
      <c r="I202" s="25"/>
      <c r="J202" s="27"/>
      <c r="K202" s="27"/>
      <c r="L202" s="90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8"/>
      <c r="F203" s="27"/>
      <c r="G203" s="27"/>
      <c r="H203" s="27"/>
      <c r="I203" s="25"/>
      <c r="J203" s="27"/>
      <c r="K203" s="27"/>
      <c r="L203" s="90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8"/>
      <c r="F204" s="27"/>
      <c r="G204" s="27"/>
      <c r="H204" s="27"/>
      <c r="I204" s="25"/>
      <c r="J204" s="27"/>
      <c r="K204" s="27"/>
      <c r="L204" s="90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8"/>
      <c r="F205" s="27"/>
      <c r="G205" s="27"/>
      <c r="H205" s="27"/>
      <c r="I205" s="25"/>
      <c r="J205" s="27"/>
      <c r="K205" s="27"/>
      <c r="L205" s="90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8"/>
      <c r="F206" s="27"/>
      <c r="G206" s="27"/>
      <c r="H206" s="27"/>
      <c r="I206" s="25"/>
      <c r="J206" s="27"/>
      <c r="K206" s="27"/>
      <c r="L206" s="90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8"/>
      <c r="F207" s="27"/>
      <c r="G207" s="27"/>
      <c r="H207" s="27"/>
      <c r="I207" s="25"/>
      <c r="J207" s="27"/>
      <c r="K207" s="27"/>
      <c r="L207" s="90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8"/>
      <c r="F208" s="27"/>
      <c r="G208" s="27"/>
      <c r="H208" s="27"/>
      <c r="I208" s="25"/>
      <c r="J208" s="27"/>
      <c r="K208" s="27"/>
      <c r="L208" s="90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8"/>
      <c r="F209" s="27"/>
      <c r="G209" s="27"/>
      <c r="H209" s="27"/>
      <c r="I209" s="25"/>
      <c r="J209" s="27"/>
      <c r="K209" s="27"/>
      <c r="L209" s="90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8"/>
      <c r="F210" s="27"/>
      <c r="G210" s="27"/>
      <c r="H210" s="27"/>
      <c r="I210" s="25"/>
      <c r="J210" s="27"/>
      <c r="K210" s="27"/>
      <c r="L210" s="90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8"/>
      <c r="F211" s="27"/>
      <c r="G211" s="27"/>
      <c r="H211" s="27"/>
      <c r="I211" s="25"/>
      <c r="J211" s="27"/>
      <c r="K211" s="27"/>
      <c r="L211" s="90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8"/>
      <c r="F212" s="27"/>
      <c r="G212" s="27"/>
      <c r="H212" s="27"/>
      <c r="I212" s="25"/>
      <c r="J212" s="27"/>
      <c r="K212" s="27"/>
      <c r="L212" s="90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8"/>
      <c r="F213" s="27"/>
      <c r="G213" s="27"/>
      <c r="H213" s="27"/>
      <c r="I213" s="25"/>
      <c r="J213" s="27"/>
      <c r="K213" s="27"/>
      <c r="L213" s="90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8"/>
      <c r="F214" s="27"/>
      <c r="G214" s="27"/>
      <c r="H214" s="27"/>
      <c r="I214" s="25"/>
      <c r="J214" s="27"/>
      <c r="K214" s="27"/>
      <c r="L214" s="90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8"/>
      <c r="F215" s="27"/>
      <c r="G215" s="27"/>
      <c r="H215" s="27"/>
      <c r="I215" s="25"/>
      <c r="J215" s="27"/>
      <c r="K215" s="27"/>
      <c r="L215" s="90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8"/>
      <c r="F216" s="27"/>
      <c r="G216" s="27"/>
      <c r="H216" s="27"/>
      <c r="I216" s="25"/>
      <c r="J216" s="27"/>
      <c r="K216" s="27"/>
      <c r="L216" s="90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8"/>
      <c r="F217" s="27"/>
      <c r="G217" s="27"/>
      <c r="H217" s="27"/>
      <c r="I217" s="25"/>
      <c r="J217" s="27"/>
      <c r="K217" s="27"/>
      <c r="L217" s="90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8"/>
      <c r="F218" s="27"/>
      <c r="G218" s="27"/>
      <c r="H218" s="27"/>
      <c r="I218" s="25"/>
      <c r="J218" s="27"/>
      <c r="K218" s="27"/>
      <c r="L218" s="90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8"/>
      <c r="F219" s="27"/>
      <c r="G219" s="27"/>
      <c r="H219" s="27"/>
      <c r="I219" s="25"/>
      <c r="J219" s="27"/>
      <c r="K219" s="27"/>
      <c r="L219" s="90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8"/>
      <c r="F220" s="27"/>
      <c r="G220" s="27"/>
      <c r="H220" s="27"/>
      <c r="I220" s="25"/>
      <c r="J220" s="27"/>
      <c r="K220" s="27"/>
      <c r="L220" s="90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8"/>
      <c r="F221" s="27"/>
      <c r="G221" s="27"/>
      <c r="H221" s="27"/>
      <c r="I221" s="25"/>
      <c r="J221" s="27"/>
      <c r="K221" s="27"/>
      <c r="L221" s="90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8"/>
      <c r="F222" s="27"/>
      <c r="G222" s="27"/>
      <c r="H222" s="27"/>
      <c r="I222" s="25"/>
      <c r="J222" s="27"/>
      <c r="K222" s="27"/>
      <c r="L222" s="90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8"/>
      <c r="F223" s="27"/>
      <c r="G223" s="27"/>
      <c r="H223" s="27"/>
      <c r="I223" s="25"/>
      <c r="J223" s="27"/>
      <c r="K223" s="27"/>
      <c r="L223" s="90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8"/>
      <c r="F224" s="27"/>
      <c r="G224" s="27"/>
      <c r="H224" s="27"/>
      <c r="I224" s="25"/>
      <c r="J224" s="27"/>
      <c r="K224" s="27"/>
      <c r="L224" s="90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8"/>
      <c r="F225" s="27"/>
      <c r="G225" s="27"/>
      <c r="H225" s="27"/>
      <c r="I225" s="25"/>
      <c r="J225" s="27"/>
      <c r="K225" s="27"/>
      <c r="L225" s="90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8"/>
      <c r="F226" s="27"/>
      <c r="G226" s="27"/>
      <c r="H226" s="27"/>
      <c r="I226" s="25"/>
      <c r="J226" s="27"/>
      <c r="K226" s="27"/>
      <c r="L226" s="90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8"/>
      <c r="F227" s="27"/>
      <c r="G227" s="27"/>
      <c r="H227" s="27"/>
      <c r="I227" s="25"/>
      <c r="J227" s="27"/>
      <c r="K227" s="27"/>
      <c r="L227" s="90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8"/>
      <c r="F228" s="27"/>
      <c r="G228" s="27"/>
      <c r="H228" s="27"/>
      <c r="I228" s="25"/>
      <c r="J228" s="27"/>
      <c r="K228" s="27"/>
      <c r="L228" s="90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8"/>
      <c r="F229" s="27"/>
      <c r="G229" s="27"/>
      <c r="H229" s="27"/>
      <c r="I229" s="25"/>
      <c r="J229" s="27"/>
      <c r="K229" s="27"/>
      <c r="L229" s="90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8"/>
      <c r="F230" s="27"/>
      <c r="G230" s="27"/>
      <c r="H230" s="27"/>
      <c r="I230" s="25"/>
      <c r="J230" s="27"/>
      <c r="K230" s="27"/>
      <c r="L230" s="90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8"/>
      <c r="F231" s="27"/>
      <c r="G231" s="27"/>
      <c r="H231" s="27"/>
      <c r="I231" s="25"/>
      <c r="J231" s="27"/>
      <c r="K231" s="27"/>
      <c r="L231" s="90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8"/>
      <c r="F232" s="27"/>
      <c r="G232" s="27"/>
      <c r="H232" s="27"/>
      <c r="I232" s="25"/>
      <c r="J232" s="27"/>
      <c r="K232" s="27"/>
      <c r="L232" s="90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8"/>
      <c r="F233" s="27"/>
      <c r="G233" s="27"/>
      <c r="H233" s="27"/>
      <c r="I233" s="25"/>
      <c r="J233" s="27"/>
      <c r="K233" s="27"/>
      <c r="L233" s="90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8"/>
      <c r="F234" s="27"/>
      <c r="G234" s="27"/>
      <c r="H234" s="27"/>
      <c r="I234" s="25"/>
      <c r="J234" s="27"/>
      <c r="K234" s="27"/>
      <c r="L234" s="90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8"/>
      <c r="F235" s="27"/>
      <c r="G235" s="27"/>
      <c r="H235" s="27"/>
      <c r="I235" s="25"/>
      <c r="J235" s="27"/>
      <c r="K235" s="27"/>
      <c r="L235" s="90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8"/>
      <c r="F236" s="27"/>
      <c r="G236" s="27"/>
      <c r="H236" s="27"/>
      <c r="I236" s="25"/>
      <c r="J236" s="27"/>
      <c r="K236" s="27"/>
      <c r="L236" s="90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8"/>
      <c r="F237" s="27"/>
      <c r="G237" s="27"/>
      <c r="H237" s="27"/>
      <c r="I237" s="25"/>
      <c r="J237" s="27"/>
      <c r="K237" s="27"/>
      <c r="L237" s="90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8"/>
      <c r="F238" s="27"/>
      <c r="G238" s="27"/>
      <c r="H238" s="27"/>
      <c r="I238" s="25"/>
      <c r="J238" s="27"/>
      <c r="K238" s="27"/>
      <c r="L238" s="90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8"/>
      <c r="F239" s="27"/>
      <c r="G239" s="27"/>
      <c r="H239" s="27"/>
      <c r="I239" s="25"/>
      <c r="J239" s="27"/>
      <c r="K239" s="27"/>
      <c r="L239" s="90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8"/>
      <c r="F240" s="27"/>
      <c r="G240" s="27"/>
      <c r="H240" s="27"/>
      <c r="I240" s="25"/>
      <c r="J240" s="27"/>
      <c r="K240" s="27"/>
      <c r="L240" s="90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8"/>
      <c r="F241" s="27"/>
      <c r="G241" s="27"/>
      <c r="H241" s="27"/>
      <c r="I241" s="25"/>
      <c r="J241" s="27"/>
      <c r="K241" s="27"/>
      <c r="L241" s="90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8"/>
      <c r="F242" s="27"/>
      <c r="G242" s="27"/>
      <c r="H242" s="27"/>
      <c r="I242" s="25"/>
      <c r="J242" s="27"/>
      <c r="K242" s="27"/>
      <c r="L242" s="90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8"/>
      <c r="F243" s="27"/>
      <c r="G243" s="27"/>
      <c r="H243" s="27"/>
      <c r="I243" s="25"/>
      <c r="J243" s="27"/>
      <c r="K243" s="27"/>
      <c r="L243" s="90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8"/>
      <c r="F244" s="27"/>
      <c r="G244" s="27"/>
      <c r="H244" s="27"/>
      <c r="I244" s="25"/>
      <c r="J244" s="27"/>
      <c r="K244" s="27"/>
      <c r="L244" s="90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8"/>
      <c r="F245" s="27"/>
      <c r="G245" s="27"/>
      <c r="H245" s="27"/>
      <c r="I245" s="25"/>
      <c r="J245" s="27"/>
      <c r="K245" s="27"/>
      <c r="L245" s="90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8"/>
      <c r="F246" s="27"/>
      <c r="G246" s="27"/>
      <c r="H246" s="27"/>
      <c r="I246" s="25"/>
      <c r="J246" s="27"/>
      <c r="K246" s="27"/>
      <c r="L246" s="90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8"/>
      <c r="F247" s="27"/>
      <c r="G247" s="27"/>
      <c r="H247" s="27"/>
      <c r="I247" s="25"/>
      <c r="J247" s="27"/>
      <c r="K247" s="27"/>
      <c r="L247" s="90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8"/>
      <c r="F248" s="27"/>
      <c r="G248" s="27"/>
      <c r="H248" s="27"/>
      <c r="I248" s="25"/>
      <c r="J248" s="27"/>
      <c r="K248" s="27"/>
      <c r="L248" s="90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8"/>
      <c r="F249" s="27"/>
      <c r="G249" s="27"/>
      <c r="H249" s="27"/>
      <c r="I249" s="25"/>
      <c r="J249" s="27"/>
      <c r="K249" s="27"/>
      <c r="L249" s="90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8"/>
      <c r="F250" s="27"/>
      <c r="G250" s="27"/>
      <c r="H250" s="27"/>
      <c r="I250" s="25"/>
      <c r="J250" s="27"/>
      <c r="K250" s="27"/>
      <c r="L250" s="90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8"/>
      <c r="F251" s="27"/>
      <c r="G251" s="27"/>
      <c r="H251" s="27"/>
      <c r="I251" s="25"/>
      <c r="J251" s="27"/>
      <c r="K251" s="27"/>
      <c r="L251" s="90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8"/>
      <c r="F252" s="27"/>
      <c r="G252" s="27"/>
      <c r="H252" s="27"/>
      <c r="I252" s="25"/>
      <c r="J252" s="27"/>
      <c r="K252" s="27"/>
      <c r="L252" s="90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8"/>
      <c r="F253" s="27"/>
      <c r="G253" s="27"/>
      <c r="H253" s="27"/>
      <c r="I253" s="25"/>
      <c r="J253" s="27"/>
      <c r="K253" s="27"/>
      <c r="L253" s="90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8"/>
      <c r="F254" s="27"/>
      <c r="G254" s="27"/>
      <c r="H254" s="27"/>
      <c r="I254" s="25"/>
      <c r="J254" s="27"/>
      <c r="K254" s="27"/>
      <c r="L254" s="90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8"/>
      <c r="F255" s="27"/>
      <c r="G255" s="27"/>
      <c r="H255" s="27"/>
      <c r="I255" s="25"/>
      <c r="J255" s="27"/>
      <c r="K255" s="27"/>
      <c r="L255" s="90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8"/>
      <c r="F256" s="27"/>
      <c r="G256" s="27"/>
      <c r="H256" s="27"/>
      <c r="I256" s="25"/>
      <c r="J256" s="27"/>
      <c r="K256" s="27"/>
      <c r="L256" s="90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8"/>
      <c r="F257" s="27"/>
      <c r="G257" s="27"/>
      <c r="H257" s="27"/>
      <c r="I257" s="25"/>
      <c r="J257" s="27"/>
      <c r="K257" s="27"/>
      <c r="L257" s="90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8"/>
      <c r="F258" s="27"/>
      <c r="G258" s="27"/>
      <c r="H258" s="27"/>
      <c r="I258" s="25"/>
      <c r="J258" s="27"/>
      <c r="K258" s="27"/>
      <c r="L258" s="90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8"/>
      <c r="F259" s="27"/>
      <c r="G259" s="27"/>
      <c r="H259" s="27"/>
      <c r="I259" s="25"/>
      <c r="J259" s="27"/>
      <c r="K259" s="27"/>
      <c r="L259" s="90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8"/>
      <c r="F260" s="27"/>
      <c r="G260" s="27"/>
      <c r="H260" s="27"/>
      <c r="I260" s="25"/>
      <c r="J260" s="27"/>
      <c r="K260" s="27"/>
      <c r="L260" s="90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8"/>
      <c r="F261" s="27"/>
      <c r="G261" s="27"/>
      <c r="H261" s="27"/>
      <c r="I261" s="25"/>
      <c r="J261" s="27"/>
      <c r="K261" s="27"/>
      <c r="L261" s="90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8"/>
      <c r="F262" s="27"/>
      <c r="G262" s="27"/>
      <c r="H262" s="27"/>
      <c r="I262" s="25"/>
      <c r="J262" s="27"/>
      <c r="K262" s="27"/>
      <c r="L262" s="90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8"/>
      <c r="F263" s="27"/>
      <c r="G263" s="27"/>
      <c r="H263" s="27"/>
      <c r="I263" s="25"/>
      <c r="J263" s="27"/>
      <c r="K263" s="27"/>
      <c r="L263" s="90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8"/>
      <c r="F264" s="27"/>
      <c r="G264" s="27"/>
      <c r="H264" s="27"/>
      <c r="I264" s="25"/>
      <c r="J264" s="27"/>
      <c r="K264" s="27"/>
      <c r="L264" s="90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8"/>
      <c r="F265" s="27"/>
      <c r="G265" s="27"/>
      <c r="H265" s="27"/>
      <c r="I265" s="25"/>
      <c r="J265" s="27"/>
      <c r="K265" s="27"/>
      <c r="L265" s="90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8"/>
      <c r="F266" s="27"/>
      <c r="G266" s="27"/>
      <c r="H266" s="27"/>
      <c r="I266" s="25"/>
      <c r="J266" s="27"/>
      <c r="K266" s="27"/>
      <c r="L266" s="90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8"/>
      <c r="F267" s="27"/>
      <c r="G267" s="27"/>
      <c r="H267" s="27"/>
      <c r="I267" s="25"/>
      <c r="J267" s="27"/>
      <c r="K267" s="27"/>
      <c r="L267" s="90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8"/>
      <c r="F268" s="27"/>
      <c r="G268" s="27"/>
      <c r="H268" s="27"/>
      <c r="I268" s="25"/>
      <c r="J268" s="27"/>
      <c r="K268" s="27"/>
      <c r="L268" s="90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8"/>
      <c r="F269" s="27"/>
      <c r="G269" s="27"/>
      <c r="H269" s="27"/>
      <c r="I269" s="25"/>
      <c r="J269" s="27"/>
      <c r="K269" s="27"/>
      <c r="L269" s="90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8"/>
      <c r="F270" s="27"/>
      <c r="G270" s="27"/>
      <c r="H270" s="27"/>
      <c r="I270" s="25"/>
      <c r="J270" s="27"/>
      <c r="K270" s="27"/>
      <c r="L270" s="90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8"/>
      <c r="F271" s="27"/>
      <c r="G271" s="27"/>
      <c r="H271" s="27"/>
      <c r="I271" s="25"/>
      <c r="J271" s="27"/>
      <c r="K271" s="27"/>
      <c r="L271" s="90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8"/>
      <c r="F272" s="27"/>
      <c r="G272" s="27"/>
      <c r="H272" s="27"/>
      <c r="I272" s="25"/>
      <c r="J272" s="27"/>
      <c r="K272" s="27"/>
      <c r="L272" s="90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8"/>
      <c r="F273" s="27"/>
      <c r="G273" s="27"/>
      <c r="H273" s="27"/>
      <c r="I273" s="25"/>
      <c r="J273" s="27"/>
      <c r="K273" s="27"/>
      <c r="L273" s="90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8"/>
      <c r="F274" s="27"/>
      <c r="G274" s="27"/>
      <c r="H274" s="27"/>
      <c r="I274" s="25"/>
      <c r="J274" s="27"/>
      <c r="K274" s="27"/>
      <c r="L274" s="90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8"/>
      <c r="F275" s="27"/>
      <c r="G275" s="27"/>
      <c r="H275" s="27"/>
      <c r="I275" s="25"/>
      <c r="J275" s="27"/>
      <c r="K275" s="27"/>
      <c r="L275" s="90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8"/>
      <c r="F276" s="27"/>
      <c r="G276" s="27"/>
      <c r="H276" s="27"/>
      <c r="I276" s="25"/>
      <c r="J276" s="27"/>
      <c r="K276" s="27"/>
      <c r="L276" s="90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8"/>
      <c r="F277" s="27"/>
      <c r="G277" s="27"/>
      <c r="H277" s="27"/>
      <c r="I277" s="25"/>
      <c r="J277" s="27"/>
      <c r="K277" s="27"/>
      <c r="L277" s="90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8"/>
      <c r="F278" s="27"/>
      <c r="G278" s="27"/>
      <c r="H278" s="27"/>
      <c r="I278" s="25"/>
      <c r="J278" s="27"/>
      <c r="K278" s="27"/>
      <c r="L278" s="90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8"/>
      <c r="F279" s="27"/>
      <c r="G279" s="27"/>
      <c r="H279" s="27"/>
      <c r="I279" s="25"/>
      <c r="J279" s="27"/>
      <c r="K279" s="27"/>
      <c r="L279" s="90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8"/>
      <c r="F280" s="27"/>
      <c r="G280" s="27"/>
      <c r="H280" s="27"/>
      <c r="I280" s="25"/>
      <c r="J280" s="27"/>
      <c r="K280" s="27"/>
      <c r="L280" s="90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8"/>
      <c r="F281" s="27"/>
      <c r="G281" s="27"/>
      <c r="H281" s="27"/>
      <c r="I281" s="25"/>
      <c r="J281" s="27"/>
      <c r="K281" s="27"/>
      <c r="L281" s="90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8"/>
      <c r="F282" s="27"/>
      <c r="G282" s="27"/>
      <c r="H282" s="27"/>
      <c r="I282" s="25"/>
      <c r="J282" s="27"/>
      <c r="K282" s="27"/>
      <c r="L282" s="90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8"/>
      <c r="F283" s="27"/>
      <c r="G283" s="27"/>
      <c r="H283" s="27"/>
      <c r="I283" s="25"/>
      <c r="J283" s="27"/>
      <c r="K283" s="27"/>
      <c r="L283" s="90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8"/>
      <c r="F284" s="27"/>
      <c r="G284" s="27"/>
      <c r="H284" s="27"/>
      <c r="I284" s="25"/>
      <c r="J284" s="27"/>
      <c r="K284" s="27"/>
      <c r="L284" s="90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8"/>
      <c r="F285" s="27"/>
      <c r="G285" s="27"/>
      <c r="H285" s="27"/>
      <c r="I285" s="25"/>
      <c r="J285" s="27"/>
      <c r="K285" s="27"/>
      <c r="L285" s="90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8"/>
      <c r="F286" s="27"/>
      <c r="G286" s="27"/>
      <c r="H286" s="27"/>
      <c r="I286" s="25"/>
      <c r="J286" s="27"/>
      <c r="K286" s="27"/>
      <c r="L286" s="90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8"/>
      <c r="F287" s="27"/>
      <c r="G287" s="27"/>
      <c r="H287" s="27"/>
      <c r="I287" s="25"/>
      <c r="J287" s="27"/>
      <c r="K287" s="27"/>
      <c r="L287" s="90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8"/>
      <c r="F288" s="27"/>
      <c r="G288" s="27"/>
      <c r="H288" s="27"/>
      <c r="I288" s="25"/>
      <c r="J288" s="27"/>
      <c r="K288" s="27"/>
      <c r="L288" s="90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8"/>
      <c r="F289" s="27"/>
      <c r="G289" s="27"/>
      <c r="H289" s="27"/>
      <c r="I289" s="25"/>
      <c r="J289" s="27"/>
      <c r="K289" s="27"/>
      <c r="L289" s="90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8"/>
      <c r="F290" s="27"/>
      <c r="G290" s="27"/>
      <c r="H290" s="27"/>
      <c r="I290" s="25"/>
      <c r="J290" s="27"/>
      <c r="K290" s="27"/>
      <c r="L290" s="90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8"/>
      <c r="F291" s="27"/>
      <c r="G291" s="27"/>
      <c r="H291" s="27"/>
      <c r="I291" s="25"/>
      <c r="J291" s="27"/>
      <c r="K291" s="27"/>
      <c r="L291" s="90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8"/>
      <c r="F292" s="27"/>
      <c r="G292" s="27"/>
      <c r="H292" s="27"/>
      <c r="I292" s="25"/>
      <c r="J292" s="27"/>
      <c r="K292" s="27"/>
      <c r="L292" s="90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8"/>
      <c r="F293" s="27"/>
      <c r="G293" s="27"/>
      <c r="H293" s="27"/>
      <c r="I293" s="25"/>
      <c r="J293" s="27"/>
      <c r="K293" s="27"/>
      <c r="L293" s="90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8"/>
      <c r="F294" s="27"/>
      <c r="G294" s="27"/>
      <c r="H294" s="27"/>
      <c r="I294" s="25"/>
      <c r="J294" s="27"/>
      <c r="K294" s="27"/>
      <c r="L294" s="90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8"/>
      <c r="F295" s="27"/>
      <c r="G295" s="27"/>
      <c r="H295" s="27"/>
      <c r="I295" s="25"/>
      <c r="J295" s="27"/>
      <c r="K295" s="27"/>
      <c r="L295" s="90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8"/>
      <c r="F296" s="27"/>
      <c r="G296" s="27"/>
      <c r="H296" s="27"/>
      <c r="I296" s="25"/>
      <c r="J296" s="27"/>
      <c r="K296" s="27"/>
      <c r="L296" s="90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8"/>
      <c r="F297" s="27"/>
      <c r="G297" s="27"/>
      <c r="H297" s="27"/>
      <c r="I297" s="25"/>
      <c r="J297" s="27"/>
      <c r="K297" s="27"/>
      <c r="L297" s="90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8"/>
      <c r="F298" s="27"/>
      <c r="G298" s="27"/>
      <c r="H298" s="27"/>
      <c r="I298" s="25"/>
      <c r="J298" s="27"/>
      <c r="K298" s="27"/>
      <c r="L298" s="90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8"/>
      <c r="F299" s="27"/>
      <c r="G299" s="27"/>
      <c r="H299" s="27"/>
      <c r="I299" s="25"/>
      <c r="J299" s="27"/>
      <c r="K299" s="27"/>
      <c r="L299" s="90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8"/>
      <c r="F300" s="27"/>
      <c r="G300" s="27"/>
      <c r="H300" s="27"/>
      <c r="I300" s="25"/>
      <c r="J300" s="27"/>
      <c r="K300" s="27"/>
      <c r="L300" s="90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8"/>
      <c r="F301" s="27"/>
      <c r="G301" s="27"/>
      <c r="H301" s="27"/>
      <c r="I301" s="25"/>
      <c r="J301" s="27"/>
      <c r="K301" s="27"/>
      <c r="L301" s="90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8"/>
      <c r="F302" s="27"/>
      <c r="G302" s="27"/>
      <c r="H302" s="27"/>
      <c r="I302" s="25"/>
      <c r="J302" s="27"/>
      <c r="K302" s="27"/>
      <c r="L302" s="90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8"/>
      <c r="F303" s="27"/>
      <c r="G303" s="27"/>
      <c r="H303" s="27"/>
      <c r="I303" s="25"/>
      <c r="J303" s="27"/>
      <c r="K303" s="27"/>
      <c r="L303" s="90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8"/>
      <c r="F304" s="27"/>
      <c r="G304" s="27"/>
      <c r="H304" s="27"/>
      <c r="I304" s="25"/>
      <c r="J304" s="27"/>
      <c r="K304" s="27"/>
      <c r="L304" s="90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8"/>
      <c r="F305" s="27"/>
      <c r="G305" s="27"/>
      <c r="H305" s="27"/>
      <c r="I305" s="25"/>
      <c r="J305" s="27"/>
      <c r="K305" s="27"/>
      <c r="L305" s="90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8"/>
      <c r="F306" s="27"/>
      <c r="G306" s="27"/>
      <c r="H306" s="27"/>
      <c r="I306" s="25"/>
      <c r="J306" s="27"/>
      <c r="K306" s="27"/>
      <c r="L306" s="90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8"/>
      <c r="F307" s="27"/>
      <c r="G307" s="27"/>
      <c r="H307" s="27"/>
      <c r="I307" s="25"/>
      <c r="J307" s="27"/>
      <c r="K307" s="27"/>
      <c r="L307" s="90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8"/>
      <c r="F308" s="27"/>
      <c r="G308" s="27"/>
      <c r="H308" s="27"/>
      <c r="I308" s="25"/>
      <c r="J308" s="27"/>
      <c r="K308" s="27"/>
      <c r="L308" s="90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8"/>
      <c r="F309" s="27"/>
      <c r="G309" s="27"/>
      <c r="H309" s="27"/>
      <c r="I309" s="25"/>
      <c r="J309" s="27"/>
      <c r="K309" s="27"/>
      <c r="L309" s="90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8"/>
      <c r="F310" s="27"/>
      <c r="G310" s="27"/>
      <c r="H310" s="27"/>
      <c r="I310" s="25"/>
      <c r="J310" s="27"/>
      <c r="K310" s="27"/>
      <c r="L310" s="90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8"/>
      <c r="F311" s="27"/>
      <c r="G311" s="27"/>
      <c r="H311" s="27"/>
      <c r="I311" s="25"/>
      <c r="J311" s="27"/>
      <c r="K311" s="27"/>
      <c r="L311" s="90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8"/>
      <c r="F312" s="27"/>
      <c r="G312" s="27"/>
      <c r="H312" s="27"/>
      <c r="I312" s="25"/>
      <c r="J312" s="27"/>
      <c r="K312" s="27"/>
      <c r="L312" s="90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8"/>
      <c r="F313" s="27"/>
      <c r="G313" s="27"/>
      <c r="H313" s="27"/>
      <c r="I313" s="25"/>
      <c r="J313" s="27"/>
      <c r="K313" s="27"/>
      <c r="L313" s="90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8"/>
      <c r="F314" s="27"/>
      <c r="G314" s="27"/>
      <c r="H314" s="27"/>
      <c r="I314" s="25"/>
      <c r="J314" s="27"/>
      <c r="K314" s="27"/>
      <c r="L314" s="90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8"/>
      <c r="F315" s="27"/>
      <c r="G315" s="27"/>
      <c r="H315" s="27"/>
      <c r="I315" s="25"/>
      <c r="J315" s="27"/>
      <c r="K315" s="27"/>
      <c r="L315" s="90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8"/>
      <c r="F316" s="27"/>
      <c r="G316" s="27"/>
      <c r="H316" s="27"/>
      <c r="I316" s="25"/>
      <c r="J316" s="27"/>
      <c r="K316" s="27"/>
      <c r="L316" s="90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8"/>
      <c r="F317" s="27"/>
      <c r="G317" s="27"/>
      <c r="H317" s="27"/>
      <c r="I317" s="25"/>
      <c r="J317" s="27"/>
      <c r="K317" s="27"/>
      <c r="L317" s="90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8"/>
      <c r="F318" s="27"/>
      <c r="G318" s="27"/>
      <c r="H318" s="27"/>
      <c r="I318" s="25"/>
      <c r="J318" s="27"/>
      <c r="K318" s="27"/>
      <c r="L318" s="90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8"/>
      <c r="F319" s="27"/>
      <c r="G319" s="27"/>
      <c r="H319" s="27"/>
      <c r="I319" s="25"/>
      <c r="J319" s="27"/>
      <c r="K319" s="27"/>
      <c r="L319" s="90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8"/>
      <c r="F320" s="27"/>
      <c r="G320" s="27"/>
      <c r="H320" s="27"/>
      <c r="I320" s="25"/>
      <c r="J320" s="27"/>
      <c r="K320" s="27"/>
      <c r="L320" s="90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8"/>
      <c r="F321" s="27"/>
      <c r="G321" s="27"/>
      <c r="H321" s="27"/>
      <c r="I321" s="25"/>
      <c r="J321" s="27"/>
      <c r="K321" s="27"/>
      <c r="L321" s="90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8"/>
      <c r="F322" s="27"/>
      <c r="G322" s="27"/>
      <c r="H322" s="27"/>
      <c r="I322" s="25"/>
      <c r="J322" s="27"/>
      <c r="K322" s="27"/>
      <c r="L322" s="90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8"/>
      <c r="F323" s="27"/>
      <c r="G323" s="27"/>
      <c r="H323" s="27"/>
      <c r="I323" s="25"/>
      <c r="J323" s="27"/>
      <c r="K323" s="27"/>
      <c r="L323" s="90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8"/>
      <c r="F324" s="27"/>
      <c r="G324" s="27"/>
      <c r="H324" s="27"/>
      <c r="I324" s="25"/>
      <c r="J324" s="27"/>
      <c r="K324" s="27"/>
      <c r="L324" s="90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8"/>
      <c r="F325" s="27"/>
      <c r="G325" s="27"/>
      <c r="H325" s="27"/>
      <c r="I325" s="25"/>
      <c r="J325" s="27"/>
      <c r="K325" s="27"/>
      <c r="L325" s="90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8"/>
      <c r="F326" s="27"/>
      <c r="G326" s="27"/>
      <c r="H326" s="27"/>
      <c r="I326" s="25"/>
      <c r="J326" s="27"/>
      <c r="K326" s="27"/>
      <c r="L326" s="90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8"/>
      <c r="F327" s="27"/>
      <c r="G327" s="27"/>
      <c r="H327" s="27"/>
      <c r="I327" s="25"/>
      <c r="J327" s="27"/>
      <c r="K327" s="27"/>
      <c r="L327" s="90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8"/>
      <c r="F328" s="27"/>
      <c r="G328" s="27"/>
      <c r="H328" s="27"/>
      <c r="I328" s="25"/>
      <c r="J328" s="27"/>
      <c r="K328" s="27"/>
      <c r="L328" s="90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8"/>
      <c r="F329" s="27"/>
      <c r="G329" s="27"/>
      <c r="H329" s="27"/>
      <c r="I329" s="25"/>
      <c r="J329" s="27"/>
      <c r="K329" s="27"/>
      <c r="L329" s="90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8"/>
      <c r="F330" s="27"/>
      <c r="G330" s="27"/>
      <c r="H330" s="27"/>
      <c r="I330" s="25"/>
      <c r="J330" s="27"/>
      <c r="K330" s="27"/>
      <c r="L330" s="90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8"/>
      <c r="F331" s="27"/>
      <c r="G331" s="27"/>
      <c r="H331" s="27"/>
      <c r="I331" s="25"/>
      <c r="J331" s="27"/>
      <c r="K331" s="27"/>
      <c r="L331" s="90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8"/>
      <c r="F332" s="27"/>
      <c r="G332" s="27"/>
      <c r="H332" s="27"/>
      <c r="I332" s="25"/>
      <c r="J332" s="27"/>
      <c r="K332" s="27"/>
      <c r="L332" s="90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8"/>
      <c r="F333" s="27"/>
      <c r="G333" s="27"/>
      <c r="H333" s="27"/>
      <c r="I333" s="25"/>
      <c r="J333" s="27"/>
      <c r="K333" s="27"/>
      <c r="L333" s="90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8"/>
      <c r="F334" s="27"/>
      <c r="G334" s="27"/>
      <c r="H334" s="27"/>
      <c r="I334" s="25"/>
      <c r="J334" s="27"/>
      <c r="K334" s="27"/>
      <c r="L334" s="90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8"/>
      <c r="F335" s="27"/>
      <c r="G335" s="27"/>
      <c r="H335" s="27"/>
      <c r="I335" s="25"/>
      <c r="J335" s="27"/>
      <c r="K335" s="27"/>
      <c r="L335" s="90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8"/>
      <c r="F336" s="27"/>
      <c r="G336" s="27"/>
      <c r="H336" s="27"/>
      <c r="I336" s="25"/>
      <c r="J336" s="27"/>
      <c r="K336" s="27"/>
      <c r="L336" s="90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8"/>
      <c r="F337" s="27"/>
      <c r="G337" s="27"/>
      <c r="H337" s="27"/>
      <c r="I337" s="25"/>
      <c r="J337" s="27"/>
      <c r="K337" s="27"/>
      <c r="L337" s="90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8"/>
      <c r="F338" s="27"/>
      <c r="G338" s="27"/>
      <c r="H338" s="27"/>
      <c r="I338" s="25"/>
      <c r="J338" s="27"/>
      <c r="K338" s="27"/>
      <c r="L338" s="90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8"/>
      <c r="F339" s="27"/>
      <c r="G339" s="27"/>
      <c r="H339" s="27"/>
      <c r="I339" s="25"/>
      <c r="J339" s="27"/>
      <c r="K339" s="27"/>
      <c r="L339" s="90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8"/>
      <c r="F340" s="27"/>
      <c r="G340" s="27"/>
      <c r="H340" s="27"/>
      <c r="I340" s="25"/>
      <c r="J340" s="27"/>
      <c r="K340" s="27"/>
      <c r="L340" s="90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8"/>
      <c r="F341" s="27"/>
      <c r="G341" s="27"/>
      <c r="H341" s="27"/>
      <c r="I341" s="25"/>
      <c r="J341" s="27"/>
      <c r="K341" s="27"/>
      <c r="L341" s="90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8"/>
      <c r="F342" s="27"/>
      <c r="G342" s="27"/>
      <c r="H342" s="27"/>
      <c r="I342" s="25"/>
      <c r="J342" s="27"/>
      <c r="K342" s="27"/>
      <c r="L342" s="90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8"/>
      <c r="F343" s="27"/>
      <c r="G343" s="27"/>
      <c r="H343" s="27"/>
      <c r="I343" s="25"/>
      <c r="J343" s="27"/>
      <c r="K343" s="27"/>
      <c r="L343" s="90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8"/>
      <c r="F344" s="27"/>
      <c r="G344" s="27"/>
      <c r="H344" s="27"/>
      <c r="I344" s="25"/>
      <c r="J344" s="27"/>
      <c r="K344" s="27"/>
      <c r="L344" s="90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8"/>
      <c r="F345" s="27"/>
      <c r="G345" s="27"/>
      <c r="H345" s="27"/>
      <c r="I345" s="25"/>
      <c r="J345" s="27"/>
      <c r="K345" s="27"/>
      <c r="L345" s="90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8"/>
      <c r="F346" s="27"/>
      <c r="G346" s="27"/>
      <c r="H346" s="27"/>
      <c r="I346" s="25"/>
      <c r="J346" s="27"/>
      <c r="K346" s="27"/>
      <c r="L346" s="90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8"/>
      <c r="F347" s="27"/>
      <c r="G347" s="27"/>
      <c r="H347" s="27"/>
      <c r="I347" s="25"/>
      <c r="J347" s="27"/>
      <c r="K347" s="27"/>
      <c r="L347" s="90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8"/>
      <c r="F348" s="27"/>
      <c r="G348" s="27"/>
      <c r="H348" s="27"/>
      <c r="I348" s="25"/>
      <c r="J348" s="27"/>
      <c r="K348" s="27"/>
      <c r="L348" s="90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8"/>
      <c r="F349" s="27"/>
      <c r="G349" s="27"/>
      <c r="H349" s="27"/>
      <c r="I349" s="25"/>
      <c r="J349" s="27"/>
      <c r="K349" s="27"/>
      <c r="L349" s="90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8"/>
      <c r="F350" s="27"/>
      <c r="G350" s="27"/>
      <c r="H350" s="27"/>
      <c r="I350" s="25"/>
      <c r="J350" s="27"/>
      <c r="K350" s="27"/>
      <c r="L350" s="90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8"/>
      <c r="F351" s="27"/>
      <c r="G351" s="27"/>
      <c r="H351" s="27"/>
      <c r="I351" s="25"/>
      <c r="J351" s="27"/>
      <c r="K351" s="27"/>
      <c r="L351" s="90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8"/>
      <c r="F352" s="27"/>
      <c r="G352" s="27"/>
      <c r="H352" s="27"/>
      <c r="I352" s="25"/>
      <c r="J352" s="27"/>
      <c r="K352" s="27"/>
      <c r="L352" s="90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8"/>
      <c r="F353" s="27"/>
      <c r="G353" s="27"/>
      <c r="H353" s="27"/>
      <c r="I353" s="25"/>
      <c r="J353" s="27"/>
      <c r="K353" s="27"/>
      <c r="L353" s="90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8"/>
      <c r="F354" s="27"/>
      <c r="G354" s="27"/>
      <c r="H354" s="27"/>
      <c r="I354" s="25"/>
      <c r="J354" s="27"/>
      <c r="K354" s="27"/>
      <c r="L354" s="90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8"/>
      <c r="F355" s="27"/>
      <c r="G355" s="27"/>
      <c r="H355" s="27"/>
      <c r="I355" s="25"/>
      <c r="J355" s="27"/>
      <c r="K355" s="27"/>
      <c r="L355" s="90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8"/>
      <c r="F356" s="27"/>
      <c r="G356" s="27"/>
      <c r="H356" s="27"/>
      <c r="I356" s="25"/>
      <c r="J356" s="27"/>
      <c r="K356" s="27"/>
      <c r="L356" s="90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8"/>
      <c r="F357" s="27"/>
      <c r="G357" s="27"/>
      <c r="H357" s="27"/>
      <c r="I357" s="25"/>
      <c r="J357" s="27"/>
      <c r="K357" s="27"/>
      <c r="L357" s="90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8"/>
      <c r="F358" s="27"/>
      <c r="G358" s="27"/>
      <c r="H358" s="27"/>
      <c r="I358" s="25"/>
      <c r="J358" s="27"/>
      <c r="K358" s="27"/>
      <c r="L358" s="90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8"/>
      <c r="F359" s="27"/>
      <c r="G359" s="27"/>
      <c r="H359" s="27"/>
      <c r="I359" s="25"/>
      <c r="J359" s="27"/>
      <c r="K359" s="27"/>
      <c r="L359" s="90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8"/>
      <c r="F360" s="27"/>
      <c r="G360" s="27"/>
      <c r="H360" s="27"/>
      <c r="I360" s="25"/>
      <c r="J360" s="27"/>
      <c r="K360" s="27"/>
      <c r="L360" s="90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8"/>
      <c r="F361" s="27"/>
      <c r="G361" s="27"/>
      <c r="H361" s="27"/>
      <c r="I361" s="25"/>
      <c r="J361" s="27"/>
      <c r="K361" s="27"/>
      <c r="L361" s="90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8"/>
      <c r="F362" s="27"/>
      <c r="G362" s="27"/>
      <c r="H362" s="27"/>
      <c r="I362" s="25"/>
      <c r="J362" s="27"/>
      <c r="K362" s="27"/>
      <c r="L362" s="90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8"/>
      <c r="F363" s="27"/>
      <c r="G363" s="27"/>
      <c r="H363" s="27"/>
      <c r="I363" s="25"/>
      <c r="J363" s="27"/>
      <c r="K363" s="27"/>
      <c r="L363" s="90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8"/>
      <c r="F364" s="27"/>
      <c r="G364" s="27"/>
      <c r="H364" s="27"/>
      <c r="I364" s="25"/>
      <c r="J364" s="27"/>
      <c r="K364" s="27"/>
      <c r="L364" s="90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8"/>
      <c r="F365" s="27"/>
      <c r="G365" s="27"/>
      <c r="H365" s="27"/>
      <c r="I365" s="25"/>
      <c r="J365" s="27"/>
      <c r="K365" s="27"/>
      <c r="L365" s="90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8"/>
      <c r="F366" s="27"/>
      <c r="G366" s="27"/>
      <c r="H366" s="27"/>
      <c r="I366" s="25"/>
      <c r="J366" s="27"/>
      <c r="K366" s="27"/>
      <c r="L366" s="90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8"/>
      <c r="F367" s="27"/>
      <c r="G367" s="27"/>
      <c r="H367" s="27"/>
      <c r="I367" s="25"/>
      <c r="J367" s="27"/>
      <c r="K367" s="27"/>
      <c r="L367" s="90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8"/>
      <c r="F368" s="27"/>
      <c r="G368" s="27"/>
      <c r="H368" s="27"/>
      <c r="I368" s="25"/>
      <c r="J368" s="27"/>
      <c r="K368" s="27"/>
      <c r="L368" s="90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8"/>
      <c r="F369" s="27"/>
      <c r="G369" s="27"/>
      <c r="H369" s="27"/>
      <c r="I369" s="25"/>
      <c r="J369" s="27"/>
      <c r="K369" s="27"/>
      <c r="L369" s="90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8"/>
      <c r="F370" s="27"/>
      <c r="G370" s="27"/>
      <c r="H370" s="27"/>
      <c r="I370" s="25"/>
      <c r="J370" s="27"/>
      <c r="K370" s="27"/>
      <c r="L370" s="90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8"/>
      <c r="F371" s="27"/>
      <c r="G371" s="27"/>
      <c r="H371" s="27"/>
      <c r="I371" s="25"/>
      <c r="J371" s="27"/>
      <c r="K371" s="27"/>
      <c r="L371" s="90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8"/>
      <c r="F372" s="27"/>
      <c r="G372" s="27"/>
      <c r="H372" s="27"/>
      <c r="I372" s="25"/>
      <c r="J372" s="27"/>
      <c r="K372" s="27"/>
      <c r="L372" s="90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8"/>
      <c r="F373" s="27"/>
      <c r="G373" s="27"/>
      <c r="H373" s="27"/>
      <c r="I373" s="25"/>
      <c r="J373" s="27"/>
      <c r="K373" s="27"/>
      <c r="L373" s="90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8"/>
      <c r="F374" s="27"/>
      <c r="G374" s="27"/>
      <c r="H374" s="27"/>
      <c r="I374" s="25"/>
      <c r="J374" s="27"/>
      <c r="K374" s="27"/>
      <c r="L374" s="90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8"/>
      <c r="F375" s="27"/>
      <c r="G375" s="27"/>
      <c r="H375" s="27"/>
      <c r="I375" s="25"/>
      <c r="J375" s="27"/>
      <c r="K375" s="27"/>
      <c r="L375" s="90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8"/>
      <c r="F376" s="27"/>
      <c r="G376" s="27"/>
      <c r="H376" s="27"/>
      <c r="I376" s="25"/>
      <c r="J376" s="27"/>
      <c r="K376" s="27"/>
      <c r="L376" s="90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8"/>
      <c r="F377" s="27"/>
      <c r="G377" s="27"/>
      <c r="H377" s="27"/>
      <c r="I377" s="25"/>
      <c r="J377" s="27"/>
      <c r="K377" s="27"/>
      <c r="L377" s="90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8"/>
      <c r="F378" s="27"/>
      <c r="G378" s="27"/>
      <c r="H378" s="27"/>
      <c r="I378" s="25"/>
      <c r="J378" s="27"/>
      <c r="K378" s="27"/>
      <c r="L378" s="90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8"/>
      <c r="F379" s="27"/>
      <c r="G379" s="27"/>
      <c r="H379" s="27"/>
      <c r="I379" s="25"/>
      <c r="J379" s="27"/>
      <c r="K379" s="27"/>
      <c r="L379" s="90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8"/>
      <c r="F380" s="27"/>
      <c r="G380" s="27"/>
      <c r="H380" s="27"/>
      <c r="I380" s="25"/>
      <c r="J380" s="27"/>
      <c r="K380" s="27"/>
      <c r="L380" s="90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8"/>
      <c r="F381" s="27"/>
      <c r="G381" s="27"/>
      <c r="H381" s="27"/>
      <c r="I381" s="25"/>
      <c r="J381" s="27"/>
      <c r="K381" s="27"/>
      <c r="L381" s="90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8"/>
      <c r="F382" s="27"/>
      <c r="G382" s="27"/>
      <c r="H382" s="27"/>
      <c r="I382" s="25"/>
      <c r="J382" s="27"/>
      <c r="K382" s="27"/>
      <c r="L382" s="90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8"/>
      <c r="F383" s="27"/>
      <c r="G383" s="27"/>
      <c r="H383" s="27"/>
      <c r="I383" s="25"/>
      <c r="J383" s="27"/>
      <c r="K383" s="27"/>
      <c r="L383" s="90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8"/>
      <c r="F384" s="27"/>
      <c r="G384" s="27"/>
      <c r="H384" s="27"/>
      <c r="I384" s="25"/>
      <c r="J384" s="27"/>
      <c r="K384" s="27"/>
      <c r="L384" s="90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8"/>
      <c r="F385" s="27"/>
      <c r="G385" s="27"/>
      <c r="H385" s="27"/>
      <c r="I385" s="25"/>
      <c r="J385" s="27"/>
      <c r="K385" s="27"/>
      <c r="L385" s="90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8"/>
      <c r="F386" s="27"/>
      <c r="G386" s="27"/>
      <c r="H386" s="27"/>
      <c r="I386" s="25"/>
      <c r="J386" s="27"/>
      <c r="K386" s="27"/>
      <c r="L386" s="90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8"/>
      <c r="F387" s="27"/>
      <c r="G387" s="27"/>
      <c r="H387" s="27"/>
      <c r="I387" s="25"/>
      <c r="J387" s="27"/>
      <c r="K387" s="27"/>
      <c r="L387" s="90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8"/>
      <c r="F388" s="27"/>
      <c r="G388" s="27"/>
      <c r="H388" s="27"/>
      <c r="I388" s="25"/>
      <c r="J388" s="27"/>
      <c r="K388" s="27"/>
      <c r="L388" s="90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8"/>
      <c r="F389" s="27"/>
      <c r="G389" s="27"/>
      <c r="H389" s="27"/>
      <c r="I389" s="25"/>
      <c r="J389" s="27"/>
      <c r="K389" s="27"/>
      <c r="L389" s="90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8"/>
      <c r="F390" s="27"/>
      <c r="G390" s="27"/>
      <c r="H390" s="27"/>
      <c r="I390" s="25"/>
      <c r="J390" s="27"/>
      <c r="K390" s="27"/>
      <c r="L390" s="90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8"/>
      <c r="F391" s="27"/>
      <c r="G391" s="27"/>
      <c r="H391" s="27"/>
      <c r="I391" s="25"/>
      <c r="J391" s="27"/>
      <c r="K391" s="27"/>
      <c r="L391" s="90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8"/>
      <c r="F392" s="27"/>
      <c r="G392" s="27"/>
      <c r="H392" s="27"/>
      <c r="I392" s="25"/>
      <c r="J392" s="27"/>
      <c r="K392" s="27"/>
      <c r="L392" s="90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8"/>
      <c r="F393" s="27"/>
      <c r="G393" s="27"/>
      <c r="H393" s="27"/>
      <c r="I393" s="25"/>
      <c r="J393" s="27"/>
      <c r="K393" s="27"/>
      <c r="L393" s="90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8"/>
      <c r="F394" s="27"/>
      <c r="G394" s="27"/>
      <c r="H394" s="27"/>
      <c r="I394" s="25"/>
      <c r="J394" s="27"/>
      <c r="K394" s="27"/>
      <c r="L394" s="90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8"/>
      <c r="F395" s="27"/>
      <c r="G395" s="27"/>
      <c r="H395" s="27"/>
      <c r="I395" s="25"/>
      <c r="J395" s="27"/>
      <c r="K395" s="27"/>
      <c r="L395" s="90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8"/>
      <c r="F396" s="27"/>
      <c r="G396" s="27"/>
      <c r="H396" s="27"/>
      <c r="I396" s="25"/>
      <c r="J396" s="27"/>
      <c r="K396" s="27"/>
      <c r="L396" s="90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8"/>
      <c r="F397" s="27"/>
      <c r="G397" s="27"/>
      <c r="H397" s="27"/>
      <c r="I397" s="25"/>
      <c r="J397" s="27"/>
      <c r="K397" s="27"/>
      <c r="L397" s="90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8"/>
      <c r="F398" s="27"/>
      <c r="G398" s="27"/>
      <c r="H398" s="27"/>
      <c r="I398" s="25"/>
      <c r="J398" s="27"/>
      <c r="K398" s="27"/>
      <c r="L398" s="90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8"/>
      <c r="F399" s="27"/>
      <c r="G399" s="27"/>
      <c r="H399" s="27"/>
      <c r="I399" s="25"/>
      <c r="J399" s="27"/>
      <c r="K399" s="27"/>
      <c r="L399" s="90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8"/>
      <c r="F400" s="27"/>
      <c r="G400" s="27"/>
      <c r="H400" s="27"/>
      <c r="I400" s="25"/>
      <c r="J400" s="27"/>
      <c r="K400" s="27"/>
      <c r="L400" s="90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8"/>
      <c r="F401" s="27"/>
      <c r="G401" s="27"/>
      <c r="H401" s="27"/>
      <c r="I401" s="25"/>
      <c r="J401" s="27"/>
      <c r="K401" s="27"/>
      <c r="L401" s="90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8"/>
      <c r="F402" s="27"/>
      <c r="G402" s="27"/>
      <c r="H402" s="27"/>
      <c r="I402" s="25"/>
      <c r="J402" s="27"/>
      <c r="K402" s="27"/>
      <c r="L402" s="90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8"/>
      <c r="F403" s="27"/>
      <c r="G403" s="27"/>
      <c r="H403" s="27"/>
      <c r="I403" s="25"/>
      <c r="J403" s="27"/>
      <c r="K403" s="27"/>
      <c r="L403" s="90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8"/>
      <c r="F404" s="27"/>
      <c r="G404" s="27"/>
      <c r="H404" s="27"/>
      <c r="I404" s="25"/>
      <c r="J404" s="27"/>
      <c r="K404" s="27"/>
      <c r="L404" s="90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8"/>
      <c r="F405" s="27"/>
      <c r="G405" s="27"/>
      <c r="H405" s="27"/>
      <c r="I405" s="25"/>
      <c r="J405" s="27"/>
      <c r="K405" s="27"/>
      <c r="L405" s="90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8"/>
      <c r="F406" s="27"/>
      <c r="G406" s="27"/>
      <c r="H406" s="27"/>
      <c r="I406" s="25"/>
      <c r="J406" s="27"/>
      <c r="K406" s="27"/>
      <c r="L406" s="90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8"/>
      <c r="F407" s="27"/>
      <c r="G407" s="27"/>
      <c r="H407" s="27"/>
      <c r="I407" s="25"/>
      <c r="J407" s="27"/>
      <c r="K407" s="27"/>
      <c r="L407" s="90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8"/>
      <c r="F408" s="27"/>
      <c r="G408" s="27"/>
      <c r="H408" s="27"/>
      <c r="I408" s="25"/>
      <c r="J408" s="27"/>
      <c r="K408" s="27"/>
      <c r="L408" s="90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8"/>
      <c r="F409" s="27"/>
      <c r="G409" s="27"/>
      <c r="H409" s="27"/>
      <c r="I409" s="25"/>
      <c r="J409" s="27"/>
      <c r="K409" s="27"/>
      <c r="L409" s="90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8"/>
      <c r="F410" s="27"/>
      <c r="G410" s="27"/>
      <c r="H410" s="27"/>
      <c r="I410" s="25"/>
      <c r="J410" s="27"/>
      <c r="K410" s="27"/>
      <c r="L410" s="90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8"/>
      <c r="F411" s="27"/>
      <c r="G411" s="27"/>
      <c r="H411" s="27"/>
      <c r="I411" s="25"/>
      <c r="J411" s="27"/>
      <c r="K411" s="27"/>
      <c r="L411" s="90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8"/>
      <c r="F412" s="27"/>
      <c r="G412" s="27"/>
      <c r="H412" s="27"/>
      <c r="I412" s="25"/>
      <c r="J412" s="27"/>
      <c r="K412" s="27"/>
      <c r="L412" s="90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8"/>
      <c r="F413" s="27"/>
      <c r="G413" s="27"/>
      <c r="H413" s="27"/>
      <c r="I413" s="25"/>
      <c r="J413" s="27"/>
      <c r="K413" s="27"/>
      <c r="L413" s="90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8"/>
      <c r="F414" s="27"/>
      <c r="G414" s="27"/>
      <c r="H414" s="27"/>
      <c r="I414" s="25"/>
      <c r="J414" s="27"/>
      <c r="K414" s="27"/>
      <c r="L414" s="90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8"/>
      <c r="F415" s="27"/>
      <c r="G415" s="27"/>
      <c r="H415" s="27"/>
      <c r="I415" s="25"/>
      <c r="J415" s="27"/>
      <c r="K415" s="27"/>
      <c r="L415" s="90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8"/>
      <c r="F416" s="27"/>
      <c r="G416" s="27"/>
      <c r="H416" s="27"/>
      <c r="I416" s="25"/>
      <c r="J416" s="27"/>
      <c r="K416" s="27"/>
      <c r="L416" s="90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8"/>
      <c r="F417" s="27"/>
      <c r="G417" s="27"/>
      <c r="H417" s="27"/>
      <c r="I417" s="25"/>
      <c r="J417" s="27"/>
      <c r="K417" s="27"/>
      <c r="L417" s="90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8"/>
      <c r="F418" s="27"/>
      <c r="G418" s="27"/>
      <c r="H418" s="27"/>
      <c r="I418" s="25"/>
      <c r="J418" s="27"/>
      <c r="K418" s="27"/>
      <c r="L418" s="90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8"/>
      <c r="F419" s="27"/>
      <c r="G419" s="27"/>
      <c r="H419" s="27"/>
      <c r="I419" s="25"/>
      <c r="J419" s="27"/>
      <c r="K419" s="27"/>
      <c r="L419" s="90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8"/>
      <c r="F420" s="27"/>
      <c r="G420" s="27"/>
      <c r="H420" s="27"/>
      <c r="I420" s="25"/>
      <c r="J420" s="27"/>
      <c r="K420" s="27"/>
      <c r="L420" s="90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8"/>
      <c r="F421" s="27"/>
      <c r="G421" s="27"/>
      <c r="H421" s="27"/>
      <c r="I421" s="25"/>
      <c r="J421" s="27"/>
      <c r="K421" s="27"/>
      <c r="L421" s="90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8"/>
      <c r="F422" s="27"/>
      <c r="G422" s="27"/>
      <c r="H422" s="27"/>
      <c r="I422" s="25"/>
      <c r="J422" s="27"/>
      <c r="K422" s="27"/>
      <c r="L422" s="90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8"/>
      <c r="F423" s="27"/>
      <c r="G423" s="27"/>
      <c r="H423" s="27"/>
      <c r="I423" s="25"/>
      <c r="J423" s="27"/>
      <c r="K423" s="27"/>
      <c r="L423" s="90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8"/>
      <c r="F424" s="27"/>
      <c r="G424" s="27"/>
      <c r="H424" s="27"/>
      <c r="I424" s="25"/>
      <c r="J424" s="27"/>
      <c r="K424" s="27"/>
      <c r="L424" s="90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8"/>
      <c r="F425" s="27"/>
      <c r="G425" s="27"/>
      <c r="H425" s="27"/>
      <c r="I425" s="25"/>
      <c r="J425" s="27"/>
      <c r="K425" s="27"/>
      <c r="L425" s="90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8"/>
      <c r="F426" s="27"/>
      <c r="G426" s="27"/>
      <c r="H426" s="27"/>
      <c r="I426" s="25"/>
      <c r="J426" s="27"/>
      <c r="K426" s="27"/>
      <c r="L426" s="90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8"/>
      <c r="F427" s="27"/>
      <c r="G427" s="27"/>
      <c r="H427" s="27"/>
      <c r="I427" s="25"/>
      <c r="J427" s="27"/>
      <c r="K427" s="27"/>
      <c r="L427" s="90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8"/>
      <c r="F428" s="27"/>
      <c r="G428" s="27"/>
      <c r="H428" s="27"/>
      <c r="I428" s="25"/>
      <c r="J428" s="27"/>
      <c r="K428" s="27"/>
      <c r="L428" s="90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8"/>
      <c r="F429" s="27"/>
      <c r="G429" s="27"/>
      <c r="H429" s="27"/>
      <c r="I429" s="25"/>
      <c r="J429" s="27"/>
      <c r="K429" s="27"/>
      <c r="L429" s="90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8"/>
      <c r="F430" s="27"/>
      <c r="G430" s="27"/>
      <c r="H430" s="27"/>
      <c r="I430" s="25"/>
      <c r="J430" s="27"/>
      <c r="K430" s="27"/>
      <c r="L430" s="90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8"/>
      <c r="F431" s="27"/>
      <c r="G431" s="27"/>
      <c r="H431" s="27"/>
      <c r="I431" s="25"/>
      <c r="J431" s="27"/>
      <c r="K431" s="27"/>
      <c r="L431" s="90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8"/>
      <c r="F432" s="27"/>
      <c r="G432" s="27"/>
      <c r="H432" s="27"/>
      <c r="I432" s="25"/>
      <c r="J432" s="27"/>
      <c r="K432" s="27"/>
      <c r="L432" s="90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8"/>
      <c r="F433" s="27"/>
      <c r="G433" s="27"/>
      <c r="H433" s="27"/>
      <c r="I433" s="25"/>
      <c r="J433" s="27"/>
      <c r="K433" s="27"/>
      <c r="L433" s="90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8"/>
      <c r="F434" s="27"/>
      <c r="G434" s="27"/>
      <c r="H434" s="27"/>
      <c r="I434" s="25"/>
      <c r="J434" s="27"/>
      <c r="K434" s="27"/>
      <c r="L434" s="90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8"/>
      <c r="F435" s="27"/>
      <c r="G435" s="27"/>
      <c r="H435" s="27"/>
      <c r="I435" s="25"/>
      <c r="J435" s="27"/>
      <c r="K435" s="27"/>
      <c r="L435" s="90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8"/>
      <c r="F436" s="27"/>
      <c r="G436" s="27"/>
      <c r="H436" s="27"/>
      <c r="I436" s="25"/>
      <c r="J436" s="27"/>
      <c r="K436" s="27"/>
      <c r="L436" s="90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8"/>
      <c r="F437" s="27"/>
      <c r="G437" s="27"/>
      <c r="H437" s="27"/>
      <c r="I437" s="25"/>
      <c r="J437" s="27"/>
      <c r="K437" s="27"/>
      <c r="L437" s="90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8"/>
      <c r="F438" s="27"/>
      <c r="G438" s="27"/>
      <c r="H438" s="27"/>
      <c r="I438" s="25"/>
      <c r="J438" s="27"/>
      <c r="K438" s="27"/>
      <c r="L438" s="90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8"/>
      <c r="F439" s="27"/>
      <c r="G439" s="27"/>
      <c r="H439" s="27"/>
      <c r="I439" s="25"/>
      <c r="J439" s="27"/>
      <c r="K439" s="27"/>
      <c r="L439" s="90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8"/>
      <c r="F440" s="27"/>
      <c r="G440" s="27"/>
      <c r="H440" s="27"/>
      <c r="I440" s="25"/>
      <c r="J440" s="27"/>
      <c r="K440" s="27"/>
      <c r="L440" s="90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8"/>
      <c r="F441" s="27"/>
      <c r="G441" s="27"/>
      <c r="H441" s="27"/>
      <c r="I441" s="25"/>
      <c r="J441" s="27"/>
      <c r="K441" s="27"/>
      <c r="L441" s="90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8"/>
      <c r="F442" s="27"/>
      <c r="G442" s="27"/>
      <c r="H442" s="27"/>
      <c r="I442" s="25"/>
      <c r="J442" s="27"/>
      <c r="K442" s="27"/>
      <c r="L442" s="90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8"/>
      <c r="F443" s="27"/>
      <c r="G443" s="27"/>
      <c r="H443" s="27"/>
      <c r="I443" s="25"/>
      <c r="J443" s="27"/>
      <c r="K443" s="27"/>
      <c r="L443" s="90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8"/>
      <c r="F444" s="27"/>
      <c r="G444" s="27"/>
      <c r="H444" s="27"/>
      <c r="I444" s="25"/>
      <c r="J444" s="27"/>
      <c r="K444" s="27"/>
      <c r="L444" s="90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8"/>
      <c r="F445" s="27"/>
      <c r="G445" s="27"/>
      <c r="H445" s="27"/>
      <c r="I445" s="25"/>
      <c r="J445" s="27"/>
      <c r="K445" s="27"/>
      <c r="L445" s="90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8"/>
      <c r="F446" s="27"/>
      <c r="G446" s="27"/>
      <c r="H446" s="27"/>
      <c r="I446" s="25"/>
      <c r="J446" s="27"/>
      <c r="K446" s="27"/>
      <c r="L446" s="90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8"/>
      <c r="F447" s="27"/>
      <c r="G447" s="27"/>
      <c r="H447" s="27"/>
      <c r="I447" s="25"/>
      <c r="J447" s="27"/>
      <c r="K447" s="27"/>
      <c r="L447" s="90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8"/>
      <c r="F448" s="27"/>
      <c r="G448" s="27"/>
      <c r="H448" s="27"/>
      <c r="I448" s="25"/>
      <c r="J448" s="27"/>
      <c r="K448" s="27"/>
      <c r="L448" s="90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8"/>
      <c r="F449" s="27"/>
      <c r="G449" s="27"/>
      <c r="H449" s="27"/>
      <c r="I449" s="25"/>
      <c r="J449" s="27"/>
      <c r="K449" s="27"/>
      <c r="L449" s="90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8"/>
      <c r="F450" s="27"/>
      <c r="G450" s="27"/>
      <c r="H450" s="27"/>
      <c r="I450" s="25"/>
      <c r="J450" s="27"/>
      <c r="K450" s="27"/>
      <c r="L450" s="90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8"/>
      <c r="F451" s="27"/>
      <c r="G451" s="27"/>
      <c r="H451" s="27"/>
      <c r="I451" s="25"/>
      <c r="J451" s="27"/>
      <c r="K451" s="27"/>
      <c r="L451" s="90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8"/>
      <c r="F452" s="27"/>
      <c r="G452" s="27"/>
      <c r="H452" s="27"/>
      <c r="I452" s="25"/>
      <c r="J452" s="27"/>
      <c r="K452" s="27"/>
      <c r="L452" s="90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8"/>
      <c r="F453" s="27"/>
      <c r="G453" s="27"/>
      <c r="H453" s="27"/>
      <c r="I453" s="25"/>
      <c r="J453" s="27"/>
      <c r="K453" s="27"/>
      <c r="L453" s="90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8"/>
      <c r="F454" s="27"/>
      <c r="G454" s="27"/>
      <c r="H454" s="27"/>
      <c r="I454" s="25"/>
      <c r="J454" s="27"/>
      <c r="K454" s="27"/>
      <c r="L454" s="90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8"/>
      <c r="F455" s="27"/>
      <c r="G455" s="27"/>
      <c r="H455" s="27"/>
      <c r="I455" s="25"/>
      <c r="J455" s="27"/>
      <c r="K455" s="27"/>
      <c r="L455" s="90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8"/>
      <c r="F456" s="27"/>
      <c r="G456" s="27"/>
      <c r="H456" s="27"/>
      <c r="I456" s="25"/>
      <c r="J456" s="27"/>
      <c r="K456" s="27"/>
      <c r="L456" s="90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8"/>
      <c r="F457" s="27"/>
      <c r="G457" s="27"/>
      <c r="H457" s="27"/>
      <c r="I457" s="25"/>
      <c r="J457" s="27"/>
      <c r="K457" s="27"/>
      <c r="L457" s="90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8"/>
      <c r="F458" s="27"/>
      <c r="G458" s="27"/>
      <c r="H458" s="27"/>
      <c r="I458" s="25"/>
      <c r="J458" s="27"/>
      <c r="K458" s="27"/>
      <c r="L458" s="90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8"/>
      <c r="F459" s="27"/>
      <c r="G459" s="27"/>
      <c r="H459" s="27"/>
      <c r="I459" s="25"/>
      <c r="J459" s="27"/>
      <c r="K459" s="27"/>
      <c r="L459" s="90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8"/>
      <c r="F460" s="27"/>
      <c r="G460" s="27"/>
      <c r="H460" s="27"/>
      <c r="I460" s="25"/>
      <c r="J460" s="27"/>
      <c r="K460" s="27"/>
      <c r="L460" s="90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8"/>
      <c r="F461" s="27"/>
      <c r="G461" s="27"/>
      <c r="H461" s="27"/>
      <c r="I461" s="25"/>
      <c r="J461" s="27"/>
      <c r="K461" s="27"/>
      <c r="L461" s="90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8"/>
      <c r="F462" s="27"/>
      <c r="G462" s="27"/>
      <c r="H462" s="27"/>
      <c r="I462" s="25"/>
      <c r="J462" s="27"/>
      <c r="K462" s="27"/>
      <c r="L462" s="90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8"/>
      <c r="F463" s="27"/>
      <c r="G463" s="27"/>
      <c r="H463" s="27"/>
      <c r="I463" s="25"/>
      <c r="J463" s="27"/>
      <c r="K463" s="27"/>
      <c r="L463" s="90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8"/>
      <c r="F464" s="27"/>
      <c r="G464" s="27"/>
      <c r="H464" s="27"/>
      <c r="I464" s="25"/>
      <c r="J464" s="27"/>
      <c r="K464" s="27"/>
      <c r="L464" s="90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8"/>
      <c r="F465" s="27"/>
      <c r="G465" s="27"/>
      <c r="H465" s="27"/>
      <c r="I465" s="25"/>
      <c r="J465" s="27"/>
      <c r="K465" s="27"/>
      <c r="L465" s="90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8"/>
      <c r="F466" s="27"/>
      <c r="G466" s="27"/>
      <c r="H466" s="27"/>
      <c r="I466" s="25"/>
      <c r="J466" s="27"/>
      <c r="K466" s="27"/>
      <c r="L466" s="90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8"/>
      <c r="F467" s="27"/>
      <c r="G467" s="27"/>
      <c r="H467" s="27"/>
      <c r="I467" s="25"/>
      <c r="J467" s="27"/>
      <c r="K467" s="27"/>
      <c r="L467" s="90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8"/>
      <c r="F468" s="27"/>
      <c r="G468" s="27"/>
      <c r="H468" s="27"/>
      <c r="I468" s="25"/>
      <c r="J468" s="27"/>
      <c r="K468" s="27"/>
      <c r="L468" s="90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8"/>
      <c r="F469" s="27"/>
      <c r="G469" s="27"/>
      <c r="H469" s="27"/>
      <c r="I469" s="25"/>
      <c r="J469" s="27"/>
      <c r="K469" s="27"/>
      <c r="L469" s="90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8"/>
      <c r="F470" s="27"/>
      <c r="G470" s="27"/>
      <c r="H470" s="27"/>
      <c r="I470" s="25"/>
      <c r="J470" s="27"/>
      <c r="K470" s="27"/>
      <c r="L470" s="90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8"/>
      <c r="F471" s="27"/>
      <c r="G471" s="27"/>
      <c r="H471" s="27"/>
      <c r="I471" s="25"/>
      <c r="J471" s="27"/>
      <c r="K471" s="27"/>
      <c r="L471" s="90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8"/>
      <c r="F472" s="27"/>
      <c r="G472" s="27"/>
      <c r="H472" s="27"/>
      <c r="I472" s="25"/>
      <c r="J472" s="27"/>
      <c r="K472" s="27"/>
      <c r="L472" s="90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8"/>
      <c r="F473" s="27"/>
      <c r="G473" s="27"/>
      <c r="H473" s="27"/>
      <c r="I473" s="25"/>
      <c r="J473" s="27"/>
      <c r="K473" s="27"/>
      <c r="L473" s="90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8"/>
      <c r="F474" s="27"/>
      <c r="G474" s="27"/>
      <c r="H474" s="27"/>
      <c r="I474" s="25"/>
      <c r="J474" s="27"/>
      <c r="K474" s="27"/>
      <c r="L474" s="90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8"/>
      <c r="F475" s="27"/>
      <c r="G475" s="27"/>
      <c r="H475" s="27"/>
      <c r="I475" s="25"/>
      <c r="J475" s="27"/>
      <c r="K475" s="27"/>
      <c r="L475" s="90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8"/>
      <c r="F476" s="27"/>
      <c r="G476" s="27"/>
      <c r="H476" s="27"/>
      <c r="I476" s="25"/>
      <c r="J476" s="27"/>
      <c r="K476" s="27"/>
      <c r="L476" s="90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8"/>
      <c r="F477" s="27"/>
      <c r="G477" s="27"/>
      <c r="H477" s="27"/>
      <c r="I477" s="25"/>
      <c r="J477" s="27"/>
      <c r="K477" s="27"/>
      <c r="L477" s="90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8"/>
      <c r="F478" s="27"/>
      <c r="G478" s="27"/>
      <c r="H478" s="27"/>
      <c r="I478" s="25"/>
      <c r="J478" s="27"/>
      <c r="K478" s="27"/>
      <c r="L478" s="90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8"/>
      <c r="F479" s="27"/>
      <c r="G479" s="27"/>
      <c r="H479" s="27"/>
      <c r="I479" s="25"/>
      <c r="J479" s="27"/>
      <c r="K479" s="27"/>
      <c r="L479" s="90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8"/>
      <c r="F480" s="27"/>
      <c r="G480" s="27"/>
      <c r="H480" s="27"/>
      <c r="I480" s="25"/>
      <c r="J480" s="27"/>
      <c r="K480" s="27"/>
      <c r="L480" s="90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8"/>
      <c r="F481" s="27"/>
      <c r="G481" s="27"/>
      <c r="H481" s="27"/>
      <c r="I481" s="25"/>
      <c r="J481" s="27"/>
      <c r="K481" s="27"/>
      <c r="L481" s="90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8"/>
      <c r="F482" s="27"/>
      <c r="G482" s="27"/>
      <c r="H482" s="27"/>
      <c r="I482" s="25"/>
      <c r="J482" s="27"/>
      <c r="K482" s="27"/>
      <c r="L482" s="90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8"/>
      <c r="F483" s="27"/>
      <c r="G483" s="27"/>
      <c r="H483" s="27"/>
      <c r="I483" s="25"/>
      <c r="J483" s="27"/>
      <c r="K483" s="27"/>
      <c r="L483" s="90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8"/>
      <c r="F484" s="27"/>
      <c r="G484" s="27"/>
      <c r="H484" s="27"/>
      <c r="I484" s="25"/>
      <c r="J484" s="27"/>
      <c r="K484" s="27"/>
      <c r="L484" s="90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8"/>
      <c r="F485" s="27"/>
      <c r="G485" s="27"/>
      <c r="H485" s="27"/>
      <c r="I485" s="25"/>
      <c r="J485" s="27"/>
      <c r="K485" s="27"/>
      <c r="L485" s="90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8"/>
      <c r="F486" s="27"/>
      <c r="G486" s="27"/>
      <c r="H486" s="27"/>
      <c r="I486" s="25"/>
      <c r="J486" s="27"/>
      <c r="K486" s="27"/>
      <c r="L486" s="90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8"/>
      <c r="F487" s="27"/>
      <c r="G487" s="27"/>
      <c r="H487" s="27"/>
      <c r="I487" s="25"/>
      <c r="J487" s="27"/>
      <c r="K487" s="27"/>
      <c r="L487" s="90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8"/>
      <c r="F488" s="27"/>
      <c r="G488" s="27"/>
      <c r="H488" s="27"/>
      <c r="I488" s="25"/>
      <c r="J488" s="27"/>
      <c r="K488" s="27"/>
      <c r="L488" s="90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8"/>
      <c r="F489" s="27"/>
      <c r="G489" s="27"/>
      <c r="H489" s="27"/>
      <c r="I489" s="25"/>
      <c r="J489" s="27"/>
      <c r="K489" s="27"/>
      <c r="L489" s="90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8"/>
      <c r="F490" s="27"/>
      <c r="G490" s="27"/>
      <c r="H490" s="27"/>
      <c r="I490" s="25"/>
      <c r="J490" s="27"/>
      <c r="K490" s="27"/>
      <c r="L490" s="90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8"/>
      <c r="F491" s="27"/>
      <c r="G491" s="27"/>
      <c r="H491" s="27"/>
      <c r="I491" s="25"/>
      <c r="J491" s="27"/>
      <c r="K491" s="27"/>
      <c r="L491" s="90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8"/>
      <c r="F492" s="27"/>
      <c r="G492" s="27"/>
      <c r="H492" s="27"/>
      <c r="I492" s="25"/>
      <c r="J492" s="27"/>
      <c r="K492" s="27"/>
      <c r="L492" s="90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8"/>
      <c r="F493" s="27"/>
      <c r="G493" s="27"/>
      <c r="H493" s="27"/>
      <c r="I493" s="25"/>
      <c r="J493" s="27"/>
      <c r="K493" s="27"/>
      <c r="L493" s="90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8"/>
      <c r="F494" s="27"/>
      <c r="G494" s="27"/>
      <c r="H494" s="27"/>
      <c r="I494" s="25"/>
      <c r="J494" s="27"/>
      <c r="K494" s="27"/>
      <c r="L494" s="90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8"/>
      <c r="F495" s="27"/>
      <c r="G495" s="27"/>
      <c r="H495" s="27"/>
      <c r="I495" s="25"/>
      <c r="J495" s="27"/>
      <c r="K495" s="27"/>
      <c r="L495" s="90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8"/>
      <c r="F496" s="27"/>
      <c r="G496" s="27"/>
      <c r="H496" s="27"/>
      <c r="I496" s="25"/>
      <c r="J496" s="27"/>
      <c r="K496" s="27"/>
      <c r="L496" s="90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8"/>
      <c r="F497" s="27"/>
      <c r="G497" s="27"/>
      <c r="H497" s="27"/>
      <c r="I497" s="25"/>
      <c r="J497" s="27"/>
      <c r="K497" s="27"/>
      <c r="L497" s="90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8"/>
      <c r="F498" s="27"/>
      <c r="G498" s="27"/>
      <c r="H498" s="27"/>
      <c r="I498" s="25"/>
      <c r="J498" s="27"/>
      <c r="K498" s="27"/>
      <c r="L498" s="90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8"/>
      <c r="F499" s="27"/>
      <c r="G499" s="27"/>
      <c r="H499" s="27"/>
      <c r="I499" s="25"/>
      <c r="J499" s="27"/>
      <c r="K499" s="27"/>
      <c r="L499" s="90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8"/>
      <c r="F500" s="27"/>
      <c r="G500" s="27"/>
      <c r="H500" s="27"/>
      <c r="I500" s="25"/>
      <c r="J500" s="27"/>
      <c r="K500" s="27"/>
      <c r="L500" s="90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8"/>
      <c r="F501" s="27"/>
      <c r="G501" s="27"/>
      <c r="H501" s="27"/>
      <c r="I501" s="25"/>
      <c r="J501" s="27"/>
      <c r="K501" s="27"/>
      <c r="L501" s="90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8"/>
      <c r="F502" s="27"/>
      <c r="G502" s="27"/>
      <c r="H502" s="27"/>
      <c r="I502" s="25"/>
      <c r="J502" s="27"/>
      <c r="K502" s="27"/>
      <c r="L502" s="90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8"/>
      <c r="F503" s="27"/>
      <c r="G503" s="27"/>
      <c r="H503" s="27"/>
      <c r="I503" s="25"/>
      <c r="J503" s="27"/>
      <c r="K503" s="27"/>
      <c r="L503" s="90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8"/>
      <c r="F504" s="27"/>
      <c r="G504" s="27"/>
      <c r="H504" s="27"/>
      <c r="I504" s="25"/>
      <c r="J504" s="27"/>
      <c r="K504" s="27"/>
      <c r="L504" s="90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8"/>
      <c r="F505" s="27"/>
      <c r="G505" s="27"/>
      <c r="H505" s="27"/>
      <c r="I505" s="25"/>
      <c r="J505" s="27"/>
      <c r="K505" s="27"/>
      <c r="L505" s="90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8"/>
      <c r="F506" s="27"/>
      <c r="G506" s="27"/>
      <c r="H506" s="27"/>
      <c r="I506" s="25"/>
      <c r="J506" s="27"/>
      <c r="K506" s="27"/>
      <c r="L506" s="90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8"/>
      <c r="F507" s="27"/>
      <c r="G507" s="27"/>
      <c r="H507" s="27"/>
      <c r="I507" s="25"/>
      <c r="J507" s="27"/>
      <c r="K507" s="27"/>
      <c r="L507" s="90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6"/>
    </row>
    <row r="515" spans="4:4">
      <c r="D515" s="116"/>
    </row>
  </sheetData>
  <dataConsolidate/>
  <mergeCells count="1">
    <mergeCell ref="J3:K3"/>
  </mergeCells>
  <phoneticPr fontId="29" type="noConversion"/>
  <conditionalFormatting sqref="A8:N507">
    <cfRule type="expression" dxfId="47" priority="1">
      <formula xml:space="preserve"> "" = $E8</formula>
    </cfRule>
    <cfRule type="expression" dxfId="46" priority="5">
      <formula xml:space="preserve"> "انتقال" = $E8</formula>
    </cfRule>
    <cfRule type="expression" dxfId="45" priority="6">
      <formula xml:space="preserve"> "پرداخت_هزینه" = $E8</formula>
    </cfRule>
    <cfRule type="expression" dxfId="4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J3:K3" location="'دریافت کنندگان - پرداخت کنندگان'!A1" display="دریافت کنندگان - پرداخت کنندگان" xr:uid="{00000000-0004-0000-0200-00000C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G1" location="'دریافت کنندگان - پرداخت کنندگان'!A1" display="دریافت | پرداخت کنندگان" xr:uid="{F672C150-2732-41B1-9B2E-D856A318F3C0}"/>
    <hyperlink ref="H1" location="'تنظیمات حساب'!A1" display="تنظیمات حساب" xr:uid="{8459A73C-8F4E-4514-90C7-2381F415DFE4}"/>
    <hyperlink ref="I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40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97" t="s">
        <v>327</v>
      </c>
    </row>
    <row r="2" spans="1:33" ht="24" customHeight="1">
      <c r="A2" s="96">
        <v>1400</v>
      </c>
      <c r="D2" s="108"/>
      <c r="E2" s="108"/>
      <c r="F2" s="108">
        <v>0</v>
      </c>
      <c r="G2" s="108">
        <v>1</v>
      </c>
      <c r="H2" s="108">
        <v>2</v>
      </c>
      <c r="I2" s="108">
        <v>3</v>
      </c>
      <c r="J2" s="108">
        <v>4</v>
      </c>
      <c r="K2" s="108">
        <v>5</v>
      </c>
      <c r="L2" s="108">
        <v>6</v>
      </c>
      <c r="M2" s="109"/>
      <c r="N2" s="109"/>
      <c r="O2" s="108"/>
      <c r="P2" s="108">
        <v>0</v>
      </c>
      <c r="Q2" s="108">
        <v>1</v>
      </c>
      <c r="R2" s="108">
        <v>2</v>
      </c>
      <c r="S2" s="108">
        <v>3</v>
      </c>
      <c r="T2" s="108">
        <v>4</v>
      </c>
      <c r="U2" s="108">
        <v>5</v>
      </c>
      <c r="V2" s="108">
        <v>6</v>
      </c>
      <c r="W2" s="109"/>
      <c r="X2" s="109"/>
      <c r="Y2" s="108"/>
      <c r="Z2" s="108">
        <v>0</v>
      </c>
      <c r="AA2" s="108">
        <v>1</v>
      </c>
      <c r="AB2" s="108">
        <v>2</v>
      </c>
      <c r="AC2" s="108">
        <v>3</v>
      </c>
      <c r="AD2" s="108">
        <v>4</v>
      </c>
      <c r="AE2" s="108">
        <v>5</v>
      </c>
      <c r="AF2" s="108">
        <v>6</v>
      </c>
    </row>
    <row r="3" spans="1:33" ht="24" customHeight="1">
      <c r="A3" s="40"/>
      <c r="D3" s="292" t="s">
        <v>336</v>
      </c>
      <c r="E3" s="99"/>
      <c r="F3" s="290" t="s">
        <v>328</v>
      </c>
      <c r="G3" s="290"/>
      <c r="H3" s="290"/>
      <c r="I3" s="290"/>
      <c r="J3" s="290"/>
      <c r="K3" s="290"/>
      <c r="L3" s="290"/>
      <c r="M3" s="101"/>
      <c r="O3" s="99"/>
      <c r="P3" s="290" t="s">
        <v>337</v>
      </c>
      <c r="Q3" s="290"/>
      <c r="R3" s="290"/>
      <c r="S3" s="290"/>
      <c r="T3" s="290"/>
      <c r="U3" s="290"/>
      <c r="V3" s="290"/>
      <c r="W3" s="101"/>
      <c r="Y3" s="99"/>
      <c r="Z3" s="290" t="s">
        <v>340</v>
      </c>
      <c r="AA3" s="290"/>
      <c r="AB3" s="290"/>
      <c r="AC3" s="290"/>
      <c r="AD3" s="290"/>
      <c r="AE3" s="290"/>
      <c r="AF3" s="290"/>
      <c r="AG3" s="101"/>
    </row>
    <row r="4" spans="1:33" ht="24" customHeight="1" thickBot="1">
      <c r="A4" s="9" t="s">
        <v>8</v>
      </c>
      <c r="D4" s="292"/>
      <c r="E4" s="99"/>
      <c r="F4" s="100" t="s">
        <v>329</v>
      </c>
      <c r="G4" s="100" t="s">
        <v>331</v>
      </c>
      <c r="H4" s="100" t="s">
        <v>332</v>
      </c>
      <c r="I4" s="100" t="s">
        <v>333</v>
      </c>
      <c r="J4" s="100" t="s">
        <v>334</v>
      </c>
      <c r="K4" s="100" t="s">
        <v>335</v>
      </c>
      <c r="L4" s="100" t="s">
        <v>330</v>
      </c>
      <c r="M4" s="101"/>
      <c r="O4" s="99"/>
      <c r="P4" s="100" t="s">
        <v>329</v>
      </c>
      <c r="Q4" s="100" t="s">
        <v>331</v>
      </c>
      <c r="R4" s="100" t="s">
        <v>332</v>
      </c>
      <c r="S4" s="100" t="s">
        <v>333</v>
      </c>
      <c r="T4" s="100" t="s">
        <v>334</v>
      </c>
      <c r="U4" s="100" t="s">
        <v>335</v>
      </c>
      <c r="V4" s="100" t="s">
        <v>330</v>
      </c>
      <c r="W4" s="101"/>
      <c r="Y4" s="99"/>
      <c r="Z4" s="100" t="s">
        <v>329</v>
      </c>
      <c r="AA4" s="100" t="s">
        <v>331</v>
      </c>
      <c r="AB4" s="100" t="s">
        <v>332</v>
      </c>
      <c r="AC4" s="100" t="s">
        <v>333</v>
      </c>
      <c r="AD4" s="100" t="s">
        <v>334</v>
      </c>
      <c r="AE4" s="100" t="s">
        <v>335</v>
      </c>
      <c r="AF4" s="100" t="s">
        <v>330</v>
      </c>
      <c r="AG4" s="101"/>
    </row>
    <row r="5" spans="1:33" ht="24" customHeight="1">
      <c r="A5" s="35" t="s">
        <v>115</v>
      </c>
      <c r="D5" s="292"/>
      <c r="E5" s="99"/>
      <c r="F5" s="98" t="str">
        <f>IF(DayWeekNo($A$2&amp;"0101")=F2,1,IF(DayWeekNo($A$2&amp;"0101")&lt;F2,E5+1,""))</f>
        <v/>
      </c>
      <c r="G5" s="98">
        <f>IF(DayWeekNo($A$2&amp;"0101")=G2,1,IF(DayWeekNo($A$2&amp;"0101")&lt;G2,F5+1,""))</f>
        <v>1</v>
      </c>
      <c r="H5" s="98">
        <f>IF(DayWeekNo($A$2&amp;"0101")=H2,1,IF(DayWeekNo($A$2&amp;"0101")&lt;H2,G5+1,""))</f>
        <v>2</v>
      </c>
      <c r="I5" s="98">
        <f>IF(DayWeekNo($A$2&amp;"0101")=I2,1,IF(DayWeekNo($A$2&amp;"0101")&lt;I2,H5+1,""))</f>
        <v>3</v>
      </c>
      <c r="J5" s="98">
        <f>IF(DayWeekNo($A$2&amp;"0101")=J2,1,IF(DayWeekNo($A$2&amp;"0101")&lt;J2,I5+1,""))</f>
        <v>4</v>
      </c>
      <c r="K5" s="98">
        <f>IF(DayWeekNo($A$2&amp;"0101")=K2,1,IF(DayWeekNo($A$2&amp;"0101")&lt;K2,J5+1,""))</f>
        <v>5</v>
      </c>
      <c r="L5" s="98">
        <f>IF(DayWeekNo($A$2&amp;"0101")=L2,1,IF(DayWeekNo($A$2&amp;"0101")&lt;L2,K5+1,""))</f>
        <v>6</v>
      </c>
      <c r="M5" s="102"/>
      <c r="O5" s="99"/>
      <c r="P5" s="98" t="str">
        <f>IF(DayWeekNo($A$2&amp;"0201")=P2,1,IF(DayWeekNo($A$2&amp;"0201")&lt;P2,O5+1,""))</f>
        <v/>
      </c>
      <c r="Q5" s="98" t="str">
        <f>IF(DayWeekNo($A$2&amp;"0201")=Q2,1,IF(DayWeekNo($A$2&amp;"0201")&lt;Q2,P5+1,""))</f>
        <v/>
      </c>
      <c r="R5" s="98" t="str">
        <f>IF(DayWeekNo($A$2&amp;"0201")=R2,1,IF(DayWeekNo($A$2&amp;"0201")&lt;R2,Q5+1,""))</f>
        <v/>
      </c>
      <c r="S5" s="98" t="str">
        <f>IF(DayWeekNo($A$2&amp;"0201")=S2,1,IF(DayWeekNo($A$2&amp;"0201")&lt;S2,R5+1,""))</f>
        <v/>
      </c>
      <c r="T5" s="98">
        <f>IF(DayWeekNo($A$2&amp;"0201")=T2,1,IF(DayWeekNo($A$2&amp;"0201")&lt;T2,S5+1,""))</f>
        <v>1</v>
      </c>
      <c r="U5" s="98">
        <f>IF(DayWeekNo($A$2&amp;"0201")=U2,1,IF(DayWeekNo($A$2&amp;"0201")&lt;U2,T5+1,""))</f>
        <v>2</v>
      </c>
      <c r="V5" s="98">
        <f>IF(DayWeekNo($A$2&amp;"0201")=V2,1,IF(DayWeekNo($A$2&amp;"0201")&lt;V2,U5+1,""))</f>
        <v>3</v>
      </c>
      <c r="Y5" s="99"/>
      <c r="Z5" s="98">
        <f>IF(DayWeekNo($A$2&amp;"0301")=Z2,1,IF(DayWeekNo($A$2&amp;"0301")&lt;Z2,Y5+1,""))</f>
        <v>1</v>
      </c>
      <c r="AA5" s="98">
        <f>IF(DayWeekNo($A$2&amp;"0301")=AA2,1,IF(DayWeekNo($A$2&amp;"0301")&lt;AA2,Z5+1,""))</f>
        <v>2</v>
      </c>
      <c r="AB5" s="98">
        <f>IF(DayWeekNo($A$2&amp;"0301")=AB2,1,IF(DayWeekNo($A$2&amp;"0301")&lt;AB2,AA5+1,""))</f>
        <v>3</v>
      </c>
      <c r="AC5" s="98">
        <f>IF(DayWeekNo($A$2&amp;"0301")=AC2,1,IF(DayWeekNo($A$2&amp;"0301")&lt;AC2,AB5+1,""))</f>
        <v>4</v>
      </c>
      <c r="AD5" s="98">
        <f>IF(DayWeekNo($A$2&amp;"0301")=AD2,1,IF(DayWeekNo($A$2&amp;"0301")&lt;AD2,AC5+1,""))</f>
        <v>5</v>
      </c>
      <c r="AE5" s="98">
        <f>IF(DayWeekNo($A$2&amp;"0301")=AE2,1,IF(DayWeekNo($A$2&amp;"0301")&lt;AE2,AD5+1,""))</f>
        <v>6</v>
      </c>
      <c r="AF5" s="98">
        <f>IF(DayWeekNo($A$2&amp;"0301")=AF2,1,IF(DayWeekNo($A$2&amp;"0301")&lt;AF2,AE5+1,""))</f>
        <v>7</v>
      </c>
      <c r="AG5" s="102"/>
    </row>
    <row r="6" spans="1:33" ht="24" customHeight="1">
      <c r="A6" s="10" t="s">
        <v>102</v>
      </c>
      <c r="D6" s="292"/>
      <c r="E6" s="99"/>
      <c r="F6" s="98">
        <f>IFERROR(IF(L5+1&lt;=31,L5+1,""),"")</f>
        <v>7</v>
      </c>
      <c r="G6" s="98">
        <f>IFERROR(IF(F6+1&lt;=31,F6+1,""),"")</f>
        <v>8</v>
      </c>
      <c r="H6" s="98">
        <f t="shared" ref="H6:L6" si="0">IFERROR(IF(G6+1&lt;=31,G6+1,""),"")</f>
        <v>9</v>
      </c>
      <c r="I6" s="98">
        <f t="shared" si="0"/>
        <v>10</v>
      </c>
      <c r="J6" s="98">
        <f t="shared" si="0"/>
        <v>11</v>
      </c>
      <c r="K6" s="98">
        <f t="shared" si="0"/>
        <v>12</v>
      </c>
      <c r="L6" s="98">
        <f t="shared" si="0"/>
        <v>13</v>
      </c>
      <c r="M6" s="102"/>
      <c r="O6" s="99"/>
      <c r="P6" s="98">
        <f>IFERROR(IF(V5+1&lt;=31,V5+1,""),"")</f>
        <v>4</v>
      </c>
      <c r="Q6" s="98">
        <f>IFERROR(IF(P6+1&lt;=31,P6+1,""),"")</f>
        <v>5</v>
      </c>
      <c r="R6" s="98">
        <f t="shared" ref="R6:V6" si="1">IFERROR(IF(Q6+1&lt;=31,Q6+1,""),"")</f>
        <v>6</v>
      </c>
      <c r="S6" s="98">
        <f t="shared" si="1"/>
        <v>7</v>
      </c>
      <c r="T6" s="98">
        <f t="shared" si="1"/>
        <v>8</v>
      </c>
      <c r="U6" s="98">
        <f t="shared" si="1"/>
        <v>9</v>
      </c>
      <c r="V6" s="98">
        <f t="shared" si="1"/>
        <v>10</v>
      </c>
      <c r="Y6" s="99"/>
      <c r="Z6" s="98">
        <f>IFERROR(IF(AF5+1&lt;=31,AF5+1,""),"")</f>
        <v>8</v>
      </c>
      <c r="AA6" s="98">
        <f>IFERROR(IF(Z6+1&lt;=31,Z6+1,""),"")</f>
        <v>9</v>
      </c>
      <c r="AB6" s="98">
        <f t="shared" ref="AB6:AF6" si="2">IFERROR(IF(AA6+1&lt;=31,AA6+1,""),"")</f>
        <v>10</v>
      </c>
      <c r="AC6" s="98">
        <f t="shared" si="2"/>
        <v>11</v>
      </c>
      <c r="AD6" s="98">
        <f t="shared" si="2"/>
        <v>12</v>
      </c>
      <c r="AE6" s="98">
        <f t="shared" si="2"/>
        <v>13</v>
      </c>
      <c r="AF6" s="98">
        <f t="shared" si="2"/>
        <v>14</v>
      </c>
      <c r="AG6" s="102"/>
    </row>
    <row r="7" spans="1:33" ht="24" customHeight="1">
      <c r="A7" s="11" t="s">
        <v>103</v>
      </c>
      <c r="D7" s="292"/>
      <c r="E7" s="99"/>
      <c r="F7" s="98">
        <f t="shared" ref="F7:F9" si="3">IFERROR(IF(L6+1&lt;=31,L6+1,""),"")</f>
        <v>14</v>
      </c>
      <c r="G7" s="98">
        <f t="shared" ref="G7:L7" si="4">IFERROR(IF(F7+1&lt;=31,F7+1,""),"")</f>
        <v>15</v>
      </c>
      <c r="H7" s="98">
        <f t="shared" si="4"/>
        <v>16</v>
      </c>
      <c r="I7" s="98">
        <f t="shared" si="4"/>
        <v>17</v>
      </c>
      <c r="J7" s="98">
        <f t="shared" si="4"/>
        <v>18</v>
      </c>
      <c r="K7" s="98">
        <f t="shared" si="4"/>
        <v>19</v>
      </c>
      <c r="L7" s="98">
        <f t="shared" si="4"/>
        <v>20</v>
      </c>
      <c r="M7" s="102"/>
      <c r="O7" s="99"/>
      <c r="P7" s="98">
        <f t="shared" ref="P7:P9" si="5">IFERROR(IF(V6+1&lt;=31,V6+1,""),"")</f>
        <v>11</v>
      </c>
      <c r="Q7" s="98">
        <f t="shared" ref="Q7:V7" si="6">IFERROR(IF(P7+1&lt;=31,P7+1,""),"")</f>
        <v>12</v>
      </c>
      <c r="R7" s="98">
        <f t="shared" si="6"/>
        <v>13</v>
      </c>
      <c r="S7" s="98">
        <f t="shared" si="6"/>
        <v>14</v>
      </c>
      <c r="T7" s="98">
        <f t="shared" si="6"/>
        <v>15</v>
      </c>
      <c r="U7" s="98">
        <f t="shared" si="6"/>
        <v>16</v>
      </c>
      <c r="V7" s="98">
        <f t="shared" si="6"/>
        <v>17</v>
      </c>
      <c r="Y7" s="99"/>
      <c r="Z7" s="98">
        <f t="shared" ref="Z7:Z9" si="7">IFERROR(IF(AF6+1&lt;=31,AF6+1,""),"")</f>
        <v>15</v>
      </c>
      <c r="AA7" s="98">
        <f t="shared" ref="AA7:AF7" si="8">IFERROR(IF(Z7+1&lt;=31,Z7+1,""),"")</f>
        <v>16</v>
      </c>
      <c r="AB7" s="98">
        <f t="shared" si="8"/>
        <v>17</v>
      </c>
      <c r="AC7" s="98">
        <f t="shared" si="8"/>
        <v>18</v>
      </c>
      <c r="AD7" s="98">
        <f t="shared" si="8"/>
        <v>19</v>
      </c>
      <c r="AE7" s="98">
        <f t="shared" si="8"/>
        <v>20</v>
      </c>
      <c r="AF7" s="98">
        <f t="shared" si="8"/>
        <v>21</v>
      </c>
      <c r="AG7" s="102"/>
    </row>
    <row r="8" spans="1:33" ht="24" customHeight="1">
      <c r="A8" s="33" t="s">
        <v>104</v>
      </c>
      <c r="D8" s="292"/>
      <c r="E8" s="99"/>
      <c r="F8" s="98">
        <f t="shared" si="3"/>
        <v>21</v>
      </c>
      <c r="G8" s="98">
        <f t="shared" ref="G8:L8" si="9">IFERROR(IF(F8+1&lt;=31,F8+1,""),"")</f>
        <v>22</v>
      </c>
      <c r="H8" s="98">
        <f t="shared" si="9"/>
        <v>23</v>
      </c>
      <c r="I8" s="98">
        <f t="shared" si="9"/>
        <v>24</v>
      </c>
      <c r="J8" s="98">
        <f t="shared" si="9"/>
        <v>25</v>
      </c>
      <c r="K8" s="98">
        <f t="shared" si="9"/>
        <v>26</v>
      </c>
      <c r="L8" s="98">
        <f t="shared" si="9"/>
        <v>27</v>
      </c>
      <c r="M8" s="102"/>
      <c r="O8" s="99"/>
      <c r="P8" s="98">
        <f t="shared" si="5"/>
        <v>18</v>
      </c>
      <c r="Q8" s="98">
        <f t="shared" ref="Q8:V8" si="10">IFERROR(IF(P8+1&lt;=31,P8+1,""),"")</f>
        <v>19</v>
      </c>
      <c r="R8" s="98">
        <f t="shared" si="10"/>
        <v>20</v>
      </c>
      <c r="S8" s="98">
        <f t="shared" si="10"/>
        <v>21</v>
      </c>
      <c r="T8" s="98">
        <f t="shared" si="10"/>
        <v>22</v>
      </c>
      <c r="U8" s="98">
        <f t="shared" si="10"/>
        <v>23</v>
      </c>
      <c r="V8" s="98">
        <f t="shared" si="10"/>
        <v>24</v>
      </c>
      <c r="Y8" s="99"/>
      <c r="Z8" s="98">
        <f t="shared" si="7"/>
        <v>22</v>
      </c>
      <c r="AA8" s="98">
        <f t="shared" ref="AA8:AF8" si="11">IFERROR(IF(Z8+1&lt;=31,Z8+1,""),"")</f>
        <v>23</v>
      </c>
      <c r="AB8" s="98">
        <f t="shared" si="11"/>
        <v>24</v>
      </c>
      <c r="AC8" s="98">
        <f t="shared" si="11"/>
        <v>25</v>
      </c>
      <c r="AD8" s="98">
        <f t="shared" si="11"/>
        <v>26</v>
      </c>
      <c r="AE8" s="98">
        <f t="shared" si="11"/>
        <v>27</v>
      </c>
      <c r="AF8" s="98">
        <f t="shared" si="11"/>
        <v>28</v>
      </c>
      <c r="AG8" s="102"/>
    </row>
    <row r="9" spans="1:33" ht="24" customHeight="1">
      <c r="A9" s="12" t="s">
        <v>110</v>
      </c>
      <c r="D9" s="292"/>
      <c r="E9" s="99"/>
      <c r="F9" s="98">
        <f t="shared" si="3"/>
        <v>28</v>
      </c>
      <c r="G9" s="98">
        <f t="shared" ref="G9:L10" si="12">IFERROR(IF(F9+1&lt;=31,F9+1,""),"")</f>
        <v>29</v>
      </c>
      <c r="H9" s="98">
        <f t="shared" si="12"/>
        <v>30</v>
      </c>
      <c r="I9" s="98">
        <f t="shared" si="12"/>
        <v>31</v>
      </c>
      <c r="J9" s="98" t="str">
        <f t="shared" si="12"/>
        <v/>
      </c>
      <c r="K9" s="98" t="str">
        <f t="shared" si="12"/>
        <v/>
      </c>
      <c r="L9" s="98" t="str">
        <f t="shared" si="12"/>
        <v/>
      </c>
      <c r="M9" s="102"/>
      <c r="O9" s="99"/>
      <c r="P9" s="98">
        <f t="shared" si="5"/>
        <v>25</v>
      </c>
      <c r="Q9" s="98">
        <f t="shared" ref="Q9:V10" si="13">IFERROR(IF(P9+1&lt;=31,P9+1,""),"")</f>
        <v>26</v>
      </c>
      <c r="R9" s="98">
        <f t="shared" si="13"/>
        <v>27</v>
      </c>
      <c r="S9" s="98">
        <f t="shared" si="13"/>
        <v>28</v>
      </c>
      <c r="T9" s="98">
        <f t="shared" si="13"/>
        <v>29</v>
      </c>
      <c r="U9" s="98">
        <f t="shared" si="13"/>
        <v>30</v>
      </c>
      <c r="V9" s="98">
        <f t="shared" si="13"/>
        <v>31</v>
      </c>
      <c r="Y9" s="99"/>
      <c r="Z9" s="98">
        <f t="shared" si="7"/>
        <v>29</v>
      </c>
      <c r="AA9" s="98">
        <f t="shared" ref="AA9:AF10" si="14">IFERROR(IF(Z9+1&lt;=31,Z9+1,""),"")</f>
        <v>30</v>
      </c>
      <c r="AB9" s="98">
        <f t="shared" si="14"/>
        <v>31</v>
      </c>
      <c r="AC9" s="98" t="str">
        <f t="shared" si="14"/>
        <v/>
      </c>
      <c r="AD9" s="98" t="str">
        <f t="shared" si="14"/>
        <v/>
      </c>
      <c r="AE9" s="98" t="str">
        <f t="shared" si="14"/>
        <v/>
      </c>
      <c r="AF9" s="98" t="str">
        <f t="shared" si="14"/>
        <v/>
      </c>
      <c r="AG9" s="102"/>
    </row>
    <row r="10" spans="1:33" ht="24" customHeight="1">
      <c r="A10" s="13" t="s">
        <v>89</v>
      </c>
      <c r="D10" s="292"/>
      <c r="E10" s="99"/>
      <c r="F10" s="98" t="str">
        <f t="shared" ref="F10" si="15">IFERROR(IF(L9+1&lt;=31,L9+1,""),"")</f>
        <v/>
      </c>
      <c r="G10" s="98" t="str">
        <f t="shared" si="12"/>
        <v/>
      </c>
      <c r="H10" s="98" t="str">
        <f t="shared" si="12"/>
        <v/>
      </c>
      <c r="I10" s="98" t="str">
        <f t="shared" si="12"/>
        <v/>
      </c>
      <c r="J10" s="98" t="str">
        <f t="shared" si="12"/>
        <v/>
      </c>
      <c r="K10" s="98" t="str">
        <f t="shared" si="12"/>
        <v/>
      </c>
      <c r="L10" s="98" t="str">
        <f t="shared" si="12"/>
        <v/>
      </c>
      <c r="O10" s="99"/>
      <c r="P10" s="98" t="str">
        <f t="shared" ref="P10" si="16">IFERROR(IF(V9+1&lt;=31,V9+1,""),"")</f>
        <v/>
      </c>
      <c r="Q10" s="98" t="str">
        <f t="shared" si="13"/>
        <v/>
      </c>
      <c r="R10" s="98" t="str">
        <f t="shared" si="13"/>
        <v/>
      </c>
      <c r="S10" s="98" t="str">
        <f t="shared" si="13"/>
        <v/>
      </c>
      <c r="T10" s="98" t="str">
        <f t="shared" si="13"/>
        <v/>
      </c>
      <c r="U10" s="98" t="str">
        <f t="shared" si="13"/>
        <v/>
      </c>
      <c r="V10" s="98" t="str">
        <f t="shared" si="13"/>
        <v/>
      </c>
      <c r="Y10" s="99"/>
      <c r="Z10" s="98" t="str">
        <f t="shared" ref="Z10" si="17">IFERROR(IF(AF9+1&lt;=31,AF9+1,""),"")</f>
        <v/>
      </c>
      <c r="AA10" s="98" t="str">
        <f t="shared" si="14"/>
        <v/>
      </c>
      <c r="AB10" s="98" t="str">
        <f t="shared" si="14"/>
        <v/>
      </c>
      <c r="AC10" s="98" t="str">
        <f t="shared" si="14"/>
        <v/>
      </c>
      <c r="AD10" s="98" t="str">
        <f t="shared" si="14"/>
        <v/>
      </c>
      <c r="AE10" s="98" t="str">
        <f t="shared" si="14"/>
        <v/>
      </c>
      <c r="AF10" s="98" t="str">
        <f t="shared" si="14"/>
        <v/>
      </c>
    </row>
    <row r="11" spans="1:33" ht="24" customHeight="1">
      <c r="A11" s="23" t="s">
        <v>111</v>
      </c>
      <c r="D11" s="108"/>
      <c r="E11" s="108"/>
      <c r="F11" s="108">
        <v>0</v>
      </c>
      <c r="G11" s="108">
        <v>1</v>
      </c>
      <c r="H11" s="108">
        <v>2</v>
      </c>
      <c r="I11" s="108">
        <v>3</v>
      </c>
      <c r="J11" s="108">
        <v>4</v>
      </c>
      <c r="K11" s="108">
        <v>5</v>
      </c>
      <c r="L11" s="108">
        <v>6</v>
      </c>
      <c r="M11" s="109"/>
      <c r="N11" s="109"/>
      <c r="O11" s="108"/>
      <c r="P11" s="108">
        <v>0</v>
      </c>
      <c r="Q11" s="108">
        <v>1</v>
      </c>
      <c r="R11" s="108">
        <v>2</v>
      </c>
      <c r="S11" s="108">
        <v>3</v>
      </c>
      <c r="T11" s="108">
        <v>4</v>
      </c>
      <c r="U11" s="108">
        <v>5</v>
      </c>
      <c r="V11" s="108">
        <v>6</v>
      </c>
      <c r="W11" s="109"/>
      <c r="X11" s="109"/>
      <c r="Y11" s="109"/>
      <c r="Z11" s="108">
        <v>0</v>
      </c>
      <c r="AA11" s="108">
        <v>1</v>
      </c>
      <c r="AB11" s="108">
        <v>2</v>
      </c>
      <c r="AC11" s="108">
        <v>3</v>
      </c>
      <c r="AD11" s="108">
        <v>4</v>
      </c>
      <c r="AE11" s="108">
        <v>5</v>
      </c>
      <c r="AF11" s="108">
        <v>6</v>
      </c>
      <c r="AG11" s="109"/>
    </row>
    <row r="12" spans="1:33" ht="24" customHeight="1">
      <c r="A12" s="14" t="s">
        <v>105</v>
      </c>
      <c r="D12" s="291" t="s">
        <v>338</v>
      </c>
      <c r="E12" s="103"/>
      <c r="F12" s="289" t="s">
        <v>339</v>
      </c>
      <c r="G12" s="289"/>
      <c r="H12" s="289"/>
      <c r="I12" s="289"/>
      <c r="J12" s="289"/>
      <c r="K12" s="289"/>
      <c r="L12" s="289"/>
      <c r="M12" s="104"/>
      <c r="O12" s="103"/>
      <c r="P12" s="289" t="s">
        <v>341</v>
      </c>
      <c r="Q12" s="289"/>
      <c r="R12" s="289"/>
      <c r="S12" s="289"/>
      <c r="T12" s="289"/>
      <c r="U12" s="289"/>
      <c r="V12" s="289"/>
      <c r="W12" s="104"/>
      <c r="Y12" s="103"/>
      <c r="Z12" s="289" t="s">
        <v>342</v>
      </c>
      <c r="AA12" s="289"/>
      <c r="AB12" s="289"/>
      <c r="AC12" s="289"/>
      <c r="AD12" s="289"/>
      <c r="AE12" s="289"/>
      <c r="AF12" s="289"/>
      <c r="AG12" s="104"/>
    </row>
    <row r="13" spans="1:33" ht="24" customHeight="1" thickBot="1">
      <c r="A13" s="15" t="s">
        <v>98</v>
      </c>
      <c r="D13" s="291"/>
      <c r="E13" s="103"/>
      <c r="F13" s="100" t="s">
        <v>329</v>
      </c>
      <c r="G13" s="100" t="s">
        <v>331</v>
      </c>
      <c r="H13" s="100" t="s">
        <v>332</v>
      </c>
      <c r="I13" s="100" t="s">
        <v>333</v>
      </c>
      <c r="J13" s="100" t="s">
        <v>334</v>
      </c>
      <c r="K13" s="100" t="s">
        <v>335</v>
      </c>
      <c r="L13" s="100" t="s">
        <v>330</v>
      </c>
      <c r="M13" s="104"/>
      <c r="O13" s="103"/>
      <c r="P13" s="100" t="s">
        <v>329</v>
      </c>
      <c r="Q13" s="100" t="s">
        <v>331</v>
      </c>
      <c r="R13" s="100" t="s">
        <v>332</v>
      </c>
      <c r="S13" s="100" t="s">
        <v>333</v>
      </c>
      <c r="T13" s="100" t="s">
        <v>334</v>
      </c>
      <c r="U13" s="100" t="s">
        <v>335</v>
      </c>
      <c r="V13" s="100" t="s">
        <v>330</v>
      </c>
      <c r="W13" s="104"/>
      <c r="Y13" s="103"/>
      <c r="Z13" s="100" t="s">
        <v>329</v>
      </c>
      <c r="AA13" s="100" t="s">
        <v>331</v>
      </c>
      <c r="AB13" s="100" t="s">
        <v>332</v>
      </c>
      <c r="AC13" s="100" t="s">
        <v>333</v>
      </c>
      <c r="AD13" s="100" t="s">
        <v>334</v>
      </c>
      <c r="AE13" s="100" t="s">
        <v>335</v>
      </c>
      <c r="AF13" s="100" t="s">
        <v>330</v>
      </c>
      <c r="AG13" s="104"/>
    </row>
    <row r="14" spans="1:33" ht="24" customHeight="1">
      <c r="A14" s="113" t="s">
        <v>99</v>
      </c>
      <c r="D14" s="291"/>
      <c r="E14" s="103"/>
      <c r="F14" s="98" t="str">
        <f>IF(DayWeekNo($A$2&amp;"0401")=F11,1,IF(DayWeekNo($A$2&amp;"0401")&lt;F11,E14+1,""))</f>
        <v/>
      </c>
      <c r="G14" s="98" t="str">
        <f>IF(DayWeekNo($A$2&amp;"0401")=G11,1,IF(DayWeekNo($A$2&amp;"0401")&lt;G11,F14+1,""))</f>
        <v/>
      </c>
      <c r="H14" s="98" t="str">
        <f>IF(DayWeekNo($A$2&amp;"0401")=H11,1,IF(DayWeekNo($A$2&amp;"0401")&lt;H11,G14+1,""))</f>
        <v/>
      </c>
      <c r="I14" s="98">
        <f>IF(DayWeekNo($A$2&amp;"0401")=I11,1,IF(DayWeekNo($A$2&amp;"0401")&lt;I11,H14+1,""))</f>
        <v>1</v>
      </c>
      <c r="J14" s="98">
        <f>IF(DayWeekNo($A$2&amp;"0401")=J11,1,IF(DayWeekNo($A$2&amp;"0401")&lt;J11,I14+1,""))</f>
        <v>2</v>
      </c>
      <c r="K14" s="98">
        <f>IF(DayWeekNo($A$2&amp;"0401")=K11,1,IF(DayWeekNo($A$2&amp;"0401")&lt;K11,J14+1,""))</f>
        <v>3</v>
      </c>
      <c r="L14" s="98">
        <f>IF(DayWeekNo($A$2&amp;"0401")=L11,1,IF(DayWeekNo($A$2&amp;"0401")&lt;L11,K14+1,""))</f>
        <v>4</v>
      </c>
      <c r="M14" s="102"/>
      <c r="O14" s="103"/>
      <c r="P14" s="98" t="str">
        <f>IF(DayWeekNo($A$2&amp;"0501")=P11,1,IF(DayWeekNo($A$2&amp;"0501")&lt;P11,O14+1,""))</f>
        <v/>
      </c>
      <c r="Q14" s="98" t="str">
        <f>IF(DayWeekNo($A$2&amp;"0501")=Q11,1,IF(DayWeekNo($A$2&amp;"0501")&lt;Q11,P14+1,""))</f>
        <v/>
      </c>
      <c r="R14" s="98" t="str">
        <f>IF(DayWeekNo($A$2&amp;"0501")=R11,1,IF(DayWeekNo($A$2&amp;"0501")&lt;R11,Q14+1,""))</f>
        <v/>
      </c>
      <c r="S14" s="98" t="str">
        <f>IF(DayWeekNo($A$2&amp;"0501")=S11,1,IF(DayWeekNo($A$2&amp;"0501")&lt;S11,R14+1,""))</f>
        <v/>
      </c>
      <c r="T14" s="98" t="str">
        <f>IF(DayWeekNo($A$2&amp;"0501")=T11,1,IF(DayWeekNo($A$2&amp;"0501")&lt;T11,S14+1,""))</f>
        <v/>
      </c>
      <c r="U14" s="98" t="str">
        <f>IF(DayWeekNo($A$2&amp;"0501")=U11,1,IF(DayWeekNo($A$2&amp;"0501")&lt;U11,T14+1,""))</f>
        <v/>
      </c>
      <c r="V14" s="98">
        <f>IF(DayWeekNo($A$2&amp;"0501")=V11,1,IF(DayWeekNo($A$2&amp;"0501")&lt;V11,U14+1,""))</f>
        <v>1</v>
      </c>
      <c r="W14" s="102"/>
      <c r="Y14" s="103"/>
      <c r="Z14" s="98" t="str">
        <f>IF(DayWeekNo($A$2&amp;"0601")=Z11,1,IF(DayWeekNo($A$2&amp;"0601")&lt;Z11,Y14+1,""))</f>
        <v/>
      </c>
      <c r="AA14" s="98" t="str">
        <f>IF(DayWeekNo($A$2&amp;"0601")=AA11,1,IF(DayWeekNo($A$2&amp;"0601")&lt;AA11,Z14+1,""))</f>
        <v/>
      </c>
      <c r="AB14" s="98">
        <f>IF(DayWeekNo($A$2&amp;"0601")=AB11,1,IF(DayWeekNo($A$2&amp;"0601")&lt;AB11,AA14+1,""))</f>
        <v>1</v>
      </c>
      <c r="AC14" s="98">
        <f>IF(DayWeekNo($A$2&amp;"0601")=AC11,1,IF(DayWeekNo($A$2&amp;"0601")&lt;AC11,AB14+1,""))</f>
        <v>2</v>
      </c>
      <c r="AD14" s="98">
        <f>IF(DayWeekNo($A$2&amp;"0601")=AD11,1,IF(DayWeekNo($A$2&amp;"0601")&lt;AD11,AC14+1,""))</f>
        <v>3</v>
      </c>
      <c r="AE14" s="98">
        <f>IF(DayWeekNo($A$2&amp;"0601")=AE11,1,IF(DayWeekNo($A$2&amp;"0601")&lt;AE11,AD14+1,""))</f>
        <v>4</v>
      </c>
      <c r="AF14" s="98">
        <f>IF(DayWeekNo($A$2&amp;"0601")=AF11,1,IF(DayWeekNo($A$2&amp;"0601")&lt;AF11,AE14+1,""))</f>
        <v>5</v>
      </c>
      <c r="AG14" s="102"/>
    </row>
    <row r="15" spans="1:33" ht="24" customHeight="1">
      <c r="A15" s="95" t="s">
        <v>100</v>
      </c>
      <c r="D15" s="291"/>
      <c r="E15" s="103"/>
      <c r="F15" s="98">
        <f>IFERROR(IF(L14+1&lt;=31,L14+1,""),"")</f>
        <v>5</v>
      </c>
      <c r="G15" s="98">
        <f>IFERROR(IF(F15+1&lt;=31,F15+1,""),"")</f>
        <v>6</v>
      </c>
      <c r="H15" s="98">
        <f t="shared" ref="H15:L15" si="18">IFERROR(IF(G15+1&lt;=31,G15+1,""),"")</f>
        <v>7</v>
      </c>
      <c r="I15" s="98">
        <f t="shared" si="18"/>
        <v>8</v>
      </c>
      <c r="J15" s="98">
        <f t="shared" si="18"/>
        <v>9</v>
      </c>
      <c r="K15" s="98">
        <f t="shared" si="18"/>
        <v>10</v>
      </c>
      <c r="L15" s="98">
        <f t="shared" si="18"/>
        <v>11</v>
      </c>
      <c r="M15" s="102"/>
      <c r="O15" s="103"/>
      <c r="P15" s="98">
        <f>IFERROR(IF(V14+1&lt;=31,V14+1,""),"")</f>
        <v>2</v>
      </c>
      <c r="Q15" s="98">
        <f>IFERROR(IF(P15+1&lt;=31,P15+1,""),"")</f>
        <v>3</v>
      </c>
      <c r="R15" s="98">
        <f t="shared" ref="R15:V15" si="19">IFERROR(IF(Q15+1&lt;=31,Q15+1,""),"")</f>
        <v>4</v>
      </c>
      <c r="S15" s="98">
        <f t="shared" si="19"/>
        <v>5</v>
      </c>
      <c r="T15" s="98">
        <f t="shared" si="19"/>
        <v>6</v>
      </c>
      <c r="U15" s="98">
        <f t="shared" si="19"/>
        <v>7</v>
      </c>
      <c r="V15" s="98">
        <f t="shared" si="19"/>
        <v>8</v>
      </c>
      <c r="W15" s="102"/>
      <c r="Y15" s="103"/>
      <c r="Z15" s="98">
        <f>IFERROR(IF(AF14+1&lt;=31,AF14+1,""),"")</f>
        <v>6</v>
      </c>
      <c r="AA15" s="98">
        <f>IFERROR(IF(Z15+1&lt;=31,Z15+1,""),"")</f>
        <v>7</v>
      </c>
      <c r="AB15" s="98">
        <f t="shared" ref="AB15:AF15" si="20">IFERROR(IF(AA15+1&lt;=31,AA15+1,""),"")</f>
        <v>8</v>
      </c>
      <c r="AC15" s="98">
        <f t="shared" si="20"/>
        <v>9</v>
      </c>
      <c r="AD15" s="98">
        <f t="shared" si="20"/>
        <v>10</v>
      </c>
      <c r="AE15" s="98">
        <f t="shared" si="20"/>
        <v>11</v>
      </c>
      <c r="AF15" s="98">
        <f t="shared" si="20"/>
        <v>12</v>
      </c>
      <c r="AG15" s="102"/>
    </row>
    <row r="16" spans="1:33" ht="24" customHeight="1">
      <c r="D16" s="291"/>
      <c r="E16" s="103"/>
      <c r="F16" s="98">
        <f t="shared" ref="F16:F18" si="21">IFERROR(IF(L15+1&lt;=31,L15+1,""),"")</f>
        <v>12</v>
      </c>
      <c r="G16" s="98">
        <f t="shared" ref="G16:L16" si="22">IFERROR(IF(F16+1&lt;=31,F16+1,""),"")</f>
        <v>13</v>
      </c>
      <c r="H16" s="98">
        <f t="shared" si="22"/>
        <v>14</v>
      </c>
      <c r="I16" s="98">
        <f t="shared" si="22"/>
        <v>15</v>
      </c>
      <c r="J16" s="98">
        <f t="shared" si="22"/>
        <v>16</v>
      </c>
      <c r="K16" s="98">
        <f t="shared" si="22"/>
        <v>17</v>
      </c>
      <c r="L16" s="98">
        <f t="shared" si="22"/>
        <v>18</v>
      </c>
      <c r="M16" s="102"/>
      <c r="O16" s="103"/>
      <c r="P16" s="98">
        <f t="shared" ref="P16:P18" si="23">IFERROR(IF(V15+1&lt;=31,V15+1,""),"")</f>
        <v>9</v>
      </c>
      <c r="Q16" s="98">
        <f t="shared" ref="Q16:V16" si="24">IFERROR(IF(P16+1&lt;=31,P16+1,""),"")</f>
        <v>10</v>
      </c>
      <c r="R16" s="98">
        <f t="shared" si="24"/>
        <v>11</v>
      </c>
      <c r="S16" s="98">
        <f t="shared" si="24"/>
        <v>12</v>
      </c>
      <c r="T16" s="98">
        <f t="shared" si="24"/>
        <v>13</v>
      </c>
      <c r="U16" s="98">
        <f t="shared" si="24"/>
        <v>14</v>
      </c>
      <c r="V16" s="98">
        <f t="shared" si="24"/>
        <v>15</v>
      </c>
      <c r="W16" s="102"/>
      <c r="Y16" s="103"/>
      <c r="Z16" s="98">
        <f t="shared" ref="Z16:Z19" si="25">IFERROR(IF(AF15+1&lt;=31,AF15+1,""),"")</f>
        <v>13</v>
      </c>
      <c r="AA16" s="98">
        <f t="shared" ref="AA16:AF16" si="26">IFERROR(IF(Z16+1&lt;=31,Z16+1,""),"")</f>
        <v>14</v>
      </c>
      <c r="AB16" s="98">
        <f t="shared" si="26"/>
        <v>15</v>
      </c>
      <c r="AC16" s="98">
        <f t="shared" si="26"/>
        <v>16</v>
      </c>
      <c r="AD16" s="98">
        <f t="shared" si="26"/>
        <v>17</v>
      </c>
      <c r="AE16" s="98">
        <f t="shared" si="26"/>
        <v>18</v>
      </c>
      <c r="AF16" s="98">
        <f t="shared" si="26"/>
        <v>19</v>
      </c>
      <c r="AG16" s="102"/>
    </row>
    <row r="17" spans="4:33" ht="21">
      <c r="D17" s="291"/>
      <c r="E17" s="103"/>
      <c r="F17" s="98">
        <f t="shared" si="21"/>
        <v>19</v>
      </c>
      <c r="G17" s="98">
        <f t="shared" ref="G17:L17" si="27">IFERROR(IF(F17+1&lt;=31,F17+1,""),"")</f>
        <v>20</v>
      </c>
      <c r="H17" s="98">
        <f t="shared" si="27"/>
        <v>21</v>
      </c>
      <c r="I17" s="98">
        <f t="shared" si="27"/>
        <v>22</v>
      </c>
      <c r="J17" s="98">
        <f t="shared" si="27"/>
        <v>23</v>
      </c>
      <c r="K17" s="98">
        <f t="shared" si="27"/>
        <v>24</v>
      </c>
      <c r="L17" s="98">
        <f t="shared" si="27"/>
        <v>25</v>
      </c>
      <c r="M17" s="102"/>
      <c r="O17" s="103"/>
      <c r="P17" s="98">
        <f t="shared" si="23"/>
        <v>16</v>
      </c>
      <c r="Q17" s="98">
        <f t="shared" ref="Q17:V17" si="28">IFERROR(IF(P17+1&lt;=31,P17+1,""),"")</f>
        <v>17</v>
      </c>
      <c r="R17" s="98">
        <f t="shared" si="28"/>
        <v>18</v>
      </c>
      <c r="S17" s="98">
        <f t="shared" si="28"/>
        <v>19</v>
      </c>
      <c r="T17" s="98">
        <f t="shared" si="28"/>
        <v>20</v>
      </c>
      <c r="U17" s="98">
        <f t="shared" si="28"/>
        <v>21</v>
      </c>
      <c r="V17" s="98">
        <f t="shared" si="28"/>
        <v>22</v>
      </c>
      <c r="W17" s="102"/>
      <c r="Y17" s="103"/>
      <c r="Z17" s="98">
        <f t="shared" si="25"/>
        <v>20</v>
      </c>
      <c r="AA17" s="98">
        <f t="shared" ref="AA17:AF17" si="29">IFERROR(IF(Z17+1&lt;=31,Z17+1,""),"")</f>
        <v>21</v>
      </c>
      <c r="AB17" s="98">
        <f t="shared" si="29"/>
        <v>22</v>
      </c>
      <c r="AC17" s="98">
        <f t="shared" si="29"/>
        <v>23</v>
      </c>
      <c r="AD17" s="98">
        <f t="shared" si="29"/>
        <v>24</v>
      </c>
      <c r="AE17" s="98">
        <f t="shared" si="29"/>
        <v>25</v>
      </c>
      <c r="AF17" s="98">
        <f t="shared" si="29"/>
        <v>26</v>
      </c>
      <c r="AG17" s="102"/>
    </row>
    <row r="18" spans="4:33" ht="21">
      <c r="D18" s="291"/>
      <c r="E18" s="103"/>
      <c r="F18" s="98">
        <f t="shared" si="21"/>
        <v>26</v>
      </c>
      <c r="G18" s="98">
        <f t="shared" ref="G18:L19" si="30">IFERROR(IF(F18+1&lt;=31,F18+1,""),"")</f>
        <v>27</v>
      </c>
      <c r="H18" s="98">
        <f t="shared" si="30"/>
        <v>28</v>
      </c>
      <c r="I18" s="98">
        <f t="shared" si="30"/>
        <v>29</v>
      </c>
      <c r="J18" s="98">
        <f t="shared" si="30"/>
        <v>30</v>
      </c>
      <c r="K18" s="98">
        <f t="shared" si="30"/>
        <v>31</v>
      </c>
      <c r="L18" s="98" t="str">
        <f t="shared" si="30"/>
        <v/>
      </c>
      <c r="M18" s="102"/>
      <c r="O18" s="103"/>
      <c r="P18" s="98">
        <f t="shared" si="23"/>
        <v>23</v>
      </c>
      <c r="Q18" s="98">
        <f t="shared" ref="Q18:V19" si="31">IFERROR(IF(P18+1&lt;=31,P18+1,""),"")</f>
        <v>24</v>
      </c>
      <c r="R18" s="98">
        <f t="shared" si="31"/>
        <v>25</v>
      </c>
      <c r="S18" s="98">
        <f t="shared" si="31"/>
        <v>26</v>
      </c>
      <c r="T18" s="98">
        <f t="shared" si="31"/>
        <v>27</v>
      </c>
      <c r="U18" s="98">
        <f t="shared" si="31"/>
        <v>28</v>
      </c>
      <c r="V18" s="98">
        <f t="shared" si="31"/>
        <v>29</v>
      </c>
      <c r="W18" s="102"/>
      <c r="Y18" s="103"/>
      <c r="Z18" s="98">
        <f t="shared" si="25"/>
        <v>27</v>
      </c>
      <c r="AA18" s="98">
        <f t="shared" ref="AA18:AF18" si="32">IFERROR(IF(Z18+1&lt;=31,Z18+1,""),"")</f>
        <v>28</v>
      </c>
      <c r="AB18" s="98">
        <f t="shared" si="32"/>
        <v>29</v>
      </c>
      <c r="AC18" s="98">
        <f t="shared" si="32"/>
        <v>30</v>
      </c>
      <c r="AD18" s="98">
        <f t="shared" si="32"/>
        <v>31</v>
      </c>
      <c r="AE18" s="98" t="str">
        <f t="shared" si="32"/>
        <v/>
      </c>
      <c r="AF18" s="98" t="str">
        <f t="shared" si="32"/>
        <v/>
      </c>
      <c r="AG18" s="102"/>
    </row>
    <row r="19" spans="4:33" ht="21">
      <c r="D19" s="291"/>
      <c r="E19" s="104"/>
      <c r="F19" s="98" t="str">
        <f t="shared" ref="F19" si="33">IFERROR(IF(L18+1&lt;=31,L18+1,""),"")</f>
        <v/>
      </c>
      <c r="G19" s="98" t="str">
        <f t="shared" si="30"/>
        <v/>
      </c>
      <c r="H19" s="98" t="str">
        <f t="shared" si="30"/>
        <v/>
      </c>
      <c r="I19" s="98" t="str">
        <f t="shared" si="30"/>
        <v/>
      </c>
      <c r="J19" s="98" t="str">
        <f t="shared" si="30"/>
        <v/>
      </c>
      <c r="K19" s="98" t="str">
        <f t="shared" si="30"/>
        <v/>
      </c>
      <c r="L19" s="98" t="str">
        <f t="shared" si="30"/>
        <v/>
      </c>
      <c r="O19" s="104"/>
      <c r="P19" s="98">
        <f t="shared" ref="P19" si="34">IFERROR(IF(V18+1&lt;=31,V18+1,""),"")</f>
        <v>30</v>
      </c>
      <c r="Q19" s="98">
        <f t="shared" si="31"/>
        <v>31</v>
      </c>
      <c r="R19" s="98" t="str">
        <f t="shared" si="31"/>
        <v/>
      </c>
      <c r="S19" s="98" t="str">
        <f t="shared" si="31"/>
        <v/>
      </c>
      <c r="T19" s="98" t="str">
        <f t="shared" si="31"/>
        <v/>
      </c>
      <c r="U19" s="98" t="str">
        <f t="shared" si="31"/>
        <v/>
      </c>
      <c r="V19" s="98" t="str">
        <f t="shared" si="31"/>
        <v/>
      </c>
      <c r="Y19" s="104"/>
      <c r="Z19" s="98" t="str">
        <f t="shared" si="25"/>
        <v/>
      </c>
      <c r="AA19" s="98" t="str">
        <f t="shared" ref="AA19:AF19" si="35">IFERROR(IF(Z19+1&lt;=31,Z19+1,""),"")</f>
        <v/>
      </c>
      <c r="AB19" s="98" t="str">
        <f t="shared" si="35"/>
        <v/>
      </c>
      <c r="AC19" s="98" t="str">
        <f t="shared" si="35"/>
        <v/>
      </c>
      <c r="AD19" s="98" t="str">
        <f t="shared" si="35"/>
        <v/>
      </c>
      <c r="AE19" s="98" t="str">
        <f t="shared" si="35"/>
        <v/>
      </c>
      <c r="AF19" s="98" t="str">
        <f t="shared" si="35"/>
        <v/>
      </c>
    </row>
    <row r="20" spans="4:33" ht="21">
      <c r="D20" s="108"/>
      <c r="E20" s="108"/>
      <c r="F20" s="108">
        <v>0</v>
      </c>
      <c r="G20" s="108">
        <v>1</v>
      </c>
      <c r="H20" s="108">
        <v>2</v>
      </c>
      <c r="I20" s="108">
        <v>3</v>
      </c>
      <c r="J20" s="108">
        <v>4</v>
      </c>
      <c r="K20" s="108">
        <v>5</v>
      </c>
      <c r="L20" s="108">
        <v>6</v>
      </c>
      <c r="M20" s="109"/>
      <c r="N20" s="109"/>
      <c r="O20" s="108"/>
      <c r="P20" s="108">
        <v>0</v>
      </c>
      <c r="Q20" s="108">
        <v>1</v>
      </c>
      <c r="R20" s="108">
        <v>2</v>
      </c>
      <c r="S20" s="108">
        <v>3</v>
      </c>
      <c r="T20" s="108">
        <v>4</v>
      </c>
      <c r="U20" s="108">
        <v>5</v>
      </c>
      <c r="V20" s="108">
        <v>6</v>
      </c>
      <c r="W20" s="109"/>
      <c r="X20" s="109"/>
      <c r="Y20" s="108"/>
      <c r="Z20" s="108">
        <v>0</v>
      </c>
      <c r="AA20" s="108">
        <v>1</v>
      </c>
      <c r="AB20" s="108">
        <v>2</v>
      </c>
      <c r="AC20" s="108">
        <v>3</v>
      </c>
      <c r="AD20" s="108">
        <v>4</v>
      </c>
      <c r="AE20" s="108">
        <v>5</v>
      </c>
      <c r="AF20" s="108">
        <v>6</v>
      </c>
      <c r="AG20" s="109"/>
    </row>
    <row r="21" spans="4:33" ht="25.5">
      <c r="D21" s="296" t="s">
        <v>343</v>
      </c>
      <c r="E21" s="105"/>
      <c r="F21" s="293" t="s">
        <v>344</v>
      </c>
      <c r="G21" s="293"/>
      <c r="H21" s="293"/>
      <c r="I21" s="293"/>
      <c r="J21" s="293"/>
      <c r="K21" s="293"/>
      <c r="L21" s="293"/>
      <c r="M21" s="107"/>
      <c r="O21" s="105"/>
      <c r="P21" s="293" t="s">
        <v>345</v>
      </c>
      <c r="Q21" s="293"/>
      <c r="R21" s="293"/>
      <c r="S21" s="293"/>
      <c r="T21" s="293"/>
      <c r="U21" s="293"/>
      <c r="V21" s="293"/>
      <c r="W21" s="107"/>
      <c r="Y21" s="105"/>
      <c r="Z21" s="293" t="s">
        <v>345</v>
      </c>
      <c r="AA21" s="293"/>
      <c r="AB21" s="293"/>
      <c r="AC21" s="293"/>
      <c r="AD21" s="293"/>
      <c r="AE21" s="293"/>
      <c r="AF21" s="293"/>
      <c r="AG21" s="107"/>
    </row>
    <row r="22" spans="4:33" ht="21.75" thickBot="1">
      <c r="D22" s="296"/>
      <c r="E22" s="105"/>
      <c r="F22" s="100" t="s">
        <v>329</v>
      </c>
      <c r="G22" s="100" t="s">
        <v>331</v>
      </c>
      <c r="H22" s="100" t="s">
        <v>332</v>
      </c>
      <c r="I22" s="100" t="s">
        <v>333</v>
      </c>
      <c r="J22" s="100" t="s">
        <v>334</v>
      </c>
      <c r="K22" s="100" t="s">
        <v>335</v>
      </c>
      <c r="L22" s="100" t="s">
        <v>330</v>
      </c>
      <c r="M22" s="107"/>
      <c r="O22" s="105"/>
      <c r="P22" s="100" t="s">
        <v>329</v>
      </c>
      <c r="Q22" s="100" t="s">
        <v>331</v>
      </c>
      <c r="R22" s="100" t="s">
        <v>332</v>
      </c>
      <c r="S22" s="100" t="s">
        <v>333</v>
      </c>
      <c r="T22" s="100" t="s">
        <v>334</v>
      </c>
      <c r="U22" s="100" t="s">
        <v>335</v>
      </c>
      <c r="V22" s="100" t="s">
        <v>330</v>
      </c>
      <c r="W22" s="107"/>
      <c r="Y22" s="105"/>
      <c r="Z22" s="100" t="s">
        <v>329</v>
      </c>
      <c r="AA22" s="100" t="s">
        <v>331</v>
      </c>
      <c r="AB22" s="100" t="s">
        <v>332</v>
      </c>
      <c r="AC22" s="100" t="s">
        <v>333</v>
      </c>
      <c r="AD22" s="100" t="s">
        <v>334</v>
      </c>
      <c r="AE22" s="100" t="s">
        <v>335</v>
      </c>
      <c r="AF22" s="100" t="s">
        <v>330</v>
      </c>
      <c r="AG22" s="107"/>
    </row>
    <row r="23" spans="4:33" ht="21">
      <c r="D23" s="296"/>
      <c r="E23" s="105"/>
      <c r="F23" s="98" t="str">
        <f>IF(DayWeekNo($A$2&amp;"0701")=F20,1,IF(DayWeekNo($A$2&amp;"0701")&lt;F20,E23+1,""))</f>
        <v/>
      </c>
      <c r="G23" s="98" t="str">
        <f>IF(DayWeekNo($A$2&amp;"0701")=G20,1,IF(DayWeekNo($A$2&amp;"0701")&lt;G20,F23+1,""))</f>
        <v/>
      </c>
      <c r="H23" s="98" t="str">
        <f>IF(DayWeekNo($A$2&amp;"0701")=H20,1,IF(DayWeekNo($A$2&amp;"0701")&lt;H20,G23+1,""))</f>
        <v/>
      </c>
      <c r="I23" s="98" t="str">
        <f>IF(DayWeekNo($A$2&amp;"0701")=I20,1,IF(DayWeekNo($A$2&amp;"0701")&lt;I20,H23+1,""))</f>
        <v/>
      </c>
      <c r="J23" s="98" t="str">
        <f>IF(DayWeekNo($A$2&amp;"0701")=J20,1,IF(DayWeekNo($A$2&amp;"0701")&lt;J20,I23+1,""))</f>
        <v/>
      </c>
      <c r="K23" s="98">
        <f>IF(DayWeekNo($A$2&amp;"0701")=K20,1,IF(DayWeekNo($A$2&amp;"0701")&lt;K20,J23+1,""))</f>
        <v>1</v>
      </c>
      <c r="L23" s="98">
        <f>IF(DayWeekNo($A$2&amp;"0701")=L20,1,IF(DayWeekNo($A$2&amp;"0701")&lt;L20,K23+1,""))</f>
        <v>2</v>
      </c>
      <c r="M23" s="102"/>
      <c r="O23" s="105"/>
      <c r="P23" s="98">
        <f>IF(DayWeekNo($A$2&amp;"0801")=P20,1,IF(DayWeekNo($A$2&amp;"0801")&lt;P20,O23+1,""))</f>
        <v>1</v>
      </c>
      <c r="Q23" s="98">
        <f>IF(DayWeekNo($A$2&amp;"0801")=Q20,1,IF(DayWeekNo($A$2&amp;"0801")&lt;Q20,P23+1,""))</f>
        <v>2</v>
      </c>
      <c r="R23" s="98">
        <f>IF(DayWeekNo($A$2&amp;"0801")=R20,1,IF(DayWeekNo($A$2&amp;"0801")&lt;R20,Q23+1,""))</f>
        <v>3</v>
      </c>
      <c r="S23" s="98">
        <f>IF(DayWeekNo($A$2&amp;"0801")=S20,1,IF(DayWeekNo($A$2&amp;"0801")&lt;S20,R23+1,""))</f>
        <v>4</v>
      </c>
      <c r="T23" s="98">
        <f>IF(DayWeekNo($A$2&amp;"0801")=T20,1,IF(DayWeekNo($A$2&amp;"0801")&lt;T20,S23+1,""))</f>
        <v>5</v>
      </c>
      <c r="U23" s="98">
        <f>IF(DayWeekNo($A$2&amp;"0801")=U20,1,IF(DayWeekNo($A$2&amp;"0801")&lt;U20,T23+1,""))</f>
        <v>6</v>
      </c>
      <c r="V23" s="98">
        <f>IF(DayWeekNo($A$2&amp;"0801")=V20,1,IF(DayWeekNo($A$2&amp;"0801")&lt;V20,U23+1,""))</f>
        <v>7</v>
      </c>
      <c r="W23" s="102"/>
      <c r="Y23" s="105"/>
      <c r="Z23" s="98" t="str">
        <f>IF(DayWeekNo($A$2&amp;"0901")=Z20,1,IF(DayWeekNo($A$2&amp;"0901")&lt;Z20,Y23+1,""))</f>
        <v/>
      </c>
      <c r="AA23" s="98" t="str">
        <f>IF(DayWeekNo($A$2&amp;"0901")=AA20,1,IF(DayWeekNo($A$2&amp;"0901")&lt;AA20,Z23+1,""))</f>
        <v/>
      </c>
      <c r="AB23" s="98">
        <f>IF(DayWeekNo($A$2&amp;"0901")=AB20,1,IF(DayWeekNo($A$2&amp;"0901")&lt;AB20,AA23+1,""))</f>
        <v>1</v>
      </c>
      <c r="AC23" s="98">
        <f>IF(DayWeekNo($A$2&amp;"0901")=AC20,1,IF(DayWeekNo($A$2&amp;"0901")&lt;AC20,AB23+1,""))</f>
        <v>2</v>
      </c>
      <c r="AD23" s="98">
        <f>IF(DayWeekNo($A$2&amp;"0901")=AD20,1,IF(DayWeekNo($A$2&amp;"0901")&lt;AD20,AC23+1,""))</f>
        <v>3</v>
      </c>
      <c r="AE23" s="98">
        <f>IF(DayWeekNo($A$2&amp;"0901")=AE20,1,IF(DayWeekNo($A$2&amp;"0901")&lt;AE20,AD23+1,""))</f>
        <v>4</v>
      </c>
      <c r="AF23" s="98">
        <f>IF(DayWeekNo($A$2&amp;"0901")=AF20,1,IF(DayWeekNo($A$2&amp;"0901")&lt;AF20,AE23+1,""))</f>
        <v>5</v>
      </c>
      <c r="AG23" s="102"/>
    </row>
    <row r="24" spans="4:33" ht="21">
      <c r="D24" s="296"/>
      <c r="E24" s="105"/>
      <c r="F24" s="98">
        <f>IFERROR(IF(L23+1&lt;=30,L23+1,""),"")</f>
        <v>3</v>
      </c>
      <c r="G24" s="98">
        <f>IFERROR(IF(F24+1&lt;=30,F24+1,""),"")</f>
        <v>4</v>
      </c>
      <c r="H24" s="98">
        <f t="shared" ref="H24:L24" si="36">IFERROR(IF(G24+1&lt;=30,G24+1,""),"")</f>
        <v>5</v>
      </c>
      <c r="I24" s="98">
        <f t="shared" si="36"/>
        <v>6</v>
      </c>
      <c r="J24" s="98">
        <f t="shared" si="36"/>
        <v>7</v>
      </c>
      <c r="K24" s="98">
        <f t="shared" si="36"/>
        <v>8</v>
      </c>
      <c r="L24" s="98">
        <f t="shared" si="36"/>
        <v>9</v>
      </c>
      <c r="M24" s="102"/>
      <c r="O24" s="105"/>
      <c r="P24" s="98">
        <f>IFERROR(IF(V23+1&lt;=30,V23+1,""),"")</f>
        <v>8</v>
      </c>
      <c r="Q24" s="98">
        <f>IFERROR(IF(P24+1&lt;=30,P24+1,""),"")</f>
        <v>9</v>
      </c>
      <c r="R24" s="98">
        <f t="shared" ref="R24:V24" si="37">IFERROR(IF(Q24+1&lt;=30,Q24+1,""),"")</f>
        <v>10</v>
      </c>
      <c r="S24" s="98">
        <f t="shared" si="37"/>
        <v>11</v>
      </c>
      <c r="T24" s="98">
        <f t="shared" si="37"/>
        <v>12</v>
      </c>
      <c r="U24" s="98">
        <f t="shared" si="37"/>
        <v>13</v>
      </c>
      <c r="V24" s="98">
        <f t="shared" si="37"/>
        <v>14</v>
      </c>
      <c r="W24" s="102"/>
      <c r="Y24" s="105"/>
      <c r="Z24" s="98">
        <f>IFERROR(IF(AF23+1&lt;=30,AF23+1,""),"")</f>
        <v>6</v>
      </c>
      <c r="AA24" s="98">
        <f>IFERROR(IF(Z24+1&lt;=30,Z24+1,""),"")</f>
        <v>7</v>
      </c>
      <c r="AB24" s="98">
        <f t="shared" ref="AB24:AF24" si="38">IFERROR(IF(AA24+1&lt;=30,AA24+1,""),"")</f>
        <v>8</v>
      </c>
      <c r="AC24" s="98">
        <f t="shared" si="38"/>
        <v>9</v>
      </c>
      <c r="AD24" s="98">
        <f t="shared" si="38"/>
        <v>10</v>
      </c>
      <c r="AE24" s="98">
        <f t="shared" si="38"/>
        <v>11</v>
      </c>
      <c r="AF24" s="98">
        <f t="shared" si="38"/>
        <v>12</v>
      </c>
      <c r="AG24" s="102"/>
    </row>
    <row r="25" spans="4:33" ht="21">
      <c r="D25" s="296"/>
      <c r="E25" s="105"/>
      <c r="F25" s="98">
        <f t="shared" ref="F25:F28" si="39">IFERROR(IF(L24+1&lt;=30,L24+1,""),"")</f>
        <v>10</v>
      </c>
      <c r="G25" s="98">
        <f t="shared" ref="G25:L25" si="40">IFERROR(IF(F25+1&lt;=30,F25+1,""),"")</f>
        <v>11</v>
      </c>
      <c r="H25" s="98">
        <f t="shared" si="40"/>
        <v>12</v>
      </c>
      <c r="I25" s="98">
        <f t="shared" si="40"/>
        <v>13</v>
      </c>
      <c r="J25" s="98">
        <f t="shared" si="40"/>
        <v>14</v>
      </c>
      <c r="K25" s="98">
        <f t="shared" si="40"/>
        <v>15</v>
      </c>
      <c r="L25" s="98">
        <f t="shared" si="40"/>
        <v>16</v>
      </c>
      <c r="M25" s="102"/>
      <c r="O25" s="105"/>
      <c r="P25" s="98">
        <f t="shared" ref="P25:P28" si="41">IFERROR(IF(V24+1&lt;=30,V24+1,""),"")</f>
        <v>15</v>
      </c>
      <c r="Q25" s="98">
        <f t="shared" ref="Q25:V25" si="42">IFERROR(IF(P25+1&lt;=30,P25+1,""),"")</f>
        <v>16</v>
      </c>
      <c r="R25" s="98">
        <f t="shared" si="42"/>
        <v>17</v>
      </c>
      <c r="S25" s="98">
        <f t="shared" si="42"/>
        <v>18</v>
      </c>
      <c r="T25" s="98">
        <f t="shared" si="42"/>
        <v>19</v>
      </c>
      <c r="U25" s="98">
        <f t="shared" si="42"/>
        <v>20</v>
      </c>
      <c r="V25" s="98">
        <f t="shared" si="42"/>
        <v>21</v>
      </c>
      <c r="W25" s="102"/>
      <c r="Y25" s="105"/>
      <c r="Z25" s="98">
        <f t="shared" ref="Z25:Z28" si="43">IFERROR(IF(AF24+1&lt;=30,AF24+1,""),"")</f>
        <v>13</v>
      </c>
      <c r="AA25" s="98">
        <f t="shared" ref="AA25:AF25" si="44">IFERROR(IF(Z25+1&lt;=30,Z25+1,""),"")</f>
        <v>14</v>
      </c>
      <c r="AB25" s="98">
        <f t="shared" si="44"/>
        <v>15</v>
      </c>
      <c r="AC25" s="98">
        <f t="shared" si="44"/>
        <v>16</v>
      </c>
      <c r="AD25" s="98">
        <f t="shared" si="44"/>
        <v>17</v>
      </c>
      <c r="AE25" s="98">
        <f t="shared" si="44"/>
        <v>18</v>
      </c>
      <c r="AF25" s="98">
        <f t="shared" si="44"/>
        <v>19</v>
      </c>
      <c r="AG25" s="102"/>
    </row>
    <row r="26" spans="4:33" ht="21">
      <c r="D26" s="296"/>
      <c r="E26" s="105"/>
      <c r="F26" s="98">
        <f t="shared" si="39"/>
        <v>17</v>
      </c>
      <c r="G26" s="98">
        <f t="shared" ref="G26:L26" si="45">IFERROR(IF(F26+1&lt;=30,F26+1,""),"")</f>
        <v>18</v>
      </c>
      <c r="H26" s="98">
        <f t="shared" si="45"/>
        <v>19</v>
      </c>
      <c r="I26" s="98">
        <f t="shared" si="45"/>
        <v>20</v>
      </c>
      <c r="J26" s="98">
        <f t="shared" si="45"/>
        <v>21</v>
      </c>
      <c r="K26" s="98">
        <f t="shared" si="45"/>
        <v>22</v>
      </c>
      <c r="L26" s="98">
        <f t="shared" si="45"/>
        <v>23</v>
      </c>
      <c r="M26" s="102"/>
      <c r="O26" s="105"/>
      <c r="P26" s="98">
        <f t="shared" si="41"/>
        <v>22</v>
      </c>
      <c r="Q26" s="98">
        <f t="shared" ref="Q26:V26" si="46">IFERROR(IF(P26+1&lt;=30,P26+1,""),"")</f>
        <v>23</v>
      </c>
      <c r="R26" s="98">
        <f t="shared" si="46"/>
        <v>24</v>
      </c>
      <c r="S26" s="98">
        <f t="shared" si="46"/>
        <v>25</v>
      </c>
      <c r="T26" s="98">
        <f t="shared" si="46"/>
        <v>26</v>
      </c>
      <c r="U26" s="98">
        <f t="shared" si="46"/>
        <v>27</v>
      </c>
      <c r="V26" s="98">
        <f t="shared" si="46"/>
        <v>28</v>
      </c>
      <c r="W26" s="102"/>
      <c r="Y26" s="105"/>
      <c r="Z26" s="98">
        <f t="shared" si="43"/>
        <v>20</v>
      </c>
      <c r="AA26" s="98">
        <f t="shared" ref="AA26:AF26" si="47">IFERROR(IF(Z26+1&lt;=30,Z26+1,""),"")</f>
        <v>21</v>
      </c>
      <c r="AB26" s="98">
        <f t="shared" si="47"/>
        <v>22</v>
      </c>
      <c r="AC26" s="98">
        <f t="shared" si="47"/>
        <v>23</v>
      </c>
      <c r="AD26" s="98">
        <f t="shared" si="47"/>
        <v>24</v>
      </c>
      <c r="AE26" s="98">
        <f t="shared" si="47"/>
        <v>25</v>
      </c>
      <c r="AF26" s="98">
        <f t="shared" si="47"/>
        <v>26</v>
      </c>
      <c r="AG26" s="102"/>
    </row>
    <row r="27" spans="4:33" ht="21">
      <c r="D27" s="296"/>
      <c r="E27" s="105"/>
      <c r="F27" s="98">
        <f t="shared" si="39"/>
        <v>24</v>
      </c>
      <c r="G27" s="98">
        <f t="shared" ref="G27:L27" si="48">IFERROR(IF(F27+1&lt;=30,F27+1,""),"")</f>
        <v>25</v>
      </c>
      <c r="H27" s="98">
        <f t="shared" si="48"/>
        <v>26</v>
      </c>
      <c r="I27" s="98">
        <f t="shared" si="48"/>
        <v>27</v>
      </c>
      <c r="J27" s="98">
        <f t="shared" si="48"/>
        <v>28</v>
      </c>
      <c r="K27" s="98">
        <f t="shared" si="48"/>
        <v>29</v>
      </c>
      <c r="L27" s="98">
        <f t="shared" si="48"/>
        <v>30</v>
      </c>
      <c r="M27" s="102"/>
      <c r="O27" s="105"/>
      <c r="P27" s="98">
        <f t="shared" si="41"/>
        <v>29</v>
      </c>
      <c r="Q27" s="98">
        <f t="shared" ref="Q27:V27" si="49">IFERROR(IF(P27+1&lt;=30,P27+1,""),"")</f>
        <v>30</v>
      </c>
      <c r="R27" s="98" t="str">
        <f t="shared" si="49"/>
        <v/>
      </c>
      <c r="S27" s="98" t="str">
        <f t="shared" si="49"/>
        <v/>
      </c>
      <c r="T27" s="98" t="str">
        <f t="shared" si="49"/>
        <v/>
      </c>
      <c r="U27" s="98" t="str">
        <f t="shared" si="49"/>
        <v/>
      </c>
      <c r="V27" s="98" t="str">
        <f t="shared" si="49"/>
        <v/>
      </c>
      <c r="W27" s="102"/>
      <c r="Y27" s="105"/>
      <c r="Z27" s="98">
        <f t="shared" si="43"/>
        <v>27</v>
      </c>
      <c r="AA27" s="98">
        <f t="shared" ref="AA27:AF27" si="50">IFERROR(IF(Z27+1&lt;=30,Z27+1,""),"")</f>
        <v>28</v>
      </c>
      <c r="AB27" s="98">
        <f t="shared" si="50"/>
        <v>29</v>
      </c>
      <c r="AC27" s="98">
        <f t="shared" si="50"/>
        <v>30</v>
      </c>
      <c r="AD27" s="98" t="str">
        <f t="shared" si="50"/>
        <v/>
      </c>
      <c r="AE27" s="98" t="str">
        <f t="shared" si="50"/>
        <v/>
      </c>
      <c r="AF27" s="98" t="str">
        <f t="shared" si="50"/>
        <v/>
      </c>
      <c r="AG27" s="102"/>
    </row>
    <row r="28" spans="4:33" ht="21">
      <c r="D28" s="296"/>
      <c r="E28" s="106"/>
      <c r="F28" s="98" t="str">
        <f t="shared" si="39"/>
        <v/>
      </c>
      <c r="G28" s="98" t="str">
        <f t="shared" ref="G28:L28" si="51">IFERROR(IF(F28+1&lt;=30,F28+1,""),"")</f>
        <v/>
      </c>
      <c r="H28" s="98" t="str">
        <f t="shared" si="51"/>
        <v/>
      </c>
      <c r="I28" s="98" t="str">
        <f t="shared" si="51"/>
        <v/>
      </c>
      <c r="J28" s="98" t="str">
        <f t="shared" si="51"/>
        <v/>
      </c>
      <c r="K28" s="98" t="str">
        <f t="shared" si="51"/>
        <v/>
      </c>
      <c r="L28" s="98" t="str">
        <f t="shared" si="51"/>
        <v/>
      </c>
      <c r="O28" s="106"/>
      <c r="P28" s="98" t="str">
        <f t="shared" si="41"/>
        <v/>
      </c>
      <c r="Q28" s="98" t="str">
        <f t="shared" ref="Q28:V28" si="52">IFERROR(IF(P28+1&lt;=30,P28+1,""),"")</f>
        <v/>
      </c>
      <c r="R28" s="98" t="str">
        <f t="shared" si="52"/>
        <v/>
      </c>
      <c r="S28" s="98" t="str">
        <f t="shared" si="52"/>
        <v/>
      </c>
      <c r="T28" s="98" t="str">
        <f t="shared" si="52"/>
        <v/>
      </c>
      <c r="U28" s="98" t="str">
        <f t="shared" si="52"/>
        <v/>
      </c>
      <c r="V28" s="98" t="str">
        <f t="shared" si="52"/>
        <v/>
      </c>
      <c r="Y28" s="106"/>
      <c r="Z28" s="98" t="str">
        <f t="shared" si="43"/>
        <v/>
      </c>
      <c r="AA28" s="98" t="str">
        <f t="shared" ref="AA28:AF28" si="53">IFERROR(IF(Z28+1&lt;=30,Z28+1,""),"")</f>
        <v/>
      </c>
      <c r="AB28" s="98" t="str">
        <f t="shared" si="53"/>
        <v/>
      </c>
      <c r="AC28" s="98" t="str">
        <f t="shared" si="53"/>
        <v/>
      </c>
      <c r="AD28" s="98" t="str">
        <f t="shared" si="53"/>
        <v/>
      </c>
      <c r="AE28" s="98" t="str">
        <f t="shared" si="53"/>
        <v/>
      </c>
      <c r="AF28" s="98" t="str">
        <f t="shared" si="53"/>
        <v/>
      </c>
    </row>
    <row r="29" spans="4:33" ht="21">
      <c r="D29" s="108"/>
      <c r="E29" s="108"/>
      <c r="F29" s="108">
        <v>0</v>
      </c>
      <c r="G29" s="108">
        <v>1</v>
      </c>
      <c r="H29" s="108">
        <v>2</v>
      </c>
      <c r="I29" s="108">
        <v>3</v>
      </c>
      <c r="J29" s="108">
        <v>4</v>
      </c>
      <c r="K29" s="108">
        <v>5</v>
      </c>
      <c r="L29" s="108">
        <v>6</v>
      </c>
      <c r="M29" s="109"/>
      <c r="N29" s="109"/>
      <c r="O29" s="108"/>
      <c r="P29" s="108">
        <v>0</v>
      </c>
      <c r="Q29" s="108">
        <v>1</v>
      </c>
      <c r="R29" s="108">
        <v>2</v>
      </c>
      <c r="S29" s="108">
        <v>3</v>
      </c>
      <c r="T29" s="108">
        <v>4</v>
      </c>
      <c r="U29" s="108">
        <v>5</v>
      </c>
      <c r="V29" s="108">
        <v>6</v>
      </c>
      <c r="W29" s="109"/>
      <c r="X29" s="109"/>
      <c r="Y29" s="108"/>
      <c r="Z29" s="108">
        <v>0</v>
      </c>
      <c r="AA29" s="108">
        <v>1</v>
      </c>
      <c r="AB29" s="108">
        <v>2</v>
      </c>
      <c r="AC29" s="108">
        <v>3</v>
      </c>
      <c r="AD29" s="108">
        <v>4</v>
      </c>
      <c r="AE29" s="108">
        <v>5</v>
      </c>
      <c r="AF29" s="108">
        <v>6</v>
      </c>
      <c r="AG29" s="109"/>
    </row>
    <row r="30" spans="4:33" ht="25.5">
      <c r="D30" s="294" t="s">
        <v>346</v>
      </c>
      <c r="E30" s="110"/>
      <c r="F30" s="295" t="s">
        <v>347</v>
      </c>
      <c r="G30" s="295"/>
      <c r="H30" s="295"/>
      <c r="I30" s="295"/>
      <c r="J30" s="295"/>
      <c r="K30" s="295"/>
      <c r="L30" s="295"/>
      <c r="M30" s="112"/>
      <c r="O30" s="110"/>
      <c r="P30" s="295" t="s">
        <v>348</v>
      </c>
      <c r="Q30" s="295"/>
      <c r="R30" s="295"/>
      <c r="S30" s="295"/>
      <c r="T30" s="295"/>
      <c r="U30" s="295"/>
      <c r="V30" s="295"/>
      <c r="W30" s="112"/>
      <c r="Y30" s="110"/>
      <c r="Z30" s="295" t="s">
        <v>349</v>
      </c>
      <c r="AA30" s="295"/>
      <c r="AB30" s="295"/>
      <c r="AC30" s="295"/>
      <c r="AD30" s="295"/>
      <c r="AE30" s="295"/>
      <c r="AF30" s="295"/>
      <c r="AG30" s="112"/>
    </row>
    <row r="31" spans="4:33" ht="21.75" thickBot="1">
      <c r="D31" s="294"/>
      <c r="E31" s="110"/>
      <c r="F31" s="100" t="s">
        <v>329</v>
      </c>
      <c r="G31" s="100" t="s">
        <v>331</v>
      </c>
      <c r="H31" s="100" t="s">
        <v>332</v>
      </c>
      <c r="I31" s="100" t="s">
        <v>333</v>
      </c>
      <c r="J31" s="100" t="s">
        <v>334</v>
      </c>
      <c r="K31" s="100" t="s">
        <v>335</v>
      </c>
      <c r="L31" s="100" t="s">
        <v>330</v>
      </c>
      <c r="M31" s="112"/>
      <c r="O31" s="110"/>
      <c r="P31" s="100" t="s">
        <v>329</v>
      </c>
      <c r="Q31" s="100" t="s">
        <v>331</v>
      </c>
      <c r="R31" s="100" t="s">
        <v>332</v>
      </c>
      <c r="S31" s="100" t="s">
        <v>333</v>
      </c>
      <c r="T31" s="100" t="s">
        <v>334</v>
      </c>
      <c r="U31" s="100" t="s">
        <v>335</v>
      </c>
      <c r="V31" s="100" t="s">
        <v>330</v>
      </c>
      <c r="W31" s="112"/>
      <c r="Y31" s="110"/>
      <c r="Z31" s="100" t="s">
        <v>329</v>
      </c>
      <c r="AA31" s="100" t="s">
        <v>331</v>
      </c>
      <c r="AB31" s="100" t="s">
        <v>332</v>
      </c>
      <c r="AC31" s="100" t="s">
        <v>333</v>
      </c>
      <c r="AD31" s="100" t="s">
        <v>334</v>
      </c>
      <c r="AE31" s="100" t="s">
        <v>335</v>
      </c>
      <c r="AF31" s="100" t="s">
        <v>330</v>
      </c>
      <c r="AG31" s="112"/>
    </row>
    <row r="32" spans="4:33" ht="21">
      <c r="D32" s="294"/>
      <c r="E32" s="110"/>
      <c r="F32" s="98" t="str">
        <f>IF(DayWeekNo($A$2&amp;"1001")=F29,1,IF(DayWeekNo($A$2&amp;"1001")&lt;F29,E32+1,""))</f>
        <v/>
      </c>
      <c r="G32" s="98" t="str">
        <f>IF(DayWeekNo($A$2&amp;"1001")=G29,1,IF(DayWeekNo($A$2&amp;"1001")&lt;G29,F32+1,""))</f>
        <v/>
      </c>
      <c r="H32" s="98" t="str">
        <f>IF(DayWeekNo($A$2&amp;"1001")=H29,1,IF(DayWeekNo($A$2&amp;"1001")&lt;H29,G32+1,""))</f>
        <v/>
      </c>
      <c r="I32" s="98" t="str">
        <f>IF(DayWeekNo($A$2&amp;"1001")=I29,1,IF(DayWeekNo($A$2&amp;"1001")&lt;I29,H32+1,""))</f>
        <v/>
      </c>
      <c r="J32" s="98">
        <f>IF(DayWeekNo($A$2&amp;"1001")=J29,1,IF(DayWeekNo($A$2&amp;"1001")&lt;J29,I32+1,""))</f>
        <v>1</v>
      </c>
      <c r="K32" s="98">
        <f>IF(DayWeekNo($A$2&amp;"1001")=K29,1,IF(DayWeekNo($A$2&amp;"1001")&lt;K29,J32+1,""))</f>
        <v>2</v>
      </c>
      <c r="L32" s="98">
        <f>IF(DayWeekNo($A$2&amp;"1001")=L29,1,IF(DayWeekNo($A$2&amp;"1001")&lt;L29,K32+1,""))</f>
        <v>3</v>
      </c>
      <c r="M32" s="102"/>
      <c r="O32" s="110"/>
      <c r="P32" s="98" t="str">
        <f>IF(DayWeekNo($A$2&amp;"1101")=P29,1,IF(DayWeekNo($A$2&amp;"1101")&lt;P29,O32+1,""))</f>
        <v/>
      </c>
      <c r="Q32" s="98" t="str">
        <f>IF(DayWeekNo($A$2&amp;"1101")=Q29,1,IF(DayWeekNo($A$2&amp;"1101")&lt;Q29,P32+1,""))</f>
        <v/>
      </c>
      <c r="R32" s="98" t="str">
        <f>IF(DayWeekNo($A$2&amp;"1101")=R29,1,IF(DayWeekNo($A$2&amp;"1101")&lt;R29,Q32+1,""))</f>
        <v/>
      </c>
      <c r="S32" s="98" t="str">
        <f>IF(DayWeekNo($A$2&amp;"1101")=S29,1,IF(DayWeekNo($A$2&amp;"1101")&lt;S29,R32+1,""))</f>
        <v/>
      </c>
      <c r="T32" s="98" t="str">
        <f>IF(DayWeekNo($A$2&amp;"1101")=T29,1,IF(DayWeekNo($A$2&amp;"1101")&lt;T29,S32+1,""))</f>
        <v/>
      </c>
      <c r="U32" s="98" t="str">
        <f>IF(DayWeekNo($A$2&amp;"1101")=U29,1,IF(DayWeekNo($A$2&amp;"1101")&lt;U29,T32+1,""))</f>
        <v/>
      </c>
      <c r="V32" s="98">
        <f>IF(DayWeekNo($A$2&amp;"1101")=V29,1,IF(DayWeekNo($A$2&amp;"1101")&lt;V29,U32+1,""))</f>
        <v>1</v>
      </c>
      <c r="W32" s="102"/>
      <c r="Y32" s="110"/>
      <c r="Z32" s="98" t="str">
        <f>IF(DayWeekNo($A$2&amp;"1201")=Z29,1,IF(DayWeekNo($A$2&amp;"1201")&lt;Z29,Y32+1,""))</f>
        <v/>
      </c>
      <c r="AA32" s="98">
        <f>IF(DayWeekNo($A$2&amp;"1201")=AA29,1,IF(DayWeekNo($A$2&amp;"1201")&lt;AA29,Z32+1,""))</f>
        <v>1</v>
      </c>
      <c r="AB32" s="98">
        <f>IF(DayWeekNo($A$2&amp;"1201")=AB29,1,IF(DayWeekNo($A$2&amp;"1201")&lt;AB29,AA32+1,""))</f>
        <v>2</v>
      </c>
      <c r="AC32" s="98">
        <f>IF(DayWeekNo($A$2&amp;"1201")=AC29,1,IF(DayWeekNo($A$2&amp;"1201")&lt;AC29,AB32+1,""))</f>
        <v>3</v>
      </c>
      <c r="AD32" s="98">
        <f>IF(DayWeekNo($A$2&amp;"1201")=AD29,1,IF(DayWeekNo($A$2&amp;"1201")&lt;AD29,AC32+1,""))</f>
        <v>4</v>
      </c>
      <c r="AE32" s="98">
        <f>IF(DayWeekNo($A$2&amp;"1201")=AE29,1,IF(DayWeekNo($A$2&amp;"1201")&lt;AE29,AD32+1,""))</f>
        <v>5</v>
      </c>
      <c r="AF32" s="98">
        <f>IF(DayWeekNo($A$2&amp;"1201")=AF29,1,IF(DayWeekNo($A$2&amp;"1201")&lt;AF29,AE32+1,""))</f>
        <v>6</v>
      </c>
      <c r="AG32" s="102"/>
    </row>
    <row r="33" spans="4:33" ht="21">
      <c r="D33" s="294"/>
      <c r="E33" s="110"/>
      <c r="F33" s="98">
        <f>IFERROR(IF(L32+1&lt;=30,L32+1,""),"")</f>
        <v>4</v>
      </c>
      <c r="G33" s="98">
        <f>IFERROR(IF(F33+1&lt;=30,F33+1,""),"")</f>
        <v>5</v>
      </c>
      <c r="H33" s="98">
        <f t="shared" ref="H33:L33" si="54">IFERROR(IF(G33+1&lt;=30,G33+1,""),"")</f>
        <v>6</v>
      </c>
      <c r="I33" s="98">
        <f t="shared" si="54"/>
        <v>7</v>
      </c>
      <c r="J33" s="98">
        <f t="shared" si="54"/>
        <v>8</v>
      </c>
      <c r="K33" s="98">
        <f t="shared" si="54"/>
        <v>9</v>
      </c>
      <c r="L33" s="98">
        <f t="shared" si="54"/>
        <v>10</v>
      </c>
      <c r="M33" s="102"/>
      <c r="O33" s="110"/>
      <c r="P33" s="98">
        <f>IFERROR(IF(V32+1&lt;=30,V32+1,""),"")</f>
        <v>2</v>
      </c>
      <c r="Q33" s="98">
        <f>IFERROR(IF(P33+1&lt;=30,P33+1,""),"")</f>
        <v>3</v>
      </c>
      <c r="R33" s="98">
        <f t="shared" ref="R33:V33" si="55">IFERROR(IF(Q33+1&lt;=30,Q33+1,""),"")</f>
        <v>4</v>
      </c>
      <c r="S33" s="98">
        <f t="shared" si="55"/>
        <v>5</v>
      </c>
      <c r="T33" s="98">
        <f t="shared" si="55"/>
        <v>6</v>
      </c>
      <c r="U33" s="98">
        <f t="shared" si="55"/>
        <v>7</v>
      </c>
      <c r="V33" s="98">
        <f t="shared" si="55"/>
        <v>8</v>
      </c>
      <c r="W33" s="102"/>
      <c r="Y33" s="110"/>
      <c r="Z33" s="98">
        <f>IFERROR(IF(AF32+1&lt;=29,AF32+1,""),"")</f>
        <v>7</v>
      </c>
      <c r="AA33" s="98">
        <f>IFERROR(IF(Z33+1&lt;=29,Z33+1,""),"")</f>
        <v>8</v>
      </c>
      <c r="AB33" s="98">
        <f t="shared" ref="AB33:AF33" si="56">IFERROR(IF(AA33+1&lt;=29,AA33+1,""),"")</f>
        <v>9</v>
      </c>
      <c r="AC33" s="98">
        <f t="shared" si="56"/>
        <v>10</v>
      </c>
      <c r="AD33" s="98">
        <f t="shared" si="56"/>
        <v>11</v>
      </c>
      <c r="AE33" s="98">
        <f t="shared" si="56"/>
        <v>12</v>
      </c>
      <c r="AF33" s="98">
        <f t="shared" si="56"/>
        <v>13</v>
      </c>
      <c r="AG33" s="102"/>
    </row>
    <row r="34" spans="4:33" ht="21">
      <c r="D34" s="294"/>
      <c r="E34" s="110"/>
      <c r="F34" s="98">
        <f t="shared" ref="F34:F37" si="57">IFERROR(IF(L33+1&lt;=30,L33+1,""),"")</f>
        <v>11</v>
      </c>
      <c r="G34" s="98">
        <f t="shared" ref="G34:L34" si="58">IFERROR(IF(F34+1&lt;=30,F34+1,""),"")</f>
        <v>12</v>
      </c>
      <c r="H34" s="98">
        <f t="shared" si="58"/>
        <v>13</v>
      </c>
      <c r="I34" s="98">
        <f t="shared" si="58"/>
        <v>14</v>
      </c>
      <c r="J34" s="98">
        <f t="shared" si="58"/>
        <v>15</v>
      </c>
      <c r="K34" s="98">
        <f t="shared" si="58"/>
        <v>16</v>
      </c>
      <c r="L34" s="98">
        <f t="shared" si="58"/>
        <v>17</v>
      </c>
      <c r="M34" s="102"/>
      <c r="O34" s="110"/>
      <c r="P34" s="98">
        <f t="shared" ref="P34:P37" si="59">IFERROR(IF(V33+1&lt;=30,V33+1,""),"")</f>
        <v>9</v>
      </c>
      <c r="Q34" s="98">
        <f t="shared" ref="Q34:V34" si="60">IFERROR(IF(P34+1&lt;=30,P34+1,""),"")</f>
        <v>10</v>
      </c>
      <c r="R34" s="98">
        <f t="shared" si="60"/>
        <v>11</v>
      </c>
      <c r="S34" s="98">
        <f t="shared" si="60"/>
        <v>12</v>
      </c>
      <c r="T34" s="98">
        <f t="shared" si="60"/>
        <v>13</v>
      </c>
      <c r="U34" s="98">
        <f t="shared" si="60"/>
        <v>14</v>
      </c>
      <c r="V34" s="98">
        <f t="shared" si="60"/>
        <v>15</v>
      </c>
      <c r="W34" s="102"/>
      <c r="Y34" s="110"/>
      <c r="Z34" s="98">
        <f t="shared" ref="Z34:Z36" si="61">IFERROR(IF(AF33+1&lt;=29,AF33+1,""),"")</f>
        <v>14</v>
      </c>
      <c r="AA34" s="98">
        <f t="shared" ref="AA34:AF34" si="62">IFERROR(IF(Z34+1&lt;=29,Z34+1,""),"")</f>
        <v>15</v>
      </c>
      <c r="AB34" s="98">
        <f t="shared" si="62"/>
        <v>16</v>
      </c>
      <c r="AC34" s="98">
        <f t="shared" si="62"/>
        <v>17</v>
      </c>
      <c r="AD34" s="98">
        <f t="shared" si="62"/>
        <v>18</v>
      </c>
      <c r="AE34" s="98">
        <f t="shared" si="62"/>
        <v>19</v>
      </c>
      <c r="AF34" s="98">
        <f t="shared" si="62"/>
        <v>20</v>
      </c>
      <c r="AG34" s="102"/>
    </row>
    <row r="35" spans="4:33" ht="21">
      <c r="D35" s="294"/>
      <c r="E35" s="110"/>
      <c r="F35" s="98">
        <f t="shared" si="57"/>
        <v>18</v>
      </c>
      <c r="G35" s="98">
        <f t="shared" ref="G35:L35" si="63">IFERROR(IF(F35+1&lt;=30,F35+1,""),"")</f>
        <v>19</v>
      </c>
      <c r="H35" s="98">
        <f t="shared" si="63"/>
        <v>20</v>
      </c>
      <c r="I35" s="98">
        <f t="shared" si="63"/>
        <v>21</v>
      </c>
      <c r="J35" s="98">
        <f t="shared" si="63"/>
        <v>22</v>
      </c>
      <c r="K35" s="98">
        <f t="shared" si="63"/>
        <v>23</v>
      </c>
      <c r="L35" s="98">
        <f t="shared" si="63"/>
        <v>24</v>
      </c>
      <c r="M35" s="102"/>
      <c r="O35" s="110"/>
      <c r="P35" s="98">
        <f t="shared" si="59"/>
        <v>16</v>
      </c>
      <c r="Q35" s="98">
        <f t="shared" ref="Q35:V35" si="64">IFERROR(IF(P35+1&lt;=30,P35+1,""),"")</f>
        <v>17</v>
      </c>
      <c r="R35" s="98">
        <f t="shared" si="64"/>
        <v>18</v>
      </c>
      <c r="S35" s="98">
        <f t="shared" si="64"/>
        <v>19</v>
      </c>
      <c r="T35" s="98">
        <f t="shared" si="64"/>
        <v>20</v>
      </c>
      <c r="U35" s="98">
        <f t="shared" si="64"/>
        <v>21</v>
      </c>
      <c r="V35" s="98">
        <f t="shared" si="64"/>
        <v>22</v>
      </c>
      <c r="W35" s="102"/>
      <c r="Y35" s="110"/>
      <c r="Z35" s="98">
        <f t="shared" si="61"/>
        <v>21</v>
      </c>
      <c r="AA35" s="98">
        <f t="shared" ref="AA35:AF35" si="65">IFERROR(IF(Z35+1&lt;=29,Z35+1,""),"")</f>
        <v>22</v>
      </c>
      <c r="AB35" s="98">
        <f t="shared" si="65"/>
        <v>23</v>
      </c>
      <c r="AC35" s="98">
        <f t="shared" si="65"/>
        <v>24</v>
      </c>
      <c r="AD35" s="98">
        <f t="shared" si="65"/>
        <v>25</v>
      </c>
      <c r="AE35" s="98">
        <f t="shared" si="65"/>
        <v>26</v>
      </c>
      <c r="AF35" s="98">
        <f t="shared" si="65"/>
        <v>27</v>
      </c>
      <c r="AG35" s="102"/>
    </row>
    <row r="36" spans="4:33" ht="21">
      <c r="D36" s="294"/>
      <c r="E36" s="110"/>
      <c r="F36" s="98">
        <f t="shared" si="57"/>
        <v>25</v>
      </c>
      <c r="G36" s="98">
        <f t="shared" ref="G36:L36" si="66">IFERROR(IF(F36+1&lt;=30,F36+1,""),"")</f>
        <v>26</v>
      </c>
      <c r="H36" s="98">
        <f t="shared" si="66"/>
        <v>27</v>
      </c>
      <c r="I36" s="98">
        <f t="shared" si="66"/>
        <v>28</v>
      </c>
      <c r="J36" s="98">
        <f t="shared" si="66"/>
        <v>29</v>
      </c>
      <c r="K36" s="98">
        <f t="shared" si="66"/>
        <v>30</v>
      </c>
      <c r="L36" s="98" t="str">
        <f t="shared" si="66"/>
        <v/>
      </c>
      <c r="M36" s="102"/>
      <c r="O36" s="110"/>
      <c r="P36" s="98">
        <f t="shared" si="59"/>
        <v>23</v>
      </c>
      <c r="Q36" s="98">
        <f t="shared" ref="Q36:V36" si="67">IFERROR(IF(P36+1&lt;=30,P36+1,""),"")</f>
        <v>24</v>
      </c>
      <c r="R36" s="98">
        <f t="shared" si="67"/>
        <v>25</v>
      </c>
      <c r="S36" s="98">
        <f t="shared" si="67"/>
        <v>26</v>
      </c>
      <c r="T36" s="98">
        <f t="shared" si="67"/>
        <v>27</v>
      </c>
      <c r="U36" s="98">
        <f t="shared" si="67"/>
        <v>28</v>
      </c>
      <c r="V36" s="98">
        <f t="shared" si="67"/>
        <v>29</v>
      </c>
      <c r="W36" s="102"/>
      <c r="Y36" s="110"/>
      <c r="Z36" s="98">
        <f t="shared" si="61"/>
        <v>28</v>
      </c>
      <c r="AA36" s="98">
        <f t="shared" ref="AA36:AF36" si="68">IFERROR(IF(Z36+1&lt;=29,Z36+1,""),"")</f>
        <v>29</v>
      </c>
      <c r="AB36" s="98" t="str">
        <f t="shared" si="68"/>
        <v/>
      </c>
      <c r="AC36" s="98" t="str">
        <f t="shared" si="68"/>
        <v/>
      </c>
      <c r="AD36" s="98" t="str">
        <f t="shared" si="68"/>
        <v/>
      </c>
      <c r="AE36" s="98" t="str">
        <f t="shared" si="68"/>
        <v/>
      </c>
      <c r="AF36" s="98" t="str">
        <f t="shared" si="68"/>
        <v/>
      </c>
      <c r="AG36" s="102"/>
    </row>
    <row r="37" spans="4:33" ht="21">
      <c r="D37" s="294"/>
      <c r="E37" s="111"/>
      <c r="F37" s="98" t="str">
        <f t="shared" si="57"/>
        <v/>
      </c>
      <c r="G37" s="98" t="str">
        <f t="shared" ref="G37:L37" si="69">IFERROR(IF(F37+1&lt;=30,F37+1,""),"")</f>
        <v/>
      </c>
      <c r="H37" s="98" t="str">
        <f t="shared" si="69"/>
        <v/>
      </c>
      <c r="I37" s="98" t="str">
        <f t="shared" si="69"/>
        <v/>
      </c>
      <c r="J37" s="98" t="str">
        <f t="shared" si="69"/>
        <v/>
      </c>
      <c r="K37" s="98" t="str">
        <f t="shared" si="69"/>
        <v/>
      </c>
      <c r="L37" s="98" t="str">
        <f t="shared" si="69"/>
        <v/>
      </c>
      <c r="O37" s="111"/>
      <c r="P37" s="98">
        <f t="shared" si="59"/>
        <v>30</v>
      </c>
      <c r="Q37" s="98" t="str">
        <f t="shared" ref="Q37:V37" si="70">IFERROR(IF(P37+1&lt;=30,P37+1,""),"")</f>
        <v/>
      </c>
      <c r="R37" s="98" t="str">
        <f t="shared" si="70"/>
        <v/>
      </c>
      <c r="S37" s="98" t="str">
        <f t="shared" si="70"/>
        <v/>
      </c>
      <c r="T37" s="98" t="str">
        <f t="shared" si="70"/>
        <v/>
      </c>
      <c r="U37" s="98" t="str">
        <f t="shared" si="70"/>
        <v/>
      </c>
      <c r="V37" s="98" t="str">
        <f t="shared" si="70"/>
        <v/>
      </c>
      <c r="Y37" s="111"/>
      <c r="Z37" s="98" t="str">
        <f>IFERROR(IF(AF36+1&lt;=29,AF36+1,""),"")</f>
        <v/>
      </c>
      <c r="AA37" s="98" t="str">
        <f t="shared" ref="AA37:AF37" si="71">IFERROR(IF(Z37+1&lt;=29,Z37+1,""),"")</f>
        <v/>
      </c>
      <c r="AB37" s="98" t="str">
        <f t="shared" si="71"/>
        <v/>
      </c>
      <c r="AC37" s="98" t="str">
        <f t="shared" si="71"/>
        <v/>
      </c>
      <c r="AD37" s="98" t="str">
        <f t="shared" si="71"/>
        <v/>
      </c>
      <c r="AE37" s="98" t="str">
        <f t="shared" si="71"/>
        <v/>
      </c>
      <c r="AF37" s="98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4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A4" sqref="A4"/>
    </sheetView>
  </sheetViews>
  <sheetFormatPr defaultRowHeight="15"/>
  <cols>
    <col min="1" max="1" width="29.7109375" style="169" customWidth="1"/>
    <col min="2" max="2" width="0.7109375" style="244" customWidth="1"/>
    <col min="3" max="3" width="4.5703125" style="243" customWidth="1"/>
    <col min="4" max="4" width="30" style="178" customWidth="1"/>
    <col min="5" max="5" width="36.5703125" style="178" customWidth="1"/>
    <col min="6" max="6" width="9.140625" style="178" customWidth="1"/>
    <col min="7" max="7" width="18.28515625" style="178" customWidth="1"/>
    <col min="8" max="8" width="23.5703125" style="178" customWidth="1"/>
    <col min="9" max="9" width="36.5703125" style="178" customWidth="1"/>
    <col min="10" max="11" width="18.28515625" style="178" customWidth="1"/>
    <col min="12" max="12" width="29.85546875" style="243" customWidth="1"/>
    <col min="13" max="13" width="36.7109375" style="243" customWidth="1"/>
    <col min="14" max="14" width="18.42578125" style="243" customWidth="1"/>
    <col min="15" max="15" width="23.5703125" style="243" customWidth="1"/>
    <col min="16" max="16" width="36.7109375" style="243" customWidth="1"/>
    <col min="17" max="17" width="18.42578125" style="243" customWidth="1"/>
    <col min="18" max="16384" width="9.140625" style="243"/>
  </cols>
  <sheetData>
    <row r="1" spans="1:11" ht="15.75">
      <c r="A1" s="242" t="s">
        <v>1046</v>
      </c>
      <c r="B1" s="169"/>
      <c r="D1" s="391" t="s">
        <v>984</v>
      </c>
      <c r="E1" s="392" t="s">
        <v>1047</v>
      </c>
      <c r="F1" s="392"/>
      <c r="G1" s="393"/>
      <c r="H1" s="247"/>
      <c r="I1" s="247"/>
      <c r="J1" s="247"/>
      <c r="K1" s="247"/>
    </row>
    <row r="2" spans="1:11" ht="30">
      <c r="A2" s="121"/>
      <c r="B2" s="169"/>
      <c r="D2" s="179" t="s">
        <v>969</v>
      </c>
      <c r="E2" s="179" t="s">
        <v>17</v>
      </c>
      <c r="F2" s="179" t="s">
        <v>1068</v>
      </c>
      <c r="G2" s="180" t="s">
        <v>1074</v>
      </c>
      <c r="H2" s="179" t="s">
        <v>994</v>
      </c>
      <c r="I2" s="179" t="s">
        <v>1100</v>
      </c>
      <c r="J2" s="179" t="s">
        <v>987</v>
      </c>
      <c r="K2" s="179" t="s">
        <v>982</v>
      </c>
    </row>
    <row r="3" spans="1:11" ht="18.75">
      <c r="A3" s="143" t="s">
        <v>8</v>
      </c>
      <c r="B3" s="169"/>
      <c r="D3" s="181" t="s">
        <v>975</v>
      </c>
      <c r="E3" s="181" t="s">
        <v>985</v>
      </c>
      <c r="F3" s="181" t="s">
        <v>1069</v>
      </c>
      <c r="G3" s="182">
        <v>50000000</v>
      </c>
      <c r="H3" s="181" t="s">
        <v>1041</v>
      </c>
      <c r="I3" s="181"/>
      <c r="J3" s="181" t="s">
        <v>1042</v>
      </c>
      <c r="K3" s="183" t="s">
        <v>1036</v>
      </c>
    </row>
    <row r="4" spans="1:11" ht="19.5" thickBot="1">
      <c r="A4" s="144" t="s">
        <v>115</v>
      </c>
      <c r="B4" s="169"/>
      <c r="D4" s="184" t="s">
        <v>975</v>
      </c>
      <c r="E4" s="184" t="s">
        <v>1006</v>
      </c>
      <c r="F4" s="184" t="s">
        <v>1072</v>
      </c>
      <c r="G4" s="185"/>
      <c r="H4" s="184" t="s">
        <v>1041</v>
      </c>
      <c r="I4" s="184"/>
      <c r="J4" s="184"/>
      <c r="K4" s="186"/>
    </row>
    <row r="5" spans="1:11" ht="18.75">
      <c r="A5" s="147" t="s">
        <v>1188</v>
      </c>
      <c r="B5" s="169"/>
      <c r="D5" s="187" t="s">
        <v>970</v>
      </c>
      <c r="E5" s="187" t="s">
        <v>1004</v>
      </c>
      <c r="F5" s="187"/>
      <c r="G5" s="188"/>
      <c r="H5" s="189" t="s">
        <v>996</v>
      </c>
      <c r="I5" s="187" t="s">
        <v>1005</v>
      </c>
      <c r="J5" s="190" t="s">
        <v>1044</v>
      </c>
      <c r="K5" s="191"/>
    </row>
    <row r="6" spans="1:11" ht="19.5" thickBot="1">
      <c r="A6" s="394" t="s">
        <v>1189</v>
      </c>
      <c r="B6" s="169"/>
      <c r="D6" s="192" t="s">
        <v>970</v>
      </c>
      <c r="E6" s="193" t="s">
        <v>1003</v>
      </c>
      <c r="F6" s="193"/>
      <c r="G6" s="194"/>
      <c r="H6" s="193" t="s">
        <v>996</v>
      </c>
      <c r="I6" s="193"/>
      <c r="J6" s="193"/>
      <c r="K6" s="193"/>
    </row>
    <row r="7" spans="1:11" ht="19.5" thickBot="1">
      <c r="A7" s="396" t="s">
        <v>1190</v>
      </c>
      <c r="B7" s="169"/>
      <c r="D7" s="195" t="s">
        <v>976</v>
      </c>
      <c r="E7" s="196" t="s">
        <v>997</v>
      </c>
      <c r="F7" s="192" t="s">
        <v>1071</v>
      </c>
      <c r="G7" s="185"/>
      <c r="H7" s="184" t="s">
        <v>1041</v>
      </c>
      <c r="I7" s="195"/>
      <c r="J7" s="197"/>
      <c r="K7" s="198"/>
    </row>
    <row r="8" spans="1:11" ht="19.5" thickBot="1">
      <c r="A8" s="399" t="s">
        <v>1191</v>
      </c>
      <c r="B8" s="169"/>
      <c r="D8" s="196" t="s">
        <v>977</v>
      </c>
      <c r="E8" s="196" t="s">
        <v>998</v>
      </c>
      <c r="F8" s="200" t="s">
        <v>1071</v>
      </c>
      <c r="G8" s="199"/>
      <c r="H8" s="200" t="s">
        <v>1041</v>
      </c>
      <c r="I8" s="196"/>
      <c r="J8" s="201"/>
      <c r="K8" s="201"/>
    </row>
    <row r="9" spans="1:11" ht="18.75">
      <c r="A9" s="397" t="s">
        <v>7</v>
      </c>
      <c r="B9" s="169"/>
      <c r="D9" s="202" t="s">
        <v>979</v>
      </c>
      <c r="E9" s="202" t="s">
        <v>999</v>
      </c>
      <c r="F9" s="187"/>
      <c r="G9" s="203"/>
      <c r="H9" s="187" t="s">
        <v>1000</v>
      </c>
      <c r="I9" s="202"/>
      <c r="J9" s="190" t="s">
        <v>1043</v>
      </c>
      <c r="K9" s="204"/>
    </row>
    <row r="10" spans="1:11" ht="19.5" thickBot="1">
      <c r="A10" s="398" t="s">
        <v>100</v>
      </c>
      <c r="B10" s="169"/>
      <c r="D10" s="205" t="s">
        <v>979</v>
      </c>
      <c r="E10" s="205" t="s">
        <v>1018</v>
      </c>
      <c r="F10" s="267"/>
      <c r="G10" s="182"/>
      <c r="H10" s="192" t="s">
        <v>1041</v>
      </c>
      <c r="I10" s="205"/>
      <c r="J10" s="192"/>
      <c r="K10" s="206"/>
    </row>
    <row r="11" spans="1:11" ht="15.75" thickBot="1">
      <c r="A11" s="121"/>
      <c r="B11" s="169"/>
      <c r="D11" s="207" t="s">
        <v>978</v>
      </c>
      <c r="E11" s="207" t="s">
        <v>1020</v>
      </c>
      <c r="F11" s="268"/>
      <c r="G11" s="199"/>
      <c r="H11" s="200" t="s">
        <v>1041</v>
      </c>
      <c r="I11" s="207"/>
      <c r="J11" s="200"/>
      <c r="K11" s="208"/>
    </row>
    <row r="12" spans="1:11">
      <c r="A12" s="121"/>
      <c r="B12" s="169"/>
      <c r="D12" s="202" t="s">
        <v>980</v>
      </c>
      <c r="E12" s="202" t="s">
        <v>1007</v>
      </c>
      <c r="F12" s="187"/>
      <c r="G12" s="203"/>
      <c r="H12" s="209" t="s">
        <v>1041</v>
      </c>
      <c r="I12" s="202"/>
      <c r="J12" s="190"/>
      <c r="K12" s="204"/>
    </row>
    <row r="13" spans="1:11" ht="15.75" thickBot="1">
      <c r="A13" s="121"/>
      <c r="B13" s="169"/>
      <c r="D13" s="205" t="s">
        <v>980</v>
      </c>
      <c r="E13" s="205" t="s">
        <v>1001</v>
      </c>
      <c r="F13" s="210"/>
      <c r="G13" s="194"/>
      <c r="H13" s="210" t="s">
        <v>1002</v>
      </c>
      <c r="I13" s="205"/>
      <c r="J13" s="192" t="s">
        <v>991</v>
      </c>
      <c r="K13" s="206"/>
    </row>
    <row r="14" spans="1:11" ht="30">
      <c r="A14" s="121"/>
      <c r="D14" s="202" t="s">
        <v>1011</v>
      </c>
      <c r="E14" s="202" t="s">
        <v>1009</v>
      </c>
      <c r="F14" s="187"/>
      <c r="G14" s="188"/>
      <c r="H14" s="209" t="s">
        <v>1041</v>
      </c>
      <c r="I14" s="202"/>
      <c r="J14" s="190"/>
      <c r="K14" s="204"/>
    </row>
    <row r="15" spans="1:11" ht="15.75" thickBot="1">
      <c r="D15" s="205" t="s">
        <v>1011</v>
      </c>
      <c r="E15" s="205" t="s">
        <v>1008</v>
      </c>
      <c r="F15" s="210"/>
      <c r="G15" s="194"/>
      <c r="H15" s="211" t="s">
        <v>1041</v>
      </c>
      <c r="I15" s="205"/>
      <c r="J15" s="192"/>
      <c r="K15" s="206"/>
    </row>
    <row r="16" spans="1:11" ht="30.75" thickBot="1">
      <c r="D16" s="207" t="s">
        <v>1013</v>
      </c>
      <c r="E16" s="207" t="s">
        <v>1010</v>
      </c>
      <c r="F16" s="268"/>
      <c r="G16" s="212"/>
      <c r="H16" s="213" t="s">
        <v>1041</v>
      </c>
      <c r="I16" s="207" t="s">
        <v>1015</v>
      </c>
      <c r="J16" s="192" t="s">
        <v>123</v>
      </c>
      <c r="K16" s="208"/>
    </row>
    <row r="17" spans="4:11" ht="15.75" thickBot="1">
      <c r="D17" s="207" t="s">
        <v>986</v>
      </c>
      <c r="E17" s="207" t="s">
        <v>1016</v>
      </c>
      <c r="F17" s="268"/>
      <c r="G17" s="212"/>
      <c r="H17" s="214" t="s">
        <v>1041</v>
      </c>
      <c r="I17" s="207"/>
      <c r="J17" s="192"/>
      <c r="K17" s="208"/>
    </row>
    <row r="18" spans="4:11" ht="15.75" thickBot="1">
      <c r="D18" s="215"/>
      <c r="E18" s="215"/>
      <c r="F18" s="215"/>
      <c r="G18" s="216"/>
      <c r="H18" s="215"/>
      <c r="I18" s="215"/>
      <c r="J18" s="215"/>
      <c r="K18" s="215"/>
    </row>
    <row r="19" spans="4:11" ht="16.5" thickTop="1" thickBot="1">
      <c r="D19" s="217" t="s">
        <v>971</v>
      </c>
      <c r="E19" s="217" t="s">
        <v>1017</v>
      </c>
      <c r="F19" s="217"/>
      <c r="G19" s="218">
        <v>-45000000</v>
      </c>
      <c r="H19" s="217" t="s">
        <v>1022</v>
      </c>
      <c r="I19" s="217"/>
      <c r="J19" s="217" t="s">
        <v>989</v>
      </c>
      <c r="K19" s="219"/>
    </row>
    <row r="20" spans="4:11" ht="15.75" thickBot="1">
      <c r="D20" s="220" t="s">
        <v>973</v>
      </c>
      <c r="E20" s="220" t="s">
        <v>1021</v>
      </c>
      <c r="F20" s="220"/>
      <c r="G20" s="221"/>
      <c r="H20" s="222" t="s">
        <v>1023</v>
      </c>
      <c r="I20" s="192"/>
      <c r="J20" s="192"/>
      <c r="K20" s="198"/>
    </row>
    <row r="21" spans="4:11" ht="30.75" thickBot="1">
      <c r="D21" s="196" t="s">
        <v>1012</v>
      </c>
      <c r="E21" s="196" t="s">
        <v>1024</v>
      </c>
      <c r="F21" s="200"/>
      <c r="G21" s="223"/>
      <c r="H21" s="196" t="s">
        <v>1023</v>
      </c>
      <c r="I21" s="196"/>
      <c r="J21" s="196" t="s">
        <v>123</v>
      </c>
      <c r="K21" s="224"/>
    </row>
    <row r="22" spans="4:11" ht="45.75" thickBot="1">
      <c r="D22" s="220" t="s">
        <v>1014</v>
      </c>
      <c r="E22" s="220" t="s">
        <v>1025</v>
      </c>
      <c r="F22" s="192" t="s">
        <v>1069</v>
      </c>
      <c r="G22" s="194"/>
      <c r="H22" s="196" t="s">
        <v>1023</v>
      </c>
      <c r="I22" s="192" t="s">
        <v>1026</v>
      </c>
      <c r="J22" s="192"/>
      <c r="K22" s="192"/>
    </row>
    <row r="23" spans="4:11">
      <c r="D23" s="225" t="s">
        <v>974</v>
      </c>
      <c r="E23" s="225" t="s">
        <v>1028</v>
      </c>
      <c r="F23" s="190"/>
      <c r="G23" s="188"/>
      <c r="H23" s="195" t="s">
        <v>1029</v>
      </c>
      <c r="I23" s="190"/>
      <c r="J23" s="190" t="s">
        <v>990</v>
      </c>
      <c r="K23" s="190"/>
    </row>
    <row r="24" spans="4:11" ht="30.75" thickBot="1">
      <c r="D24" s="220" t="s">
        <v>974</v>
      </c>
      <c r="E24" s="197" t="s">
        <v>1027</v>
      </c>
      <c r="F24" s="269"/>
      <c r="G24" s="226"/>
      <c r="H24" s="227" t="s">
        <v>1029</v>
      </c>
      <c r="I24" s="220"/>
      <c r="J24" s="220"/>
      <c r="K24" s="198"/>
    </row>
    <row r="25" spans="4:11" ht="15.75" thickBot="1">
      <c r="D25" s="196" t="s">
        <v>981</v>
      </c>
      <c r="E25" s="196" t="s">
        <v>1028</v>
      </c>
      <c r="F25" s="196"/>
      <c r="G25" s="228"/>
      <c r="H25" s="196" t="s">
        <v>1029</v>
      </c>
      <c r="I25" s="196"/>
      <c r="J25" s="196"/>
      <c r="K25" s="196"/>
    </row>
    <row r="26" spans="4:11" ht="15.75" thickBot="1">
      <c r="D26" s="229" t="s">
        <v>995</v>
      </c>
      <c r="E26" s="230" t="s">
        <v>1030</v>
      </c>
      <c r="F26" s="230"/>
      <c r="G26" s="231"/>
      <c r="H26" s="230" t="s">
        <v>1031</v>
      </c>
      <c r="I26" s="230"/>
      <c r="J26" s="230"/>
      <c r="K26" s="232"/>
    </row>
    <row r="27" spans="4:11" ht="16.5" thickTop="1" thickBot="1">
      <c r="D27" s="233" t="s">
        <v>972</v>
      </c>
      <c r="E27" s="233" t="s">
        <v>1033</v>
      </c>
      <c r="F27" s="233"/>
      <c r="G27" s="234"/>
      <c r="H27" s="233" t="s">
        <v>1035</v>
      </c>
      <c r="I27" s="233" t="s">
        <v>1034</v>
      </c>
      <c r="J27" s="233"/>
      <c r="K27" s="235"/>
    </row>
    <row r="28" spans="4:11" ht="15.75" thickBot="1">
      <c r="D28" s="192" t="s">
        <v>972</v>
      </c>
      <c r="E28" s="192" t="s">
        <v>1037</v>
      </c>
      <c r="F28" s="192"/>
      <c r="G28" s="194"/>
      <c r="H28" s="192" t="s">
        <v>1035</v>
      </c>
      <c r="I28" s="192" t="s">
        <v>1038</v>
      </c>
      <c r="J28" s="192"/>
      <c r="K28" s="236"/>
    </row>
    <row r="29" spans="4:11" ht="15.75" thickBot="1">
      <c r="D29" s="237" t="s">
        <v>972</v>
      </c>
      <c r="E29" s="237" t="s">
        <v>1039</v>
      </c>
      <c r="F29" s="237"/>
      <c r="G29" s="238"/>
      <c r="H29" s="237" t="s">
        <v>1040</v>
      </c>
      <c r="I29" s="237"/>
      <c r="J29" s="237" t="s">
        <v>992</v>
      </c>
      <c r="K29" s="237"/>
    </row>
    <row r="30" spans="4:11" ht="16.5" thickTop="1" thickBot="1">
      <c r="D30" s="230" t="s">
        <v>972</v>
      </c>
      <c r="E30" s="230" t="s">
        <v>1019</v>
      </c>
      <c r="F30" s="230"/>
      <c r="G30" s="231">
        <v>-5000000</v>
      </c>
      <c r="H30" s="230"/>
      <c r="I30" s="230" t="s">
        <v>1032</v>
      </c>
      <c r="J30" s="230"/>
      <c r="K30" s="230"/>
    </row>
    <row r="31" spans="4:11" ht="15.75" thickTop="1">
      <c r="D31" s="240"/>
      <c r="E31" s="239" t="s">
        <v>983</v>
      </c>
      <c r="F31" s="239"/>
      <c r="G31" s="241">
        <f>SUBTOTAL(109,BudgetTable[مبلغ بودجه (ریال)])</f>
        <v>0</v>
      </c>
      <c r="H31" s="239"/>
      <c r="I31" s="239"/>
      <c r="J31" s="239"/>
      <c r="K31" s="240"/>
    </row>
    <row r="87" spans="1:1">
      <c r="A87" s="169" t="s">
        <v>123</v>
      </c>
    </row>
  </sheetData>
  <mergeCells count="1">
    <mergeCell ref="E1:F1"/>
  </mergeCells>
  <conditionalFormatting sqref="D3:K30">
    <cfRule type="expression" dxfId="42" priority="1">
      <formula xml:space="preserve"> "پرداخت شد" = $J3</formula>
    </cfRule>
    <cfRule type="expression" dxfId="41" priority="2">
      <formula xml:space="preserve"> "صادر شد" = $J3</formula>
    </cfRule>
    <cfRule type="expression" dxfId="40" priority="3">
      <formula xml:space="preserve"> "خریداری شد" = $J3</formula>
    </cfRule>
    <cfRule type="expression" dxfId="39" priority="4">
      <formula xml:space="preserve"> "دریافت شد" = $J3</formula>
    </cfRule>
    <cfRule type="expression" dxfId="38" priority="5">
      <formula xml:space="preserve"> "باطل شد" = $J3</formula>
    </cfRule>
    <cfRule type="expression" dxfId="37" priority="14">
      <formula xml:space="preserve"> "به فروش رسید" = $J3</formula>
    </cfRule>
    <cfRule type="expression" dxfId="36" priority="15">
      <formula xml:space="preserve"> "----------" = $J3</formula>
    </cfRule>
    <cfRule type="expression" dxfId="35" priority="16">
      <formula xml:space="preserve"> "-" = $J3</formula>
    </cfRule>
    <cfRule type="expression" dxfId="34" priority="17">
      <formula xml:space="preserve"> "S" = $F3</formula>
    </cfRule>
    <cfRule type="expression" dxfId="33" priority="18">
      <formula xml:space="preserve"> "A" = $F3</formula>
    </cfRule>
    <cfRule type="expression" dxfId="32" priority="19">
      <formula xml:space="preserve"> "B" = $F3</formula>
    </cfRule>
    <cfRule type="expression" dxfId="31" priority="20">
      <formula xml:space="preserve"> "C" = $F3</formula>
    </cfRule>
    <cfRule type="expression" dxfId="30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>
      <selection activeCell="A5" sqref="A5"/>
    </sheetView>
  </sheetViews>
  <sheetFormatPr defaultRowHeight="15"/>
  <cols>
    <col min="1" max="1" width="29.85546875" style="169" customWidth="1"/>
    <col min="2" max="2" width="0.7109375" style="244" customWidth="1"/>
    <col min="3" max="3" width="4.5703125" style="243" customWidth="1"/>
    <col min="4" max="4" width="6.85546875" style="259" customWidth="1"/>
    <col min="5" max="5" width="18.28515625" style="260" customWidth="1"/>
    <col min="6" max="6" width="36.5703125" style="260" customWidth="1"/>
    <col min="7" max="8" width="18.28515625" style="261" customWidth="1"/>
    <col min="9" max="10" width="18.28515625" style="260" customWidth="1"/>
    <col min="11" max="11" width="36.5703125" style="260" customWidth="1"/>
    <col min="12" max="12" width="4.5703125" style="248" customWidth="1"/>
    <col min="13" max="13" width="30" style="248" customWidth="1"/>
    <col min="14" max="14" width="36.5703125" style="248" customWidth="1"/>
    <col min="15" max="15" width="9.140625" style="249" customWidth="1"/>
    <col min="16" max="16" width="18.28515625" style="249" customWidth="1"/>
    <col min="17" max="17" width="23.5703125" style="249" customWidth="1"/>
    <col min="18" max="18" width="36.5703125" style="249" customWidth="1"/>
    <col min="19" max="20" width="18.28515625" style="249" customWidth="1"/>
    <col min="21" max="21" width="4.5703125" style="249" customWidth="1"/>
    <col min="22" max="35" width="18.28515625" style="249" customWidth="1"/>
    <col min="36" max="16384" width="9.140625" style="249"/>
  </cols>
  <sheetData>
    <row r="1" spans="1:50" ht="15.75">
      <c r="A1" s="242" t="s">
        <v>1045</v>
      </c>
      <c r="B1" s="169"/>
      <c r="D1" s="389" t="s">
        <v>1187</v>
      </c>
      <c r="E1" s="389"/>
      <c r="F1" s="389"/>
      <c r="M1" s="390" t="s">
        <v>1155</v>
      </c>
      <c r="N1" s="344" t="s">
        <v>1047</v>
      </c>
      <c r="O1" s="344"/>
      <c r="P1" s="316"/>
      <c r="Q1" s="316"/>
      <c r="R1" s="316"/>
      <c r="S1" s="316"/>
      <c r="T1" s="316"/>
      <c r="AW1" s="248"/>
      <c r="AX1" s="248"/>
    </row>
    <row r="2" spans="1:50" ht="30">
      <c r="B2" s="169"/>
      <c r="D2" s="250" t="s">
        <v>1</v>
      </c>
      <c r="E2" s="251" t="s">
        <v>0</v>
      </c>
      <c r="F2" s="251" t="s">
        <v>1049</v>
      </c>
      <c r="G2" s="252" t="s">
        <v>2</v>
      </c>
      <c r="H2" s="252" t="s">
        <v>6</v>
      </c>
      <c r="I2" s="251" t="s">
        <v>5</v>
      </c>
      <c r="J2" s="251" t="s">
        <v>1050</v>
      </c>
      <c r="K2" s="251" t="s">
        <v>1100</v>
      </c>
      <c r="M2" s="179" t="s">
        <v>969</v>
      </c>
      <c r="N2" s="179" t="s">
        <v>17</v>
      </c>
      <c r="O2" s="179" t="s">
        <v>1068</v>
      </c>
      <c r="P2" s="180" t="s">
        <v>1074</v>
      </c>
      <c r="Q2" s="179" t="s">
        <v>994</v>
      </c>
      <c r="R2" s="179" t="s">
        <v>1100</v>
      </c>
      <c r="S2" s="179" t="s">
        <v>987</v>
      </c>
      <c r="T2" s="179" t="s">
        <v>982</v>
      </c>
      <c r="AW2" s="248"/>
      <c r="AX2" s="248"/>
    </row>
    <row r="3" spans="1:50" ht="18.75">
      <c r="A3" s="143" t="s">
        <v>8</v>
      </c>
      <c r="B3" s="169"/>
      <c r="D3" s="253">
        <v>1</v>
      </c>
      <c r="E3" s="254" t="s">
        <v>1058</v>
      </c>
      <c r="F3" s="254" t="s">
        <v>1062</v>
      </c>
      <c r="G3" s="255">
        <v>6000000</v>
      </c>
      <c r="H3" s="255" t="s">
        <v>1051</v>
      </c>
      <c r="I3" s="254" t="s">
        <v>1064</v>
      </c>
      <c r="J3" s="254"/>
      <c r="K3" s="254"/>
      <c r="M3" s="181" t="s">
        <v>1076</v>
      </c>
      <c r="N3" s="181" t="s">
        <v>1079</v>
      </c>
      <c r="O3" s="181" t="s">
        <v>1069</v>
      </c>
      <c r="P3" s="182">
        <v>4000000</v>
      </c>
      <c r="Q3" s="181" t="s">
        <v>1041</v>
      </c>
      <c r="R3" s="181"/>
      <c r="S3" s="181" t="s">
        <v>1042</v>
      </c>
      <c r="T3" s="272" t="s">
        <v>1078</v>
      </c>
      <c r="AW3" s="248"/>
      <c r="AX3" s="248"/>
    </row>
    <row r="4" spans="1:50" ht="18.75">
      <c r="A4" s="144" t="s">
        <v>115</v>
      </c>
      <c r="B4" s="169"/>
      <c r="D4" s="253">
        <v>2</v>
      </c>
      <c r="E4" s="254" t="s">
        <v>1058</v>
      </c>
      <c r="F4" s="254" t="s">
        <v>1063</v>
      </c>
      <c r="G4" s="255">
        <v>6000000</v>
      </c>
      <c r="H4" s="255" t="s">
        <v>1052</v>
      </c>
      <c r="I4" s="254" t="s">
        <v>1064</v>
      </c>
      <c r="J4" s="254"/>
      <c r="K4" s="254"/>
      <c r="M4" s="181" t="s">
        <v>1076</v>
      </c>
      <c r="N4" s="181" t="s">
        <v>1079</v>
      </c>
      <c r="O4" s="181" t="s">
        <v>1069</v>
      </c>
      <c r="P4" s="182">
        <v>4000000</v>
      </c>
      <c r="Q4" s="181" t="s">
        <v>1081</v>
      </c>
      <c r="R4" s="267"/>
      <c r="S4" s="274" t="s">
        <v>123</v>
      </c>
      <c r="T4" s="273"/>
      <c r="AW4" s="248"/>
      <c r="AX4" s="248"/>
    </row>
    <row r="5" spans="1:50" ht="19.5" thickBot="1">
      <c r="A5" s="147" t="s">
        <v>1188</v>
      </c>
      <c r="B5" s="169"/>
      <c r="D5" s="253">
        <v>3</v>
      </c>
      <c r="E5" s="254" t="s">
        <v>1058</v>
      </c>
      <c r="F5" s="254" t="s">
        <v>1059</v>
      </c>
      <c r="G5" s="255">
        <v>-10000000</v>
      </c>
      <c r="H5" s="255" t="s">
        <v>1064</v>
      </c>
      <c r="I5" s="254" t="s">
        <v>1056</v>
      </c>
      <c r="J5" s="254"/>
      <c r="K5" s="254"/>
      <c r="M5" s="192" t="s">
        <v>1076</v>
      </c>
      <c r="N5" s="192" t="s">
        <v>1079</v>
      </c>
      <c r="O5" s="192" t="s">
        <v>1069</v>
      </c>
      <c r="P5" s="194">
        <v>4000000</v>
      </c>
      <c r="Q5" s="192" t="s">
        <v>1082</v>
      </c>
      <c r="R5" s="210"/>
      <c r="S5" s="184"/>
      <c r="T5" s="236"/>
      <c r="AW5" s="248"/>
      <c r="AX5" s="248"/>
    </row>
    <row r="6" spans="1:50" ht="19.5" thickBot="1">
      <c r="A6" s="394" t="s">
        <v>1189</v>
      </c>
      <c r="B6" s="169"/>
      <c r="D6" s="253">
        <v>4</v>
      </c>
      <c r="E6" s="254" t="s">
        <v>1058</v>
      </c>
      <c r="F6" s="254" t="s">
        <v>1060</v>
      </c>
      <c r="G6" s="255">
        <v>-1000000</v>
      </c>
      <c r="H6" s="255" t="s">
        <v>1064</v>
      </c>
      <c r="I6" s="254" t="s">
        <v>1055</v>
      </c>
      <c r="J6" s="254"/>
      <c r="K6" s="254"/>
      <c r="M6" s="192" t="s">
        <v>970</v>
      </c>
      <c r="N6" s="192" t="s">
        <v>1083</v>
      </c>
      <c r="O6" s="192" t="s">
        <v>1073</v>
      </c>
      <c r="P6" s="194"/>
      <c r="Q6" s="192" t="s">
        <v>996</v>
      </c>
      <c r="R6" s="192"/>
      <c r="S6" s="192" t="s">
        <v>1044</v>
      </c>
      <c r="T6" s="236"/>
      <c r="AW6" s="248"/>
      <c r="AX6" s="248"/>
    </row>
    <row r="7" spans="1:50" ht="19.5" thickBot="1">
      <c r="A7" s="396" t="s">
        <v>1190</v>
      </c>
      <c r="B7" s="169"/>
      <c r="D7" s="253">
        <v>5</v>
      </c>
      <c r="E7" s="254" t="s">
        <v>1058</v>
      </c>
      <c r="F7" s="254" t="s">
        <v>1061</v>
      </c>
      <c r="G7" s="255">
        <v>-1000000</v>
      </c>
      <c r="H7" s="255" t="s">
        <v>1064</v>
      </c>
      <c r="I7" s="254" t="s">
        <v>1056</v>
      </c>
      <c r="J7" s="254"/>
      <c r="K7" s="254"/>
      <c r="M7" s="215"/>
      <c r="N7" s="215"/>
      <c r="O7" s="215"/>
      <c r="P7" s="216"/>
      <c r="Q7" s="215"/>
      <c r="R7" s="215"/>
      <c r="S7" s="215"/>
      <c r="T7" s="215"/>
      <c r="AW7" s="248"/>
      <c r="AX7" s="248"/>
    </row>
    <row r="8" spans="1:50" ht="19.5" thickTop="1">
      <c r="A8" s="399" t="s">
        <v>1191</v>
      </c>
      <c r="B8" s="169"/>
      <c r="D8" s="253" t="s">
        <v>142</v>
      </c>
      <c r="E8" s="257"/>
      <c r="F8" s="257"/>
      <c r="G8" s="255">
        <f>SUBTOTAL(109,CommonBillTable[مبلغ (ریال)])</f>
        <v>0</v>
      </c>
      <c r="H8" s="258"/>
      <c r="I8" s="257"/>
      <c r="J8" s="257"/>
      <c r="K8" s="257"/>
      <c r="M8" s="275" t="s">
        <v>222</v>
      </c>
      <c r="N8" s="275" t="s">
        <v>1080</v>
      </c>
      <c r="O8" s="275" t="s">
        <v>1069</v>
      </c>
      <c r="P8" s="276">
        <v>-7000000</v>
      </c>
      <c r="Q8" s="275" t="s">
        <v>1022</v>
      </c>
      <c r="R8" s="275"/>
      <c r="S8" s="275"/>
      <c r="T8" s="277"/>
      <c r="AW8" s="248"/>
      <c r="AX8" s="248"/>
    </row>
    <row r="9" spans="1:50" ht="18.75">
      <c r="A9" s="397" t="s">
        <v>7</v>
      </c>
      <c r="B9" s="169"/>
      <c r="K9" s="270"/>
      <c r="M9" s="281" t="s">
        <v>971</v>
      </c>
      <c r="N9" s="281" t="s">
        <v>1060</v>
      </c>
      <c r="O9" s="274" t="s">
        <v>1072</v>
      </c>
      <c r="P9" s="282"/>
      <c r="Q9" s="181" t="s">
        <v>1022</v>
      </c>
      <c r="R9" s="281"/>
      <c r="S9" s="274"/>
      <c r="T9" s="278"/>
      <c r="AW9" s="248"/>
      <c r="AX9" s="248"/>
    </row>
    <row r="10" spans="1:50" ht="18.75">
      <c r="A10" s="398" t="s">
        <v>100</v>
      </c>
      <c r="B10" s="169"/>
      <c r="K10" s="270"/>
      <c r="M10" s="281" t="s">
        <v>971</v>
      </c>
      <c r="N10" s="281" t="s">
        <v>1084</v>
      </c>
      <c r="O10" s="274" t="s">
        <v>1072</v>
      </c>
      <c r="P10" s="282"/>
      <c r="Q10" s="181" t="s">
        <v>1022</v>
      </c>
      <c r="R10" s="281"/>
      <c r="S10" s="274"/>
      <c r="T10" s="278"/>
      <c r="AW10" s="248"/>
      <c r="AX10" s="248"/>
    </row>
    <row r="11" spans="1:50">
      <c r="B11" s="169"/>
      <c r="K11" s="270"/>
      <c r="M11" s="181" t="s">
        <v>971</v>
      </c>
      <c r="N11" s="181" t="s">
        <v>1061</v>
      </c>
      <c r="O11" s="181" t="s">
        <v>1072</v>
      </c>
      <c r="P11" s="182"/>
      <c r="Q11" s="181" t="s">
        <v>1022</v>
      </c>
      <c r="R11" s="181"/>
      <c r="S11" s="181"/>
      <c r="T11" s="183"/>
      <c r="AW11" s="248"/>
      <c r="AX11" s="248"/>
    </row>
    <row r="12" spans="1:50" ht="15.75">
      <c r="A12" s="263" t="s">
        <v>1048</v>
      </c>
      <c r="B12" s="169"/>
      <c r="K12" s="270"/>
      <c r="M12" s="267" t="s">
        <v>971</v>
      </c>
      <c r="N12" s="267" t="s">
        <v>1085</v>
      </c>
      <c r="O12" s="274" t="s">
        <v>1070</v>
      </c>
      <c r="P12" s="282"/>
      <c r="Q12" s="181" t="s">
        <v>1022</v>
      </c>
      <c r="R12" s="281"/>
      <c r="S12" s="274"/>
      <c r="T12" s="283"/>
      <c r="AW12" s="248"/>
      <c r="AX12" s="248"/>
    </row>
    <row r="13" spans="1:50" ht="16.5" thickBot="1">
      <c r="A13" s="287">
        <f>CommonBillTable[[#Totals],[مبلغ (ریال)]]</f>
        <v>0</v>
      </c>
      <c r="B13" s="169"/>
      <c r="K13" s="270"/>
      <c r="M13" s="210" t="s">
        <v>971</v>
      </c>
      <c r="N13" s="210" t="s">
        <v>1086</v>
      </c>
      <c r="O13" s="192" t="s">
        <v>1071</v>
      </c>
      <c r="P13" s="284"/>
      <c r="Q13" s="192" t="s">
        <v>1022</v>
      </c>
      <c r="R13" s="285"/>
      <c r="S13" s="192"/>
      <c r="T13" s="236"/>
      <c r="AW13" s="248"/>
      <c r="AX13" s="248"/>
    </row>
    <row r="14" spans="1:50" ht="15.75" thickBot="1">
      <c r="K14" s="270"/>
      <c r="M14" s="268" t="s">
        <v>973</v>
      </c>
      <c r="N14" s="268" t="s">
        <v>1091</v>
      </c>
      <c r="O14" s="200" t="s">
        <v>1070</v>
      </c>
      <c r="P14" s="212"/>
      <c r="Q14" s="200" t="s">
        <v>1022</v>
      </c>
      <c r="R14" s="268"/>
      <c r="S14" s="200"/>
      <c r="T14" s="286"/>
      <c r="AW14" s="248"/>
      <c r="AX14" s="248"/>
    </row>
    <row r="15" spans="1:50">
      <c r="K15" s="270"/>
      <c r="M15" s="267" t="s">
        <v>972</v>
      </c>
      <c r="N15" s="267" t="s">
        <v>1089</v>
      </c>
      <c r="O15" s="181"/>
      <c r="P15" s="280"/>
      <c r="Q15" s="279" t="s">
        <v>1040</v>
      </c>
      <c r="R15" s="279"/>
      <c r="S15" s="181"/>
      <c r="T15" s="283"/>
      <c r="AW15" s="248"/>
      <c r="AX15" s="248"/>
    </row>
    <row r="16" spans="1:50">
      <c r="K16" s="270"/>
      <c r="M16" s="267" t="s">
        <v>972</v>
      </c>
      <c r="N16" s="267" t="s">
        <v>1090</v>
      </c>
      <c r="O16" s="274"/>
      <c r="P16" s="282"/>
      <c r="Q16" s="281" t="s">
        <v>1022</v>
      </c>
      <c r="R16" s="281"/>
      <c r="S16" s="274"/>
      <c r="T16" s="283"/>
      <c r="AW16" s="248"/>
      <c r="AX16" s="248"/>
    </row>
    <row r="17" spans="1:50" ht="15.75" thickBot="1">
      <c r="K17" s="270"/>
      <c r="M17" s="230" t="s">
        <v>995</v>
      </c>
      <c r="N17" s="230" t="s">
        <v>1087</v>
      </c>
      <c r="O17" s="230" t="s">
        <v>1073</v>
      </c>
      <c r="P17" s="231"/>
      <c r="Q17" s="230" t="s">
        <v>1088</v>
      </c>
      <c r="R17" s="230"/>
      <c r="S17" s="230"/>
      <c r="T17" s="230" t="s">
        <v>123</v>
      </c>
      <c r="AW17" s="248"/>
      <c r="AX17" s="248"/>
    </row>
    <row r="18" spans="1:50" ht="15.75" thickTop="1">
      <c r="K18" s="270"/>
      <c r="M18" s="240"/>
      <c r="N18" s="239" t="s">
        <v>983</v>
      </c>
      <c r="O18" s="239"/>
      <c r="P18" s="241">
        <f>SUBTOTAL(109,CommonEnvironmentBudgetTable140010[مبلغ بودجه (ریال)])</f>
        <v>5000000</v>
      </c>
      <c r="Q18" s="239"/>
      <c r="R18" s="239"/>
      <c r="S18" s="239"/>
      <c r="T18" s="240"/>
      <c r="AW18" s="248"/>
      <c r="AX18" s="248"/>
    </row>
    <row r="19" spans="1:50">
      <c r="K19" s="270"/>
      <c r="AW19" s="248"/>
      <c r="AX19" s="248"/>
    </row>
    <row r="20" spans="1:50">
      <c r="K20" s="270"/>
      <c r="AW20" s="248"/>
      <c r="AX20" s="248"/>
    </row>
    <row r="21" spans="1:50">
      <c r="K21" s="270"/>
      <c r="AW21" s="248"/>
      <c r="AX21" s="248"/>
    </row>
    <row r="22" spans="1:50">
      <c r="K22" s="270"/>
      <c r="AW22" s="248"/>
      <c r="AX22" s="248"/>
    </row>
    <row r="23" spans="1:50">
      <c r="K23" s="270"/>
      <c r="AW23" s="248"/>
      <c r="AX23" s="248"/>
    </row>
    <row r="24" spans="1:50">
      <c r="K24" s="270"/>
      <c r="AW24" s="248"/>
      <c r="AX24" s="248"/>
    </row>
    <row r="25" spans="1:50">
      <c r="A25" s="305"/>
      <c r="K25" s="270"/>
      <c r="AW25" s="248"/>
      <c r="AX25" s="248"/>
    </row>
    <row r="26" spans="1:50">
      <c r="A26" s="305"/>
      <c r="K26" s="270"/>
      <c r="AW26" s="248"/>
      <c r="AX26" s="248"/>
    </row>
    <row r="27" spans="1:50">
      <c r="A27" s="305"/>
      <c r="K27" s="270"/>
      <c r="AW27" s="248"/>
      <c r="AX27" s="248"/>
    </row>
    <row r="28" spans="1:50">
      <c r="A28" s="305"/>
      <c r="AW28" s="248"/>
      <c r="AX28" s="248"/>
    </row>
    <row r="29" spans="1:50">
      <c r="A29" s="305"/>
      <c r="AW29" s="248"/>
      <c r="AX29" s="248"/>
    </row>
    <row r="30" spans="1:50">
      <c r="A30" s="305"/>
      <c r="AW30" s="248"/>
      <c r="AX30" s="248"/>
    </row>
    <row r="31" spans="1:50">
      <c r="AW31" s="248"/>
      <c r="AX31" s="248"/>
    </row>
    <row r="32" spans="1:50">
      <c r="AW32" s="248"/>
      <c r="AX32" s="248"/>
    </row>
    <row r="33" spans="49:50">
      <c r="AW33" s="248"/>
      <c r="AX33" s="248"/>
    </row>
    <row r="34" spans="49:50">
      <c r="AW34" s="248"/>
      <c r="AX34" s="248"/>
    </row>
    <row r="35" spans="49:50">
      <c r="AW35" s="248"/>
      <c r="AX35" s="248"/>
    </row>
    <row r="36" spans="49:50">
      <c r="AW36" s="248"/>
      <c r="AX36" s="248"/>
    </row>
    <row r="37" spans="49:50">
      <c r="AW37" s="248"/>
      <c r="AX37" s="248"/>
    </row>
    <row r="38" spans="49:50">
      <c r="AW38" s="248"/>
      <c r="AX38" s="248"/>
    </row>
    <row r="39" spans="49:50">
      <c r="AW39" s="248"/>
      <c r="AX39" s="248"/>
    </row>
    <row r="40" spans="49:50">
      <c r="AW40" s="248"/>
      <c r="AX40" s="248"/>
    </row>
    <row r="41" spans="49:50">
      <c r="AW41" s="248"/>
      <c r="AX41" s="248"/>
    </row>
    <row r="42" spans="49:50">
      <c r="AW42" s="248"/>
      <c r="AX42" s="248"/>
    </row>
    <row r="43" spans="49:50">
      <c r="AW43" s="248"/>
      <c r="AX43" s="248"/>
    </row>
    <row r="44" spans="49:50">
      <c r="AW44" s="248"/>
      <c r="AX44" s="248"/>
    </row>
    <row r="45" spans="49:50">
      <c r="AW45" s="248"/>
      <c r="AX45" s="248"/>
    </row>
    <row r="46" spans="49:50">
      <c r="AW46" s="248"/>
      <c r="AX46" s="248"/>
    </row>
    <row r="47" spans="49:50">
      <c r="AW47" s="248"/>
      <c r="AX47" s="248"/>
    </row>
    <row r="48" spans="49:50">
      <c r="AW48" s="248"/>
      <c r="AX48" s="248"/>
    </row>
    <row r="49" spans="1:50">
      <c r="AW49" s="248"/>
      <c r="AX49" s="248"/>
    </row>
    <row r="50" spans="1:50">
      <c r="AW50" s="248"/>
      <c r="AX50" s="248"/>
    </row>
    <row r="51" spans="1:50">
      <c r="AW51" s="248"/>
      <c r="AX51" s="248"/>
    </row>
    <row r="52" spans="1:50">
      <c r="AW52" s="248"/>
      <c r="AX52" s="248"/>
    </row>
    <row r="53" spans="1:50">
      <c r="AW53" s="248"/>
      <c r="AX53" s="248"/>
    </row>
    <row r="54" spans="1:50">
      <c r="AW54" s="248"/>
      <c r="AX54" s="248"/>
    </row>
    <row r="55" spans="1:50">
      <c r="AW55" s="248"/>
      <c r="AX55" s="248"/>
    </row>
    <row r="56" spans="1:50">
      <c r="AW56" s="248"/>
      <c r="AX56" s="248"/>
    </row>
    <row r="57" spans="1:50">
      <c r="A57" s="262"/>
      <c r="AW57" s="248"/>
      <c r="AX57" s="248"/>
    </row>
    <row r="58" spans="1:50">
      <c r="A58" s="262"/>
      <c r="AW58" s="248"/>
      <c r="AX58" s="248"/>
    </row>
    <row r="59" spans="1:50">
      <c r="A59" s="262"/>
      <c r="AW59" s="248"/>
      <c r="AX59" s="248"/>
    </row>
    <row r="60" spans="1:50">
      <c r="A60" s="262"/>
      <c r="AW60" s="248"/>
      <c r="AX60" s="248"/>
    </row>
    <row r="61" spans="1:50">
      <c r="A61" s="262"/>
      <c r="AW61" s="248"/>
      <c r="AX61" s="248"/>
    </row>
    <row r="62" spans="1:50">
      <c r="A62" s="262"/>
      <c r="AW62" s="248"/>
      <c r="AX62" s="248"/>
    </row>
    <row r="63" spans="1:50">
      <c r="A63" s="262"/>
      <c r="AW63" s="248"/>
      <c r="AX63" s="248"/>
    </row>
    <row r="64" spans="1:50">
      <c r="A64" s="262"/>
      <c r="AW64" s="248"/>
      <c r="AX64" s="248"/>
    </row>
    <row r="65" spans="1:50">
      <c r="A65" s="262"/>
      <c r="AW65" s="248"/>
      <c r="AX65" s="248"/>
    </row>
    <row r="66" spans="1:50">
      <c r="A66" s="262"/>
      <c r="AW66" s="248"/>
      <c r="AX66" s="248"/>
    </row>
    <row r="67" spans="1:50">
      <c r="A67" s="262"/>
      <c r="AW67" s="248"/>
      <c r="AX67" s="248"/>
    </row>
    <row r="68" spans="1:50">
      <c r="A68" s="262"/>
      <c r="AW68" s="248"/>
      <c r="AX68" s="248"/>
    </row>
    <row r="69" spans="1:50">
      <c r="A69" s="262"/>
      <c r="AW69" s="248"/>
      <c r="AX69" s="248"/>
    </row>
    <row r="70" spans="1:50">
      <c r="A70" s="262"/>
      <c r="AW70" s="248"/>
      <c r="AX70" s="248"/>
    </row>
    <row r="71" spans="1:50">
      <c r="A71" s="262"/>
      <c r="AW71" s="248"/>
      <c r="AX71" s="248"/>
    </row>
    <row r="72" spans="1:50">
      <c r="A72" s="262"/>
      <c r="AW72" s="248"/>
      <c r="AX72" s="248"/>
    </row>
    <row r="73" spans="1:50">
      <c r="A73" s="262"/>
      <c r="AW73" s="248"/>
      <c r="AX73" s="248"/>
    </row>
    <row r="74" spans="1:50">
      <c r="A74" s="262"/>
      <c r="AW74" s="248"/>
      <c r="AX74" s="248"/>
    </row>
    <row r="75" spans="1:50">
      <c r="A75" s="262"/>
      <c r="AW75" s="248"/>
      <c r="AX75" s="248"/>
    </row>
    <row r="76" spans="1:50">
      <c r="A76" s="262"/>
      <c r="AW76" s="248"/>
      <c r="AX76" s="248"/>
    </row>
    <row r="77" spans="1:50">
      <c r="A77" s="262"/>
      <c r="AW77" s="248"/>
      <c r="AX77" s="248"/>
    </row>
    <row r="78" spans="1:50">
      <c r="A78" s="262"/>
      <c r="AW78" s="248"/>
      <c r="AX78" s="248"/>
    </row>
    <row r="79" spans="1:50">
      <c r="A79" s="262"/>
      <c r="AW79" s="248"/>
      <c r="AX79" s="248"/>
    </row>
    <row r="80" spans="1:50">
      <c r="A80" s="262"/>
      <c r="AW80" s="248"/>
      <c r="AX80" s="248"/>
    </row>
    <row r="81" spans="1:50">
      <c r="A81" s="262"/>
      <c r="AW81" s="248"/>
      <c r="AX81" s="248"/>
    </row>
    <row r="82" spans="1:50">
      <c r="A82" s="262"/>
      <c r="AW82" s="248"/>
      <c r="AX82" s="248"/>
    </row>
    <row r="83" spans="1:50">
      <c r="A83" s="262"/>
      <c r="AW83" s="248"/>
      <c r="AX83" s="248"/>
    </row>
    <row r="84" spans="1:50">
      <c r="A84" s="262"/>
      <c r="AW84" s="248"/>
      <c r="AX84" s="248"/>
    </row>
    <row r="85" spans="1:50">
      <c r="A85" s="262" t="s">
        <v>123</v>
      </c>
      <c r="AW85" s="248"/>
      <c r="AX85" s="248"/>
    </row>
    <row r="86" spans="1:50">
      <c r="AW86" s="248"/>
      <c r="AX86" s="248"/>
    </row>
    <row r="87" spans="1:50">
      <c r="AW87" s="248"/>
      <c r="AX87" s="248"/>
    </row>
    <row r="88" spans="1:50">
      <c r="AW88" s="248"/>
      <c r="AX88" s="248"/>
    </row>
    <row r="89" spans="1:50">
      <c r="AW89" s="248"/>
      <c r="AX89" s="248"/>
    </row>
    <row r="90" spans="1:50">
      <c r="AW90" s="248"/>
      <c r="AX90" s="248"/>
    </row>
    <row r="91" spans="1:50">
      <c r="AW91" s="248"/>
      <c r="AX91" s="248"/>
    </row>
    <row r="92" spans="1:50">
      <c r="AW92" s="248"/>
      <c r="AX92" s="248"/>
    </row>
    <row r="93" spans="1:50">
      <c r="AW93" s="248"/>
      <c r="AX93" s="248"/>
    </row>
    <row r="94" spans="1:50">
      <c r="AW94" s="248"/>
      <c r="AX94" s="248"/>
    </row>
    <row r="95" spans="1:50">
      <c r="AW95" s="248"/>
      <c r="AX95" s="248"/>
    </row>
    <row r="96" spans="1:50">
      <c r="AW96" s="248"/>
      <c r="AX96" s="248"/>
    </row>
    <row r="97" spans="49:50">
      <c r="AW97" s="248"/>
      <c r="AX97" s="248"/>
    </row>
    <row r="98" spans="49:50">
      <c r="AW98" s="248"/>
      <c r="AX98" s="248"/>
    </row>
    <row r="99" spans="49:50">
      <c r="AW99" s="248"/>
      <c r="AX99" s="248"/>
    </row>
    <row r="100" spans="49:50">
      <c r="AW100" s="248"/>
      <c r="AX100" s="248"/>
    </row>
    <row r="101" spans="49:50">
      <c r="AW101" s="248"/>
      <c r="AX101" s="248"/>
    </row>
    <row r="102" spans="49:50">
      <c r="AW102" s="248"/>
      <c r="AX102" s="248"/>
    </row>
    <row r="103" spans="49:50">
      <c r="AW103" s="248"/>
      <c r="AX103" s="248"/>
    </row>
    <row r="104" spans="49:50">
      <c r="AW104" s="248"/>
      <c r="AX104" s="248"/>
    </row>
    <row r="105" spans="49:50">
      <c r="AW105" s="248"/>
      <c r="AX105" s="248"/>
    </row>
    <row r="106" spans="49:50">
      <c r="AW106" s="248"/>
      <c r="AX106" s="248"/>
    </row>
    <row r="107" spans="49:50">
      <c r="AW107" s="248"/>
      <c r="AX107" s="248"/>
    </row>
    <row r="108" spans="49:50">
      <c r="AW108" s="248"/>
      <c r="AX108" s="248"/>
    </row>
    <row r="109" spans="49:50">
      <c r="AW109" s="248"/>
      <c r="AX109" s="248"/>
    </row>
    <row r="110" spans="49:50">
      <c r="AW110" s="248"/>
      <c r="AX110" s="248"/>
    </row>
    <row r="111" spans="49:50">
      <c r="AW111" s="248"/>
      <c r="AX111" s="248"/>
    </row>
    <row r="112" spans="49:50">
      <c r="AW112" s="248"/>
      <c r="AX112" s="248"/>
    </row>
    <row r="113" spans="49:50">
      <c r="AW113" s="248"/>
      <c r="AX113" s="248"/>
    </row>
    <row r="114" spans="49:50">
      <c r="AW114" s="248"/>
      <c r="AX114" s="248"/>
    </row>
    <row r="115" spans="49:50">
      <c r="AW115" s="248"/>
      <c r="AX115" s="248"/>
    </row>
    <row r="116" spans="49:50">
      <c r="AW116" s="248"/>
      <c r="AX116" s="248"/>
    </row>
    <row r="117" spans="49:50">
      <c r="AW117" s="248"/>
      <c r="AX117" s="248"/>
    </row>
    <row r="118" spans="49:50">
      <c r="AW118" s="248"/>
      <c r="AX118" s="248"/>
    </row>
    <row r="119" spans="49:50">
      <c r="AW119" s="248"/>
      <c r="AX119" s="248"/>
    </row>
    <row r="120" spans="49:50">
      <c r="AW120" s="248"/>
      <c r="AX120" s="248"/>
    </row>
    <row r="121" spans="49:50">
      <c r="AW121" s="248"/>
      <c r="AX121" s="248"/>
    </row>
    <row r="122" spans="49:50">
      <c r="AW122" s="248"/>
      <c r="AX122" s="248"/>
    </row>
    <row r="123" spans="49:50">
      <c r="AW123" s="248"/>
      <c r="AX123" s="248"/>
    </row>
    <row r="124" spans="49:50">
      <c r="AW124" s="248"/>
      <c r="AX124" s="248"/>
    </row>
    <row r="125" spans="49:50">
      <c r="AW125" s="248"/>
      <c r="AX125" s="248"/>
    </row>
    <row r="126" spans="49:50">
      <c r="AW126" s="248"/>
      <c r="AX126" s="248"/>
    </row>
    <row r="127" spans="49:50">
      <c r="AW127" s="248"/>
      <c r="AX127" s="248"/>
    </row>
    <row r="128" spans="49:50">
      <c r="AW128" s="248"/>
      <c r="AX128" s="248"/>
    </row>
    <row r="129" spans="49:50">
      <c r="AW129" s="248"/>
      <c r="AX129" s="248"/>
    </row>
    <row r="130" spans="49:50">
      <c r="AW130" s="248"/>
      <c r="AX130" s="248"/>
    </row>
    <row r="131" spans="49:50">
      <c r="AW131" s="248"/>
      <c r="AX131" s="248"/>
    </row>
    <row r="132" spans="49:50">
      <c r="AW132" s="248"/>
      <c r="AX132" s="248"/>
    </row>
    <row r="133" spans="49:50">
      <c r="AW133" s="248"/>
      <c r="AX133" s="248"/>
    </row>
    <row r="134" spans="49:50">
      <c r="AW134" s="248"/>
      <c r="AX134" s="248"/>
    </row>
    <row r="135" spans="49:50">
      <c r="AW135" s="248"/>
      <c r="AX135" s="248"/>
    </row>
    <row r="136" spans="49:50">
      <c r="AW136" s="248"/>
      <c r="AX136" s="248"/>
    </row>
    <row r="137" spans="49:50">
      <c r="AW137" s="248"/>
      <c r="AX137" s="248"/>
    </row>
    <row r="138" spans="49:50">
      <c r="AW138" s="248"/>
      <c r="AX138" s="248"/>
    </row>
    <row r="139" spans="49:50">
      <c r="AW139" s="248"/>
      <c r="AX139" s="248"/>
    </row>
    <row r="140" spans="49:50">
      <c r="AW140" s="248"/>
      <c r="AX140" s="248"/>
    </row>
    <row r="141" spans="49:50">
      <c r="AW141" s="248"/>
      <c r="AX141" s="248"/>
    </row>
    <row r="142" spans="49:50">
      <c r="AW142" s="248"/>
      <c r="AX142" s="248"/>
    </row>
    <row r="143" spans="49:50">
      <c r="AW143" s="248"/>
      <c r="AX143" s="248"/>
    </row>
    <row r="144" spans="49:50">
      <c r="AW144" s="248"/>
      <c r="AX144" s="248"/>
    </row>
    <row r="145" spans="49:50">
      <c r="AW145" s="248"/>
      <c r="AX145" s="248"/>
    </row>
    <row r="146" spans="49:50">
      <c r="AW146" s="248"/>
      <c r="AX146" s="248"/>
    </row>
    <row r="147" spans="49:50">
      <c r="AW147" s="248"/>
      <c r="AX147" s="248"/>
    </row>
    <row r="148" spans="49:50">
      <c r="AW148" s="248"/>
      <c r="AX148" s="248"/>
    </row>
    <row r="149" spans="49:50">
      <c r="AW149" s="248"/>
      <c r="AX149" s="248"/>
    </row>
    <row r="150" spans="49:50">
      <c r="AW150" s="248"/>
      <c r="AX150" s="248"/>
    </row>
    <row r="151" spans="49:50">
      <c r="AW151" s="248"/>
      <c r="AX151" s="248"/>
    </row>
    <row r="152" spans="49:50">
      <c r="AW152" s="248"/>
      <c r="AX152" s="248"/>
    </row>
    <row r="153" spans="49:50">
      <c r="AW153" s="248"/>
      <c r="AX153" s="248"/>
    </row>
    <row r="154" spans="49:50">
      <c r="AW154" s="248"/>
      <c r="AX154" s="248"/>
    </row>
    <row r="155" spans="49:50">
      <c r="AW155" s="248"/>
      <c r="AX155" s="248"/>
    </row>
    <row r="156" spans="49:50">
      <c r="AW156" s="248"/>
      <c r="AX156" s="248"/>
    </row>
    <row r="157" spans="49:50">
      <c r="AW157" s="248"/>
      <c r="AX157" s="248"/>
    </row>
    <row r="158" spans="49:50">
      <c r="AW158" s="248"/>
      <c r="AX158" s="248"/>
    </row>
    <row r="159" spans="49:50">
      <c r="AW159" s="248"/>
      <c r="AX159" s="248"/>
    </row>
    <row r="160" spans="49:50">
      <c r="AW160" s="248"/>
      <c r="AX160" s="248"/>
    </row>
    <row r="161" spans="49:50">
      <c r="AW161" s="248"/>
      <c r="AX161" s="248"/>
    </row>
    <row r="162" spans="49:50">
      <c r="AW162" s="248"/>
      <c r="AX162" s="248"/>
    </row>
    <row r="163" spans="49:50">
      <c r="AW163" s="248"/>
      <c r="AX163" s="248"/>
    </row>
    <row r="164" spans="49:50">
      <c r="AW164" s="248"/>
      <c r="AX164" s="248"/>
    </row>
    <row r="165" spans="49:50">
      <c r="AW165" s="248"/>
      <c r="AX165" s="248"/>
    </row>
    <row r="166" spans="49:50">
      <c r="AW166" s="248"/>
      <c r="AX166" s="248"/>
    </row>
    <row r="167" spans="49:50">
      <c r="AW167" s="248"/>
      <c r="AX167" s="248"/>
    </row>
    <row r="168" spans="49:50">
      <c r="AW168" s="248"/>
      <c r="AX168" s="248"/>
    </row>
    <row r="169" spans="49:50">
      <c r="AW169" s="248"/>
      <c r="AX169" s="248"/>
    </row>
    <row r="170" spans="49:50">
      <c r="AW170" s="248"/>
      <c r="AX170" s="248"/>
    </row>
    <row r="171" spans="49:50">
      <c r="AW171" s="248"/>
      <c r="AX171" s="248"/>
    </row>
    <row r="172" spans="49:50">
      <c r="AW172" s="248"/>
      <c r="AX172" s="248"/>
    </row>
    <row r="173" spans="49:50">
      <c r="AW173" s="248"/>
      <c r="AX173" s="248"/>
    </row>
    <row r="174" spans="49:50">
      <c r="AW174" s="248"/>
      <c r="AX174" s="248"/>
    </row>
    <row r="175" spans="49:50">
      <c r="AW175" s="248"/>
      <c r="AX175" s="248"/>
    </row>
    <row r="176" spans="49:50">
      <c r="AW176" s="248"/>
      <c r="AX176" s="248"/>
    </row>
    <row r="177" spans="49:50">
      <c r="AW177" s="248"/>
      <c r="AX177" s="248"/>
    </row>
    <row r="178" spans="49:50">
      <c r="AW178" s="248"/>
      <c r="AX178" s="248"/>
    </row>
    <row r="179" spans="49:50">
      <c r="AW179" s="248"/>
      <c r="AX179" s="248"/>
    </row>
    <row r="180" spans="49:50">
      <c r="AW180" s="248"/>
      <c r="AX180" s="248"/>
    </row>
    <row r="181" spans="49:50">
      <c r="AW181" s="248"/>
      <c r="AX181" s="248"/>
    </row>
    <row r="182" spans="49:50">
      <c r="AW182" s="248"/>
      <c r="AX182" s="248"/>
    </row>
    <row r="183" spans="49:50">
      <c r="AW183" s="248"/>
      <c r="AX183" s="248"/>
    </row>
    <row r="184" spans="49:50">
      <c r="AW184" s="248"/>
      <c r="AX184" s="248"/>
    </row>
    <row r="185" spans="49:50">
      <c r="AW185" s="248"/>
      <c r="AX185" s="248"/>
    </row>
    <row r="186" spans="49:50">
      <c r="AW186" s="248"/>
      <c r="AX186" s="248"/>
    </row>
    <row r="187" spans="49:50">
      <c r="AW187" s="248"/>
      <c r="AX187" s="248"/>
    </row>
    <row r="188" spans="49:50">
      <c r="AW188" s="248"/>
      <c r="AX188" s="248"/>
    </row>
    <row r="189" spans="49:50">
      <c r="AW189" s="248"/>
      <c r="AX189" s="248"/>
    </row>
    <row r="190" spans="49:50">
      <c r="AW190" s="248"/>
      <c r="AX190" s="248"/>
    </row>
    <row r="191" spans="49:50">
      <c r="AW191" s="248"/>
      <c r="AX191" s="248"/>
    </row>
    <row r="192" spans="49:50">
      <c r="AW192" s="248"/>
      <c r="AX192" s="248"/>
    </row>
    <row r="193" spans="49:50">
      <c r="AW193" s="248"/>
      <c r="AX193" s="248"/>
    </row>
    <row r="194" spans="49:50">
      <c r="AW194" s="248"/>
      <c r="AX194" s="248"/>
    </row>
    <row r="195" spans="49:50">
      <c r="AW195" s="248"/>
      <c r="AX195" s="248"/>
    </row>
    <row r="196" spans="49:50">
      <c r="AW196" s="248"/>
      <c r="AX196" s="248"/>
    </row>
    <row r="197" spans="49:50">
      <c r="AW197" s="248"/>
      <c r="AX197" s="248"/>
    </row>
    <row r="198" spans="49:50">
      <c r="AW198" s="248"/>
      <c r="AX198" s="248"/>
    </row>
    <row r="199" spans="49:50">
      <c r="AW199" s="248"/>
      <c r="AX199" s="248"/>
    </row>
    <row r="200" spans="49:50">
      <c r="AW200" s="248"/>
      <c r="AX200" s="248"/>
    </row>
    <row r="201" spans="49:50">
      <c r="AW201" s="248"/>
      <c r="AX201" s="248"/>
    </row>
    <row r="202" spans="49:50">
      <c r="AW202" s="248"/>
      <c r="AX202" s="248"/>
    </row>
    <row r="203" spans="49:50">
      <c r="AW203" s="248"/>
      <c r="AX203" s="248"/>
    </row>
    <row r="204" spans="49:50">
      <c r="AW204" s="248"/>
      <c r="AX204" s="248"/>
    </row>
    <row r="205" spans="49:50">
      <c r="AW205" s="248"/>
      <c r="AX205" s="248"/>
    </row>
    <row r="206" spans="49:50">
      <c r="AW206" s="248"/>
      <c r="AX206" s="248"/>
    </row>
    <row r="207" spans="49:50">
      <c r="AW207" s="248"/>
      <c r="AX207" s="248"/>
    </row>
    <row r="208" spans="49:50">
      <c r="AW208" s="248"/>
      <c r="AX208" s="248"/>
    </row>
    <row r="209" spans="49:50">
      <c r="AW209" s="248"/>
      <c r="AX209" s="248"/>
    </row>
    <row r="210" spans="49:50">
      <c r="AW210" s="248"/>
      <c r="AX210" s="248"/>
    </row>
    <row r="211" spans="49:50">
      <c r="AW211" s="248"/>
      <c r="AX211" s="248"/>
    </row>
    <row r="212" spans="49:50">
      <c r="AW212" s="248"/>
      <c r="AX212" s="248"/>
    </row>
    <row r="213" spans="49:50">
      <c r="AW213" s="248"/>
      <c r="AX213" s="248"/>
    </row>
    <row r="214" spans="49:50">
      <c r="AW214" s="248"/>
      <c r="AX214" s="248"/>
    </row>
    <row r="215" spans="49:50">
      <c r="AW215" s="248"/>
      <c r="AX215" s="248"/>
    </row>
    <row r="216" spans="49:50">
      <c r="AW216" s="248"/>
      <c r="AX216" s="248"/>
    </row>
    <row r="217" spans="49:50">
      <c r="AW217" s="248"/>
      <c r="AX217" s="248"/>
    </row>
    <row r="218" spans="49:50">
      <c r="AW218" s="248"/>
      <c r="AX218" s="248"/>
    </row>
    <row r="219" spans="49:50">
      <c r="AW219" s="248"/>
      <c r="AX219" s="248"/>
    </row>
    <row r="220" spans="49:50">
      <c r="AW220" s="248"/>
      <c r="AX220" s="248"/>
    </row>
    <row r="221" spans="49:50">
      <c r="AW221" s="248"/>
      <c r="AX221" s="248"/>
    </row>
    <row r="222" spans="49:50">
      <c r="AW222" s="248"/>
      <c r="AX222" s="248"/>
    </row>
    <row r="223" spans="49:50">
      <c r="AW223" s="248"/>
      <c r="AX223" s="248"/>
    </row>
    <row r="224" spans="49:50">
      <c r="AW224" s="248"/>
      <c r="AX224" s="248"/>
    </row>
    <row r="225" spans="49:50">
      <c r="AW225" s="248"/>
      <c r="AX225" s="248"/>
    </row>
    <row r="226" spans="49:50">
      <c r="AW226" s="248"/>
      <c r="AX226" s="248"/>
    </row>
    <row r="227" spans="49:50">
      <c r="AW227" s="248"/>
      <c r="AX227" s="248"/>
    </row>
    <row r="228" spans="49:50">
      <c r="AW228" s="248"/>
      <c r="AX228" s="248"/>
    </row>
    <row r="229" spans="49:50">
      <c r="AW229" s="248"/>
      <c r="AX229" s="248"/>
    </row>
    <row r="230" spans="49:50">
      <c r="AW230" s="248"/>
      <c r="AX230" s="248"/>
    </row>
    <row r="231" spans="49:50">
      <c r="AW231" s="248"/>
      <c r="AX231" s="248"/>
    </row>
    <row r="232" spans="49:50">
      <c r="AW232" s="248"/>
      <c r="AX232" s="248"/>
    </row>
    <row r="233" spans="49:50">
      <c r="AW233" s="248"/>
      <c r="AX233" s="248"/>
    </row>
    <row r="234" spans="49:50">
      <c r="AW234" s="248"/>
      <c r="AX234" s="248"/>
    </row>
    <row r="235" spans="49:50">
      <c r="AW235" s="248"/>
      <c r="AX235" s="248"/>
    </row>
    <row r="236" spans="49:50">
      <c r="AW236" s="248"/>
      <c r="AX236" s="248"/>
    </row>
    <row r="237" spans="49:50">
      <c r="AW237" s="248"/>
      <c r="AX237" s="248"/>
    </row>
    <row r="238" spans="49:50">
      <c r="AW238" s="248"/>
      <c r="AX238" s="248"/>
    </row>
    <row r="239" spans="49:50">
      <c r="AW239" s="248"/>
      <c r="AX239" s="248"/>
    </row>
    <row r="240" spans="49:50">
      <c r="AW240" s="248"/>
      <c r="AX240" s="248"/>
    </row>
    <row r="241" spans="49:50">
      <c r="AW241" s="248"/>
      <c r="AX241" s="248"/>
    </row>
    <row r="242" spans="49:50">
      <c r="AW242" s="248"/>
      <c r="AX242" s="248"/>
    </row>
    <row r="243" spans="49:50">
      <c r="AW243" s="248"/>
      <c r="AX243" s="248"/>
    </row>
    <row r="244" spans="49:50">
      <c r="AW244" s="248"/>
      <c r="AX244" s="248"/>
    </row>
    <row r="245" spans="49:50">
      <c r="AW245" s="248"/>
      <c r="AX245" s="248"/>
    </row>
    <row r="246" spans="49:50">
      <c r="AW246" s="248"/>
      <c r="AX246" s="248"/>
    </row>
    <row r="247" spans="49:50">
      <c r="AW247" s="248"/>
      <c r="AX247" s="248"/>
    </row>
    <row r="248" spans="49:50">
      <c r="AW248" s="248"/>
      <c r="AX248" s="248"/>
    </row>
    <row r="249" spans="49:50">
      <c r="AW249" s="248"/>
      <c r="AX249" s="248"/>
    </row>
    <row r="250" spans="49:50">
      <c r="AW250" s="248"/>
      <c r="AX250" s="248"/>
    </row>
    <row r="251" spans="49:50">
      <c r="AW251" s="248"/>
      <c r="AX251" s="248"/>
    </row>
    <row r="252" spans="49:50">
      <c r="AW252" s="248"/>
      <c r="AX252" s="248"/>
    </row>
    <row r="253" spans="49:50">
      <c r="AW253" s="248"/>
      <c r="AX253" s="248"/>
    </row>
    <row r="254" spans="49:50">
      <c r="AW254" s="248"/>
      <c r="AX254" s="248"/>
    </row>
    <row r="255" spans="49:50">
      <c r="AW255" s="248"/>
      <c r="AX255" s="248"/>
    </row>
    <row r="256" spans="49:50">
      <c r="AW256" s="248"/>
      <c r="AX256" s="248"/>
    </row>
    <row r="257" spans="49:50">
      <c r="AW257" s="248"/>
      <c r="AX257" s="248"/>
    </row>
    <row r="258" spans="49:50">
      <c r="AW258" s="248"/>
      <c r="AX258" s="248"/>
    </row>
    <row r="259" spans="49:50">
      <c r="AW259" s="248"/>
      <c r="AX259" s="248"/>
    </row>
    <row r="260" spans="49:50">
      <c r="AW260" s="248"/>
      <c r="AX260" s="248"/>
    </row>
    <row r="261" spans="49:50">
      <c r="AW261" s="248"/>
      <c r="AX261" s="248"/>
    </row>
    <row r="262" spans="49:50">
      <c r="AW262" s="248"/>
      <c r="AX262" s="248"/>
    </row>
    <row r="263" spans="49:50">
      <c r="AW263" s="248"/>
      <c r="AX263" s="248"/>
    </row>
    <row r="264" spans="49:50">
      <c r="AW264" s="248"/>
      <c r="AX264" s="248"/>
    </row>
    <row r="265" spans="49:50">
      <c r="AW265" s="248"/>
      <c r="AX265" s="248"/>
    </row>
    <row r="266" spans="49:50">
      <c r="AW266" s="248"/>
      <c r="AX266" s="248"/>
    </row>
    <row r="267" spans="49:50">
      <c r="AW267" s="248"/>
      <c r="AX267" s="248"/>
    </row>
    <row r="268" spans="49:50">
      <c r="AW268" s="248"/>
      <c r="AX268" s="248"/>
    </row>
    <row r="269" spans="49:50">
      <c r="AW269" s="248"/>
      <c r="AX269" s="248"/>
    </row>
    <row r="270" spans="49:50">
      <c r="AW270" s="248"/>
      <c r="AX270" s="248"/>
    </row>
    <row r="271" spans="49:50">
      <c r="AW271" s="248"/>
      <c r="AX271" s="248"/>
    </row>
    <row r="272" spans="49:50">
      <c r="AW272" s="248"/>
      <c r="AX272" s="248"/>
    </row>
    <row r="273" spans="49:50">
      <c r="AW273" s="248"/>
      <c r="AX273" s="248"/>
    </row>
    <row r="274" spans="49:50">
      <c r="AW274" s="248"/>
      <c r="AX274" s="248"/>
    </row>
    <row r="275" spans="49:50">
      <c r="AW275" s="248"/>
      <c r="AX275" s="248"/>
    </row>
    <row r="276" spans="49:50">
      <c r="AW276" s="248"/>
      <c r="AX276" s="248"/>
    </row>
    <row r="277" spans="49:50">
      <c r="AW277" s="248"/>
      <c r="AX277" s="248"/>
    </row>
    <row r="278" spans="49:50">
      <c r="AW278" s="248"/>
      <c r="AX278" s="248"/>
    </row>
    <row r="279" spans="49:50">
      <c r="AW279" s="248"/>
      <c r="AX279" s="248"/>
    </row>
    <row r="280" spans="49:50">
      <c r="AW280" s="248"/>
      <c r="AX280" s="248"/>
    </row>
    <row r="281" spans="49:50">
      <c r="AW281" s="248"/>
      <c r="AX281" s="248"/>
    </row>
    <row r="282" spans="49:50">
      <c r="AW282" s="248"/>
      <c r="AX282" s="248"/>
    </row>
    <row r="283" spans="49:50">
      <c r="AW283" s="248"/>
      <c r="AX283" s="248"/>
    </row>
    <row r="284" spans="49:50">
      <c r="AW284" s="248"/>
      <c r="AX284" s="248"/>
    </row>
    <row r="285" spans="49:50">
      <c r="AW285" s="248"/>
      <c r="AX285" s="248"/>
    </row>
    <row r="286" spans="49:50">
      <c r="AW286" s="248"/>
      <c r="AX286" s="248"/>
    </row>
    <row r="287" spans="49:50">
      <c r="AW287" s="248"/>
      <c r="AX287" s="248"/>
    </row>
    <row r="288" spans="49:50">
      <c r="AW288" s="248"/>
      <c r="AX288" s="248"/>
    </row>
    <row r="289" spans="49:50">
      <c r="AW289" s="248"/>
      <c r="AX289" s="248"/>
    </row>
    <row r="290" spans="49:50">
      <c r="AW290" s="248"/>
      <c r="AX290" s="248"/>
    </row>
    <row r="291" spans="49:50">
      <c r="AW291" s="248"/>
      <c r="AX291" s="248"/>
    </row>
    <row r="292" spans="49:50">
      <c r="AW292" s="248"/>
      <c r="AX292" s="248"/>
    </row>
    <row r="293" spans="49:50">
      <c r="AW293" s="248"/>
      <c r="AX293" s="248"/>
    </row>
    <row r="294" spans="49:50">
      <c r="AW294" s="248"/>
      <c r="AX294" s="248"/>
    </row>
    <row r="295" spans="49:50">
      <c r="AW295" s="248"/>
      <c r="AX295" s="248"/>
    </row>
    <row r="296" spans="49:50">
      <c r="AW296" s="248"/>
      <c r="AX296" s="248"/>
    </row>
    <row r="297" spans="49:50">
      <c r="AW297" s="248"/>
      <c r="AX297" s="248"/>
    </row>
    <row r="298" spans="49:50">
      <c r="AW298" s="248"/>
      <c r="AX298" s="248"/>
    </row>
    <row r="299" spans="49:50">
      <c r="AW299" s="248"/>
      <c r="AX299" s="248"/>
    </row>
    <row r="300" spans="49:50">
      <c r="AW300" s="248"/>
      <c r="AX300" s="248"/>
    </row>
    <row r="301" spans="49:50">
      <c r="AW301" s="248"/>
      <c r="AX301" s="248"/>
    </row>
    <row r="302" spans="49:50">
      <c r="AW302" s="248"/>
      <c r="AX302" s="248"/>
    </row>
    <row r="303" spans="49:50">
      <c r="AW303" s="248"/>
      <c r="AX303" s="248"/>
    </row>
    <row r="304" spans="49:50">
      <c r="AW304" s="248"/>
      <c r="AX304" s="248"/>
    </row>
    <row r="305" spans="49:50">
      <c r="AW305" s="248"/>
      <c r="AX305" s="248"/>
    </row>
    <row r="306" spans="49:50">
      <c r="AW306" s="248"/>
      <c r="AX306" s="248"/>
    </row>
    <row r="307" spans="49:50">
      <c r="AW307" s="248"/>
      <c r="AX307" s="248"/>
    </row>
    <row r="308" spans="49:50">
      <c r="AW308" s="248"/>
      <c r="AX308" s="248"/>
    </row>
    <row r="309" spans="49:50">
      <c r="AW309" s="248"/>
      <c r="AX309" s="248"/>
    </row>
    <row r="310" spans="49:50">
      <c r="AW310" s="248"/>
      <c r="AX310" s="248"/>
    </row>
    <row r="311" spans="49:50">
      <c r="AW311" s="248"/>
      <c r="AX311" s="248"/>
    </row>
    <row r="312" spans="49:50">
      <c r="AW312" s="248"/>
      <c r="AX312" s="248"/>
    </row>
    <row r="313" spans="49:50">
      <c r="AW313" s="248"/>
      <c r="AX313" s="248"/>
    </row>
    <row r="314" spans="49:50">
      <c r="AW314" s="248"/>
      <c r="AX314" s="248"/>
    </row>
    <row r="315" spans="49:50">
      <c r="AW315" s="248"/>
      <c r="AX315" s="248"/>
    </row>
    <row r="316" spans="49:50">
      <c r="AW316" s="248"/>
      <c r="AX316" s="248"/>
    </row>
    <row r="317" spans="49:50">
      <c r="AW317" s="248"/>
      <c r="AX317" s="248"/>
    </row>
    <row r="318" spans="49:50">
      <c r="AW318" s="248"/>
      <c r="AX318" s="248"/>
    </row>
    <row r="319" spans="49:50">
      <c r="AW319" s="248"/>
      <c r="AX319" s="248"/>
    </row>
    <row r="320" spans="49:50">
      <c r="AW320" s="248"/>
      <c r="AX320" s="248"/>
    </row>
    <row r="321" spans="49:50">
      <c r="AW321" s="248"/>
      <c r="AX321" s="248"/>
    </row>
    <row r="322" spans="49:50">
      <c r="AW322" s="248"/>
      <c r="AX322" s="248"/>
    </row>
    <row r="323" spans="49:50">
      <c r="AW323" s="248"/>
      <c r="AX323" s="248"/>
    </row>
    <row r="324" spans="49:50">
      <c r="AW324" s="248"/>
      <c r="AX324" s="248"/>
    </row>
    <row r="325" spans="49:50">
      <c r="AW325" s="248"/>
      <c r="AX325" s="248"/>
    </row>
    <row r="326" spans="49:50">
      <c r="AW326" s="248"/>
      <c r="AX326" s="248"/>
    </row>
    <row r="327" spans="49:50">
      <c r="AW327" s="248"/>
      <c r="AX327" s="248"/>
    </row>
    <row r="328" spans="49:50">
      <c r="AW328" s="248"/>
      <c r="AX328" s="248"/>
    </row>
    <row r="329" spans="49:50">
      <c r="AW329" s="248"/>
      <c r="AX329" s="248"/>
    </row>
    <row r="330" spans="49:50">
      <c r="AW330" s="248"/>
      <c r="AX330" s="248"/>
    </row>
    <row r="331" spans="49:50">
      <c r="AW331" s="248"/>
      <c r="AX331" s="248"/>
    </row>
    <row r="332" spans="49:50">
      <c r="AW332" s="248"/>
      <c r="AX332" s="248"/>
    </row>
    <row r="333" spans="49:50">
      <c r="AW333" s="248"/>
      <c r="AX333" s="248"/>
    </row>
    <row r="334" spans="49:50">
      <c r="AW334" s="248"/>
      <c r="AX334" s="248"/>
    </row>
    <row r="335" spans="49:50">
      <c r="AW335" s="248"/>
      <c r="AX335" s="248"/>
    </row>
    <row r="336" spans="49:50">
      <c r="AW336" s="248"/>
      <c r="AX336" s="248"/>
    </row>
    <row r="337" spans="49:50">
      <c r="AW337" s="248"/>
      <c r="AX337" s="248"/>
    </row>
    <row r="338" spans="49:50">
      <c r="AW338" s="248"/>
      <c r="AX338" s="248"/>
    </row>
    <row r="339" spans="49:50">
      <c r="AW339" s="248"/>
      <c r="AX339" s="248"/>
    </row>
    <row r="340" spans="49:50">
      <c r="AW340" s="248"/>
      <c r="AX340" s="248"/>
    </row>
    <row r="341" spans="49:50">
      <c r="AW341" s="248"/>
      <c r="AX341" s="248"/>
    </row>
    <row r="342" spans="49:50">
      <c r="AW342" s="248"/>
      <c r="AX342" s="248"/>
    </row>
    <row r="343" spans="49:50">
      <c r="AW343" s="248"/>
      <c r="AX343" s="248"/>
    </row>
    <row r="344" spans="49:50">
      <c r="AW344" s="248"/>
      <c r="AX344" s="248"/>
    </row>
    <row r="345" spans="49:50">
      <c r="AW345" s="248"/>
      <c r="AX345" s="248"/>
    </row>
    <row r="346" spans="49:50">
      <c r="AW346" s="248"/>
      <c r="AX346" s="248"/>
    </row>
    <row r="347" spans="49:50">
      <c r="AW347" s="248"/>
      <c r="AX347" s="248"/>
    </row>
    <row r="348" spans="49:50">
      <c r="AW348" s="248"/>
      <c r="AX348" s="248"/>
    </row>
    <row r="349" spans="49:50">
      <c r="AW349" s="248"/>
      <c r="AX349" s="248"/>
    </row>
    <row r="350" spans="49:50">
      <c r="AW350" s="248"/>
      <c r="AX350" s="248"/>
    </row>
    <row r="351" spans="49:50">
      <c r="AW351" s="248"/>
      <c r="AX351" s="248"/>
    </row>
    <row r="352" spans="49:50">
      <c r="AW352" s="248"/>
      <c r="AX352" s="248"/>
    </row>
    <row r="353" spans="49:50">
      <c r="AW353" s="248"/>
      <c r="AX353" s="248"/>
    </row>
    <row r="354" spans="49:50">
      <c r="AW354" s="248"/>
      <c r="AX354" s="248"/>
    </row>
    <row r="355" spans="49:50">
      <c r="AW355" s="248"/>
      <c r="AX355" s="248"/>
    </row>
    <row r="356" spans="49:50">
      <c r="AW356" s="248"/>
      <c r="AX356" s="248"/>
    </row>
    <row r="357" spans="49:50">
      <c r="AW357" s="248"/>
      <c r="AX357" s="248"/>
    </row>
    <row r="358" spans="49:50">
      <c r="AW358" s="248"/>
      <c r="AX358" s="248"/>
    </row>
    <row r="359" spans="49:50">
      <c r="AW359" s="248"/>
      <c r="AX359" s="248"/>
    </row>
    <row r="360" spans="49:50">
      <c r="AW360" s="248"/>
      <c r="AX360" s="248"/>
    </row>
    <row r="361" spans="49:50">
      <c r="AW361" s="248"/>
      <c r="AX361" s="248"/>
    </row>
    <row r="362" spans="49:50">
      <c r="AW362" s="248"/>
      <c r="AX362" s="248"/>
    </row>
    <row r="363" spans="49:50">
      <c r="AW363" s="248"/>
      <c r="AX363" s="248"/>
    </row>
    <row r="364" spans="49:50">
      <c r="AW364" s="248"/>
      <c r="AX364" s="248"/>
    </row>
    <row r="365" spans="49:50">
      <c r="AW365" s="248"/>
      <c r="AX365" s="248"/>
    </row>
    <row r="366" spans="49:50">
      <c r="AW366" s="248"/>
      <c r="AX366" s="248"/>
    </row>
    <row r="367" spans="49:50">
      <c r="AW367" s="248"/>
      <c r="AX367" s="248"/>
    </row>
    <row r="368" spans="49:50">
      <c r="AW368" s="248"/>
      <c r="AX368" s="248"/>
    </row>
    <row r="369" spans="49:50">
      <c r="AW369" s="248"/>
      <c r="AX369" s="248"/>
    </row>
    <row r="370" spans="49:50">
      <c r="AW370" s="248"/>
      <c r="AX370" s="248"/>
    </row>
    <row r="371" spans="49:50">
      <c r="AW371" s="248"/>
      <c r="AX371" s="248"/>
    </row>
    <row r="372" spans="49:50">
      <c r="AW372" s="248"/>
      <c r="AX372" s="248"/>
    </row>
    <row r="373" spans="49:50">
      <c r="AW373" s="248"/>
      <c r="AX373" s="248"/>
    </row>
    <row r="374" spans="49:50">
      <c r="AW374" s="248"/>
      <c r="AX374" s="248"/>
    </row>
    <row r="375" spans="49:50">
      <c r="AW375" s="248"/>
      <c r="AX375" s="248"/>
    </row>
    <row r="376" spans="49:50">
      <c r="AW376" s="248"/>
      <c r="AX376" s="248"/>
    </row>
    <row r="377" spans="49:50">
      <c r="AW377" s="248"/>
      <c r="AX377" s="248"/>
    </row>
    <row r="378" spans="49:50">
      <c r="AW378" s="248"/>
      <c r="AX378" s="248"/>
    </row>
    <row r="379" spans="49:50">
      <c r="AW379" s="248"/>
      <c r="AX379" s="248"/>
    </row>
    <row r="380" spans="49:50">
      <c r="AW380" s="248"/>
      <c r="AX380" s="248"/>
    </row>
    <row r="381" spans="49:50">
      <c r="AW381" s="248"/>
      <c r="AX381" s="248"/>
    </row>
    <row r="382" spans="49:50">
      <c r="AW382" s="248"/>
      <c r="AX382" s="248"/>
    </row>
    <row r="383" spans="49:50">
      <c r="AW383" s="248"/>
      <c r="AX383" s="248"/>
    </row>
    <row r="384" spans="49:50">
      <c r="AW384" s="248"/>
      <c r="AX384" s="248"/>
    </row>
    <row r="385" spans="49:50">
      <c r="AW385" s="248"/>
      <c r="AX385" s="248"/>
    </row>
    <row r="386" spans="49:50">
      <c r="AW386" s="248"/>
      <c r="AX386" s="248"/>
    </row>
    <row r="387" spans="49:50">
      <c r="AW387" s="248"/>
      <c r="AX387" s="248"/>
    </row>
    <row r="388" spans="49:50">
      <c r="AW388" s="248"/>
      <c r="AX388" s="248"/>
    </row>
    <row r="389" spans="49:50">
      <c r="AW389" s="248"/>
      <c r="AX389" s="248"/>
    </row>
    <row r="390" spans="49:50">
      <c r="AW390" s="248"/>
      <c r="AX390" s="248"/>
    </row>
    <row r="391" spans="49:50">
      <c r="AW391" s="248"/>
      <c r="AX391" s="248"/>
    </row>
    <row r="392" spans="49:50">
      <c r="AW392" s="248"/>
      <c r="AX392" s="248"/>
    </row>
    <row r="393" spans="49:50">
      <c r="AW393" s="248"/>
      <c r="AX393" s="248"/>
    </row>
    <row r="394" spans="49:50">
      <c r="AW394" s="248"/>
      <c r="AX394" s="248"/>
    </row>
    <row r="395" spans="49:50">
      <c r="AW395" s="248"/>
      <c r="AX395" s="248"/>
    </row>
    <row r="396" spans="49:50">
      <c r="AW396" s="248"/>
      <c r="AX396" s="248"/>
    </row>
    <row r="397" spans="49:50">
      <c r="AW397" s="248"/>
      <c r="AX397" s="248"/>
    </row>
    <row r="398" spans="49:50">
      <c r="AW398" s="248"/>
      <c r="AX398" s="248"/>
    </row>
    <row r="399" spans="49:50">
      <c r="AW399" s="248"/>
      <c r="AX399" s="248"/>
    </row>
    <row r="400" spans="49:50">
      <c r="AW400" s="248"/>
      <c r="AX400" s="248"/>
    </row>
    <row r="401" spans="49:50">
      <c r="AW401" s="248"/>
      <c r="AX401" s="248"/>
    </row>
    <row r="402" spans="49:50">
      <c r="AW402" s="248"/>
      <c r="AX402" s="248"/>
    </row>
    <row r="403" spans="49:50">
      <c r="AW403" s="248"/>
      <c r="AX403" s="248"/>
    </row>
    <row r="404" spans="49:50">
      <c r="AW404" s="248"/>
      <c r="AX404" s="248"/>
    </row>
    <row r="405" spans="49:50">
      <c r="AW405" s="248"/>
      <c r="AX405" s="248"/>
    </row>
    <row r="406" spans="49:50">
      <c r="AW406" s="248"/>
      <c r="AX406" s="248"/>
    </row>
    <row r="407" spans="49:50">
      <c r="AW407" s="248"/>
      <c r="AX407" s="248"/>
    </row>
    <row r="408" spans="49:50">
      <c r="AW408" s="248"/>
      <c r="AX408" s="248"/>
    </row>
    <row r="409" spans="49:50">
      <c r="AW409" s="248"/>
      <c r="AX409" s="248"/>
    </row>
    <row r="410" spans="49:50">
      <c r="AW410" s="248"/>
      <c r="AX410" s="248"/>
    </row>
    <row r="411" spans="49:50">
      <c r="AW411" s="248"/>
      <c r="AX411" s="248"/>
    </row>
    <row r="412" spans="49:50">
      <c r="AW412" s="248"/>
      <c r="AX412" s="248"/>
    </row>
    <row r="413" spans="49:50">
      <c r="AW413" s="248"/>
      <c r="AX413" s="248"/>
    </row>
    <row r="414" spans="49:50">
      <c r="AW414" s="248"/>
      <c r="AX414" s="248"/>
    </row>
    <row r="415" spans="49:50">
      <c r="AW415" s="248"/>
      <c r="AX415" s="248"/>
    </row>
    <row r="416" spans="49:50">
      <c r="AW416" s="248"/>
      <c r="AX416" s="248"/>
    </row>
    <row r="417" spans="49:50">
      <c r="AW417" s="248"/>
      <c r="AX417" s="248"/>
    </row>
    <row r="418" spans="49:50">
      <c r="AW418" s="248"/>
      <c r="AX418" s="248"/>
    </row>
    <row r="419" spans="49:50">
      <c r="AW419" s="248"/>
      <c r="AX419" s="248"/>
    </row>
    <row r="420" spans="49:50">
      <c r="AW420" s="248"/>
      <c r="AX420" s="248"/>
    </row>
    <row r="421" spans="49:50">
      <c r="AW421" s="248"/>
      <c r="AX421" s="248"/>
    </row>
    <row r="422" spans="49:50">
      <c r="AW422" s="248"/>
      <c r="AX422" s="248"/>
    </row>
    <row r="423" spans="49:50">
      <c r="AW423" s="248"/>
      <c r="AX423" s="248"/>
    </row>
    <row r="424" spans="49:50">
      <c r="AW424" s="248"/>
      <c r="AX424" s="248"/>
    </row>
    <row r="425" spans="49:50">
      <c r="AW425" s="248"/>
      <c r="AX425" s="248"/>
    </row>
    <row r="426" spans="49:50">
      <c r="AW426" s="248"/>
      <c r="AX426" s="248"/>
    </row>
    <row r="427" spans="49:50">
      <c r="AW427" s="248"/>
      <c r="AX427" s="248"/>
    </row>
    <row r="428" spans="49:50">
      <c r="AW428" s="248"/>
      <c r="AX428" s="248"/>
    </row>
    <row r="429" spans="49:50">
      <c r="AW429" s="248"/>
      <c r="AX429" s="248"/>
    </row>
    <row r="430" spans="49:50">
      <c r="AW430" s="248"/>
      <c r="AX430" s="248"/>
    </row>
    <row r="431" spans="49:50">
      <c r="AW431" s="248"/>
      <c r="AX431" s="248"/>
    </row>
    <row r="432" spans="49:50">
      <c r="AW432" s="248"/>
      <c r="AX432" s="248"/>
    </row>
    <row r="433" spans="49:50">
      <c r="AW433" s="248"/>
      <c r="AX433" s="248"/>
    </row>
    <row r="434" spans="49:50">
      <c r="AW434" s="248"/>
      <c r="AX434" s="248"/>
    </row>
    <row r="435" spans="49:50">
      <c r="AW435" s="248"/>
      <c r="AX435" s="248"/>
    </row>
    <row r="436" spans="49:50">
      <c r="AW436" s="248"/>
      <c r="AX436" s="248"/>
    </row>
    <row r="437" spans="49:50">
      <c r="AW437" s="248"/>
      <c r="AX437" s="248"/>
    </row>
    <row r="438" spans="49:50">
      <c r="AW438" s="248"/>
      <c r="AX438" s="248"/>
    </row>
    <row r="439" spans="49:50">
      <c r="AW439" s="248"/>
      <c r="AX439" s="248"/>
    </row>
    <row r="440" spans="49:50">
      <c r="AW440" s="248"/>
      <c r="AX440" s="248"/>
    </row>
    <row r="441" spans="49:50">
      <c r="AW441" s="248"/>
      <c r="AX441" s="248"/>
    </row>
    <row r="442" spans="49:50">
      <c r="AW442" s="248"/>
      <c r="AX442" s="248"/>
    </row>
    <row r="443" spans="49:50">
      <c r="AW443" s="248"/>
      <c r="AX443" s="248"/>
    </row>
    <row r="444" spans="49:50">
      <c r="AW444" s="248"/>
      <c r="AX444" s="248"/>
    </row>
    <row r="445" spans="49:50">
      <c r="AW445" s="248"/>
      <c r="AX445" s="248"/>
    </row>
    <row r="446" spans="49:50">
      <c r="AW446" s="248"/>
      <c r="AX446" s="248"/>
    </row>
    <row r="447" spans="49:50">
      <c r="AW447" s="248"/>
      <c r="AX447" s="248"/>
    </row>
    <row r="448" spans="49:50">
      <c r="AW448" s="248"/>
      <c r="AX448" s="248"/>
    </row>
    <row r="449" spans="49:50">
      <c r="AW449" s="248"/>
      <c r="AX449" s="248"/>
    </row>
    <row r="450" spans="49:50">
      <c r="AW450" s="248"/>
      <c r="AX450" s="248"/>
    </row>
    <row r="451" spans="49:50">
      <c r="AW451" s="248"/>
      <c r="AX451" s="248"/>
    </row>
    <row r="452" spans="49:50">
      <c r="AW452" s="248"/>
      <c r="AX452" s="248"/>
    </row>
    <row r="453" spans="49:50">
      <c r="AW453" s="248"/>
      <c r="AX453" s="248"/>
    </row>
    <row r="454" spans="49:50">
      <c r="AW454" s="248"/>
      <c r="AX454" s="248"/>
    </row>
    <row r="455" spans="49:50">
      <c r="AW455" s="248"/>
      <c r="AX455" s="248"/>
    </row>
    <row r="456" spans="49:50">
      <c r="AW456" s="248"/>
      <c r="AX456" s="248"/>
    </row>
    <row r="457" spans="49:50">
      <c r="AW457" s="248"/>
      <c r="AX457" s="248"/>
    </row>
    <row r="458" spans="49:50">
      <c r="AW458" s="248"/>
      <c r="AX458" s="248"/>
    </row>
    <row r="459" spans="49:50">
      <c r="AW459" s="248"/>
      <c r="AX459" s="248"/>
    </row>
    <row r="460" spans="49:50">
      <c r="AW460" s="248"/>
      <c r="AX460" s="248"/>
    </row>
    <row r="461" spans="49:50">
      <c r="AW461" s="248"/>
      <c r="AX461" s="248"/>
    </row>
    <row r="462" spans="49:50">
      <c r="AW462" s="248"/>
      <c r="AX462" s="248"/>
    </row>
    <row r="463" spans="49:50">
      <c r="AW463" s="248"/>
      <c r="AX463" s="248"/>
    </row>
    <row r="464" spans="49:50">
      <c r="AW464" s="248"/>
      <c r="AX464" s="248"/>
    </row>
    <row r="465" spans="49:50">
      <c r="AW465" s="248"/>
      <c r="AX465" s="248"/>
    </row>
    <row r="466" spans="49:50">
      <c r="AW466" s="248"/>
      <c r="AX466" s="248"/>
    </row>
    <row r="467" spans="49:50">
      <c r="AW467" s="248"/>
      <c r="AX467" s="248"/>
    </row>
    <row r="468" spans="49:50">
      <c r="AW468" s="248"/>
      <c r="AX468" s="248"/>
    </row>
    <row r="469" spans="49:50">
      <c r="AW469" s="248"/>
      <c r="AX469" s="248"/>
    </row>
    <row r="470" spans="49:50">
      <c r="AW470" s="248"/>
      <c r="AX470" s="248"/>
    </row>
    <row r="471" spans="49:50">
      <c r="AW471" s="248"/>
      <c r="AX471" s="248"/>
    </row>
    <row r="472" spans="49:50">
      <c r="AW472" s="248"/>
      <c r="AX472" s="248"/>
    </row>
    <row r="473" spans="49:50">
      <c r="AW473" s="248"/>
      <c r="AX473" s="248"/>
    </row>
    <row r="474" spans="49:50">
      <c r="AW474" s="248"/>
      <c r="AX474" s="248"/>
    </row>
    <row r="475" spans="49:50">
      <c r="AW475" s="248"/>
      <c r="AX475" s="248"/>
    </row>
    <row r="476" spans="49:50">
      <c r="AW476" s="248"/>
      <c r="AX476" s="248"/>
    </row>
    <row r="477" spans="49:50">
      <c r="AW477" s="248"/>
      <c r="AX477" s="248"/>
    </row>
    <row r="478" spans="49:50">
      <c r="AW478" s="248"/>
      <c r="AX478" s="248"/>
    </row>
    <row r="479" spans="49:50">
      <c r="AW479" s="248"/>
      <c r="AX479" s="248"/>
    </row>
    <row r="480" spans="49:50">
      <c r="AW480" s="248"/>
      <c r="AX480" s="248"/>
    </row>
    <row r="481" spans="49:50">
      <c r="AW481" s="248"/>
      <c r="AX481" s="248"/>
    </row>
    <row r="482" spans="49:50">
      <c r="AW482" s="248"/>
      <c r="AX482" s="248"/>
    </row>
    <row r="483" spans="49:50">
      <c r="AW483" s="248"/>
      <c r="AX483" s="248"/>
    </row>
    <row r="484" spans="49:50">
      <c r="AW484" s="248"/>
      <c r="AX484" s="248"/>
    </row>
    <row r="485" spans="49:50">
      <c r="AW485" s="248"/>
      <c r="AX485" s="248"/>
    </row>
    <row r="486" spans="49:50">
      <c r="AW486" s="248"/>
      <c r="AX486" s="248"/>
    </row>
    <row r="487" spans="49:50">
      <c r="AW487" s="248"/>
      <c r="AX487" s="248"/>
    </row>
    <row r="488" spans="49:50">
      <c r="AW488" s="248"/>
      <c r="AX488" s="248"/>
    </row>
    <row r="489" spans="49:50">
      <c r="AW489" s="248"/>
      <c r="AX489" s="248"/>
    </row>
    <row r="490" spans="49:50">
      <c r="AW490" s="248"/>
      <c r="AX490" s="248"/>
    </row>
    <row r="491" spans="49:50">
      <c r="AW491" s="248"/>
      <c r="AX491" s="248"/>
    </row>
    <row r="492" spans="49:50">
      <c r="AW492" s="248"/>
      <c r="AX492" s="248"/>
    </row>
    <row r="493" spans="49:50">
      <c r="AW493" s="248"/>
      <c r="AX493" s="248"/>
    </row>
    <row r="494" spans="49:50">
      <c r="AW494" s="248"/>
      <c r="AX494" s="248"/>
    </row>
    <row r="495" spans="49:50">
      <c r="AW495" s="248"/>
      <c r="AX495" s="248"/>
    </row>
    <row r="496" spans="49:50">
      <c r="AW496" s="248"/>
      <c r="AX496" s="248"/>
    </row>
    <row r="497" spans="49:50">
      <c r="AW497" s="248"/>
      <c r="AX497" s="248"/>
    </row>
    <row r="498" spans="49:50">
      <c r="AW498" s="248"/>
      <c r="AX498" s="248"/>
    </row>
    <row r="499" spans="49:50">
      <c r="AW499" s="248"/>
      <c r="AX499" s="248"/>
    </row>
    <row r="500" spans="49:50">
      <c r="AW500" s="248"/>
      <c r="AX500" s="248"/>
    </row>
    <row r="501" spans="49:50">
      <c r="AW501" s="248"/>
      <c r="AX501" s="248"/>
    </row>
    <row r="502" spans="49:50">
      <c r="AW502" s="248"/>
      <c r="AX502" s="248"/>
    </row>
    <row r="503" spans="49:50">
      <c r="AW503" s="248"/>
      <c r="AX503" s="248"/>
    </row>
    <row r="504" spans="49:50">
      <c r="AW504" s="248"/>
      <c r="AX504" s="248"/>
    </row>
    <row r="505" spans="49:50">
      <c r="AW505" s="248"/>
      <c r="AX505" s="248"/>
    </row>
    <row r="506" spans="49:50">
      <c r="AW506" s="248"/>
      <c r="AX506" s="248"/>
    </row>
    <row r="507" spans="49:50">
      <c r="AW507" s="248"/>
      <c r="AX507" s="248"/>
    </row>
    <row r="508" spans="49:50">
      <c r="AW508" s="248"/>
      <c r="AX508" s="248"/>
    </row>
    <row r="509" spans="49:50">
      <c r="AW509" s="248"/>
      <c r="AX509" s="248"/>
    </row>
    <row r="510" spans="49:50">
      <c r="AW510" s="248"/>
      <c r="AX510" s="248"/>
    </row>
    <row r="511" spans="49:50">
      <c r="AW511" s="248"/>
      <c r="AX511" s="248"/>
    </row>
    <row r="512" spans="49:50">
      <c r="AW512" s="248"/>
      <c r="AX512" s="248"/>
    </row>
    <row r="513" spans="49:50">
      <c r="AW513" s="248"/>
      <c r="AX513" s="248"/>
    </row>
    <row r="514" spans="49:50">
      <c r="AW514" s="248"/>
      <c r="AX514" s="248"/>
    </row>
    <row r="515" spans="49:50">
      <c r="AW515" s="248"/>
      <c r="AX515" s="248"/>
    </row>
    <row r="516" spans="49:50">
      <c r="AW516" s="248"/>
      <c r="AX516" s="248"/>
    </row>
    <row r="517" spans="49:50">
      <c r="AW517" s="248"/>
      <c r="AX517" s="248"/>
    </row>
    <row r="518" spans="49:50">
      <c r="AW518" s="248"/>
      <c r="AX518" s="248"/>
    </row>
    <row r="519" spans="49:50">
      <c r="AW519" s="248"/>
      <c r="AX519" s="248"/>
    </row>
    <row r="520" spans="49:50">
      <c r="AW520" s="248"/>
      <c r="AX520" s="248"/>
    </row>
    <row r="521" spans="49:50">
      <c r="AW521" s="248"/>
      <c r="AX521" s="248"/>
    </row>
    <row r="522" spans="49:50">
      <c r="AW522" s="248"/>
      <c r="AX522" s="248"/>
    </row>
    <row r="523" spans="49:50">
      <c r="AW523" s="248"/>
      <c r="AX523" s="248"/>
    </row>
    <row r="524" spans="49:50">
      <c r="AW524" s="248"/>
      <c r="AX524" s="248"/>
    </row>
    <row r="525" spans="49:50">
      <c r="AW525" s="248"/>
      <c r="AX525" s="248"/>
    </row>
    <row r="526" spans="49:50">
      <c r="AW526" s="248"/>
      <c r="AX526" s="248"/>
    </row>
    <row r="527" spans="49:50">
      <c r="AW527" s="248"/>
      <c r="AX527" s="248"/>
    </row>
    <row r="528" spans="49:50">
      <c r="AW528" s="248"/>
      <c r="AX528" s="248"/>
    </row>
    <row r="529" spans="49:50">
      <c r="AW529" s="248"/>
      <c r="AX529" s="248"/>
    </row>
    <row r="530" spans="49:50">
      <c r="AW530" s="248"/>
      <c r="AX530" s="248"/>
    </row>
    <row r="531" spans="49:50">
      <c r="AW531" s="248"/>
      <c r="AX531" s="248"/>
    </row>
    <row r="532" spans="49:50">
      <c r="AW532" s="248"/>
      <c r="AX532" s="248"/>
    </row>
    <row r="533" spans="49:50">
      <c r="AW533" s="248"/>
      <c r="AX533" s="248"/>
    </row>
    <row r="534" spans="49:50">
      <c r="AW534" s="248"/>
      <c r="AX534" s="248"/>
    </row>
    <row r="535" spans="49:50">
      <c r="AW535" s="248"/>
      <c r="AX535" s="248"/>
    </row>
    <row r="536" spans="49:50">
      <c r="AW536" s="248"/>
      <c r="AX536" s="248"/>
    </row>
    <row r="537" spans="49:50">
      <c r="AW537" s="248"/>
      <c r="AX537" s="248"/>
    </row>
    <row r="538" spans="49:50">
      <c r="AW538" s="248"/>
      <c r="AX538" s="248"/>
    </row>
    <row r="539" spans="49:50">
      <c r="AW539" s="248"/>
      <c r="AX539" s="248"/>
    </row>
    <row r="540" spans="49:50">
      <c r="AW540" s="248"/>
      <c r="AX540" s="248"/>
    </row>
    <row r="541" spans="49:50">
      <c r="AW541" s="248"/>
      <c r="AX541" s="248"/>
    </row>
    <row r="542" spans="49:50">
      <c r="AW542" s="248"/>
      <c r="AX542" s="248"/>
    </row>
    <row r="543" spans="49:50">
      <c r="AW543" s="248"/>
      <c r="AX543" s="248"/>
    </row>
    <row r="544" spans="49:50">
      <c r="AW544" s="248"/>
      <c r="AX544" s="248"/>
    </row>
    <row r="545" spans="49:50">
      <c r="AW545" s="248"/>
      <c r="AX545" s="248"/>
    </row>
    <row r="546" spans="49:50">
      <c r="AW546" s="248"/>
      <c r="AX546" s="248"/>
    </row>
    <row r="547" spans="49:50">
      <c r="AW547" s="248"/>
      <c r="AX547" s="248"/>
    </row>
    <row r="548" spans="49:50">
      <c r="AW548" s="248"/>
      <c r="AX548" s="248"/>
    </row>
    <row r="549" spans="49:50">
      <c r="AW549" s="248"/>
      <c r="AX549" s="248"/>
    </row>
    <row r="550" spans="49:50">
      <c r="AW550" s="248"/>
      <c r="AX550" s="248"/>
    </row>
    <row r="551" spans="49:50">
      <c r="AW551" s="248"/>
      <c r="AX551" s="248"/>
    </row>
    <row r="552" spans="49:50">
      <c r="AW552" s="248"/>
      <c r="AX552" s="248"/>
    </row>
    <row r="553" spans="49:50">
      <c r="AW553" s="248"/>
      <c r="AX553" s="248"/>
    </row>
    <row r="554" spans="49:50">
      <c r="AW554" s="248"/>
      <c r="AX554" s="248"/>
    </row>
    <row r="555" spans="49:50">
      <c r="AW555" s="248"/>
      <c r="AX555" s="248"/>
    </row>
    <row r="556" spans="49:50">
      <c r="AW556" s="248"/>
      <c r="AX556" s="248"/>
    </row>
    <row r="557" spans="49:50">
      <c r="AW557" s="248"/>
      <c r="AX557" s="248"/>
    </row>
    <row r="558" spans="49:50">
      <c r="AW558" s="248"/>
      <c r="AX558" s="248"/>
    </row>
    <row r="559" spans="49:50">
      <c r="AW559" s="248"/>
      <c r="AX559" s="248"/>
    </row>
    <row r="560" spans="49:50">
      <c r="AW560" s="248"/>
      <c r="AX560" s="248"/>
    </row>
    <row r="561" spans="49:50">
      <c r="AW561" s="248"/>
      <c r="AX561" s="248"/>
    </row>
    <row r="562" spans="49:50">
      <c r="AW562" s="248"/>
      <c r="AX562" s="248"/>
    </row>
    <row r="563" spans="49:50">
      <c r="AW563" s="248"/>
      <c r="AX563" s="248"/>
    </row>
    <row r="564" spans="49:50">
      <c r="AW564" s="248"/>
      <c r="AX564" s="248"/>
    </row>
    <row r="565" spans="49:50">
      <c r="AW565" s="248"/>
      <c r="AX565" s="248"/>
    </row>
    <row r="566" spans="49:50">
      <c r="AW566" s="248"/>
      <c r="AX566" s="248"/>
    </row>
    <row r="567" spans="49:50">
      <c r="AW567" s="248"/>
      <c r="AX567" s="248"/>
    </row>
    <row r="568" spans="49:50">
      <c r="AW568" s="248"/>
      <c r="AX568" s="248"/>
    </row>
    <row r="569" spans="49:50">
      <c r="AW569" s="248"/>
      <c r="AX569" s="248"/>
    </row>
    <row r="570" spans="49:50">
      <c r="AW570" s="248"/>
      <c r="AX570" s="248"/>
    </row>
    <row r="571" spans="49:50">
      <c r="AW571" s="248"/>
      <c r="AX571" s="248"/>
    </row>
    <row r="572" spans="49:50">
      <c r="AW572" s="248"/>
      <c r="AX572" s="248"/>
    </row>
    <row r="573" spans="49:50">
      <c r="AW573" s="248"/>
      <c r="AX573" s="248"/>
    </row>
    <row r="574" spans="49:50">
      <c r="AW574" s="248"/>
      <c r="AX574" s="248"/>
    </row>
    <row r="575" spans="49:50">
      <c r="AW575" s="248"/>
      <c r="AX575" s="248"/>
    </row>
    <row r="576" spans="49:50">
      <c r="AW576" s="248"/>
      <c r="AX576" s="248"/>
    </row>
    <row r="577" spans="49:50">
      <c r="AW577" s="248"/>
      <c r="AX577" s="248"/>
    </row>
    <row r="578" spans="49:50">
      <c r="AW578" s="248"/>
      <c r="AX578" s="248"/>
    </row>
    <row r="579" spans="49:50">
      <c r="AW579" s="248"/>
      <c r="AX579" s="248"/>
    </row>
    <row r="580" spans="49:50">
      <c r="AW580" s="248"/>
      <c r="AX580" s="248"/>
    </row>
    <row r="581" spans="49:50">
      <c r="AW581" s="248"/>
      <c r="AX581" s="248"/>
    </row>
    <row r="582" spans="49:50">
      <c r="AW582" s="248"/>
      <c r="AX582" s="248"/>
    </row>
    <row r="583" spans="49:50">
      <c r="AW583" s="248"/>
      <c r="AX583" s="248"/>
    </row>
    <row r="584" spans="49:50">
      <c r="AW584" s="248"/>
      <c r="AX584" s="248"/>
    </row>
    <row r="585" spans="49:50">
      <c r="AW585" s="248"/>
      <c r="AX585" s="248"/>
    </row>
    <row r="586" spans="49:50">
      <c r="AW586" s="248"/>
      <c r="AX586" s="248"/>
    </row>
    <row r="587" spans="49:50">
      <c r="AW587" s="248"/>
      <c r="AX587" s="248"/>
    </row>
    <row r="588" spans="49:50">
      <c r="AW588" s="248"/>
      <c r="AX588" s="248"/>
    </row>
    <row r="589" spans="49:50">
      <c r="AW589" s="248"/>
      <c r="AX589" s="248"/>
    </row>
    <row r="590" spans="49:50">
      <c r="AW590" s="248"/>
      <c r="AX590" s="248"/>
    </row>
    <row r="591" spans="49:50">
      <c r="AW591" s="248"/>
      <c r="AX591" s="248"/>
    </row>
    <row r="592" spans="49:50">
      <c r="AW592" s="248"/>
      <c r="AX592" s="248"/>
    </row>
    <row r="593" spans="49:50">
      <c r="AW593" s="248"/>
      <c r="AX593" s="248"/>
    </row>
    <row r="594" spans="49:50">
      <c r="AW594" s="248"/>
      <c r="AX594" s="248"/>
    </row>
    <row r="595" spans="49:50">
      <c r="AW595" s="248"/>
      <c r="AX595" s="248"/>
    </row>
    <row r="596" spans="49:50">
      <c r="AW596" s="248"/>
      <c r="AX596" s="248"/>
    </row>
    <row r="597" spans="49:50">
      <c r="AW597" s="248"/>
      <c r="AX597" s="248"/>
    </row>
    <row r="598" spans="49:50">
      <c r="AW598" s="248"/>
      <c r="AX598" s="248"/>
    </row>
    <row r="599" spans="49:50">
      <c r="AW599" s="248"/>
      <c r="AX599" s="248"/>
    </row>
    <row r="600" spans="49:50">
      <c r="AW600" s="248"/>
      <c r="AX600" s="248"/>
    </row>
    <row r="601" spans="49:50">
      <c r="AW601" s="248"/>
      <c r="AX601" s="248"/>
    </row>
    <row r="602" spans="49:50">
      <c r="AW602" s="248"/>
      <c r="AX602" s="248"/>
    </row>
    <row r="603" spans="49:50">
      <c r="AW603" s="248"/>
      <c r="AX603" s="248"/>
    </row>
    <row r="604" spans="49:50">
      <c r="AW604" s="248"/>
      <c r="AX604" s="248"/>
    </row>
    <row r="605" spans="49:50">
      <c r="AW605" s="248"/>
      <c r="AX605" s="248"/>
    </row>
    <row r="606" spans="49:50">
      <c r="AW606" s="248"/>
      <c r="AX606" s="248"/>
    </row>
    <row r="607" spans="49:50">
      <c r="AW607" s="248"/>
      <c r="AX607" s="248"/>
    </row>
    <row r="608" spans="49:50">
      <c r="AW608" s="248"/>
      <c r="AX608" s="248"/>
    </row>
    <row r="609" spans="49:50">
      <c r="AW609" s="248"/>
      <c r="AX609" s="248"/>
    </row>
    <row r="610" spans="49:50">
      <c r="AW610" s="248"/>
      <c r="AX610" s="248"/>
    </row>
    <row r="611" spans="49:50">
      <c r="AW611" s="248"/>
      <c r="AX611" s="248"/>
    </row>
    <row r="612" spans="49:50">
      <c r="AW612" s="248"/>
      <c r="AX612" s="248"/>
    </row>
    <row r="613" spans="49:50">
      <c r="AW613" s="248"/>
      <c r="AX613" s="248"/>
    </row>
    <row r="614" spans="49:50">
      <c r="AW614" s="248"/>
      <c r="AX614" s="248"/>
    </row>
    <row r="615" spans="49:50">
      <c r="AW615" s="248"/>
      <c r="AX615" s="248"/>
    </row>
    <row r="616" spans="49:50">
      <c r="AW616" s="248"/>
      <c r="AX616" s="248"/>
    </row>
    <row r="617" spans="49:50">
      <c r="AW617" s="248"/>
      <c r="AX617" s="248"/>
    </row>
    <row r="618" spans="49:50">
      <c r="AW618" s="248"/>
      <c r="AX618" s="248"/>
    </row>
    <row r="619" spans="49:50">
      <c r="AW619" s="248"/>
      <c r="AX619" s="248"/>
    </row>
    <row r="620" spans="49:50">
      <c r="AW620" s="248"/>
      <c r="AX620" s="248"/>
    </row>
    <row r="621" spans="49:50">
      <c r="AW621" s="248"/>
      <c r="AX621" s="248"/>
    </row>
    <row r="622" spans="49:50">
      <c r="AW622" s="248"/>
      <c r="AX622" s="248"/>
    </row>
    <row r="623" spans="49:50">
      <c r="AW623" s="248"/>
      <c r="AX623" s="248"/>
    </row>
    <row r="624" spans="49:50">
      <c r="AW624" s="248"/>
      <c r="AX624" s="248"/>
    </row>
    <row r="625" spans="49:50">
      <c r="AW625" s="248"/>
      <c r="AX625" s="248"/>
    </row>
    <row r="626" spans="49:50">
      <c r="AW626" s="248"/>
      <c r="AX626" s="248"/>
    </row>
    <row r="627" spans="49:50">
      <c r="AW627" s="248"/>
      <c r="AX627" s="248"/>
    </row>
    <row r="628" spans="49:50">
      <c r="AW628" s="248"/>
      <c r="AX628" s="248"/>
    </row>
    <row r="629" spans="49:50">
      <c r="AW629" s="248"/>
      <c r="AX629" s="248"/>
    </row>
    <row r="630" spans="49:50">
      <c r="AW630" s="248"/>
      <c r="AX630" s="248"/>
    </row>
    <row r="631" spans="49:50">
      <c r="AW631" s="248"/>
      <c r="AX631" s="248"/>
    </row>
    <row r="632" spans="49:50">
      <c r="AW632" s="248"/>
      <c r="AX632" s="248"/>
    </row>
    <row r="633" spans="49:50">
      <c r="AW633" s="248"/>
      <c r="AX633" s="248"/>
    </row>
    <row r="634" spans="49:50">
      <c r="AW634" s="248"/>
      <c r="AX634" s="248"/>
    </row>
    <row r="635" spans="49:50">
      <c r="AW635" s="248"/>
      <c r="AX635" s="248"/>
    </row>
    <row r="636" spans="49:50">
      <c r="AW636" s="248"/>
      <c r="AX636" s="248"/>
    </row>
    <row r="637" spans="49:50">
      <c r="AW637" s="248"/>
      <c r="AX637" s="248"/>
    </row>
    <row r="638" spans="49:50">
      <c r="AW638" s="248"/>
      <c r="AX638" s="248"/>
    </row>
    <row r="639" spans="49:50">
      <c r="AW639" s="248"/>
      <c r="AX639" s="248"/>
    </row>
    <row r="640" spans="49:50">
      <c r="AW640" s="248"/>
      <c r="AX640" s="248"/>
    </row>
    <row r="641" spans="49:50">
      <c r="AW641" s="248"/>
      <c r="AX641" s="248"/>
    </row>
    <row r="642" spans="49:50">
      <c r="AW642" s="248"/>
      <c r="AX642" s="248"/>
    </row>
    <row r="643" spans="49:50">
      <c r="AW643" s="248"/>
      <c r="AX643" s="248"/>
    </row>
    <row r="644" spans="49:50">
      <c r="AW644" s="248"/>
      <c r="AX644" s="248"/>
    </row>
    <row r="645" spans="49:50">
      <c r="AW645" s="248"/>
      <c r="AX645" s="248"/>
    </row>
    <row r="646" spans="49:50">
      <c r="AW646" s="248"/>
      <c r="AX646" s="248"/>
    </row>
    <row r="647" spans="49:50">
      <c r="AW647" s="248"/>
      <c r="AX647" s="248"/>
    </row>
    <row r="648" spans="49:50">
      <c r="AW648" s="248"/>
      <c r="AX648" s="248"/>
    </row>
    <row r="649" spans="49:50">
      <c r="AW649" s="248"/>
      <c r="AX649" s="248"/>
    </row>
    <row r="650" spans="49:50">
      <c r="AW650" s="248"/>
      <c r="AX650" s="248"/>
    </row>
    <row r="651" spans="49:50">
      <c r="AW651" s="248"/>
      <c r="AX651" s="248"/>
    </row>
    <row r="652" spans="49:50">
      <c r="AW652" s="248"/>
      <c r="AX652" s="248"/>
    </row>
    <row r="653" spans="49:50">
      <c r="AW653" s="248"/>
      <c r="AX653" s="248"/>
    </row>
    <row r="654" spans="49:50">
      <c r="AW654" s="248"/>
      <c r="AX654" s="248"/>
    </row>
    <row r="655" spans="49:50">
      <c r="AW655" s="248"/>
      <c r="AX655" s="248"/>
    </row>
    <row r="656" spans="49:50">
      <c r="AW656" s="248"/>
      <c r="AX656" s="248"/>
    </row>
    <row r="657" spans="49:50">
      <c r="AW657" s="248"/>
      <c r="AX657" s="248"/>
    </row>
    <row r="658" spans="49:50">
      <c r="AW658" s="248"/>
      <c r="AX658" s="248"/>
    </row>
    <row r="659" spans="49:50">
      <c r="AW659" s="248"/>
      <c r="AX659" s="248"/>
    </row>
    <row r="660" spans="49:50">
      <c r="AW660" s="248"/>
      <c r="AX660" s="248"/>
    </row>
    <row r="661" spans="49:50">
      <c r="AW661" s="248"/>
      <c r="AX661" s="248"/>
    </row>
    <row r="662" spans="49:50">
      <c r="AW662" s="248"/>
      <c r="AX662" s="248"/>
    </row>
    <row r="663" spans="49:50">
      <c r="AW663" s="248"/>
      <c r="AX663" s="248"/>
    </row>
    <row r="664" spans="49:50">
      <c r="AW664" s="248"/>
      <c r="AX664" s="248"/>
    </row>
    <row r="665" spans="49:50">
      <c r="AW665" s="248"/>
      <c r="AX665" s="248"/>
    </row>
    <row r="666" spans="49:50">
      <c r="AW666" s="248"/>
      <c r="AX666" s="248"/>
    </row>
    <row r="667" spans="49:50">
      <c r="AW667" s="248"/>
      <c r="AX667" s="248"/>
    </row>
    <row r="668" spans="49:50">
      <c r="AW668" s="248"/>
      <c r="AX668" s="248"/>
    </row>
    <row r="669" spans="49:50">
      <c r="AW669" s="248"/>
      <c r="AX669" s="248"/>
    </row>
    <row r="670" spans="49:50">
      <c r="AW670" s="248"/>
      <c r="AX670" s="248"/>
    </row>
    <row r="671" spans="49:50">
      <c r="AW671" s="248"/>
      <c r="AX671" s="248"/>
    </row>
    <row r="672" spans="49:50">
      <c r="AW672" s="248"/>
      <c r="AX672" s="248"/>
    </row>
    <row r="673" spans="49:50">
      <c r="AW673" s="248"/>
      <c r="AX673" s="248"/>
    </row>
    <row r="674" spans="49:50">
      <c r="AW674" s="248"/>
      <c r="AX674" s="248"/>
    </row>
    <row r="675" spans="49:50">
      <c r="AW675" s="248"/>
      <c r="AX675" s="248"/>
    </row>
    <row r="676" spans="49:50">
      <c r="AW676" s="248"/>
      <c r="AX676" s="248"/>
    </row>
    <row r="677" spans="49:50">
      <c r="AW677" s="248"/>
      <c r="AX677" s="248"/>
    </row>
    <row r="678" spans="49:50">
      <c r="AW678" s="248"/>
      <c r="AX678" s="248"/>
    </row>
    <row r="679" spans="49:50">
      <c r="AW679" s="248"/>
      <c r="AX679" s="248"/>
    </row>
    <row r="680" spans="49:50">
      <c r="AW680" s="248"/>
      <c r="AX680" s="248"/>
    </row>
    <row r="681" spans="49:50">
      <c r="AW681" s="248"/>
      <c r="AX681" s="248"/>
    </row>
    <row r="682" spans="49:50">
      <c r="AW682" s="248"/>
      <c r="AX682" s="248"/>
    </row>
    <row r="683" spans="49:50">
      <c r="AW683" s="248"/>
      <c r="AX683" s="248"/>
    </row>
    <row r="684" spans="49:50">
      <c r="AW684" s="248"/>
      <c r="AX684" s="248"/>
    </row>
    <row r="685" spans="49:50">
      <c r="AW685" s="248"/>
      <c r="AX685" s="248"/>
    </row>
    <row r="686" spans="49:50">
      <c r="AW686" s="248"/>
      <c r="AX686" s="248"/>
    </row>
    <row r="687" spans="49:50">
      <c r="AW687" s="248"/>
      <c r="AX687" s="248"/>
    </row>
    <row r="688" spans="49:50">
      <c r="AW688" s="248"/>
      <c r="AX688" s="248"/>
    </row>
    <row r="689" spans="49:50">
      <c r="AW689" s="248"/>
      <c r="AX689" s="248"/>
    </row>
    <row r="690" spans="49:50">
      <c r="AW690" s="248"/>
      <c r="AX690" s="248"/>
    </row>
    <row r="691" spans="49:50">
      <c r="AW691" s="248"/>
      <c r="AX691" s="248"/>
    </row>
    <row r="692" spans="49:50">
      <c r="AW692" s="248"/>
      <c r="AX692" s="248"/>
    </row>
    <row r="693" spans="49:50">
      <c r="AW693" s="248"/>
      <c r="AX693" s="248"/>
    </row>
    <row r="694" spans="49:50">
      <c r="AW694" s="248"/>
      <c r="AX694" s="248"/>
    </row>
    <row r="695" spans="49:50">
      <c r="AW695" s="248"/>
      <c r="AX695" s="248"/>
    </row>
    <row r="696" spans="49:50">
      <c r="AW696" s="248"/>
      <c r="AX696" s="248"/>
    </row>
    <row r="697" spans="49:50">
      <c r="AW697" s="248"/>
      <c r="AX697" s="248"/>
    </row>
    <row r="698" spans="49:50">
      <c r="AW698" s="248"/>
      <c r="AX698" s="248"/>
    </row>
    <row r="699" spans="49:50">
      <c r="AW699" s="248"/>
      <c r="AX699" s="248"/>
    </row>
    <row r="700" spans="49:50">
      <c r="AW700" s="248"/>
      <c r="AX700" s="248"/>
    </row>
    <row r="701" spans="49:50">
      <c r="AW701" s="248"/>
      <c r="AX701" s="248"/>
    </row>
    <row r="702" spans="49:50">
      <c r="AW702" s="248"/>
      <c r="AX702" s="248"/>
    </row>
    <row r="703" spans="49:50">
      <c r="AW703" s="248"/>
      <c r="AX703" s="248"/>
    </row>
    <row r="704" spans="49:50">
      <c r="AW704" s="248"/>
      <c r="AX704" s="248"/>
    </row>
    <row r="705" spans="49:50">
      <c r="AW705" s="248"/>
      <c r="AX705" s="248"/>
    </row>
    <row r="706" spans="49:50">
      <c r="AW706" s="248"/>
      <c r="AX706" s="248"/>
    </row>
    <row r="707" spans="49:50">
      <c r="AW707" s="248"/>
      <c r="AX707" s="248"/>
    </row>
    <row r="708" spans="49:50">
      <c r="AW708" s="248"/>
      <c r="AX708" s="248"/>
    </row>
    <row r="709" spans="49:50">
      <c r="AW709" s="248"/>
      <c r="AX709" s="248"/>
    </row>
    <row r="710" spans="49:50">
      <c r="AW710" s="248"/>
      <c r="AX710" s="248"/>
    </row>
    <row r="711" spans="49:50">
      <c r="AW711" s="248"/>
      <c r="AX711" s="248"/>
    </row>
    <row r="712" spans="49:50">
      <c r="AW712" s="248"/>
      <c r="AX712" s="248"/>
    </row>
    <row r="713" spans="49:50">
      <c r="AW713" s="248"/>
      <c r="AX713" s="248"/>
    </row>
    <row r="714" spans="49:50">
      <c r="AW714" s="248"/>
      <c r="AX714" s="248"/>
    </row>
    <row r="715" spans="49:50">
      <c r="AW715" s="248"/>
      <c r="AX715" s="248"/>
    </row>
    <row r="716" spans="49:50">
      <c r="AW716" s="248"/>
      <c r="AX716" s="248"/>
    </row>
    <row r="717" spans="49:50">
      <c r="AW717" s="248"/>
      <c r="AX717" s="248"/>
    </row>
    <row r="718" spans="49:50">
      <c r="AW718" s="248"/>
      <c r="AX718" s="248"/>
    </row>
    <row r="719" spans="49:50">
      <c r="AW719" s="248"/>
      <c r="AX719" s="248"/>
    </row>
    <row r="720" spans="49:50">
      <c r="AW720" s="248"/>
      <c r="AX720" s="248"/>
    </row>
    <row r="721" spans="49:50">
      <c r="AW721" s="248"/>
      <c r="AX721" s="248"/>
    </row>
    <row r="722" spans="49:50">
      <c r="AW722" s="248"/>
      <c r="AX722" s="248"/>
    </row>
    <row r="723" spans="49:50">
      <c r="AW723" s="248"/>
      <c r="AX723" s="248"/>
    </row>
    <row r="724" spans="49:50">
      <c r="AW724" s="248"/>
      <c r="AX724" s="248"/>
    </row>
    <row r="725" spans="49:50">
      <c r="AW725" s="248"/>
      <c r="AX725" s="248"/>
    </row>
    <row r="726" spans="49:50">
      <c r="AW726" s="248"/>
      <c r="AX726" s="248"/>
    </row>
    <row r="727" spans="49:50">
      <c r="AW727" s="248"/>
      <c r="AX727" s="248"/>
    </row>
    <row r="728" spans="49:50">
      <c r="AW728" s="248"/>
      <c r="AX728" s="248"/>
    </row>
    <row r="729" spans="49:50">
      <c r="AW729" s="248"/>
      <c r="AX729" s="248"/>
    </row>
    <row r="730" spans="49:50">
      <c r="AW730" s="248"/>
      <c r="AX730" s="248"/>
    </row>
    <row r="731" spans="49:50">
      <c r="AW731" s="248"/>
      <c r="AX731" s="248"/>
    </row>
    <row r="732" spans="49:50">
      <c r="AW732" s="248"/>
      <c r="AX732" s="248"/>
    </row>
    <row r="733" spans="49:50">
      <c r="AW733" s="248"/>
      <c r="AX733" s="248"/>
    </row>
    <row r="734" spans="49:50">
      <c r="AW734" s="248"/>
      <c r="AX734" s="248"/>
    </row>
    <row r="735" spans="49:50">
      <c r="AW735" s="248"/>
      <c r="AX735" s="248"/>
    </row>
    <row r="736" spans="49:50">
      <c r="AW736" s="248"/>
      <c r="AX736" s="248"/>
    </row>
    <row r="737" spans="49:50">
      <c r="AW737" s="248"/>
      <c r="AX737" s="248"/>
    </row>
    <row r="738" spans="49:50">
      <c r="AW738" s="248"/>
      <c r="AX738" s="248"/>
    </row>
    <row r="739" spans="49:50">
      <c r="AW739" s="248"/>
      <c r="AX739" s="248"/>
    </row>
    <row r="740" spans="49:50">
      <c r="AW740" s="248"/>
      <c r="AX740" s="248"/>
    </row>
    <row r="741" spans="49:50">
      <c r="AW741" s="248"/>
      <c r="AX741" s="248"/>
    </row>
    <row r="742" spans="49:50">
      <c r="AW742" s="248"/>
      <c r="AX742" s="248"/>
    </row>
    <row r="743" spans="49:50">
      <c r="AW743" s="248"/>
      <c r="AX743" s="248"/>
    </row>
    <row r="744" spans="49:50">
      <c r="AW744" s="248"/>
      <c r="AX744" s="248"/>
    </row>
    <row r="745" spans="49:50">
      <c r="AW745" s="248"/>
      <c r="AX745" s="248"/>
    </row>
    <row r="746" spans="49:50">
      <c r="AW746" s="248"/>
      <c r="AX746" s="248"/>
    </row>
    <row r="747" spans="49:50">
      <c r="AW747" s="248"/>
      <c r="AX747" s="248"/>
    </row>
    <row r="748" spans="49:50">
      <c r="AW748" s="248"/>
      <c r="AX748" s="248"/>
    </row>
    <row r="749" spans="49:50">
      <c r="AW749" s="248"/>
      <c r="AX749" s="248"/>
    </row>
    <row r="750" spans="49:50">
      <c r="AW750" s="248"/>
      <c r="AX750" s="248"/>
    </row>
    <row r="751" spans="49:50">
      <c r="AW751" s="248"/>
      <c r="AX751" s="248"/>
    </row>
    <row r="752" spans="49:50">
      <c r="AW752" s="248"/>
      <c r="AX752" s="248"/>
    </row>
    <row r="753" spans="49:50">
      <c r="AW753" s="248"/>
      <c r="AX753" s="248"/>
    </row>
    <row r="754" spans="49:50">
      <c r="AW754" s="248"/>
      <c r="AX754" s="248"/>
    </row>
    <row r="755" spans="49:50">
      <c r="AW755" s="248"/>
      <c r="AX755" s="248"/>
    </row>
    <row r="756" spans="49:50">
      <c r="AW756" s="248"/>
      <c r="AX756" s="248"/>
    </row>
    <row r="757" spans="49:50">
      <c r="AW757" s="248"/>
      <c r="AX757" s="248"/>
    </row>
    <row r="758" spans="49:50">
      <c r="AW758" s="248"/>
      <c r="AX758" s="248"/>
    </row>
    <row r="759" spans="49:50">
      <c r="AW759" s="248"/>
      <c r="AX759" s="248"/>
    </row>
    <row r="760" spans="49:50">
      <c r="AW760" s="248"/>
      <c r="AX760" s="248"/>
    </row>
    <row r="761" spans="49:50">
      <c r="AW761" s="248"/>
      <c r="AX761" s="248"/>
    </row>
    <row r="762" spans="49:50">
      <c r="AW762" s="248"/>
      <c r="AX762" s="248"/>
    </row>
    <row r="763" spans="49:50">
      <c r="AW763" s="248"/>
      <c r="AX763" s="248"/>
    </row>
    <row r="764" spans="49:50">
      <c r="AW764" s="248"/>
      <c r="AX764" s="248"/>
    </row>
    <row r="765" spans="49:50">
      <c r="AW765" s="248"/>
      <c r="AX765" s="248"/>
    </row>
    <row r="766" spans="49:50">
      <c r="AW766" s="248"/>
      <c r="AX766" s="248"/>
    </row>
    <row r="767" spans="49:50">
      <c r="AW767" s="248"/>
      <c r="AX767" s="248"/>
    </row>
    <row r="768" spans="49:50">
      <c r="AW768" s="248"/>
      <c r="AX768" s="248"/>
    </row>
    <row r="769" spans="49:50">
      <c r="AW769" s="248"/>
      <c r="AX769" s="248"/>
    </row>
    <row r="770" spans="49:50">
      <c r="AW770" s="248"/>
      <c r="AX770" s="248"/>
    </row>
    <row r="771" spans="49:50">
      <c r="AW771" s="248"/>
      <c r="AX771" s="248"/>
    </row>
    <row r="772" spans="49:50">
      <c r="AW772" s="248"/>
      <c r="AX772" s="248"/>
    </row>
    <row r="773" spans="49:50">
      <c r="AW773" s="248"/>
      <c r="AX773" s="248"/>
    </row>
    <row r="774" spans="49:50">
      <c r="AW774" s="248"/>
      <c r="AX774" s="248"/>
    </row>
    <row r="775" spans="49:50">
      <c r="AW775" s="248"/>
      <c r="AX775" s="248"/>
    </row>
    <row r="776" spans="49:50">
      <c r="AW776" s="248"/>
      <c r="AX776" s="248"/>
    </row>
    <row r="777" spans="49:50">
      <c r="AW777" s="248"/>
      <c r="AX777" s="248"/>
    </row>
    <row r="778" spans="49:50">
      <c r="AW778" s="248"/>
      <c r="AX778" s="248"/>
    </row>
    <row r="779" spans="49:50">
      <c r="AW779" s="248"/>
      <c r="AX779" s="248"/>
    </row>
    <row r="780" spans="49:50">
      <c r="AW780" s="248"/>
      <c r="AX780" s="248"/>
    </row>
    <row r="781" spans="49:50">
      <c r="AW781" s="248"/>
      <c r="AX781" s="248"/>
    </row>
    <row r="782" spans="49:50">
      <c r="AW782" s="248"/>
      <c r="AX782" s="248"/>
    </row>
    <row r="783" spans="49:50">
      <c r="AW783" s="248"/>
      <c r="AX783" s="248"/>
    </row>
    <row r="784" spans="49:50">
      <c r="AW784" s="248"/>
      <c r="AX784" s="248"/>
    </row>
    <row r="785" spans="49:50">
      <c r="AW785" s="248"/>
      <c r="AX785" s="248"/>
    </row>
    <row r="786" spans="49:50">
      <c r="AW786" s="248"/>
      <c r="AX786" s="248"/>
    </row>
    <row r="787" spans="49:50">
      <c r="AW787" s="248"/>
      <c r="AX787" s="248"/>
    </row>
    <row r="788" spans="49:50">
      <c r="AW788" s="248"/>
      <c r="AX788" s="248"/>
    </row>
    <row r="789" spans="49:50">
      <c r="AW789" s="248"/>
      <c r="AX789" s="248"/>
    </row>
    <row r="790" spans="49:50">
      <c r="AW790" s="248"/>
      <c r="AX790" s="248"/>
    </row>
    <row r="791" spans="49:50">
      <c r="AW791" s="248"/>
      <c r="AX791" s="248"/>
    </row>
    <row r="792" spans="49:50">
      <c r="AW792" s="248"/>
      <c r="AX792" s="248"/>
    </row>
    <row r="793" spans="49:50">
      <c r="AW793" s="248"/>
      <c r="AX793" s="248"/>
    </row>
    <row r="794" spans="49:50">
      <c r="AW794" s="248"/>
      <c r="AX794" s="248"/>
    </row>
    <row r="795" spans="49:50">
      <c r="AW795" s="248"/>
      <c r="AX795" s="248"/>
    </row>
    <row r="796" spans="49:50">
      <c r="AW796" s="248"/>
      <c r="AX796" s="248"/>
    </row>
    <row r="797" spans="49:50">
      <c r="AW797" s="248"/>
      <c r="AX797" s="248"/>
    </row>
    <row r="798" spans="49:50">
      <c r="AW798" s="248"/>
      <c r="AX798" s="248"/>
    </row>
    <row r="799" spans="49:50">
      <c r="AW799" s="248"/>
      <c r="AX799" s="248"/>
    </row>
    <row r="800" spans="49:50">
      <c r="AW800" s="248"/>
      <c r="AX800" s="248"/>
    </row>
    <row r="801" spans="49:50">
      <c r="AW801" s="248"/>
      <c r="AX801" s="248"/>
    </row>
    <row r="802" spans="49:50">
      <c r="AW802" s="248"/>
      <c r="AX802" s="248"/>
    </row>
    <row r="803" spans="49:50">
      <c r="AW803" s="248"/>
      <c r="AX803" s="248"/>
    </row>
    <row r="804" spans="49:50">
      <c r="AW804" s="248"/>
      <c r="AX804" s="248"/>
    </row>
    <row r="805" spans="49:50">
      <c r="AW805" s="248"/>
      <c r="AX805" s="248"/>
    </row>
    <row r="806" spans="49:50">
      <c r="AW806" s="248"/>
      <c r="AX806" s="248"/>
    </row>
    <row r="807" spans="49:50">
      <c r="AW807" s="248"/>
      <c r="AX807" s="248"/>
    </row>
    <row r="808" spans="49:50">
      <c r="AW808" s="248"/>
      <c r="AX808" s="248"/>
    </row>
    <row r="809" spans="49:50">
      <c r="AW809" s="248"/>
      <c r="AX809" s="248"/>
    </row>
    <row r="810" spans="49:50">
      <c r="AW810" s="248"/>
      <c r="AX810" s="248"/>
    </row>
    <row r="811" spans="49:50">
      <c r="AW811" s="248"/>
      <c r="AX811" s="248"/>
    </row>
    <row r="812" spans="49:50">
      <c r="AW812" s="248"/>
      <c r="AX812" s="248"/>
    </row>
    <row r="813" spans="49:50">
      <c r="AW813" s="248"/>
      <c r="AX813" s="248"/>
    </row>
    <row r="814" spans="49:50">
      <c r="AW814" s="248"/>
      <c r="AX814" s="248"/>
    </row>
    <row r="815" spans="49:50">
      <c r="AW815" s="248"/>
      <c r="AX815" s="248"/>
    </row>
    <row r="816" spans="49:50">
      <c r="AW816" s="248"/>
      <c r="AX816" s="248"/>
    </row>
    <row r="817" spans="49:50">
      <c r="AW817" s="248"/>
      <c r="AX817" s="248"/>
    </row>
    <row r="818" spans="49:50">
      <c r="AW818" s="248"/>
      <c r="AX818" s="248"/>
    </row>
    <row r="819" spans="49:50">
      <c r="AW819" s="248"/>
      <c r="AX819" s="248"/>
    </row>
    <row r="820" spans="49:50">
      <c r="AW820" s="248"/>
      <c r="AX820" s="248"/>
    </row>
    <row r="821" spans="49:50">
      <c r="AW821" s="248"/>
      <c r="AX821" s="248"/>
    </row>
    <row r="822" spans="49:50">
      <c r="AW822" s="248"/>
      <c r="AX822" s="248"/>
    </row>
    <row r="823" spans="49:50">
      <c r="AW823" s="248"/>
      <c r="AX823" s="248"/>
    </row>
    <row r="824" spans="49:50">
      <c r="AW824" s="248"/>
      <c r="AX824" s="248"/>
    </row>
    <row r="825" spans="49:50">
      <c r="AW825" s="248"/>
      <c r="AX825" s="248"/>
    </row>
    <row r="826" spans="49:50">
      <c r="AW826" s="248"/>
      <c r="AX826" s="248"/>
    </row>
    <row r="827" spans="49:50">
      <c r="AW827" s="248"/>
      <c r="AX827" s="248"/>
    </row>
    <row r="828" spans="49:50">
      <c r="AW828" s="248"/>
      <c r="AX828" s="248"/>
    </row>
    <row r="829" spans="49:50">
      <c r="AW829" s="248"/>
      <c r="AX829" s="248"/>
    </row>
    <row r="830" spans="49:50">
      <c r="AW830" s="248"/>
      <c r="AX830" s="248"/>
    </row>
    <row r="831" spans="49:50">
      <c r="AW831" s="248"/>
      <c r="AX831" s="248"/>
    </row>
    <row r="832" spans="49:50">
      <c r="AW832" s="248"/>
      <c r="AX832" s="248"/>
    </row>
    <row r="833" spans="49:50">
      <c r="AW833" s="248"/>
      <c r="AX833" s="248"/>
    </row>
    <row r="834" spans="49:50">
      <c r="AW834" s="248"/>
      <c r="AX834" s="248"/>
    </row>
    <row r="835" spans="49:50">
      <c r="AW835" s="248"/>
      <c r="AX835" s="248"/>
    </row>
    <row r="836" spans="49:50">
      <c r="AW836" s="248"/>
      <c r="AX836" s="248"/>
    </row>
    <row r="837" spans="49:50">
      <c r="AW837" s="248"/>
      <c r="AX837" s="248"/>
    </row>
    <row r="838" spans="49:50">
      <c r="AW838" s="248"/>
      <c r="AX838" s="248"/>
    </row>
    <row r="839" spans="49:50">
      <c r="AW839" s="248"/>
      <c r="AX839" s="248"/>
    </row>
    <row r="840" spans="49:50">
      <c r="AW840" s="248"/>
      <c r="AX840" s="248"/>
    </row>
    <row r="841" spans="49:50">
      <c r="AW841" s="248"/>
      <c r="AX841" s="248"/>
    </row>
    <row r="842" spans="49:50">
      <c r="AW842" s="248"/>
      <c r="AX842" s="248"/>
    </row>
    <row r="843" spans="49:50">
      <c r="AW843" s="248"/>
      <c r="AX843" s="248"/>
    </row>
    <row r="844" spans="49:50">
      <c r="AW844" s="248"/>
      <c r="AX844" s="248"/>
    </row>
    <row r="845" spans="49:50">
      <c r="AW845" s="248"/>
      <c r="AX845" s="248"/>
    </row>
    <row r="846" spans="49:50">
      <c r="AW846" s="248"/>
      <c r="AX846" s="248"/>
    </row>
    <row r="847" spans="49:50">
      <c r="AW847" s="248"/>
      <c r="AX847" s="248"/>
    </row>
    <row r="848" spans="49:50">
      <c r="AW848" s="248"/>
      <c r="AX848" s="248"/>
    </row>
    <row r="849" spans="49:50">
      <c r="AW849" s="248"/>
      <c r="AX849" s="248"/>
    </row>
    <row r="850" spans="49:50">
      <c r="AW850" s="248"/>
      <c r="AX850" s="248"/>
    </row>
    <row r="851" spans="49:50">
      <c r="AW851" s="248"/>
      <c r="AX851" s="248"/>
    </row>
    <row r="852" spans="49:50">
      <c r="AW852" s="248"/>
      <c r="AX852" s="248"/>
    </row>
    <row r="853" spans="49:50">
      <c r="AW853" s="248"/>
      <c r="AX853" s="248"/>
    </row>
    <row r="854" spans="49:50">
      <c r="AW854" s="248"/>
      <c r="AX854" s="248"/>
    </row>
    <row r="855" spans="49:50">
      <c r="AW855" s="248"/>
      <c r="AX855" s="248"/>
    </row>
    <row r="856" spans="49:50">
      <c r="AW856" s="248"/>
      <c r="AX856" s="248"/>
    </row>
    <row r="857" spans="49:50">
      <c r="AW857" s="248"/>
      <c r="AX857" s="248"/>
    </row>
    <row r="858" spans="49:50">
      <c r="AW858" s="248"/>
      <c r="AX858" s="248"/>
    </row>
    <row r="859" spans="49:50">
      <c r="AW859" s="248"/>
      <c r="AX859" s="248"/>
    </row>
    <row r="860" spans="49:50">
      <c r="AW860" s="248"/>
      <c r="AX860" s="248"/>
    </row>
    <row r="861" spans="49:50">
      <c r="AW861" s="248"/>
      <c r="AX861" s="248"/>
    </row>
    <row r="862" spans="49:50">
      <c r="AW862" s="248"/>
      <c r="AX862" s="248"/>
    </row>
    <row r="863" spans="49:50">
      <c r="AW863" s="248"/>
      <c r="AX863" s="248"/>
    </row>
    <row r="864" spans="49:50">
      <c r="AW864" s="248"/>
      <c r="AX864" s="248"/>
    </row>
    <row r="865" spans="49:50">
      <c r="AW865" s="248"/>
      <c r="AX865" s="248"/>
    </row>
    <row r="866" spans="49:50">
      <c r="AW866" s="248"/>
      <c r="AX866" s="248"/>
    </row>
    <row r="867" spans="49:50">
      <c r="AW867" s="248"/>
      <c r="AX867" s="248"/>
    </row>
    <row r="868" spans="49:50">
      <c r="AW868" s="248"/>
      <c r="AX868" s="248"/>
    </row>
    <row r="869" spans="49:50">
      <c r="AW869" s="248"/>
      <c r="AX869" s="248"/>
    </row>
    <row r="870" spans="49:50">
      <c r="AW870" s="248"/>
      <c r="AX870" s="248"/>
    </row>
    <row r="871" spans="49:50">
      <c r="AW871" s="248"/>
      <c r="AX871" s="248"/>
    </row>
    <row r="872" spans="49:50">
      <c r="AW872" s="248"/>
      <c r="AX872" s="248"/>
    </row>
    <row r="873" spans="49:50">
      <c r="AW873" s="248"/>
      <c r="AX873" s="248"/>
    </row>
    <row r="874" spans="49:50">
      <c r="AW874" s="248"/>
      <c r="AX874" s="248"/>
    </row>
    <row r="875" spans="49:50">
      <c r="AW875" s="248"/>
      <c r="AX875" s="248"/>
    </row>
    <row r="876" spans="49:50">
      <c r="AW876" s="248"/>
      <c r="AX876" s="248"/>
    </row>
    <row r="877" spans="49:50">
      <c r="AW877" s="248"/>
      <c r="AX877" s="248"/>
    </row>
    <row r="878" spans="49:50">
      <c r="AW878" s="248"/>
      <c r="AX878" s="248"/>
    </row>
    <row r="879" spans="49:50">
      <c r="AW879" s="248"/>
      <c r="AX879" s="248"/>
    </row>
    <row r="880" spans="49:50">
      <c r="AW880" s="248"/>
      <c r="AX880" s="248"/>
    </row>
    <row r="881" spans="49:50">
      <c r="AW881" s="248"/>
      <c r="AX881" s="248"/>
    </row>
    <row r="882" spans="49:50">
      <c r="AW882" s="248"/>
      <c r="AX882" s="248"/>
    </row>
    <row r="883" spans="49:50">
      <c r="AW883" s="248"/>
      <c r="AX883" s="248"/>
    </row>
    <row r="884" spans="49:50">
      <c r="AW884" s="248"/>
      <c r="AX884" s="248"/>
    </row>
    <row r="885" spans="49:50">
      <c r="AW885" s="248"/>
      <c r="AX885" s="248"/>
    </row>
    <row r="886" spans="49:50">
      <c r="AW886" s="248"/>
      <c r="AX886" s="248"/>
    </row>
    <row r="887" spans="49:50">
      <c r="AW887" s="248"/>
      <c r="AX887" s="248"/>
    </row>
    <row r="888" spans="49:50">
      <c r="AW888" s="248"/>
      <c r="AX888" s="248"/>
    </row>
    <row r="889" spans="49:50">
      <c r="AW889" s="248"/>
      <c r="AX889" s="248"/>
    </row>
    <row r="890" spans="49:50">
      <c r="AW890" s="248"/>
      <c r="AX890" s="248"/>
    </row>
    <row r="891" spans="49:50">
      <c r="AW891" s="248"/>
      <c r="AX891" s="248"/>
    </row>
    <row r="892" spans="49:50">
      <c r="AW892" s="248"/>
      <c r="AX892" s="248"/>
    </row>
    <row r="893" spans="49:50">
      <c r="AW893" s="248"/>
      <c r="AX893" s="248"/>
    </row>
    <row r="894" spans="49:50">
      <c r="AW894" s="248"/>
      <c r="AX894" s="248"/>
    </row>
    <row r="895" spans="49:50">
      <c r="AW895" s="248"/>
      <c r="AX895" s="248"/>
    </row>
    <row r="896" spans="49:50">
      <c r="AW896" s="248"/>
      <c r="AX896" s="248"/>
    </row>
    <row r="897" spans="49:50">
      <c r="AW897" s="248"/>
      <c r="AX897" s="248"/>
    </row>
    <row r="898" spans="49:50">
      <c r="AW898" s="248"/>
      <c r="AX898" s="248"/>
    </row>
    <row r="899" spans="49:50">
      <c r="AW899" s="248"/>
      <c r="AX899" s="248"/>
    </row>
    <row r="900" spans="49:50">
      <c r="AW900" s="248"/>
      <c r="AX900" s="248"/>
    </row>
    <row r="901" spans="49:50">
      <c r="AW901" s="248"/>
      <c r="AX901" s="248"/>
    </row>
    <row r="902" spans="49:50">
      <c r="AW902" s="248"/>
      <c r="AX902" s="248"/>
    </row>
    <row r="903" spans="49:50">
      <c r="AW903" s="248"/>
      <c r="AX903" s="248"/>
    </row>
    <row r="904" spans="49:50">
      <c r="AW904" s="248"/>
      <c r="AX904" s="248"/>
    </row>
    <row r="905" spans="49:50">
      <c r="AW905" s="248"/>
      <c r="AX905" s="248"/>
    </row>
    <row r="906" spans="49:50">
      <c r="AW906" s="248"/>
      <c r="AX906" s="248"/>
    </row>
    <row r="907" spans="49:50">
      <c r="AW907" s="248"/>
      <c r="AX907" s="248"/>
    </row>
    <row r="908" spans="49:50">
      <c r="AW908" s="248"/>
      <c r="AX908" s="248"/>
    </row>
    <row r="909" spans="49:50">
      <c r="AW909" s="248"/>
      <c r="AX909" s="248"/>
    </row>
    <row r="910" spans="49:50">
      <c r="AW910" s="248"/>
      <c r="AX910" s="248"/>
    </row>
    <row r="911" spans="49:50">
      <c r="AW911" s="248"/>
      <c r="AX911" s="248"/>
    </row>
    <row r="912" spans="49:50">
      <c r="AW912" s="248"/>
      <c r="AX912" s="248"/>
    </row>
    <row r="913" spans="49:50">
      <c r="AW913" s="248"/>
      <c r="AX913" s="248"/>
    </row>
    <row r="914" spans="49:50">
      <c r="AW914" s="248"/>
      <c r="AX914" s="248"/>
    </row>
    <row r="915" spans="49:50">
      <c r="AW915" s="248"/>
      <c r="AX915" s="248"/>
    </row>
    <row r="916" spans="49:50">
      <c r="AW916" s="248"/>
      <c r="AX916" s="248"/>
    </row>
    <row r="917" spans="49:50">
      <c r="AW917" s="248"/>
      <c r="AX917" s="248"/>
    </row>
    <row r="918" spans="49:50">
      <c r="AW918" s="248"/>
      <c r="AX918" s="248"/>
    </row>
    <row r="919" spans="49:50">
      <c r="AW919" s="248"/>
      <c r="AX919" s="248"/>
    </row>
    <row r="920" spans="49:50">
      <c r="AW920" s="248"/>
      <c r="AX920" s="248"/>
    </row>
    <row r="921" spans="49:50">
      <c r="AW921" s="248"/>
      <c r="AX921" s="248"/>
    </row>
    <row r="922" spans="49:50">
      <c r="AW922" s="248"/>
      <c r="AX922" s="248"/>
    </row>
    <row r="923" spans="49:50">
      <c r="AW923" s="248"/>
      <c r="AX923" s="248"/>
    </row>
    <row r="924" spans="49:50">
      <c r="AW924" s="248"/>
      <c r="AX924" s="248"/>
    </row>
    <row r="925" spans="49:50">
      <c r="AW925" s="248"/>
      <c r="AX925" s="248"/>
    </row>
    <row r="926" spans="49:50">
      <c r="AW926" s="248"/>
      <c r="AX926" s="248"/>
    </row>
    <row r="927" spans="49:50">
      <c r="AW927" s="248"/>
      <c r="AX927" s="248"/>
    </row>
    <row r="928" spans="49:50">
      <c r="AW928" s="248"/>
      <c r="AX928" s="248"/>
    </row>
    <row r="929" spans="49:50">
      <c r="AW929" s="248"/>
      <c r="AX929" s="248"/>
    </row>
    <row r="930" spans="49:50">
      <c r="AW930" s="248"/>
      <c r="AX930" s="248"/>
    </row>
    <row r="931" spans="49:50">
      <c r="AW931" s="248"/>
      <c r="AX931" s="248"/>
    </row>
    <row r="932" spans="49:50">
      <c r="AW932" s="248"/>
      <c r="AX932" s="248"/>
    </row>
    <row r="933" spans="49:50">
      <c r="AW933" s="248"/>
      <c r="AX933" s="248"/>
    </row>
    <row r="934" spans="49:50">
      <c r="AW934" s="248"/>
      <c r="AX934" s="248"/>
    </row>
    <row r="935" spans="49:50">
      <c r="AW935" s="248"/>
      <c r="AX935" s="248"/>
    </row>
    <row r="936" spans="49:50">
      <c r="AW936" s="248"/>
      <c r="AX936" s="248"/>
    </row>
    <row r="937" spans="49:50">
      <c r="AW937" s="248"/>
      <c r="AX937" s="248"/>
    </row>
    <row r="938" spans="49:50">
      <c r="AW938" s="248"/>
      <c r="AX938" s="248"/>
    </row>
    <row r="939" spans="49:50">
      <c r="AW939" s="248"/>
      <c r="AX939" s="248"/>
    </row>
    <row r="940" spans="49:50">
      <c r="AW940" s="248"/>
      <c r="AX940" s="248"/>
    </row>
    <row r="941" spans="49:50">
      <c r="AW941" s="248"/>
      <c r="AX941" s="248"/>
    </row>
    <row r="942" spans="49:50">
      <c r="AW942" s="248"/>
      <c r="AX942" s="248"/>
    </row>
    <row r="943" spans="49:50">
      <c r="AW943" s="248"/>
      <c r="AX943" s="248"/>
    </row>
    <row r="944" spans="49:50">
      <c r="AW944" s="248"/>
      <c r="AX944" s="248"/>
    </row>
    <row r="945" spans="49:50">
      <c r="AW945" s="248"/>
      <c r="AX945" s="248"/>
    </row>
    <row r="946" spans="49:50">
      <c r="AW946" s="248"/>
      <c r="AX946" s="248"/>
    </row>
    <row r="947" spans="49:50">
      <c r="AW947" s="248"/>
      <c r="AX947" s="248"/>
    </row>
    <row r="948" spans="49:50">
      <c r="AW948" s="248"/>
      <c r="AX948" s="248"/>
    </row>
    <row r="949" spans="49:50">
      <c r="AW949" s="248"/>
      <c r="AX949" s="248"/>
    </row>
    <row r="950" spans="49:50">
      <c r="AW950" s="248"/>
      <c r="AX950" s="248"/>
    </row>
    <row r="951" spans="49:50">
      <c r="AW951" s="248"/>
      <c r="AX951" s="248"/>
    </row>
    <row r="952" spans="49:50">
      <c r="AW952" s="248"/>
      <c r="AX952" s="248"/>
    </row>
    <row r="953" spans="49:50">
      <c r="AW953" s="248"/>
      <c r="AX953" s="248"/>
    </row>
    <row r="954" spans="49:50">
      <c r="AW954" s="248"/>
      <c r="AX954" s="248"/>
    </row>
    <row r="955" spans="49:50">
      <c r="AW955" s="248"/>
      <c r="AX955" s="248"/>
    </row>
    <row r="956" spans="49:50">
      <c r="AW956" s="248"/>
      <c r="AX956" s="248"/>
    </row>
    <row r="957" spans="49:50">
      <c r="AW957" s="248"/>
      <c r="AX957" s="248"/>
    </row>
    <row r="958" spans="49:50">
      <c r="AW958" s="248"/>
      <c r="AX958" s="248"/>
    </row>
    <row r="959" spans="49:50">
      <c r="AW959" s="248"/>
      <c r="AX959" s="248"/>
    </row>
    <row r="960" spans="49:50">
      <c r="AW960" s="248"/>
      <c r="AX960" s="248"/>
    </row>
    <row r="961" spans="49:50">
      <c r="AW961" s="248"/>
      <c r="AX961" s="248"/>
    </row>
    <row r="962" spans="49:50">
      <c r="AW962" s="248"/>
      <c r="AX962" s="248"/>
    </row>
    <row r="963" spans="49:50">
      <c r="AW963" s="248"/>
      <c r="AX963" s="248"/>
    </row>
    <row r="964" spans="49:50">
      <c r="AW964" s="248"/>
      <c r="AX964" s="248"/>
    </row>
    <row r="965" spans="49:50">
      <c r="AW965" s="248"/>
      <c r="AX965" s="248"/>
    </row>
    <row r="966" spans="49:50">
      <c r="AW966" s="248"/>
      <c r="AX966" s="248"/>
    </row>
    <row r="967" spans="49:50">
      <c r="AW967" s="248"/>
      <c r="AX967" s="248"/>
    </row>
    <row r="968" spans="49:50">
      <c r="AW968" s="248"/>
      <c r="AX968" s="248"/>
    </row>
    <row r="969" spans="49:50">
      <c r="AW969" s="248"/>
      <c r="AX969" s="248"/>
    </row>
    <row r="970" spans="49:50">
      <c r="AW970" s="248"/>
      <c r="AX970" s="248"/>
    </row>
    <row r="971" spans="49:50">
      <c r="AW971" s="248"/>
      <c r="AX971" s="248"/>
    </row>
    <row r="972" spans="49:50">
      <c r="AW972" s="248"/>
      <c r="AX972" s="248"/>
    </row>
    <row r="973" spans="49:50">
      <c r="AW973" s="248"/>
      <c r="AX973" s="248"/>
    </row>
    <row r="974" spans="49:50">
      <c r="AW974" s="248"/>
      <c r="AX974" s="248"/>
    </row>
    <row r="975" spans="49:50">
      <c r="AW975" s="248"/>
      <c r="AX975" s="248"/>
    </row>
    <row r="976" spans="49:50">
      <c r="AW976" s="248"/>
      <c r="AX976" s="248"/>
    </row>
    <row r="977" spans="49:50">
      <c r="AW977" s="248"/>
      <c r="AX977" s="248"/>
    </row>
    <row r="978" spans="49:50">
      <c r="AW978" s="248"/>
      <c r="AX978" s="248"/>
    </row>
    <row r="979" spans="49:50">
      <c r="AW979" s="248"/>
      <c r="AX979" s="248"/>
    </row>
    <row r="980" spans="49:50">
      <c r="AW980" s="248"/>
      <c r="AX980" s="248"/>
    </row>
    <row r="981" spans="49:50">
      <c r="AW981" s="248"/>
      <c r="AX981" s="248"/>
    </row>
    <row r="982" spans="49:50">
      <c r="AW982" s="248"/>
      <c r="AX982" s="248"/>
    </row>
    <row r="983" spans="49:50">
      <c r="AW983" s="248"/>
      <c r="AX983" s="248"/>
    </row>
    <row r="984" spans="49:50">
      <c r="AW984" s="248"/>
      <c r="AX984" s="248"/>
    </row>
    <row r="985" spans="49:50">
      <c r="AW985" s="248"/>
      <c r="AX985" s="248"/>
    </row>
    <row r="986" spans="49:50">
      <c r="AW986" s="248"/>
      <c r="AX986" s="248"/>
    </row>
    <row r="987" spans="49:50">
      <c r="AW987" s="248"/>
      <c r="AX987" s="248"/>
    </row>
    <row r="988" spans="49:50">
      <c r="AW988" s="248"/>
      <c r="AX988" s="248"/>
    </row>
    <row r="989" spans="49:50">
      <c r="AW989" s="248"/>
      <c r="AX989" s="248"/>
    </row>
    <row r="990" spans="49:50">
      <c r="AW990" s="248"/>
      <c r="AX990" s="248"/>
    </row>
    <row r="991" spans="49:50">
      <c r="AW991" s="248"/>
      <c r="AX991" s="248"/>
    </row>
    <row r="992" spans="49:50">
      <c r="AW992" s="248"/>
      <c r="AX992" s="248"/>
    </row>
    <row r="993" spans="49:50">
      <c r="AW993" s="248"/>
      <c r="AX993" s="248"/>
    </row>
    <row r="994" spans="49:50">
      <c r="AW994" s="248"/>
      <c r="AX994" s="248"/>
    </row>
    <row r="995" spans="49:50">
      <c r="AW995" s="248"/>
      <c r="AX995" s="248"/>
    </row>
    <row r="996" spans="49:50">
      <c r="AW996" s="248"/>
      <c r="AX996" s="248"/>
    </row>
    <row r="997" spans="49:50">
      <c r="AW997" s="248"/>
      <c r="AX997" s="248"/>
    </row>
    <row r="998" spans="49:50">
      <c r="AW998" s="248"/>
      <c r="AX998" s="248"/>
    </row>
    <row r="999" spans="49:50">
      <c r="AW999" s="248"/>
      <c r="AX999" s="248"/>
    </row>
    <row r="1000" spans="49:50">
      <c r="AW1000" s="248"/>
      <c r="AX1000" s="248"/>
    </row>
    <row r="1001" spans="49:50">
      <c r="AW1001" s="248"/>
      <c r="AX1001" s="248"/>
    </row>
    <row r="1002" spans="49:50">
      <c r="AW1002" s="248"/>
      <c r="AX1002" s="248"/>
    </row>
    <row r="1003" spans="49:50">
      <c r="AW1003" s="248"/>
      <c r="AX1003" s="248"/>
    </row>
    <row r="1004" spans="49:50">
      <c r="AW1004" s="248"/>
      <c r="AX1004" s="248"/>
    </row>
    <row r="1005" spans="49:50">
      <c r="AW1005" s="248"/>
      <c r="AX1005" s="248"/>
    </row>
    <row r="1006" spans="49:50">
      <c r="AW1006" s="248"/>
      <c r="AX1006" s="248"/>
    </row>
    <row r="1007" spans="49:50">
      <c r="AW1007" s="248"/>
      <c r="AX1007" s="248"/>
    </row>
    <row r="1008" spans="49:50">
      <c r="AW1008" s="248"/>
      <c r="AX1008" s="248"/>
    </row>
    <row r="1009" spans="49:50">
      <c r="AW1009" s="248"/>
      <c r="AX1009" s="248"/>
    </row>
    <row r="1010" spans="49:50">
      <c r="AW1010" s="248"/>
      <c r="AX1010" s="248"/>
    </row>
    <row r="1011" spans="49:50">
      <c r="AW1011" s="248"/>
      <c r="AX1011" s="248"/>
    </row>
    <row r="1012" spans="49:50">
      <c r="AW1012" s="248"/>
      <c r="AX1012" s="248"/>
    </row>
    <row r="1013" spans="49:50">
      <c r="AW1013" s="248"/>
      <c r="AX1013" s="248"/>
    </row>
    <row r="1014" spans="49:50">
      <c r="AW1014" s="248"/>
      <c r="AX1014" s="248"/>
    </row>
    <row r="1015" spans="49:50">
      <c r="AW1015" s="248"/>
      <c r="AX1015" s="248"/>
    </row>
    <row r="1016" spans="49:50">
      <c r="AW1016" s="248"/>
      <c r="AX1016" s="248"/>
    </row>
    <row r="1017" spans="49:50">
      <c r="AW1017" s="248"/>
      <c r="AX1017" s="248"/>
    </row>
    <row r="1018" spans="49:50">
      <c r="AW1018" s="248"/>
      <c r="AX1018" s="248"/>
    </row>
    <row r="1019" spans="49:50">
      <c r="AW1019" s="248"/>
      <c r="AX1019" s="248"/>
    </row>
    <row r="1020" spans="49:50">
      <c r="AW1020" s="248"/>
      <c r="AX1020" s="248"/>
    </row>
    <row r="1021" spans="49:50">
      <c r="AW1021" s="248"/>
      <c r="AX1021" s="248"/>
    </row>
    <row r="1022" spans="49:50">
      <c r="AW1022" s="248"/>
      <c r="AX1022" s="248"/>
    </row>
    <row r="1023" spans="49:50">
      <c r="AW1023" s="248"/>
      <c r="AX1023" s="248"/>
    </row>
    <row r="1024" spans="49:50">
      <c r="AW1024" s="248"/>
      <c r="AX1024" s="248"/>
    </row>
    <row r="1025" spans="49:50">
      <c r="AW1025" s="248"/>
      <c r="AX1025" s="248"/>
    </row>
    <row r="1026" spans="49:50">
      <c r="AW1026" s="248"/>
      <c r="AX1026" s="248"/>
    </row>
    <row r="1027" spans="49:50">
      <c r="AW1027" s="248"/>
      <c r="AX1027" s="248"/>
    </row>
    <row r="1028" spans="49:50">
      <c r="AW1028" s="248"/>
      <c r="AX1028" s="248"/>
    </row>
    <row r="1029" spans="49:50">
      <c r="AW1029" s="248"/>
      <c r="AX1029" s="248"/>
    </row>
    <row r="1030" spans="49:50">
      <c r="AW1030" s="248"/>
      <c r="AX1030" s="248"/>
    </row>
    <row r="1031" spans="49:50">
      <c r="AW1031" s="248"/>
      <c r="AX1031" s="248"/>
    </row>
    <row r="1032" spans="49:50">
      <c r="AW1032" s="248"/>
      <c r="AX1032" s="248"/>
    </row>
    <row r="1033" spans="49:50">
      <c r="AW1033" s="248"/>
      <c r="AX1033" s="248"/>
    </row>
    <row r="1034" spans="49:50">
      <c r="AW1034" s="248"/>
      <c r="AX1034" s="248"/>
    </row>
    <row r="1035" spans="49:50">
      <c r="AW1035" s="248"/>
      <c r="AX1035" s="248"/>
    </row>
    <row r="1036" spans="49:50">
      <c r="AW1036" s="248"/>
      <c r="AX1036" s="248"/>
    </row>
    <row r="1037" spans="49:50">
      <c r="AW1037" s="248"/>
      <c r="AX1037" s="248"/>
    </row>
    <row r="1038" spans="49:50">
      <c r="AW1038" s="248"/>
      <c r="AX1038" s="248"/>
    </row>
    <row r="1039" spans="49:50">
      <c r="AW1039" s="248"/>
      <c r="AX1039" s="248"/>
    </row>
    <row r="1040" spans="49:50">
      <c r="AW1040" s="248"/>
      <c r="AX1040" s="248"/>
    </row>
    <row r="1041" spans="49:50">
      <c r="AW1041" s="248"/>
      <c r="AX1041" s="248"/>
    </row>
    <row r="1042" spans="49:50">
      <c r="AW1042" s="248"/>
      <c r="AX1042" s="248"/>
    </row>
    <row r="1043" spans="49:50">
      <c r="AW1043" s="248"/>
      <c r="AX1043" s="248"/>
    </row>
    <row r="1044" spans="49:50">
      <c r="AW1044" s="248"/>
      <c r="AX1044" s="248"/>
    </row>
    <row r="1045" spans="49:50">
      <c r="AW1045" s="248"/>
      <c r="AX1045" s="248"/>
    </row>
    <row r="1046" spans="49:50">
      <c r="AW1046" s="248"/>
      <c r="AX1046" s="248"/>
    </row>
    <row r="1047" spans="49:50">
      <c r="AW1047" s="248"/>
      <c r="AX1047" s="248"/>
    </row>
    <row r="1048" spans="49:50">
      <c r="AW1048" s="248"/>
      <c r="AX1048" s="248"/>
    </row>
    <row r="1049" spans="49:50">
      <c r="AW1049" s="248"/>
      <c r="AX1049" s="248"/>
    </row>
    <row r="1050" spans="49:50">
      <c r="AW1050" s="248"/>
      <c r="AX1050" s="248"/>
    </row>
    <row r="1051" spans="49:50">
      <c r="AW1051" s="248"/>
      <c r="AX1051" s="248"/>
    </row>
    <row r="1052" spans="49:50">
      <c r="AW1052" s="248"/>
      <c r="AX1052" s="248"/>
    </row>
    <row r="1053" spans="49:50">
      <c r="AW1053" s="248"/>
      <c r="AX1053" s="248"/>
    </row>
    <row r="1054" spans="49:50">
      <c r="AW1054" s="248"/>
      <c r="AX1054" s="248"/>
    </row>
    <row r="1055" spans="49:50">
      <c r="AW1055" s="248"/>
      <c r="AX1055" s="248"/>
    </row>
    <row r="1056" spans="49:50">
      <c r="AW1056" s="248"/>
      <c r="AX1056" s="248"/>
    </row>
    <row r="1057" spans="49:50">
      <c r="AW1057" s="248"/>
      <c r="AX1057" s="248"/>
    </row>
    <row r="1058" spans="49:50">
      <c r="AW1058" s="248"/>
      <c r="AX1058" s="248"/>
    </row>
    <row r="1059" spans="49:50">
      <c r="AW1059" s="248"/>
      <c r="AX1059" s="248"/>
    </row>
    <row r="1060" spans="49:50">
      <c r="AW1060" s="248"/>
      <c r="AX1060" s="248"/>
    </row>
    <row r="1061" spans="49:50">
      <c r="AW1061" s="248"/>
      <c r="AX1061" s="248"/>
    </row>
    <row r="1062" spans="49:50">
      <c r="AW1062" s="248"/>
      <c r="AX1062" s="248"/>
    </row>
    <row r="1063" spans="49:50">
      <c r="AW1063" s="248"/>
      <c r="AX1063" s="248"/>
    </row>
    <row r="1064" spans="49:50">
      <c r="AW1064" s="248"/>
      <c r="AX1064" s="248"/>
    </row>
    <row r="1065" spans="49:50">
      <c r="AW1065" s="248"/>
      <c r="AX1065" s="248"/>
    </row>
    <row r="1066" spans="49:50">
      <c r="AW1066" s="248"/>
      <c r="AX1066" s="248"/>
    </row>
    <row r="1067" spans="49:50">
      <c r="AW1067" s="248"/>
      <c r="AX1067" s="248"/>
    </row>
    <row r="1068" spans="49:50">
      <c r="AW1068" s="248"/>
      <c r="AX1068" s="248"/>
    </row>
    <row r="1069" spans="49:50">
      <c r="AW1069" s="248"/>
      <c r="AX1069" s="248"/>
    </row>
    <row r="1070" spans="49:50">
      <c r="AW1070" s="248"/>
      <c r="AX1070" s="248"/>
    </row>
    <row r="1071" spans="49:50">
      <c r="AW1071" s="248"/>
      <c r="AX1071" s="248"/>
    </row>
    <row r="1072" spans="49:50">
      <c r="AW1072" s="248"/>
      <c r="AX1072" s="248"/>
    </row>
    <row r="1073" spans="49:50">
      <c r="AW1073" s="248"/>
      <c r="AX1073" s="248"/>
    </row>
    <row r="1074" spans="49:50">
      <c r="AW1074" s="248"/>
      <c r="AX1074" s="248"/>
    </row>
    <row r="1075" spans="49:50">
      <c r="AW1075" s="248"/>
      <c r="AX1075" s="248"/>
    </row>
    <row r="1076" spans="49:50">
      <c r="AW1076" s="248"/>
      <c r="AX1076" s="248"/>
    </row>
    <row r="1077" spans="49:50">
      <c r="AW1077" s="248"/>
      <c r="AX1077" s="248"/>
    </row>
    <row r="1078" spans="49:50">
      <c r="AW1078" s="248"/>
      <c r="AX1078" s="248"/>
    </row>
    <row r="1079" spans="49:50">
      <c r="AW1079" s="248"/>
      <c r="AX1079" s="248"/>
    </row>
    <row r="1080" spans="49:50">
      <c r="AW1080" s="248"/>
      <c r="AX1080" s="248"/>
    </row>
    <row r="1081" spans="49:50">
      <c r="AW1081" s="248"/>
      <c r="AX1081" s="248"/>
    </row>
    <row r="1082" spans="49:50">
      <c r="AW1082" s="248"/>
      <c r="AX1082" s="248"/>
    </row>
    <row r="1083" spans="49:50">
      <c r="AW1083" s="248"/>
      <c r="AX1083" s="248"/>
    </row>
    <row r="1084" spans="49:50">
      <c r="AW1084" s="248"/>
      <c r="AX1084" s="248"/>
    </row>
    <row r="1085" spans="49:50">
      <c r="AW1085" s="248"/>
      <c r="AX1085" s="248"/>
    </row>
    <row r="1086" spans="49:50">
      <c r="AW1086" s="248"/>
      <c r="AX1086" s="248"/>
    </row>
    <row r="1087" spans="49:50">
      <c r="AW1087" s="248"/>
      <c r="AX1087" s="248"/>
    </row>
    <row r="1088" spans="49:50">
      <c r="AW1088" s="248"/>
      <c r="AX1088" s="248"/>
    </row>
    <row r="1089" spans="49:50">
      <c r="AW1089" s="248"/>
      <c r="AX1089" s="248"/>
    </row>
    <row r="1090" spans="49:50">
      <c r="AW1090" s="248"/>
      <c r="AX1090" s="248"/>
    </row>
    <row r="1091" spans="49:50">
      <c r="AW1091" s="248"/>
      <c r="AX1091" s="248"/>
    </row>
    <row r="1092" spans="49:50">
      <c r="AW1092" s="248"/>
      <c r="AX1092" s="248"/>
    </row>
    <row r="1093" spans="49:50">
      <c r="AW1093" s="248"/>
      <c r="AX1093" s="248"/>
    </row>
    <row r="1094" spans="49:50">
      <c r="AW1094" s="248"/>
      <c r="AX1094" s="248"/>
    </row>
    <row r="1095" spans="49:50">
      <c r="AW1095" s="248"/>
      <c r="AX1095" s="248"/>
    </row>
    <row r="1096" spans="49:50">
      <c r="AW1096" s="248"/>
      <c r="AX1096" s="248"/>
    </row>
    <row r="1097" spans="49:50">
      <c r="AW1097" s="248"/>
      <c r="AX1097" s="248"/>
    </row>
    <row r="1098" spans="49:50">
      <c r="AW1098" s="248"/>
      <c r="AX1098" s="248"/>
    </row>
    <row r="1099" spans="49:50">
      <c r="AW1099" s="248"/>
      <c r="AX1099" s="248"/>
    </row>
    <row r="1100" spans="49:50">
      <c r="AW1100" s="248"/>
      <c r="AX1100" s="248"/>
    </row>
    <row r="1101" spans="49:50">
      <c r="AW1101" s="248"/>
      <c r="AX1101" s="248"/>
    </row>
    <row r="1102" spans="49:50">
      <c r="AW1102" s="248"/>
      <c r="AX1102" s="248"/>
    </row>
    <row r="1103" spans="49:50">
      <c r="AW1103" s="248"/>
      <c r="AX1103" s="248"/>
    </row>
    <row r="1104" spans="49:50">
      <c r="AW1104" s="248"/>
      <c r="AX1104" s="248"/>
    </row>
    <row r="1105" spans="49:50">
      <c r="AW1105" s="248"/>
      <c r="AX1105" s="248"/>
    </row>
    <row r="1106" spans="49:50">
      <c r="AW1106" s="248"/>
      <c r="AX1106" s="248"/>
    </row>
    <row r="1107" spans="49:50">
      <c r="AW1107" s="248"/>
      <c r="AX1107" s="248"/>
    </row>
    <row r="1108" spans="49:50">
      <c r="AW1108" s="248"/>
      <c r="AX1108" s="248"/>
    </row>
    <row r="1109" spans="49:50">
      <c r="AW1109" s="248"/>
      <c r="AX1109" s="248"/>
    </row>
    <row r="1110" spans="49:50">
      <c r="AW1110" s="248"/>
      <c r="AX1110" s="248"/>
    </row>
    <row r="1111" spans="49:50">
      <c r="AW1111" s="248"/>
      <c r="AX1111" s="248"/>
    </row>
    <row r="1112" spans="49:50">
      <c r="AW1112" s="248"/>
      <c r="AX1112" s="248"/>
    </row>
    <row r="1113" spans="49:50">
      <c r="AW1113" s="248"/>
      <c r="AX1113" s="248"/>
    </row>
    <row r="1114" spans="49:50">
      <c r="AW1114" s="248"/>
      <c r="AX1114" s="248"/>
    </row>
    <row r="1115" spans="49:50">
      <c r="AW1115" s="248"/>
      <c r="AX1115" s="248"/>
    </row>
    <row r="1116" spans="49:50">
      <c r="AW1116" s="248"/>
      <c r="AX1116" s="248"/>
    </row>
    <row r="1117" spans="49:50">
      <c r="AW1117" s="248"/>
      <c r="AX1117" s="248"/>
    </row>
    <row r="1118" spans="49:50">
      <c r="AW1118" s="248"/>
      <c r="AX1118" s="248"/>
    </row>
    <row r="1119" spans="49:50">
      <c r="AW1119" s="248"/>
      <c r="AX1119" s="248"/>
    </row>
    <row r="1120" spans="49:50">
      <c r="AW1120" s="248"/>
      <c r="AX1120" s="248"/>
    </row>
    <row r="1121" spans="49:50">
      <c r="AW1121" s="248"/>
      <c r="AX1121" s="248"/>
    </row>
    <row r="1122" spans="49:50">
      <c r="AW1122" s="248"/>
      <c r="AX1122" s="248"/>
    </row>
    <row r="1123" spans="49:50">
      <c r="AW1123" s="248"/>
      <c r="AX1123" s="248"/>
    </row>
    <row r="1124" spans="49:50">
      <c r="AW1124" s="248"/>
      <c r="AX1124" s="248"/>
    </row>
    <row r="1125" spans="49:50">
      <c r="AW1125" s="248"/>
      <c r="AX1125" s="248"/>
    </row>
    <row r="1126" spans="49:50">
      <c r="AW1126" s="248"/>
      <c r="AX1126" s="248"/>
    </row>
    <row r="1127" spans="49:50">
      <c r="AW1127" s="248"/>
      <c r="AX1127" s="248"/>
    </row>
    <row r="1128" spans="49:50">
      <c r="AW1128" s="248"/>
      <c r="AX1128" s="248"/>
    </row>
    <row r="1129" spans="49:50">
      <c r="AW1129" s="248"/>
      <c r="AX1129" s="248"/>
    </row>
    <row r="1130" spans="49:50">
      <c r="AW1130" s="248"/>
      <c r="AX1130" s="248"/>
    </row>
    <row r="1131" spans="49:50">
      <c r="AW1131" s="248"/>
      <c r="AX1131" s="248"/>
    </row>
    <row r="1132" spans="49:50">
      <c r="AW1132" s="248"/>
      <c r="AX1132" s="248"/>
    </row>
    <row r="1133" spans="49:50">
      <c r="AW1133" s="248"/>
      <c r="AX1133" s="248"/>
    </row>
    <row r="1134" spans="49:50">
      <c r="AW1134" s="248"/>
      <c r="AX1134" s="248"/>
    </row>
    <row r="1135" spans="49:50">
      <c r="AW1135" s="248"/>
      <c r="AX1135" s="248"/>
    </row>
    <row r="1136" spans="49:50">
      <c r="AW1136" s="248"/>
      <c r="AX1136" s="248"/>
    </row>
    <row r="1137" spans="49:50">
      <c r="AW1137" s="248"/>
      <c r="AX1137" s="248"/>
    </row>
    <row r="1138" spans="49:50">
      <c r="AW1138" s="248"/>
      <c r="AX1138" s="248"/>
    </row>
    <row r="1139" spans="49:50">
      <c r="AW1139" s="248"/>
      <c r="AX1139" s="248"/>
    </row>
    <row r="1140" spans="49:50">
      <c r="AW1140" s="248"/>
      <c r="AX1140" s="248"/>
    </row>
    <row r="1141" spans="49:50">
      <c r="AW1141" s="248"/>
      <c r="AX1141" s="248"/>
    </row>
    <row r="1142" spans="49:50">
      <c r="AW1142" s="248"/>
      <c r="AX1142" s="248"/>
    </row>
    <row r="1143" spans="49:50">
      <c r="AW1143" s="248"/>
      <c r="AX1143" s="248"/>
    </row>
    <row r="1144" spans="49:50">
      <c r="AW1144" s="248"/>
      <c r="AX1144" s="248"/>
    </row>
    <row r="1145" spans="49:50">
      <c r="AW1145" s="248"/>
      <c r="AX1145" s="248"/>
    </row>
    <row r="1146" spans="49:50">
      <c r="AW1146" s="248"/>
      <c r="AX1146" s="248"/>
    </row>
    <row r="1147" spans="49:50">
      <c r="AW1147" s="248"/>
      <c r="AX1147" s="248"/>
    </row>
    <row r="1148" spans="49:50">
      <c r="AW1148" s="248"/>
      <c r="AX1148" s="248"/>
    </row>
    <row r="1149" spans="49:50">
      <c r="AW1149" s="248"/>
      <c r="AX1149" s="248"/>
    </row>
    <row r="1150" spans="49:50">
      <c r="AW1150" s="248"/>
      <c r="AX1150" s="248"/>
    </row>
    <row r="1151" spans="49:50">
      <c r="AW1151" s="248"/>
      <c r="AX1151" s="248"/>
    </row>
    <row r="1152" spans="49:50">
      <c r="AW1152" s="248"/>
      <c r="AX1152" s="248"/>
    </row>
    <row r="1153" spans="49:50">
      <c r="AW1153" s="248"/>
      <c r="AX1153" s="248"/>
    </row>
    <row r="1154" spans="49:50">
      <c r="AW1154" s="248"/>
      <c r="AX1154" s="248"/>
    </row>
    <row r="1155" spans="49:50">
      <c r="AW1155" s="248"/>
      <c r="AX1155" s="248"/>
    </row>
    <row r="1156" spans="49:50">
      <c r="AW1156" s="248"/>
      <c r="AX1156" s="248"/>
    </row>
    <row r="1157" spans="49:50">
      <c r="AW1157" s="248"/>
      <c r="AX1157" s="248"/>
    </row>
    <row r="1158" spans="49:50">
      <c r="AW1158" s="248"/>
      <c r="AX1158" s="248"/>
    </row>
    <row r="1159" spans="49:50">
      <c r="AW1159" s="248"/>
      <c r="AX1159" s="248"/>
    </row>
    <row r="1160" spans="49:50">
      <c r="AW1160" s="248"/>
      <c r="AX1160" s="248"/>
    </row>
    <row r="1161" spans="49:50">
      <c r="AW1161" s="248"/>
      <c r="AX1161" s="248"/>
    </row>
    <row r="1162" spans="49:50">
      <c r="AW1162" s="248"/>
      <c r="AX1162" s="248"/>
    </row>
    <row r="1163" spans="49:50">
      <c r="AW1163" s="248"/>
      <c r="AX1163" s="248"/>
    </row>
    <row r="1164" spans="49:50">
      <c r="AW1164" s="248"/>
      <c r="AX1164" s="248"/>
    </row>
    <row r="1165" spans="49:50">
      <c r="AW1165" s="248"/>
      <c r="AX1165" s="248"/>
    </row>
    <row r="1166" spans="49:50">
      <c r="AW1166" s="248"/>
      <c r="AX1166" s="248"/>
    </row>
    <row r="1167" spans="49:50">
      <c r="AW1167" s="248"/>
      <c r="AX1167" s="248"/>
    </row>
    <row r="1168" spans="49:50">
      <c r="AW1168" s="248"/>
      <c r="AX1168" s="248"/>
    </row>
    <row r="1169" spans="49:50">
      <c r="AW1169" s="248"/>
      <c r="AX1169" s="248"/>
    </row>
    <row r="1170" spans="49:50">
      <c r="AW1170" s="248"/>
      <c r="AX1170" s="248"/>
    </row>
    <row r="1171" spans="49:50">
      <c r="AW1171" s="248"/>
      <c r="AX1171" s="248"/>
    </row>
    <row r="1172" spans="49:50">
      <c r="AW1172" s="248"/>
      <c r="AX1172" s="248"/>
    </row>
    <row r="1173" spans="49:50">
      <c r="AW1173" s="248"/>
      <c r="AX1173" s="248"/>
    </row>
    <row r="1174" spans="49:50">
      <c r="AW1174" s="248"/>
      <c r="AX1174" s="248"/>
    </row>
    <row r="1175" spans="49:50">
      <c r="AW1175" s="248"/>
      <c r="AX1175" s="248"/>
    </row>
    <row r="1176" spans="49:50">
      <c r="AW1176" s="248"/>
      <c r="AX1176" s="248"/>
    </row>
    <row r="1177" spans="49:50">
      <c r="AW1177" s="248"/>
      <c r="AX1177" s="248"/>
    </row>
    <row r="1178" spans="49:50">
      <c r="AW1178" s="248"/>
      <c r="AX1178" s="248"/>
    </row>
    <row r="1179" spans="49:50">
      <c r="AW1179" s="248"/>
      <c r="AX1179" s="248"/>
    </row>
    <row r="1180" spans="49:50">
      <c r="AW1180" s="248"/>
      <c r="AX1180" s="248"/>
    </row>
    <row r="1181" spans="49:50">
      <c r="AW1181" s="248"/>
      <c r="AX1181" s="248"/>
    </row>
    <row r="1182" spans="49:50">
      <c r="AW1182" s="248"/>
      <c r="AX1182" s="248"/>
    </row>
    <row r="1183" spans="49:50">
      <c r="AW1183" s="248"/>
      <c r="AX1183" s="248"/>
    </row>
    <row r="1184" spans="49:50">
      <c r="AW1184" s="248"/>
      <c r="AX1184" s="248"/>
    </row>
    <row r="1185" spans="49:50">
      <c r="AW1185" s="248"/>
      <c r="AX1185" s="248"/>
    </row>
    <row r="1186" spans="49:50">
      <c r="AW1186" s="248"/>
      <c r="AX1186" s="248"/>
    </row>
    <row r="1187" spans="49:50">
      <c r="AW1187" s="248"/>
      <c r="AX1187" s="248"/>
    </row>
    <row r="1188" spans="49:50">
      <c r="AW1188" s="248"/>
      <c r="AX1188" s="248"/>
    </row>
    <row r="1189" spans="49:50">
      <c r="AW1189" s="248"/>
      <c r="AX1189" s="248"/>
    </row>
    <row r="1190" spans="49:50">
      <c r="AW1190" s="248"/>
      <c r="AX1190" s="248"/>
    </row>
    <row r="1191" spans="49:50">
      <c r="AW1191" s="248"/>
      <c r="AX1191" s="248"/>
    </row>
    <row r="1192" spans="49:50">
      <c r="AW1192" s="248"/>
      <c r="AX1192" s="248"/>
    </row>
    <row r="1193" spans="49:50">
      <c r="AW1193" s="248"/>
      <c r="AX1193" s="248"/>
    </row>
    <row r="1194" spans="49:50">
      <c r="AW1194" s="248"/>
      <c r="AX1194" s="248"/>
    </row>
    <row r="1195" spans="49:50">
      <c r="AW1195" s="248"/>
      <c r="AX1195" s="248"/>
    </row>
    <row r="1196" spans="49:50">
      <c r="AW1196" s="248"/>
      <c r="AX1196" s="248"/>
    </row>
    <row r="1197" spans="49:50">
      <c r="AW1197" s="248"/>
      <c r="AX1197" s="248"/>
    </row>
    <row r="1198" spans="49:50">
      <c r="AW1198" s="248"/>
      <c r="AX1198" s="248"/>
    </row>
    <row r="1199" spans="49:50">
      <c r="AW1199" s="248"/>
      <c r="AX1199" s="248"/>
    </row>
    <row r="1200" spans="49:50">
      <c r="AW1200" s="248"/>
      <c r="AX1200" s="248"/>
    </row>
    <row r="1201" spans="49:50">
      <c r="AW1201" s="248"/>
      <c r="AX1201" s="248"/>
    </row>
    <row r="1202" spans="49:50">
      <c r="AW1202" s="248"/>
      <c r="AX1202" s="248"/>
    </row>
    <row r="1203" spans="49:50">
      <c r="AW1203" s="248"/>
      <c r="AX1203" s="248"/>
    </row>
    <row r="1204" spans="49:50">
      <c r="AW1204" s="248"/>
      <c r="AX1204" s="248"/>
    </row>
    <row r="1205" spans="49:50">
      <c r="AW1205" s="248"/>
      <c r="AX1205" s="248"/>
    </row>
    <row r="1206" spans="49:50">
      <c r="AW1206" s="248"/>
      <c r="AX1206" s="248"/>
    </row>
    <row r="1207" spans="49:50">
      <c r="AW1207" s="248"/>
      <c r="AX1207" s="248"/>
    </row>
    <row r="1208" spans="49:50">
      <c r="AW1208" s="248"/>
      <c r="AX1208" s="248"/>
    </row>
    <row r="1209" spans="49:50">
      <c r="AW1209" s="248"/>
      <c r="AX1209" s="248"/>
    </row>
    <row r="1210" spans="49:50">
      <c r="AW1210" s="248"/>
      <c r="AX1210" s="248"/>
    </row>
    <row r="1211" spans="49:50">
      <c r="AW1211" s="248"/>
      <c r="AX1211" s="248"/>
    </row>
    <row r="1212" spans="49:50">
      <c r="AW1212" s="248"/>
      <c r="AX1212" s="248"/>
    </row>
    <row r="1213" spans="49:50">
      <c r="AW1213" s="248"/>
      <c r="AX1213" s="248"/>
    </row>
    <row r="1214" spans="49:50">
      <c r="AW1214" s="248"/>
      <c r="AX1214" s="248"/>
    </row>
    <row r="1215" spans="49:50">
      <c r="AW1215" s="248"/>
      <c r="AX1215" s="248"/>
    </row>
    <row r="1216" spans="49:50">
      <c r="AW1216" s="248"/>
      <c r="AX1216" s="248"/>
    </row>
    <row r="1217" spans="49:50">
      <c r="AW1217" s="248"/>
      <c r="AX1217" s="248"/>
    </row>
    <row r="1218" spans="49:50">
      <c r="AW1218" s="248"/>
      <c r="AX1218" s="248"/>
    </row>
    <row r="1219" spans="49:50">
      <c r="AW1219" s="248"/>
      <c r="AX1219" s="248"/>
    </row>
    <row r="1220" spans="49:50">
      <c r="AW1220" s="248"/>
      <c r="AX1220" s="248"/>
    </row>
    <row r="1221" spans="49:50">
      <c r="AW1221" s="248"/>
      <c r="AX1221" s="248"/>
    </row>
    <row r="1222" spans="49:50">
      <c r="AW1222" s="248"/>
      <c r="AX1222" s="248"/>
    </row>
    <row r="1223" spans="49:50">
      <c r="AW1223" s="248"/>
      <c r="AX1223" s="248"/>
    </row>
    <row r="1224" spans="49:50">
      <c r="AW1224" s="248"/>
      <c r="AX1224" s="248"/>
    </row>
    <row r="1225" spans="49:50">
      <c r="AW1225" s="248"/>
      <c r="AX1225" s="248"/>
    </row>
    <row r="1226" spans="49:50">
      <c r="AW1226" s="248"/>
      <c r="AX1226" s="248"/>
    </row>
    <row r="1227" spans="49:50">
      <c r="AW1227" s="248"/>
      <c r="AX1227" s="248"/>
    </row>
    <row r="1228" spans="49:50">
      <c r="AW1228" s="248"/>
      <c r="AX1228" s="248"/>
    </row>
    <row r="1229" spans="49:50">
      <c r="AW1229" s="248"/>
      <c r="AX1229" s="248"/>
    </row>
    <row r="1230" spans="49:50">
      <c r="AW1230" s="248"/>
      <c r="AX1230" s="248"/>
    </row>
    <row r="1231" spans="49:50">
      <c r="AW1231" s="248"/>
      <c r="AX1231" s="248"/>
    </row>
    <row r="1232" spans="49:50">
      <c r="AW1232" s="248"/>
      <c r="AX1232" s="248"/>
    </row>
    <row r="1233" spans="49:50">
      <c r="AW1233" s="248"/>
      <c r="AX1233" s="248"/>
    </row>
    <row r="1234" spans="49:50">
      <c r="AW1234" s="248"/>
      <c r="AX1234" s="248"/>
    </row>
    <row r="1235" spans="49:50">
      <c r="AW1235" s="248"/>
      <c r="AX1235" s="248"/>
    </row>
    <row r="1236" spans="49:50">
      <c r="AW1236" s="248"/>
      <c r="AX1236" s="248"/>
    </row>
    <row r="1237" spans="49:50">
      <c r="AW1237" s="248"/>
      <c r="AX1237" s="248"/>
    </row>
    <row r="1238" spans="49:50">
      <c r="AW1238" s="248"/>
      <c r="AX1238" s="248"/>
    </row>
    <row r="1239" spans="49:50">
      <c r="AW1239" s="248"/>
      <c r="AX1239" s="248"/>
    </row>
    <row r="1240" spans="49:50">
      <c r="AW1240" s="248"/>
      <c r="AX1240" s="248"/>
    </row>
    <row r="1241" spans="49:50">
      <c r="AW1241" s="248"/>
      <c r="AX1241" s="248"/>
    </row>
    <row r="1242" spans="49:50">
      <c r="AW1242" s="248"/>
      <c r="AX1242" s="248"/>
    </row>
    <row r="1243" spans="49:50">
      <c r="AW1243" s="248"/>
      <c r="AX1243" s="248"/>
    </row>
    <row r="1244" spans="49:50">
      <c r="AW1244" s="248"/>
      <c r="AX1244" s="248"/>
    </row>
    <row r="1245" spans="49:50">
      <c r="AW1245" s="248"/>
      <c r="AX1245" s="248"/>
    </row>
    <row r="1246" spans="49:50">
      <c r="AW1246" s="248"/>
      <c r="AX1246" s="248"/>
    </row>
    <row r="1247" spans="49:50">
      <c r="AW1247" s="248"/>
      <c r="AX1247" s="248"/>
    </row>
    <row r="1248" spans="49:50">
      <c r="AW1248" s="248"/>
      <c r="AX1248" s="248"/>
    </row>
    <row r="1249" spans="49:50">
      <c r="AW1249" s="248"/>
      <c r="AX1249" s="248"/>
    </row>
    <row r="1250" spans="49:50">
      <c r="AW1250" s="248"/>
      <c r="AX1250" s="248"/>
    </row>
    <row r="1251" spans="49:50">
      <c r="AW1251" s="248"/>
      <c r="AX1251" s="248"/>
    </row>
    <row r="1252" spans="49:50">
      <c r="AW1252" s="248"/>
      <c r="AX1252" s="248"/>
    </row>
    <row r="1253" spans="49:50">
      <c r="AW1253" s="248"/>
      <c r="AX1253" s="248"/>
    </row>
    <row r="1254" spans="49:50">
      <c r="AW1254" s="248"/>
      <c r="AX1254" s="248"/>
    </row>
    <row r="1255" spans="49:50">
      <c r="AW1255" s="248"/>
      <c r="AX1255" s="248"/>
    </row>
    <row r="1256" spans="49:50">
      <c r="AW1256" s="248"/>
      <c r="AX1256" s="248"/>
    </row>
    <row r="1257" spans="49:50">
      <c r="AW1257" s="248"/>
      <c r="AX1257" s="248"/>
    </row>
    <row r="1258" spans="49:50">
      <c r="AW1258" s="248"/>
      <c r="AX1258" s="248"/>
    </row>
    <row r="1259" spans="49:50">
      <c r="AW1259" s="248"/>
      <c r="AX1259" s="248"/>
    </row>
    <row r="1260" spans="49:50">
      <c r="AW1260" s="248"/>
      <c r="AX1260" s="248"/>
    </row>
    <row r="1261" spans="49:50">
      <c r="AW1261" s="248"/>
      <c r="AX1261" s="248"/>
    </row>
    <row r="1262" spans="49:50">
      <c r="AW1262" s="248"/>
      <c r="AX1262" s="248"/>
    </row>
    <row r="1263" spans="49:50">
      <c r="AW1263" s="248"/>
      <c r="AX1263" s="248"/>
    </row>
    <row r="1264" spans="49:50">
      <c r="AW1264" s="248"/>
      <c r="AX1264" s="248"/>
    </row>
    <row r="1265" spans="49:50">
      <c r="AW1265" s="248"/>
      <c r="AX1265" s="248"/>
    </row>
    <row r="1266" spans="49:50">
      <c r="AW1266" s="248"/>
      <c r="AX1266" s="248"/>
    </row>
    <row r="1267" spans="49:50">
      <c r="AW1267" s="248"/>
      <c r="AX1267" s="248"/>
    </row>
    <row r="1268" spans="49:50">
      <c r="AW1268" s="248"/>
      <c r="AX1268" s="248"/>
    </row>
    <row r="1269" spans="49:50">
      <c r="AW1269" s="248"/>
      <c r="AX1269" s="248"/>
    </row>
    <row r="1270" spans="49:50">
      <c r="AW1270" s="248"/>
      <c r="AX1270" s="248"/>
    </row>
    <row r="1271" spans="49:50">
      <c r="AW1271" s="248"/>
      <c r="AX1271" s="248"/>
    </row>
    <row r="1272" spans="49:50">
      <c r="AW1272" s="248"/>
      <c r="AX1272" s="248"/>
    </row>
    <row r="1273" spans="49:50">
      <c r="AW1273" s="248"/>
      <c r="AX1273" s="248"/>
    </row>
    <row r="1274" spans="49:50">
      <c r="AW1274" s="248"/>
      <c r="AX1274" s="248"/>
    </row>
    <row r="1275" spans="49:50">
      <c r="AW1275" s="248"/>
      <c r="AX1275" s="248"/>
    </row>
    <row r="1276" spans="49:50">
      <c r="AW1276" s="248"/>
      <c r="AX1276" s="248"/>
    </row>
    <row r="1277" spans="49:50">
      <c r="AW1277" s="248"/>
      <c r="AX1277" s="248"/>
    </row>
    <row r="1278" spans="49:50">
      <c r="AW1278" s="248"/>
      <c r="AX1278" s="248"/>
    </row>
    <row r="1279" spans="49:50">
      <c r="AW1279" s="248"/>
      <c r="AX1279" s="248"/>
    </row>
    <row r="1280" spans="49:50">
      <c r="AW1280" s="248"/>
      <c r="AX1280" s="248"/>
    </row>
    <row r="1281" spans="49:50">
      <c r="AW1281" s="248"/>
      <c r="AX1281" s="248"/>
    </row>
    <row r="1282" spans="49:50">
      <c r="AW1282" s="248"/>
      <c r="AX1282" s="248"/>
    </row>
    <row r="1283" spans="49:50">
      <c r="AW1283" s="248"/>
      <c r="AX1283" s="248"/>
    </row>
    <row r="1284" spans="49:50">
      <c r="AW1284" s="248"/>
      <c r="AX1284" s="248"/>
    </row>
    <row r="1285" spans="49:50">
      <c r="AW1285" s="248"/>
      <c r="AX1285" s="248"/>
    </row>
    <row r="1286" spans="49:50">
      <c r="AW1286" s="248"/>
      <c r="AX1286" s="248"/>
    </row>
    <row r="1287" spans="49:50">
      <c r="AW1287" s="248"/>
      <c r="AX1287" s="248"/>
    </row>
    <row r="1288" spans="49:50">
      <c r="AW1288" s="248"/>
      <c r="AX1288" s="248"/>
    </row>
    <row r="1289" spans="49:50">
      <c r="AW1289" s="248"/>
      <c r="AX1289" s="248"/>
    </row>
    <row r="1290" spans="49:50">
      <c r="AW1290" s="248"/>
      <c r="AX1290" s="248"/>
    </row>
    <row r="1291" spans="49:50">
      <c r="AW1291" s="248"/>
      <c r="AX1291" s="248"/>
    </row>
    <row r="1292" spans="49:50">
      <c r="AW1292" s="248"/>
      <c r="AX1292" s="248"/>
    </row>
    <row r="1293" spans="49:50">
      <c r="AW1293" s="248"/>
      <c r="AX1293" s="248"/>
    </row>
    <row r="1294" spans="49:50">
      <c r="AW1294" s="248"/>
      <c r="AX1294" s="248"/>
    </row>
    <row r="1295" spans="49:50">
      <c r="AW1295" s="248"/>
      <c r="AX1295" s="248"/>
    </row>
    <row r="1296" spans="49:50">
      <c r="AW1296" s="248"/>
      <c r="AX1296" s="248"/>
    </row>
    <row r="1297" spans="49:50">
      <c r="AW1297" s="248"/>
      <c r="AX1297" s="248"/>
    </row>
    <row r="1298" spans="49:50">
      <c r="AW1298" s="248"/>
      <c r="AX1298" s="248"/>
    </row>
    <row r="1299" spans="49:50">
      <c r="AW1299" s="248"/>
      <c r="AX1299" s="248"/>
    </row>
    <row r="1300" spans="49:50">
      <c r="AW1300" s="248"/>
      <c r="AX1300" s="248"/>
    </row>
    <row r="1301" spans="49:50">
      <c r="AW1301" s="248"/>
      <c r="AX1301" s="248"/>
    </row>
    <row r="1302" spans="49:50">
      <c r="AW1302" s="248"/>
      <c r="AX1302" s="248"/>
    </row>
    <row r="1303" spans="49:50">
      <c r="AW1303" s="248"/>
      <c r="AX1303" s="248"/>
    </row>
    <row r="1304" spans="49:50">
      <c r="AW1304" s="248"/>
      <c r="AX1304" s="248"/>
    </row>
    <row r="1305" spans="49:50">
      <c r="AW1305" s="248"/>
      <c r="AX1305" s="248"/>
    </row>
    <row r="1306" spans="49:50">
      <c r="AW1306" s="248"/>
      <c r="AX1306" s="248"/>
    </row>
    <row r="1307" spans="49:50">
      <c r="AW1307" s="248"/>
      <c r="AX1307" s="248"/>
    </row>
    <row r="1308" spans="49:50">
      <c r="AW1308" s="248"/>
      <c r="AX1308" s="248"/>
    </row>
    <row r="1309" spans="49:50">
      <c r="AW1309" s="248"/>
      <c r="AX1309" s="248"/>
    </row>
    <row r="1310" spans="49:50">
      <c r="AW1310" s="248"/>
      <c r="AX1310" s="248"/>
    </row>
    <row r="1311" spans="49:50">
      <c r="AW1311" s="248"/>
      <c r="AX1311" s="248"/>
    </row>
    <row r="1312" spans="49:50">
      <c r="AW1312" s="248"/>
      <c r="AX1312" s="248"/>
    </row>
    <row r="1313" spans="49:50">
      <c r="AW1313" s="248"/>
      <c r="AX1313" s="248"/>
    </row>
    <row r="1314" spans="49:50">
      <c r="AW1314" s="248"/>
      <c r="AX1314" s="248"/>
    </row>
    <row r="1315" spans="49:50">
      <c r="AW1315" s="248"/>
      <c r="AX1315" s="248"/>
    </row>
    <row r="1316" spans="49:50">
      <c r="AW1316" s="248"/>
      <c r="AX1316" s="248"/>
    </row>
    <row r="1317" spans="49:50">
      <c r="AW1317" s="248"/>
      <c r="AX1317" s="248"/>
    </row>
    <row r="1318" spans="49:50">
      <c r="AW1318" s="248"/>
      <c r="AX1318" s="248"/>
    </row>
    <row r="1319" spans="49:50">
      <c r="AW1319" s="248"/>
      <c r="AX1319" s="248"/>
    </row>
    <row r="1320" spans="49:50">
      <c r="AW1320" s="248"/>
      <c r="AX1320" s="248"/>
    </row>
    <row r="1321" spans="49:50">
      <c r="AW1321" s="248"/>
      <c r="AX1321" s="248"/>
    </row>
    <row r="1322" spans="49:50">
      <c r="AW1322" s="248"/>
      <c r="AX1322" s="248"/>
    </row>
    <row r="1323" spans="49:50">
      <c r="AW1323" s="248"/>
      <c r="AX1323" s="248"/>
    </row>
    <row r="1324" spans="49:50">
      <c r="AW1324" s="248"/>
      <c r="AX1324" s="248"/>
    </row>
    <row r="1325" spans="49:50">
      <c r="AW1325" s="248"/>
      <c r="AX1325" s="248"/>
    </row>
    <row r="1326" spans="49:50">
      <c r="AW1326" s="248"/>
      <c r="AX1326" s="248"/>
    </row>
    <row r="1327" spans="49:50">
      <c r="AW1327" s="248"/>
      <c r="AX1327" s="248"/>
    </row>
    <row r="1328" spans="49:50">
      <c r="AW1328" s="248"/>
      <c r="AX1328" s="248"/>
    </row>
    <row r="1329" spans="49:50">
      <c r="AW1329" s="248"/>
      <c r="AX1329" s="248"/>
    </row>
    <row r="1330" spans="49:50">
      <c r="AW1330" s="248"/>
      <c r="AX1330" s="248"/>
    </row>
    <row r="1331" spans="49:50">
      <c r="AW1331" s="248"/>
      <c r="AX1331" s="248"/>
    </row>
    <row r="1332" spans="49:50">
      <c r="AW1332" s="248"/>
      <c r="AX1332" s="248"/>
    </row>
    <row r="1333" spans="49:50">
      <c r="AW1333" s="248"/>
      <c r="AX1333" s="248"/>
    </row>
    <row r="1334" spans="49:50">
      <c r="AW1334" s="248"/>
      <c r="AX1334" s="248"/>
    </row>
    <row r="1335" spans="49:50">
      <c r="AW1335" s="248"/>
      <c r="AX1335" s="248"/>
    </row>
    <row r="1336" spans="49:50">
      <c r="AW1336" s="248"/>
      <c r="AX1336" s="248"/>
    </row>
    <row r="1337" spans="49:50">
      <c r="AW1337" s="248"/>
      <c r="AX1337" s="248"/>
    </row>
    <row r="1338" spans="49:50">
      <c r="AW1338" s="248"/>
      <c r="AX1338" s="248"/>
    </row>
    <row r="1339" spans="49:50">
      <c r="AW1339" s="248"/>
      <c r="AX1339" s="248"/>
    </row>
    <row r="1340" spans="49:50">
      <c r="AW1340" s="248"/>
      <c r="AX1340" s="248"/>
    </row>
    <row r="1341" spans="49:50">
      <c r="AW1341" s="248"/>
      <c r="AX1341" s="248"/>
    </row>
    <row r="1342" spans="49:50">
      <c r="AW1342" s="248"/>
      <c r="AX1342" s="248"/>
    </row>
    <row r="1343" spans="49:50">
      <c r="AW1343" s="248"/>
      <c r="AX1343" s="248"/>
    </row>
    <row r="1344" spans="49:50">
      <c r="AW1344" s="248"/>
      <c r="AX1344" s="248"/>
    </row>
    <row r="1345" spans="49:50">
      <c r="AW1345" s="248"/>
      <c r="AX1345" s="248"/>
    </row>
    <row r="1346" spans="49:50">
      <c r="AW1346" s="248"/>
      <c r="AX1346" s="248"/>
    </row>
    <row r="1347" spans="49:50">
      <c r="AW1347" s="248"/>
      <c r="AX1347" s="248"/>
    </row>
    <row r="1348" spans="49:50">
      <c r="AW1348" s="248"/>
      <c r="AX1348" s="248"/>
    </row>
    <row r="1349" spans="49:50">
      <c r="AW1349" s="248"/>
      <c r="AX1349" s="248"/>
    </row>
    <row r="1350" spans="49:50">
      <c r="AW1350" s="248"/>
      <c r="AX1350" s="248"/>
    </row>
    <row r="1351" spans="49:50">
      <c r="AW1351" s="248"/>
      <c r="AX1351" s="248"/>
    </row>
    <row r="1352" spans="49:50">
      <c r="AW1352" s="248"/>
      <c r="AX1352" s="248"/>
    </row>
    <row r="1353" spans="49:50">
      <c r="AW1353" s="248"/>
      <c r="AX1353" s="248"/>
    </row>
    <row r="1354" spans="49:50">
      <c r="AW1354" s="248"/>
      <c r="AX1354" s="248"/>
    </row>
    <row r="1355" spans="49:50">
      <c r="AW1355" s="248"/>
      <c r="AX1355" s="248"/>
    </row>
    <row r="1356" spans="49:50">
      <c r="AW1356" s="248"/>
      <c r="AX1356" s="248"/>
    </row>
    <row r="1357" spans="49:50">
      <c r="AW1357" s="248"/>
      <c r="AX1357" s="248"/>
    </row>
    <row r="1358" spans="49:50">
      <c r="AW1358" s="248"/>
      <c r="AX1358" s="248"/>
    </row>
    <row r="1359" spans="49:50">
      <c r="AW1359" s="248"/>
      <c r="AX1359" s="248"/>
    </row>
    <row r="1360" spans="49:50">
      <c r="AW1360" s="248"/>
      <c r="AX1360" s="248"/>
    </row>
    <row r="1361" spans="49:50">
      <c r="AW1361" s="248"/>
      <c r="AX1361" s="248"/>
    </row>
    <row r="1362" spans="49:50">
      <c r="AW1362" s="248"/>
      <c r="AX1362" s="248"/>
    </row>
    <row r="1363" spans="49:50">
      <c r="AW1363" s="248"/>
      <c r="AX1363" s="248"/>
    </row>
    <row r="1364" spans="49:50">
      <c r="AW1364" s="248"/>
      <c r="AX1364" s="248"/>
    </row>
    <row r="1365" spans="49:50">
      <c r="AW1365" s="248"/>
      <c r="AX1365" s="248"/>
    </row>
    <row r="1366" spans="49:50">
      <c r="AW1366" s="248"/>
      <c r="AX1366" s="248"/>
    </row>
    <row r="1367" spans="49:50">
      <c r="AW1367" s="248"/>
      <c r="AX1367" s="248"/>
    </row>
    <row r="1368" spans="49:50">
      <c r="AW1368" s="248"/>
      <c r="AX1368" s="248"/>
    </row>
    <row r="1369" spans="49:50">
      <c r="AW1369" s="248"/>
      <c r="AX1369" s="248"/>
    </row>
    <row r="1370" spans="49:50">
      <c r="AW1370" s="248"/>
      <c r="AX1370" s="248"/>
    </row>
    <row r="1371" spans="49:50">
      <c r="AW1371" s="248"/>
      <c r="AX1371" s="248"/>
    </row>
    <row r="1372" spans="49:50">
      <c r="AW1372" s="248"/>
      <c r="AX1372" s="248"/>
    </row>
    <row r="1373" spans="49:50">
      <c r="AW1373" s="248"/>
      <c r="AX1373" s="248"/>
    </row>
    <row r="1374" spans="49:50">
      <c r="AW1374" s="248"/>
      <c r="AX1374" s="248"/>
    </row>
    <row r="1375" spans="49:50">
      <c r="AW1375" s="248"/>
      <c r="AX1375" s="248"/>
    </row>
    <row r="1376" spans="49:50">
      <c r="AW1376" s="248"/>
      <c r="AX1376" s="248"/>
    </row>
    <row r="1377" spans="49:50">
      <c r="AW1377" s="248"/>
      <c r="AX1377" s="248"/>
    </row>
    <row r="1378" spans="49:50">
      <c r="AW1378" s="248"/>
      <c r="AX1378" s="248"/>
    </row>
    <row r="1379" spans="49:50">
      <c r="AW1379" s="248"/>
      <c r="AX1379" s="248"/>
    </row>
    <row r="1380" spans="49:50">
      <c r="AW1380" s="248"/>
      <c r="AX1380" s="248"/>
    </row>
    <row r="1381" spans="49:50">
      <c r="AW1381" s="248"/>
      <c r="AX1381" s="248"/>
    </row>
    <row r="1382" spans="49:50">
      <c r="AW1382" s="248"/>
      <c r="AX1382" s="248"/>
    </row>
    <row r="1383" spans="49:50">
      <c r="AW1383" s="248"/>
      <c r="AX1383" s="248"/>
    </row>
    <row r="1384" spans="49:50">
      <c r="AW1384" s="248"/>
      <c r="AX1384" s="248"/>
    </row>
    <row r="1385" spans="49:50">
      <c r="AW1385" s="248"/>
      <c r="AX1385" s="248"/>
    </row>
    <row r="1386" spans="49:50">
      <c r="AW1386" s="248"/>
      <c r="AX1386" s="248"/>
    </row>
    <row r="1387" spans="49:50">
      <c r="AW1387" s="248"/>
      <c r="AX1387" s="248"/>
    </row>
    <row r="1388" spans="49:50">
      <c r="AW1388" s="248"/>
      <c r="AX1388" s="248"/>
    </row>
    <row r="1389" spans="49:50">
      <c r="AW1389" s="248"/>
      <c r="AX1389" s="248"/>
    </row>
    <row r="1390" spans="49:50">
      <c r="AW1390" s="248"/>
      <c r="AX1390" s="248"/>
    </row>
    <row r="1391" spans="49:50">
      <c r="AW1391" s="248"/>
      <c r="AX1391" s="248"/>
    </row>
    <row r="1392" spans="49:50">
      <c r="AW1392" s="248"/>
      <c r="AX1392" s="248"/>
    </row>
    <row r="1393" spans="49:50">
      <c r="AW1393" s="248"/>
      <c r="AX1393" s="248"/>
    </row>
    <row r="1394" spans="49:50">
      <c r="AW1394" s="248"/>
      <c r="AX1394" s="248"/>
    </row>
    <row r="1395" spans="49:50">
      <c r="AW1395" s="248"/>
      <c r="AX1395" s="248"/>
    </row>
    <row r="1396" spans="49:50">
      <c r="AW1396" s="248"/>
      <c r="AX1396" s="248"/>
    </row>
    <row r="1397" spans="49:50">
      <c r="AW1397" s="248"/>
      <c r="AX1397" s="248"/>
    </row>
    <row r="1398" spans="49:50">
      <c r="AW1398" s="248"/>
      <c r="AX1398" s="248"/>
    </row>
    <row r="1399" spans="49:50">
      <c r="AW1399" s="248"/>
      <c r="AX1399" s="248"/>
    </row>
    <row r="1400" spans="49:50">
      <c r="AW1400" s="248"/>
      <c r="AX1400" s="248"/>
    </row>
    <row r="1401" spans="49:50">
      <c r="AW1401" s="248"/>
      <c r="AX1401" s="248"/>
    </row>
    <row r="1402" spans="49:50">
      <c r="AW1402" s="248"/>
      <c r="AX1402" s="248"/>
    </row>
    <row r="1403" spans="49:50">
      <c r="AW1403" s="248"/>
      <c r="AX1403" s="248"/>
    </row>
    <row r="1404" spans="49:50">
      <c r="AW1404" s="248"/>
      <c r="AX1404" s="248"/>
    </row>
    <row r="1405" spans="49:50">
      <c r="AW1405" s="248"/>
      <c r="AX1405" s="248"/>
    </row>
    <row r="1406" spans="49:50">
      <c r="AW1406" s="248"/>
      <c r="AX1406" s="248"/>
    </row>
    <row r="1407" spans="49:50">
      <c r="AW1407" s="248"/>
      <c r="AX1407" s="248"/>
    </row>
    <row r="1408" spans="49:50">
      <c r="AW1408" s="248"/>
      <c r="AX1408" s="248"/>
    </row>
    <row r="1409" spans="49:50">
      <c r="AW1409" s="248"/>
      <c r="AX1409" s="248"/>
    </row>
    <row r="1410" spans="49:50">
      <c r="AW1410" s="248"/>
      <c r="AX1410" s="248"/>
    </row>
    <row r="1411" spans="49:50">
      <c r="AW1411" s="248"/>
      <c r="AX1411" s="248"/>
    </row>
    <row r="1412" spans="49:50">
      <c r="AW1412" s="248"/>
      <c r="AX1412" s="248"/>
    </row>
    <row r="1413" spans="49:50">
      <c r="AW1413" s="248"/>
      <c r="AX1413" s="248"/>
    </row>
    <row r="1414" spans="49:50">
      <c r="AW1414" s="248"/>
      <c r="AX1414" s="248"/>
    </row>
    <row r="1415" spans="49:50">
      <c r="AW1415" s="248"/>
      <c r="AX1415" s="248"/>
    </row>
    <row r="1416" spans="49:50">
      <c r="AW1416" s="248"/>
      <c r="AX1416" s="248"/>
    </row>
    <row r="1417" spans="49:50">
      <c r="AW1417" s="248"/>
      <c r="AX1417" s="248"/>
    </row>
    <row r="1418" spans="49:50">
      <c r="AW1418" s="248"/>
      <c r="AX1418" s="248"/>
    </row>
    <row r="1419" spans="49:50">
      <c r="AW1419" s="248"/>
      <c r="AX1419" s="248"/>
    </row>
    <row r="1420" spans="49:50">
      <c r="AW1420" s="248"/>
      <c r="AX1420" s="248"/>
    </row>
    <row r="1421" spans="49:50">
      <c r="AW1421" s="248"/>
      <c r="AX1421" s="248"/>
    </row>
    <row r="1422" spans="49:50">
      <c r="AW1422" s="248"/>
      <c r="AX1422" s="248"/>
    </row>
    <row r="1423" spans="49:50">
      <c r="AW1423" s="248"/>
      <c r="AX1423" s="248"/>
    </row>
    <row r="1424" spans="49:50">
      <c r="AW1424" s="248"/>
      <c r="AX1424" s="248"/>
    </row>
    <row r="1425" spans="49:50">
      <c r="AW1425" s="248"/>
      <c r="AX1425" s="248"/>
    </row>
    <row r="1426" spans="49:50">
      <c r="AW1426" s="248"/>
      <c r="AX1426" s="248"/>
    </row>
    <row r="1427" spans="49:50">
      <c r="AW1427" s="248"/>
      <c r="AX1427" s="248"/>
    </row>
    <row r="1428" spans="49:50">
      <c r="AW1428" s="248"/>
      <c r="AX1428" s="248"/>
    </row>
    <row r="1429" spans="49:50">
      <c r="AW1429" s="248"/>
      <c r="AX1429" s="248"/>
    </row>
    <row r="1430" spans="49:50">
      <c r="AW1430" s="248"/>
      <c r="AX1430" s="248"/>
    </row>
    <row r="1431" spans="49:50">
      <c r="AW1431" s="248"/>
      <c r="AX1431" s="248"/>
    </row>
    <row r="1432" spans="49:50">
      <c r="AW1432" s="248"/>
      <c r="AX1432" s="248"/>
    </row>
    <row r="1433" spans="49:50">
      <c r="AW1433" s="248"/>
      <c r="AX1433" s="248"/>
    </row>
    <row r="1434" spans="49:50">
      <c r="AW1434" s="248"/>
      <c r="AX1434" s="248"/>
    </row>
    <row r="1435" spans="49:50">
      <c r="AW1435" s="248"/>
      <c r="AX1435" s="248"/>
    </row>
    <row r="1436" spans="49:50">
      <c r="AW1436" s="248"/>
      <c r="AX1436" s="248"/>
    </row>
    <row r="1437" spans="49:50">
      <c r="AW1437" s="248"/>
      <c r="AX1437" s="248"/>
    </row>
    <row r="1438" spans="49:50">
      <c r="AW1438" s="248"/>
      <c r="AX1438" s="248"/>
    </row>
    <row r="1439" spans="49:50">
      <c r="AW1439" s="248"/>
      <c r="AX1439" s="248"/>
    </row>
    <row r="1440" spans="49:50">
      <c r="AW1440" s="248"/>
      <c r="AX1440" s="248"/>
    </row>
    <row r="1441" spans="49:50">
      <c r="AW1441" s="248"/>
      <c r="AX1441" s="248"/>
    </row>
    <row r="1442" spans="49:50">
      <c r="AW1442" s="248"/>
      <c r="AX1442" s="248"/>
    </row>
    <row r="1443" spans="49:50">
      <c r="AW1443" s="248"/>
      <c r="AX1443" s="248"/>
    </row>
    <row r="1444" spans="49:50">
      <c r="AW1444" s="248"/>
      <c r="AX1444" s="248"/>
    </row>
    <row r="1445" spans="49:50">
      <c r="AW1445" s="248"/>
      <c r="AX1445" s="248"/>
    </row>
    <row r="1446" spans="49:50">
      <c r="AW1446" s="248"/>
      <c r="AX1446" s="248"/>
    </row>
    <row r="1447" spans="49:50">
      <c r="AW1447" s="248"/>
      <c r="AX1447" s="248"/>
    </row>
    <row r="1448" spans="49:50">
      <c r="AW1448" s="248"/>
      <c r="AX1448" s="248"/>
    </row>
    <row r="1449" spans="49:50">
      <c r="AW1449" s="248"/>
      <c r="AX1449" s="248"/>
    </row>
    <row r="1450" spans="49:50">
      <c r="AW1450" s="248"/>
      <c r="AX1450" s="248"/>
    </row>
    <row r="1451" spans="49:50">
      <c r="AW1451" s="248"/>
      <c r="AX1451" s="248"/>
    </row>
    <row r="1452" spans="49:50">
      <c r="AW1452" s="248"/>
      <c r="AX1452" s="248"/>
    </row>
    <row r="1453" spans="49:50">
      <c r="AW1453" s="248"/>
      <c r="AX1453" s="248"/>
    </row>
    <row r="1454" spans="49:50">
      <c r="AW1454" s="248"/>
      <c r="AX1454" s="248"/>
    </row>
    <row r="1455" spans="49:50">
      <c r="AW1455" s="248"/>
      <c r="AX1455" s="248"/>
    </row>
    <row r="1456" spans="49:50">
      <c r="AW1456" s="248"/>
      <c r="AX1456" s="248"/>
    </row>
    <row r="1457" spans="49:50">
      <c r="AW1457" s="248"/>
      <c r="AX1457" s="248"/>
    </row>
    <row r="1458" spans="49:50">
      <c r="AW1458" s="248"/>
      <c r="AX1458" s="248"/>
    </row>
    <row r="1459" spans="49:50">
      <c r="AW1459" s="248"/>
      <c r="AX1459" s="248"/>
    </row>
    <row r="1460" spans="49:50">
      <c r="AW1460" s="248"/>
      <c r="AX1460" s="248"/>
    </row>
    <row r="1461" spans="49:50">
      <c r="AW1461" s="248"/>
      <c r="AX1461" s="248"/>
    </row>
    <row r="1462" spans="49:50">
      <c r="AW1462" s="248"/>
      <c r="AX1462" s="248"/>
    </row>
    <row r="1463" spans="49:50">
      <c r="AW1463" s="248"/>
      <c r="AX1463" s="248"/>
    </row>
    <row r="1464" spans="49:50">
      <c r="AW1464" s="248"/>
      <c r="AX1464" s="248"/>
    </row>
    <row r="1465" spans="49:50">
      <c r="AW1465" s="248"/>
      <c r="AX1465" s="248"/>
    </row>
    <row r="1466" spans="49:50">
      <c r="AW1466" s="248"/>
      <c r="AX1466" s="248"/>
    </row>
    <row r="1467" spans="49:50">
      <c r="AW1467" s="248"/>
      <c r="AX1467" s="248"/>
    </row>
    <row r="1468" spans="49:50">
      <c r="AW1468" s="248"/>
      <c r="AX1468" s="248"/>
    </row>
    <row r="1469" spans="49:50">
      <c r="AW1469" s="248"/>
      <c r="AX1469" s="248"/>
    </row>
    <row r="1470" spans="49:50">
      <c r="AW1470" s="248"/>
      <c r="AX1470" s="248"/>
    </row>
    <row r="1471" spans="49:50">
      <c r="AW1471" s="248"/>
      <c r="AX1471" s="248"/>
    </row>
    <row r="1472" spans="49:50">
      <c r="AW1472" s="248"/>
      <c r="AX1472" s="248"/>
    </row>
    <row r="1473" spans="49:50">
      <c r="AW1473" s="248"/>
      <c r="AX1473" s="248"/>
    </row>
    <row r="1474" spans="49:50">
      <c r="AW1474" s="248"/>
      <c r="AX1474" s="248"/>
    </row>
    <row r="1475" spans="49:50">
      <c r="AW1475" s="248"/>
      <c r="AX1475" s="248"/>
    </row>
    <row r="1476" spans="49:50">
      <c r="AW1476" s="248"/>
      <c r="AX1476" s="248"/>
    </row>
    <row r="1477" spans="49:50">
      <c r="AW1477" s="248"/>
      <c r="AX1477" s="248"/>
    </row>
    <row r="1478" spans="49:50">
      <c r="AW1478" s="248"/>
      <c r="AX1478" s="248"/>
    </row>
    <row r="1479" spans="49:50">
      <c r="AW1479" s="248"/>
      <c r="AX1479" s="248"/>
    </row>
    <row r="1480" spans="49:50">
      <c r="AW1480" s="248"/>
      <c r="AX1480" s="248"/>
    </row>
    <row r="1481" spans="49:50">
      <c r="AW1481" s="248"/>
      <c r="AX1481" s="248"/>
    </row>
    <row r="1482" spans="49:50">
      <c r="AW1482" s="248"/>
      <c r="AX1482" s="248"/>
    </row>
    <row r="1483" spans="49:50">
      <c r="AW1483" s="248"/>
      <c r="AX1483" s="248"/>
    </row>
    <row r="1484" spans="49:50">
      <c r="AW1484" s="248"/>
      <c r="AX1484" s="248"/>
    </row>
    <row r="1485" spans="49:50">
      <c r="AW1485" s="248"/>
      <c r="AX1485" s="248"/>
    </row>
    <row r="1486" spans="49:50">
      <c r="AW1486" s="248"/>
      <c r="AX1486" s="248"/>
    </row>
    <row r="1487" spans="49:50">
      <c r="AW1487" s="248"/>
      <c r="AX1487" s="248"/>
    </row>
    <row r="1488" spans="49:50">
      <c r="AW1488" s="248"/>
      <c r="AX1488" s="248"/>
    </row>
    <row r="1489" spans="49:50">
      <c r="AW1489" s="248"/>
      <c r="AX1489" s="248"/>
    </row>
    <row r="1490" spans="49:50">
      <c r="AW1490" s="248"/>
      <c r="AX1490" s="248"/>
    </row>
    <row r="1491" spans="49:50">
      <c r="AW1491" s="248"/>
      <c r="AX1491" s="248"/>
    </row>
    <row r="1492" spans="49:50">
      <c r="AW1492" s="248"/>
      <c r="AX1492" s="248"/>
    </row>
    <row r="1493" spans="49:50">
      <c r="AW1493" s="248"/>
      <c r="AX1493" s="248"/>
    </row>
    <row r="1494" spans="49:50">
      <c r="AW1494" s="248"/>
      <c r="AX1494" s="248"/>
    </row>
    <row r="1495" spans="49:50">
      <c r="AW1495" s="248"/>
      <c r="AX1495" s="248"/>
    </row>
    <row r="1496" spans="49:50">
      <c r="AW1496" s="248"/>
      <c r="AX1496" s="248"/>
    </row>
    <row r="1497" spans="49:50">
      <c r="AW1497" s="248"/>
      <c r="AX1497" s="248"/>
    </row>
    <row r="1498" spans="49:50">
      <c r="AW1498" s="248"/>
      <c r="AX1498" s="248"/>
    </row>
    <row r="1499" spans="49:50">
      <c r="AW1499" s="248"/>
      <c r="AX1499" s="248"/>
    </row>
    <row r="1500" spans="49:50">
      <c r="AW1500" s="248"/>
      <c r="AX1500" s="248"/>
    </row>
    <row r="1501" spans="49:50">
      <c r="AW1501" s="248"/>
      <c r="AX1501" s="248"/>
    </row>
    <row r="1502" spans="49:50">
      <c r="AW1502" s="248"/>
      <c r="AX1502" s="248"/>
    </row>
    <row r="1503" spans="49:50">
      <c r="AW1503" s="248"/>
      <c r="AX1503" s="248"/>
    </row>
    <row r="1504" spans="49:50">
      <c r="AW1504" s="248"/>
      <c r="AX1504" s="248"/>
    </row>
    <row r="1505" spans="49:50">
      <c r="AW1505" s="248"/>
      <c r="AX1505" s="248"/>
    </row>
    <row r="1506" spans="49:50">
      <c r="AW1506" s="248"/>
      <c r="AX1506" s="248"/>
    </row>
    <row r="1507" spans="49:50">
      <c r="AW1507" s="248"/>
      <c r="AX1507" s="248"/>
    </row>
    <row r="1508" spans="49:50">
      <c r="AW1508" s="248"/>
      <c r="AX1508" s="248"/>
    </row>
    <row r="1509" spans="49:50">
      <c r="AW1509" s="248"/>
      <c r="AX1509" s="248"/>
    </row>
    <row r="1510" spans="49:50">
      <c r="AW1510" s="248"/>
      <c r="AX1510" s="248"/>
    </row>
    <row r="1511" spans="49:50">
      <c r="AW1511" s="248"/>
      <c r="AX1511" s="248"/>
    </row>
    <row r="1512" spans="49:50">
      <c r="AW1512" s="248"/>
      <c r="AX1512" s="248"/>
    </row>
    <row r="1513" spans="49:50">
      <c r="AW1513" s="248"/>
      <c r="AX1513" s="248"/>
    </row>
    <row r="1514" spans="49:50">
      <c r="AW1514" s="248"/>
      <c r="AX1514" s="248"/>
    </row>
    <row r="1515" spans="49:50">
      <c r="AW1515" s="248"/>
      <c r="AX1515" s="248"/>
    </row>
    <row r="1516" spans="49:50">
      <c r="AW1516" s="248"/>
      <c r="AX1516" s="248"/>
    </row>
    <row r="1517" spans="49:50">
      <c r="AW1517" s="248"/>
      <c r="AX1517" s="248"/>
    </row>
    <row r="1518" spans="49:50">
      <c r="AW1518" s="248"/>
      <c r="AX1518" s="248"/>
    </row>
    <row r="1519" spans="49:50">
      <c r="AW1519" s="248"/>
      <c r="AX1519" s="248"/>
    </row>
    <row r="1520" spans="49:50">
      <c r="AW1520" s="248"/>
      <c r="AX1520" s="248"/>
    </row>
    <row r="1521" spans="49:50">
      <c r="AW1521" s="248"/>
      <c r="AX1521" s="248"/>
    </row>
    <row r="1522" spans="49:50">
      <c r="AW1522" s="248"/>
      <c r="AX1522" s="248"/>
    </row>
    <row r="1523" spans="49:50">
      <c r="AW1523" s="248"/>
      <c r="AX1523" s="248"/>
    </row>
    <row r="1524" spans="49:50">
      <c r="AW1524" s="248"/>
      <c r="AX1524" s="248"/>
    </row>
    <row r="1525" spans="49:50">
      <c r="AW1525" s="248"/>
      <c r="AX1525" s="248"/>
    </row>
    <row r="1526" spans="49:50">
      <c r="AW1526" s="248"/>
      <c r="AX1526" s="248"/>
    </row>
    <row r="1527" spans="49:50">
      <c r="AW1527" s="248"/>
      <c r="AX1527" s="248"/>
    </row>
    <row r="1528" spans="49:50">
      <c r="AW1528" s="248"/>
      <c r="AX1528" s="248"/>
    </row>
    <row r="1529" spans="49:50">
      <c r="AW1529" s="248"/>
      <c r="AX1529" s="248"/>
    </row>
    <row r="1530" spans="49:50">
      <c r="AW1530" s="248"/>
      <c r="AX1530" s="248"/>
    </row>
    <row r="1531" spans="49:50">
      <c r="AW1531" s="248"/>
      <c r="AX1531" s="248"/>
    </row>
    <row r="1532" spans="49:50">
      <c r="AW1532" s="248"/>
      <c r="AX1532" s="248"/>
    </row>
    <row r="1533" spans="49:50">
      <c r="AW1533" s="248"/>
      <c r="AX1533" s="248"/>
    </row>
    <row r="1534" spans="49:50">
      <c r="AW1534" s="248"/>
      <c r="AX1534" s="248"/>
    </row>
    <row r="1535" spans="49:50">
      <c r="AW1535" s="248"/>
      <c r="AX1535" s="248"/>
    </row>
    <row r="1536" spans="49:50">
      <c r="AW1536" s="248"/>
      <c r="AX1536" s="248"/>
    </row>
    <row r="1537" spans="49:50">
      <c r="AW1537" s="248"/>
      <c r="AX1537" s="248"/>
    </row>
    <row r="1538" spans="49:50">
      <c r="AW1538" s="248"/>
      <c r="AX1538" s="248"/>
    </row>
    <row r="1539" spans="49:50">
      <c r="AW1539" s="248"/>
      <c r="AX1539" s="248"/>
    </row>
    <row r="1540" spans="49:50">
      <c r="AW1540" s="248"/>
      <c r="AX1540" s="248"/>
    </row>
    <row r="1541" spans="49:50">
      <c r="AW1541" s="248"/>
      <c r="AX1541" s="248"/>
    </row>
    <row r="1542" spans="49:50">
      <c r="AW1542" s="248"/>
      <c r="AX1542" s="248"/>
    </row>
    <row r="1543" spans="49:50">
      <c r="AW1543" s="248"/>
      <c r="AX1543" s="248"/>
    </row>
    <row r="1544" spans="49:50">
      <c r="AW1544" s="248"/>
      <c r="AX1544" s="248"/>
    </row>
    <row r="1545" spans="49:50">
      <c r="AW1545" s="248"/>
      <c r="AX1545" s="248"/>
    </row>
    <row r="1546" spans="49:50">
      <c r="AW1546" s="248"/>
      <c r="AX1546" s="248"/>
    </row>
    <row r="1547" spans="49:50">
      <c r="AW1547" s="248"/>
      <c r="AX1547" s="248"/>
    </row>
    <row r="1548" spans="49:50">
      <c r="AW1548" s="248"/>
      <c r="AX1548" s="248"/>
    </row>
    <row r="1549" spans="49:50">
      <c r="AW1549" s="248"/>
      <c r="AX1549" s="248"/>
    </row>
    <row r="1550" spans="49:50">
      <c r="AW1550" s="248"/>
      <c r="AX1550" s="248"/>
    </row>
    <row r="1551" spans="49:50">
      <c r="AW1551" s="248"/>
      <c r="AX1551" s="248"/>
    </row>
    <row r="1552" spans="49:50">
      <c r="AW1552" s="248"/>
      <c r="AX1552" s="248"/>
    </row>
    <row r="1553" spans="49:50">
      <c r="AW1553" s="248"/>
      <c r="AX1553" s="248"/>
    </row>
    <row r="1554" spans="49:50">
      <c r="AW1554" s="248"/>
      <c r="AX1554" s="248"/>
    </row>
    <row r="1555" spans="49:50">
      <c r="AW1555" s="248"/>
      <c r="AX1555" s="248"/>
    </row>
    <row r="1556" spans="49:50">
      <c r="AW1556" s="248"/>
      <c r="AX1556" s="248"/>
    </row>
    <row r="1557" spans="49:50">
      <c r="AW1557" s="248"/>
      <c r="AX1557" s="248"/>
    </row>
    <row r="1558" spans="49:50">
      <c r="AW1558" s="248"/>
      <c r="AX1558" s="248"/>
    </row>
    <row r="1559" spans="49:50">
      <c r="AW1559" s="248"/>
      <c r="AX1559" s="248"/>
    </row>
    <row r="1560" spans="49:50">
      <c r="AW1560" s="248"/>
      <c r="AX1560" s="248"/>
    </row>
    <row r="1561" spans="49:50">
      <c r="AW1561" s="248"/>
      <c r="AX1561" s="248"/>
    </row>
    <row r="1562" spans="49:50">
      <c r="AW1562" s="248"/>
      <c r="AX1562" s="248"/>
    </row>
    <row r="1563" spans="49:50">
      <c r="AW1563" s="248"/>
      <c r="AX1563" s="248"/>
    </row>
    <row r="1564" spans="49:50">
      <c r="AW1564" s="248"/>
      <c r="AX1564" s="248"/>
    </row>
    <row r="1565" spans="49:50">
      <c r="AW1565" s="248"/>
      <c r="AX1565" s="248"/>
    </row>
    <row r="1566" spans="49:50">
      <c r="AW1566" s="248"/>
      <c r="AX1566" s="248"/>
    </row>
    <row r="1567" spans="49:50">
      <c r="AW1567" s="248"/>
      <c r="AX1567" s="248"/>
    </row>
    <row r="1568" spans="49:50">
      <c r="AW1568" s="248"/>
      <c r="AX1568" s="248"/>
    </row>
    <row r="1569" spans="49:50">
      <c r="AW1569" s="248"/>
      <c r="AX1569" s="248"/>
    </row>
    <row r="1570" spans="49:50">
      <c r="AW1570" s="248"/>
      <c r="AX1570" s="248"/>
    </row>
    <row r="1571" spans="49:50">
      <c r="AW1571" s="248"/>
      <c r="AX1571" s="248"/>
    </row>
    <row r="1572" spans="49:50">
      <c r="AW1572" s="248"/>
      <c r="AX1572" s="248"/>
    </row>
    <row r="1573" spans="49:50">
      <c r="AW1573" s="248"/>
      <c r="AX1573" s="248"/>
    </row>
    <row r="1574" spans="49:50">
      <c r="AW1574" s="248"/>
      <c r="AX1574" s="248"/>
    </row>
    <row r="1575" spans="49:50">
      <c r="AW1575" s="248"/>
      <c r="AX1575" s="248"/>
    </row>
    <row r="1576" spans="49:50">
      <c r="AW1576" s="248"/>
      <c r="AX1576" s="248"/>
    </row>
    <row r="1577" spans="49:50">
      <c r="AW1577" s="248"/>
      <c r="AX1577" s="248"/>
    </row>
    <row r="1578" spans="49:50">
      <c r="AW1578" s="248"/>
      <c r="AX1578" s="248"/>
    </row>
    <row r="1579" spans="49:50">
      <c r="AW1579" s="248"/>
      <c r="AX1579" s="248"/>
    </row>
    <row r="1580" spans="49:50">
      <c r="AW1580" s="248"/>
      <c r="AX1580" s="248"/>
    </row>
    <row r="1581" spans="49:50">
      <c r="AW1581" s="248"/>
      <c r="AX1581" s="248"/>
    </row>
    <row r="1582" spans="49:50">
      <c r="AW1582" s="248"/>
      <c r="AX1582" s="248"/>
    </row>
    <row r="1583" spans="49:50">
      <c r="AW1583" s="248"/>
      <c r="AX1583" s="248"/>
    </row>
    <row r="1584" spans="49:50">
      <c r="AW1584" s="248"/>
      <c r="AX1584" s="248"/>
    </row>
    <row r="1585" spans="49:50">
      <c r="AW1585" s="248"/>
      <c r="AX1585" s="248"/>
    </row>
    <row r="1586" spans="49:50">
      <c r="AW1586" s="248"/>
      <c r="AX1586" s="248"/>
    </row>
    <row r="1587" spans="49:50">
      <c r="AW1587" s="248"/>
      <c r="AX1587" s="248"/>
    </row>
    <row r="1588" spans="49:50">
      <c r="AW1588" s="248"/>
      <c r="AX1588" s="248"/>
    </row>
    <row r="1589" spans="49:50">
      <c r="AW1589" s="248"/>
      <c r="AX1589" s="248"/>
    </row>
    <row r="1590" spans="49:50">
      <c r="AW1590" s="248"/>
      <c r="AX1590" s="248"/>
    </row>
    <row r="1591" spans="49:50">
      <c r="AW1591" s="248"/>
      <c r="AX1591" s="248"/>
    </row>
    <row r="1592" spans="49:50">
      <c r="AW1592" s="248"/>
      <c r="AX1592" s="248"/>
    </row>
    <row r="1593" spans="49:50">
      <c r="AW1593" s="248"/>
      <c r="AX1593" s="248"/>
    </row>
    <row r="1594" spans="49:50">
      <c r="AW1594" s="248"/>
      <c r="AX1594" s="248"/>
    </row>
    <row r="1595" spans="49:50">
      <c r="AW1595" s="248"/>
      <c r="AX1595" s="248"/>
    </row>
    <row r="1596" spans="49:50">
      <c r="AW1596" s="248"/>
      <c r="AX1596" s="248"/>
    </row>
    <row r="1597" spans="49:50">
      <c r="AW1597" s="248"/>
      <c r="AX1597" s="248"/>
    </row>
    <row r="1598" spans="49:50">
      <c r="AW1598" s="248"/>
      <c r="AX1598" s="248"/>
    </row>
    <row r="1599" spans="49:50">
      <c r="AW1599" s="248"/>
      <c r="AX1599" s="248"/>
    </row>
    <row r="1600" spans="49:50">
      <c r="AW1600" s="248"/>
      <c r="AX1600" s="248"/>
    </row>
    <row r="1601" spans="49:50">
      <c r="AW1601" s="248"/>
      <c r="AX1601" s="248"/>
    </row>
    <row r="1602" spans="49:50">
      <c r="AW1602" s="248"/>
      <c r="AX1602" s="248"/>
    </row>
    <row r="1603" spans="49:50">
      <c r="AW1603" s="248"/>
      <c r="AX1603" s="248"/>
    </row>
    <row r="1604" spans="49:50">
      <c r="AW1604" s="248"/>
      <c r="AX1604" s="248"/>
    </row>
    <row r="1605" spans="49:50">
      <c r="AW1605" s="248"/>
      <c r="AX1605" s="248"/>
    </row>
    <row r="1606" spans="49:50">
      <c r="AW1606" s="248"/>
      <c r="AX1606" s="248"/>
    </row>
    <row r="1607" spans="49:50">
      <c r="AW1607" s="248"/>
      <c r="AX1607" s="248"/>
    </row>
    <row r="1608" spans="49:50">
      <c r="AW1608" s="248"/>
      <c r="AX1608" s="248"/>
    </row>
    <row r="1609" spans="49:50">
      <c r="AW1609" s="248"/>
      <c r="AX1609" s="248"/>
    </row>
    <row r="1610" spans="49:50">
      <c r="AW1610" s="248"/>
      <c r="AX1610" s="248"/>
    </row>
    <row r="1611" spans="49:50">
      <c r="AW1611" s="248"/>
      <c r="AX1611" s="248"/>
    </row>
    <row r="1612" spans="49:50">
      <c r="AW1612" s="248"/>
      <c r="AX1612" s="248"/>
    </row>
    <row r="1613" spans="49:50">
      <c r="AW1613" s="248"/>
      <c r="AX1613" s="248"/>
    </row>
    <row r="1614" spans="49:50">
      <c r="AW1614" s="248"/>
      <c r="AX1614" s="248"/>
    </row>
    <row r="1615" spans="49:50">
      <c r="AW1615" s="248"/>
      <c r="AX1615" s="248"/>
    </row>
    <row r="1616" spans="49:50">
      <c r="AW1616" s="248"/>
      <c r="AX1616" s="248"/>
    </row>
    <row r="1617" spans="49:50">
      <c r="AW1617" s="248"/>
      <c r="AX1617" s="248"/>
    </row>
    <row r="1618" spans="49:50">
      <c r="AW1618" s="248"/>
      <c r="AX1618" s="248"/>
    </row>
    <row r="1619" spans="49:50">
      <c r="AW1619" s="248"/>
      <c r="AX1619" s="248"/>
    </row>
    <row r="1620" spans="49:50">
      <c r="AW1620" s="248"/>
      <c r="AX1620" s="248"/>
    </row>
    <row r="1621" spans="49:50">
      <c r="AW1621" s="248"/>
      <c r="AX1621" s="248"/>
    </row>
    <row r="1622" spans="49:50">
      <c r="AW1622" s="248"/>
      <c r="AX1622" s="248"/>
    </row>
    <row r="1623" spans="49:50">
      <c r="AW1623" s="248"/>
      <c r="AX1623" s="248"/>
    </row>
    <row r="1624" spans="49:50">
      <c r="AW1624" s="248"/>
      <c r="AX1624" s="248"/>
    </row>
    <row r="1625" spans="49:50">
      <c r="AW1625" s="248"/>
      <c r="AX1625" s="248"/>
    </row>
    <row r="1626" spans="49:50">
      <c r="AW1626" s="248"/>
      <c r="AX1626" s="248"/>
    </row>
    <row r="1627" spans="49:50">
      <c r="AW1627" s="248"/>
      <c r="AX1627" s="248"/>
    </row>
    <row r="1628" spans="49:50">
      <c r="AW1628" s="248"/>
      <c r="AX1628" s="248"/>
    </row>
    <row r="1629" spans="49:50">
      <c r="AW1629" s="248"/>
      <c r="AX1629" s="248"/>
    </row>
    <row r="1630" spans="49:50">
      <c r="AW1630" s="248"/>
      <c r="AX1630" s="248"/>
    </row>
    <row r="1631" spans="49:50">
      <c r="AW1631" s="248"/>
      <c r="AX1631" s="248"/>
    </row>
    <row r="1632" spans="49:50">
      <c r="AW1632" s="248"/>
      <c r="AX1632" s="248"/>
    </row>
    <row r="1633" spans="49:50">
      <c r="AW1633" s="248"/>
      <c r="AX1633" s="248"/>
    </row>
    <row r="1634" spans="49:50">
      <c r="AW1634" s="248"/>
      <c r="AX1634" s="248"/>
    </row>
    <row r="1635" spans="49:50">
      <c r="AW1635" s="248"/>
      <c r="AX1635" s="248"/>
    </row>
    <row r="1636" spans="49:50">
      <c r="AW1636" s="248"/>
      <c r="AX1636" s="248"/>
    </row>
    <row r="1637" spans="49:50">
      <c r="AW1637" s="248"/>
      <c r="AX1637" s="248"/>
    </row>
    <row r="1638" spans="49:50">
      <c r="AW1638" s="248"/>
      <c r="AX1638" s="248"/>
    </row>
    <row r="1639" spans="49:50">
      <c r="AW1639" s="248"/>
      <c r="AX1639" s="248"/>
    </row>
    <row r="1640" spans="49:50">
      <c r="AW1640" s="248"/>
      <c r="AX1640" s="248"/>
    </row>
    <row r="1641" spans="49:50">
      <c r="AW1641" s="248"/>
      <c r="AX1641" s="248"/>
    </row>
    <row r="1642" spans="49:50">
      <c r="AW1642" s="248"/>
      <c r="AX1642" s="248"/>
    </row>
    <row r="1643" spans="49:50">
      <c r="AW1643" s="248"/>
      <c r="AX1643" s="248"/>
    </row>
    <row r="1644" spans="49:50">
      <c r="AW1644" s="248"/>
      <c r="AX1644" s="248"/>
    </row>
    <row r="1645" spans="49:50">
      <c r="AW1645" s="248"/>
      <c r="AX1645" s="248"/>
    </row>
    <row r="1646" spans="49:50">
      <c r="AW1646" s="248"/>
      <c r="AX1646" s="248"/>
    </row>
    <row r="1647" spans="49:50">
      <c r="AW1647" s="248"/>
      <c r="AX1647" s="248"/>
    </row>
    <row r="1648" spans="49:50">
      <c r="AW1648" s="248"/>
      <c r="AX1648" s="248"/>
    </row>
    <row r="1649" spans="49:50">
      <c r="AW1649" s="248"/>
      <c r="AX1649" s="248"/>
    </row>
    <row r="1650" spans="49:50">
      <c r="AW1650" s="248"/>
      <c r="AX1650" s="248"/>
    </row>
    <row r="1651" spans="49:50">
      <c r="AW1651" s="248"/>
      <c r="AX1651" s="248"/>
    </row>
    <row r="1652" spans="49:50">
      <c r="AW1652" s="248"/>
      <c r="AX1652" s="248"/>
    </row>
    <row r="1653" spans="49:50">
      <c r="AW1653" s="248"/>
      <c r="AX1653" s="248"/>
    </row>
    <row r="1654" spans="49:50">
      <c r="AW1654" s="248"/>
      <c r="AX1654" s="248"/>
    </row>
    <row r="1655" spans="49:50">
      <c r="AW1655" s="248"/>
      <c r="AX1655" s="248"/>
    </row>
    <row r="1656" spans="49:50">
      <c r="AW1656" s="248"/>
      <c r="AX1656" s="248"/>
    </row>
    <row r="1657" spans="49:50">
      <c r="AW1657" s="248"/>
      <c r="AX1657" s="248"/>
    </row>
    <row r="1658" spans="49:50">
      <c r="AW1658" s="248"/>
      <c r="AX1658" s="248"/>
    </row>
    <row r="1659" spans="49:50">
      <c r="AW1659" s="248"/>
      <c r="AX1659" s="248"/>
    </row>
    <row r="1660" spans="49:50">
      <c r="AW1660" s="248"/>
      <c r="AX1660" s="248"/>
    </row>
    <row r="1661" spans="49:50">
      <c r="AW1661" s="248"/>
      <c r="AX1661" s="248"/>
    </row>
    <row r="1662" spans="49:50">
      <c r="AW1662" s="248"/>
      <c r="AX1662" s="248"/>
    </row>
    <row r="1663" spans="49:50">
      <c r="AW1663" s="248"/>
      <c r="AX1663" s="248"/>
    </row>
    <row r="1664" spans="49:50">
      <c r="AW1664" s="248"/>
      <c r="AX1664" s="248"/>
    </row>
    <row r="1665" spans="49:50">
      <c r="AW1665" s="248"/>
      <c r="AX1665" s="248"/>
    </row>
    <row r="1666" spans="49:50">
      <c r="AW1666" s="248"/>
      <c r="AX1666" s="248"/>
    </row>
    <row r="1667" spans="49:50">
      <c r="AW1667" s="248"/>
      <c r="AX1667" s="248"/>
    </row>
    <row r="1668" spans="49:50">
      <c r="AW1668" s="248"/>
      <c r="AX1668" s="248"/>
    </row>
    <row r="1669" spans="49:50">
      <c r="AW1669" s="248"/>
      <c r="AX1669" s="248"/>
    </row>
    <row r="1670" spans="49:50">
      <c r="AW1670" s="248"/>
      <c r="AX1670" s="248"/>
    </row>
    <row r="1671" spans="49:50">
      <c r="AW1671" s="248"/>
      <c r="AX1671" s="248"/>
    </row>
    <row r="1672" spans="49:50">
      <c r="AW1672" s="248"/>
      <c r="AX1672" s="248"/>
    </row>
    <row r="1673" spans="49:50">
      <c r="AW1673" s="248"/>
      <c r="AX1673" s="248"/>
    </row>
    <row r="1674" spans="49:50">
      <c r="AW1674" s="248"/>
      <c r="AX1674" s="248"/>
    </row>
    <row r="1675" spans="49:50">
      <c r="AW1675" s="248"/>
      <c r="AX1675" s="248"/>
    </row>
    <row r="1676" spans="49:50">
      <c r="AW1676" s="248"/>
      <c r="AX1676" s="248"/>
    </row>
    <row r="1677" spans="49:50">
      <c r="AW1677" s="248"/>
      <c r="AX1677" s="248"/>
    </row>
    <row r="1678" spans="49:50">
      <c r="AW1678" s="248"/>
      <c r="AX1678" s="248"/>
    </row>
    <row r="1679" spans="49:50">
      <c r="AW1679" s="248"/>
      <c r="AX1679" s="248"/>
    </row>
    <row r="1680" spans="49:50">
      <c r="AW1680" s="248"/>
      <c r="AX1680" s="248"/>
    </row>
    <row r="1681" spans="49:50">
      <c r="AW1681" s="248"/>
      <c r="AX1681" s="248"/>
    </row>
    <row r="1682" spans="49:50">
      <c r="AW1682" s="248"/>
      <c r="AX1682" s="248"/>
    </row>
    <row r="1683" spans="49:50">
      <c r="AW1683" s="248"/>
      <c r="AX1683" s="248"/>
    </row>
    <row r="1684" spans="49:50">
      <c r="AW1684" s="248"/>
      <c r="AX1684" s="248"/>
    </row>
    <row r="1685" spans="49:50">
      <c r="AW1685" s="248"/>
      <c r="AX1685" s="248"/>
    </row>
    <row r="1686" spans="49:50">
      <c r="AW1686" s="248"/>
      <c r="AX1686" s="248"/>
    </row>
    <row r="1687" spans="49:50">
      <c r="AW1687" s="248"/>
      <c r="AX1687" s="248"/>
    </row>
    <row r="1688" spans="49:50">
      <c r="AW1688" s="248"/>
      <c r="AX1688" s="248"/>
    </row>
    <row r="1689" spans="49:50">
      <c r="AW1689" s="248"/>
      <c r="AX1689" s="248"/>
    </row>
    <row r="1690" spans="49:50">
      <c r="AW1690" s="248"/>
      <c r="AX1690" s="248"/>
    </row>
    <row r="1691" spans="49:50">
      <c r="AW1691" s="248"/>
      <c r="AX1691" s="248"/>
    </row>
    <row r="1692" spans="49:50">
      <c r="AW1692" s="248"/>
      <c r="AX1692" s="248"/>
    </row>
    <row r="1693" spans="49:50">
      <c r="AW1693" s="248"/>
      <c r="AX1693" s="248"/>
    </row>
    <row r="1694" spans="49:50">
      <c r="AW1694" s="248"/>
      <c r="AX1694" s="248"/>
    </row>
    <row r="1695" spans="49:50">
      <c r="AW1695" s="248"/>
      <c r="AX1695" s="248"/>
    </row>
    <row r="1696" spans="49:50">
      <c r="AW1696" s="248"/>
      <c r="AX1696" s="248"/>
    </row>
    <row r="1697" spans="49:50">
      <c r="AW1697" s="248"/>
      <c r="AX1697" s="248"/>
    </row>
    <row r="1698" spans="49:50">
      <c r="AW1698" s="248"/>
      <c r="AX1698" s="248"/>
    </row>
    <row r="1699" spans="49:50">
      <c r="AW1699" s="248"/>
      <c r="AX1699" s="248"/>
    </row>
    <row r="1700" spans="49:50">
      <c r="AW1700" s="248"/>
      <c r="AX1700" s="248"/>
    </row>
    <row r="1701" spans="49:50">
      <c r="AW1701" s="248"/>
      <c r="AX1701" s="248"/>
    </row>
    <row r="1702" spans="49:50">
      <c r="AW1702" s="248"/>
      <c r="AX1702" s="248"/>
    </row>
    <row r="1703" spans="49:50">
      <c r="AW1703" s="248"/>
      <c r="AX1703" s="248"/>
    </row>
    <row r="1704" spans="49:50">
      <c r="AW1704" s="248"/>
      <c r="AX1704" s="248"/>
    </row>
    <row r="1705" spans="49:50">
      <c r="AW1705" s="248"/>
      <c r="AX1705" s="248"/>
    </row>
    <row r="1706" spans="49:50">
      <c r="AW1706" s="248"/>
      <c r="AX1706" s="248"/>
    </row>
    <row r="1707" spans="49:50">
      <c r="AW1707" s="248"/>
      <c r="AX1707" s="248"/>
    </row>
    <row r="1708" spans="49:50">
      <c r="AW1708" s="248"/>
      <c r="AX1708" s="248"/>
    </row>
    <row r="1709" spans="49:50">
      <c r="AW1709" s="248"/>
      <c r="AX1709" s="248"/>
    </row>
    <row r="1710" spans="49:50">
      <c r="AW1710" s="248"/>
      <c r="AX1710" s="248"/>
    </row>
    <row r="1711" spans="49:50">
      <c r="AW1711" s="248"/>
      <c r="AX1711" s="248"/>
    </row>
    <row r="1712" spans="49:50">
      <c r="AW1712" s="248"/>
      <c r="AX1712" s="248"/>
    </row>
    <row r="1713" spans="49:50">
      <c r="AW1713" s="248"/>
      <c r="AX1713" s="248"/>
    </row>
    <row r="1714" spans="49:50">
      <c r="AW1714" s="248"/>
      <c r="AX1714" s="248"/>
    </row>
    <row r="1715" spans="49:50">
      <c r="AW1715" s="248"/>
      <c r="AX1715" s="248"/>
    </row>
    <row r="1716" spans="49:50">
      <c r="AW1716" s="248"/>
      <c r="AX1716" s="248"/>
    </row>
    <row r="1717" spans="49:50">
      <c r="AW1717" s="248"/>
      <c r="AX1717" s="248"/>
    </row>
    <row r="1718" spans="49:50">
      <c r="AW1718" s="248"/>
      <c r="AX1718" s="248"/>
    </row>
    <row r="1719" spans="49:50">
      <c r="AW1719" s="248"/>
      <c r="AX1719" s="248"/>
    </row>
    <row r="1720" spans="49:50">
      <c r="AW1720" s="248"/>
      <c r="AX1720" s="248"/>
    </row>
    <row r="1721" spans="49:50">
      <c r="AW1721" s="248"/>
      <c r="AX1721" s="248"/>
    </row>
    <row r="1722" spans="49:50">
      <c r="AW1722" s="248"/>
      <c r="AX1722" s="248"/>
    </row>
    <row r="1723" spans="49:50">
      <c r="AW1723" s="248"/>
      <c r="AX1723" s="248"/>
    </row>
    <row r="1724" spans="49:50">
      <c r="AW1724" s="248"/>
      <c r="AX1724" s="248"/>
    </row>
    <row r="1725" spans="49:50">
      <c r="AW1725" s="248"/>
      <c r="AX1725" s="248"/>
    </row>
    <row r="1726" spans="49:50">
      <c r="AW1726" s="248"/>
      <c r="AX1726" s="248"/>
    </row>
    <row r="1727" spans="49:50">
      <c r="AW1727" s="248"/>
      <c r="AX1727" s="248"/>
    </row>
    <row r="1728" spans="49:50">
      <c r="AW1728" s="248"/>
      <c r="AX1728" s="248"/>
    </row>
    <row r="1729" spans="49:50">
      <c r="AW1729" s="248"/>
      <c r="AX1729" s="248"/>
    </row>
    <row r="1730" spans="49:50">
      <c r="AW1730" s="248"/>
      <c r="AX1730" s="248"/>
    </row>
    <row r="1731" spans="49:50">
      <c r="AW1731" s="248"/>
      <c r="AX1731" s="248"/>
    </row>
    <row r="1732" spans="49:50">
      <c r="AW1732" s="248"/>
      <c r="AX1732" s="248"/>
    </row>
    <row r="1733" spans="49:50">
      <c r="AW1733" s="248"/>
      <c r="AX1733" s="248"/>
    </row>
    <row r="1734" spans="49:50">
      <c r="AW1734" s="248"/>
      <c r="AX1734" s="248"/>
    </row>
    <row r="1735" spans="49:50">
      <c r="AW1735" s="248"/>
      <c r="AX1735" s="248"/>
    </row>
    <row r="1736" spans="49:50">
      <c r="AW1736" s="248"/>
      <c r="AX1736" s="248"/>
    </row>
    <row r="1737" spans="49:50">
      <c r="AW1737" s="248"/>
      <c r="AX1737" s="248"/>
    </row>
    <row r="1738" spans="49:50">
      <c r="AW1738" s="248"/>
      <c r="AX1738" s="248"/>
    </row>
    <row r="1739" spans="49:50">
      <c r="AW1739" s="248"/>
      <c r="AX1739" s="248"/>
    </row>
    <row r="1740" spans="49:50">
      <c r="AW1740" s="248"/>
      <c r="AX1740" s="248"/>
    </row>
    <row r="1741" spans="49:50">
      <c r="AW1741" s="248"/>
      <c r="AX1741" s="248"/>
    </row>
    <row r="1742" spans="49:50">
      <c r="AW1742" s="248"/>
      <c r="AX1742" s="248"/>
    </row>
    <row r="1743" spans="49:50">
      <c r="AW1743" s="248"/>
      <c r="AX1743" s="248"/>
    </row>
    <row r="1744" spans="49:50">
      <c r="AW1744" s="248"/>
      <c r="AX1744" s="248"/>
    </row>
    <row r="1745" spans="49:50">
      <c r="AW1745" s="248"/>
      <c r="AX1745" s="248"/>
    </row>
    <row r="1746" spans="49:50">
      <c r="AW1746" s="248"/>
      <c r="AX1746" s="248"/>
    </row>
    <row r="1747" spans="49:50">
      <c r="AW1747" s="248"/>
      <c r="AX1747" s="248"/>
    </row>
    <row r="1748" spans="49:50">
      <c r="AW1748" s="248"/>
      <c r="AX1748" s="248"/>
    </row>
    <row r="1749" spans="49:50">
      <c r="AW1749" s="248"/>
      <c r="AX1749" s="248"/>
    </row>
    <row r="1750" spans="49:50">
      <c r="AW1750" s="248"/>
      <c r="AX1750" s="248"/>
    </row>
    <row r="1751" spans="49:50">
      <c r="AW1751" s="248"/>
      <c r="AX1751" s="248"/>
    </row>
    <row r="1752" spans="49:50">
      <c r="AW1752" s="248"/>
      <c r="AX1752" s="248"/>
    </row>
    <row r="1753" spans="49:50">
      <c r="AW1753" s="248"/>
      <c r="AX1753" s="248"/>
    </row>
    <row r="1754" spans="49:50">
      <c r="AW1754" s="248"/>
      <c r="AX1754" s="248"/>
    </row>
    <row r="1755" spans="49:50">
      <c r="AW1755" s="248"/>
      <c r="AX1755" s="248"/>
    </row>
    <row r="1756" spans="49:50">
      <c r="AW1756" s="248"/>
      <c r="AX1756" s="248"/>
    </row>
    <row r="1757" spans="49:50">
      <c r="AW1757" s="248"/>
      <c r="AX1757" s="248"/>
    </row>
    <row r="1758" spans="49:50">
      <c r="AW1758" s="248"/>
      <c r="AX1758" s="248"/>
    </row>
    <row r="1759" spans="49:50">
      <c r="AW1759" s="248"/>
      <c r="AX1759" s="248"/>
    </row>
    <row r="1760" spans="49:50">
      <c r="AW1760" s="248"/>
      <c r="AX1760" s="248"/>
    </row>
    <row r="1761" spans="49:50">
      <c r="AW1761" s="248"/>
      <c r="AX1761" s="248"/>
    </row>
    <row r="1762" spans="49:50">
      <c r="AW1762" s="248"/>
      <c r="AX1762" s="248"/>
    </row>
    <row r="1763" spans="49:50">
      <c r="AW1763" s="248"/>
      <c r="AX1763" s="248"/>
    </row>
    <row r="1764" spans="49:50">
      <c r="AW1764" s="248"/>
      <c r="AX1764" s="248"/>
    </row>
    <row r="1765" spans="49:50">
      <c r="AW1765" s="248"/>
      <c r="AX1765" s="248"/>
    </row>
    <row r="1766" spans="49:50">
      <c r="AW1766" s="248"/>
      <c r="AX1766" s="248"/>
    </row>
    <row r="1767" spans="49:50">
      <c r="AW1767" s="248"/>
      <c r="AX1767" s="248"/>
    </row>
    <row r="1768" spans="49:50">
      <c r="AW1768" s="248"/>
      <c r="AX1768" s="248"/>
    </row>
    <row r="1769" spans="49:50">
      <c r="AW1769" s="248"/>
      <c r="AX1769" s="248"/>
    </row>
    <row r="1770" spans="49:50">
      <c r="AW1770" s="248"/>
      <c r="AX1770" s="248"/>
    </row>
    <row r="1771" spans="49:50">
      <c r="AW1771" s="248"/>
      <c r="AX1771" s="248"/>
    </row>
    <row r="1772" spans="49:50">
      <c r="AW1772" s="248"/>
      <c r="AX1772" s="248"/>
    </row>
    <row r="1773" spans="49:50">
      <c r="AW1773" s="248"/>
      <c r="AX1773" s="248"/>
    </row>
    <row r="1774" spans="49:50">
      <c r="AW1774" s="248"/>
      <c r="AX1774" s="248"/>
    </row>
    <row r="1775" spans="49:50">
      <c r="AW1775" s="248"/>
      <c r="AX1775" s="248"/>
    </row>
    <row r="1776" spans="49:50">
      <c r="AW1776" s="248"/>
      <c r="AX1776" s="248"/>
    </row>
    <row r="1777" spans="49:50">
      <c r="AW1777" s="248"/>
      <c r="AX1777" s="248"/>
    </row>
    <row r="1778" spans="49:50">
      <c r="AW1778" s="248"/>
      <c r="AX1778" s="248"/>
    </row>
    <row r="1779" spans="49:50">
      <c r="AW1779" s="248"/>
      <c r="AX1779" s="248"/>
    </row>
    <row r="1780" spans="49:50">
      <c r="AW1780" s="248"/>
      <c r="AX1780" s="248"/>
    </row>
    <row r="1781" spans="49:50">
      <c r="AW1781" s="248"/>
      <c r="AX1781" s="248"/>
    </row>
    <row r="1782" spans="49:50">
      <c r="AW1782" s="248"/>
      <c r="AX1782" s="248"/>
    </row>
    <row r="1783" spans="49:50">
      <c r="AW1783" s="248"/>
      <c r="AX1783" s="248"/>
    </row>
    <row r="1784" spans="49:50">
      <c r="AW1784" s="248"/>
      <c r="AX1784" s="248"/>
    </row>
    <row r="1785" spans="49:50">
      <c r="AW1785" s="248"/>
      <c r="AX1785" s="248"/>
    </row>
    <row r="1786" spans="49:50">
      <c r="AW1786" s="248"/>
      <c r="AX1786" s="248"/>
    </row>
    <row r="1787" spans="49:50">
      <c r="AW1787" s="248"/>
      <c r="AX1787" s="248"/>
    </row>
    <row r="1788" spans="49:50">
      <c r="AW1788" s="248"/>
      <c r="AX1788" s="248"/>
    </row>
    <row r="1789" spans="49:50">
      <c r="AW1789" s="248"/>
      <c r="AX1789" s="248"/>
    </row>
    <row r="1790" spans="49:50">
      <c r="AW1790" s="248"/>
      <c r="AX1790" s="248"/>
    </row>
    <row r="1791" spans="49:50">
      <c r="AW1791" s="248"/>
      <c r="AX1791" s="248"/>
    </row>
    <row r="1792" spans="49:50">
      <c r="AW1792" s="248"/>
      <c r="AX1792" s="248"/>
    </row>
    <row r="1793" spans="49:50">
      <c r="AW1793" s="248"/>
      <c r="AX1793" s="248"/>
    </row>
    <row r="1794" spans="49:50">
      <c r="AW1794" s="248"/>
      <c r="AX1794" s="248"/>
    </row>
    <row r="1795" spans="49:50">
      <c r="AW1795" s="248"/>
      <c r="AX1795" s="248"/>
    </row>
    <row r="1796" spans="49:50">
      <c r="AW1796" s="248"/>
      <c r="AX1796" s="248"/>
    </row>
    <row r="1797" spans="49:50">
      <c r="AW1797" s="248"/>
      <c r="AX1797" s="248"/>
    </row>
    <row r="1798" spans="49:50">
      <c r="AW1798" s="248"/>
      <c r="AX1798" s="248"/>
    </row>
    <row r="1799" spans="49:50">
      <c r="AW1799" s="248"/>
      <c r="AX1799" s="248"/>
    </row>
    <row r="1800" spans="49:50">
      <c r="AW1800" s="248"/>
      <c r="AX1800" s="248"/>
    </row>
    <row r="1801" spans="49:50">
      <c r="AW1801" s="248"/>
      <c r="AX1801" s="248"/>
    </row>
    <row r="1802" spans="49:50">
      <c r="AW1802" s="248"/>
      <c r="AX1802" s="248"/>
    </row>
    <row r="1803" spans="49:50">
      <c r="AW1803" s="248"/>
      <c r="AX1803" s="248"/>
    </row>
    <row r="1804" spans="49:50">
      <c r="AW1804" s="248"/>
      <c r="AX1804" s="248"/>
    </row>
    <row r="1805" spans="49:50">
      <c r="AW1805" s="248"/>
      <c r="AX1805" s="248"/>
    </row>
    <row r="1806" spans="49:50">
      <c r="AW1806" s="248"/>
      <c r="AX1806" s="248"/>
    </row>
    <row r="1807" spans="49:50">
      <c r="AW1807" s="248"/>
      <c r="AX1807" s="248"/>
    </row>
    <row r="1808" spans="49:50">
      <c r="AW1808" s="248"/>
      <c r="AX1808" s="248"/>
    </row>
    <row r="1809" spans="49:50">
      <c r="AW1809" s="248"/>
      <c r="AX1809" s="248"/>
    </row>
    <row r="1810" spans="49:50">
      <c r="AW1810" s="248"/>
      <c r="AX1810" s="248"/>
    </row>
    <row r="1811" spans="49:50">
      <c r="AW1811" s="248"/>
      <c r="AX1811" s="248"/>
    </row>
    <row r="1812" spans="49:50">
      <c r="AW1812" s="248"/>
      <c r="AX1812" s="248"/>
    </row>
    <row r="1813" spans="49:50">
      <c r="AW1813" s="248"/>
      <c r="AX1813" s="248"/>
    </row>
    <row r="1814" spans="49:50">
      <c r="AW1814" s="248"/>
      <c r="AX1814" s="248"/>
    </row>
    <row r="1815" spans="49:50">
      <c r="AW1815" s="248"/>
      <c r="AX1815" s="248"/>
    </row>
    <row r="1816" spans="49:50">
      <c r="AW1816" s="248"/>
      <c r="AX1816" s="248"/>
    </row>
    <row r="1817" spans="49:50">
      <c r="AW1817" s="248"/>
      <c r="AX1817" s="248"/>
    </row>
    <row r="1818" spans="49:50">
      <c r="AW1818" s="248"/>
      <c r="AX1818" s="248"/>
    </row>
    <row r="1819" spans="49:50">
      <c r="AW1819" s="248"/>
      <c r="AX1819" s="248"/>
    </row>
    <row r="1820" spans="49:50">
      <c r="AW1820" s="248"/>
      <c r="AX1820" s="248"/>
    </row>
    <row r="1821" spans="49:50">
      <c r="AW1821" s="248"/>
      <c r="AX1821" s="248"/>
    </row>
    <row r="1822" spans="49:50">
      <c r="AW1822" s="248"/>
      <c r="AX1822" s="248"/>
    </row>
    <row r="1823" spans="49:50">
      <c r="AW1823" s="248"/>
      <c r="AX1823" s="248"/>
    </row>
    <row r="1824" spans="49:50">
      <c r="AW1824" s="248"/>
      <c r="AX1824" s="248"/>
    </row>
    <row r="1825" spans="49:50">
      <c r="AW1825" s="248"/>
      <c r="AX1825" s="248"/>
    </row>
    <row r="1826" spans="49:50">
      <c r="AW1826" s="248"/>
      <c r="AX1826" s="248"/>
    </row>
    <row r="1827" spans="49:50">
      <c r="AW1827" s="248"/>
      <c r="AX1827" s="248"/>
    </row>
    <row r="1828" spans="49:50">
      <c r="AW1828" s="248"/>
      <c r="AX1828" s="248"/>
    </row>
    <row r="1829" spans="49:50">
      <c r="AW1829" s="248"/>
      <c r="AX1829" s="248"/>
    </row>
    <row r="1830" spans="49:50">
      <c r="AW1830" s="248"/>
      <c r="AX1830" s="248"/>
    </row>
    <row r="1831" spans="49:50">
      <c r="AW1831" s="248"/>
      <c r="AX1831" s="248"/>
    </row>
    <row r="1832" spans="49:50">
      <c r="AW1832" s="248"/>
      <c r="AX1832" s="248"/>
    </row>
    <row r="1833" spans="49:50">
      <c r="AW1833" s="248"/>
      <c r="AX1833" s="248"/>
    </row>
    <row r="1834" spans="49:50">
      <c r="AW1834" s="248"/>
      <c r="AX1834" s="248"/>
    </row>
    <row r="1835" spans="49:50">
      <c r="AW1835" s="248"/>
      <c r="AX1835" s="248"/>
    </row>
    <row r="1836" spans="49:50">
      <c r="AW1836" s="248"/>
      <c r="AX1836" s="248"/>
    </row>
    <row r="1837" spans="49:50">
      <c r="AW1837" s="248"/>
      <c r="AX1837" s="248"/>
    </row>
    <row r="1838" spans="49:50">
      <c r="AW1838" s="248"/>
      <c r="AX1838" s="248"/>
    </row>
    <row r="1839" spans="49:50">
      <c r="AW1839" s="248"/>
      <c r="AX1839" s="248"/>
    </row>
    <row r="1840" spans="49:50">
      <c r="AW1840" s="248"/>
      <c r="AX1840" s="248"/>
    </row>
    <row r="1841" spans="49:50">
      <c r="AW1841" s="248"/>
      <c r="AX1841" s="248"/>
    </row>
    <row r="1842" spans="49:50">
      <c r="AW1842" s="248"/>
      <c r="AX1842" s="248"/>
    </row>
    <row r="1843" spans="49:50">
      <c r="AW1843" s="248"/>
      <c r="AX1843" s="248"/>
    </row>
    <row r="1844" spans="49:50">
      <c r="AW1844" s="248"/>
      <c r="AX1844" s="248"/>
    </row>
    <row r="1845" spans="49:50">
      <c r="AW1845" s="248"/>
      <c r="AX1845" s="248"/>
    </row>
    <row r="1846" spans="49:50">
      <c r="AW1846" s="248"/>
      <c r="AX1846" s="248"/>
    </row>
    <row r="1847" spans="49:50">
      <c r="AW1847" s="248"/>
      <c r="AX1847" s="248"/>
    </row>
    <row r="1848" spans="49:50">
      <c r="AW1848" s="248"/>
      <c r="AX1848" s="248"/>
    </row>
    <row r="1849" spans="49:50">
      <c r="AW1849" s="248"/>
      <c r="AX1849" s="248"/>
    </row>
    <row r="1850" spans="49:50">
      <c r="AW1850" s="248"/>
      <c r="AX1850" s="248"/>
    </row>
    <row r="1851" spans="49:50">
      <c r="AW1851" s="248"/>
      <c r="AX1851" s="248"/>
    </row>
    <row r="1852" spans="49:50">
      <c r="AW1852" s="248"/>
      <c r="AX1852" s="248"/>
    </row>
    <row r="1853" spans="49:50">
      <c r="AW1853" s="248"/>
      <c r="AX1853" s="248"/>
    </row>
    <row r="1854" spans="49:50">
      <c r="AW1854" s="248"/>
      <c r="AX1854" s="248"/>
    </row>
    <row r="1855" spans="49:50">
      <c r="AW1855" s="248"/>
      <c r="AX1855" s="248"/>
    </row>
    <row r="1856" spans="49:50">
      <c r="AW1856" s="248"/>
      <c r="AX1856" s="248"/>
    </row>
    <row r="1857" spans="49:50">
      <c r="AW1857" s="248"/>
      <c r="AX1857" s="248"/>
    </row>
    <row r="1858" spans="49:50">
      <c r="AW1858" s="248"/>
      <c r="AX1858" s="248"/>
    </row>
    <row r="1859" spans="49:50">
      <c r="AW1859" s="248"/>
      <c r="AX1859" s="248"/>
    </row>
    <row r="1860" spans="49:50">
      <c r="AW1860" s="248"/>
      <c r="AX1860" s="248"/>
    </row>
    <row r="1861" spans="49:50">
      <c r="AW1861" s="248"/>
      <c r="AX1861" s="248"/>
    </row>
    <row r="1862" spans="49:50">
      <c r="AW1862" s="248"/>
      <c r="AX1862" s="248"/>
    </row>
    <row r="1863" spans="49:50">
      <c r="AW1863" s="248"/>
      <c r="AX1863" s="248"/>
    </row>
    <row r="1864" spans="49:50">
      <c r="AW1864" s="248"/>
      <c r="AX1864" s="248"/>
    </row>
    <row r="1865" spans="49:50">
      <c r="AW1865" s="248"/>
      <c r="AX1865" s="248"/>
    </row>
    <row r="1866" spans="49:50">
      <c r="AW1866" s="248"/>
      <c r="AX1866" s="248"/>
    </row>
    <row r="1867" spans="49:50">
      <c r="AW1867" s="248"/>
      <c r="AX1867" s="248"/>
    </row>
    <row r="1868" spans="49:50">
      <c r="AW1868" s="248"/>
      <c r="AX1868" s="248"/>
    </row>
    <row r="1869" spans="49:50">
      <c r="AW1869" s="248"/>
      <c r="AX1869" s="248"/>
    </row>
    <row r="1870" spans="49:50">
      <c r="AW1870" s="248"/>
      <c r="AX1870" s="248"/>
    </row>
    <row r="1871" spans="49:50">
      <c r="AW1871" s="248"/>
      <c r="AX1871" s="248"/>
    </row>
    <row r="1872" spans="49:50">
      <c r="AW1872" s="248"/>
      <c r="AX1872" s="248"/>
    </row>
    <row r="1873" spans="49:50">
      <c r="AW1873" s="248"/>
      <c r="AX1873" s="248"/>
    </row>
    <row r="1874" spans="49:50">
      <c r="AW1874" s="248"/>
      <c r="AX1874" s="248"/>
    </row>
    <row r="1875" spans="49:50">
      <c r="AW1875" s="248"/>
      <c r="AX1875" s="248"/>
    </row>
    <row r="1876" spans="49:50">
      <c r="AW1876" s="248"/>
      <c r="AX1876" s="248"/>
    </row>
    <row r="1877" spans="49:50">
      <c r="AW1877" s="248"/>
      <c r="AX1877" s="248"/>
    </row>
    <row r="1878" spans="49:50">
      <c r="AW1878" s="248"/>
      <c r="AX1878" s="248"/>
    </row>
    <row r="1879" spans="49:50">
      <c r="AW1879" s="248"/>
      <c r="AX1879" s="248"/>
    </row>
    <row r="1880" spans="49:50">
      <c r="AW1880" s="248"/>
      <c r="AX1880" s="248"/>
    </row>
    <row r="1881" spans="49:50">
      <c r="AW1881" s="248"/>
      <c r="AX1881" s="248"/>
    </row>
    <row r="1882" spans="49:50">
      <c r="AW1882" s="248"/>
      <c r="AX1882" s="248"/>
    </row>
    <row r="1883" spans="49:50">
      <c r="AW1883" s="248"/>
      <c r="AX1883" s="248"/>
    </row>
    <row r="1884" spans="49:50">
      <c r="AW1884" s="248"/>
      <c r="AX1884" s="248"/>
    </row>
    <row r="1885" spans="49:50">
      <c r="AW1885" s="248"/>
      <c r="AX1885" s="248"/>
    </row>
    <row r="1886" spans="49:50">
      <c r="AW1886" s="248"/>
      <c r="AX1886" s="248"/>
    </row>
    <row r="1887" spans="49:50">
      <c r="AW1887" s="248"/>
      <c r="AX1887" s="248"/>
    </row>
    <row r="1888" spans="49:50">
      <c r="AW1888" s="248"/>
      <c r="AX1888" s="248"/>
    </row>
    <row r="1889" spans="49:50">
      <c r="AW1889" s="248"/>
      <c r="AX1889" s="248"/>
    </row>
    <row r="1890" spans="49:50">
      <c r="AW1890" s="248"/>
      <c r="AX1890" s="248"/>
    </row>
    <row r="1891" spans="49:50">
      <c r="AW1891" s="248"/>
      <c r="AX1891" s="248"/>
    </row>
    <row r="1892" spans="49:50">
      <c r="AW1892" s="248"/>
      <c r="AX1892" s="248"/>
    </row>
    <row r="1893" spans="49:50">
      <c r="AW1893" s="248"/>
      <c r="AX1893" s="248"/>
    </row>
    <row r="1894" spans="49:50">
      <c r="AW1894" s="248"/>
      <c r="AX1894" s="248"/>
    </row>
    <row r="1895" spans="49:50">
      <c r="AW1895" s="248"/>
      <c r="AX1895" s="248"/>
    </row>
    <row r="1896" spans="49:50">
      <c r="AW1896" s="248"/>
      <c r="AX1896" s="248"/>
    </row>
    <row r="1897" spans="49:50">
      <c r="AW1897" s="248"/>
      <c r="AX1897" s="248"/>
    </row>
    <row r="1898" spans="49:50">
      <c r="AW1898" s="248"/>
      <c r="AX1898" s="248"/>
    </row>
    <row r="1899" spans="49:50">
      <c r="AW1899" s="248"/>
      <c r="AX1899" s="248"/>
    </row>
    <row r="1900" spans="49:50">
      <c r="AW1900" s="248"/>
      <c r="AX1900" s="248"/>
    </row>
    <row r="1901" spans="49:50">
      <c r="AW1901" s="248"/>
      <c r="AX1901" s="248"/>
    </row>
    <row r="1902" spans="49:50">
      <c r="AW1902" s="248"/>
      <c r="AX1902" s="248"/>
    </row>
    <row r="1903" spans="49:50">
      <c r="AW1903" s="248"/>
      <c r="AX1903" s="248"/>
    </row>
    <row r="1904" spans="49:50">
      <c r="AW1904" s="248"/>
      <c r="AX1904" s="248"/>
    </row>
    <row r="1905" spans="49:50">
      <c r="AW1905" s="248"/>
      <c r="AX1905" s="248"/>
    </row>
    <row r="1906" spans="49:50">
      <c r="AW1906" s="248"/>
      <c r="AX1906" s="248"/>
    </row>
    <row r="1907" spans="49:50">
      <c r="AW1907" s="248"/>
      <c r="AX1907" s="248"/>
    </row>
    <row r="1908" spans="49:50">
      <c r="AW1908" s="248"/>
      <c r="AX1908" s="248"/>
    </row>
    <row r="1909" spans="49:50">
      <c r="AW1909" s="248"/>
      <c r="AX1909" s="248"/>
    </row>
    <row r="1910" spans="49:50">
      <c r="AW1910" s="248"/>
      <c r="AX1910" s="248"/>
    </row>
    <row r="1911" spans="49:50">
      <c r="AW1911" s="248"/>
      <c r="AX1911" s="248"/>
    </row>
    <row r="1912" spans="49:50">
      <c r="AW1912" s="248"/>
      <c r="AX1912" s="248"/>
    </row>
    <row r="1913" spans="49:50">
      <c r="AW1913" s="248"/>
      <c r="AX1913" s="248"/>
    </row>
    <row r="1914" spans="49:50">
      <c r="AW1914" s="248"/>
      <c r="AX1914" s="248"/>
    </row>
    <row r="1915" spans="49:50">
      <c r="AW1915" s="248"/>
      <c r="AX1915" s="248"/>
    </row>
    <row r="1916" spans="49:50">
      <c r="AW1916" s="248"/>
      <c r="AX1916" s="248"/>
    </row>
    <row r="1917" spans="49:50">
      <c r="AW1917" s="248"/>
      <c r="AX1917" s="248"/>
    </row>
    <row r="1918" spans="49:50">
      <c r="AW1918" s="248"/>
      <c r="AX1918" s="248"/>
    </row>
    <row r="1919" spans="49:50">
      <c r="AW1919" s="248"/>
      <c r="AX1919" s="248"/>
    </row>
    <row r="1920" spans="49:50">
      <c r="AW1920" s="248"/>
      <c r="AX1920" s="248"/>
    </row>
    <row r="1921" spans="49:50">
      <c r="AW1921" s="248"/>
      <c r="AX1921" s="248"/>
    </row>
    <row r="1922" spans="49:50">
      <c r="AW1922" s="248"/>
      <c r="AX1922" s="248"/>
    </row>
    <row r="1923" spans="49:50">
      <c r="AW1923" s="248"/>
      <c r="AX1923" s="248"/>
    </row>
    <row r="1924" spans="49:50">
      <c r="AW1924" s="248"/>
      <c r="AX1924" s="248"/>
    </row>
    <row r="1925" spans="49:50">
      <c r="AW1925" s="248"/>
      <c r="AX1925" s="248"/>
    </row>
    <row r="1926" spans="49:50">
      <c r="AW1926" s="248"/>
      <c r="AX1926" s="248"/>
    </row>
    <row r="1927" spans="49:50">
      <c r="AW1927" s="248"/>
      <c r="AX1927" s="248"/>
    </row>
    <row r="1928" spans="49:50">
      <c r="AW1928" s="248"/>
      <c r="AX1928" s="248"/>
    </row>
    <row r="1929" spans="49:50">
      <c r="AW1929" s="248"/>
      <c r="AX1929" s="248"/>
    </row>
    <row r="1930" spans="49:50">
      <c r="AW1930" s="248"/>
      <c r="AX1930" s="248"/>
    </row>
    <row r="1931" spans="49:50">
      <c r="AW1931" s="248"/>
      <c r="AX1931" s="248"/>
    </row>
    <row r="1932" spans="49:50">
      <c r="AW1932" s="248"/>
      <c r="AX1932" s="248"/>
    </row>
    <row r="1933" spans="49:50">
      <c r="AW1933" s="248"/>
      <c r="AX1933" s="248"/>
    </row>
    <row r="1934" spans="49:50">
      <c r="AW1934" s="248"/>
      <c r="AX1934" s="248"/>
    </row>
    <row r="1935" spans="49:50">
      <c r="AW1935" s="248"/>
      <c r="AX1935" s="248"/>
    </row>
    <row r="1936" spans="49:50">
      <c r="AW1936" s="248"/>
      <c r="AX1936" s="248"/>
    </row>
    <row r="1937" spans="49:50">
      <c r="AW1937" s="248"/>
      <c r="AX1937" s="248"/>
    </row>
    <row r="1938" spans="49:50">
      <c r="AW1938" s="248"/>
      <c r="AX1938" s="248"/>
    </row>
    <row r="1939" spans="49:50">
      <c r="AW1939" s="248"/>
      <c r="AX1939" s="248"/>
    </row>
    <row r="1940" spans="49:50">
      <c r="AW1940" s="248"/>
      <c r="AX1940" s="248"/>
    </row>
    <row r="1941" spans="49:50">
      <c r="AW1941" s="248"/>
      <c r="AX1941" s="248"/>
    </row>
    <row r="1942" spans="49:50">
      <c r="AW1942" s="248"/>
      <c r="AX1942" s="248"/>
    </row>
    <row r="1943" spans="49:50">
      <c r="AW1943" s="248"/>
      <c r="AX1943" s="248"/>
    </row>
    <row r="1944" spans="49:50">
      <c r="AW1944" s="248"/>
      <c r="AX1944" s="248"/>
    </row>
    <row r="1945" spans="49:50">
      <c r="AW1945" s="248"/>
      <c r="AX1945" s="248"/>
    </row>
    <row r="1946" spans="49:50">
      <c r="AW1946" s="248"/>
      <c r="AX1946" s="248"/>
    </row>
    <row r="1947" spans="49:50">
      <c r="AW1947" s="248"/>
      <c r="AX1947" s="248"/>
    </row>
    <row r="1948" spans="49:50">
      <c r="AW1948" s="248"/>
      <c r="AX1948" s="248"/>
    </row>
    <row r="1949" spans="49:50">
      <c r="AW1949" s="248"/>
      <c r="AX1949" s="248"/>
    </row>
    <row r="1950" spans="49:50">
      <c r="AW1950" s="248"/>
      <c r="AX1950" s="248"/>
    </row>
    <row r="1951" spans="49:50">
      <c r="AW1951" s="248"/>
      <c r="AX1951" s="248"/>
    </row>
    <row r="1952" spans="49:50">
      <c r="AW1952" s="248"/>
      <c r="AX1952" s="248"/>
    </row>
    <row r="1953" spans="49:50">
      <c r="AW1953" s="248"/>
      <c r="AX1953" s="248"/>
    </row>
    <row r="1954" spans="49:50">
      <c r="AW1954" s="248"/>
      <c r="AX1954" s="248"/>
    </row>
    <row r="1955" spans="49:50">
      <c r="AW1955" s="248"/>
      <c r="AX1955" s="248"/>
    </row>
    <row r="1956" spans="49:50">
      <c r="AW1956" s="248"/>
      <c r="AX1956" s="248"/>
    </row>
    <row r="1957" spans="49:50">
      <c r="AW1957" s="248"/>
      <c r="AX1957" s="248"/>
    </row>
    <row r="1958" spans="49:50">
      <c r="AW1958" s="248"/>
      <c r="AX1958" s="248"/>
    </row>
    <row r="1959" spans="49:50">
      <c r="AW1959" s="248"/>
      <c r="AX1959" s="248"/>
    </row>
    <row r="1960" spans="49:50">
      <c r="AW1960" s="248"/>
      <c r="AX1960" s="248"/>
    </row>
    <row r="1961" spans="49:50">
      <c r="AW1961" s="248"/>
      <c r="AX1961" s="248"/>
    </row>
    <row r="1962" spans="49:50">
      <c r="AW1962" s="248"/>
      <c r="AX1962" s="248"/>
    </row>
    <row r="1963" spans="49:50">
      <c r="AW1963" s="248"/>
      <c r="AX1963" s="248"/>
    </row>
    <row r="1964" spans="49:50">
      <c r="AW1964" s="248"/>
      <c r="AX1964" s="248"/>
    </row>
    <row r="1965" spans="49:50">
      <c r="AW1965" s="248"/>
      <c r="AX1965" s="248"/>
    </row>
    <row r="1966" spans="49:50">
      <c r="AW1966" s="248"/>
      <c r="AX1966" s="248"/>
    </row>
    <row r="1967" spans="49:50">
      <c r="AW1967" s="248"/>
      <c r="AX1967" s="248"/>
    </row>
    <row r="1968" spans="49:50">
      <c r="AW1968" s="248"/>
      <c r="AX1968" s="248"/>
    </row>
    <row r="1969" spans="49:50">
      <c r="AW1969" s="248"/>
      <c r="AX1969" s="248"/>
    </row>
    <row r="1970" spans="49:50">
      <c r="AW1970" s="248"/>
      <c r="AX1970" s="248"/>
    </row>
    <row r="1971" spans="49:50">
      <c r="AW1971" s="248"/>
      <c r="AX1971" s="248"/>
    </row>
    <row r="1972" spans="49:50">
      <c r="AW1972" s="248"/>
      <c r="AX1972" s="248"/>
    </row>
    <row r="1973" spans="49:50">
      <c r="AW1973" s="248"/>
      <c r="AX1973" s="248"/>
    </row>
    <row r="1974" spans="49:50">
      <c r="AW1974" s="248"/>
      <c r="AX1974" s="248"/>
    </row>
    <row r="1975" spans="49:50">
      <c r="AW1975" s="248"/>
      <c r="AX1975" s="248"/>
    </row>
    <row r="1976" spans="49:50">
      <c r="AW1976" s="248"/>
      <c r="AX1976" s="248"/>
    </row>
    <row r="1977" spans="49:50">
      <c r="AW1977" s="248"/>
      <c r="AX1977" s="248"/>
    </row>
    <row r="1978" spans="49:50">
      <c r="AW1978" s="248"/>
      <c r="AX1978" s="248"/>
    </row>
    <row r="1979" spans="49:50">
      <c r="AW1979" s="248"/>
      <c r="AX1979" s="248"/>
    </row>
    <row r="1980" spans="49:50">
      <c r="AW1980" s="248"/>
      <c r="AX1980" s="248"/>
    </row>
    <row r="1981" spans="49:50">
      <c r="AW1981" s="248"/>
      <c r="AX1981" s="248"/>
    </row>
    <row r="1982" spans="49:50">
      <c r="AW1982" s="248"/>
      <c r="AX1982" s="248"/>
    </row>
    <row r="1983" spans="49:50">
      <c r="AW1983" s="248"/>
      <c r="AX1983" s="248"/>
    </row>
    <row r="1984" spans="49:50">
      <c r="AW1984" s="248"/>
      <c r="AX1984" s="248"/>
    </row>
    <row r="1985" spans="49:50">
      <c r="AW1985" s="248"/>
      <c r="AX1985" s="248"/>
    </row>
    <row r="1986" spans="49:50">
      <c r="AW1986" s="248"/>
      <c r="AX1986" s="248"/>
    </row>
    <row r="1987" spans="49:50">
      <c r="AW1987" s="248"/>
      <c r="AX1987" s="248"/>
    </row>
    <row r="1988" spans="49:50">
      <c r="AW1988" s="248"/>
      <c r="AX1988" s="248"/>
    </row>
    <row r="1989" spans="49:50">
      <c r="AW1989" s="248"/>
      <c r="AX1989" s="248"/>
    </row>
    <row r="1990" spans="49:50">
      <c r="AW1990" s="248"/>
      <c r="AX1990" s="248"/>
    </row>
    <row r="1991" spans="49:50">
      <c r="AW1991" s="248"/>
      <c r="AX1991" s="248"/>
    </row>
    <row r="1992" spans="49:50">
      <c r="AW1992" s="248"/>
      <c r="AX1992" s="248"/>
    </row>
    <row r="1993" spans="49:50">
      <c r="AW1993" s="248"/>
      <c r="AX1993" s="248"/>
    </row>
    <row r="1994" spans="49:50">
      <c r="AW1994" s="248"/>
      <c r="AX1994" s="248"/>
    </row>
    <row r="1995" spans="49:50">
      <c r="AW1995" s="248"/>
      <c r="AX1995" s="248"/>
    </row>
    <row r="1996" spans="49:50">
      <c r="AW1996" s="248"/>
      <c r="AX1996" s="248"/>
    </row>
    <row r="1997" spans="49:50">
      <c r="AW1997" s="248"/>
      <c r="AX1997" s="248"/>
    </row>
    <row r="1998" spans="49:50">
      <c r="AW1998" s="248"/>
      <c r="AX1998" s="248"/>
    </row>
    <row r="1999" spans="49:50">
      <c r="AW1999" s="248"/>
      <c r="AX1999" s="248"/>
    </row>
    <row r="2000" spans="49:50">
      <c r="AW2000" s="248"/>
      <c r="AX2000" s="248"/>
    </row>
    <row r="2001" spans="49:50">
      <c r="AW2001" s="248"/>
      <c r="AX2001" s="248"/>
    </row>
    <row r="2002" spans="49:50">
      <c r="AW2002" s="248"/>
      <c r="AX2002" s="248"/>
    </row>
    <row r="2003" spans="49:50">
      <c r="AW2003" s="248"/>
      <c r="AX2003" s="248"/>
    </row>
    <row r="2004" spans="49:50">
      <c r="AW2004" s="248"/>
      <c r="AX2004" s="248"/>
    </row>
    <row r="2005" spans="49:50">
      <c r="AW2005" s="248"/>
      <c r="AX2005" s="248"/>
    </row>
    <row r="2006" spans="49:50">
      <c r="AW2006" s="248"/>
      <c r="AX2006" s="248"/>
    </row>
    <row r="2007" spans="49:50">
      <c r="AW2007" s="248"/>
      <c r="AX2007" s="248"/>
    </row>
    <row r="2008" spans="49:50">
      <c r="AW2008" s="248"/>
      <c r="AX2008" s="248"/>
    </row>
    <row r="2009" spans="49:50">
      <c r="AW2009" s="248"/>
      <c r="AX2009" s="248"/>
    </row>
    <row r="2010" spans="49:50">
      <c r="AW2010" s="248"/>
      <c r="AX2010" s="248"/>
    </row>
    <row r="2011" spans="49:50">
      <c r="AW2011" s="248"/>
      <c r="AX2011" s="248"/>
    </row>
    <row r="2012" spans="49:50">
      <c r="AW2012" s="248"/>
      <c r="AX2012" s="248"/>
    </row>
    <row r="2013" spans="49:50">
      <c r="AW2013" s="248"/>
      <c r="AX2013" s="248"/>
    </row>
    <row r="2014" spans="49:50">
      <c r="AW2014" s="248"/>
      <c r="AX2014" s="248"/>
    </row>
    <row r="2015" spans="49:50">
      <c r="AW2015" s="248"/>
      <c r="AX2015" s="248"/>
    </row>
    <row r="2016" spans="49:50">
      <c r="AW2016" s="248"/>
      <c r="AX2016" s="248"/>
    </row>
    <row r="2017" spans="49:50">
      <c r="AW2017" s="248"/>
      <c r="AX2017" s="248"/>
    </row>
    <row r="2018" spans="49:50">
      <c r="AW2018" s="248"/>
      <c r="AX2018" s="248"/>
    </row>
    <row r="2019" spans="49:50">
      <c r="AW2019" s="248"/>
      <c r="AX2019" s="248"/>
    </row>
    <row r="2020" spans="49:50">
      <c r="AW2020" s="248"/>
      <c r="AX2020" s="248"/>
    </row>
    <row r="2021" spans="49:50">
      <c r="AW2021" s="248"/>
      <c r="AX2021" s="248"/>
    </row>
    <row r="2022" spans="49:50">
      <c r="AW2022" s="248"/>
      <c r="AX2022" s="248"/>
    </row>
    <row r="2023" spans="49:50">
      <c r="AW2023" s="248"/>
      <c r="AX2023" s="248"/>
    </row>
    <row r="2024" spans="49:50">
      <c r="AW2024" s="248"/>
      <c r="AX2024" s="248"/>
    </row>
    <row r="2025" spans="49:50">
      <c r="AW2025" s="248"/>
      <c r="AX2025" s="248"/>
    </row>
    <row r="2026" spans="49:50">
      <c r="AW2026" s="248"/>
      <c r="AX2026" s="248"/>
    </row>
    <row r="2027" spans="49:50">
      <c r="AW2027" s="248"/>
      <c r="AX2027" s="248"/>
    </row>
    <row r="2028" spans="49:50">
      <c r="AW2028" s="248"/>
      <c r="AX2028" s="248"/>
    </row>
    <row r="2029" spans="49:50">
      <c r="AW2029" s="248"/>
      <c r="AX2029" s="248"/>
    </row>
    <row r="2030" spans="49:50">
      <c r="AW2030" s="248"/>
      <c r="AX2030" s="248"/>
    </row>
    <row r="2031" spans="49:50">
      <c r="AW2031" s="248"/>
      <c r="AX2031" s="248"/>
    </row>
    <row r="2032" spans="49:50">
      <c r="AW2032" s="248"/>
      <c r="AX2032" s="248"/>
    </row>
    <row r="2033" spans="49:50">
      <c r="AW2033" s="248"/>
      <c r="AX2033" s="248"/>
    </row>
    <row r="2034" spans="49:50">
      <c r="AW2034" s="248"/>
      <c r="AX2034" s="248"/>
    </row>
    <row r="2035" spans="49:50">
      <c r="AW2035" s="248"/>
      <c r="AX2035" s="248"/>
    </row>
    <row r="2036" spans="49:50">
      <c r="AW2036" s="248"/>
      <c r="AX2036" s="248"/>
    </row>
    <row r="2037" spans="49:50">
      <c r="AW2037" s="248"/>
      <c r="AX2037" s="248"/>
    </row>
    <row r="2038" spans="49:50">
      <c r="AW2038" s="248"/>
      <c r="AX2038" s="248"/>
    </row>
    <row r="2039" spans="49:50">
      <c r="AW2039" s="248"/>
      <c r="AX2039" s="248"/>
    </row>
    <row r="2040" spans="49:50">
      <c r="AW2040" s="248"/>
      <c r="AX2040" s="248"/>
    </row>
    <row r="2041" spans="49:50">
      <c r="AW2041" s="248"/>
      <c r="AX2041" s="248"/>
    </row>
    <row r="2042" spans="49:50">
      <c r="AW2042" s="248"/>
      <c r="AX2042" s="248"/>
    </row>
    <row r="2043" spans="49:50">
      <c r="AW2043" s="248"/>
      <c r="AX2043" s="248"/>
    </row>
    <row r="2044" spans="49:50">
      <c r="AW2044" s="248"/>
      <c r="AX2044" s="248"/>
    </row>
    <row r="2045" spans="49:50">
      <c r="AW2045" s="248"/>
      <c r="AX2045" s="248"/>
    </row>
    <row r="2046" spans="49:50">
      <c r="AW2046" s="248"/>
      <c r="AX2046" s="248"/>
    </row>
    <row r="2047" spans="49:50">
      <c r="AW2047" s="248"/>
      <c r="AX2047" s="248"/>
    </row>
    <row r="2048" spans="49:50">
      <c r="AW2048" s="248"/>
      <c r="AX2048" s="248"/>
    </row>
    <row r="2049" spans="49:50">
      <c r="AW2049" s="248"/>
      <c r="AX2049" s="248"/>
    </row>
    <row r="2050" spans="49:50">
      <c r="AW2050" s="248"/>
      <c r="AX2050" s="248"/>
    </row>
    <row r="2051" spans="49:50">
      <c r="AW2051" s="248"/>
      <c r="AX2051" s="248"/>
    </row>
    <row r="2052" spans="49:50">
      <c r="AW2052" s="248"/>
      <c r="AX2052" s="248"/>
    </row>
    <row r="2053" spans="49:50">
      <c r="AW2053" s="248"/>
      <c r="AX2053" s="248"/>
    </row>
    <row r="2054" spans="49:50">
      <c r="AW2054" s="248"/>
      <c r="AX2054" s="248"/>
    </row>
    <row r="2055" spans="49:50">
      <c r="AW2055" s="248"/>
      <c r="AX2055" s="248"/>
    </row>
    <row r="2056" spans="49:50">
      <c r="AW2056" s="248"/>
      <c r="AX2056" s="248"/>
    </row>
    <row r="2057" spans="49:50">
      <c r="AW2057" s="248"/>
      <c r="AX2057" s="248"/>
    </row>
    <row r="2058" spans="49:50">
      <c r="AW2058" s="248"/>
      <c r="AX2058" s="248"/>
    </row>
    <row r="2059" spans="49:50">
      <c r="AW2059" s="248"/>
      <c r="AX2059" s="248"/>
    </row>
    <row r="2060" spans="49:50">
      <c r="AW2060" s="248"/>
      <c r="AX2060" s="248"/>
    </row>
    <row r="2061" spans="49:50">
      <c r="AW2061" s="248"/>
      <c r="AX2061" s="248"/>
    </row>
    <row r="2062" spans="49:50">
      <c r="AW2062" s="248"/>
      <c r="AX2062" s="248"/>
    </row>
    <row r="2063" spans="49:50">
      <c r="AW2063" s="248"/>
      <c r="AX2063" s="248"/>
    </row>
    <row r="2064" spans="49:50">
      <c r="AW2064" s="248"/>
      <c r="AX2064" s="248"/>
    </row>
    <row r="2065" spans="49:50">
      <c r="AW2065" s="248"/>
      <c r="AX2065" s="248"/>
    </row>
    <row r="2066" spans="49:50">
      <c r="AW2066" s="248"/>
      <c r="AX2066" s="248"/>
    </row>
    <row r="2067" spans="49:50">
      <c r="AW2067" s="248"/>
      <c r="AX2067" s="248"/>
    </row>
    <row r="2068" spans="49:50">
      <c r="AW2068" s="248"/>
      <c r="AX2068" s="248"/>
    </row>
    <row r="2069" spans="49:50">
      <c r="AW2069" s="248"/>
      <c r="AX2069" s="248"/>
    </row>
    <row r="2070" spans="49:50">
      <c r="AW2070" s="248"/>
      <c r="AX2070" s="248"/>
    </row>
    <row r="2071" spans="49:50">
      <c r="AW2071" s="248"/>
      <c r="AX2071" s="248"/>
    </row>
    <row r="2072" spans="49:50">
      <c r="AW2072" s="248"/>
      <c r="AX2072" s="248"/>
    </row>
    <row r="2073" spans="49:50">
      <c r="AW2073" s="248"/>
      <c r="AX2073" s="248"/>
    </row>
    <row r="2074" spans="49:50">
      <c r="AW2074" s="248"/>
      <c r="AX2074" s="248"/>
    </row>
    <row r="2075" spans="49:50">
      <c r="AW2075" s="248"/>
      <c r="AX2075" s="248"/>
    </row>
    <row r="2076" spans="49:50">
      <c r="AW2076" s="248"/>
      <c r="AX2076" s="248"/>
    </row>
    <row r="2077" spans="49:50">
      <c r="AW2077" s="248"/>
      <c r="AX2077" s="248"/>
    </row>
    <row r="2078" spans="49:50">
      <c r="AW2078" s="248"/>
      <c r="AX2078" s="248"/>
    </row>
    <row r="2079" spans="49:50">
      <c r="AW2079" s="248"/>
      <c r="AX2079" s="248"/>
    </row>
    <row r="2080" spans="49:50">
      <c r="AW2080" s="248"/>
      <c r="AX2080" s="248"/>
    </row>
    <row r="2081" spans="49:50">
      <c r="AW2081" s="248"/>
      <c r="AX2081" s="248"/>
    </row>
    <row r="2082" spans="49:50">
      <c r="AW2082" s="248"/>
      <c r="AX2082" s="248"/>
    </row>
    <row r="2083" spans="49:50">
      <c r="AW2083" s="248"/>
      <c r="AX2083" s="248"/>
    </row>
    <row r="2084" spans="49:50">
      <c r="AW2084" s="248"/>
      <c r="AX2084" s="248"/>
    </row>
    <row r="2085" spans="49:50">
      <c r="AW2085" s="248"/>
      <c r="AX2085" s="248"/>
    </row>
    <row r="2086" spans="49:50">
      <c r="AW2086" s="248"/>
      <c r="AX2086" s="248"/>
    </row>
    <row r="2087" spans="49:50">
      <c r="AW2087" s="248"/>
      <c r="AX2087" s="248"/>
    </row>
    <row r="2088" spans="49:50">
      <c r="AW2088" s="248"/>
      <c r="AX2088" s="248"/>
    </row>
    <row r="2089" spans="49:50">
      <c r="AW2089" s="248"/>
      <c r="AX2089" s="248"/>
    </row>
    <row r="2090" spans="49:50">
      <c r="AW2090" s="248"/>
      <c r="AX2090" s="248"/>
    </row>
    <row r="2091" spans="49:50">
      <c r="AW2091" s="248"/>
      <c r="AX2091" s="248"/>
    </row>
    <row r="2092" spans="49:50">
      <c r="AW2092" s="248"/>
      <c r="AX2092" s="248"/>
    </row>
    <row r="2093" spans="49:50">
      <c r="AW2093" s="248"/>
      <c r="AX2093" s="248"/>
    </row>
    <row r="2094" spans="49:50">
      <c r="AW2094" s="248"/>
      <c r="AX2094" s="248"/>
    </row>
    <row r="2095" spans="49:50">
      <c r="AW2095" s="248"/>
      <c r="AX2095" s="248"/>
    </row>
    <row r="2096" spans="49:50">
      <c r="AW2096" s="248"/>
      <c r="AX2096" s="248"/>
    </row>
    <row r="2097" spans="49:50">
      <c r="AW2097" s="248"/>
      <c r="AX2097" s="248"/>
    </row>
    <row r="2098" spans="49:50">
      <c r="AW2098" s="248"/>
      <c r="AX2098" s="248"/>
    </row>
    <row r="2099" spans="49:50">
      <c r="AW2099" s="248"/>
      <c r="AX2099" s="248"/>
    </row>
    <row r="2100" spans="49:50">
      <c r="AW2100" s="248"/>
      <c r="AX2100" s="248"/>
    </row>
    <row r="2101" spans="49:50">
      <c r="AW2101" s="248"/>
      <c r="AX2101" s="248"/>
    </row>
    <row r="2102" spans="49:50">
      <c r="AW2102" s="248"/>
      <c r="AX2102" s="248"/>
    </row>
    <row r="2103" spans="49:50">
      <c r="AW2103" s="248"/>
      <c r="AX2103" s="248"/>
    </row>
    <row r="2104" spans="49:50">
      <c r="AW2104" s="248"/>
      <c r="AX2104" s="248"/>
    </row>
    <row r="2105" spans="49:50">
      <c r="AW2105" s="248"/>
      <c r="AX2105" s="248"/>
    </row>
    <row r="2106" spans="49:50">
      <c r="AW2106" s="248"/>
      <c r="AX2106" s="248"/>
    </row>
    <row r="2107" spans="49:50">
      <c r="AW2107" s="248"/>
      <c r="AX2107" s="248"/>
    </row>
    <row r="2108" spans="49:50">
      <c r="AW2108" s="248"/>
      <c r="AX2108" s="248"/>
    </row>
    <row r="2109" spans="49:50">
      <c r="AW2109" s="248"/>
      <c r="AX2109" s="248"/>
    </row>
    <row r="2110" spans="49:50">
      <c r="AW2110" s="248"/>
      <c r="AX2110" s="248"/>
    </row>
  </sheetData>
  <mergeCells count="2">
    <mergeCell ref="D1:F1"/>
    <mergeCell ref="N1:O1"/>
  </mergeCells>
  <phoneticPr fontId="29" type="noConversion"/>
  <conditionalFormatting sqref="M3:T17">
    <cfRule type="expression" dxfId="29" priority="3">
      <formula xml:space="preserve"> "----------" = $S3</formula>
    </cfRule>
    <cfRule type="expression" dxfId="28" priority="5">
      <formula xml:space="preserve"> "پرداخت شد" = $S3</formula>
    </cfRule>
    <cfRule type="expression" dxfId="27" priority="6">
      <formula xml:space="preserve"> "خریداری شد" = $S3</formula>
    </cfRule>
    <cfRule type="expression" dxfId="26" priority="9">
      <formula xml:space="preserve"> "دریافت شد" = $S3</formula>
    </cfRule>
    <cfRule type="expression" dxfId="25" priority="10">
      <formula xml:space="preserve"> "-" = $S3</formula>
    </cfRule>
    <cfRule type="expression" dxfId="24" priority="11">
      <formula xml:space="preserve"> "S" = $O3</formula>
    </cfRule>
    <cfRule type="expression" dxfId="23" priority="12">
      <formula xml:space="preserve"> "A" = $O3</formula>
    </cfRule>
    <cfRule type="expression" dxfId="22" priority="13">
      <formula xml:space="preserve"> "B" = $O3</formula>
    </cfRule>
    <cfRule type="expression" dxfId="21" priority="14">
      <formula xml:space="preserve"> "C" = $O3</formula>
    </cfRule>
    <cfRule type="expression" dxfId="20" priority="15">
      <formula xml:space="preserve"> "D" = $O3</formula>
    </cfRule>
  </conditionalFormatting>
  <conditionalFormatting sqref="D3:K7">
    <cfRule type="expression" dxfId="19" priority="1">
      <formula xml:space="preserve"> $G3 &lt; 0</formula>
    </cfRule>
    <cfRule type="expression" dxfId="18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>
      <selection activeCell="A6" sqref="A6"/>
    </sheetView>
  </sheetViews>
  <sheetFormatPr defaultRowHeight="15"/>
  <cols>
    <col min="1" max="1" width="30" style="121" customWidth="1"/>
    <col min="2" max="2" width="0.7109375" style="121" customWidth="1"/>
    <col min="3" max="3" width="4.5703125" style="270" customWidth="1"/>
    <col min="4" max="4" width="6.85546875" style="270" customWidth="1"/>
    <col min="5" max="6" width="18.28515625" style="270" customWidth="1"/>
    <col min="7" max="7" width="36.5703125" style="270" customWidth="1"/>
    <col min="8" max="8" width="9.140625" style="270" customWidth="1"/>
    <col min="9" max="9" width="18.28515625" style="270" customWidth="1"/>
    <col min="10" max="10" width="21" style="270" customWidth="1"/>
    <col min="11" max="12" width="18.28515625" style="270" customWidth="1"/>
    <col min="13" max="13" width="36.5703125" style="270" customWidth="1"/>
    <col min="14" max="14" width="18.28515625" style="270" customWidth="1"/>
    <col min="15" max="15" width="4.5703125" style="270" customWidth="1"/>
    <col min="16" max="16" width="6.85546875" style="270" customWidth="1"/>
    <col min="17" max="17" width="15.28515625" style="270" customWidth="1"/>
    <col min="18" max="18" width="36.5703125" style="270" customWidth="1"/>
    <col min="19" max="19" width="9.140625" style="270" customWidth="1"/>
    <col min="20" max="20" width="36.5703125" style="270" customWidth="1"/>
    <col min="21" max="21" width="6.85546875" style="270" customWidth="1"/>
    <col min="22" max="27" width="15.28515625" style="270" customWidth="1"/>
    <col min="28" max="28" width="36.5703125" style="270" customWidth="1"/>
    <col min="29" max="29" width="4.5703125" style="270" customWidth="1"/>
    <col min="30" max="30" width="6.85546875" style="324" customWidth="1"/>
    <col min="31" max="31" width="18.28515625" style="323" customWidth="1"/>
    <col min="32" max="32" width="36.5703125" style="323" customWidth="1"/>
    <col min="33" max="35" width="18.28515625" style="323" customWidth="1"/>
    <col min="36" max="36" width="36.5703125" style="323" customWidth="1"/>
    <col min="37" max="37" width="4.5703125" style="270" customWidth="1"/>
    <col min="38" max="38" width="6.85546875" style="270" customWidth="1"/>
    <col min="39" max="39" width="18.28515625" style="270" customWidth="1"/>
    <col min="40" max="42" width="36.5703125" style="270" customWidth="1"/>
    <col min="43" max="43" width="18.28515625" style="270" customWidth="1"/>
    <col min="44" max="44" width="36.5703125" style="270" customWidth="1"/>
    <col min="45" max="45" width="4.5703125" style="270" customWidth="1"/>
    <col min="46" max="46" width="9.140625" style="323"/>
    <col min="47" max="48" width="18.28515625" style="323" customWidth="1"/>
    <col min="49" max="49" width="36.5703125" style="323" customWidth="1"/>
    <col min="50" max="50" width="18.28515625" style="323" customWidth="1"/>
    <col min="51" max="51" width="9.140625" style="324"/>
    <col min="52" max="52" width="24.28515625" style="323" customWidth="1"/>
    <col min="53" max="53" width="18.28515625" style="325" customWidth="1"/>
    <col min="54" max="55" width="20" style="325" customWidth="1"/>
    <col min="56" max="56" width="17.7109375" style="325" customWidth="1"/>
    <col min="57" max="57" width="23" style="324" customWidth="1"/>
    <col min="58" max="58" width="23" style="325" customWidth="1"/>
    <col min="59" max="59" width="25.85546875" style="270" customWidth="1"/>
    <col min="60" max="60" width="36.5703125" style="270" customWidth="1"/>
    <col min="61" max="61" width="0.7109375" style="270" customWidth="1"/>
    <col min="62" max="16384" width="9.140625" style="270"/>
  </cols>
  <sheetData>
    <row r="1" spans="1:58" ht="19.5" customHeight="1">
      <c r="A1" s="306" t="s">
        <v>1092</v>
      </c>
      <c r="D1" s="372" t="s">
        <v>1143</v>
      </c>
      <c r="E1" s="372"/>
      <c r="F1" s="372"/>
      <c r="G1" s="372"/>
      <c r="H1" s="318"/>
      <c r="I1" s="318"/>
      <c r="J1" s="318"/>
      <c r="K1" s="318"/>
      <c r="L1" s="318"/>
      <c r="M1" s="318"/>
      <c r="N1" s="318"/>
      <c r="P1" s="371" t="s">
        <v>1149</v>
      </c>
      <c r="Q1" s="371"/>
      <c r="R1" s="371"/>
      <c r="S1" s="371"/>
      <c r="T1" s="377"/>
      <c r="U1" s="317"/>
      <c r="V1" s="317"/>
      <c r="W1" s="317"/>
      <c r="X1" s="317"/>
      <c r="Y1" s="317"/>
      <c r="Z1" s="317"/>
      <c r="AA1" s="317"/>
      <c r="AB1" s="317"/>
      <c r="AD1" s="373" t="s">
        <v>1150</v>
      </c>
      <c r="AE1" s="373"/>
      <c r="AF1" s="373"/>
      <c r="AG1" s="322"/>
      <c r="AH1" s="322"/>
      <c r="AI1" s="322"/>
      <c r="AJ1" s="322"/>
    </row>
    <row r="2" spans="1:58">
      <c r="D2" s="66" t="s">
        <v>1</v>
      </c>
      <c r="E2" s="66" t="s">
        <v>0</v>
      </c>
      <c r="F2" s="66" t="s">
        <v>1093</v>
      </c>
      <c r="G2" s="66" t="s">
        <v>1094</v>
      </c>
      <c r="H2" s="66" t="s">
        <v>1095</v>
      </c>
      <c r="I2" s="66" t="s">
        <v>1096</v>
      </c>
      <c r="J2" s="66" t="s">
        <v>1097</v>
      </c>
      <c r="K2" s="66" t="s">
        <v>1098</v>
      </c>
      <c r="L2" s="66" t="s">
        <v>1099</v>
      </c>
      <c r="M2" s="66" t="s">
        <v>1100</v>
      </c>
      <c r="N2" s="66" t="s">
        <v>1101</v>
      </c>
      <c r="P2" s="308" t="s">
        <v>1</v>
      </c>
      <c r="Q2" s="308" t="s">
        <v>1093</v>
      </c>
      <c r="R2" s="308" t="s">
        <v>1094</v>
      </c>
      <c r="S2" s="308" t="s">
        <v>1068</v>
      </c>
      <c r="T2" s="308" t="s">
        <v>1173</v>
      </c>
      <c r="U2" s="309" t="s">
        <v>1106</v>
      </c>
      <c r="V2" s="308" t="s">
        <v>1145</v>
      </c>
      <c r="W2" s="310" t="s">
        <v>1144</v>
      </c>
      <c r="X2" s="310" t="s">
        <v>1146</v>
      </c>
      <c r="Y2" s="310" t="s">
        <v>1147</v>
      </c>
      <c r="Z2" s="310" t="s">
        <v>1148</v>
      </c>
      <c r="AA2" s="311" t="s">
        <v>1107</v>
      </c>
      <c r="AB2" s="311" t="s">
        <v>1100</v>
      </c>
      <c r="AD2" s="307" t="s">
        <v>1</v>
      </c>
      <c r="AE2" s="307" t="s">
        <v>1093</v>
      </c>
      <c r="AF2" s="307" t="s">
        <v>1094</v>
      </c>
      <c r="AG2" s="307" t="s">
        <v>1102</v>
      </c>
      <c r="AH2" s="307" t="s">
        <v>1103</v>
      </c>
      <c r="AI2" s="307" t="s">
        <v>1104</v>
      </c>
      <c r="AJ2" s="307" t="s">
        <v>1105</v>
      </c>
    </row>
    <row r="3" spans="1:58" ht="30">
      <c r="A3" s="143" t="s">
        <v>8</v>
      </c>
      <c r="D3" s="253">
        <v>1</v>
      </c>
      <c r="E3" s="254" t="s">
        <v>1170</v>
      </c>
      <c r="F3" s="254" t="s">
        <v>1137</v>
      </c>
      <c r="G3" s="254" t="s">
        <v>1166</v>
      </c>
      <c r="H3" s="374">
        <v>-1</v>
      </c>
      <c r="I3" s="254" t="s">
        <v>1108</v>
      </c>
      <c r="J3" s="254" t="s">
        <v>1109</v>
      </c>
      <c r="K3" s="254" t="s">
        <v>1051</v>
      </c>
      <c r="L3" s="254" t="s">
        <v>1052</v>
      </c>
      <c r="M3" s="254" t="s">
        <v>1044</v>
      </c>
      <c r="N3" s="319" t="s">
        <v>1165</v>
      </c>
      <c r="P3" s="253">
        <v>1</v>
      </c>
      <c r="Q3" s="254" t="s">
        <v>1137</v>
      </c>
      <c r="R3" s="254" t="s">
        <v>1172</v>
      </c>
      <c r="S3" s="254" t="s">
        <v>1072</v>
      </c>
      <c r="T3" s="254" t="s">
        <v>1178</v>
      </c>
      <c r="U3" s="253">
        <v>1</v>
      </c>
      <c r="V3" s="320">
        <v>300000000</v>
      </c>
      <c r="W3" s="321">
        <f>IFERROR(Table74[[#This Row],[تعداد]]*Table74[[#This Row],[قیمت واحد]],0)</f>
        <v>300000000</v>
      </c>
      <c r="X3" s="320">
        <v>200000000</v>
      </c>
      <c r="Y3" s="321">
        <f>IFERROR(Table74[[#This Row],[قیمت کل]]-Table74[[#This Row],[مبلغ تهیه شده]],0)</f>
        <v>100000000</v>
      </c>
      <c r="Z3" s="320"/>
      <c r="AA3" s="254" t="s">
        <v>1180</v>
      </c>
      <c r="AB3" s="254"/>
      <c r="AD3" s="312">
        <v>1</v>
      </c>
      <c r="AE3" s="313" t="s">
        <v>1110</v>
      </c>
      <c r="AF3" s="313" t="s">
        <v>1181</v>
      </c>
      <c r="AG3" s="313" t="s">
        <v>1182</v>
      </c>
      <c r="AH3" s="313" t="s">
        <v>1183</v>
      </c>
      <c r="AI3" s="313" t="s">
        <v>1129</v>
      </c>
      <c r="AJ3" s="313" t="s">
        <v>1111</v>
      </c>
    </row>
    <row r="4" spans="1:58" ht="45">
      <c r="A4" s="144" t="s">
        <v>115</v>
      </c>
      <c r="D4" s="253">
        <v>2</v>
      </c>
      <c r="E4" s="254" t="s">
        <v>1170</v>
      </c>
      <c r="F4" s="254" t="s">
        <v>1142</v>
      </c>
      <c r="G4" s="254" t="s">
        <v>1168</v>
      </c>
      <c r="H4" s="374">
        <v>1</v>
      </c>
      <c r="I4" s="254" t="s">
        <v>1113</v>
      </c>
      <c r="J4" s="254" t="s">
        <v>1114</v>
      </c>
      <c r="K4" s="254" t="s">
        <v>1162</v>
      </c>
      <c r="L4" s="254" t="s">
        <v>1051</v>
      </c>
      <c r="M4" s="376" t="s">
        <v>1169</v>
      </c>
      <c r="N4" s="319" t="s">
        <v>1171</v>
      </c>
      <c r="P4" s="253">
        <v>2</v>
      </c>
      <c r="Q4" s="254" t="s">
        <v>1118</v>
      </c>
      <c r="R4" s="254" t="s">
        <v>1175</v>
      </c>
      <c r="S4" s="254" t="s">
        <v>1069</v>
      </c>
      <c r="T4" s="254" t="s">
        <v>1044</v>
      </c>
      <c r="U4" s="253">
        <v>1</v>
      </c>
      <c r="V4" s="320">
        <v>20000000</v>
      </c>
      <c r="W4" s="321">
        <f>IFERROR(Table74[[#This Row],[تعداد]]*Table74[[#This Row],[قیمت واحد]],0)</f>
        <v>20000000</v>
      </c>
      <c r="X4" s="320">
        <v>20000000</v>
      </c>
      <c r="Y4" s="321">
        <f>IFERROR(Table74[[#This Row],[قیمت کل]]-Table74[[#This Row],[مبلغ تهیه شده]],0)</f>
        <v>0</v>
      </c>
      <c r="Z4" s="320"/>
      <c r="AA4" s="254" t="s">
        <v>1131</v>
      </c>
      <c r="AB4" s="254"/>
      <c r="AD4" s="381">
        <v>2</v>
      </c>
      <c r="AE4" s="382" t="s">
        <v>1137</v>
      </c>
      <c r="AF4" s="382" t="s">
        <v>1184</v>
      </c>
      <c r="AG4" s="382" t="s">
        <v>1044</v>
      </c>
      <c r="AH4" s="382" t="s">
        <v>1044</v>
      </c>
      <c r="AI4" s="382" t="s">
        <v>1116</v>
      </c>
      <c r="AJ4" s="313" t="s">
        <v>1111</v>
      </c>
    </row>
    <row r="5" spans="1:58" ht="30">
      <c r="A5" s="147" t="s">
        <v>1188</v>
      </c>
      <c r="D5" s="253">
        <v>3</v>
      </c>
      <c r="E5" s="254"/>
      <c r="F5" s="254"/>
      <c r="G5" s="254"/>
      <c r="H5" s="374"/>
      <c r="I5" s="254"/>
      <c r="J5" s="254"/>
      <c r="K5" s="254"/>
      <c r="L5" s="254"/>
      <c r="M5" s="254"/>
      <c r="N5" s="319"/>
      <c r="P5" s="253">
        <v>3</v>
      </c>
      <c r="Q5" s="254"/>
      <c r="R5" s="254" t="s">
        <v>1176</v>
      </c>
      <c r="S5" s="254" t="s">
        <v>1071</v>
      </c>
      <c r="T5" s="254" t="s">
        <v>1177</v>
      </c>
      <c r="U5" s="253">
        <v>1</v>
      </c>
      <c r="V5" s="320">
        <v>20000000</v>
      </c>
      <c r="W5" s="321">
        <f>IFERROR(Table74[[#This Row],[تعداد]]*Table74[[#This Row],[قیمت واحد]],0)</f>
        <v>20000000</v>
      </c>
      <c r="X5" s="320">
        <v>20000000</v>
      </c>
      <c r="Y5" s="321">
        <f>IFERROR(Table74[[#This Row],[قیمت کل]]-Table74[[#This Row],[مبلغ تهیه شده]],0)</f>
        <v>0</v>
      </c>
      <c r="Z5" s="320">
        <v>19500000</v>
      </c>
      <c r="AA5" s="254" t="s">
        <v>1117</v>
      </c>
      <c r="AB5" s="254"/>
      <c r="AD5" s="381">
        <v>3</v>
      </c>
      <c r="AE5" s="382" t="s">
        <v>1137</v>
      </c>
      <c r="AF5" s="382" t="s">
        <v>259</v>
      </c>
      <c r="AG5" s="382" t="s">
        <v>1044</v>
      </c>
      <c r="AH5" s="382" t="s">
        <v>1044</v>
      </c>
      <c r="AI5" s="382" t="s">
        <v>1130</v>
      </c>
      <c r="AJ5" s="313" t="s">
        <v>1111</v>
      </c>
    </row>
    <row r="6" spans="1:58" ht="45">
      <c r="A6" s="394" t="s">
        <v>1189</v>
      </c>
      <c r="D6" s="253">
        <v>4</v>
      </c>
      <c r="E6" s="254"/>
      <c r="F6" s="254"/>
      <c r="G6" s="254"/>
      <c r="H6" s="374"/>
      <c r="I6" s="254"/>
      <c r="J6" s="254"/>
      <c r="K6" s="254"/>
      <c r="L6" s="254"/>
      <c r="M6" s="254"/>
      <c r="N6" s="319"/>
      <c r="P6" s="253">
        <v>4</v>
      </c>
      <c r="Q6" s="254" t="s">
        <v>1142</v>
      </c>
      <c r="R6" s="254" t="s">
        <v>1168</v>
      </c>
      <c r="S6" s="254" t="s">
        <v>1070</v>
      </c>
      <c r="T6" s="254" t="s">
        <v>1174</v>
      </c>
      <c r="U6" s="253">
        <v>1</v>
      </c>
      <c r="V6" s="320">
        <v>550000</v>
      </c>
      <c r="W6" s="321">
        <f>IFERROR(Table74[[#This Row],[تعداد]]*Table74[[#This Row],[قیمت واحد]],0)</f>
        <v>550000</v>
      </c>
      <c r="X6" s="320">
        <v>550000</v>
      </c>
      <c r="Y6" s="321">
        <f>IFERROR(Table74[[#This Row],[قیمت کل]]-Table74[[#This Row],[مبلغ تهیه شده]],0)</f>
        <v>0</v>
      </c>
      <c r="Z6" s="320">
        <v>450000</v>
      </c>
      <c r="AA6" s="254" t="s">
        <v>1112</v>
      </c>
      <c r="AB6" s="254"/>
      <c r="AD6" s="385"/>
      <c r="AE6" s="386"/>
      <c r="AF6" s="386"/>
      <c r="AG6" s="386"/>
      <c r="AH6" s="386"/>
      <c r="AI6" s="386"/>
      <c r="AJ6" s="386"/>
      <c r="AL6" s="383"/>
      <c r="AM6" s="384"/>
      <c r="AN6" s="384"/>
      <c r="AO6" s="384"/>
      <c r="AP6" s="384"/>
      <c r="AQ6" s="384"/>
      <c r="AR6" s="384"/>
    </row>
    <row r="7" spans="1:58" ht="18.75">
      <c r="A7" s="396" t="s">
        <v>1190</v>
      </c>
      <c r="D7" s="253">
        <v>5</v>
      </c>
      <c r="E7" s="254"/>
      <c r="F7" s="254"/>
      <c r="G7" s="254"/>
      <c r="H7" s="374"/>
      <c r="I7" s="254"/>
      <c r="J7" s="254"/>
      <c r="K7" s="254"/>
      <c r="L7" s="254"/>
      <c r="M7" s="254"/>
      <c r="N7" s="319"/>
      <c r="P7" s="253">
        <v>5</v>
      </c>
      <c r="Q7" s="254" t="s">
        <v>1110</v>
      </c>
      <c r="R7" s="254" t="s">
        <v>1179</v>
      </c>
      <c r="S7" s="254" t="s">
        <v>1073</v>
      </c>
      <c r="T7" s="254" t="s">
        <v>1044</v>
      </c>
      <c r="U7" s="253">
        <v>1</v>
      </c>
      <c r="V7" s="320">
        <v>70000000</v>
      </c>
      <c r="W7" s="321">
        <f>IFERROR(Table74[[#This Row],[تعداد]]*Table74[[#This Row],[قیمت واحد]],0)</f>
        <v>70000000</v>
      </c>
      <c r="X7" s="320">
        <v>0</v>
      </c>
      <c r="Y7" s="321">
        <f>IFERROR(Table74[[#This Row],[قیمت کل]]-Table74[[#This Row],[مبلغ تهیه شده]],0)</f>
        <v>70000000</v>
      </c>
      <c r="Z7" s="320"/>
      <c r="AA7" s="254" t="s">
        <v>1186</v>
      </c>
      <c r="AB7" s="254"/>
      <c r="AD7" s="385"/>
      <c r="AE7" s="386"/>
      <c r="AF7" s="386"/>
      <c r="AG7" s="386"/>
      <c r="AH7" s="386"/>
      <c r="AI7" s="386"/>
      <c r="AJ7" s="386"/>
      <c r="AL7" s="383"/>
      <c r="AM7" s="384"/>
      <c r="AN7" s="384"/>
      <c r="AO7" s="384"/>
      <c r="AP7" s="384"/>
      <c r="AQ7" s="384"/>
      <c r="AR7" s="384"/>
    </row>
    <row r="8" spans="1:58" ht="18.75">
      <c r="A8" s="399" t="s">
        <v>1191</v>
      </c>
      <c r="D8" s="253">
        <v>6</v>
      </c>
      <c r="E8" s="254"/>
      <c r="F8" s="254"/>
      <c r="G8" s="254"/>
      <c r="H8" s="374"/>
      <c r="I8" s="254"/>
      <c r="J8" s="254"/>
      <c r="K8" s="254"/>
      <c r="L8" s="254"/>
      <c r="M8" s="254"/>
      <c r="N8" s="319"/>
      <c r="P8" s="256" t="s">
        <v>142</v>
      </c>
      <c r="Q8" s="378"/>
      <c r="R8" s="378"/>
      <c r="S8" s="378"/>
      <c r="T8" s="378"/>
      <c r="U8" s="253">
        <f>SUBTOTAL(109,Table74[تعداد])</f>
        <v>5</v>
      </c>
      <c r="V8" s="378"/>
      <c r="W8" s="379"/>
      <c r="X8" s="378"/>
      <c r="Y8" s="379"/>
      <c r="Z8" s="378"/>
      <c r="AA8" s="378"/>
      <c r="AB8" s="378"/>
      <c r="AD8" s="385"/>
      <c r="AE8" s="386"/>
      <c r="AF8" s="386"/>
      <c r="AG8" s="386"/>
      <c r="AH8" s="386"/>
      <c r="AI8" s="386"/>
      <c r="AJ8" s="386"/>
      <c r="AL8" s="383"/>
      <c r="AM8" s="384"/>
      <c r="AN8" s="384"/>
      <c r="AO8" s="384"/>
      <c r="AP8" s="384"/>
      <c r="AQ8" s="384"/>
      <c r="AR8" s="384"/>
    </row>
    <row r="9" spans="1:58" ht="18.75">
      <c r="A9" s="397" t="s">
        <v>7</v>
      </c>
      <c r="D9" s="253">
        <v>7</v>
      </c>
      <c r="E9" s="254"/>
      <c r="F9" s="254"/>
      <c r="G9" s="254"/>
      <c r="H9" s="374"/>
      <c r="I9" s="254"/>
      <c r="J9" s="254"/>
      <c r="K9" s="254"/>
      <c r="L9" s="254"/>
      <c r="M9" s="254"/>
      <c r="N9" s="319"/>
      <c r="P9" s="385"/>
      <c r="Q9" s="386"/>
      <c r="R9" s="386"/>
      <c r="S9" s="386"/>
      <c r="T9" s="386"/>
      <c r="U9" s="385"/>
      <c r="V9" s="387"/>
      <c r="W9" s="388"/>
      <c r="X9" s="387"/>
      <c r="Y9" s="388"/>
      <c r="Z9" s="387"/>
      <c r="AA9" s="386"/>
      <c r="AB9" s="386"/>
      <c r="AD9" s="385"/>
      <c r="AE9" s="386"/>
      <c r="AF9" s="386"/>
      <c r="AG9" s="386"/>
      <c r="AH9" s="386"/>
      <c r="AI9" s="386"/>
      <c r="AJ9" s="386"/>
      <c r="AL9" s="383"/>
      <c r="AM9" s="384"/>
      <c r="AN9" s="384"/>
      <c r="AO9" s="384"/>
      <c r="AP9" s="384"/>
      <c r="AQ9" s="384"/>
      <c r="AR9" s="384"/>
    </row>
    <row r="10" spans="1:58" ht="18.75">
      <c r="A10" s="398" t="s">
        <v>100</v>
      </c>
      <c r="D10" s="256" t="s">
        <v>142</v>
      </c>
      <c r="E10" s="375"/>
      <c r="F10" s="375"/>
      <c r="G10" s="375"/>
      <c r="H10" s="374">
        <f>SUBTOTAL(109,CommodityInputandOutputTable[تعداد کالا])</f>
        <v>0</v>
      </c>
      <c r="I10" s="375"/>
      <c r="J10" s="375"/>
      <c r="K10" s="375"/>
      <c r="L10" s="375"/>
      <c r="M10" s="375"/>
      <c r="N10" s="375">
        <f>SUBTOTAL(103,CommodityInputandOutputTable[لینک تصویر کالا])</f>
        <v>2</v>
      </c>
      <c r="P10" s="385"/>
      <c r="Q10" s="386"/>
      <c r="R10" s="386"/>
      <c r="S10" s="386"/>
      <c r="T10" s="386"/>
      <c r="U10" s="385"/>
      <c r="V10" s="387"/>
      <c r="W10" s="388"/>
      <c r="X10" s="387"/>
      <c r="Y10" s="388"/>
      <c r="Z10" s="387"/>
      <c r="AA10" s="386"/>
      <c r="AB10" s="386"/>
      <c r="AD10" s="328"/>
      <c r="AE10" s="329"/>
      <c r="AF10" s="329"/>
      <c r="AG10" s="329"/>
      <c r="AH10" s="329"/>
      <c r="AI10" s="329"/>
      <c r="AJ10" s="329"/>
    </row>
    <row r="11" spans="1:58"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7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D11" s="328"/>
      <c r="AE11" s="329"/>
      <c r="AF11" s="329"/>
      <c r="AG11" s="329"/>
      <c r="AH11" s="329"/>
      <c r="AI11" s="329"/>
      <c r="AJ11" s="329"/>
    </row>
    <row r="12" spans="1:58">
      <c r="D12" s="326"/>
      <c r="E12" s="326"/>
      <c r="F12" s="326"/>
      <c r="G12" s="326"/>
      <c r="H12" s="326"/>
      <c r="I12" s="326"/>
      <c r="J12" s="326"/>
      <c r="K12" s="326"/>
      <c r="L12" s="326"/>
      <c r="M12" s="326"/>
      <c r="N12" s="327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D12" s="328"/>
      <c r="AE12" s="329"/>
      <c r="AF12" s="329"/>
      <c r="AG12" s="329"/>
      <c r="AH12" s="329"/>
      <c r="AI12" s="329"/>
      <c r="AJ12" s="329"/>
    </row>
    <row r="13" spans="1:58">
      <c r="A13" s="305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7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D13" s="328"/>
      <c r="AE13" s="329"/>
      <c r="AF13" s="329"/>
      <c r="AG13" s="329"/>
      <c r="AH13" s="329"/>
      <c r="AI13" s="329"/>
      <c r="AJ13" s="329"/>
    </row>
    <row r="14" spans="1:58" ht="15.75">
      <c r="A14" s="370"/>
      <c r="D14" s="326"/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D14" s="328"/>
      <c r="AE14" s="329"/>
      <c r="AF14" s="329"/>
      <c r="AG14" s="329"/>
      <c r="AH14" s="329"/>
      <c r="AI14" s="329"/>
      <c r="AJ14" s="329"/>
    </row>
    <row r="15" spans="1:58">
      <c r="A15" s="305"/>
      <c r="D15" s="326"/>
      <c r="E15" s="326"/>
      <c r="F15" s="326"/>
      <c r="G15" s="326"/>
      <c r="H15" s="326"/>
      <c r="I15" s="326"/>
      <c r="J15" s="326"/>
      <c r="K15" s="326"/>
      <c r="L15" s="326"/>
      <c r="M15" s="326"/>
      <c r="N15" s="326"/>
      <c r="P15" s="326"/>
      <c r="Q15" s="326"/>
      <c r="R15" s="326"/>
      <c r="S15" s="326"/>
      <c r="T15" s="326"/>
      <c r="U15" s="326"/>
      <c r="V15" s="326"/>
      <c r="W15" s="326"/>
      <c r="X15" s="326"/>
      <c r="Y15" s="326"/>
      <c r="Z15" s="326"/>
      <c r="AA15" s="326"/>
      <c r="AB15" s="326"/>
      <c r="AD15" s="328"/>
      <c r="AE15" s="329"/>
      <c r="AF15" s="329"/>
      <c r="AG15" s="329"/>
      <c r="AH15" s="329"/>
      <c r="AI15" s="329"/>
      <c r="AJ15" s="329"/>
    </row>
    <row r="16" spans="1:58">
      <c r="A16" s="305"/>
      <c r="P16" s="326"/>
      <c r="Q16" s="326"/>
      <c r="R16" s="326"/>
      <c r="S16" s="326"/>
      <c r="T16" s="326"/>
      <c r="U16" s="326"/>
      <c r="V16" s="326"/>
      <c r="W16" s="326"/>
      <c r="X16" s="326"/>
      <c r="Y16" s="326"/>
      <c r="Z16" s="326"/>
      <c r="AA16" s="326"/>
      <c r="AB16" s="326"/>
      <c r="AD16" s="328"/>
      <c r="AE16" s="329"/>
      <c r="AF16" s="329"/>
      <c r="AG16" s="329"/>
      <c r="AH16" s="329"/>
      <c r="AI16" s="329"/>
      <c r="AJ16" s="329"/>
      <c r="AT16" s="270"/>
      <c r="AU16" s="270"/>
      <c r="AV16" s="270"/>
      <c r="AW16" s="270"/>
      <c r="AX16" s="270"/>
      <c r="AY16" s="270"/>
      <c r="AZ16" s="270"/>
      <c r="BA16" s="270"/>
      <c r="BB16" s="270"/>
      <c r="BC16" s="270"/>
      <c r="BD16" s="270"/>
      <c r="BE16" s="270"/>
      <c r="BF16" s="270"/>
    </row>
    <row r="17" spans="1:58"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D17" s="328"/>
      <c r="AE17" s="329"/>
      <c r="AF17" s="329"/>
      <c r="AG17" s="329"/>
      <c r="AH17" s="329"/>
      <c r="AI17" s="329"/>
      <c r="AJ17" s="329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</row>
    <row r="18" spans="1:58"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D18" s="328"/>
      <c r="AE18" s="329"/>
      <c r="AF18" s="329"/>
      <c r="AG18" s="329"/>
      <c r="AH18" s="329"/>
      <c r="AI18" s="329"/>
      <c r="AJ18" s="329"/>
      <c r="AT18" s="270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  <c r="BF18" s="270"/>
    </row>
    <row r="19" spans="1:58">
      <c r="A19" s="305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D19" s="328"/>
      <c r="AE19" s="329"/>
      <c r="AF19" s="329"/>
      <c r="AG19" s="329"/>
      <c r="AH19" s="329"/>
      <c r="AI19" s="329"/>
      <c r="AJ19" s="329"/>
      <c r="AT19" s="270"/>
      <c r="AU19" s="270"/>
      <c r="AV19" s="270"/>
      <c r="AW19" s="270"/>
      <c r="AX19" s="270"/>
      <c r="AY19" s="270"/>
      <c r="AZ19" s="270"/>
      <c r="BA19" s="270"/>
      <c r="BB19" s="270"/>
      <c r="BC19" s="270"/>
      <c r="BD19" s="270"/>
      <c r="BE19" s="270"/>
      <c r="BF19" s="270"/>
    </row>
    <row r="20" spans="1:58">
      <c r="P20" s="326"/>
      <c r="Q20" s="326"/>
      <c r="R20" s="326"/>
      <c r="S20" s="326"/>
      <c r="T20" s="326"/>
      <c r="U20" s="326"/>
      <c r="V20" s="326"/>
      <c r="W20" s="326"/>
      <c r="X20" s="326"/>
      <c r="Y20" s="326"/>
      <c r="Z20" s="326"/>
      <c r="AA20" s="326"/>
      <c r="AB20" s="326"/>
      <c r="AD20" s="328"/>
      <c r="AE20" s="329"/>
      <c r="AF20" s="329"/>
      <c r="AG20" s="329"/>
      <c r="AH20" s="329"/>
      <c r="AI20" s="329"/>
      <c r="AJ20" s="329"/>
      <c r="AT20" s="270"/>
      <c r="AU20" s="270"/>
      <c r="AV20" s="270"/>
      <c r="AW20" s="270"/>
      <c r="AX20" s="270"/>
      <c r="AY20" s="270"/>
      <c r="AZ20" s="270"/>
      <c r="BA20" s="270"/>
      <c r="BB20" s="270"/>
      <c r="BC20" s="270"/>
      <c r="BD20" s="270"/>
      <c r="BE20" s="270"/>
      <c r="BF20" s="270"/>
    </row>
    <row r="21" spans="1:58"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D21" s="328"/>
      <c r="AE21" s="329"/>
      <c r="AF21" s="329"/>
      <c r="AG21" s="329"/>
      <c r="AH21" s="329"/>
      <c r="AI21" s="329"/>
      <c r="AJ21" s="329"/>
      <c r="AT21" s="270"/>
      <c r="AU21" s="270"/>
      <c r="AV21" s="270"/>
      <c r="AW21" s="270"/>
      <c r="AX21" s="270"/>
      <c r="AY21" s="270"/>
      <c r="AZ21" s="270"/>
      <c r="BA21" s="270"/>
      <c r="BB21" s="270"/>
      <c r="BC21" s="270"/>
      <c r="BD21" s="270"/>
      <c r="BE21" s="270"/>
      <c r="BF21" s="270"/>
    </row>
    <row r="22" spans="1:58">
      <c r="P22" s="326"/>
      <c r="Q22" s="326"/>
      <c r="R22" s="326"/>
      <c r="S22" s="326"/>
      <c r="T22" s="326"/>
      <c r="U22" s="326"/>
      <c r="V22" s="326"/>
      <c r="W22" s="326"/>
      <c r="X22" s="326"/>
      <c r="Y22" s="326"/>
      <c r="Z22" s="326"/>
      <c r="AA22" s="326"/>
      <c r="AB22" s="326"/>
      <c r="AD22" s="328"/>
      <c r="AE22" s="329"/>
      <c r="AF22" s="329"/>
      <c r="AG22" s="329"/>
      <c r="AH22" s="329"/>
      <c r="AI22" s="329"/>
      <c r="AJ22" s="329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</row>
    <row r="23" spans="1:58">
      <c r="P23" s="326"/>
      <c r="Q23" s="326"/>
      <c r="R23" s="326"/>
      <c r="S23" s="326"/>
      <c r="T23" s="326"/>
      <c r="U23" s="326"/>
      <c r="V23" s="326"/>
      <c r="W23" s="326"/>
      <c r="X23" s="326"/>
      <c r="Y23" s="326"/>
      <c r="Z23" s="326"/>
      <c r="AA23" s="326"/>
      <c r="AB23" s="326"/>
      <c r="AD23" s="328"/>
      <c r="AE23" s="329"/>
      <c r="AF23" s="329"/>
      <c r="AG23" s="329"/>
      <c r="AH23" s="329"/>
      <c r="AI23" s="329"/>
      <c r="AJ23" s="329"/>
      <c r="AT23" s="270"/>
      <c r="AU23" s="270"/>
      <c r="AV23" s="270"/>
      <c r="AW23" s="270"/>
      <c r="AX23" s="270"/>
      <c r="AY23" s="270"/>
      <c r="AZ23" s="270"/>
      <c r="BA23" s="270"/>
      <c r="BB23" s="270"/>
      <c r="BC23" s="270"/>
      <c r="BD23" s="270"/>
      <c r="BE23" s="270"/>
      <c r="BF23" s="270"/>
    </row>
    <row r="24" spans="1:58">
      <c r="A24" s="305"/>
      <c r="P24" s="326"/>
      <c r="Q24" s="326"/>
      <c r="R24" s="326"/>
      <c r="S24" s="326"/>
      <c r="T24" s="326"/>
      <c r="U24" s="326"/>
      <c r="V24" s="326"/>
      <c r="W24" s="326"/>
      <c r="X24" s="326"/>
      <c r="Y24" s="326"/>
      <c r="Z24" s="326"/>
      <c r="AA24" s="326"/>
      <c r="AB24" s="326"/>
      <c r="AD24" s="328"/>
      <c r="AE24" s="329"/>
      <c r="AF24" s="329"/>
      <c r="AG24" s="329"/>
      <c r="AH24" s="329"/>
      <c r="AI24" s="329"/>
      <c r="AJ24" s="329"/>
      <c r="AT24" s="270"/>
      <c r="AU24" s="270"/>
      <c r="AV24" s="270"/>
      <c r="AW24" s="270"/>
      <c r="AX24" s="270"/>
      <c r="AY24" s="270"/>
      <c r="AZ24" s="270"/>
      <c r="BA24" s="270"/>
      <c r="BB24" s="270"/>
      <c r="BC24" s="270"/>
      <c r="BD24" s="270"/>
      <c r="BE24" s="270"/>
      <c r="BF24" s="270"/>
    </row>
    <row r="25" spans="1:58">
      <c r="A25" s="305"/>
      <c r="P25" s="326"/>
      <c r="Q25" s="326"/>
      <c r="R25" s="326"/>
      <c r="S25" s="326"/>
      <c r="T25" s="326"/>
      <c r="U25" s="326"/>
      <c r="V25" s="326"/>
      <c r="W25" s="326"/>
      <c r="X25" s="326"/>
      <c r="Y25" s="326"/>
      <c r="Z25" s="326"/>
      <c r="AA25" s="326"/>
      <c r="AB25" s="326"/>
      <c r="AD25" s="328"/>
      <c r="AE25" s="329"/>
      <c r="AF25" s="329"/>
      <c r="AG25" s="329"/>
      <c r="AH25" s="329"/>
      <c r="AI25" s="329"/>
      <c r="AJ25" s="329"/>
      <c r="AT25" s="270"/>
      <c r="AU25" s="270"/>
      <c r="AV25" s="270"/>
      <c r="AW25" s="270"/>
      <c r="AX25" s="270"/>
      <c r="AY25" s="270"/>
      <c r="AZ25" s="270"/>
      <c r="BA25" s="270"/>
      <c r="BB25" s="270"/>
      <c r="BC25" s="270"/>
      <c r="BD25" s="270"/>
      <c r="BE25" s="270"/>
      <c r="BF25" s="270"/>
    </row>
    <row r="26" spans="1:58">
      <c r="A26" s="305"/>
      <c r="P26" s="326"/>
      <c r="Q26" s="326"/>
      <c r="R26" s="326"/>
      <c r="S26" s="326"/>
      <c r="T26" s="326"/>
      <c r="U26" s="326"/>
      <c r="V26" s="326"/>
      <c r="W26" s="326"/>
      <c r="X26" s="326"/>
      <c r="Y26" s="326"/>
      <c r="Z26" s="326"/>
      <c r="AA26" s="326"/>
      <c r="AB26" s="326"/>
      <c r="AD26" s="328"/>
      <c r="AE26" s="329"/>
      <c r="AF26" s="329"/>
      <c r="AG26" s="329"/>
      <c r="AH26" s="329"/>
      <c r="AI26" s="329"/>
      <c r="AJ26" s="329"/>
      <c r="AT26" s="270"/>
      <c r="AU26" s="270"/>
      <c r="AV26" s="270"/>
      <c r="AW26" s="270"/>
      <c r="AX26" s="270"/>
      <c r="AY26" s="270"/>
      <c r="AZ26" s="270"/>
      <c r="BA26" s="270"/>
      <c r="BB26" s="270"/>
      <c r="BC26" s="270"/>
      <c r="BD26" s="270"/>
      <c r="BE26" s="270"/>
      <c r="BF26" s="270"/>
    </row>
    <row r="27" spans="1:58">
      <c r="P27" s="326"/>
      <c r="Q27" s="326"/>
      <c r="R27" s="326"/>
      <c r="S27" s="326"/>
      <c r="T27" s="326"/>
      <c r="U27" s="326"/>
      <c r="V27" s="326"/>
      <c r="W27" s="326"/>
      <c r="X27" s="326"/>
      <c r="Y27" s="326"/>
      <c r="Z27" s="326"/>
      <c r="AA27" s="326"/>
      <c r="AB27" s="326"/>
      <c r="AD27" s="328"/>
      <c r="AE27" s="329"/>
      <c r="AF27" s="329"/>
      <c r="AG27" s="329"/>
      <c r="AH27" s="329"/>
      <c r="AI27" s="329"/>
      <c r="AJ27" s="329"/>
      <c r="AT27" s="270"/>
      <c r="AU27" s="270"/>
      <c r="AV27" s="270"/>
      <c r="AW27" s="270"/>
      <c r="AX27" s="270"/>
      <c r="AY27" s="270"/>
      <c r="AZ27" s="270"/>
      <c r="BA27" s="270"/>
      <c r="BB27" s="270"/>
      <c r="BC27" s="270"/>
      <c r="BD27" s="270"/>
      <c r="BE27" s="270"/>
      <c r="BF27" s="270"/>
    </row>
    <row r="28" spans="1:58"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D28" s="328"/>
      <c r="AE28" s="329"/>
      <c r="AF28" s="329"/>
      <c r="AG28" s="329"/>
      <c r="AH28" s="329"/>
      <c r="AI28" s="329"/>
      <c r="AJ28" s="329"/>
      <c r="AT28" s="270"/>
      <c r="AU28" s="270"/>
      <c r="AV28" s="270"/>
      <c r="AW28" s="270"/>
      <c r="AX28" s="270"/>
      <c r="AY28" s="270"/>
      <c r="AZ28" s="270"/>
      <c r="BA28" s="270"/>
      <c r="BB28" s="270"/>
      <c r="BC28" s="270"/>
      <c r="BD28" s="270"/>
      <c r="BE28" s="270"/>
      <c r="BF28" s="270"/>
    </row>
    <row r="29" spans="1:58">
      <c r="P29" s="326"/>
      <c r="Q29" s="326"/>
      <c r="R29" s="326"/>
      <c r="S29" s="326"/>
      <c r="T29" s="326"/>
      <c r="U29" s="326"/>
      <c r="V29" s="326"/>
      <c r="W29" s="326"/>
      <c r="X29" s="326"/>
      <c r="Y29" s="326"/>
      <c r="Z29" s="326"/>
      <c r="AA29" s="326"/>
      <c r="AB29" s="326"/>
      <c r="AD29" s="328"/>
      <c r="AE29" s="329"/>
      <c r="AF29" s="329"/>
      <c r="AG29" s="329"/>
      <c r="AH29" s="329"/>
      <c r="AI29" s="329"/>
      <c r="AJ29" s="329"/>
      <c r="AT29" s="270"/>
      <c r="AU29" s="270"/>
      <c r="AV29" s="270"/>
      <c r="AW29" s="270"/>
      <c r="AX29" s="270"/>
      <c r="AY29" s="270"/>
      <c r="AZ29" s="270"/>
      <c r="BA29" s="270"/>
      <c r="BB29" s="270"/>
      <c r="BC29" s="270"/>
      <c r="BD29" s="270"/>
      <c r="BE29" s="270"/>
      <c r="BF29" s="270"/>
    </row>
    <row r="30" spans="1:58">
      <c r="P30" s="326"/>
      <c r="Q30" s="326"/>
      <c r="R30" s="326"/>
      <c r="S30" s="326"/>
      <c r="T30" s="326"/>
      <c r="U30" s="326"/>
      <c r="V30" s="326"/>
      <c r="W30" s="326"/>
      <c r="X30" s="326"/>
      <c r="Y30" s="326"/>
      <c r="Z30" s="326"/>
      <c r="AA30" s="326"/>
      <c r="AB30" s="326"/>
      <c r="AD30" s="328"/>
      <c r="AE30" s="329"/>
      <c r="AF30" s="329"/>
      <c r="AG30" s="329"/>
      <c r="AH30" s="329"/>
      <c r="AI30" s="329"/>
      <c r="AJ30" s="329"/>
      <c r="AT30" s="270"/>
      <c r="AU30" s="270"/>
      <c r="AV30" s="270"/>
      <c r="AW30" s="270"/>
      <c r="AX30" s="270"/>
      <c r="AY30" s="270"/>
      <c r="AZ30" s="270"/>
      <c r="BA30" s="270"/>
      <c r="BB30" s="270"/>
      <c r="BC30" s="270"/>
      <c r="BD30" s="270"/>
      <c r="BE30" s="270"/>
      <c r="BF30" s="270"/>
    </row>
    <row r="31" spans="1:58">
      <c r="P31" s="326"/>
      <c r="Q31" s="326"/>
      <c r="R31" s="326"/>
      <c r="S31" s="326"/>
      <c r="T31" s="326"/>
      <c r="U31" s="326"/>
      <c r="V31" s="326"/>
      <c r="W31" s="326"/>
      <c r="X31" s="326"/>
      <c r="Y31" s="326"/>
      <c r="Z31" s="326"/>
      <c r="AA31" s="326"/>
      <c r="AB31" s="326"/>
      <c r="AD31" s="328"/>
      <c r="AE31" s="329"/>
      <c r="AF31" s="329"/>
      <c r="AG31" s="329"/>
      <c r="AH31" s="329"/>
      <c r="AI31" s="329"/>
      <c r="AJ31" s="329"/>
      <c r="AT31" s="270"/>
      <c r="AU31" s="270"/>
      <c r="AV31" s="270"/>
      <c r="AW31" s="270"/>
      <c r="AX31" s="270"/>
      <c r="AY31" s="270"/>
      <c r="AZ31" s="270"/>
      <c r="BA31" s="270"/>
      <c r="BB31" s="270"/>
      <c r="BC31" s="270"/>
      <c r="BD31" s="270"/>
      <c r="BE31" s="270"/>
      <c r="BF31" s="270"/>
    </row>
    <row r="32" spans="1:58">
      <c r="P32" s="326"/>
      <c r="Q32" s="326"/>
      <c r="R32" s="326"/>
      <c r="S32" s="326"/>
      <c r="T32" s="326"/>
      <c r="U32" s="326"/>
      <c r="V32" s="326"/>
      <c r="W32" s="326"/>
      <c r="X32" s="326"/>
      <c r="Y32" s="326"/>
      <c r="Z32" s="326"/>
      <c r="AA32" s="326"/>
      <c r="AB32" s="326"/>
      <c r="AD32" s="328"/>
      <c r="AE32" s="329"/>
      <c r="AF32" s="329"/>
      <c r="AG32" s="329"/>
      <c r="AH32" s="329"/>
      <c r="AI32" s="329"/>
      <c r="AJ32" s="329"/>
      <c r="AT32" s="270"/>
      <c r="AU32" s="270"/>
      <c r="AV32" s="270"/>
      <c r="AW32" s="270"/>
      <c r="AX32" s="270"/>
      <c r="AY32" s="270"/>
      <c r="AZ32" s="270"/>
      <c r="BA32" s="270"/>
      <c r="BB32" s="270"/>
      <c r="BC32" s="270"/>
      <c r="BD32" s="270"/>
      <c r="BE32" s="270"/>
      <c r="BF32" s="270"/>
    </row>
    <row r="33" spans="1:58">
      <c r="P33" s="326"/>
      <c r="Q33" s="326"/>
      <c r="R33" s="326"/>
      <c r="S33" s="326"/>
      <c r="T33" s="326"/>
      <c r="U33" s="326"/>
      <c r="V33" s="326"/>
      <c r="W33" s="326"/>
      <c r="X33" s="326"/>
      <c r="Y33" s="326"/>
      <c r="Z33" s="326"/>
      <c r="AA33" s="326"/>
      <c r="AB33" s="326"/>
      <c r="AD33" s="328"/>
      <c r="AE33" s="329"/>
      <c r="AF33" s="329"/>
      <c r="AG33" s="329"/>
      <c r="AH33" s="329"/>
      <c r="AI33" s="329"/>
      <c r="AJ33" s="329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</row>
    <row r="34" spans="1:58">
      <c r="A34" s="305"/>
      <c r="P34" s="326"/>
      <c r="Q34" s="326"/>
      <c r="R34" s="326"/>
      <c r="S34" s="326"/>
      <c r="T34" s="326"/>
      <c r="U34" s="326"/>
      <c r="V34" s="326"/>
      <c r="W34" s="326"/>
      <c r="X34" s="326"/>
      <c r="Y34" s="326"/>
      <c r="Z34" s="326"/>
      <c r="AA34" s="326"/>
      <c r="AB34" s="326"/>
      <c r="AD34" s="328"/>
      <c r="AE34" s="329"/>
      <c r="AF34" s="329"/>
      <c r="AG34" s="329"/>
      <c r="AH34" s="329"/>
      <c r="AI34" s="329"/>
      <c r="AJ34" s="329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</row>
    <row r="35" spans="1:58">
      <c r="A35" s="305"/>
      <c r="B35" s="305"/>
      <c r="P35" s="326"/>
      <c r="Q35" s="326"/>
      <c r="R35" s="326"/>
      <c r="S35" s="326"/>
      <c r="T35" s="326"/>
      <c r="U35" s="326"/>
      <c r="V35" s="326"/>
      <c r="W35" s="326"/>
      <c r="X35" s="326"/>
      <c r="Y35" s="326"/>
      <c r="Z35" s="326"/>
      <c r="AA35" s="326"/>
      <c r="AB35" s="326"/>
      <c r="AD35" s="328"/>
      <c r="AE35" s="329"/>
      <c r="AF35" s="329"/>
      <c r="AG35" s="329"/>
      <c r="AH35" s="329"/>
      <c r="AI35" s="329"/>
      <c r="AJ35" s="329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</row>
    <row r="36" spans="1:58">
      <c r="A36" s="305"/>
      <c r="B36" s="305"/>
      <c r="P36" s="326"/>
      <c r="Q36" s="326"/>
      <c r="R36" s="326"/>
      <c r="S36" s="326"/>
      <c r="T36" s="326"/>
      <c r="U36" s="326"/>
      <c r="V36" s="326"/>
      <c r="W36" s="326"/>
      <c r="X36" s="326"/>
      <c r="Y36" s="326"/>
      <c r="Z36" s="326"/>
      <c r="AA36" s="326"/>
      <c r="AB36" s="326"/>
      <c r="AD36" s="328"/>
      <c r="AE36" s="329"/>
      <c r="AF36" s="329"/>
      <c r="AG36" s="329"/>
      <c r="AH36" s="329"/>
      <c r="AI36" s="329"/>
      <c r="AJ36" s="329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</row>
    <row r="37" spans="1:58">
      <c r="B37" s="305"/>
      <c r="P37" s="326"/>
      <c r="Q37" s="326"/>
      <c r="R37" s="326"/>
      <c r="S37" s="326"/>
      <c r="T37" s="326"/>
      <c r="U37" s="326"/>
      <c r="V37" s="326"/>
      <c r="W37" s="326"/>
      <c r="X37" s="326"/>
      <c r="Y37" s="326"/>
      <c r="Z37" s="326"/>
      <c r="AA37" s="326"/>
      <c r="AB37" s="326"/>
      <c r="AD37" s="328"/>
      <c r="AE37" s="329"/>
      <c r="AF37" s="329"/>
      <c r="AG37" s="329"/>
      <c r="AH37" s="329"/>
      <c r="AI37" s="329"/>
      <c r="AJ37" s="329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</row>
    <row r="38" spans="1:58">
      <c r="B38" s="305"/>
      <c r="P38" s="326"/>
      <c r="Q38" s="326"/>
      <c r="R38" s="326"/>
      <c r="S38" s="326"/>
      <c r="T38" s="326"/>
      <c r="U38" s="326"/>
      <c r="V38" s="326"/>
      <c r="W38" s="326"/>
      <c r="X38" s="326"/>
      <c r="Y38" s="326"/>
      <c r="Z38" s="326"/>
      <c r="AA38" s="326"/>
      <c r="AB38" s="326"/>
      <c r="AD38" s="328"/>
      <c r="AE38" s="329"/>
      <c r="AF38" s="329"/>
      <c r="AG38" s="329"/>
      <c r="AH38" s="329"/>
      <c r="AI38" s="329"/>
      <c r="AJ38" s="329"/>
      <c r="AT38" s="270"/>
      <c r="AU38" s="270"/>
      <c r="AV38" s="270"/>
      <c r="AW38" s="270"/>
      <c r="AX38" s="270"/>
      <c r="AY38" s="270"/>
      <c r="AZ38" s="270"/>
      <c r="BA38" s="270"/>
      <c r="BB38" s="270"/>
      <c r="BC38" s="270"/>
      <c r="BD38" s="270"/>
      <c r="BE38" s="270"/>
      <c r="BF38" s="270"/>
    </row>
    <row r="39" spans="1:58">
      <c r="B39" s="314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D39" s="328"/>
      <c r="AE39" s="329"/>
      <c r="AF39" s="329"/>
      <c r="AG39" s="329"/>
      <c r="AH39" s="329"/>
      <c r="AI39" s="329"/>
      <c r="AJ39" s="329"/>
      <c r="AT39" s="270"/>
      <c r="AU39" s="270"/>
      <c r="AV39" s="270"/>
      <c r="AW39" s="270"/>
      <c r="AX39" s="270"/>
      <c r="AY39" s="270"/>
      <c r="AZ39" s="270"/>
      <c r="BA39" s="270"/>
      <c r="BB39" s="270"/>
      <c r="BC39" s="270"/>
      <c r="BD39" s="270"/>
      <c r="BE39" s="270"/>
      <c r="BF39" s="270"/>
    </row>
    <row r="40" spans="1:58">
      <c r="B40" s="314"/>
      <c r="P40" s="326"/>
      <c r="Q40" s="326"/>
      <c r="R40" s="326"/>
      <c r="S40" s="326"/>
      <c r="T40" s="326"/>
      <c r="U40" s="326"/>
      <c r="V40" s="326"/>
      <c r="W40" s="326"/>
      <c r="X40" s="326"/>
      <c r="Y40" s="326"/>
      <c r="Z40" s="326"/>
      <c r="AA40" s="326"/>
      <c r="AB40" s="326"/>
      <c r="AD40" s="328"/>
      <c r="AE40" s="329"/>
      <c r="AF40" s="329"/>
      <c r="AG40" s="329"/>
      <c r="AH40" s="329"/>
      <c r="AI40" s="329"/>
      <c r="AJ40" s="329"/>
      <c r="AT40" s="270"/>
      <c r="AU40" s="270"/>
      <c r="AV40" s="270"/>
      <c r="AW40" s="270"/>
      <c r="AX40" s="270"/>
      <c r="AY40" s="270"/>
      <c r="AZ40" s="270"/>
      <c r="BA40" s="270"/>
      <c r="BB40" s="270"/>
      <c r="BC40" s="270"/>
      <c r="BD40" s="270"/>
      <c r="BE40" s="270"/>
      <c r="BF40" s="270"/>
    </row>
    <row r="41" spans="1:58">
      <c r="B41" s="314"/>
      <c r="P41" s="326"/>
      <c r="Q41" s="326"/>
      <c r="R41" s="326"/>
      <c r="S41" s="326"/>
      <c r="T41" s="326"/>
      <c r="U41" s="326"/>
      <c r="V41" s="326"/>
      <c r="W41" s="326"/>
      <c r="X41" s="326"/>
      <c r="Y41" s="326"/>
      <c r="Z41" s="326"/>
      <c r="AA41" s="326"/>
      <c r="AB41" s="326"/>
      <c r="AD41" s="328"/>
      <c r="AE41" s="329"/>
      <c r="AF41" s="329"/>
      <c r="AG41" s="329"/>
      <c r="AH41" s="329"/>
      <c r="AI41" s="329"/>
      <c r="AJ41" s="329"/>
      <c r="AT41" s="270"/>
      <c r="AU41" s="270"/>
      <c r="AV41" s="270"/>
      <c r="AW41" s="270"/>
      <c r="AX41" s="270"/>
      <c r="AY41" s="270"/>
      <c r="AZ41" s="270"/>
      <c r="BA41" s="270"/>
      <c r="BB41" s="270"/>
      <c r="BC41" s="270"/>
      <c r="BD41" s="270"/>
      <c r="BE41" s="270"/>
      <c r="BF41" s="270"/>
    </row>
    <row r="42" spans="1:58">
      <c r="B42" s="314"/>
      <c r="P42" s="326"/>
      <c r="Q42" s="326"/>
      <c r="R42" s="326"/>
      <c r="S42" s="326"/>
      <c r="T42" s="326"/>
      <c r="U42" s="326"/>
      <c r="V42" s="326"/>
      <c r="W42" s="326"/>
      <c r="X42" s="326"/>
      <c r="Y42" s="326"/>
      <c r="Z42" s="326"/>
      <c r="AA42" s="326"/>
      <c r="AB42" s="326"/>
      <c r="AD42" s="328"/>
      <c r="AE42" s="329"/>
      <c r="AF42" s="329"/>
      <c r="AG42" s="329"/>
      <c r="AH42" s="329"/>
      <c r="AI42" s="329"/>
      <c r="AJ42" s="329"/>
      <c r="AT42" s="270"/>
      <c r="AU42" s="270"/>
      <c r="AV42" s="270"/>
      <c r="AW42" s="270"/>
      <c r="AX42" s="270"/>
      <c r="AY42" s="270"/>
      <c r="AZ42" s="270"/>
      <c r="BA42" s="270"/>
      <c r="BB42" s="270"/>
      <c r="BC42" s="270"/>
      <c r="BD42" s="270"/>
      <c r="BE42" s="270"/>
      <c r="BF42" s="270"/>
    </row>
    <row r="43" spans="1:58">
      <c r="B43" s="314"/>
      <c r="P43" s="326"/>
      <c r="Q43" s="326"/>
      <c r="R43" s="326"/>
      <c r="S43" s="326"/>
      <c r="T43" s="326"/>
      <c r="U43" s="326"/>
      <c r="V43" s="326"/>
      <c r="W43" s="326"/>
      <c r="X43" s="326"/>
      <c r="Y43" s="326"/>
      <c r="Z43" s="326"/>
      <c r="AA43" s="326"/>
      <c r="AB43" s="326"/>
      <c r="AD43" s="328"/>
      <c r="AE43" s="329"/>
      <c r="AF43" s="329"/>
      <c r="AG43" s="329"/>
      <c r="AH43" s="329"/>
      <c r="AI43" s="329"/>
      <c r="AJ43" s="329"/>
      <c r="AT43" s="270"/>
      <c r="AU43" s="270"/>
      <c r="AV43" s="270"/>
      <c r="AW43" s="270"/>
      <c r="AX43" s="270"/>
      <c r="AY43" s="270"/>
      <c r="AZ43" s="270"/>
      <c r="BA43" s="270"/>
      <c r="BB43" s="270"/>
      <c r="BC43" s="270"/>
      <c r="BD43" s="270"/>
      <c r="BE43" s="270"/>
      <c r="BF43" s="270"/>
    </row>
    <row r="44" spans="1:58">
      <c r="P44" s="326"/>
      <c r="Q44" s="326"/>
      <c r="R44" s="326"/>
      <c r="S44" s="326"/>
      <c r="T44" s="326"/>
      <c r="U44" s="326"/>
      <c r="V44" s="326"/>
      <c r="W44" s="326"/>
      <c r="X44" s="326"/>
      <c r="Y44" s="326"/>
      <c r="Z44" s="326"/>
      <c r="AA44" s="326"/>
      <c r="AB44" s="326"/>
      <c r="AD44" s="328"/>
      <c r="AE44" s="329"/>
      <c r="AF44" s="329"/>
      <c r="AG44" s="329"/>
      <c r="AH44" s="329"/>
      <c r="AI44" s="329"/>
      <c r="AJ44" s="329"/>
      <c r="AT44" s="270"/>
      <c r="AU44" s="270"/>
      <c r="AV44" s="270"/>
      <c r="AW44" s="270"/>
      <c r="AX44" s="270"/>
      <c r="AY44" s="270"/>
      <c r="AZ44" s="270"/>
      <c r="BA44" s="270"/>
      <c r="BB44" s="270"/>
      <c r="BC44" s="270"/>
      <c r="BD44" s="270"/>
      <c r="BE44" s="270"/>
      <c r="BF44" s="270"/>
    </row>
    <row r="45" spans="1:58">
      <c r="P45" s="326"/>
      <c r="Q45" s="326"/>
      <c r="R45" s="326"/>
      <c r="S45" s="326"/>
      <c r="T45" s="326"/>
      <c r="U45" s="326"/>
      <c r="V45" s="326"/>
      <c r="W45" s="326"/>
      <c r="X45" s="326"/>
      <c r="Y45" s="326"/>
      <c r="Z45" s="326"/>
      <c r="AA45" s="326"/>
      <c r="AB45" s="326"/>
      <c r="AD45" s="328"/>
      <c r="AE45" s="329"/>
      <c r="AF45" s="329"/>
      <c r="AG45" s="329"/>
      <c r="AH45" s="329"/>
      <c r="AI45" s="329"/>
      <c r="AJ45" s="329"/>
      <c r="AT45" s="270"/>
      <c r="AU45" s="270"/>
      <c r="AV45" s="270"/>
      <c r="AW45" s="270"/>
      <c r="AX45" s="270"/>
      <c r="AY45" s="270"/>
      <c r="AZ45" s="270"/>
      <c r="BA45" s="270"/>
      <c r="BB45" s="270"/>
      <c r="BC45" s="270"/>
      <c r="BD45" s="270"/>
      <c r="BE45" s="270"/>
      <c r="BF45" s="270"/>
    </row>
    <row r="46" spans="1:58">
      <c r="A46" s="305"/>
      <c r="P46" s="326"/>
      <c r="Q46" s="326"/>
      <c r="R46" s="326"/>
      <c r="S46" s="326"/>
      <c r="T46" s="326"/>
      <c r="U46" s="326"/>
      <c r="V46" s="326"/>
      <c r="W46" s="326"/>
      <c r="X46" s="326"/>
      <c r="Y46" s="326"/>
      <c r="Z46" s="326"/>
      <c r="AA46" s="326"/>
      <c r="AB46" s="326"/>
      <c r="AD46" s="328"/>
      <c r="AE46" s="329"/>
      <c r="AF46" s="329"/>
      <c r="AG46" s="329"/>
      <c r="AH46" s="329"/>
      <c r="AI46" s="329"/>
      <c r="AJ46" s="329"/>
      <c r="AT46" s="270"/>
      <c r="AU46" s="270"/>
      <c r="AV46" s="270"/>
      <c r="AW46" s="270"/>
      <c r="AX46" s="270"/>
      <c r="AY46" s="270"/>
      <c r="AZ46" s="270"/>
      <c r="BA46" s="270"/>
      <c r="BB46" s="270"/>
      <c r="BC46" s="270"/>
      <c r="BD46" s="270"/>
      <c r="BE46" s="270"/>
      <c r="BF46" s="270"/>
    </row>
    <row r="47" spans="1:58">
      <c r="A47" s="314"/>
      <c r="P47" s="326"/>
      <c r="Q47" s="326"/>
      <c r="R47" s="326"/>
      <c r="S47" s="326"/>
      <c r="T47" s="326"/>
      <c r="U47" s="326"/>
      <c r="V47" s="326"/>
      <c r="W47" s="326"/>
      <c r="X47" s="326"/>
      <c r="Y47" s="326"/>
      <c r="Z47" s="326"/>
      <c r="AA47" s="326"/>
      <c r="AB47" s="326"/>
      <c r="AT47" s="270"/>
      <c r="AU47" s="270"/>
      <c r="AV47" s="270"/>
      <c r="AW47" s="270"/>
      <c r="AX47" s="270"/>
      <c r="AY47" s="270"/>
      <c r="AZ47" s="270"/>
      <c r="BA47" s="270"/>
      <c r="BB47" s="270"/>
      <c r="BC47" s="270"/>
      <c r="BD47" s="270"/>
      <c r="BE47" s="270"/>
      <c r="BF47" s="270"/>
    </row>
    <row r="48" spans="1:58">
      <c r="A48" s="314"/>
      <c r="P48" s="326"/>
      <c r="Q48" s="326"/>
      <c r="R48" s="326"/>
      <c r="S48" s="326"/>
      <c r="T48" s="326"/>
      <c r="U48" s="326"/>
      <c r="V48" s="326"/>
      <c r="W48" s="326"/>
      <c r="X48" s="326"/>
      <c r="Y48" s="326"/>
      <c r="Z48" s="326"/>
      <c r="AA48" s="326"/>
      <c r="AB48" s="326"/>
      <c r="AT48" s="270"/>
      <c r="AU48" s="270"/>
      <c r="AV48" s="270"/>
      <c r="AW48" s="270"/>
      <c r="AX48" s="270"/>
      <c r="AY48" s="270"/>
      <c r="AZ48" s="270"/>
      <c r="BA48" s="270"/>
      <c r="BB48" s="270"/>
      <c r="BC48" s="270"/>
      <c r="BD48" s="270"/>
      <c r="BE48" s="270"/>
      <c r="BF48" s="270"/>
    </row>
    <row r="49" spans="1:58">
      <c r="P49" s="326"/>
      <c r="Q49" s="326"/>
      <c r="R49" s="326"/>
      <c r="S49" s="326"/>
      <c r="T49" s="326"/>
      <c r="U49" s="326"/>
      <c r="V49" s="326"/>
      <c r="W49" s="326"/>
      <c r="X49" s="326"/>
      <c r="Y49" s="326"/>
      <c r="Z49" s="326"/>
      <c r="AA49" s="326"/>
      <c r="AB49" s="326"/>
      <c r="AT49" s="270"/>
      <c r="AU49" s="270"/>
      <c r="AV49" s="270"/>
      <c r="AW49" s="270"/>
      <c r="AX49" s="270"/>
      <c r="AY49" s="270"/>
      <c r="AZ49" s="270"/>
      <c r="BA49" s="270"/>
      <c r="BB49" s="270"/>
      <c r="BC49" s="270"/>
      <c r="BD49" s="270"/>
      <c r="BE49" s="270"/>
      <c r="BF49" s="270"/>
    </row>
    <row r="50" spans="1:58">
      <c r="P50" s="326"/>
      <c r="Q50" s="326"/>
      <c r="R50" s="326"/>
      <c r="S50" s="326"/>
      <c r="T50" s="326"/>
      <c r="U50" s="326"/>
      <c r="V50" s="326"/>
      <c r="W50" s="326"/>
      <c r="X50" s="326"/>
      <c r="Y50" s="326"/>
      <c r="Z50" s="326"/>
      <c r="AA50" s="326"/>
      <c r="AB50" s="326"/>
      <c r="AT50" s="270"/>
      <c r="AU50" s="270"/>
      <c r="AV50" s="270"/>
      <c r="AW50" s="270"/>
      <c r="AX50" s="270"/>
      <c r="AY50" s="270"/>
      <c r="AZ50" s="270"/>
      <c r="BA50" s="270"/>
      <c r="BB50" s="270"/>
      <c r="BC50" s="270"/>
      <c r="BD50" s="270"/>
      <c r="BE50" s="270"/>
      <c r="BF50" s="270"/>
    </row>
    <row r="51" spans="1:58">
      <c r="P51" s="326"/>
      <c r="Q51" s="326"/>
      <c r="R51" s="326"/>
      <c r="S51" s="326"/>
      <c r="T51" s="326"/>
      <c r="U51" s="326"/>
      <c r="V51" s="326"/>
      <c r="W51" s="326"/>
      <c r="X51" s="326"/>
      <c r="Y51" s="326"/>
      <c r="Z51" s="326"/>
      <c r="AA51" s="326"/>
      <c r="AB51" s="326"/>
      <c r="AT51" s="270"/>
      <c r="AU51" s="270"/>
      <c r="AV51" s="270"/>
      <c r="AW51" s="270"/>
      <c r="AX51" s="270"/>
      <c r="AY51" s="270"/>
      <c r="AZ51" s="270"/>
      <c r="BA51" s="270"/>
      <c r="BB51" s="270"/>
      <c r="BC51" s="270"/>
      <c r="BD51" s="270"/>
      <c r="BE51" s="270"/>
      <c r="BF51" s="270"/>
    </row>
    <row r="52" spans="1:58">
      <c r="P52" s="326"/>
      <c r="Q52" s="326"/>
      <c r="R52" s="326"/>
      <c r="S52" s="326"/>
      <c r="T52" s="326"/>
      <c r="U52" s="326"/>
      <c r="V52" s="326"/>
      <c r="W52" s="326"/>
      <c r="X52" s="326"/>
      <c r="Y52" s="326"/>
      <c r="Z52" s="326"/>
      <c r="AA52" s="326"/>
      <c r="AB52" s="326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</row>
    <row r="53" spans="1:58">
      <c r="P53" s="326"/>
      <c r="Q53" s="326"/>
      <c r="R53" s="326"/>
      <c r="S53" s="326"/>
      <c r="T53" s="326"/>
      <c r="U53" s="326"/>
      <c r="V53" s="326"/>
      <c r="W53" s="326"/>
      <c r="X53" s="326"/>
      <c r="Y53" s="326"/>
      <c r="Z53" s="326"/>
      <c r="AA53" s="326"/>
      <c r="AB53" s="326"/>
      <c r="AT53" s="270"/>
      <c r="AU53" s="270"/>
      <c r="AV53" s="270"/>
      <c r="AW53" s="270"/>
      <c r="AX53" s="270"/>
      <c r="AY53" s="270"/>
      <c r="AZ53" s="270"/>
      <c r="BA53" s="270"/>
      <c r="BB53" s="270"/>
      <c r="BC53" s="270"/>
      <c r="BD53" s="270"/>
      <c r="BE53" s="270"/>
      <c r="BF53" s="270"/>
    </row>
    <row r="54" spans="1:58">
      <c r="A54" s="305"/>
      <c r="P54" s="326"/>
      <c r="Q54" s="326"/>
      <c r="R54" s="326"/>
      <c r="S54" s="326"/>
      <c r="T54" s="326"/>
      <c r="U54" s="326"/>
      <c r="V54" s="326"/>
      <c r="W54" s="326"/>
      <c r="X54" s="326"/>
      <c r="Y54" s="326"/>
      <c r="Z54" s="326"/>
      <c r="AA54" s="326"/>
      <c r="AB54" s="326"/>
      <c r="AT54" s="270"/>
      <c r="AU54" s="270"/>
      <c r="AV54" s="270"/>
      <c r="AW54" s="270"/>
      <c r="AX54" s="270"/>
      <c r="AY54" s="270"/>
      <c r="AZ54" s="270"/>
      <c r="BA54" s="270"/>
      <c r="BB54" s="270"/>
      <c r="BC54" s="270"/>
      <c r="BD54" s="270"/>
      <c r="BE54" s="270"/>
      <c r="BF54" s="270"/>
    </row>
    <row r="55" spans="1:58">
      <c r="A55" s="305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T55" s="270"/>
      <c r="AU55" s="270"/>
      <c r="AV55" s="270"/>
      <c r="AW55" s="270"/>
      <c r="AX55" s="270"/>
      <c r="AY55" s="270"/>
      <c r="AZ55" s="270"/>
      <c r="BA55" s="270"/>
      <c r="BB55" s="270"/>
      <c r="BC55" s="270"/>
      <c r="BD55" s="270"/>
      <c r="BE55" s="270"/>
      <c r="BF55" s="270"/>
    </row>
    <row r="56" spans="1:58">
      <c r="A56" s="305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T56" s="270"/>
      <c r="AU56" s="270"/>
      <c r="AV56" s="270"/>
      <c r="AW56" s="270"/>
      <c r="AX56" s="270"/>
      <c r="AY56" s="270"/>
      <c r="AZ56" s="270"/>
      <c r="BA56" s="270"/>
      <c r="BB56" s="270"/>
      <c r="BC56" s="270"/>
      <c r="BD56" s="270"/>
      <c r="BE56" s="270"/>
      <c r="BF56" s="270"/>
    </row>
    <row r="57" spans="1:58">
      <c r="P57" s="326"/>
      <c r="Q57" s="326"/>
      <c r="R57" s="326"/>
      <c r="S57" s="326"/>
      <c r="T57" s="326"/>
      <c r="U57" s="326"/>
      <c r="V57" s="326"/>
      <c r="W57" s="326"/>
      <c r="X57" s="326"/>
      <c r="Y57" s="326"/>
      <c r="Z57" s="326"/>
      <c r="AA57" s="326"/>
      <c r="AB57" s="326"/>
      <c r="AT57" s="270"/>
      <c r="AU57" s="270"/>
      <c r="AV57" s="270"/>
      <c r="AW57" s="270"/>
      <c r="AX57" s="270"/>
      <c r="AY57" s="270"/>
      <c r="AZ57" s="270"/>
      <c r="BA57" s="270"/>
      <c r="BB57" s="270"/>
      <c r="BC57" s="270"/>
      <c r="BD57" s="270"/>
      <c r="BE57" s="270"/>
      <c r="BF57" s="270"/>
    </row>
    <row r="58" spans="1:58"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T58" s="270"/>
      <c r="AU58" s="270"/>
      <c r="AV58" s="270"/>
      <c r="AW58" s="270"/>
      <c r="AX58" s="270"/>
      <c r="AY58" s="270"/>
      <c r="AZ58" s="270"/>
      <c r="BA58" s="270"/>
      <c r="BB58" s="270"/>
      <c r="BC58" s="270"/>
      <c r="BD58" s="270"/>
      <c r="BE58" s="270"/>
      <c r="BF58" s="270"/>
    </row>
    <row r="59" spans="1:58">
      <c r="P59" s="326"/>
      <c r="Q59" s="326"/>
      <c r="R59" s="326"/>
      <c r="S59" s="326"/>
      <c r="T59" s="326"/>
      <c r="U59" s="326"/>
      <c r="V59" s="326"/>
      <c r="W59" s="326"/>
      <c r="X59" s="326"/>
      <c r="Y59" s="326"/>
      <c r="Z59" s="326"/>
      <c r="AA59" s="326"/>
      <c r="AB59" s="326"/>
      <c r="AT59" s="270"/>
      <c r="AU59" s="270"/>
      <c r="AV59" s="270"/>
      <c r="AW59" s="270"/>
      <c r="AX59" s="270"/>
      <c r="AY59" s="270"/>
      <c r="AZ59" s="270"/>
      <c r="BA59" s="270"/>
      <c r="BB59" s="270"/>
      <c r="BC59" s="270"/>
      <c r="BD59" s="270"/>
      <c r="BE59" s="270"/>
      <c r="BF59" s="270"/>
    </row>
    <row r="60" spans="1:58">
      <c r="P60" s="326"/>
      <c r="Q60" s="326"/>
      <c r="R60" s="326"/>
      <c r="S60" s="326"/>
      <c r="T60" s="326"/>
      <c r="U60" s="326"/>
      <c r="V60" s="326"/>
      <c r="W60" s="326"/>
      <c r="X60" s="326"/>
      <c r="Y60" s="326"/>
      <c r="Z60" s="326"/>
      <c r="AA60" s="326"/>
      <c r="AB60" s="326"/>
      <c r="AT60" s="270"/>
      <c r="AU60" s="270"/>
      <c r="AV60" s="270"/>
      <c r="AW60" s="270"/>
      <c r="AX60" s="270"/>
      <c r="AY60" s="270"/>
      <c r="AZ60" s="270"/>
      <c r="BA60" s="270"/>
      <c r="BB60" s="270"/>
      <c r="BC60" s="270"/>
      <c r="BD60" s="270"/>
      <c r="BE60" s="270"/>
      <c r="BF60" s="270"/>
    </row>
    <row r="61" spans="1:58">
      <c r="P61" s="326"/>
      <c r="Q61" s="326"/>
      <c r="R61" s="326"/>
      <c r="S61" s="326"/>
      <c r="T61" s="326"/>
      <c r="U61" s="326"/>
      <c r="V61" s="326"/>
      <c r="W61" s="326"/>
      <c r="X61" s="326"/>
      <c r="Y61" s="326"/>
      <c r="Z61" s="326"/>
      <c r="AA61" s="326"/>
      <c r="AB61" s="326"/>
      <c r="AT61" s="270"/>
      <c r="AU61" s="270"/>
      <c r="AV61" s="270"/>
      <c r="AW61" s="270"/>
      <c r="AX61" s="270"/>
      <c r="AY61" s="270"/>
      <c r="AZ61" s="270"/>
      <c r="BA61" s="270"/>
      <c r="BB61" s="270"/>
      <c r="BC61" s="270"/>
      <c r="BD61" s="270"/>
      <c r="BE61" s="270"/>
      <c r="BF61" s="270"/>
    </row>
    <row r="62" spans="1:58">
      <c r="P62" s="326"/>
      <c r="Q62" s="326"/>
      <c r="R62" s="326"/>
      <c r="S62" s="326"/>
      <c r="T62" s="326"/>
      <c r="U62" s="326"/>
      <c r="V62" s="326"/>
      <c r="W62" s="326"/>
      <c r="X62" s="326"/>
      <c r="Y62" s="326"/>
      <c r="Z62" s="326"/>
      <c r="AA62" s="326"/>
      <c r="AB62" s="326"/>
      <c r="AT62" s="270"/>
      <c r="AU62" s="270"/>
      <c r="AV62" s="270"/>
      <c r="AW62" s="270"/>
      <c r="AX62" s="270"/>
      <c r="AY62" s="270"/>
      <c r="AZ62" s="270"/>
      <c r="BA62" s="270"/>
      <c r="BB62" s="270"/>
      <c r="BC62" s="270"/>
      <c r="BD62" s="270"/>
      <c r="BE62" s="270"/>
      <c r="BF62" s="270"/>
    </row>
    <row r="63" spans="1:58">
      <c r="A63" s="305"/>
      <c r="P63" s="326"/>
      <c r="Q63" s="326"/>
      <c r="R63" s="326"/>
      <c r="S63" s="326"/>
      <c r="T63" s="326"/>
      <c r="U63" s="326"/>
      <c r="V63" s="326"/>
      <c r="W63" s="326"/>
      <c r="X63" s="326"/>
      <c r="Y63" s="326"/>
      <c r="Z63" s="326"/>
      <c r="AA63" s="326"/>
      <c r="AB63" s="326"/>
      <c r="AT63" s="270"/>
      <c r="AU63" s="270"/>
      <c r="AV63" s="270"/>
      <c r="AW63" s="270"/>
      <c r="AX63" s="270"/>
      <c r="AY63" s="270"/>
      <c r="AZ63" s="270"/>
      <c r="BA63" s="270"/>
      <c r="BB63" s="270"/>
      <c r="BC63" s="270"/>
      <c r="BD63" s="270"/>
      <c r="BE63" s="270"/>
      <c r="BF63" s="270"/>
    </row>
    <row r="64" spans="1:58">
      <c r="A64" s="305"/>
      <c r="P64" s="326"/>
      <c r="Q64" s="326"/>
      <c r="R64" s="326"/>
      <c r="S64" s="326"/>
      <c r="T64" s="326"/>
      <c r="U64" s="326"/>
      <c r="V64" s="326"/>
      <c r="W64" s="326"/>
      <c r="X64" s="326"/>
      <c r="Y64" s="326"/>
      <c r="Z64" s="326"/>
      <c r="AA64" s="326"/>
      <c r="AB64" s="326"/>
      <c r="AT64" s="270"/>
      <c r="AU64" s="270"/>
      <c r="AV64" s="270"/>
      <c r="AW64" s="270"/>
      <c r="AX64" s="270"/>
      <c r="AY64" s="270"/>
      <c r="AZ64" s="270"/>
      <c r="BA64" s="270"/>
      <c r="BB64" s="270"/>
      <c r="BC64" s="270"/>
      <c r="BD64" s="270"/>
      <c r="BE64" s="270"/>
      <c r="BF64" s="270"/>
    </row>
    <row r="65" spans="1:58">
      <c r="A65" s="305"/>
      <c r="P65" s="326"/>
      <c r="Q65" s="326"/>
      <c r="R65" s="326"/>
      <c r="S65" s="326"/>
      <c r="T65" s="326"/>
      <c r="U65" s="326"/>
      <c r="V65" s="326"/>
      <c r="W65" s="326"/>
      <c r="X65" s="326"/>
      <c r="Y65" s="326"/>
      <c r="Z65" s="326"/>
      <c r="AA65" s="326"/>
      <c r="AB65" s="326"/>
      <c r="AT65" s="270"/>
      <c r="AU65" s="270"/>
      <c r="AV65" s="270"/>
      <c r="AW65" s="270"/>
      <c r="AX65" s="270"/>
      <c r="AY65" s="270"/>
      <c r="AZ65" s="270"/>
      <c r="BA65" s="270"/>
      <c r="BB65" s="270"/>
      <c r="BC65" s="270"/>
      <c r="BD65" s="270"/>
      <c r="BE65" s="270"/>
      <c r="BF65" s="270"/>
    </row>
    <row r="66" spans="1:58">
      <c r="A66" s="305"/>
      <c r="P66" s="326"/>
      <c r="Q66" s="326"/>
      <c r="R66" s="326"/>
      <c r="S66" s="326"/>
      <c r="T66" s="326"/>
      <c r="U66" s="326"/>
      <c r="V66" s="326"/>
      <c r="W66" s="326"/>
      <c r="X66" s="326"/>
      <c r="Y66" s="326"/>
      <c r="Z66" s="326"/>
      <c r="AA66" s="326"/>
      <c r="AB66" s="326"/>
      <c r="AT66" s="270"/>
      <c r="AU66" s="270"/>
      <c r="AV66" s="270"/>
      <c r="AW66" s="270"/>
      <c r="AX66" s="270"/>
      <c r="AY66" s="270"/>
      <c r="AZ66" s="270"/>
      <c r="BA66" s="270"/>
      <c r="BB66" s="270"/>
      <c r="BC66" s="270"/>
      <c r="BD66" s="270"/>
      <c r="BE66" s="270"/>
      <c r="BF66" s="270"/>
    </row>
    <row r="67" spans="1:58">
      <c r="A67" s="305"/>
      <c r="P67" s="326"/>
      <c r="Q67" s="326"/>
      <c r="R67" s="326"/>
      <c r="S67" s="326"/>
      <c r="T67" s="326"/>
      <c r="U67" s="326"/>
      <c r="V67" s="326"/>
      <c r="W67" s="326"/>
      <c r="X67" s="326"/>
      <c r="Y67" s="326"/>
      <c r="Z67" s="326"/>
      <c r="AA67" s="326"/>
      <c r="AB67" s="326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</row>
    <row r="68" spans="1:58">
      <c r="A68" s="305"/>
      <c r="P68" s="326"/>
      <c r="Q68" s="326"/>
      <c r="R68" s="326"/>
      <c r="S68" s="326"/>
      <c r="T68" s="326"/>
      <c r="U68" s="326"/>
      <c r="V68" s="326"/>
      <c r="W68" s="326"/>
      <c r="X68" s="326"/>
      <c r="Y68" s="326"/>
      <c r="Z68" s="326"/>
      <c r="AA68" s="326"/>
      <c r="AB68" s="326"/>
      <c r="AT68" s="270"/>
      <c r="AU68" s="270"/>
      <c r="AV68" s="270"/>
      <c r="AW68" s="270"/>
      <c r="AX68" s="270"/>
      <c r="AY68" s="270"/>
      <c r="AZ68" s="270"/>
      <c r="BA68" s="270"/>
      <c r="BB68" s="270"/>
      <c r="BC68" s="270"/>
      <c r="BD68" s="270"/>
      <c r="BE68" s="270"/>
      <c r="BF68" s="270"/>
    </row>
    <row r="69" spans="1:58">
      <c r="A69" s="305"/>
      <c r="P69" s="326"/>
      <c r="Q69" s="326"/>
      <c r="R69" s="326"/>
      <c r="S69" s="326"/>
      <c r="T69" s="326"/>
      <c r="U69" s="326"/>
      <c r="V69" s="326"/>
      <c r="W69" s="326"/>
      <c r="X69" s="326"/>
      <c r="Y69" s="326"/>
      <c r="Z69" s="326"/>
      <c r="AA69" s="326"/>
      <c r="AB69" s="326"/>
      <c r="AT69" s="270"/>
      <c r="AU69" s="270"/>
      <c r="AV69" s="270"/>
      <c r="AW69" s="270"/>
      <c r="AX69" s="270"/>
      <c r="AY69" s="270"/>
      <c r="AZ69" s="270"/>
      <c r="BA69" s="270"/>
      <c r="BB69" s="270"/>
      <c r="BC69" s="270"/>
      <c r="BD69" s="270"/>
      <c r="BE69" s="270"/>
      <c r="BF69" s="270"/>
    </row>
    <row r="70" spans="1:58">
      <c r="A70" s="305"/>
      <c r="P70" s="326"/>
      <c r="Q70" s="326"/>
      <c r="R70" s="326"/>
      <c r="S70" s="326"/>
      <c r="T70" s="326"/>
      <c r="U70" s="326"/>
      <c r="V70" s="326"/>
      <c r="W70" s="326"/>
      <c r="X70" s="326"/>
      <c r="Y70" s="326"/>
      <c r="Z70" s="326"/>
      <c r="AA70" s="326"/>
      <c r="AB70" s="326"/>
      <c r="AT70" s="270"/>
      <c r="AU70" s="270"/>
      <c r="AV70" s="270"/>
      <c r="AW70" s="270"/>
      <c r="AX70" s="270"/>
      <c r="AY70" s="270"/>
      <c r="AZ70" s="270"/>
      <c r="BA70" s="270"/>
      <c r="BB70" s="270"/>
      <c r="BC70" s="270"/>
      <c r="BD70" s="270"/>
      <c r="BE70" s="270"/>
      <c r="BF70" s="270"/>
    </row>
    <row r="71" spans="1:58">
      <c r="A71" s="305"/>
      <c r="P71" s="326"/>
      <c r="Q71" s="326"/>
      <c r="R71" s="326"/>
      <c r="S71" s="326"/>
      <c r="T71" s="326"/>
      <c r="U71" s="326"/>
      <c r="V71" s="326"/>
      <c r="W71" s="326"/>
      <c r="X71" s="326"/>
      <c r="Y71" s="326"/>
      <c r="Z71" s="326"/>
      <c r="AA71" s="326"/>
      <c r="AB71" s="326"/>
      <c r="AT71" s="270"/>
      <c r="AU71" s="270"/>
      <c r="AV71" s="270"/>
      <c r="AW71" s="270"/>
      <c r="AX71" s="270"/>
      <c r="AY71" s="270"/>
      <c r="AZ71" s="270"/>
      <c r="BA71" s="270"/>
      <c r="BB71" s="270"/>
      <c r="BC71" s="270"/>
      <c r="BD71" s="270"/>
      <c r="BE71" s="270"/>
      <c r="BF71" s="270"/>
    </row>
    <row r="72" spans="1:58">
      <c r="A72" s="305"/>
      <c r="P72" s="326"/>
      <c r="Q72" s="326"/>
      <c r="R72" s="326"/>
      <c r="S72" s="326"/>
      <c r="T72" s="326"/>
      <c r="U72" s="326"/>
      <c r="V72" s="326"/>
      <c r="W72" s="326"/>
      <c r="X72" s="326"/>
      <c r="Y72" s="326"/>
      <c r="Z72" s="326"/>
      <c r="AA72" s="326"/>
      <c r="AB72" s="326"/>
      <c r="AT72" s="270"/>
      <c r="AU72" s="270"/>
      <c r="AV72" s="270"/>
      <c r="AW72" s="270"/>
      <c r="AX72" s="270"/>
      <c r="AY72" s="270"/>
      <c r="AZ72" s="270"/>
      <c r="BA72" s="270"/>
      <c r="BB72" s="270"/>
      <c r="BC72" s="270"/>
      <c r="BD72" s="270"/>
      <c r="BE72" s="270"/>
      <c r="BF72" s="270"/>
    </row>
    <row r="73" spans="1:58">
      <c r="P73" s="326"/>
      <c r="Q73" s="326"/>
      <c r="R73" s="326"/>
      <c r="S73" s="326"/>
      <c r="T73" s="326"/>
      <c r="U73" s="326"/>
      <c r="V73" s="326"/>
      <c r="W73" s="326"/>
      <c r="X73" s="326"/>
      <c r="Y73" s="326"/>
      <c r="Z73" s="326"/>
      <c r="AA73" s="326"/>
      <c r="AB73" s="326"/>
      <c r="AT73" s="270"/>
      <c r="AU73" s="270"/>
      <c r="AV73" s="270"/>
      <c r="AW73" s="270"/>
      <c r="AX73" s="270"/>
      <c r="AY73" s="270"/>
      <c r="AZ73" s="270"/>
      <c r="BA73" s="270"/>
      <c r="BB73" s="270"/>
      <c r="BC73" s="270"/>
      <c r="BD73" s="270"/>
      <c r="BE73" s="270"/>
      <c r="BF73" s="270"/>
    </row>
    <row r="74" spans="1:58"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T74" s="270"/>
      <c r="AU74" s="270"/>
      <c r="AV74" s="270"/>
      <c r="AW74" s="270"/>
      <c r="AX74" s="270"/>
      <c r="AY74" s="270"/>
      <c r="AZ74" s="270"/>
      <c r="BA74" s="270"/>
      <c r="BB74" s="270"/>
      <c r="BC74" s="270"/>
      <c r="BD74" s="270"/>
      <c r="BE74" s="270"/>
      <c r="BF74" s="270"/>
    </row>
    <row r="75" spans="1:58"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T75" s="270"/>
      <c r="AU75" s="270"/>
      <c r="AV75" s="270"/>
      <c r="AW75" s="270"/>
      <c r="AX75" s="270"/>
      <c r="AY75" s="270"/>
      <c r="AZ75" s="270"/>
      <c r="BA75" s="270"/>
      <c r="BB75" s="270"/>
      <c r="BC75" s="270"/>
      <c r="BD75" s="270"/>
      <c r="BE75" s="270"/>
      <c r="BF75" s="270"/>
    </row>
    <row r="76" spans="1:58">
      <c r="P76" s="326"/>
      <c r="Q76" s="326"/>
      <c r="R76" s="326"/>
      <c r="S76" s="326"/>
      <c r="T76" s="326"/>
      <c r="U76" s="326"/>
      <c r="V76" s="326"/>
      <c r="W76" s="326"/>
      <c r="X76" s="326"/>
      <c r="Y76" s="326"/>
      <c r="Z76" s="326"/>
      <c r="AA76" s="326"/>
      <c r="AB76" s="326"/>
      <c r="AT76" s="270"/>
      <c r="AU76" s="270"/>
      <c r="AV76" s="270"/>
      <c r="AW76" s="270"/>
      <c r="AX76" s="270"/>
      <c r="AY76" s="270"/>
      <c r="AZ76" s="270"/>
      <c r="BA76" s="270"/>
      <c r="BB76" s="270"/>
      <c r="BC76" s="270"/>
      <c r="BD76" s="270"/>
      <c r="BE76" s="270"/>
      <c r="BF76" s="270"/>
    </row>
    <row r="77" spans="1:58">
      <c r="P77" s="326"/>
      <c r="Q77" s="326"/>
      <c r="R77" s="326"/>
      <c r="S77" s="326"/>
      <c r="T77" s="326"/>
      <c r="U77" s="326"/>
      <c r="V77" s="326"/>
      <c r="W77" s="326"/>
      <c r="X77" s="326"/>
      <c r="Y77" s="326"/>
      <c r="Z77" s="326"/>
      <c r="AA77" s="326"/>
      <c r="AB77" s="326"/>
      <c r="AT77" s="270"/>
      <c r="AU77" s="270"/>
      <c r="AV77" s="270"/>
      <c r="AW77" s="270"/>
      <c r="AX77" s="270"/>
      <c r="AY77" s="270"/>
      <c r="AZ77" s="270"/>
      <c r="BA77" s="270"/>
      <c r="BB77" s="270"/>
      <c r="BC77" s="270"/>
      <c r="BD77" s="270"/>
      <c r="BE77" s="270"/>
      <c r="BF77" s="270"/>
    </row>
    <row r="78" spans="1:58"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</row>
    <row r="79" spans="1:58"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T79" s="270"/>
      <c r="AU79" s="270"/>
      <c r="AV79" s="270"/>
      <c r="AW79" s="270"/>
      <c r="AX79" s="270"/>
      <c r="AY79" s="270"/>
      <c r="AZ79" s="270"/>
      <c r="BA79" s="270"/>
      <c r="BB79" s="270"/>
      <c r="BC79" s="270"/>
      <c r="BD79" s="270"/>
      <c r="BE79" s="270"/>
      <c r="BF79" s="270"/>
    </row>
    <row r="80" spans="1:58"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T80" s="270"/>
      <c r="AU80" s="270"/>
      <c r="AV80" s="270"/>
      <c r="AW80" s="270"/>
      <c r="AX80" s="270"/>
      <c r="AY80" s="270"/>
      <c r="AZ80" s="270"/>
      <c r="BA80" s="270"/>
      <c r="BB80" s="270"/>
      <c r="BC80" s="270"/>
      <c r="BD80" s="270"/>
      <c r="BE80" s="270"/>
      <c r="BF80" s="270"/>
    </row>
    <row r="81" spans="16:58"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T81" s="270"/>
      <c r="AU81" s="270"/>
      <c r="AV81" s="270"/>
      <c r="AW81" s="270"/>
      <c r="AX81" s="270"/>
      <c r="AY81" s="270"/>
      <c r="AZ81" s="270"/>
      <c r="BA81" s="270"/>
      <c r="BB81" s="270"/>
      <c r="BC81" s="270"/>
      <c r="BD81" s="270"/>
      <c r="BE81" s="270"/>
      <c r="BF81" s="270"/>
    </row>
    <row r="82" spans="16:58">
      <c r="P82" s="326"/>
      <c r="Q82" s="326"/>
      <c r="R82" s="326"/>
      <c r="S82" s="326"/>
      <c r="T82" s="326"/>
      <c r="U82" s="326"/>
      <c r="V82" s="326"/>
      <c r="W82" s="326"/>
      <c r="X82" s="326"/>
      <c r="Y82" s="326"/>
      <c r="Z82" s="326"/>
      <c r="AA82" s="326"/>
      <c r="AB82" s="326"/>
      <c r="AT82" s="270"/>
      <c r="AU82" s="270"/>
      <c r="AV82" s="270"/>
      <c r="AW82" s="270"/>
      <c r="AX82" s="270"/>
      <c r="AY82" s="270"/>
      <c r="AZ82" s="270"/>
      <c r="BA82" s="270"/>
      <c r="BB82" s="270"/>
      <c r="BC82" s="270"/>
      <c r="BD82" s="270"/>
      <c r="BE82" s="270"/>
      <c r="BF82" s="270"/>
    </row>
    <row r="83" spans="16:58"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</row>
    <row r="84" spans="16:58">
      <c r="P84" s="326"/>
      <c r="Q84" s="326"/>
      <c r="R84" s="326"/>
      <c r="S84" s="326"/>
      <c r="T84" s="326"/>
      <c r="U84" s="326"/>
      <c r="V84" s="326"/>
      <c r="W84" s="326"/>
      <c r="X84" s="326"/>
      <c r="Y84" s="326"/>
      <c r="Z84" s="326"/>
      <c r="AA84" s="326"/>
      <c r="AB84" s="326"/>
      <c r="AT84" s="270"/>
      <c r="AU84" s="270"/>
      <c r="AV84" s="270"/>
      <c r="AW84" s="270"/>
      <c r="AX84" s="270"/>
      <c r="AY84" s="270"/>
      <c r="AZ84" s="270"/>
      <c r="BA84" s="270"/>
      <c r="BB84" s="270"/>
      <c r="BC84" s="270"/>
      <c r="BD84" s="270"/>
      <c r="BE84" s="270"/>
      <c r="BF84" s="270"/>
    </row>
    <row r="85" spans="16:58">
      <c r="P85" s="326"/>
      <c r="Q85" s="326"/>
      <c r="R85" s="326"/>
      <c r="S85" s="326"/>
      <c r="T85" s="326"/>
      <c r="U85" s="326"/>
      <c r="V85" s="326"/>
      <c r="W85" s="326"/>
      <c r="X85" s="326"/>
      <c r="Y85" s="326"/>
      <c r="Z85" s="326"/>
      <c r="AA85" s="326"/>
      <c r="AB85" s="326"/>
      <c r="AT85" s="270"/>
      <c r="AU85" s="270"/>
      <c r="AV85" s="270"/>
      <c r="AW85" s="270"/>
      <c r="AX85" s="270"/>
      <c r="AY85" s="270"/>
      <c r="AZ85" s="270"/>
      <c r="BA85" s="270"/>
      <c r="BB85" s="270"/>
      <c r="BC85" s="270"/>
      <c r="BD85" s="270"/>
      <c r="BE85" s="270"/>
      <c r="BF85" s="270"/>
    </row>
    <row r="86" spans="16:58">
      <c r="P86" s="326"/>
      <c r="Q86" s="326"/>
      <c r="R86" s="326"/>
      <c r="S86" s="326"/>
      <c r="T86" s="326"/>
      <c r="U86" s="326"/>
      <c r="V86" s="326"/>
      <c r="W86" s="326"/>
      <c r="X86" s="326"/>
      <c r="Y86" s="326"/>
      <c r="Z86" s="326"/>
      <c r="AA86" s="326"/>
      <c r="AB86" s="326"/>
      <c r="AT86" s="270"/>
      <c r="AU86" s="270"/>
      <c r="AV86" s="270"/>
      <c r="AW86" s="270"/>
      <c r="AX86" s="270"/>
      <c r="AY86" s="270"/>
      <c r="AZ86" s="270"/>
      <c r="BA86" s="270"/>
      <c r="BB86" s="270"/>
      <c r="BC86" s="270"/>
      <c r="BD86" s="270"/>
      <c r="BE86" s="270"/>
      <c r="BF86" s="270"/>
    </row>
    <row r="87" spans="16:58">
      <c r="P87" s="326"/>
      <c r="Q87" s="326"/>
      <c r="R87" s="326"/>
      <c r="S87" s="326"/>
      <c r="T87" s="326"/>
      <c r="U87" s="326"/>
      <c r="V87" s="326"/>
      <c r="W87" s="326"/>
      <c r="X87" s="326"/>
      <c r="Y87" s="326"/>
      <c r="Z87" s="326"/>
      <c r="AA87" s="326"/>
      <c r="AB87" s="326"/>
      <c r="AT87" s="270"/>
      <c r="AU87" s="270"/>
      <c r="AV87" s="270"/>
      <c r="AW87" s="270"/>
      <c r="AX87" s="270"/>
      <c r="AY87" s="270"/>
      <c r="AZ87" s="270"/>
      <c r="BA87" s="270"/>
      <c r="BB87" s="270"/>
      <c r="BC87" s="270"/>
      <c r="BD87" s="270"/>
      <c r="BE87" s="270"/>
      <c r="BF87" s="270"/>
    </row>
    <row r="88" spans="16:58"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T88" s="270"/>
      <c r="AU88" s="270"/>
      <c r="AV88" s="270"/>
      <c r="AW88" s="270"/>
      <c r="AX88" s="270"/>
      <c r="AY88" s="270"/>
      <c r="AZ88" s="270"/>
      <c r="BA88" s="270"/>
      <c r="BB88" s="270"/>
      <c r="BC88" s="270"/>
      <c r="BD88" s="270"/>
      <c r="BE88" s="270"/>
      <c r="BF88" s="270"/>
    </row>
    <row r="89" spans="16:58">
      <c r="P89" s="326"/>
      <c r="Q89" s="326"/>
      <c r="R89" s="326"/>
      <c r="S89" s="326"/>
      <c r="T89" s="326"/>
      <c r="U89" s="326"/>
      <c r="V89" s="326"/>
      <c r="W89" s="326"/>
      <c r="X89" s="326"/>
      <c r="Y89" s="326"/>
      <c r="Z89" s="326"/>
      <c r="AA89" s="326"/>
      <c r="AB89" s="326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</row>
    <row r="90" spans="16:58">
      <c r="P90" s="326"/>
      <c r="Q90" s="326"/>
      <c r="R90" s="326"/>
      <c r="S90" s="326"/>
      <c r="T90" s="326"/>
      <c r="U90" s="326"/>
      <c r="V90" s="326"/>
      <c r="W90" s="326"/>
      <c r="X90" s="326"/>
      <c r="Y90" s="326"/>
      <c r="Z90" s="326"/>
      <c r="AA90" s="326"/>
      <c r="AB90" s="326"/>
      <c r="AT90" s="270"/>
      <c r="AU90" s="270"/>
      <c r="AV90" s="270"/>
      <c r="AW90" s="270"/>
      <c r="AX90" s="270"/>
      <c r="AY90" s="270"/>
      <c r="AZ90" s="270"/>
      <c r="BA90" s="270"/>
      <c r="BB90" s="270"/>
      <c r="BC90" s="270"/>
      <c r="BD90" s="270"/>
      <c r="BE90" s="270"/>
      <c r="BF90" s="270"/>
    </row>
    <row r="91" spans="16:58">
      <c r="P91" s="326"/>
      <c r="Q91" s="326"/>
      <c r="R91" s="326"/>
      <c r="S91" s="326"/>
      <c r="T91" s="326"/>
      <c r="U91" s="326"/>
      <c r="V91" s="326"/>
      <c r="W91" s="326"/>
      <c r="X91" s="326"/>
      <c r="Y91" s="326"/>
      <c r="Z91" s="326"/>
      <c r="AA91" s="326"/>
      <c r="AB91" s="326"/>
      <c r="AT91" s="270"/>
      <c r="AU91" s="270"/>
      <c r="AV91" s="270"/>
      <c r="AW91" s="270"/>
      <c r="AX91" s="270"/>
      <c r="AY91" s="270"/>
      <c r="AZ91" s="270"/>
      <c r="BA91" s="270"/>
      <c r="BB91" s="270"/>
      <c r="BC91" s="270"/>
      <c r="BD91" s="270"/>
      <c r="BE91" s="270"/>
      <c r="BF91" s="270"/>
    </row>
    <row r="92" spans="16:58">
      <c r="P92" s="326"/>
      <c r="Q92" s="326"/>
      <c r="R92" s="326"/>
      <c r="S92" s="326"/>
      <c r="T92" s="326"/>
      <c r="U92" s="326"/>
      <c r="V92" s="326"/>
      <c r="W92" s="326"/>
      <c r="X92" s="326"/>
      <c r="Y92" s="326"/>
      <c r="Z92" s="326"/>
      <c r="AA92" s="326"/>
      <c r="AB92" s="326"/>
      <c r="AT92" s="270"/>
      <c r="AU92" s="270"/>
      <c r="AV92" s="270"/>
      <c r="AW92" s="270"/>
      <c r="AX92" s="270"/>
      <c r="AY92" s="270"/>
      <c r="AZ92" s="270"/>
      <c r="BA92" s="270"/>
      <c r="BB92" s="270"/>
      <c r="BC92" s="270"/>
      <c r="BD92" s="270"/>
      <c r="BE92" s="270"/>
      <c r="BF92" s="270"/>
    </row>
    <row r="93" spans="16:58"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T93" s="270"/>
      <c r="AU93" s="270"/>
      <c r="AV93" s="270"/>
      <c r="AW93" s="270"/>
      <c r="AX93" s="270"/>
      <c r="AY93" s="270"/>
      <c r="AZ93" s="270"/>
      <c r="BA93" s="270"/>
      <c r="BB93" s="270"/>
      <c r="BC93" s="270"/>
      <c r="BD93" s="270"/>
      <c r="BE93" s="270"/>
      <c r="BF93" s="270"/>
    </row>
    <row r="94" spans="16:58">
      <c r="P94" s="326"/>
      <c r="Q94" s="326"/>
      <c r="R94" s="326"/>
      <c r="S94" s="326"/>
      <c r="T94" s="326"/>
      <c r="U94" s="326"/>
      <c r="V94" s="326"/>
      <c r="W94" s="326"/>
      <c r="X94" s="326"/>
      <c r="Y94" s="326"/>
      <c r="Z94" s="326"/>
      <c r="AA94" s="326"/>
      <c r="AB94" s="326"/>
      <c r="AT94" s="270"/>
      <c r="AU94" s="270"/>
      <c r="AV94" s="270"/>
      <c r="AW94" s="270"/>
      <c r="AX94" s="270"/>
      <c r="AY94" s="270"/>
      <c r="AZ94" s="270"/>
      <c r="BA94" s="270"/>
      <c r="BB94" s="270"/>
      <c r="BC94" s="270"/>
      <c r="BD94" s="270"/>
      <c r="BE94" s="270"/>
      <c r="BF94" s="270"/>
    </row>
    <row r="95" spans="16:58">
      <c r="P95" s="326"/>
      <c r="Q95" s="326"/>
      <c r="R95" s="326"/>
      <c r="S95" s="326"/>
      <c r="T95" s="326"/>
      <c r="U95" s="326"/>
      <c r="V95" s="326"/>
      <c r="W95" s="326"/>
      <c r="X95" s="326"/>
      <c r="Y95" s="326"/>
      <c r="Z95" s="326"/>
      <c r="AA95" s="326"/>
      <c r="AB95" s="326"/>
      <c r="AT95" s="270"/>
      <c r="AU95" s="270"/>
      <c r="AV95" s="270"/>
      <c r="AW95" s="270"/>
      <c r="AX95" s="270"/>
      <c r="AY95" s="270"/>
      <c r="AZ95" s="270"/>
      <c r="BA95" s="270"/>
      <c r="BB95" s="270"/>
      <c r="BC95" s="270"/>
      <c r="BD95" s="270"/>
      <c r="BE95" s="270"/>
      <c r="BF95" s="270"/>
    </row>
    <row r="96" spans="16:58">
      <c r="P96" s="326"/>
      <c r="Q96" s="326"/>
      <c r="R96" s="326"/>
      <c r="S96" s="326"/>
      <c r="T96" s="326"/>
      <c r="U96" s="326"/>
      <c r="V96" s="326"/>
      <c r="W96" s="326"/>
      <c r="X96" s="326"/>
      <c r="Y96" s="326"/>
      <c r="Z96" s="326"/>
      <c r="AA96" s="326"/>
      <c r="AB96" s="326"/>
      <c r="AT96" s="270"/>
      <c r="AU96" s="270"/>
      <c r="AV96" s="270"/>
      <c r="AW96" s="270"/>
      <c r="AX96" s="270"/>
      <c r="AY96" s="270"/>
      <c r="AZ96" s="270"/>
      <c r="BA96" s="270"/>
      <c r="BB96" s="270"/>
      <c r="BC96" s="270"/>
      <c r="BD96" s="270"/>
      <c r="BE96" s="270"/>
      <c r="BF96" s="270"/>
    </row>
    <row r="97" spans="16:58">
      <c r="P97" s="326"/>
      <c r="Q97" s="326"/>
      <c r="R97" s="326"/>
      <c r="S97" s="326"/>
      <c r="T97" s="326"/>
      <c r="U97" s="326"/>
      <c r="V97" s="326"/>
      <c r="W97" s="326"/>
      <c r="X97" s="326"/>
      <c r="Y97" s="326"/>
      <c r="Z97" s="326"/>
      <c r="AA97" s="326"/>
      <c r="AB97" s="326"/>
      <c r="AT97" s="270"/>
      <c r="AU97" s="270"/>
      <c r="AV97" s="270"/>
      <c r="AW97" s="270"/>
      <c r="AX97" s="270"/>
      <c r="AY97" s="270"/>
      <c r="AZ97" s="270"/>
      <c r="BA97" s="270"/>
      <c r="BB97" s="270"/>
      <c r="BC97" s="270"/>
      <c r="BD97" s="270"/>
      <c r="BE97" s="270"/>
      <c r="BF97" s="270"/>
    </row>
    <row r="98" spans="16:58"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T98" s="270"/>
      <c r="AU98" s="270"/>
      <c r="AV98" s="270"/>
      <c r="AW98" s="270"/>
      <c r="AX98" s="270"/>
      <c r="AY98" s="270"/>
      <c r="AZ98" s="270"/>
      <c r="BA98" s="270"/>
      <c r="BB98" s="270"/>
      <c r="BC98" s="270"/>
      <c r="BD98" s="270"/>
      <c r="BE98" s="270"/>
      <c r="BF98" s="270"/>
    </row>
    <row r="99" spans="16:58">
      <c r="P99" s="326"/>
      <c r="Q99" s="326"/>
      <c r="R99" s="326"/>
      <c r="S99" s="326"/>
      <c r="T99" s="326"/>
      <c r="U99" s="326"/>
      <c r="V99" s="326"/>
      <c r="W99" s="326"/>
      <c r="X99" s="326"/>
      <c r="Y99" s="326"/>
      <c r="Z99" s="326"/>
      <c r="AA99" s="326"/>
      <c r="AB99" s="326"/>
      <c r="AT99" s="270"/>
      <c r="AU99" s="270"/>
      <c r="AV99" s="270"/>
      <c r="AW99" s="270"/>
      <c r="AX99" s="270"/>
      <c r="AY99" s="270"/>
      <c r="AZ99" s="270"/>
      <c r="BA99" s="270"/>
      <c r="BB99" s="270"/>
      <c r="BC99" s="270"/>
      <c r="BD99" s="270"/>
      <c r="BE99" s="270"/>
      <c r="BF99" s="270"/>
    </row>
    <row r="100" spans="16:58">
      <c r="P100" s="326"/>
      <c r="Q100" s="326"/>
      <c r="R100" s="326"/>
      <c r="S100" s="326"/>
      <c r="T100" s="326"/>
      <c r="U100" s="326"/>
      <c r="V100" s="326"/>
      <c r="W100" s="326"/>
      <c r="X100" s="326"/>
      <c r="Y100" s="326"/>
      <c r="Z100" s="326"/>
      <c r="AA100" s="326"/>
      <c r="AB100" s="326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</row>
    <row r="101" spans="16:58">
      <c r="P101" s="326"/>
      <c r="Q101" s="326"/>
      <c r="R101" s="326"/>
      <c r="S101" s="326"/>
      <c r="T101" s="326"/>
      <c r="U101" s="326"/>
      <c r="V101" s="326"/>
      <c r="W101" s="326"/>
      <c r="X101" s="326"/>
      <c r="Y101" s="326"/>
      <c r="Z101" s="326"/>
      <c r="AA101" s="326"/>
      <c r="AB101" s="326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</row>
    <row r="102" spans="16:58">
      <c r="P102" s="326"/>
      <c r="Q102" s="326"/>
      <c r="R102" s="326"/>
      <c r="S102" s="326"/>
      <c r="T102" s="326"/>
      <c r="U102" s="326"/>
      <c r="V102" s="326"/>
      <c r="W102" s="326"/>
      <c r="X102" s="326"/>
      <c r="Y102" s="326"/>
      <c r="Z102" s="326"/>
      <c r="AA102" s="326"/>
      <c r="AB102" s="326"/>
      <c r="AT102" s="270"/>
      <c r="AU102" s="270"/>
      <c r="AV102" s="270"/>
      <c r="AW102" s="270"/>
      <c r="AX102" s="270"/>
      <c r="AY102" s="270"/>
      <c r="AZ102" s="270"/>
      <c r="BA102" s="270"/>
      <c r="BB102" s="270"/>
      <c r="BC102" s="270"/>
      <c r="BD102" s="270"/>
      <c r="BE102" s="270"/>
      <c r="BF102" s="270"/>
    </row>
    <row r="103" spans="16:58"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T103" s="270"/>
      <c r="AU103" s="270"/>
      <c r="AV103" s="270"/>
      <c r="AW103" s="270"/>
      <c r="AX103" s="270"/>
      <c r="AY103" s="270"/>
      <c r="AZ103" s="270"/>
      <c r="BA103" s="270"/>
      <c r="BB103" s="270"/>
      <c r="BC103" s="270"/>
      <c r="BD103" s="270"/>
      <c r="BE103" s="270"/>
      <c r="BF103" s="270"/>
    </row>
    <row r="104" spans="16:58"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</row>
    <row r="105" spans="16:58">
      <c r="P105" s="326"/>
      <c r="Q105" s="326"/>
      <c r="R105" s="326"/>
      <c r="S105" s="326"/>
      <c r="T105" s="326"/>
      <c r="U105" s="326"/>
      <c r="V105" s="326"/>
      <c r="W105" s="326"/>
      <c r="X105" s="326"/>
      <c r="Y105" s="326"/>
      <c r="Z105" s="326"/>
      <c r="AA105" s="326"/>
      <c r="AB105" s="326"/>
      <c r="AT105" s="270"/>
      <c r="AU105" s="270"/>
      <c r="AV105" s="270"/>
      <c r="AW105" s="270"/>
      <c r="AX105" s="270"/>
      <c r="AY105" s="270"/>
      <c r="AZ105" s="270"/>
      <c r="BA105" s="270"/>
      <c r="BB105" s="270"/>
      <c r="BC105" s="270"/>
      <c r="BD105" s="270"/>
      <c r="BE105" s="270"/>
      <c r="BF105" s="270"/>
    </row>
    <row r="106" spans="16:58">
      <c r="P106" s="326"/>
      <c r="Q106" s="326"/>
      <c r="R106" s="326"/>
      <c r="S106" s="326"/>
      <c r="T106" s="326"/>
      <c r="U106" s="326"/>
      <c r="V106" s="326"/>
      <c r="W106" s="326"/>
      <c r="X106" s="326"/>
      <c r="Y106" s="326"/>
      <c r="Z106" s="326"/>
      <c r="AA106" s="326"/>
      <c r="AB106" s="326"/>
      <c r="AT106" s="270"/>
      <c r="AU106" s="270"/>
      <c r="AV106" s="270"/>
      <c r="AW106" s="270"/>
      <c r="AX106" s="270"/>
      <c r="AY106" s="270"/>
      <c r="AZ106" s="270"/>
      <c r="BA106" s="270"/>
      <c r="BB106" s="270"/>
      <c r="BC106" s="270"/>
      <c r="BD106" s="270"/>
      <c r="BE106" s="270"/>
      <c r="BF106" s="270"/>
    </row>
    <row r="107" spans="16:58">
      <c r="P107" s="326"/>
      <c r="Q107" s="326"/>
      <c r="R107" s="326"/>
      <c r="S107" s="326"/>
      <c r="T107" s="326"/>
      <c r="U107" s="326"/>
      <c r="V107" s="326"/>
      <c r="W107" s="326"/>
      <c r="X107" s="326"/>
      <c r="Y107" s="326"/>
      <c r="Z107" s="326"/>
      <c r="AA107" s="326"/>
      <c r="AB107" s="326"/>
      <c r="AT107" s="270"/>
      <c r="AU107" s="270"/>
      <c r="AV107" s="270"/>
      <c r="AW107" s="270"/>
      <c r="AX107" s="270"/>
      <c r="AY107" s="270"/>
      <c r="AZ107" s="270"/>
      <c r="BA107" s="270"/>
      <c r="BB107" s="270"/>
      <c r="BC107" s="270"/>
      <c r="BD107" s="270"/>
      <c r="BE107" s="270"/>
      <c r="BF107" s="270"/>
    </row>
    <row r="108" spans="16:58"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T108" s="270"/>
      <c r="AU108" s="270"/>
      <c r="AV108" s="270"/>
      <c r="AW108" s="270"/>
      <c r="AX108" s="270"/>
      <c r="AY108" s="270"/>
      <c r="AZ108" s="270"/>
      <c r="BA108" s="270"/>
      <c r="BB108" s="270"/>
      <c r="BC108" s="270"/>
      <c r="BD108" s="270"/>
      <c r="BE108" s="270"/>
      <c r="BF108" s="270"/>
    </row>
    <row r="109" spans="16:58">
      <c r="P109" s="326"/>
      <c r="Q109" s="326"/>
      <c r="R109" s="326"/>
      <c r="S109" s="326"/>
      <c r="T109" s="326"/>
      <c r="U109" s="326"/>
      <c r="V109" s="326"/>
      <c r="W109" s="326"/>
      <c r="X109" s="326"/>
      <c r="Y109" s="326"/>
      <c r="Z109" s="326"/>
      <c r="AA109" s="326"/>
      <c r="AB109" s="326"/>
      <c r="AT109" s="270"/>
      <c r="AU109" s="270"/>
      <c r="AV109" s="270"/>
      <c r="AW109" s="270"/>
      <c r="AX109" s="270"/>
      <c r="AY109" s="270"/>
      <c r="AZ109" s="270"/>
      <c r="BA109" s="270"/>
      <c r="BB109" s="270"/>
      <c r="BC109" s="270"/>
      <c r="BD109" s="270"/>
      <c r="BE109" s="270"/>
      <c r="BF109" s="270"/>
    </row>
    <row r="110" spans="16:58">
      <c r="P110" s="326"/>
      <c r="Q110" s="326"/>
      <c r="R110" s="326"/>
      <c r="S110" s="326"/>
      <c r="T110" s="326"/>
      <c r="U110" s="326"/>
      <c r="V110" s="326"/>
      <c r="W110" s="326"/>
      <c r="X110" s="326"/>
      <c r="Y110" s="326"/>
      <c r="Z110" s="326"/>
      <c r="AA110" s="326"/>
      <c r="AB110" s="326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</row>
    <row r="111" spans="16:58">
      <c r="P111" s="326"/>
      <c r="Q111" s="326"/>
      <c r="R111" s="326"/>
      <c r="S111" s="326"/>
      <c r="T111" s="326"/>
      <c r="U111" s="326"/>
      <c r="V111" s="326"/>
      <c r="W111" s="326"/>
      <c r="X111" s="326"/>
      <c r="Y111" s="326"/>
      <c r="Z111" s="326"/>
      <c r="AA111" s="326"/>
      <c r="AB111" s="326"/>
      <c r="AT111" s="270"/>
      <c r="AU111" s="270"/>
      <c r="AV111" s="270"/>
      <c r="AW111" s="270"/>
      <c r="AX111" s="270"/>
      <c r="AY111" s="270"/>
      <c r="AZ111" s="270"/>
      <c r="BA111" s="270"/>
      <c r="BB111" s="270"/>
      <c r="BC111" s="270"/>
      <c r="BD111" s="270"/>
      <c r="BE111" s="270"/>
      <c r="BF111" s="270"/>
    </row>
    <row r="112" spans="16:58">
      <c r="P112" s="326"/>
      <c r="Q112" s="326"/>
      <c r="R112" s="326"/>
      <c r="S112" s="326"/>
      <c r="T112" s="326"/>
      <c r="U112" s="326"/>
      <c r="V112" s="326"/>
      <c r="W112" s="326"/>
      <c r="X112" s="326"/>
      <c r="Y112" s="326"/>
      <c r="Z112" s="326"/>
      <c r="AA112" s="326"/>
      <c r="AB112" s="326"/>
      <c r="AT112" s="270"/>
      <c r="AU112" s="270"/>
      <c r="AV112" s="270"/>
      <c r="AW112" s="270"/>
      <c r="AX112" s="270"/>
      <c r="AY112" s="270"/>
      <c r="AZ112" s="270"/>
      <c r="BA112" s="270"/>
      <c r="BB112" s="270"/>
      <c r="BC112" s="270"/>
      <c r="BD112" s="270"/>
      <c r="BE112" s="270"/>
      <c r="BF112" s="270"/>
    </row>
    <row r="113" spans="16:58"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</row>
    <row r="114" spans="16:58">
      <c r="P114" s="326"/>
      <c r="Q114" s="326"/>
      <c r="R114" s="326"/>
      <c r="S114" s="326"/>
      <c r="T114" s="326"/>
      <c r="U114" s="326"/>
      <c r="V114" s="326"/>
      <c r="W114" s="326"/>
      <c r="X114" s="326"/>
      <c r="Y114" s="326"/>
      <c r="Z114" s="326"/>
      <c r="AA114" s="326"/>
      <c r="AB114" s="326"/>
      <c r="AT114" s="270"/>
      <c r="AU114" s="270"/>
      <c r="AV114" s="270"/>
      <c r="AW114" s="270"/>
      <c r="AX114" s="270"/>
      <c r="AY114" s="270"/>
      <c r="AZ114" s="270"/>
      <c r="BA114" s="270"/>
      <c r="BB114" s="270"/>
      <c r="BC114" s="270"/>
      <c r="BD114" s="270"/>
      <c r="BE114" s="270"/>
      <c r="BF114" s="270"/>
    </row>
    <row r="115" spans="16:58">
      <c r="P115" s="326"/>
      <c r="Q115" s="326"/>
      <c r="R115" s="326"/>
      <c r="S115" s="326"/>
      <c r="T115" s="326"/>
      <c r="U115" s="326"/>
      <c r="V115" s="326"/>
      <c r="W115" s="326"/>
      <c r="X115" s="326"/>
      <c r="Y115" s="326"/>
      <c r="Z115" s="326"/>
      <c r="AA115" s="326"/>
      <c r="AB115" s="326"/>
      <c r="AT115" s="270"/>
      <c r="AU115" s="270"/>
      <c r="AV115" s="270"/>
      <c r="AW115" s="270"/>
      <c r="AX115" s="270"/>
      <c r="AY115" s="270"/>
      <c r="AZ115" s="270"/>
      <c r="BA115" s="270"/>
      <c r="BB115" s="270"/>
      <c r="BC115" s="270"/>
      <c r="BD115" s="270"/>
      <c r="BE115" s="270"/>
      <c r="BF115" s="270"/>
    </row>
    <row r="116" spans="16:58">
      <c r="P116" s="326"/>
      <c r="Q116" s="326"/>
      <c r="R116" s="326"/>
      <c r="S116" s="326"/>
      <c r="T116" s="326"/>
      <c r="U116" s="326"/>
      <c r="V116" s="326"/>
      <c r="W116" s="326"/>
      <c r="X116" s="326"/>
      <c r="Y116" s="326"/>
      <c r="Z116" s="326"/>
      <c r="AA116" s="326"/>
      <c r="AB116" s="326"/>
      <c r="AT116" s="270"/>
      <c r="AU116" s="270"/>
      <c r="AV116" s="270"/>
      <c r="AW116" s="270"/>
      <c r="AX116" s="270"/>
      <c r="AY116" s="270"/>
      <c r="AZ116" s="270"/>
      <c r="BA116" s="270"/>
      <c r="BB116" s="270"/>
      <c r="BC116" s="270"/>
      <c r="BD116" s="270"/>
      <c r="BE116" s="270"/>
      <c r="BF116" s="270"/>
    </row>
    <row r="117" spans="16:58">
      <c r="P117" s="326"/>
      <c r="Q117" s="326"/>
      <c r="R117" s="326"/>
      <c r="S117" s="326"/>
      <c r="T117" s="326"/>
      <c r="U117" s="326"/>
      <c r="V117" s="326"/>
      <c r="W117" s="326"/>
      <c r="X117" s="326"/>
      <c r="Y117" s="326"/>
      <c r="Z117" s="326"/>
      <c r="AA117" s="326"/>
      <c r="AB117" s="326"/>
      <c r="AT117" s="270"/>
      <c r="AU117" s="270"/>
      <c r="AV117" s="270"/>
      <c r="AW117" s="270"/>
      <c r="AX117" s="270"/>
      <c r="AY117" s="270"/>
      <c r="AZ117" s="270"/>
      <c r="BA117" s="270"/>
      <c r="BB117" s="270"/>
      <c r="BC117" s="270"/>
      <c r="BD117" s="270"/>
      <c r="BE117" s="270"/>
      <c r="BF117" s="270"/>
    </row>
    <row r="118" spans="16:58"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T118" s="270"/>
      <c r="AU118" s="270"/>
      <c r="AV118" s="270"/>
      <c r="AW118" s="270"/>
      <c r="AX118" s="270"/>
      <c r="AY118" s="270"/>
      <c r="AZ118" s="270"/>
      <c r="BA118" s="270"/>
      <c r="BB118" s="270"/>
      <c r="BC118" s="270"/>
      <c r="BD118" s="270"/>
      <c r="BE118" s="270"/>
      <c r="BF118" s="270"/>
    </row>
    <row r="119" spans="16:58">
      <c r="P119" s="326"/>
      <c r="Q119" s="326"/>
      <c r="R119" s="326"/>
      <c r="S119" s="326"/>
      <c r="T119" s="326"/>
      <c r="U119" s="326"/>
      <c r="V119" s="326"/>
      <c r="W119" s="326"/>
      <c r="X119" s="326"/>
      <c r="Y119" s="326"/>
      <c r="Z119" s="326"/>
      <c r="AA119" s="326"/>
      <c r="AB119" s="326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</row>
    <row r="120" spans="16:58">
      <c r="P120" s="326"/>
      <c r="Q120" s="326"/>
      <c r="R120" s="326"/>
      <c r="S120" s="326"/>
      <c r="T120" s="326"/>
      <c r="U120" s="326"/>
      <c r="V120" s="326"/>
      <c r="W120" s="326"/>
      <c r="X120" s="326"/>
      <c r="Y120" s="326"/>
      <c r="Z120" s="326"/>
      <c r="AA120" s="326"/>
      <c r="AB120" s="326"/>
      <c r="AT120" s="270"/>
      <c r="AU120" s="270"/>
      <c r="AV120" s="270"/>
      <c r="AW120" s="270"/>
      <c r="AX120" s="270"/>
      <c r="AY120" s="270"/>
      <c r="AZ120" s="270"/>
      <c r="BA120" s="270"/>
      <c r="BB120" s="270"/>
      <c r="BC120" s="270"/>
      <c r="BD120" s="270"/>
      <c r="BE120" s="270"/>
      <c r="BF120" s="270"/>
    </row>
    <row r="121" spans="16:58">
      <c r="P121" s="326"/>
      <c r="Q121" s="326"/>
      <c r="R121" s="326"/>
      <c r="S121" s="326"/>
      <c r="T121" s="326"/>
      <c r="U121" s="326"/>
      <c r="V121" s="326"/>
      <c r="W121" s="326"/>
      <c r="X121" s="326"/>
      <c r="Y121" s="326"/>
      <c r="Z121" s="326"/>
      <c r="AA121" s="326"/>
      <c r="AB121" s="326"/>
      <c r="AT121" s="270"/>
      <c r="AU121" s="270"/>
      <c r="AV121" s="270"/>
      <c r="AW121" s="270"/>
      <c r="AX121" s="270"/>
      <c r="AY121" s="270"/>
      <c r="AZ121" s="270"/>
      <c r="BA121" s="270"/>
      <c r="BB121" s="270"/>
      <c r="BC121" s="270"/>
      <c r="BD121" s="270"/>
      <c r="BE121" s="270"/>
      <c r="BF121" s="270"/>
    </row>
    <row r="122" spans="16:58">
      <c r="P122" s="326"/>
      <c r="Q122" s="326"/>
      <c r="R122" s="326"/>
      <c r="S122" s="326"/>
      <c r="T122" s="326"/>
      <c r="U122" s="326"/>
      <c r="V122" s="326"/>
      <c r="W122" s="326"/>
      <c r="X122" s="326"/>
      <c r="Y122" s="326"/>
      <c r="Z122" s="326"/>
      <c r="AA122" s="326"/>
      <c r="AB122" s="326"/>
      <c r="AT122" s="270"/>
      <c r="AU122" s="270"/>
      <c r="AV122" s="270"/>
      <c r="AW122" s="270"/>
      <c r="AX122" s="270"/>
      <c r="AY122" s="270"/>
      <c r="AZ122" s="270"/>
      <c r="BA122" s="270"/>
      <c r="BB122" s="270"/>
      <c r="BC122" s="270"/>
      <c r="BD122" s="270"/>
      <c r="BE122" s="270"/>
      <c r="BF122" s="270"/>
    </row>
    <row r="123" spans="16:58">
      <c r="P123" s="326"/>
      <c r="Q123" s="326"/>
      <c r="R123" s="326"/>
      <c r="S123" s="326"/>
      <c r="T123" s="326"/>
      <c r="U123" s="326"/>
      <c r="V123" s="326"/>
      <c r="W123" s="326"/>
      <c r="X123" s="326"/>
      <c r="Y123" s="326"/>
      <c r="Z123" s="326"/>
      <c r="AA123" s="326"/>
      <c r="AB123" s="326"/>
      <c r="AT123" s="270"/>
      <c r="AU123" s="270"/>
      <c r="AV123" s="270"/>
      <c r="AW123" s="270"/>
      <c r="AX123" s="270"/>
      <c r="AY123" s="270"/>
      <c r="AZ123" s="270"/>
      <c r="BA123" s="270"/>
      <c r="BB123" s="270"/>
      <c r="BC123" s="270"/>
      <c r="BD123" s="270"/>
      <c r="BE123" s="270"/>
      <c r="BF123" s="270"/>
    </row>
    <row r="124" spans="16:58">
      <c r="P124" s="326"/>
      <c r="Q124" s="326"/>
      <c r="R124" s="326"/>
      <c r="S124" s="326"/>
      <c r="T124" s="326"/>
      <c r="U124" s="326"/>
      <c r="V124" s="326"/>
      <c r="W124" s="326"/>
      <c r="X124" s="326"/>
      <c r="Y124" s="326"/>
      <c r="Z124" s="326"/>
      <c r="AA124" s="326"/>
      <c r="AB124" s="326"/>
      <c r="AT124" s="270"/>
      <c r="AU124" s="270"/>
      <c r="AV124" s="270"/>
      <c r="AW124" s="270"/>
      <c r="AX124" s="270"/>
      <c r="AY124" s="270"/>
      <c r="AZ124" s="270"/>
      <c r="BA124" s="270"/>
      <c r="BB124" s="270"/>
      <c r="BC124" s="270"/>
      <c r="BD124" s="270"/>
      <c r="BE124" s="270"/>
      <c r="BF124" s="270"/>
    </row>
    <row r="125" spans="16:58">
      <c r="P125" s="326"/>
      <c r="Q125" s="326"/>
      <c r="R125" s="326"/>
      <c r="S125" s="326"/>
      <c r="T125" s="326"/>
      <c r="U125" s="326"/>
      <c r="V125" s="326"/>
      <c r="W125" s="326"/>
      <c r="X125" s="326"/>
      <c r="Y125" s="326"/>
      <c r="Z125" s="326"/>
      <c r="AA125" s="326"/>
      <c r="AB125" s="326"/>
      <c r="AT125" s="270"/>
      <c r="AU125" s="270"/>
      <c r="AV125" s="270"/>
      <c r="AW125" s="270"/>
      <c r="AX125" s="270"/>
      <c r="AY125" s="270"/>
      <c r="AZ125" s="270"/>
      <c r="BA125" s="270"/>
      <c r="BB125" s="270"/>
      <c r="BC125" s="270"/>
      <c r="BD125" s="270"/>
      <c r="BE125" s="270"/>
      <c r="BF125" s="270"/>
    </row>
    <row r="126" spans="16:58">
      <c r="P126" s="326"/>
      <c r="Q126" s="326"/>
      <c r="R126" s="326"/>
      <c r="S126" s="326"/>
      <c r="T126" s="326"/>
      <c r="U126" s="326"/>
      <c r="V126" s="326"/>
      <c r="W126" s="326"/>
      <c r="X126" s="326"/>
      <c r="Y126" s="326"/>
      <c r="Z126" s="326"/>
      <c r="AA126" s="326"/>
      <c r="AB126" s="326"/>
      <c r="AT126" s="270"/>
      <c r="AU126" s="270"/>
      <c r="AV126" s="270"/>
      <c r="AW126" s="270"/>
      <c r="AX126" s="270"/>
      <c r="AY126" s="270"/>
      <c r="AZ126" s="270"/>
      <c r="BA126" s="270"/>
      <c r="BB126" s="270"/>
      <c r="BC126" s="270"/>
      <c r="BD126" s="270"/>
      <c r="BE126" s="270"/>
      <c r="BF126" s="270"/>
    </row>
    <row r="127" spans="16:58">
      <c r="P127" s="326"/>
      <c r="Q127" s="326"/>
      <c r="R127" s="326"/>
      <c r="S127" s="326"/>
      <c r="T127" s="326"/>
      <c r="U127" s="326"/>
      <c r="V127" s="326"/>
      <c r="W127" s="326"/>
      <c r="X127" s="326"/>
      <c r="Y127" s="326"/>
      <c r="Z127" s="326"/>
      <c r="AA127" s="326"/>
      <c r="AB127" s="326"/>
      <c r="AT127" s="270"/>
      <c r="AU127" s="270"/>
      <c r="AV127" s="270"/>
      <c r="AW127" s="270"/>
      <c r="AX127" s="270"/>
      <c r="AY127" s="270"/>
      <c r="AZ127" s="270"/>
      <c r="BA127" s="270"/>
      <c r="BB127" s="270"/>
      <c r="BC127" s="270"/>
      <c r="BD127" s="270"/>
      <c r="BE127" s="270"/>
      <c r="BF127" s="270"/>
    </row>
    <row r="128" spans="16:58">
      <c r="P128" s="326"/>
      <c r="Q128" s="326"/>
      <c r="R128" s="326"/>
      <c r="S128" s="326"/>
      <c r="T128" s="326"/>
      <c r="U128" s="326"/>
      <c r="V128" s="326"/>
      <c r="W128" s="326"/>
      <c r="X128" s="326"/>
      <c r="Y128" s="326"/>
      <c r="Z128" s="326"/>
      <c r="AA128" s="326"/>
      <c r="AB128" s="326"/>
      <c r="AT128" s="270"/>
      <c r="AU128" s="270"/>
      <c r="AV128" s="270"/>
      <c r="AW128" s="270"/>
      <c r="AX128" s="270"/>
      <c r="AY128" s="270"/>
      <c r="AZ128" s="270"/>
      <c r="BA128" s="270"/>
      <c r="BB128" s="270"/>
      <c r="BC128" s="270"/>
      <c r="BD128" s="270"/>
      <c r="BE128" s="270"/>
      <c r="BF128" s="270"/>
    </row>
    <row r="129" spans="16:58">
      <c r="P129" s="326"/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T129" s="270"/>
      <c r="AU129" s="270"/>
      <c r="AV129" s="270"/>
      <c r="AW129" s="270"/>
      <c r="AX129" s="270"/>
      <c r="AY129" s="270"/>
      <c r="AZ129" s="270"/>
      <c r="BA129" s="270"/>
      <c r="BB129" s="270"/>
      <c r="BC129" s="270"/>
      <c r="BD129" s="270"/>
      <c r="BE129" s="270"/>
      <c r="BF129" s="270"/>
    </row>
    <row r="130" spans="16:58">
      <c r="P130" s="326"/>
      <c r="Q130" s="326"/>
      <c r="R130" s="326"/>
      <c r="S130" s="326"/>
      <c r="T130" s="326"/>
      <c r="U130" s="326"/>
      <c r="V130" s="326"/>
      <c r="W130" s="326"/>
      <c r="X130" s="326"/>
      <c r="Y130" s="326"/>
      <c r="Z130" s="326"/>
      <c r="AA130" s="326"/>
      <c r="AB130" s="326"/>
      <c r="AT130" s="270"/>
      <c r="AU130" s="270"/>
      <c r="AV130" s="270"/>
      <c r="AW130" s="270"/>
      <c r="AX130" s="270"/>
      <c r="AY130" s="270"/>
      <c r="AZ130" s="270"/>
      <c r="BA130" s="270"/>
      <c r="BB130" s="270"/>
      <c r="BC130" s="270"/>
      <c r="BD130" s="270"/>
      <c r="BE130" s="270"/>
      <c r="BF130" s="270"/>
    </row>
    <row r="131" spans="16:58">
      <c r="P131" s="326"/>
      <c r="Q131" s="326"/>
      <c r="R131" s="326"/>
      <c r="S131" s="326"/>
      <c r="T131" s="326"/>
      <c r="U131" s="326"/>
      <c r="V131" s="326"/>
      <c r="W131" s="326"/>
      <c r="X131" s="326"/>
      <c r="Y131" s="326"/>
      <c r="Z131" s="326"/>
      <c r="AA131" s="326"/>
      <c r="AB131" s="326"/>
      <c r="AT131" s="270"/>
      <c r="AU131" s="270"/>
      <c r="AV131" s="270"/>
      <c r="AW131" s="270"/>
      <c r="AX131" s="270"/>
      <c r="AY131" s="270"/>
      <c r="AZ131" s="270"/>
      <c r="BA131" s="270"/>
      <c r="BB131" s="270"/>
      <c r="BC131" s="270"/>
      <c r="BD131" s="270"/>
      <c r="BE131" s="270"/>
      <c r="BF131" s="270"/>
    </row>
    <row r="132" spans="16:58">
      <c r="P132" s="326"/>
      <c r="Q132" s="326"/>
      <c r="R132" s="326"/>
      <c r="S132" s="326"/>
      <c r="T132" s="326"/>
      <c r="U132" s="326"/>
      <c r="V132" s="326"/>
      <c r="W132" s="326"/>
      <c r="X132" s="326"/>
      <c r="Y132" s="326"/>
      <c r="Z132" s="326"/>
      <c r="AA132" s="326"/>
      <c r="AB132" s="326"/>
      <c r="AT132" s="270"/>
      <c r="AU132" s="270"/>
      <c r="AV132" s="270"/>
      <c r="AW132" s="270"/>
      <c r="AX132" s="270"/>
      <c r="AY132" s="270"/>
      <c r="AZ132" s="270"/>
      <c r="BA132" s="270"/>
      <c r="BB132" s="270"/>
      <c r="BC132" s="270"/>
      <c r="BD132" s="270"/>
      <c r="BE132" s="270"/>
      <c r="BF132" s="270"/>
    </row>
    <row r="133" spans="16:58">
      <c r="P133" s="326"/>
      <c r="Q133" s="326"/>
      <c r="R133" s="326"/>
      <c r="S133" s="326"/>
      <c r="T133" s="326"/>
      <c r="U133" s="326"/>
      <c r="V133" s="326"/>
      <c r="W133" s="326"/>
      <c r="X133" s="326"/>
      <c r="Y133" s="326"/>
      <c r="Z133" s="326"/>
      <c r="AA133" s="326"/>
      <c r="AB133" s="326"/>
      <c r="AT133" s="270"/>
      <c r="AU133" s="270"/>
      <c r="AV133" s="270"/>
      <c r="AW133" s="270"/>
      <c r="AX133" s="270"/>
      <c r="AY133" s="270"/>
      <c r="AZ133" s="270"/>
      <c r="BA133" s="270"/>
      <c r="BB133" s="270"/>
      <c r="BC133" s="270"/>
      <c r="BD133" s="270"/>
      <c r="BE133" s="270"/>
      <c r="BF133" s="270"/>
    </row>
    <row r="134" spans="16:58">
      <c r="P134" s="326"/>
      <c r="Q134" s="326"/>
      <c r="R134" s="326"/>
      <c r="S134" s="326"/>
      <c r="T134" s="326"/>
      <c r="U134" s="326"/>
      <c r="V134" s="326"/>
      <c r="W134" s="326"/>
      <c r="X134" s="326"/>
      <c r="Y134" s="326"/>
      <c r="Z134" s="326"/>
      <c r="AA134" s="326"/>
      <c r="AB134" s="326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</row>
    <row r="135" spans="16:58">
      <c r="P135" s="326"/>
      <c r="Q135" s="326"/>
      <c r="R135" s="326"/>
      <c r="S135" s="326"/>
      <c r="T135" s="326"/>
      <c r="U135" s="326"/>
      <c r="V135" s="326"/>
      <c r="W135" s="326"/>
      <c r="X135" s="326"/>
      <c r="Y135" s="326"/>
      <c r="Z135" s="326"/>
      <c r="AA135" s="326"/>
      <c r="AB135" s="326"/>
      <c r="AT135" s="270"/>
      <c r="AU135" s="270"/>
      <c r="AV135" s="270"/>
      <c r="AW135" s="270"/>
      <c r="AX135" s="270"/>
      <c r="AY135" s="270"/>
      <c r="AZ135" s="270"/>
      <c r="BA135" s="270"/>
      <c r="BB135" s="270"/>
      <c r="BC135" s="270"/>
      <c r="BD135" s="270"/>
      <c r="BE135" s="270"/>
      <c r="BF135" s="270"/>
    </row>
    <row r="136" spans="16:58">
      <c r="P136" s="326"/>
      <c r="Q136" s="326"/>
      <c r="R136" s="326"/>
      <c r="S136" s="326"/>
      <c r="T136" s="326"/>
      <c r="U136" s="326"/>
      <c r="V136" s="326"/>
      <c r="W136" s="326"/>
      <c r="X136" s="326"/>
      <c r="Y136" s="326"/>
      <c r="Z136" s="326"/>
      <c r="AA136" s="326"/>
      <c r="AB136" s="326"/>
      <c r="AT136" s="270"/>
      <c r="AU136" s="270"/>
      <c r="AV136" s="270"/>
      <c r="AW136" s="270"/>
      <c r="AX136" s="270"/>
      <c r="AY136" s="270"/>
      <c r="AZ136" s="270"/>
      <c r="BA136" s="270"/>
      <c r="BB136" s="270"/>
      <c r="BC136" s="270"/>
      <c r="BD136" s="270"/>
      <c r="BE136" s="270"/>
      <c r="BF136" s="270"/>
    </row>
    <row r="137" spans="16:58">
      <c r="P137" s="326"/>
      <c r="Q137" s="326"/>
      <c r="R137" s="326"/>
      <c r="S137" s="326"/>
      <c r="T137" s="326"/>
      <c r="U137" s="326"/>
      <c r="V137" s="326"/>
      <c r="W137" s="326"/>
      <c r="X137" s="326"/>
      <c r="Y137" s="326"/>
      <c r="Z137" s="326"/>
      <c r="AA137" s="326"/>
      <c r="AB137" s="326"/>
      <c r="AT137" s="270"/>
      <c r="AU137" s="270"/>
      <c r="AV137" s="270"/>
      <c r="AW137" s="270"/>
      <c r="AX137" s="270"/>
      <c r="AY137" s="270"/>
      <c r="AZ137" s="270"/>
      <c r="BA137" s="270"/>
      <c r="BB137" s="270"/>
      <c r="BC137" s="270"/>
      <c r="BD137" s="270"/>
      <c r="BE137" s="270"/>
      <c r="BF137" s="270"/>
    </row>
    <row r="138" spans="16:58">
      <c r="P138" s="326"/>
      <c r="Q138" s="326"/>
      <c r="R138" s="326"/>
      <c r="S138" s="326"/>
      <c r="T138" s="326"/>
      <c r="U138" s="326"/>
      <c r="V138" s="326"/>
      <c r="W138" s="326"/>
      <c r="X138" s="326"/>
      <c r="Y138" s="326"/>
      <c r="Z138" s="326"/>
      <c r="AA138" s="326"/>
      <c r="AB138" s="326"/>
      <c r="AT138" s="270"/>
      <c r="AU138" s="270"/>
      <c r="AV138" s="270"/>
      <c r="AW138" s="270"/>
      <c r="AX138" s="270"/>
      <c r="AY138" s="270"/>
      <c r="AZ138" s="270"/>
      <c r="BA138" s="270"/>
      <c r="BB138" s="270"/>
      <c r="BC138" s="270"/>
      <c r="BD138" s="270"/>
      <c r="BE138" s="270"/>
      <c r="BF138" s="270"/>
    </row>
    <row r="139" spans="16:58">
      <c r="P139" s="326"/>
      <c r="Q139" s="326"/>
      <c r="R139" s="326"/>
      <c r="S139" s="326"/>
      <c r="T139" s="326"/>
      <c r="U139" s="326"/>
      <c r="V139" s="326"/>
      <c r="W139" s="326"/>
      <c r="X139" s="326"/>
      <c r="Y139" s="326"/>
      <c r="Z139" s="326"/>
      <c r="AA139" s="326"/>
      <c r="AB139" s="326"/>
      <c r="AT139" s="270"/>
      <c r="AU139" s="270"/>
      <c r="AV139" s="270"/>
      <c r="AW139" s="270"/>
      <c r="AX139" s="270"/>
      <c r="AY139" s="270"/>
      <c r="AZ139" s="270"/>
      <c r="BA139" s="270"/>
      <c r="BB139" s="270"/>
      <c r="BC139" s="270"/>
      <c r="BD139" s="270"/>
      <c r="BE139" s="270"/>
      <c r="BF139" s="270"/>
    </row>
    <row r="140" spans="16:58">
      <c r="P140" s="326"/>
      <c r="Q140" s="326"/>
      <c r="R140" s="326"/>
      <c r="S140" s="326"/>
      <c r="T140" s="326"/>
      <c r="U140" s="326"/>
      <c r="V140" s="326"/>
      <c r="W140" s="326"/>
      <c r="X140" s="326"/>
      <c r="Y140" s="326"/>
      <c r="Z140" s="326"/>
      <c r="AA140" s="326"/>
      <c r="AB140" s="326"/>
      <c r="AT140" s="270"/>
      <c r="AU140" s="270"/>
      <c r="AV140" s="270"/>
      <c r="AW140" s="270"/>
      <c r="AX140" s="270"/>
      <c r="AY140" s="270"/>
      <c r="AZ140" s="270"/>
      <c r="BA140" s="270"/>
      <c r="BB140" s="270"/>
      <c r="BC140" s="270"/>
      <c r="BD140" s="270"/>
      <c r="BE140" s="270"/>
      <c r="BF140" s="270"/>
    </row>
    <row r="141" spans="16:58">
      <c r="P141" s="326"/>
      <c r="Q141" s="326"/>
      <c r="R141" s="326"/>
      <c r="S141" s="326"/>
      <c r="T141" s="326"/>
      <c r="U141" s="326"/>
      <c r="V141" s="326"/>
      <c r="W141" s="326"/>
      <c r="X141" s="326"/>
      <c r="Y141" s="326"/>
      <c r="Z141" s="326"/>
      <c r="AA141" s="326"/>
      <c r="AB141" s="326"/>
      <c r="AT141" s="270"/>
      <c r="AU141" s="270"/>
      <c r="AV141" s="270"/>
      <c r="AW141" s="270"/>
      <c r="AX141" s="270"/>
      <c r="AY141" s="270"/>
      <c r="AZ141" s="270"/>
      <c r="BA141" s="270"/>
      <c r="BB141" s="270"/>
      <c r="BC141" s="270"/>
      <c r="BD141" s="270"/>
      <c r="BE141" s="270"/>
      <c r="BF141" s="270"/>
    </row>
    <row r="142" spans="16:58">
      <c r="P142" s="326"/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T142" s="270"/>
      <c r="AU142" s="270"/>
      <c r="AV142" s="270"/>
      <c r="AW142" s="270"/>
      <c r="AX142" s="270"/>
      <c r="AY142" s="270"/>
      <c r="AZ142" s="270"/>
      <c r="BA142" s="270"/>
      <c r="BB142" s="270"/>
      <c r="BC142" s="270"/>
      <c r="BD142" s="270"/>
      <c r="BE142" s="270"/>
      <c r="BF142" s="270"/>
    </row>
    <row r="143" spans="16:58">
      <c r="P143" s="326"/>
      <c r="Q143" s="326"/>
      <c r="R143" s="326"/>
      <c r="S143" s="326"/>
      <c r="T143" s="326"/>
      <c r="U143" s="326"/>
      <c r="V143" s="326"/>
      <c r="W143" s="326"/>
      <c r="X143" s="326"/>
      <c r="Y143" s="326"/>
      <c r="Z143" s="326"/>
      <c r="AA143" s="326"/>
      <c r="AB143" s="326"/>
      <c r="AT143" s="270"/>
      <c r="AU143" s="270"/>
      <c r="AV143" s="270"/>
      <c r="AW143" s="270"/>
      <c r="AX143" s="270"/>
      <c r="AY143" s="270"/>
      <c r="AZ143" s="270"/>
      <c r="BA143" s="270"/>
      <c r="BB143" s="270"/>
      <c r="BC143" s="270"/>
      <c r="BD143" s="270"/>
      <c r="BE143" s="270"/>
      <c r="BF143" s="270"/>
    </row>
    <row r="144" spans="16:58">
      <c r="P144" s="326"/>
      <c r="Q144" s="326"/>
      <c r="R144" s="326"/>
      <c r="S144" s="326"/>
      <c r="T144" s="326"/>
      <c r="U144" s="326"/>
      <c r="V144" s="326"/>
      <c r="W144" s="326"/>
      <c r="X144" s="326"/>
      <c r="Y144" s="326"/>
      <c r="Z144" s="326"/>
      <c r="AA144" s="326"/>
      <c r="AB144" s="326"/>
      <c r="AT144" s="270"/>
      <c r="AU144" s="270"/>
      <c r="AV144" s="270"/>
      <c r="AW144" s="270"/>
      <c r="AX144" s="270"/>
      <c r="AY144" s="270"/>
      <c r="AZ144" s="270"/>
      <c r="BA144" s="270"/>
      <c r="BB144" s="270"/>
      <c r="BC144" s="270"/>
      <c r="BD144" s="270"/>
      <c r="BE144" s="270"/>
      <c r="BF144" s="270"/>
    </row>
    <row r="145" spans="16:58">
      <c r="P145" s="326"/>
      <c r="Q145" s="326"/>
      <c r="R145" s="326"/>
      <c r="S145" s="326"/>
      <c r="T145" s="326"/>
      <c r="U145" s="326"/>
      <c r="V145" s="326"/>
      <c r="W145" s="326"/>
      <c r="X145" s="326"/>
      <c r="Y145" s="326"/>
      <c r="Z145" s="326"/>
      <c r="AA145" s="326"/>
      <c r="AB145" s="326"/>
      <c r="AT145" s="270"/>
      <c r="AU145" s="270"/>
      <c r="AV145" s="270"/>
      <c r="AW145" s="270"/>
      <c r="AX145" s="270"/>
      <c r="AY145" s="270"/>
      <c r="AZ145" s="270"/>
      <c r="BA145" s="270"/>
      <c r="BB145" s="270"/>
      <c r="BC145" s="270"/>
      <c r="BD145" s="270"/>
      <c r="BE145" s="270"/>
      <c r="BF145" s="270"/>
    </row>
    <row r="146" spans="16:58">
      <c r="P146" s="326"/>
      <c r="Q146" s="326"/>
      <c r="R146" s="326"/>
      <c r="S146" s="326"/>
      <c r="T146" s="326"/>
      <c r="U146" s="326"/>
      <c r="V146" s="326"/>
      <c r="W146" s="326"/>
      <c r="X146" s="326"/>
      <c r="Y146" s="326"/>
      <c r="Z146" s="326"/>
      <c r="AA146" s="326"/>
      <c r="AB146" s="326"/>
      <c r="AT146" s="270"/>
      <c r="AU146" s="270"/>
      <c r="AV146" s="270"/>
      <c r="AW146" s="270"/>
      <c r="AX146" s="270"/>
      <c r="AY146" s="270"/>
      <c r="AZ146" s="270"/>
      <c r="BA146" s="270"/>
      <c r="BB146" s="270"/>
      <c r="BC146" s="270"/>
      <c r="BD146" s="270"/>
      <c r="BE146" s="270"/>
      <c r="BF146" s="270"/>
    </row>
    <row r="147" spans="16:58">
      <c r="P147" s="326"/>
      <c r="Q147" s="326"/>
      <c r="R147" s="326"/>
      <c r="S147" s="326"/>
      <c r="T147" s="326"/>
      <c r="U147" s="326"/>
      <c r="V147" s="326"/>
      <c r="W147" s="326"/>
      <c r="X147" s="326"/>
      <c r="Y147" s="326"/>
      <c r="Z147" s="326"/>
      <c r="AA147" s="326"/>
      <c r="AB147" s="326"/>
      <c r="AT147" s="270"/>
      <c r="AU147" s="270"/>
      <c r="AV147" s="270"/>
      <c r="AW147" s="270"/>
      <c r="AX147" s="270"/>
      <c r="AY147" s="270"/>
      <c r="AZ147" s="270"/>
      <c r="BA147" s="270"/>
      <c r="BB147" s="270"/>
      <c r="BC147" s="270"/>
      <c r="BD147" s="270"/>
      <c r="BE147" s="270"/>
      <c r="BF147" s="270"/>
    </row>
    <row r="148" spans="16:58">
      <c r="P148" s="326"/>
      <c r="Q148" s="326"/>
      <c r="R148" s="326"/>
      <c r="S148" s="326"/>
      <c r="T148" s="326"/>
      <c r="U148" s="326"/>
      <c r="V148" s="326"/>
      <c r="W148" s="326"/>
      <c r="X148" s="326"/>
      <c r="Y148" s="326"/>
      <c r="Z148" s="326"/>
      <c r="AA148" s="326"/>
      <c r="AB148" s="326"/>
      <c r="AT148" s="270"/>
      <c r="AU148" s="270"/>
      <c r="AV148" s="270"/>
      <c r="AW148" s="270"/>
      <c r="AX148" s="270"/>
      <c r="AY148" s="270"/>
      <c r="AZ148" s="270"/>
      <c r="BA148" s="270"/>
      <c r="BB148" s="270"/>
      <c r="BC148" s="270"/>
      <c r="BD148" s="270"/>
      <c r="BE148" s="270"/>
      <c r="BF148" s="270"/>
    </row>
    <row r="149" spans="16:58">
      <c r="P149" s="326"/>
      <c r="Q149" s="326"/>
      <c r="R149" s="326"/>
      <c r="S149" s="326"/>
      <c r="T149" s="326"/>
      <c r="U149" s="326"/>
      <c r="V149" s="326"/>
      <c r="W149" s="326"/>
      <c r="X149" s="326"/>
      <c r="Y149" s="326"/>
      <c r="Z149" s="326"/>
      <c r="AA149" s="326"/>
      <c r="AB149" s="326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</row>
    <row r="150" spans="16:58">
      <c r="P150" s="326"/>
      <c r="Q150" s="326"/>
      <c r="R150" s="326"/>
      <c r="S150" s="326"/>
      <c r="T150" s="326"/>
      <c r="U150" s="326"/>
      <c r="V150" s="326"/>
      <c r="W150" s="326"/>
      <c r="X150" s="326"/>
      <c r="Y150" s="326"/>
      <c r="Z150" s="326"/>
      <c r="AA150" s="326"/>
      <c r="AB150" s="326"/>
      <c r="AT150" s="270"/>
      <c r="AU150" s="270"/>
      <c r="AV150" s="270"/>
      <c r="AW150" s="270"/>
      <c r="AX150" s="270"/>
      <c r="AY150" s="270"/>
      <c r="AZ150" s="270"/>
      <c r="BA150" s="270"/>
      <c r="BB150" s="270"/>
      <c r="BC150" s="270"/>
      <c r="BD150" s="270"/>
      <c r="BE150" s="270"/>
      <c r="BF150" s="270"/>
    </row>
    <row r="151" spans="16:58">
      <c r="P151" s="326"/>
      <c r="Q151" s="326"/>
      <c r="R151" s="326"/>
      <c r="S151" s="326"/>
      <c r="T151" s="326"/>
      <c r="U151" s="326"/>
      <c r="V151" s="326"/>
      <c r="W151" s="326"/>
      <c r="X151" s="326"/>
      <c r="Y151" s="326"/>
      <c r="Z151" s="326"/>
      <c r="AA151" s="326"/>
      <c r="AB151" s="326"/>
      <c r="AT151" s="270"/>
      <c r="AU151" s="270"/>
      <c r="AV151" s="270"/>
      <c r="AW151" s="270"/>
      <c r="AX151" s="270"/>
      <c r="AY151" s="270"/>
      <c r="AZ151" s="270"/>
      <c r="BA151" s="270"/>
      <c r="BB151" s="270"/>
      <c r="BC151" s="270"/>
      <c r="BD151" s="270"/>
      <c r="BE151" s="270"/>
      <c r="BF151" s="270"/>
    </row>
    <row r="152" spans="16:58">
      <c r="P152" s="326"/>
      <c r="Q152" s="326"/>
      <c r="R152" s="326"/>
      <c r="S152" s="326"/>
      <c r="T152" s="326"/>
      <c r="U152" s="326"/>
      <c r="V152" s="326"/>
      <c r="W152" s="326"/>
      <c r="X152" s="326"/>
      <c r="Y152" s="326"/>
      <c r="Z152" s="326"/>
      <c r="AA152" s="326"/>
      <c r="AB152" s="326"/>
      <c r="AT152" s="270"/>
      <c r="AU152" s="270"/>
      <c r="AV152" s="270"/>
      <c r="AW152" s="270"/>
      <c r="AX152" s="270"/>
      <c r="AY152" s="270"/>
      <c r="AZ152" s="270"/>
      <c r="BA152" s="270"/>
      <c r="BB152" s="270"/>
      <c r="BC152" s="270"/>
      <c r="BD152" s="270"/>
      <c r="BE152" s="270"/>
      <c r="BF152" s="270"/>
    </row>
    <row r="153" spans="16:58">
      <c r="P153" s="326"/>
      <c r="Q153" s="326"/>
      <c r="R153" s="326"/>
      <c r="S153" s="326"/>
      <c r="T153" s="326"/>
      <c r="U153" s="326"/>
      <c r="V153" s="326"/>
      <c r="W153" s="326"/>
      <c r="X153" s="326"/>
      <c r="Y153" s="326"/>
      <c r="Z153" s="326"/>
      <c r="AA153" s="326"/>
      <c r="AB153" s="326"/>
      <c r="AT153" s="270"/>
      <c r="AU153" s="270"/>
      <c r="AV153" s="270"/>
      <c r="AW153" s="270"/>
      <c r="AX153" s="270"/>
      <c r="AY153" s="270"/>
      <c r="AZ153" s="270"/>
      <c r="BA153" s="270"/>
      <c r="BB153" s="270"/>
      <c r="BC153" s="270"/>
      <c r="BD153" s="270"/>
      <c r="BE153" s="270"/>
      <c r="BF153" s="270"/>
    </row>
    <row r="154" spans="16:58">
      <c r="P154" s="326"/>
      <c r="Q154" s="326"/>
      <c r="R154" s="326"/>
      <c r="S154" s="326"/>
      <c r="T154" s="326"/>
      <c r="U154" s="326"/>
      <c r="V154" s="326"/>
      <c r="W154" s="326"/>
      <c r="X154" s="326"/>
      <c r="Y154" s="326"/>
      <c r="Z154" s="326"/>
      <c r="AA154" s="326"/>
      <c r="AB154" s="326"/>
      <c r="AT154" s="270"/>
      <c r="AU154" s="270"/>
      <c r="AV154" s="270"/>
      <c r="AW154" s="270"/>
      <c r="AX154" s="270"/>
      <c r="AY154" s="270"/>
      <c r="AZ154" s="270"/>
      <c r="BA154" s="270"/>
      <c r="BB154" s="270"/>
      <c r="BC154" s="270"/>
      <c r="BD154" s="270"/>
      <c r="BE154" s="270"/>
      <c r="BF154" s="270"/>
    </row>
    <row r="155" spans="16:58">
      <c r="P155" s="326"/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T155" s="270"/>
      <c r="AU155" s="270"/>
      <c r="AV155" s="270"/>
      <c r="AW155" s="270"/>
      <c r="AX155" s="270"/>
      <c r="AY155" s="270"/>
      <c r="AZ155" s="270"/>
      <c r="BA155" s="270"/>
      <c r="BB155" s="270"/>
      <c r="BC155" s="270"/>
      <c r="BD155" s="270"/>
      <c r="BE155" s="270"/>
      <c r="BF155" s="270"/>
    </row>
    <row r="156" spans="16:58">
      <c r="P156" s="326"/>
      <c r="Q156" s="326"/>
      <c r="R156" s="326"/>
      <c r="S156" s="326"/>
      <c r="T156" s="326"/>
      <c r="U156" s="326"/>
      <c r="V156" s="326"/>
      <c r="W156" s="326"/>
      <c r="X156" s="326"/>
      <c r="Y156" s="326"/>
      <c r="Z156" s="326"/>
      <c r="AA156" s="326"/>
      <c r="AB156" s="326"/>
      <c r="AT156" s="270"/>
      <c r="AU156" s="270"/>
      <c r="AV156" s="270"/>
      <c r="AW156" s="270"/>
      <c r="AX156" s="270"/>
      <c r="AY156" s="270"/>
      <c r="AZ156" s="270"/>
      <c r="BA156" s="270"/>
      <c r="BB156" s="270"/>
      <c r="BC156" s="270"/>
      <c r="BD156" s="270"/>
      <c r="BE156" s="270"/>
      <c r="BF156" s="270"/>
    </row>
    <row r="157" spans="16:58">
      <c r="P157" s="326"/>
      <c r="Q157" s="326"/>
      <c r="R157" s="326"/>
      <c r="S157" s="326"/>
      <c r="T157" s="326"/>
      <c r="U157" s="326"/>
      <c r="V157" s="326"/>
      <c r="W157" s="326"/>
      <c r="X157" s="326"/>
      <c r="Y157" s="326"/>
      <c r="Z157" s="326"/>
      <c r="AA157" s="326"/>
      <c r="AB157" s="326"/>
      <c r="AT157" s="270"/>
      <c r="AU157" s="270"/>
      <c r="AV157" s="270"/>
      <c r="AW157" s="270"/>
      <c r="AX157" s="270"/>
      <c r="AY157" s="270"/>
      <c r="AZ157" s="270"/>
      <c r="BA157" s="270"/>
      <c r="BB157" s="270"/>
      <c r="BC157" s="270"/>
      <c r="BD157" s="270"/>
      <c r="BE157" s="270"/>
      <c r="BF157" s="270"/>
    </row>
    <row r="158" spans="16:58">
      <c r="P158" s="326"/>
      <c r="Q158" s="326"/>
      <c r="R158" s="326"/>
      <c r="S158" s="326"/>
      <c r="T158" s="326"/>
      <c r="U158" s="326"/>
      <c r="V158" s="326"/>
      <c r="W158" s="326"/>
      <c r="X158" s="326"/>
      <c r="Y158" s="326"/>
      <c r="Z158" s="326"/>
      <c r="AA158" s="326"/>
      <c r="AB158" s="326"/>
      <c r="AT158" s="270"/>
      <c r="AU158" s="270"/>
      <c r="AV158" s="270"/>
      <c r="AW158" s="270"/>
      <c r="AX158" s="270"/>
      <c r="AY158" s="270"/>
      <c r="AZ158" s="270"/>
      <c r="BA158" s="270"/>
      <c r="BB158" s="270"/>
      <c r="BC158" s="270"/>
      <c r="BD158" s="270"/>
      <c r="BE158" s="270"/>
      <c r="BF158" s="270"/>
    </row>
    <row r="159" spans="16:58">
      <c r="P159" s="326"/>
      <c r="Q159" s="326"/>
      <c r="R159" s="326"/>
      <c r="S159" s="326"/>
      <c r="T159" s="326"/>
      <c r="U159" s="326"/>
      <c r="V159" s="326"/>
      <c r="W159" s="326"/>
      <c r="X159" s="326"/>
      <c r="Y159" s="326"/>
      <c r="Z159" s="326"/>
      <c r="AA159" s="326"/>
      <c r="AB159" s="326"/>
      <c r="AT159" s="270"/>
      <c r="AU159" s="270"/>
      <c r="AV159" s="270"/>
      <c r="AW159" s="270"/>
      <c r="AX159" s="270"/>
      <c r="AY159" s="270"/>
      <c r="AZ159" s="270"/>
      <c r="BA159" s="270"/>
      <c r="BB159" s="270"/>
      <c r="BC159" s="270"/>
      <c r="BD159" s="270"/>
      <c r="BE159" s="270"/>
      <c r="BF159" s="270"/>
    </row>
    <row r="160" spans="16:58">
      <c r="P160" s="326"/>
      <c r="Q160" s="326"/>
      <c r="R160" s="326"/>
      <c r="S160" s="326"/>
      <c r="T160" s="326"/>
      <c r="U160" s="326"/>
      <c r="V160" s="326"/>
      <c r="W160" s="326"/>
      <c r="X160" s="326"/>
      <c r="Y160" s="326"/>
      <c r="Z160" s="326"/>
      <c r="AA160" s="326"/>
      <c r="AB160" s="326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</row>
    <row r="161" spans="16:58">
      <c r="P161" s="326"/>
      <c r="Q161" s="326"/>
      <c r="R161" s="326"/>
      <c r="S161" s="326"/>
      <c r="T161" s="326"/>
      <c r="U161" s="326"/>
      <c r="V161" s="326"/>
      <c r="W161" s="326"/>
      <c r="X161" s="326"/>
      <c r="Y161" s="326"/>
      <c r="Z161" s="326"/>
      <c r="AA161" s="326"/>
      <c r="AB161" s="326"/>
      <c r="AT161" s="270"/>
      <c r="AU161" s="270"/>
      <c r="AV161" s="270"/>
      <c r="AW161" s="270"/>
      <c r="AX161" s="270"/>
      <c r="AY161" s="270"/>
      <c r="AZ161" s="270"/>
      <c r="BA161" s="270"/>
      <c r="BB161" s="270"/>
      <c r="BC161" s="270"/>
      <c r="BD161" s="270"/>
      <c r="BE161" s="270"/>
      <c r="BF161" s="270"/>
    </row>
    <row r="162" spans="16:58">
      <c r="P162" s="326"/>
      <c r="Q162" s="326"/>
      <c r="R162" s="326"/>
      <c r="S162" s="326"/>
      <c r="T162" s="326"/>
      <c r="U162" s="326"/>
      <c r="V162" s="326"/>
      <c r="W162" s="326"/>
      <c r="X162" s="326"/>
      <c r="Y162" s="326"/>
      <c r="Z162" s="326"/>
      <c r="AA162" s="326"/>
      <c r="AB162" s="326"/>
      <c r="AT162" s="270"/>
      <c r="AU162" s="270"/>
      <c r="AV162" s="270"/>
      <c r="AW162" s="270"/>
      <c r="AX162" s="270"/>
      <c r="AY162" s="270"/>
      <c r="AZ162" s="270"/>
      <c r="BA162" s="270"/>
      <c r="BB162" s="270"/>
      <c r="BC162" s="270"/>
      <c r="BD162" s="270"/>
      <c r="BE162" s="270"/>
      <c r="BF162" s="270"/>
    </row>
    <row r="163" spans="16:58">
      <c r="P163" s="326"/>
      <c r="Q163" s="326"/>
      <c r="R163" s="326"/>
      <c r="S163" s="326"/>
      <c r="T163" s="326"/>
      <c r="U163" s="326"/>
      <c r="V163" s="326"/>
      <c r="W163" s="326"/>
      <c r="X163" s="326"/>
      <c r="Y163" s="326"/>
      <c r="Z163" s="326"/>
      <c r="AA163" s="326"/>
      <c r="AB163" s="326"/>
      <c r="AT163" s="270"/>
      <c r="AU163" s="270"/>
      <c r="AV163" s="270"/>
      <c r="AW163" s="270"/>
      <c r="AX163" s="270"/>
      <c r="AY163" s="270"/>
      <c r="AZ163" s="270"/>
      <c r="BA163" s="270"/>
      <c r="BB163" s="270"/>
      <c r="BC163" s="270"/>
      <c r="BD163" s="270"/>
      <c r="BE163" s="270"/>
      <c r="BF163" s="270"/>
    </row>
    <row r="164" spans="16:58">
      <c r="P164" s="326"/>
      <c r="Q164" s="326"/>
      <c r="R164" s="326"/>
      <c r="S164" s="326"/>
      <c r="T164" s="326"/>
      <c r="U164" s="326"/>
      <c r="V164" s="326"/>
      <c r="W164" s="326"/>
      <c r="X164" s="326"/>
      <c r="Y164" s="326"/>
      <c r="Z164" s="326"/>
      <c r="AA164" s="326"/>
      <c r="AB164" s="326"/>
      <c r="AT164" s="270"/>
      <c r="AU164" s="270"/>
      <c r="AV164" s="270"/>
      <c r="AW164" s="270"/>
      <c r="AX164" s="270"/>
      <c r="AY164" s="270"/>
      <c r="AZ164" s="270"/>
      <c r="BA164" s="270"/>
      <c r="BB164" s="270"/>
      <c r="BC164" s="270"/>
      <c r="BD164" s="270"/>
      <c r="BE164" s="270"/>
      <c r="BF164" s="270"/>
    </row>
    <row r="165" spans="16:58">
      <c r="P165" s="326"/>
      <c r="Q165" s="326"/>
      <c r="R165" s="326"/>
      <c r="S165" s="326"/>
      <c r="T165" s="326"/>
      <c r="U165" s="326"/>
      <c r="V165" s="326"/>
      <c r="W165" s="326"/>
      <c r="X165" s="326"/>
      <c r="Y165" s="326"/>
      <c r="Z165" s="326"/>
      <c r="AA165" s="326"/>
      <c r="AB165" s="326"/>
      <c r="AT165" s="270"/>
      <c r="AU165" s="270"/>
      <c r="AV165" s="270"/>
      <c r="AW165" s="270"/>
      <c r="AX165" s="270"/>
      <c r="AY165" s="270"/>
      <c r="AZ165" s="270"/>
      <c r="BA165" s="270"/>
      <c r="BB165" s="270"/>
      <c r="BC165" s="270"/>
      <c r="BD165" s="270"/>
      <c r="BE165" s="270"/>
      <c r="BF165" s="270"/>
    </row>
    <row r="166" spans="16:58">
      <c r="P166" s="326"/>
      <c r="Q166" s="326"/>
      <c r="R166" s="326"/>
      <c r="S166" s="326"/>
      <c r="T166" s="326"/>
      <c r="U166" s="326"/>
      <c r="V166" s="326"/>
      <c r="W166" s="326"/>
      <c r="X166" s="326"/>
      <c r="Y166" s="326"/>
      <c r="Z166" s="326"/>
      <c r="AA166" s="326"/>
      <c r="AB166" s="326"/>
      <c r="AT166" s="270"/>
      <c r="AU166" s="270"/>
      <c r="AV166" s="270"/>
      <c r="AW166" s="270"/>
      <c r="AX166" s="270"/>
      <c r="AY166" s="270"/>
      <c r="AZ166" s="270"/>
      <c r="BA166" s="270"/>
      <c r="BB166" s="270"/>
      <c r="BC166" s="270"/>
      <c r="BD166" s="270"/>
      <c r="BE166" s="270"/>
      <c r="BF166" s="270"/>
    </row>
    <row r="167" spans="16:58">
      <c r="P167" s="326"/>
      <c r="Q167" s="326"/>
      <c r="R167" s="326"/>
      <c r="S167" s="326"/>
      <c r="T167" s="326"/>
      <c r="U167" s="326"/>
      <c r="V167" s="326"/>
      <c r="W167" s="326"/>
      <c r="X167" s="326"/>
      <c r="Y167" s="326"/>
      <c r="Z167" s="326"/>
      <c r="AA167" s="326"/>
      <c r="AB167" s="326"/>
      <c r="AT167" s="270"/>
      <c r="AU167" s="270"/>
      <c r="AV167" s="270"/>
      <c r="AW167" s="270"/>
      <c r="AX167" s="270"/>
      <c r="AY167" s="270"/>
      <c r="AZ167" s="270"/>
      <c r="BA167" s="270"/>
      <c r="BB167" s="270"/>
      <c r="BC167" s="270"/>
      <c r="BD167" s="270"/>
      <c r="BE167" s="270"/>
      <c r="BF167" s="270"/>
    </row>
    <row r="168" spans="16:58">
      <c r="P168" s="326"/>
      <c r="Q168" s="326"/>
      <c r="R168" s="326"/>
      <c r="S168" s="326"/>
      <c r="T168" s="326"/>
      <c r="U168" s="326"/>
      <c r="V168" s="326"/>
      <c r="W168" s="326"/>
      <c r="X168" s="326"/>
      <c r="Y168" s="326"/>
      <c r="Z168" s="326"/>
      <c r="AA168" s="326"/>
      <c r="AB168" s="326"/>
      <c r="AT168" s="270"/>
      <c r="AU168" s="270"/>
      <c r="AV168" s="270"/>
      <c r="AW168" s="270"/>
      <c r="AX168" s="270"/>
      <c r="AY168" s="270"/>
      <c r="AZ168" s="270"/>
      <c r="BA168" s="270"/>
      <c r="BB168" s="270"/>
      <c r="BC168" s="270"/>
      <c r="BD168" s="270"/>
      <c r="BE168" s="270"/>
      <c r="BF168" s="270"/>
    </row>
    <row r="169" spans="16:58">
      <c r="P169" s="326"/>
      <c r="Q169" s="326"/>
      <c r="R169" s="326"/>
      <c r="S169" s="326"/>
      <c r="T169" s="326"/>
      <c r="U169" s="326"/>
      <c r="V169" s="326"/>
      <c r="W169" s="326"/>
      <c r="X169" s="326"/>
      <c r="Y169" s="326"/>
      <c r="Z169" s="326"/>
      <c r="AA169" s="326"/>
      <c r="AB169" s="326"/>
      <c r="AT169" s="270"/>
      <c r="AU169" s="270"/>
      <c r="AV169" s="270"/>
      <c r="AW169" s="270"/>
      <c r="AX169" s="270"/>
      <c r="AY169" s="270"/>
      <c r="AZ169" s="270"/>
      <c r="BA169" s="270"/>
      <c r="BB169" s="270"/>
      <c r="BC169" s="270"/>
      <c r="BD169" s="270"/>
      <c r="BE169" s="270"/>
      <c r="BF169" s="270"/>
    </row>
    <row r="170" spans="16:58">
      <c r="P170" s="326"/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T170" s="270"/>
      <c r="AU170" s="270"/>
      <c r="AV170" s="270"/>
      <c r="AW170" s="270"/>
      <c r="AX170" s="270"/>
      <c r="AY170" s="270"/>
      <c r="AZ170" s="270"/>
      <c r="BA170" s="270"/>
      <c r="BB170" s="270"/>
      <c r="BC170" s="270"/>
      <c r="BD170" s="270"/>
      <c r="BE170" s="270"/>
      <c r="BF170" s="270"/>
    </row>
    <row r="171" spans="16:58">
      <c r="P171" s="326"/>
      <c r="Q171" s="326"/>
      <c r="R171" s="326"/>
      <c r="S171" s="326"/>
      <c r="T171" s="326"/>
      <c r="U171" s="326"/>
      <c r="V171" s="326"/>
      <c r="W171" s="326"/>
      <c r="X171" s="326"/>
      <c r="Y171" s="326"/>
      <c r="Z171" s="326"/>
      <c r="AA171" s="326"/>
      <c r="AB171" s="326"/>
      <c r="AT171" s="270"/>
      <c r="AU171" s="270"/>
      <c r="AV171" s="270"/>
      <c r="AW171" s="270"/>
      <c r="AX171" s="270"/>
      <c r="AY171" s="270"/>
      <c r="AZ171" s="270"/>
      <c r="BA171" s="270"/>
      <c r="BB171" s="270"/>
      <c r="BC171" s="270"/>
      <c r="BD171" s="270"/>
      <c r="BE171" s="270"/>
      <c r="BF171" s="270"/>
    </row>
    <row r="172" spans="16:58">
      <c r="P172" s="326"/>
      <c r="Q172" s="326"/>
      <c r="R172" s="326"/>
      <c r="S172" s="326"/>
      <c r="T172" s="326"/>
      <c r="U172" s="326"/>
      <c r="V172" s="326"/>
      <c r="W172" s="326"/>
      <c r="X172" s="326"/>
      <c r="Y172" s="326"/>
      <c r="Z172" s="326"/>
      <c r="AA172" s="326"/>
      <c r="AB172" s="326"/>
      <c r="AT172" s="270"/>
      <c r="AU172" s="270"/>
      <c r="AV172" s="270"/>
      <c r="AW172" s="270"/>
      <c r="AX172" s="270"/>
      <c r="AY172" s="270"/>
      <c r="AZ172" s="270"/>
      <c r="BA172" s="270"/>
      <c r="BB172" s="270"/>
      <c r="BC172" s="270"/>
      <c r="BD172" s="270"/>
      <c r="BE172" s="270"/>
      <c r="BF172" s="270"/>
    </row>
    <row r="173" spans="16:58">
      <c r="P173" s="326"/>
      <c r="Q173" s="326"/>
      <c r="R173" s="326"/>
      <c r="S173" s="326"/>
      <c r="T173" s="326"/>
      <c r="U173" s="326"/>
      <c r="V173" s="326"/>
      <c r="W173" s="326"/>
      <c r="X173" s="326"/>
      <c r="Y173" s="326"/>
      <c r="Z173" s="326"/>
      <c r="AA173" s="326"/>
      <c r="AB173" s="326"/>
      <c r="AT173" s="270"/>
      <c r="AU173" s="270"/>
      <c r="AV173" s="270"/>
      <c r="AW173" s="270"/>
      <c r="AX173" s="270"/>
      <c r="AY173" s="270"/>
      <c r="AZ173" s="270"/>
      <c r="BA173" s="270"/>
      <c r="BB173" s="270"/>
      <c r="BC173" s="270"/>
      <c r="BD173" s="270"/>
      <c r="BE173" s="270"/>
      <c r="BF173" s="270"/>
    </row>
    <row r="174" spans="16:58">
      <c r="P174" s="326"/>
      <c r="Q174" s="326"/>
      <c r="R174" s="326"/>
      <c r="S174" s="326"/>
      <c r="T174" s="326"/>
      <c r="U174" s="326"/>
      <c r="V174" s="326"/>
      <c r="W174" s="326"/>
      <c r="X174" s="326"/>
      <c r="Y174" s="326"/>
      <c r="Z174" s="326"/>
      <c r="AA174" s="326"/>
      <c r="AB174" s="326"/>
      <c r="AT174" s="270"/>
      <c r="AU174" s="270"/>
      <c r="AV174" s="270"/>
      <c r="AW174" s="270"/>
      <c r="AX174" s="270"/>
      <c r="AY174" s="270"/>
      <c r="AZ174" s="270"/>
      <c r="BA174" s="270"/>
      <c r="BB174" s="270"/>
      <c r="BC174" s="270"/>
      <c r="BD174" s="270"/>
      <c r="BE174" s="270"/>
      <c r="BF174" s="270"/>
    </row>
    <row r="175" spans="16:58">
      <c r="P175" s="326"/>
      <c r="Q175" s="326"/>
      <c r="R175" s="326"/>
      <c r="S175" s="326"/>
      <c r="T175" s="326"/>
      <c r="U175" s="326"/>
      <c r="V175" s="326"/>
      <c r="W175" s="326"/>
      <c r="X175" s="326"/>
      <c r="Y175" s="326"/>
      <c r="Z175" s="326"/>
      <c r="AA175" s="326"/>
      <c r="AB175" s="326"/>
      <c r="AT175" s="270"/>
      <c r="AU175" s="270"/>
      <c r="AV175" s="270"/>
      <c r="AW175" s="270"/>
      <c r="AX175" s="270"/>
      <c r="AY175" s="270"/>
      <c r="AZ175" s="270"/>
      <c r="BA175" s="270"/>
      <c r="BB175" s="270"/>
      <c r="BC175" s="270"/>
      <c r="BD175" s="270"/>
      <c r="BE175" s="270"/>
      <c r="BF175" s="270"/>
    </row>
    <row r="176" spans="16:58">
      <c r="P176" s="326"/>
      <c r="Q176" s="326"/>
      <c r="R176" s="326"/>
      <c r="S176" s="326"/>
      <c r="T176" s="326"/>
      <c r="U176" s="326"/>
      <c r="V176" s="326"/>
      <c r="W176" s="326"/>
      <c r="X176" s="326"/>
      <c r="Y176" s="326"/>
      <c r="Z176" s="326"/>
      <c r="AA176" s="326"/>
      <c r="AB176" s="326"/>
      <c r="AT176" s="270"/>
      <c r="AU176" s="270"/>
      <c r="AV176" s="270"/>
      <c r="AW176" s="270"/>
      <c r="AX176" s="270"/>
      <c r="AY176" s="270"/>
      <c r="AZ176" s="270"/>
      <c r="BA176" s="270"/>
      <c r="BB176" s="270"/>
      <c r="BC176" s="270"/>
      <c r="BD176" s="270"/>
      <c r="BE176" s="270"/>
      <c r="BF176" s="270"/>
    </row>
    <row r="177" spans="16:58">
      <c r="P177" s="326"/>
      <c r="Q177" s="326"/>
      <c r="R177" s="326"/>
      <c r="S177" s="326"/>
      <c r="T177" s="326"/>
      <c r="U177" s="326"/>
      <c r="V177" s="326"/>
      <c r="W177" s="326"/>
      <c r="X177" s="326"/>
      <c r="Y177" s="326"/>
      <c r="Z177" s="326"/>
      <c r="AA177" s="326"/>
      <c r="AB177" s="326"/>
      <c r="AT177" s="270"/>
      <c r="AU177" s="270"/>
      <c r="AV177" s="270"/>
      <c r="AW177" s="270"/>
      <c r="AX177" s="270"/>
      <c r="AY177" s="270"/>
      <c r="AZ177" s="270"/>
      <c r="BA177" s="270"/>
      <c r="BB177" s="270"/>
      <c r="BC177" s="270"/>
      <c r="BD177" s="270"/>
      <c r="BE177" s="270"/>
      <c r="BF177" s="270"/>
    </row>
    <row r="178" spans="16:58">
      <c r="P178" s="326"/>
      <c r="Q178" s="326"/>
      <c r="R178" s="326"/>
      <c r="S178" s="326"/>
      <c r="T178" s="326"/>
      <c r="U178" s="326"/>
      <c r="V178" s="326"/>
      <c r="W178" s="326"/>
      <c r="X178" s="326"/>
      <c r="Y178" s="326"/>
      <c r="Z178" s="326"/>
      <c r="AA178" s="326"/>
      <c r="AB178" s="326"/>
      <c r="AT178" s="270"/>
      <c r="AU178" s="270"/>
      <c r="AV178" s="270"/>
      <c r="AW178" s="270"/>
      <c r="AX178" s="270"/>
      <c r="AY178" s="270"/>
      <c r="AZ178" s="270"/>
      <c r="BA178" s="270"/>
      <c r="BB178" s="270"/>
      <c r="BC178" s="270"/>
      <c r="BD178" s="270"/>
      <c r="BE178" s="270"/>
      <c r="BF178" s="270"/>
    </row>
    <row r="179" spans="16:58">
      <c r="P179" s="326"/>
      <c r="Q179" s="326"/>
      <c r="R179" s="326"/>
      <c r="S179" s="326"/>
      <c r="T179" s="326"/>
      <c r="U179" s="326"/>
      <c r="V179" s="326"/>
      <c r="W179" s="326"/>
      <c r="X179" s="326"/>
      <c r="Y179" s="326"/>
      <c r="Z179" s="326"/>
      <c r="AA179" s="326"/>
      <c r="AB179" s="326"/>
      <c r="AT179" s="270"/>
      <c r="AU179" s="270"/>
      <c r="AV179" s="270"/>
      <c r="AW179" s="270"/>
      <c r="AX179" s="270"/>
      <c r="AY179" s="270"/>
      <c r="AZ179" s="270"/>
      <c r="BA179" s="270"/>
      <c r="BB179" s="270"/>
      <c r="BC179" s="270"/>
      <c r="BD179" s="270"/>
      <c r="BE179" s="270"/>
      <c r="BF179" s="270"/>
    </row>
    <row r="180" spans="16:58">
      <c r="P180" s="326"/>
      <c r="Q180" s="326"/>
      <c r="R180" s="326"/>
      <c r="S180" s="326"/>
      <c r="T180" s="326"/>
      <c r="U180" s="326"/>
      <c r="V180" s="326"/>
      <c r="W180" s="326"/>
      <c r="X180" s="326"/>
      <c r="Y180" s="326"/>
      <c r="Z180" s="326"/>
      <c r="AA180" s="326"/>
      <c r="AB180" s="326"/>
      <c r="AT180" s="270"/>
      <c r="AU180" s="270"/>
      <c r="AV180" s="270"/>
      <c r="AW180" s="270"/>
      <c r="AX180" s="270"/>
      <c r="AY180" s="270"/>
      <c r="AZ180" s="270"/>
      <c r="BA180" s="270"/>
      <c r="BB180" s="270"/>
      <c r="BC180" s="270"/>
      <c r="BD180" s="270"/>
      <c r="BE180" s="270"/>
      <c r="BF180" s="270"/>
    </row>
    <row r="181" spans="16:58">
      <c r="P181" s="326"/>
      <c r="Q181" s="326"/>
      <c r="R181" s="326"/>
      <c r="S181" s="326"/>
      <c r="T181" s="326"/>
      <c r="U181" s="326"/>
      <c r="V181" s="326"/>
      <c r="W181" s="326"/>
      <c r="X181" s="326"/>
      <c r="Y181" s="326"/>
      <c r="Z181" s="326"/>
      <c r="AA181" s="326"/>
      <c r="AB181" s="326"/>
      <c r="AT181" s="270"/>
      <c r="AU181" s="270"/>
      <c r="AV181" s="270"/>
      <c r="AW181" s="270"/>
      <c r="AX181" s="270"/>
      <c r="AY181" s="270"/>
      <c r="AZ181" s="270"/>
      <c r="BA181" s="270"/>
      <c r="BB181" s="270"/>
      <c r="BC181" s="270"/>
      <c r="BD181" s="270"/>
      <c r="BE181" s="270"/>
      <c r="BF181" s="270"/>
    </row>
    <row r="182" spans="16:58">
      <c r="P182" s="326"/>
      <c r="Q182" s="326"/>
      <c r="R182" s="326"/>
      <c r="S182" s="326"/>
      <c r="T182" s="326"/>
      <c r="U182" s="326"/>
      <c r="V182" s="326"/>
      <c r="W182" s="326"/>
      <c r="X182" s="326"/>
      <c r="Y182" s="326"/>
      <c r="Z182" s="326"/>
      <c r="AA182" s="326"/>
      <c r="AB182" s="326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</row>
    <row r="183" spans="16:58">
      <c r="P183" s="326"/>
      <c r="Q183" s="326"/>
      <c r="R183" s="326"/>
      <c r="S183" s="326"/>
      <c r="T183" s="326"/>
      <c r="U183" s="326"/>
      <c r="V183" s="326"/>
      <c r="W183" s="326"/>
      <c r="X183" s="326"/>
      <c r="Y183" s="326"/>
      <c r="Z183" s="326"/>
      <c r="AA183" s="326"/>
      <c r="AB183" s="326"/>
      <c r="AT183" s="270"/>
      <c r="AU183" s="270"/>
      <c r="AV183" s="270"/>
      <c r="AW183" s="270"/>
      <c r="AX183" s="270"/>
      <c r="AY183" s="270"/>
      <c r="AZ183" s="270"/>
      <c r="BA183" s="270"/>
      <c r="BB183" s="270"/>
      <c r="BC183" s="270"/>
      <c r="BD183" s="270"/>
      <c r="BE183" s="270"/>
      <c r="BF183" s="270"/>
    </row>
    <row r="184" spans="16:58">
      <c r="P184" s="326"/>
      <c r="Q184" s="326"/>
      <c r="R184" s="326"/>
      <c r="S184" s="326"/>
      <c r="T184" s="326"/>
      <c r="U184" s="326"/>
      <c r="V184" s="326"/>
      <c r="W184" s="326"/>
      <c r="X184" s="326"/>
      <c r="Y184" s="326"/>
      <c r="Z184" s="326"/>
      <c r="AA184" s="326"/>
      <c r="AB184" s="326"/>
      <c r="AT184" s="270"/>
      <c r="AU184" s="270"/>
      <c r="AV184" s="270"/>
      <c r="AW184" s="270"/>
      <c r="AX184" s="270"/>
      <c r="AY184" s="270"/>
      <c r="AZ184" s="270"/>
      <c r="BA184" s="270"/>
      <c r="BB184" s="270"/>
      <c r="BC184" s="270"/>
      <c r="BD184" s="270"/>
      <c r="BE184" s="270"/>
      <c r="BF184" s="270"/>
    </row>
    <row r="185" spans="16:58">
      <c r="P185" s="326"/>
      <c r="Q185" s="326"/>
      <c r="R185" s="326"/>
      <c r="S185" s="326"/>
      <c r="T185" s="326"/>
      <c r="U185" s="326"/>
      <c r="V185" s="326"/>
      <c r="W185" s="326"/>
      <c r="X185" s="326"/>
      <c r="Y185" s="326"/>
      <c r="Z185" s="326"/>
      <c r="AA185" s="326"/>
      <c r="AB185" s="326"/>
      <c r="AT185" s="270"/>
      <c r="AU185" s="270"/>
      <c r="AV185" s="270"/>
      <c r="AW185" s="270"/>
      <c r="AX185" s="270"/>
      <c r="AY185" s="270"/>
      <c r="AZ185" s="270"/>
      <c r="BA185" s="270"/>
      <c r="BB185" s="270"/>
      <c r="BC185" s="270"/>
      <c r="BD185" s="270"/>
      <c r="BE185" s="270"/>
      <c r="BF185" s="270"/>
    </row>
    <row r="186" spans="16:58">
      <c r="P186" s="326"/>
      <c r="Q186" s="326"/>
      <c r="R186" s="326"/>
      <c r="S186" s="326"/>
      <c r="T186" s="326"/>
      <c r="U186" s="326"/>
      <c r="V186" s="326"/>
      <c r="W186" s="326"/>
      <c r="X186" s="326"/>
      <c r="Y186" s="326"/>
      <c r="Z186" s="326"/>
      <c r="AA186" s="326"/>
      <c r="AB186" s="326"/>
      <c r="AT186" s="270"/>
      <c r="AU186" s="270"/>
      <c r="AV186" s="270"/>
      <c r="AW186" s="270"/>
      <c r="AX186" s="270"/>
      <c r="AY186" s="270"/>
      <c r="AZ186" s="270"/>
      <c r="BA186" s="270"/>
      <c r="BB186" s="270"/>
      <c r="BC186" s="270"/>
      <c r="BD186" s="270"/>
      <c r="BE186" s="270"/>
      <c r="BF186" s="270"/>
    </row>
    <row r="187" spans="16:58">
      <c r="P187" s="326"/>
      <c r="Q187" s="326"/>
      <c r="R187" s="326"/>
      <c r="S187" s="326"/>
      <c r="T187" s="326"/>
      <c r="U187" s="326"/>
      <c r="V187" s="326"/>
      <c r="W187" s="326"/>
      <c r="X187" s="326"/>
      <c r="Y187" s="326"/>
      <c r="Z187" s="326"/>
      <c r="AA187" s="326"/>
      <c r="AB187" s="326"/>
      <c r="AT187" s="270"/>
      <c r="AU187" s="270"/>
      <c r="AV187" s="270"/>
      <c r="AW187" s="270"/>
      <c r="AX187" s="270"/>
      <c r="AY187" s="270"/>
      <c r="AZ187" s="270"/>
      <c r="BA187" s="270"/>
      <c r="BB187" s="270"/>
      <c r="BC187" s="270"/>
      <c r="BD187" s="270"/>
      <c r="BE187" s="270"/>
      <c r="BF187" s="270"/>
    </row>
    <row r="188" spans="16:58">
      <c r="P188" s="326"/>
      <c r="Q188" s="326"/>
      <c r="R188" s="326"/>
      <c r="S188" s="326"/>
      <c r="T188" s="326"/>
      <c r="U188" s="326"/>
      <c r="V188" s="326"/>
      <c r="W188" s="326"/>
      <c r="X188" s="326"/>
      <c r="Y188" s="326"/>
      <c r="Z188" s="326"/>
      <c r="AA188" s="326"/>
      <c r="AB188" s="326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</row>
    <row r="189" spans="16:58">
      <c r="P189" s="326"/>
      <c r="Q189" s="326"/>
      <c r="R189" s="326"/>
      <c r="S189" s="326"/>
      <c r="T189" s="326"/>
      <c r="U189" s="326"/>
      <c r="V189" s="326"/>
      <c r="W189" s="326"/>
      <c r="X189" s="326"/>
      <c r="Y189" s="326"/>
      <c r="Z189" s="326"/>
      <c r="AA189" s="326"/>
      <c r="AB189" s="326"/>
      <c r="AT189" s="270"/>
      <c r="AU189" s="270"/>
      <c r="AV189" s="270"/>
      <c r="AW189" s="270"/>
      <c r="AX189" s="270"/>
      <c r="AY189" s="270"/>
      <c r="AZ189" s="270"/>
      <c r="BA189" s="270"/>
      <c r="BB189" s="270"/>
      <c r="BC189" s="270"/>
      <c r="BD189" s="270"/>
      <c r="BE189" s="270"/>
      <c r="BF189" s="270"/>
    </row>
    <row r="190" spans="16:58">
      <c r="P190" s="326"/>
      <c r="Q190" s="326"/>
      <c r="R190" s="326"/>
      <c r="S190" s="326"/>
      <c r="T190" s="326"/>
      <c r="U190" s="326"/>
      <c r="V190" s="326"/>
      <c r="W190" s="326"/>
      <c r="X190" s="326"/>
      <c r="Y190" s="326"/>
      <c r="Z190" s="326"/>
      <c r="AA190" s="326"/>
      <c r="AB190" s="326"/>
      <c r="AT190" s="270"/>
      <c r="AU190" s="270"/>
      <c r="AV190" s="270"/>
      <c r="AW190" s="270"/>
      <c r="AX190" s="270"/>
      <c r="AY190" s="270"/>
      <c r="AZ190" s="270"/>
      <c r="BA190" s="270"/>
      <c r="BB190" s="270"/>
      <c r="BC190" s="270"/>
      <c r="BD190" s="270"/>
      <c r="BE190" s="270"/>
      <c r="BF190" s="270"/>
    </row>
    <row r="191" spans="16:58">
      <c r="P191" s="326"/>
      <c r="Q191" s="326"/>
      <c r="R191" s="326"/>
      <c r="S191" s="326"/>
      <c r="T191" s="326"/>
      <c r="U191" s="326"/>
      <c r="V191" s="326"/>
      <c r="W191" s="326"/>
      <c r="X191" s="326"/>
      <c r="Y191" s="326"/>
      <c r="Z191" s="326"/>
      <c r="AA191" s="326"/>
      <c r="AB191" s="326"/>
      <c r="AT191" s="270"/>
      <c r="AU191" s="270"/>
      <c r="AV191" s="270"/>
      <c r="AW191" s="270"/>
      <c r="AX191" s="270"/>
      <c r="AY191" s="270"/>
      <c r="AZ191" s="270"/>
      <c r="BA191" s="270"/>
      <c r="BB191" s="270"/>
      <c r="BC191" s="270"/>
      <c r="BD191" s="270"/>
      <c r="BE191" s="270"/>
      <c r="BF191" s="270"/>
    </row>
    <row r="192" spans="16:58">
      <c r="P192" s="326"/>
      <c r="Q192" s="326"/>
      <c r="R192" s="326"/>
      <c r="S192" s="326"/>
      <c r="T192" s="326"/>
      <c r="U192" s="326"/>
      <c r="V192" s="326"/>
      <c r="W192" s="326"/>
      <c r="X192" s="326"/>
      <c r="Y192" s="326"/>
      <c r="Z192" s="326"/>
      <c r="AA192" s="326"/>
      <c r="AB192" s="326"/>
      <c r="AT192" s="270"/>
      <c r="AU192" s="270"/>
      <c r="AV192" s="270"/>
      <c r="AW192" s="270"/>
      <c r="AX192" s="270"/>
      <c r="AY192" s="270"/>
      <c r="AZ192" s="270"/>
      <c r="BA192" s="270"/>
      <c r="BB192" s="270"/>
      <c r="BC192" s="270"/>
      <c r="BD192" s="270"/>
      <c r="BE192" s="270"/>
      <c r="BF192" s="270"/>
    </row>
    <row r="193" spans="16:58">
      <c r="P193" s="326"/>
      <c r="Q193" s="326"/>
      <c r="R193" s="326"/>
      <c r="S193" s="326"/>
      <c r="T193" s="326"/>
      <c r="U193" s="326"/>
      <c r="V193" s="326"/>
      <c r="W193" s="326"/>
      <c r="X193" s="326"/>
      <c r="Y193" s="326"/>
      <c r="Z193" s="326"/>
      <c r="AA193" s="326"/>
      <c r="AB193" s="326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</row>
    <row r="194" spans="16:58">
      <c r="P194" s="326"/>
      <c r="Q194" s="326"/>
      <c r="R194" s="326"/>
      <c r="S194" s="326"/>
      <c r="T194" s="326"/>
      <c r="U194" s="326"/>
      <c r="V194" s="326"/>
      <c r="W194" s="326"/>
      <c r="X194" s="326"/>
      <c r="Y194" s="326"/>
      <c r="Z194" s="326"/>
      <c r="AA194" s="326"/>
      <c r="AB194" s="326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</row>
    <row r="195" spans="16:58">
      <c r="P195" s="326"/>
      <c r="Q195" s="326"/>
      <c r="R195" s="326"/>
      <c r="S195" s="326"/>
      <c r="T195" s="326"/>
      <c r="U195" s="326"/>
      <c r="V195" s="326"/>
      <c r="W195" s="326"/>
      <c r="X195" s="326"/>
      <c r="Y195" s="326"/>
      <c r="Z195" s="326"/>
      <c r="AA195" s="326"/>
      <c r="AB195" s="326"/>
      <c r="AT195" s="270"/>
      <c r="AU195" s="270"/>
      <c r="AV195" s="270"/>
      <c r="AW195" s="270"/>
      <c r="AX195" s="270"/>
      <c r="AY195" s="270"/>
      <c r="AZ195" s="270"/>
      <c r="BA195" s="270"/>
      <c r="BB195" s="270"/>
      <c r="BC195" s="270"/>
      <c r="BD195" s="270"/>
      <c r="BE195" s="270"/>
      <c r="BF195" s="270"/>
    </row>
    <row r="196" spans="16:58">
      <c r="P196" s="326"/>
      <c r="Q196" s="326"/>
      <c r="R196" s="326"/>
      <c r="S196" s="326"/>
      <c r="T196" s="326"/>
      <c r="U196" s="326"/>
      <c r="V196" s="326"/>
      <c r="W196" s="326"/>
      <c r="X196" s="326"/>
      <c r="Y196" s="326"/>
      <c r="Z196" s="326"/>
      <c r="AA196" s="326"/>
      <c r="AB196" s="326"/>
      <c r="AT196" s="270"/>
      <c r="AU196" s="270"/>
      <c r="AV196" s="270"/>
      <c r="AW196" s="270"/>
      <c r="AX196" s="270"/>
      <c r="AY196" s="270"/>
      <c r="AZ196" s="270"/>
      <c r="BA196" s="270"/>
      <c r="BB196" s="270"/>
      <c r="BC196" s="270"/>
      <c r="BD196" s="270"/>
      <c r="BE196" s="270"/>
      <c r="BF196" s="270"/>
    </row>
    <row r="197" spans="16:58">
      <c r="P197" s="326"/>
      <c r="Q197" s="326"/>
      <c r="R197" s="326"/>
      <c r="S197" s="326"/>
      <c r="T197" s="326"/>
      <c r="U197" s="326"/>
      <c r="V197" s="326"/>
      <c r="W197" s="326"/>
      <c r="X197" s="326"/>
      <c r="Y197" s="326"/>
      <c r="Z197" s="326"/>
      <c r="AA197" s="326"/>
      <c r="AB197" s="326"/>
      <c r="AT197" s="270"/>
      <c r="AU197" s="270"/>
      <c r="AV197" s="270"/>
      <c r="AW197" s="270"/>
      <c r="AX197" s="270"/>
      <c r="AY197" s="270"/>
      <c r="AZ197" s="270"/>
      <c r="BA197" s="270"/>
      <c r="BB197" s="270"/>
      <c r="BC197" s="270"/>
      <c r="BD197" s="270"/>
      <c r="BE197" s="270"/>
      <c r="BF197" s="270"/>
    </row>
    <row r="198" spans="16:58">
      <c r="P198" s="326"/>
      <c r="Q198" s="326"/>
      <c r="R198" s="326"/>
      <c r="S198" s="326"/>
      <c r="T198" s="326"/>
      <c r="U198" s="326"/>
      <c r="V198" s="326"/>
      <c r="W198" s="326"/>
      <c r="X198" s="326"/>
      <c r="Y198" s="326"/>
      <c r="Z198" s="326"/>
      <c r="AA198" s="326"/>
      <c r="AB198" s="326"/>
      <c r="AT198" s="270"/>
      <c r="AU198" s="270"/>
      <c r="AV198" s="270"/>
      <c r="AW198" s="270"/>
      <c r="AX198" s="270"/>
      <c r="AY198" s="270"/>
      <c r="AZ198" s="270"/>
      <c r="BA198" s="270"/>
      <c r="BB198" s="270"/>
      <c r="BC198" s="270"/>
      <c r="BD198" s="270"/>
      <c r="BE198" s="270"/>
      <c r="BF198" s="270"/>
    </row>
    <row r="199" spans="16:58">
      <c r="P199" s="326"/>
      <c r="Q199" s="326"/>
      <c r="R199" s="326"/>
      <c r="S199" s="326"/>
      <c r="T199" s="326"/>
      <c r="U199" s="326"/>
      <c r="V199" s="326"/>
      <c r="W199" s="326"/>
      <c r="X199" s="326"/>
      <c r="Y199" s="326"/>
      <c r="Z199" s="326"/>
      <c r="AA199" s="326"/>
      <c r="AB199" s="326"/>
      <c r="AT199" s="270"/>
      <c r="AU199" s="270"/>
      <c r="AV199" s="270"/>
      <c r="AW199" s="270"/>
      <c r="AX199" s="270"/>
      <c r="AY199" s="270"/>
      <c r="AZ199" s="270"/>
      <c r="BA199" s="270"/>
      <c r="BB199" s="270"/>
      <c r="BC199" s="270"/>
      <c r="BD199" s="270"/>
      <c r="BE199" s="270"/>
      <c r="BF199" s="270"/>
    </row>
    <row r="200" spans="16:58">
      <c r="P200" s="326"/>
      <c r="Q200" s="326"/>
      <c r="R200" s="326"/>
      <c r="S200" s="326"/>
      <c r="T200" s="326"/>
      <c r="U200" s="326"/>
      <c r="V200" s="326"/>
      <c r="W200" s="326"/>
      <c r="X200" s="326"/>
      <c r="Y200" s="326"/>
      <c r="Z200" s="326"/>
      <c r="AA200" s="326"/>
      <c r="AB200" s="326"/>
      <c r="AT200" s="270"/>
      <c r="AU200" s="270"/>
      <c r="AV200" s="270"/>
      <c r="AW200" s="270"/>
      <c r="AX200" s="270"/>
      <c r="AY200" s="270"/>
      <c r="AZ200" s="270"/>
      <c r="BA200" s="270"/>
      <c r="BB200" s="270"/>
      <c r="BC200" s="270"/>
      <c r="BD200" s="270"/>
      <c r="BE200" s="270"/>
      <c r="BF200" s="270"/>
    </row>
    <row r="201" spans="16:58">
      <c r="P201" s="326"/>
      <c r="Q201" s="326"/>
      <c r="R201" s="326"/>
      <c r="S201" s="326"/>
      <c r="T201" s="326"/>
      <c r="U201" s="326"/>
      <c r="V201" s="326"/>
      <c r="W201" s="326"/>
      <c r="X201" s="326"/>
      <c r="Y201" s="326"/>
      <c r="Z201" s="326"/>
      <c r="AA201" s="326"/>
      <c r="AB201" s="326"/>
      <c r="AT201" s="270"/>
      <c r="AU201" s="270"/>
      <c r="AV201" s="270"/>
      <c r="AW201" s="270"/>
      <c r="AX201" s="270"/>
      <c r="AY201" s="270"/>
      <c r="AZ201" s="270"/>
      <c r="BA201" s="270"/>
      <c r="BB201" s="270"/>
      <c r="BC201" s="270"/>
      <c r="BD201" s="270"/>
      <c r="BE201" s="270"/>
      <c r="BF201" s="270"/>
    </row>
    <row r="202" spans="16:58">
      <c r="P202" s="326"/>
      <c r="Q202" s="326"/>
      <c r="R202" s="326"/>
      <c r="S202" s="326"/>
      <c r="T202" s="326"/>
      <c r="U202" s="326"/>
      <c r="V202" s="326"/>
      <c r="W202" s="326"/>
      <c r="X202" s="326"/>
      <c r="Y202" s="326"/>
      <c r="Z202" s="326"/>
      <c r="AA202" s="326"/>
      <c r="AB202" s="326"/>
      <c r="AT202" s="270"/>
      <c r="AU202" s="270"/>
      <c r="AV202" s="270"/>
      <c r="AW202" s="270"/>
      <c r="AX202" s="270"/>
      <c r="AY202" s="270"/>
      <c r="AZ202" s="270"/>
      <c r="BA202" s="270"/>
      <c r="BB202" s="270"/>
      <c r="BC202" s="270"/>
      <c r="BD202" s="270"/>
      <c r="BE202" s="270"/>
      <c r="BF202" s="270"/>
    </row>
    <row r="203" spans="16:58">
      <c r="P203" s="326"/>
      <c r="Q203" s="326"/>
      <c r="R203" s="326"/>
      <c r="S203" s="326"/>
      <c r="T203" s="326"/>
      <c r="U203" s="326"/>
      <c r="V203" s="326"/>
      <c r="W203" s="326"/>
      <c r="X203" s="326"/>
      <c r="Y203" s="326"/>
      <c r="Z203" s="326"/>
      <c r="AA203" s="326"/>
      <c r="AB203" s="326"/>
      <c r="AT203" s="270"/>
      <c r="AU203" s="270"/>
      <c r="AV203" s="270"/>
      <c r="AW203" s="270"/>
      <c r="AX203" s="270"/>
      <c r="AY203" s="270"/>
      <c r="AZ203" s="270"/>
      <c r="BA203" s="270"/>
      <c r="BB203" s="270"/>
      <c r="BC203" s="270"/>
      <c r="BD203" s="270"/>
      <c r="BE203" s="270"/>
      <c r="BF203" s="270"/>
    </row>
    <row r="204" spans="16:58">
      <c r="P204" s="326"/>
      <c r="Q204" s="326"/>
      <c r="R204" s="326"/>
      <c r="S204" s="326"/>
      <c r="T204" s="326"/>
      <c r="U204" s="326"/>
      <c r="V204" s="326"/>
      <c r="W204" s="326"/>
      <c r="X204" s="326"/>
      <c r="Y204" s="326"/>
      <c r="Z204" s="326"/>
      <c r="AA204" s="326"/>
      <c r="AB204" s="326"/>
      <c r="AT204" s="270"/>
      <c r="AU204" s="270"/>
      <c r="AV204" s="270"/>
      <c r="AW204" s="270"/>
      <c r="AX204" s="270"/>
      <c r="AY204" s="270"/>
      <c r="AZ204" s="270"/>
      <c r="BA204" s="270"/>
      <c r="BB204" s="270"/>
      <c r="BC204" s="270"/>
      <c r="BD204" s="270"/>
      <c r="BE204" s="270"/>
      <c r="BF204" s="270"/>
    </row>
    <row r="205" spans="16:58">
      <c r="P205" s="326"/>
      <c r="Q205" s="326"/>
      <c r="R205" s="326"/>
      <c r="S205" s="326"/>
      <c r="T205" s="326"/>
      <c r="U205" s="326"/>
      <c r="V205" s="326"/>
      <c r="W205" s="326"/>
      <c r="X205" s="326"/>
      <c r="Y205" s="326"/>
      <c r="Z205" s="326"/>
      <c r="AA205" s="326"/>
      <c r="AB205" s="326"/>
      <c r="AT205" s="270"/>
      <c r="AU205" s="270"/>
      <c r="AV205" s="270"/>
      <c r="AW205" s="270"/>
      <c r="AX205" s="270"/>
      <c r="AY205" s="270"/>
      <c r="AZ205" s="270"/>
      <c r="BA205" s="270"/>
      <c r="BB205" s="270"/>
      <c r="BC205" s="270"/>
      <c r="BD205" s="270"/>
      <c r="BE205" s="270"/>
      <c r="BF205" s="270"/>
    </row>
    <row r="206" spans="16:58">
      <c r="P206" s="326"/>
      <c r="Q206" s="326"/>
      <c r="R206" s="326"/>
      <c r="S206" s="326"/>
      <c r="T206" s="326"/>
      <c r="U206" s="326"/>
      <c r="V206" s="326"/>
      <c r="W206" s="326"/>
      <c r="X206" s="326"/>
      <c r="Y206" s="326"/>
      <c r="Z206" s="326"/>
      <c r="AA206" s="326"/>
      <c r="AB206" s="326"/>
      <c r="AT206" s="270"/>
      <c r="AU206" s="270"/>
      <c r="AV206" s="270"/>
      <c r="AW206" s="270"/>
      <c r="AX206" s="270"/>
      <c r="AY206" s="270"/>
      <c r="AZ206" s="270"/>
      <c r="BA206" s="270"/>
      <c r="BB206" s="270"/>
      <c r="BC206" s="270"/>
      <c r="BD206" s="270"/>
      <c r="BE206" s="270"/>
      <c r="BF206" s="270"/>
    </row>
    <row r="207" spans="16:58">
      <c r="P207" s="326"/>
      <c r="Q207" s="326"/>
      <c r="R207" s="326"/>
      <c r="S207" s="326"/>
      <c r="T207" s="326"/>
      <c r="U207" s="326"/>
      <c r="V207" s="326"/>
      <c r="W207" s="326"/>
      <c r="X207" s="326"/>
      <c r="Y207" s="326"/>
      <c r="Z207" s="326"/>
      <c r="AA207" s="326"/>
      <c r="AB207" s="326"/>
      <c r="AT207" s="270"/>
      <c r="AU207" s="270"/>
      <c r="AV207" s="270"/>
      <c r="AW207" s="270"/>
      <c r="AX207" s="270"/>
      <c r="AY207" s="270"/>
      <c r="AZ207" s="270"/>
      <c r="BA207" s="270"/>
      <c r="BB207" s="270"/>
      <c r="BC207" s="270"/>
      <c r="BD207" s="270"/>
      <c r="BE207" s="270"/>
      <c r="BF207" s="270"/>
    </row>
    <row r="208" spans="16:58">
      <c r="P208" s="326"/>
      <c r="Q208" s="326"/>
      <c r="R208" s="326"/>
      <c r="S208" s="326"/>
      <c r="T208" s="326"/>
      <c r="U208" s="326"/>
      <c r="V208" s="326"/>
      <c r="W208" s="326"/>
      <c r="X208" s="326"/>
      <c r="Y208" s="326"/>
      <c r="Z208" s="326"/>
      <c r="AA208" s="326"/>
      <c r="AB208" s="326"/>
      <c r="AT208" s="270"/>
      <c r="AU208" s="270"/>
      <c r="AV208" s="270"/>
      <c r="AW208" s="270"/>
      <c r="AX208" s="270"/>
      <c r="AY208" s="270"/>
      <c r="AZ208" s="270"/>
      <c r="BA208" s="270"/>
      <c r="BB208" s="270"/>
      <c r="BC208" s="270"/>
      <c r="BD208" s="270"/>
      <c r="BE208" s="270"/>
      <c r="BF208" s="270"/>
    </row>
    <row r="209" spans="16:58">
      <c r="P209" s="326"/>
      <c r="Q209" s="326"/>
      <c r="R209" s="326"/>
      <c r="S209" s="326"/>
      <c r="T209" s="326"/>
      <c r="U209" s="326"/>
      <c r="V209" s="326"/>
      <c r="W209" s="326"/>
      <c r="X209" s="326"/>
      <c r="Y209" s="326"/>
      <c r="Z209" s="326"/>
      <c r="AA209" s="326"/>
      <c r="AB209" s="326"/>
      <c r="AT209" s="270"/>
      <c r="AU209" s="270"/>
      <c r="AV209" s="270"/>
      <c r="AW209" s="270"/>
      <c r="AX209" s="270"/>
      <c r="AY209" s="270"/>
      <c r="AZ209" s="270"/>
      <c r="BA209" s="270"/>
      <c r="BB209" s="270"/>
      <c r="BC209" s="270"/>
      <c r="BD209" s="270"/>
      <c r="BE209" s="270"/>
      <c r="BF209" s="270"/>
    </row>
    <row r="210" spans="16:58"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T210" s="270"/>
      <c r="AU210" s="270"/>
      <c r="AV210" s="270"/>
      <c r="AW210" s="270"/>
      <c r="AX210" s="270"/>
      <c r="AY210" s="270"/>
      <c r="AZ210" s="270"/>
      <c r="BA210" s="270"/>
      <c r="BB210" s="270"/>
      <c r="BC210" s="270"/>
      <c r="BD210" s="270"/>
      <c r="BE210" s="270"/>
      <c r="BF210" s="270"/>
    </row>
    <row r="211" spans="16:58">
      <c r="P211" s="326"/>
      <c r="Q211" s="326"/>
      <c r="R211" s="326"/>
      <c r="S211" s="326"/>
      <c r="T211" s="326"/>
      <c r="U211" s="326"/>
      <c r="V211" s="326"/>
      <c r="W211" s="326"/>
      <c r="X211" s="326"/>
      <c r="Y211" s="326"/>
      <c r="Z211" s="326"/>
      <c r="AA211" s="326"/>
      <c r="AB211" s="326"/>
      <c r="AT211" s="270"/>
      <c r="AU211" s="270"/>
      <c r="AV211" s="270"/>
      <c r="AW211" s="270"/>
      <c r="AX211" s="270"/>
      <c r="AY211" s="270"/>
      <c r="AZ211" s="270"/>
      <c r="BA211" s="270"/>
      <c r="BB211" s="270"/>
      <c r="BC211" s="270"/>
      <c r="BD211" s="270"/>
      <c r="BE211" s="270"/>
      <c r="BF211" s="270"/>
    </row>
    <row r="212" spans="16:58">
      <c r="P212" s="326"/>
      <c r="Q212" s="326"/>
      <c r="R212" s="326"/>
      <c r="S212" s="326"/>
      <c r="T212" s="326"/>
      <c r="U212" s="326"/>
      <c r="V212" s="326"/>
      <c r="W212" s="326"/>
      <c r="X212" s="326"/>
      <c r="Y212" s="326"/>
      <c r="Z212" s="326"/>
      <c r="AA212" s="326"/>
      <c r="AB212" s="326"/>
      <c r="AT212" s="270"/>
      <c r="AU212" s="270"/>
      <c r="AV212" s="270"/>
      <c r="AW212" s="270"/>
      <c r="AX212" s="270"/>
      <c r="AY212" s="270"/>
      <c r="AZ212" s="270"/>
      <c r="BA212" s="270"/>
      <c r="BB212" s="270"/>
      <c r="BC212" s="270"/>
      <c r="BD212" s="270"/>
      <c r="BE212" s="270"/>
      <c r="BF212" s="270"/>
    </row>
    <row r="213" spans="16:58">
      <c r="P213" s="326"/>
      <c r="Q213" s="326"/>
      <c r="R213" s="326"/>
      <c r="S213" s="326"/>
      <c r="T213" s="326"/>
      <c r="U213" s="326"/>
      <c r="V213" s="326"/>
      <c r="W213" s="326"/>
      <c r="X213" s="326"/>
      <c r="Y213" s="326"/>
      <c r="Z213" s="326"/>
      <c r="AA213" s="326"/>
      <c r="AB213" s="326"/>
      <c r="AT213" s="270"/>
      <c r="AU213" s="270"/>
      <c r="AV213" s="270"/>
      <c r="AW213" s="270"/>
      <c r="AX213" s="270"/>
      <c r="AY213" s="270"/>
      <c r="AZ213" s="270"/>
      <c r="BA213" s="270"/>
      <c r="BB213" s="270"/>
      <c r="BC213" s="270"/>
      <c r="BD213" s="270"/>
      <c r="BE213" s="270"/>
      <c r="BF213" s="270"/>
    </row>
    <row r="214" spans="16:58">
      <c r="P214" s="326"/>
      <c r="Q214" s="326"/>
      <c r="R214" s="326"/>
      <c r="S214" s="326"/>
      <c r="T214" s="326"/>
      <c r="U214" s="326"/>
      <c r="V214" s="326"/>
      <c r="W214" s="326"/>
      <c r="X214" s="326"/>
      <c r="Y214" s="326"/>
      <c r="Z214" s="326"/>
      <c r="AA214" s="326"/>
      <c r="AB214" s="326"/>
      <c r="AT214" s="270"/>
      <c r="AU214" s="270"/>
      <c r="AV214" s="270"/>
      <c r="AW214" s="270"/>
      <c r="AX214" s="270"/>
      <c r="AY214" s="270"/>
      <c r="AZ214" s="270"/>
      <c r="BA214" s="270"/>
      <c r="BB214" s="270"/>
      <c r="BC214" s="270"/>
      <c r="BD214" s="270"/>
      <c r="BE214" s="270"/>
      <c r="BF214" s="270"/>
    </row>
    <row r="215" spans="16:58">
      <c r="P215" s="326"/>
      <c r="Q215" s="326"/>
      <c r="R215" s="326"/>
      <c r="S215" s="326"/>
      <c r="T215" s="326"/>
      <c r="U215" s="326"/>
      <c r="V215" s="326"/>
      <c r="W215" s="326"/>
      <c r="X215" s="326"/>
      <c r="Y215" s="326"/>
      <c r="Z215" s="326"/>
      <c r="AA215" s="326"/>
      <c r="AB215" s="326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</row>
    <row r="216" spans="16:58">
      <c r="P216" s="326"/>
      <c r="Q216" s="326"/>
      <c r="R216" s="326"/>
      <c r="S216" s="326"/>
      <c r="T216" s="326"/>
      <c r="U216" s="326"/>
      <c r="V216" s="326"/>
      <c r="W216" s="326"/>
      <c r="X216" s="326"/>
      <c r="Y216" s="326"/>
      <c r="Z216" s="326"/>
      <c r="AA216" s="326"/>
      <c r="AB216" s="326"/>
      <c r="AT216" s="270"/>
      <c r="AU216" s="270"/>
      <c r="AV216" s="270"/>
      <c r="AW216" s="270"/>
      <c r="AX216" s="270"/>
      <c r="AY216" s="270"/>
      <c r="AZ216" s="270"/>
      <c r="BA216" s="270"/>
      <c r="BB216" s="270"/>
      <c r="BC216" s="270"/>
      <c r="BD216" s="270"/>
      <c r="BE216" s="270"/>
      <c r="BF216" s="270"/>
    </row>
    <row r="217" spans="16:58">
      <c r="P217" s="326"/>
      <c r="Q217" s="326"/>
      <c r="R217" s="326"/>
      <c r="S217" s="326"/>
      <c r="T217" s="326"/>
      <c r="U217" s="326"/>
      <c r="V217" s="326"/>
      <c r="W217" s="326"/>
      <c r="X217" s="326"/>
      <c r="Y217" s="326"/>
      <c r="Z217" s="326"/>
      <c r="AA217" s="326"/>
      <c r="AB217" s="326"/>
      <c r="AT217" s="270"/>
      <c r="AU217" s="270"/>
      <c r="AV217" s="270"/>
      <c r="AW217" s="270"/>
      <c r="AX217" s="270"/>
      <c r="AY217" s="270"/>
      <c r="AZ217" s="270"/>
      <c r="BA217" s="270"/>
      <c r="BB217" s="270"/>
      <c r="BC217" s="270"/>
      <c r="BD217" s="270"/>
      <c r="BE217" s="270"/>
      <c r="BF217" s="270"/>
    </row>
    <row r="218" spans="16:58">
      <c r="P218" s="326"/>
      <c r="Q218" s="326"/>
      <c r="R218" s="326"/>
      <c r="S218" s="326"/>
      <c r="T218" s="326"/>
      <c r="U218" s="326"/>
      <c r="V218" s="326"/>
      <c r="W218" s="326"/>
      <c r="X218" s="326"/>
      <c r="Y218" s="326"/>
      <c r="Z218" s="326"/>
      <c r="AA218" s="326"/>
      <c r="AB218" s="326"/>
      <c r="AT218" s="270"/>
      <c r="AU218" s="270"/>
      <c r="AV218" s="270"/>
      <c r="AW218" s="270"/>
      <c r="AX218" s="270"/>
      <c r="AY218" s="270"/>
      <c r="AZ218" s="270"/>
      <c r="BA218" s="270"/>
      <c r="BB218" s="270"/>
      <c r="BC218" s="270"/>
      <c r="BD218" s="270"/>
      <c r="BE218" s="270"/>
      <c r="BF218" s="270"/>
    </row>
    <row r="219" spans="16:58">
      <c r="P219" s="326"/>
      <c r="Q219" s="326"/>
      <c r="R219" s="326"/>
      <c r="S219" s="326"/>
      <c r="T219" s="326"/>
      <c r="U219" s="326"/>
      <c r="V219" s="326"/>
      <c r="W219" s="326"/>
      <c r="X219" s="326"/>
      <c r="Y219" s="326"/>
      <c r="Z219" s="326"/>
      <c r="AA219" s="326"/>
      <c r="AB219" s="326"/>
      <c r="AT219" s="270"/>
      <c r="AU219" s="270"/>
      <c r="AV219" s="270"/>
      <c r="AW219" s="270"/>
      <c r="AX219" s="270"/>
      <c r="AY219" s="270"/>
      <c r="AZ219" s="270"/>
      <c r="BA219" s="270"/>
      <c r="BB219" s="270"/>
      <c r="BC219" s="270"/>
      <c r="BD219" s="270"/>
      <c r="BE219" s="270"/>
      <c r="BF219" s="270"/>
    </row>
    <row r="220" spans="16:58">
      <c r="P220" s="326"/>
      <c r="Q220" s="326"/>
      <c r="R220" s="326"/>
      <c r="S220" s="326"/>
      <c r="T220" s="326"/>
      <c r="U220" s="326"/>
      <c r="V220" s="326"/>
      <c r="W220" s="326"/>
      <c r="X220" s="326"/>
      <c r="Y220" s="326"/>
      <c r="Z220" s="326"/>
      <c r="AA220" s="326"/>
      <c r="AB220" s="326"/>
      <c r="AT220" s="270"/>
      <c r="AU220" s="270"/>
      <c r="AV220" s="270"/>
      <c r="AW220" s="270"/>
      <c r="AX220" s="270"/>
      <c r="AY220" s="270"/>
      <c r="AZ220" s="270"/>
      <c r="BA220" s="270"/>
      <c r="BB220" s="270"/>
      <c r="BC220" s="270"/>
      <c r="BD220" s="270"/>
      <c r="BE220" s="270"/>
      <c r="BF220" s="270"/>
    </row>
    <row r="221" spans="16:58">
      <c r="P221" s="326"/>
      <c r="Q221" s="326"/>
      <c r="R221" s="326"/>
      <c r="S221" s="326"/>
      <c r="T221" s="326"/>
      <c r="U221" s="326"/>
      <c r="V221" s="326"/>
      <c r="W221" s="326"/>
      <c r="X221" s="326"/>
      <c r="Y221" s="326"/>
      <c r="Z221" s="326"/>
      <c r="AA221" s="326"/>
      <c r="AB221" s="326"/>
      <c r="AT221" s="270"/>
      <c r="AU221" s="270"/>
      <c r="AV221" s="270"/>
      <c r="AW221" s="270"/>
      <c r="AX221" s="270"/>
      <c r="AY221" s="270"/>
      <c r="AZ221" s="270"/>
      <c r="BA221" s="270"/>
      <c r="BB221" s="270"/>
      <c r="BC221" s="270"/>
      <c r="BD221" s="270"/>
      <c r="BE221" s="270"/>
      <c r="BF221" s="270"/>
    </row>
    <row r="222" spans="16:58">
      <c r="P222" s="326"/>
      <c r="Q222" s="326"/>
      <c r="R222" s="326"/>
      <c r="S222" s="326"/>
      <c r="T222" s="326"/>
      <c r="U222" s="326"/>
      <c r="V222" s="326"/>
      <c r="W222" s="326"/>
      <c r="X222" s="326"/>
      <c r="Y222" s="326"/>
      <c r="Z222" s="326"/>
      <c r="AA222" s="326"/>
      <c r="AB222" s="326"/>
      <c r="AT222" s="270"/>
      <c r="AU222" s="270"/>
      <c r="AV222" s="270"/>
      <c r="AW222" s="270"/>
      <c r="AX222" s="270"/>
      <c r="AY222" s="270"/>
      <c r="AZ222" s="270"/>
      <c r="BA222" s="270"/>
      <c r="BB222" s="270"/>
      <c r="BC222" s="270"/>
      <c r="BD222" s="270"/>
      <c r="BE222" s="270"/>
      <c r="BF222" s="270"/>
    </row>
    <row r="223" spans="16:58">
      <c r="P223" s="326"/>
      <c r="Q223" s="326"/>
      <c r="R223" s="326"/>
      <c r="S223" s="326"/>
      <c r="T223" s="326"/>
      <c r="U223" s="326"/>
      <c r="V223" s="326"/>
      <c r="W223" s="326"/>
      <c r="X223" s="326"/>
      <c r="Y223" s="326"/>
      <c r="Z223" s="326"/>
      <c r="AA223" s="326"/>
      <c r="AB223" s="326"/>
      <c r="AT223" s="270"/>
      <c r="AU223" s="270"/>
      <c r="AV223" s="270"/>
      <c r="AW223" s="270"/>
      <c r="AX223" s="270"/>
      <c r="AY223" s="270"/>
      <c r="AZ223" s="270"/>
      <c r="BA223" s="270"/>
      <c r="BB223" s="270"/>
      <c r="BC223" s="270"/>
      <c r="BD223" s="270"/>
      <c r="BE223" s="270"/>
      <c r="BF223" s="270"/>
    </row>
    <row r="224" spans="16:58">
      <c r="P224" s="326"/>
      <c r="Q224" s="326"/>
      <c r="R224" s="326"/>
      <c r="S224" s="326"/>
      <c r="T224" s="326"/>
      <c r="U224" s="326"/>
      <c r="V224" s="326"/>
      <c r="W224" s="326"/>
      <c r="X224" s="326"/>
      <c r="Y224" s="326"/>
      <c r="Z224" s="326"/>
      <c r="AA224" s="326"/>
      <c r="AB224" s="326"/>
      <c r="AT224" s="270"/>
      <c r="AU224" s="270"/>
      <c r="AV224" s="270"/>
      <c r="AW224" s="270"/>
      <c r="AX224" s="270"/>
      <c r="AY224" s="270"/>
      <c r="AZ224" s="270"/>
      <c r="BA224" s="270"/>
      <c r="BB224" s="270"/>
      <c r="BC224" s="270"/>
      <c r="BD224" s="270"/>
      <c r="BE224" s="270"/>
      <c r="BF224" s="270"/>
    </row>
    <row r="225" spans="16:28">
      <c r="P225" s="326"/>
      <c r="Q225" s="326"/>
      <c r="R225" s="326"/>
      <c r="S225" s="326"/>
      <c r="T225" s="326"/>
      <c r="U225" s="326"/>
      <c r="V225" s="326"/>
      <c r="W225" s="326"/>
      <c r="X225" s="326"/>
      <c r="Y225" s="326"/>
      <c r="Z225" s="326"/>
      <c r="AA225" s="326"/>
      <c r="AB225" s="326"/>
    </row>
  </sheetData>
  <mergeCells count="3">
    <mergeCell ref="D1:G1"/>
    <mergeCell ref="P1:S1"/>
    <mergeCell ref="AD1:AF1"/>
  </mergeCells>
  <conditionalFormatting sqref="A1:A2 A47:A48 A15 A19 A24:A26 A34:A36 A13">
    <cfRule type="duplicateValues" dxfId="17" priority="12"/>
  </conditionalFormatting>
  <conditionalFormatting sqref="D3:N9">
    <cfRule type="expression" dxfId="16" priority="10">
      <formula xml:space="preserve"> "کالای_ورودی" = $I3</formula>
    </cfRule>
    <cfRule type="expression" dxfId="15" priority="11">
      <formula xml:space="preserve"> "کالای_خروجی" = $I3</formula>
    </cfRule>
  </conditionalFormatting>
  <conditionalFormatting sqref="P3:AB7 P9:AB10">
    <cfRule type="expression" dxfId="14" priority="6">
      <formula xml:space="preserve"> "کالا تهیه شد" = $AA3</formula>
    </cfRule>
    <cfRule type="expression" dxfId="13" priority="7">
      <formula xml:space="preserve"> "سفارش کالا" = $AA3</formula>
    </cfRule>
    <cfRule type="expression" dxfId="12" priority="8">
      <formula xml:space="preserve"> "بودجه تهیه شد" = $AA3</formula>
    </cfRule>
    <cfRule type="expression" dxfId="11" priority="9">
      <formula xml:space="preserve"> "در حال تهیه بودجه" = $AA3</formula>
    </cfRule>
  </conditionalFormatting>
  <conditionalFormatting sqref="AD3:AJ5">
    <cfRule type="expression" dxfId="10" priority="29">
      <formula xml:space="preserve"> "غیر قابل تعمیر" = $AI3</formula>
    </cfRule>
    <cfRule type="expression" dxfId="9" priority="30">
      <formula xml:space="preserve"> "تعمیر شد" = $AI3</formula>
    </cfRule>
    <cfRule type="expression" dxfId="8" priority="31">
      <formula xml:space="preserve"> "در دست تعمیر" = $AI3</formula>
    </cfRule>
  </conditionalFormatting>
  <conditionalFormatting sqref="P3:AB7">
    <cfRule type="expression" dxfId="7" priority="1">
      <formula xml:space="preserve"> "انصراف از خرید" = $AA3</formula>
    </cfRule>
    <cfRule type="expression" dxfId="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40" customWidth="1"/>
    <col min="4" max="4" width="35.85546875" customWidth="1"/>
    <col min="5" max="5" width="0.7109375" style="40" customWidth="1"/>
    <col min="6" max="6" width="36.5703125" customWidth="1"/>
    <col min="7" max="7" width="0.5703125" style="40" customWidth="1"/>
    <col min="8" max="8" width="17.28515625" customWidth="1"/>
    <col min="9" max="9" width="0.7109375" style="40" customWidth="1"/>
    <col min="10" max="10" width="22.85546875" customWidth="1"/>
    <col min="11" max="11" width="0.7109375" style="40" customWidth="1"/>
    <col min="12" max="12" width="36.5703125" customWidth="1"/>
    <col min="13" max="13" width="0.7109375" style="40" customWidth="1"/>
    <col min="14" max="14" width="36.5703125" customWidth="1"/>
    <col min="15" max="15" width="0.7109375" style="40" customWidth="1"/>
    <col min="16" max="16" width="36.5703125" customWidth="1"/>
    <col min="17" max="17" width="0.7109375" style="40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49"/>
      <c r="D1" s="40"/>
      <c r="F1" s="40"/>
      <c r="H1" s="40"/>
      <c r="J1" s="40"/>
      <c r="L1" s="40"/>
      <c r="N1" s="40"/>
      <c r="P1" s="40"/>
      <c r="R1" s="40"/>
      <c r="S1" s="40"/>
      <c r="T1" s="40"/>
      <c r="U1" s="40"/>
      <c r="V1" s="40"/>
      <c r="W1" s="40"/>
    </row>
    <row r="2" spans="1:23" s="40" customFormat="1" ht="3.75" customHeight="1"/>
    <row r="3" spans="1:23" ht="15.75">
      <c r="A3" s="297" t="s">
        <v>154</v>
      </c>
      <c r="B3" s="297"/>
      <c r="D3" s="40"/>
      <c r="F3" s="40"/>
      <c r="H3" s="40"/>
      <c r="J3" s="40"/>
      <c r="L3" s="40"/>
      <c r="N3" s="40"/>
      <c r="P3" s="47"/>
      <c r="Q3" s="47"/>
      <c r="R3" s="40"/>
      <c r="S3" s="40"/>
      <c r="T3" s="40"/>
      <c r="U3" s="40"/>
      <c r="V3" s="40"/>
      <c r="W3" s="40"/>
    </row>
    <row r="4" spans="1:23" ht="15.75" customHeight="1">
      <c r="A4" s="42" t="s">
        <v>153</v>
      </c>
      <c r="B4" s="42" t="s">
        <v>165</v>
      </c>
      <c r="D4" s="40"/>
      <c r="F4" s="40"/>
      <c r="H4" s="40"/>
      <c r="J4" s="40"/>
      <c r="L4" s="40"/>
      <c r="N4" s="40"/>
      <c r="P4" s="47"/>
      <c r="Q4" s="47"/>
      <c r="R4" s="40"/>
      <c r="S4" s="40"/>
      <c r="T4" s="40"/>
      <c r="U4" s="40"/>
      <c r="V4" s="40"/>
      <c r="W4" s="40"/>
    </row>
    <row r="5" spans="1:23" ht="15.75">
      <c r="A5" s="41">
        <v>1</v>
      </c>
      <c r="B5" s="41" t="s">
        <v>303</v>
      </c>
      <c r="D5" s="66" t="s">
        <v>303</v>
      </c>
      <c r="F5" s="66" t="s">
        <v>155</v>
      </c>
      <c r="G5" s="47"/>
      <c r="H5" s="66" t="s">
        <v>157</v>
      </c>
      <c r="I5" s="47"/>
      <c r="J5" s="66" t="s">
        <v>159</v>
      </c>
      <c r="K5" s="47"/>
      <c r="L5" s="66" t="s">
        <v>161</v>
      </c>
      <c r="N5" s="66" t="s">
        <v>162</v>
      </c>
      <c r="O5" s="47"/>
      <c r="P5" s="66" t="s">
        <v>160</v>
      </c>
      <c r="Q5" s="47"/>
      <c r="R5" s="67" t="s">
        <v>313</v>
      </c>
    </row>
    <row r="6" spans="1:23" ht="15.75">
      <c r="A6" s="41">
        <v>2</v>
      </c>
      <c r="B6" s="64" t="s">
        <v>155</v>
      </c>
      <c r="D6" s="66" t="s">
        <v>314</v>
      </c>
      <c r="F6" s="66" t="s">
        <v>156</v>
      </c>
      <c r="G6" s="47"/>
      <c r="H6" s="66" t="s">
        <v>158</v>
      </c>
      <c r="I6" s="47"/>
      <c r="J6" s="66" t="s">
        <v>315</v>
      </c>
      <c r="K6" s="47"/>
      <c r="L6" s="66" t="s">
        <v>314</v>
      </c>
      <c r="M6" s="47"/>
      <c r="N6" s="66" t="s">
        <v>150</v>
      </c>
      <c r="O6" s="47"/>
      <c r="P6" s="66" t="s">
        <v>316</v>
      </c>
      <c r="Q6" s="47"/>
      <c r="R6" s="65" t="s">
        <v>311</v>
      </c>
    </row>
    <row r="7" spans="1:23" ht="15.75">
      <c r="A7" s="41">
        <v>3</v>
      </c>
      <c r="B7" s="41" t="s">
        <v>307</v>
      </c>
      <c r="F7" s="46"/>
      <c r="G7" s="47"/>
      <c r="H7" s="46"/>
      <c r="I7" s="47"/>
      <c r="J7" s="46"/>
      <c r="K7" s="47"/>
      <c r="L7" s="66" t="s">
        <v>308</v>
      </c>
      <c r="M7" s="47"/>
      <c r="N7" s="46"/>
      <c r="O7" s="47"/>
      <c r="P7" s="46"/>
      <c r="Q7" s="47"/>
    </row>
    <row r="8" spans="1:23" ht="15.75">
      <c r="A8" s="41">
        <v>4</v>
      </c>
      <c r="B8" s="41" t="s">
        <v>304</v>
      </c>
      <c r="F8" s="46"/>
      <c r="G8" s="47"/>
      <c r="H8" s="46"/>
      <c r="I8" s="47"/>
      <c r="J8" s="46"/>
      <c r="K8" s="47"/>
      <c r="L8" s="66" t="s">
        <v>309</v>
      </c>
      <c r="M8" s="47"/>
      <c r="N8" s="46"/>
      <c r="O8" s="47"/>
      <c r="P8" s="46"/>
      <c r="Q8" s="47"/>
    </row>
    <row r="9" spans="1:23" ht="15.75">
      <c r="A9" s="41">
        <v>5</v>
      </c>
      <c r="B9" s="41" t="s">
        <v>310</v>
      </c>
      <c r="H9" s="46"/>
      <c r="I9" s="47"/>
      <c r="J9" s="46"/>
      <c r="K9" s="47"/>
      <c r="L9" s="46"/>
      <c r="M9" s="47"/>
      <c r="N9" s="46"/>
      <c r="O9" s="47"/>
    </row>
    <row r="10" spans="1:23" ht="15.75">
      <c r="A10" s="41">
        <v>6</v>
      </c>
      <c r="B10" s="41" t="s">
        <v>305</v>
      </c>
      <c r="L10" s="46"/>
    </row>
    <row r="11" spans="1:23" ht="15.75">
      <c r="A11" s="41">
        <v>7</v>
      </c>
      <c r="B11" s="41" t="s">
        <v>306</v>
      </c>
      <c r="L11" s="46"/>
    </row>
    <row r="12" spans="1:23" ht="15.75">
      <c r="A12" s="41">
        <v>8</v>
      </c>
      <c r="B12" s="41" t="s">
        <v>312</v>
      </c>
    </row>
    <row r="13" spans="1:23" ht="15.75">
      <c r="A13" s="41"/>
      <c r="B13" s="41"/>
    </row>
    <row r="14" spans="1:23" ht="15.75">
      <c r="A14" s="41"/>
      <c r="B14" s="41"/>
    </row>
    <row r="15" spans="1:23" ht="15.75">
      <c r="A15" s="41"/>
      <c r="B15" s="41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139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40" customWidth="1"/>
    <col min="4" max="4" width="17.140625" customWidth="1"/>
    <col min="5" max="5" width="0.7109375" style="59" customWidth="1"/>
    <col min="6" max="6" width="21.42578125" customWidth="1"/>
    <col min="7" max="7" width="0.7109375" style="59" customWidth="1"/>
    <col min="8" max="8" width="15.7109375" customWidth="1"/>
    <col min="9" max="9" width="0.7109375" style="59" customWidth="1"/>
    <col min="10" max="10" width="20.7109375" customWidth="1"/>
    <col min="11" max="11" width="0.7109375" style="59" customWidth="1"/>
    <col min="12" max="12" width="21.42578125" customWidth="1"/>
    <col min="13" max="13" width="0.7109375" style="59" customWidth="1"/>
    <col min="14" max="14" width="14.28515625" customWidth="1"/>
    <col min="15" max="15" width="0.7109375" style="59" customWidth="1"/>
    <col min="16" max="16" width="18.85546875" customWidth="1"/>
    <col min="17" max="17" width="0.7109375" style="59" customWidth="1"/>
    <col min="18" max="18" width="17.140625" customWidth="1"/>
    <col min="19" max="19" width="0.7109375" style="59" customWidth="1"/>
    <col min="20" max="20" width="17.140625" customWidth="1"/>
    <col min="21" max="21" width="0.7109375" style="59" customWidth="1"/>
    <col min="22" max="22" width="30.7109375" customWidth="1"/>
    <col min="23" max="23" width="0.7109375" style="59" customWidth="1"/>
    <col min="24" max="24" width="22.85546875" customWidth="1"/>
    <col min="25" max="25" width="0.7109375" style="59" customWidth="1"/>
    <col min="26" max="26" width="17.140625" customWidth="1"/>
    <col min="27" max="27" width="0.7109375" style="59" customWidth="1"/>
    <col min="28" max="28" width="22.85546875" customWidth="1"/>
    <col min="29" max="29" width="0.7109375" style="59" customWidth="1"/>
    <col min="30" max="30" width="17.140625" customWidth="1"/>
    <col min="31" max="31" width="0.7109375" style="40" customWidth="1"/>
    <col min="32" max="32" width="22.85546875" customWidth="1"/>
    <col min="33" max="33" width="0.7109375" style="40" customWidth="1"/>
    <col min="34" max="34" width="22.85546875" customWidth="1"/>
    <col min="35" max="35" width="0.7109375" style="40" customWidth="1"/>
    <col min="36" max="36" width="17.140625" customWidth="1"/>
    <col min="37" max="37" width="0.7109375" style="40" customWidth="1"/>
    <col min="38" max="38" width="22.85546875" customWidth="1"/>
    <col min="39" max="39" width="0.7109375" style="40" customWidth="1"/>
    <col min="40" max="40" width="21.42578125" customWidth="1"/>
    <col min="41" max="41" width="0.7109375" style="40" customWidth="1"/>
    <col min="42" max="42" width="17.140625" customWidth="1"/>
    <col min="43" max="43" width="0.7109375" style="40" customWidth="1"/>
    <col min="44" max="44" width="18.85546875" customWidth="1"/>
    <col min="45" max="45" width="0.7109375" style="40" customWidth="1"/>
    <col min="46" max="46" width="17.140625" customWidth="1"/>
    <col min="47" max="47" width="0.7109375" style="40" customWidth="1"/>
    <col min="48" max="48" width="17.140625" customWidth="1"/>
    <col min="49" max="49" width="0.7109375" style="40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8"/>
      <c r="D1" s="59"/>
      <c r="F1" s="40"/>
      <c r="H1" s="40"/>
      <c r="J1" s="40"/>
      <c r="L1" s="40"/>
      <c r="N1" s="59"/>
      <c r="P1" s="59"/>
      <c r="R1" s="59"/>
      <c r="T1" s="40"/>
      <c r="V1" s="40"/>
      <c r="X1" s="40"/>
      <c r="Z1" s="40"/>
      <c r="AB1" s="40"/>
      <c r="AD1" s="40"/>
      <c r="AF1" s="40"/>
      <c r="AH1" s="40"/>
      <c r="AJ1" s="40"/>
      <c r="AL1" s="40"/>
      <c r="AN1" s="40"/>
      <c r="AP1" s="40"/>
      <c r="AR1" s="40"/>
      <c r="AT1" s="40"/>
      <c r="AV1" s="40"/>
      <c r="AX1" s="40"/>
      <c r="AY1" s="40"/>
      <c r="AZ1" s="40"/>
      <c r="BA1" s="40"/>
      <c r="BB1" s="40"/>
      <c r="BC1" s="40"/>
    </row>
    <row r="2" spans="1:55" ht="18.75" customHeight="1">
      <c r="A2" s="9" t="s">
        <v>8</v>
      </c>
      <c r="B2" s="35" t="s">
        <v>115</v>
      </c>
      <c r="C2" s="48"/>
      <c r="D2" s="59"/>
      <c r="F2" s="40"/>
      <c r="H2" s="40"/>
      <c r="J2" s="40"/>
      <c r="L2" s="40"/>
      <c r="N2" s="59"/>
      <c r="P2" s="59"/>
      <c r="R2" s="59"/>
      <c r="T2" s="40"/>
      <c r="V2" s="40"/>
      <c r="X2" s="40"/>
      <c r="Z2" s="40"/>
      <c r="AB2" s="40"/>
      <c r="AD2" s="40"/>
      <c r="AF2" s="40"/>
      <c r="AH2" s="40"/>
      <c r="AJ2" s="40"/>
      <c r="AL2" s="40"/>
      <c r="AN2" s="40"/>
      <c r="AP2" s="40"/>
      <c r="AR2" s="40"/>
      <c r="AT2" s="40"/>
      <c r="AV2" s="40"/>
      <c r="AX2" s="40"/>
      <c r="AY2" s="40"/>
      <c r="AZ2" s="40"/>
      <c r="BA2" s="40"/>
      <c r="BB2" s="40"/>
      <c r="BC2" s="40"/>
    </row>
    <row r="3" spans="1:55" s="40" customFormat="1" ht="3.75" customHeight="1">
      <c r="D3" s="59"/>
      <c r="E3" s="59"/>
      <c r="G3" s="59"/>
      <c r="I3" s="59"/>
      <c r="K3" s="59"/>
      <c r="M3" s="59"/>
      <c r="N3" s="59"/>
      <c r="O3" s="59"/>
      <c r="P3" s="59"/>
      <c r="Q3" s="59"/>
      <c r="R3" s="59"/>
      <c r="S3" s="59"/>
      <c r="U3" s="59"/>
      <c r="W3" s="59"/>
      <c r="Y3" s="59"/>
      <c r="AA3" s="59"/>
      <c r="AC3" s="59"/>
    </row>
    <row r="4" spans="1:55" ht="15.75">
      <c r="A4" s="298" t="s">
        <v>163</v>
      </c>
      <c r="B4" s="298"/>
      <c r="D4" s="41" t="s">
        <v>181</v>
      </c>
      <c r="E4" s="60"/>
      <c r="F4" s="41" t="s">
        <v>185</v>
      </c>
      <c r="G4" s="60"/>
      <c r="H4" s="41" t="s">
        <v>179</v>
      </c>
      <c r="I4" s="60"/>
      <c r="J4" s="41" t="s">
        <v>169</v>
      </c>
      <c r="K4" s="60"/>
      <c r="L4" s="41" t="s">
        <v>168</v>
      </c>
      <c r="M4" s="60"/>
      <c r="N4" s="41" t="s">
        <v>170</v>
      </c>
      <c r="O4" s="60"/>
      <c r="P4" s="41" t="s">
        <v>174</v>
      </c>
      <c r="Q4" s="60"/>
      <c r="R4" s="41" t="s">
        <v>180</v>
      </c>
      <c r="S4" s="60"/>
      <c r="T4" s="41" t="s">
        <v>195</v>
      </c>
      <c r="U4" s="60"/>
      <c r="V4" s="41" t="s">
        <v>178</v>
      </c>
      <c r="W4" s="60"/>
      <c r="X4" s="41" t="s">
        <v>257</v>
      </c>
      <c r="Y4" s="60"/>
      <c r="Z4" s="41" t="s">
        <v>182</v>
      </c>
      <c r="AA4" s="60"/>
      <c r="AB4" s="41" t="s">
        <v>199</v>
      </c>
      <c r="AC4" s="60"/>
      <c r="AD4" s="41" t="s">
        <v>267</v>
      </c>
      <c r="AE4" s="61"/>
      <c r="AF4" s="41" t="s">
        <v>270</v>
      </c>
      <c r="AG4" s="61"/>
      <c r="AH4" s="41" t="s">
        <v>272</v>
      </c>
      <c r="AI4" s="61"/>
      <c r="AJ4" s="41" t="s">
        <v>172</v>
      </c>
      <c r="AK4" s="61"/>
      <c r="AL4" s="41" t="s">
        <v>221</v>
      </c>
      <c r="AM4" s="61"/>
      <c r="AN4" s="41" t="s">
        <v>235</v>
      </c>
      <c r="AO4" s="61"/>
      <c r="AP4" s="41" t="s">
        <v>171</v>
      </c>
      <c r="AQ4" s="61"/>
      <c r="AR4" s="41" t="s">
        <v>273</v>
      </c>
      <c r="AS4" s="61"/>
      <c r="AT4" s="41" t="s">
        <v>240</v>
      </c>
      <c r="AU4" s="61"/>
      <c r="AV4" s="41" t="s">
        <v>173</v>
      </c>
      <c r="AW4" s="47"/>
      <c r="AX4" s="46" t="s">
        <v>167</v>
      </c>
      <c r="AY4" s="46"/>
      <c r="AZ4" s="46"/>
      <c r="BA4" s="46"/>
    </row>
    <row r="5" spans="1:55" ht="15.75">
      <c r="A5" s="41" t="s">
        <v>164</v>
      </c>
      <c r="B5" s="41" t="s">
        <v>166</v>
      </c>
      <c r="D5" s="41" t="s">
        <v>260</v>
      </c>
      <c r="E5" s="60"/>
      <c r="F5" s="41" t="s">
        <v>190</v>
      </c>
      <c r="G5" s="60"/>
      <c r="H5" s="41" t="s">
        <v>209</v>
      </c>
      <c r="I5" s="60"/>
      <c r="J5" s="41" t="s">
        <v>214</v>
      </c>
      <c r="K5" s="60"/>
      <c r="L5" s="41" t="s">
        <v>218</v>
      </c>
      <c r="M5" s="60"/>
      <c r="N5" s="41" t="s">
        <v>196</v>
      </c>
      <c r="O5" s="60"/>
      <c r="P5" s="41" t="s">
        <v>263</v>
      </c>
      <c r="Q5" s="60"/>
      <c r="R5" s="41" t="s">
        <v>231</v>
      </c>
      <c r="S5" s="60"/>
      <c r="T5" s="41" t="s">
        <v>200</v>
      </c>
      <c r="U5" s="60"/>
      <c r="V5" s="41" t="s">
        <v>205</v>
      </c>
      <c r="W5" s="60"/>
      <c r="X5" s="41" t="s">
        <v>264</v>
      </c>
      <c r="Y5" s="60"/>
      <c r="Z5" s="41" t="s">
        <v>265</v>
      </c>
      <c r="AA5" s="60"/>
      <c r="AB5" s="41" t="s">
        <v>262</v>
      </c>
      <c r="AC5" s="60"/>
      <c r="AD5" s="41" t="s">
        <v>276</v>
      </c>
      <c r="AE5" s="61"/>
      <c r="AF5" s="41" t="s">
        <v>271</v>
      </c>
      <c r="AG5" s="61"/>
      <c r="AH5" s="41" t="s">
        <v>299</v>
      </c>
      <c r="AI5" s="61"/>
      <c r="AJ5" s="41" t="s">
        <v>249</v>
      </c>
      <c r="AK5" s="61"/>
      <c r="AL5" s="41" t="s">
        <v>247</v>
      </c>
      <c r="AM5" s="61"/>
      <c r="AN5" s="41" t="s">
        <v>237</v>
      </c>
      <c r="AO5" s="61"/>
      <c r="AP5" s="41" t="s">
        <v>195</v>
      </c>
      <c r="AQ5" s="61"/>
      <c r="AR5" s="41" t="s">
        <v>274</v>
      </c>
      <c r="AS5" s="61"/>
      <c r="AT5" s="41" t="s">
        <v>242</v>
      </c>
      <c r="AU5" s="61"/>
      <c r="AV5" s="41" t="s">
        <v>252</v>
      </c>
      <c r="AW5" s="47"/>
      <c r="AX5" s="46" t="s">
        <v>295</v>
      </c>
      <c r="AY5" s="46"/>
      <c r="AZ5" s="46"/>
      <c r="BA5" s="46"/>
    </row>
    <row r="6" spans="1:55" ht="15.75">
      <c r="A6" s="41">
        <v>1</v>
      </c>
      <c r="B6" s="57" t="s">
        <v>181</v>
      </c>
      <c r="D6" s="41" t="s">
        <v>261</v>
      </c>
      <c r="E6" s="60"/>
      <c r="F6" s="41" t="s">
        <v>189</v>
      </c>
      <c r="G6" s="60"/>
      <c r="H6" s="41" t="s">
        <v>210</v>
      </c>
      <c r="I6" s="60"/>
      <c r="J6" s="41" t="s">
        <v>217</v>
      </c>
      <c r="K6" s="60"/>
      <c r="L6" s="41" t="s">
        <v>219</v>
      </c>
      <c r="M6" s="60"/>
      <c r="N6" s="41" t="s">
        <v>195</v>
      </c>
      <c r="O6" s="60"/>
      <c r="P6" s="41" t="s">
        <v>150</v>
      </c>
      <c r="Q6" s="60"/>
      <c r="R6" s="41" t="s">
        <v>232</v>
      </c>
      <c r="S6" s="60"/>
      <c r="T6" s="41" t="s">
        <v>204</v>
      </c>
      <c r="U6" s="60"/>
      <c r="V6" s="41" t="s">
        <v>206</v>
      </c>
      <c r="W6" s="60"/>
      <c r="X6" s="41" t="s">
        <v>150</v>
      </c>
      <c r="Y6" s="60"/>
      <c r="Z6" s="41" t="s">
        <v>266</v>
      </c>
      <c r="AA6" s="60"/>
      <c r="AB6" s="41" t="s">
        <v>227</v>
      </c>
      <c r="AC6" s="60"/>
      <c r="AD6" s="41" t="s">
        <v>275</v>
      </c>
      <c r="AE6" s="61"/>
      <c r="AF6" s="41" t="s">
        <v>298</v>
      </c>
      <c r="AG6" s="61"/>
      <c r="AH6" s="41" t="s">
        <v>314</v>
      </c>
      <c r="AI6" s="61"/>
      <c r="AJ6" s="41" t="s">
        <v>248</v>
      </c>
      <c r="AK6" s="61"/>
      <c r="AL6" s="41" t="s">
        <v>222</v>
      </c>
      <c r="AM6" s="61"/>
      <c r="AN6" s="41" t="s">
        <v>236</v>
      </c>
      <c r="AO6" s="61"/>
      <c r="AP6" s="41" t="s">
        <v>244</v>
      </c>
      <c r="AQ6" s="61"/>
      <c r="AR6" s="41" t="s">
        <v>300</v>
      </c>
      <c r="AS6" s="61"/>
      <c r="AT6" s="41" t="s">
        <v>241</v>
      </c>
      <c r="AU6" s="61"/>
      <c r="AV6" s="41" t="s">
        <v>253</v>
      </c>
      <c r="AW6" s="47"/>
      <c r="AX6" s="46" t="s">
        <v>294</v>
      </c>
      <c r="AY6" s="46"/>
      <c r="AZ6" s="46"/>
      <c r="BA6" s="46"/>
    </row>
    <row r="7" spans="1:55" ht="15.75">
      <c r="A7" s="41">
        <v>2</v>
      </c>
      <c r="B7" s="58" t="s">
        <v>279</v>
      </c>
      <c r="D7" s="41" t="s">
        <v>258</v>
      </c>
      <c r="E7" s="60"/>
      <c r="F7" s="41" t="s">
        <v>188</v>
      </c>
      <c r="G7" s="60"/>
      <c r="H7" s="41" t="s">
        <v>211</v>
      </c>
      <c r="I7" s="60"/>
      <c r="J7" s="41" t="s">
        <v>215</v>
      </c>
      <c r="K7" s="60"/>
      <c r="L7" s="41"/>
      <c r="M7" s="60"/>
      <c r="N7" s="41" t="s">
        <v>197</v>
      </c>
      <c r="O7" s="60"/>
      <c r="P7" s="41"/>
      <c r="Q7" s="60"/>
      <c r="R7" s="41" t="s">
        <v>233</v>
      </c>
      <c r="S7" s="60"/>
      <c r="T7" s="41" t="s">
        <v>201</v>
      </c>
      <c r="U7" s="60"/>
      <c r="V7" s="41" t="s">
        <v>207</v>
      </c>
      <c r="W7" s="60"/>
      <c r="X7" s="41"/>
      <c r="Y7" s="60"/>
      <c r="Z7" s="41"/>
      <c r="AA7" s="60"/>
      <c r="AB7" s="41"/>
      <c r="AC7" s="60"/>
      <c r="AD7" s="41" t="s">
        <v>268</v>
      </c>
      <c r="AE7" s="61"/>
      <c r="AF7" s="41"/>
      <c r="AG7" s="61"/>
      <c r="AH7" s="41"/>
      <c r="AI7" s="61"/>
      <c r="AJ7" s="41"/>
      <c r="AK7" s="61"/>
      <c r="AL7" s="41" t="s">
        <v>223</v>
      </c>
      <c r="AM7" s="61"/>
      <c r="AN7" s="41" t="s">
        <v>238</v>
      </c>
      <c r="AO7" s="61"/>
      <c r="AP7" s="41" t="s">
        <v>245</v>
      </c>
      <c r="AQ7" s="61"/>
      <c r="AR7" s="41"/>
      <c r="AS7" s="61"/>
      <c r="AT7" s="41" t="s">
        <v>243</v>
      </c>
      <c r="AU7" s="61"/>
      <c r="AV7" s="41" t="s">
        <v>254</v>
      </c>
      <c r="AW7" s="47"/>
      <c r="AX7" s="46" t="s">
        <v>296</v>
      </c>
      <c r="AY7" s="46"/>
      <c r="AZ7" s="46"/>
      <c r="BA7" s="46"/>
    </row>
    <row r="8" spans="1:55" ht="15.75">
      <c r="A8" s="41">
        <v>3</v>
      </c>
      <c r="B8" s="58" t="s">
        <v>280</v>
      </c>
      <c r="D8" s="41" t="s">
        <v>259</v>
      </c>
      <c r="E8" s="60"/>
      <c r="F8" s="41" t="s">
        <v>186</v>
      </c>
      <c r="G8" s="60"/>
      <c r="H8" s="41" t="s">
        <v>212</v>
      </c>
      <c r="I8" s="60"/>
      <c r="J8" s="41" t="s">
        <v>220</v>
      </c>
      <c r="K8" s="60"/>
      <c r="L8" s="41"/>
      <c r="M8" s="60"/>
      <c r="N8" s="41" t="s">
        <v>198</v>
      </c>
      <c r="O8" s="60"/>
      <c r="P8" s="41"/>
      <c r="Q8" s="60"/>
      <c r="R8" s="41" t="s">
        <v>234</v>
      </c>
      <c r="S8" s="60"/>
      <c r="T8" s="41" t="s">
        <v>202</v>
      </c>
      <c r="U8" s="60"/>
      <c r="V8" s="41" t="s">
        <v>208</v>
      </c>
      <c r="W8" s="60"/>
      <c r="X8" s="41"/>
      <c r="Y8" s="60"/>
      <c r="Z8" s="41"/>
      <c r="AA8" s="60"/>
      <c r="AB8" s="41"/>
      <c r="AC8" s="60"/>
      <c r="AD8" s="41" t="s">
        <v>269</v>
      </c>
      <c r="AE8" s="61"/>
      <c r="AF8" s="41"/>
      <c r="AG8" s="61"/>
      <c r="AH8" s="41"/>
      <c r="AI8" s="61"/>
      <c r="AJ8" s="41"/>
      <c r="AK8" s="61"/>
      <c r="AL8" s="41" t="s">
        <v>224</v>
      </c>
      <c r="AM8" s="61"/>
      <c r="AN8" s="41" t="s">
        <v>239</v>
      </c>
      <c r="AO8" s="61"/>
      <c r="AP8" s="41" t="s">
        <v>246</v>
      </c>
      <c r="AQ8" s="61"/>
      <c r="AR8" s="41"/>
      <c r="AS8" s="61"/>
      <c r="AT8" s="41"/>
      <c r="AU8" s="61"/>
      <c r="AV8" s="41" t="s">
        <v>250</v>
      </c>
      <c r="AW8" s="47"/>
      <c r="AX8" s="46"/>
      <c r="AY8" s="46"/>
      <c r="AZ8" s="46"/>
      <c r="BA8" s="46"/>
    </row>
    <row r="9" spans="1:55" ht="15.75">
      <c r="A9" s="41">
        <v>4</v>
      </c>
      <c r="B9" s="57" t="s">
        <v>281</v>
      </c>
      <c r="D9" s="41"/>
      <c r="E9" s="60"/>
      <c r="F9" s="41" t="s">
        <v>187</v>
      </c>
      <c r="G9" s="60"/>
      <c r="H9" s="41" t="s">
        <v>213</v>
      </c>
      <c r="I9" s="60"/>
      <c r="J9" s="41" t="s">
        <v>216</v>
      </c>
      <c r="K9" s="60"/>
      <c r="L9" s="41"/>
      <c r="M9" s="60"/>
      <c r="N9" s="41"/>
      <c r="O9" s="60"/>
      <c r="P9" s="41"/>
      <c r="Q9" s="60"/>
      <c r="R9" s="41"/>
      <c r="S9" s="60"/>
      <c r="T9" s="41" t="s">
        <v>203</v>
      </c>
      <c r="U9" s="60"/>
      <c r="V9" s="41"/>
      <c r="W9" s="60"/>
      <c r="X9" s="41"/>
      <c r="Y9" s="60"/>
      <c r="Z9" s="41"/>
      <c r="AA9" s="60"/>
      <c r="AB9" s="41"/>
      <c r="AC9" s="60"/>
      <c r="AD9" s="41"/>
      <c r="AE9" s="61"/>
      <c r="AF9" s="41"/>
      <c r="AG9" s="61"/>
      <c r="AH9" s="41"/>
      <c r="AI9" s="61"/>
      <c r="AJ9" s="41"/>
      <c r="AK9" s="61"/>
      <c r="AL9" s="41" t="s">
        <v>230</v>
      </c>
      <c r="AM9" s="61"/>
      <c r="AN9" s="41"/>
      <c r="AO9" s="61"/>
      <c r="AP9" s="41"/>
      <c r="AQ9" s="61"/>
      <c r="AR9" s="41"/>
      <c r="AS9" s="61"/>
      <c r="AT9" s="41"/>
      <c r="AU9" s="61"/>
      <c r="AV9" s="41" t="s">
        <v>251</v>
      </c>
      <c r="AW9" s="47"/>
      <c r="AX9" s="46"/>
      <c r="AY9" s="46"/>
      <c r="AZ9" s="46"/>
      <c r="BA9" s="46"/>
    </row>
    <row r="10" spans="1:55" ht="15.75">
      <c r="A10" s="41">
        <v>5</v>
      </c>
      <c r="B10" s="57" t="s">
        <v>282</v>
      </c>
      <c r="D10" s="41"/>
      <c r="E10" s="60"/>
      <c r="F10" s="41" t="s">
        <v>191</v>
      </c>
      <c r="G10" s="60"/>
      <c r="H10" s="41"/>
      <c r="I10" s="60"/>
      <c r="J10" s="41"/>
      <c r="K10" s="60"/>
      <c r="L10" s="41"/>
      <c r="M10" s="60"/>
      <c r="N10" s="41"/>
      <c r="O10" s="60"/>
      <c r="P10" s="41"/>
      <c r="Q10" s="60"/>
      <c r="R10" s="41"/>
      <c r="S10" s="60"/>
      <c r="T10" s="41"/>
      <c r="U10" s="60"/>
      <c r="V10" s="41"/>
      <c r="W10" s="60"/>
      <c r="X10" s="41"/>
      <c r="Y10" s="60"/>
      <c r="Z10" s="41"/>
      <c r="AA10" s="60"/>
      <c r="AB10" s="41"/>
      <c r="AC10" s="60"/>
      <c r="AD10" s="41"/>
      <c r="AE10" s="61"/>
      <c r="AF10" s="41"/>
      <c r="AG10" s="61"/>
      <c r="AH10" s="41"/>
      <c r="AI10" s="61"/>
      <c r="AJ10" s="41"/>
      <c r="AK10" s="61"/>
      <c r="AL10" s="41" t="s">
        <v>225</v>
      </c>
      <c r="AM10" s="61"/>
      <c r="AN10" s="41"/>
      <c r="AO10" s="61"/>
      <c r="AP10" s="41"/>
      <c r="AQ10" s="61"/>
      <c r="AR10" s="41"/>
      <c r="AS10" s="61"/>
      <c r="AT10" s="41"/>
      <c r="AU10" s="61"/>
      <c r="AV10" s="41" t="s">
        <v>255</v>
      </c>
      <c r="AW10" s="47"/>
      <c r="AX10" s="46"/>
      <c r="AY10" s="46"/>
      <c r="AZ10" s="46"/>
      <c r="BA10" s="46"/>
    </row>
    <row r="11" spans="1:55" ht="15.75">
      <c r="A11" s="41">
        <v>6</v>
      </c>
      <c r="B11" s="58" t="s">
        <v>170</v>
      </c>
      <c r="D11" s="41"/>
      <c r="E11" s="60"/>
      <c r="F11" s="41" t="s">
        <v>194</v>
      </c>
      <c r="G11" s="60"/>
      <c r="H11" s="41"/>
      <c r="I11" s="60"/>
      <c r="J11" s="41"/>
      <c r="K11" s="60"/>
      <c r="L11" s="41"/>
      <c r="M11" s="60"/>
      <c r="N11" s="41"/>
      <c r="O11" s="60"/>
      <c r="P11" s="41"/>
      <c r="Q11" s="60"/>
      <c r="R11" s="41"/>
      <c r="S11" s="60"/>
      <c r="T11" s="41"/>
      <c r="U11" s="60"/>
      <c r="V11" s="41"/>
      <c r="W11" s="60"/>
      <c r="X11" s="41"/>
      <c r="Y11" s="60"/>
      <c r="Z11" s="41"/>
      <c r="AA11" s="60"/>
      <c r="AB11" s="41"/>
      <c r="AC11" s="60"/>
      <c r="AD11" s="41"/>
      <c r="AE11" s="61"/>
      <c r="AF11" s="41"/>
      <c r="AG11" s="61"/>
      <c r="AH11" s="41"/>
      <c r="AI11" s="61"/>
      <c r="AJ11" s="41"/>
      <c r="AK11" s="61"/>
      <c r="AL11" s="41" t="s">
        <v>229</v>
      </c>
      <c r="AM11" s="61"/>
      <c r="AN11" s="41"/>
      <c r="AO11" s="61"/>
      <c r="AP11" s="41"/>
      <c r="AQ11" s="61"/>
      <c r="AR11" s="41"/>
      <c r="AS11" s="61"/>
      <c r="AT11" s="41"/>
      <c r="AU11" s="61"/>
      <c r="AV11" s="41" t="s">
        <v>256</v>
      </c>
      <c r="AW11" s="47"/>
      <c r="AX11" s="46"/>
      <c r="AY11" s="46"/>
      <c r="AZ11" s="46"/>
      <c r="BA11" s="46"/>
    </row>
    <row r="12" spans="1:55" ht="15.75">
      <c r="A12" s="41">
        <v>7</v>
      </c>
      <c r="B12" s="58" t="s">
        <v>283</v>
      </c>
      <c r="D12" s="41"/>
      <c r="E12" s="60"/>
      <c r="F12" s="41" t="s">
        <v>192</v>
      </c>
      <c r="G12" s="60"/>
      <c r="H12" s="41"/>
      <c r="I12" s="60"/>
      <c r="J12" s="41"/>
      <c r="K12" s="60"/>
      <c r="L12" s="41"/>
      <c r="M12" s="60"/>
      <c r="N12" s="41"/>
      <c r="O12" s="60"/>
      <c r="P12" s="41"/>
      <c r="Q12" s="60"/>
      <c r="R12" s="41"/>
      <c r="S12" s="60"/>
      <c r="T12" s="41"/>
      <c r="U12" s="60"/>
      <c r="V12" s="41"/>
      <c r="W12" s="60"/>
      <c r="X12" s="41"/>
      <c r="Y12" s="60"/>
      <c r="Z12" s="41"/>
      <c r="AA12" s="60"/>
      <c r="AB12" s="41"/>
      <c r="AC12" s="60"/>
      <c r="AD12" s="41"/>
      <c r="AE12" s="61"/>
      <c r="AF12" s="41"/>
      <c r="AG12" s="61"/>
      <c r="AH12" s="41"/>
      <c r="AI12" s="61"/>
      <c r="AJ12" s="41"/>
      <c r="AK12" s="61"/>
      <c r="AL12" s="41" t="s">
        <v>244</v>
      </c>
      <c r="AM12" s="61"/>
      <c r="AN12" s="41"/>
      <c r="AO12" s="61"/>
      <c r="AP12" s="41"/>
      <c r="AQ12" s="61"/>
      <c r="AR12" s="41"/>
      <c r="AS12" s="61"/>
      <c r="AT12" s="41"/>
      <c r="AU12" s="61"/>
      <c r="AV12" s="41"/>
      <c r="AW12" s="47"/>
      <c r="AX12" s="46"/>
      <c r="AY12" s="46"/>
      <c r="AZ12" s="46"/>
      <c r="BA12" s="46"/>
    </row>
    <row r="13" spans="1:55" ht="15.75">
      <c r="A13" s="41">
        <v>8</v>
      </c>
      <c r="B13" s="58" t="s">
        <v>284</v>
      </c>
      <c r="D13" s="41"/>
      <c r="E13" s="60"/>
      <c r="F13" s="41" t="s">
        <v>193</v>
      </c>
      <c r="G13" s="60"/>
      <c r="H13" s="41"/>
      <c r="I13" s="60"/>
      <c r="J13" s="41"/>
      <c r="K13" s="60"/>
      <c r="L13" s="41"/>
      <c r="M13" s="60"/>
      <c r="N13" s="41"/>
      <c r="O13" s="60"/>
      <c r="P13" s="41"/>
      <c r="Q13" s="60"/>
      <c r="R13" s="41"/>
      <c r="S13" s="62"/>
      <c r="T13" s="41"/>
      <c r="U13" s="60"/>
      <c r="V13" s="41"/>
      <c r="W13" s="60"/>
      <c r="X13" s="41"/>
      <c r="Y13" s="60"/>
      <c r="Z13" s="41"/>
      <c r="AA13" s="60"/>
      <c r="AB13" s="41"/>
      <c r="AC13" s="60"/>
      <c r="AD13" s="41"/>
      <c r="AE13" s="61"/>
      <c r="AF13" s="41"/>
      <c r="AG13" s="61"/>
      <c r="AH13" s="41"/>
      <c r="AI13" s="61"/>
      <c r="AJ13" s="41"/>
      <c r="AK13" s="61"/>
      <c r="AL13" s="41" t="s">
        <v>228</v>
      </c>
      <c r="AM13" s="61"/>
      <c r="AN13" s="41"/>
      <c r="AO13" s="61"/>
      <c r="AP13" s="41"/>
      <c r="AQ13" s="61"/>
      <c r="AR13" s="41"/>
      <c r="AS13" s="61"/>
      <c r="AT13" s="41"/>
      <c r="AU13" s="61"/>
      <c r="AV13" s="41"/>
      <c r="AW13" s="47"/>
      <c r="AX13" s="46"/>
      <c r="AY13" s="46"/>
      <c r="AZ13" s="46"/>
      <c r="BA13" s="46"/>
    </row>
    <row r="14" spans="1:55" ht="15.75">
      <c r="A14" s="41">
        <v>9</v>
      </c>
      <c r="B14" s="57" t="s">
        <v>195</v>
      </c>
      <c r="D14" s="41"/>
      <c r="E14" s="60"/>
      <c r="F14" s="41"/>
      <c r="G14" s="60"/>
      <c r="H14" s="41"/>
      <c r="I14" s="60"/>
      <c r="J14" s="41"/>
      <c r="K14" s="60"/>
      <c r="L14" s="41"/>
      <c r="M14" s="60"/>
      <c r="N14" s="41"/>
      <c r="O14" s="60"/>
      <c r="P14" s="41"/>
      <c r="Q14" s="60"/>
      <c r="R14" s="41"/>
      <c r="S14" s="60"/>
      <c r="T14" s="41"/>
      <c r="U14" s="60"/>
      <c r="V14" s="41"/>
      <c r="W14" s="60"/>
      <c r="X14" s="41"/>
      <c r="Y14" s="60"/>
      <c r="Z14" s="41"/>
      <c r="AA14" s="60"/>
      <c r="AB14" s="41"/>
      <c r="AC14" s="60"/>
      <c r="AD14" s="41"/>
      <c r="AE14" s="61"/>
      <c r="AF14" s="41"/>
      <c r="AG14" s="61"/>
      <c r="AH14" s="41"/>
      <c r="AI14" s="61"/>
      <c r="AJ14" s="41"/>
      <c r="AK14" s="61"/>
      <c r="AL14" s="41" t="s">
        <v>226</v>
      </c>
      <c r="AM14" s="61"/>
      <c r="AN14" s="41"/>
      <c r="AO14" s="61"/>
      <c r="AP14" s="41"/>
      <c r="AQ14" s="61"/>
      <c r="AR14" s="41"/>
      <c r="AS14" s="61"/>
      <c r="AT14" s="41"/>
      <c r="AU14" s="61"/>
      <c r="AV14" s="41"/>
      <c r="AW14" s="47"/>
      <c r="AX14" s="46"/>
      <c r="AY14" s="46"/>
      <c r="AZ14" s="46"/>
      <c r="BA14" s="46"/>
    </row>
    <row r="15" spans="1:55" ht="15.75">
      <c r="A15" s="41">
        <v>10</v>
      </c>
      <c r="B15" s="58" t="s">
        <v>285</v>
      </c>
      <c r="D15" s="41"/>
      <c r="E15" s="60"/>
      <c r="F15" s="41"/>
      <c r="G15" s="60"/>
      <c r="H15" s="41"/>
      <c r="I15" s="60"/>
      <c r="J15" s="41"/>
      <c r="K15" s="60"/>
      <c r="L15" s="41"/>
      <c r="M15" s="60"/>
      <c r="N15" s="41"/>
      <c r="O15" s="60"/>
      <c r="P15" s="41"/>
      <c r="Q15" s="60"/>
      <c r="R15" s="41"/>
      <c r="S15" s="60"/>
      <c r="T15" s="41"/>
      <c r="U15" s="60"/>
      <c r="V15" s="41"/>
      <c r="W15" s="60"/>
      <c r="X15" s="41"/>
      <c r="Y15" s="60"/>
      <c r="Z15" s="41"/>
      <c r="AA15" s="60"/>
      <c r="AB15" s="41"/>
      <c r="AC15" s="60"/>
      <c r="AD15" s="41"/>
      <c r="AE15" s="61"/>
      <c r="AF15" s="41"/>
      <c r="AG15" s="61"/>
      <c r="AH15" s="41"/>
      <c r="AI15" s="61"/>
      <c r="AJ15" s="41"/>
      <c r="AK15" s="61"/>
      <c r="AL15" s="41" t="s">
        <v>227</v>
      </c>
      <c r="AM15" s="61"/>
      <c r="AN15" s="41"/>
      <c r="AO15" s="61"/>
      <c r="AP15" s="41"/>
      <c r="AQ15" s="61"/>
      <c r="AR15" s="41"/>
      <c r="AS15" s="61"/>
      <c r="AT15" s="41"/>
      <c r="AU15" s="61"/>
      <c r="AV15" s="41"/>
      <c r="AW15" s="47"/>
      <c r="AX15" s="46"/>
      <c r="AY15" s="46"/>
      <c r="AZ15" s="46"/>
      <c r="BA15" s="46"/>
    </row>
    <row r="16" spans="1:55" ht="15.75">
      <c r="A16" s="41">
        <v>11</v>
      </c>
      <c r="B16" s="58" t="s">
        <v>278</v>
      </c>
      <c r="D16" s="41"/>
      <c r="E16" s="60"/>
      <c r="F16" s="41"/>
      <c r="G16" s="60"/>
      <c r="H16" s="41"/>
      <c r="I16" s="60"/>
      <c r="J16" s="41"/>
      <c r="K16" s="60"/>
      <c r="L16" s="41"/>
      <c r="M16" s="60"/>
      <c r="N16" s="41"/>
      <c r="O16" s="60"/>
      <c r="P16" s="41"/>
      <c r="Q16" s="60"/>
      <c r="R16" s="41"/>
      <c r="S16" s="60"/>
      <c r="T16" s="41"/>
      <c r="U16" s="60"/>
      <c r="V16" s="41"/>
      <c r="W16" s="60"/>
      <c r="X16" s="41"/>
      <c r="Y16" s="60"/>
      <c r="Z16" s="41"/>
      <c r="AA16" s="60"/>
      <c r="AB16" s="41"/>
      <c r="AC16" s="60"/>
      <c r="AD16" s="41"/>
      <c r="AE16" s="61"/>
      <c r="AF16" s="41"/>
      <c r="AG16" s="61"/>
      <c r="AH16" s="41"/>
      <c r="AI16" s="61"/>
      <c r="AJ16" s="41"/>
      <c r="AK16" s="61"/>
      <c r="AL16" s="41"/>
      <c r="AM16" s="61"/>
      <c r="AN16" s="41"/>
      <c r="AO16" s="61"/>
      <c r="AP16" s="41"/>
      <c r="AQ16" s="61"/>
      <c r="AR16" s="41"/>
      <c r="AS16" s="61"/>
      <c r="AT16" s="41"/>
      <c r="AU16" s="61"/>
      <c r="AV16" s="41"/>
      <c r="AW16" s="47"/>
      <c r="AX16" s="46"/>
      <c r="AY16" s="46"/>
      <c r="AZ16" s="46"/>
      <c r="BA16" s="46"/>
    </row>
    <row r="17" spans="1:53" ht="15.75">
      <c r="A17" s="41">
        <v>12</v>
      </c>
      <c r="B17" s="58" t="s">
        <v>182</v>
      </c>
      <c r="D17" s="46"/>
      <c r="E17" s="63"/>
      <c r="F17" s="46"/>
      <c r="G17" s="63"/>
      <c r="H17" s="46"/>
      <c r="I17" s="63"/>
      <c r="J17" s="46"/>
      <c r="K17" s="63"/>
      <c r="L17" s="46"/>
      <c r="M17" s="63"/>
      <c r="N17" s="46"/>
      <c r="O17" s="63"/>
      <c r="P17" s="46"/>
      <c r="Q17" s="63"/>
      <c r="R17" s="46"/>
      <c r="S17" s="63"/>
      <c r="T17" s="46"/>
      <c r="U17" s="63"/>
      <c r="V17" s="46"/>
      <c r="W17" s="63"/>
      <c r="X17" s="46"/>
      <c r="Y17" s="63"/>
      <c r="Z17" s="46"/>
      <c r="AA17" s="63"/>
      <c r="AB17" s="46"/>
      <c r="AC17" s="63"/>
      <c r="AD17" s="46"/>
      <c r="AE17" s="47"/>
      <c r="AF17" s="46"/>
      <c r="AG17" s="47"/>
      <c r="AH17" s="46"/>
      <c r="AI17" s="47"/>
      <c r="AJ17" s="46"/>
      <c r="AK17" s="47"/>
      <c r="AL17" s="46"/>
      <c r="AM17" s="47"/>
      <c r="AN17" s="46"/>
      <c r="AO17" s="47"/>
      <c r="AP17" s="46"/>
      <c r="AQ17" s="47"/>
      <c r="AR17" s="46"/>
      <c r="AS17" s="47"/>
      <c r="AT17" s="46"/>
      <c r="AU17" s="47"/>
      <c r="AV17" s="46"/>
      <c r="AW17" s="47"/>
      <c r="AX17" s="46"/>
      <c r="AY17" s="46"/>
      <c r="AZ17" s="46"/>
      <c r="BA17" s="46"/>
    </row>
    <row r="18" spans="1:53" ht="15.75">
      <c r="A18" s="41">
        <v>13</v>
      </c>
      <c r="B18" s="57" t="s">
        <v>199</v>
      </c>
      <c r="D18" s="46"/>
      <c r="E18" s="63"/>
      <c r="F18" s="46"/>
      <c r="G18" s="63"/>
      <c r="H18" s="46"/>
      <c r="I18" s="63"/>
      <c r="J18" s="46"/>
      <c r="K18" s="63"/>
      <c r="L18" s="46"/>
      <c r="M18" s="63"/>
      <c r="N18" s="46"/>
      <c r="O18" s="63"/>
      <c r="P18" s="46"/>
      <c r="Q18" s="63"/>
      <c r="R18" s="46"/>
      <c r="S18" s="63"/>
      <c r="T18" s="46"/>
      <c r="U18" s="63"/>
      <c r="V18" s="46"/>
      <c r="W18" s="63"/>
      <c r="X18" s="46"/>
      <c r="Y18" s="63"/>
      <c r="Z18" s="46"/>
      <c r="AA18" s="63"/>
      <c r="AB18" s="46"/>
      <c r="AC18" s="63"/>
      <c r="AD18" s="46"/>
      <c r="AE18" s="47"/>
      <c r="AF18" s="46"/>
      <c r="AG18" s="47"/>
      <c r="AH18" s="46"/>
      <c r="AI18" s="47"/>
      <c r="AJ18" s="46"/>
      <c r="AK18" s="47"/>
      <c r="AL18" s="46"/>
      <c r="AM18" s="47"/>
      <c r="AN18" s="46"/>
      <c r="AO18" s="47"/>
      <c r="AP18" s="46"/>
      <c r="AQ18" s="47"/>
      <c r="AR18" s="46"/>
      <c r="AS18" s="47"/>
      <c r="AT18" s="46"/>
      <c r="AU18" s="47"/>
      <c r="AV18" s="46"/>
      <c r="AW18" s="47"/>
      <c r="AX18" s="46"/>
      <c r="AY18" s="46"/>
      <c r="AZ18" s="46"/>
      <c r="BA18" s="46"/>
    </row>
    <row r="19" spans="1:53" ht="15.75">
      <c r="A19" s="41">
        <v>14</v>
      </c>
      <c r="B19" s="58" t="s">
        <v>286</v>
      </c>
      <c r="D19" s="46"/>
      <c r="E19" s="63"/>
      <c r="F19" s="46"/>
      <c r="G19" s="63"/>
      <c r="H19" s="46"/>
      <c r="I19" s="63"/>
      <c r="J19" s="46"/>
      <c r="K19" s="63"/>
      <c r="L19" s="46"/>
      <c r="M19" s="63"/>
      <c r="N19" s="46"/>
      <c r="O19" s="63"/>
      <c r="P19" s="46"/>
      <c r="Q19" s="63"/>
      <c r="R19" s="46"/>
      <c r="S19" s="63"/>
      <c r="T19" s="46"/>
      <c r="U19" s="63"/>
      <c r="V19" s="46"/>
      <c r="W19" s="63"/>
      <c r="X19" s="46"/>
      <c r="Y19" s="63"/>
      <c r="Z19" s="46"/>
      <c r="AA19" s="63"/>
      <c r="AB19" s="46"/>
      <c r="AC19" s="63"/>
      <c r="AD19" s="46"/>
      <c r="AE19" s="47"/>
      <c r="AF19" s="46"/>
      <c r="AG19" s="47"/>
      <c r="AH19" s="46"/>
      <c r="AI19" s="47"/>
      <c r="AJ19" s="46"/>
      <c r="AK19" s="47"/>
      <c r="AL19" s="46"/>
      <c r="AM19" s="47"/>
      <c r="AN19" s="46"/>
      <c r="AO19" s="47"/>
      <c r="AP19" s="46"/>
      <c r="AQ19" s="47"/>
      <c r="AR19" s="46"/>
      <c r="AS19" s="47"/>
      <c r="AT19" s="46"/>
      <c r="AU19" s="47"/>
      <c r="AV19" s="46"/>
      <c r="AW19" s="47"/>
      <c r="AX19" s="46"/>
      <c r="AY19" s="46"/>
      <c r="AZ19" s="46"/>
      <c r="BA19" s="46"/>
    </row>
    <row r="20" spans="1:53" ht="15.75">
      <c r="A20" s="41">
        <v>15</v>
      </c>
      <c r="B20" s="58" t="s">
        <v>287</v>
      </c>
      <c r="D20" s="46"/>
      <c r="E20" s="63"/>
      <c r="F20" s="46"/>
      <c r="G20" s="63"/>
      <c r="H20" s="46"/>
      <c r="I20" s="63"/>
      <c r="J20" s="46"/>
      <c r="K20" s="63"/>
      <c r="L20" s="46"/>
      <c r="M20" s="63"/>
      <c r="N20" s="46"/>
      <c r="O20" s="63"/>
      <c r="P20" s="46"/>
      <c r="Q20" s="63"/>
      <c r="R20" s="46"/>
      <c r="S20" s="63"/>
      <c r="T20" s="46"/>
      <c r="U20" s="63"/>
      <c r="V20" s="46"/>
      <c r="W20" s="63"/>
      <c r="X20" s="46"/>
      <c r="Y20" s="63"/>
      <c r="Z20" s="46"/>
      <c r="AA20" s="63"/>
      <c r="AB20" s="46"/>
      <c r="AC20" s="63"/>
      <c r="AD20" s="46"/>
      <c r="AE20" s="47"/>
      <c r="AF20" s="46"/>
      <c r="AG20" s="47"/>
      <c r="AH20" s="46"/>
      <c r="AI20" s="47"/>
      <c r="AJ20" s="46"/>
      <c r="AK20" s="47"/>
      <c r="AL20" s="46"/>
      <c r="AM20" s="47"/>
      <c r="AN20" s="46"/>
      <c r="AO20" s="47"/>
      <c r="AP20" s="46"/>
      <c r="AQ20" s="47"/>
      <c r="AR20" s="46"/>
      <c r="AS20" s="47"/>
      <c r="AT20" s="46"/>
      <c r="AU20" s="47"/>
      <c r="AV20" s="46"/>
      <c r="AW20" s="47"/>
      <c r="AX20" s="46"/>
      <c r="AY20" s="46"/>
      <c r="AZ20" s="46"/>
      <c r="BA20" s="46"/>
    </row>
    <row r="21" spans="1:53" ht="15.75">
      <c r="A21" s="41">
        <v>16</v>
      </c>
      <c r="B21" s="58" t="s">
        <v>288</v>
      </c>
      <c r="D21" s="46"/>
      <c r="E21" s="63"/>
      <c r="F21" s="46"/>
      <c r="G21" s="63"/>
      <c r="H21" s="46"/>
      <c r="I21" s="63"/>
      <c r="J21" s="46"/>
      <c r="K21" s="63"/>
      <c r="L21" s="46"/>
      <c r="M21" s="63"/>
      <c r="N21" s="46"/>
      <c r="O21" s="63"/>
      <c r="P21" s="46"/>
      <c r="Q21" s="63"/>
      <c r="R21" s="46"/>
      <c r="S21" s="63"/>
      <c r="T21" s="46"/>
      <c r="U21" s="63"/>
      <c r="V21" s="46"/>
      <c r="W21" s="63"/>
      <c r="X21" s="46"/>
      <c r="Y21" s="63"/>
      <c r="Z21" s="46"/>
      <c r="AA21" s="63"/>
      <c r="AB21" s="46"/>
      <c r="AC21" s="63"/>
      <c r="AD21" s="46"/>
      <c r="AE21" s="47"/>
      <c r="AF21" s="46"/>
      <c r="AG21" s="47"/>
      <c r="AH21" s="46"/>
      <c r="AI21" s="47"/>
      <c r="AJ21" s="46"/>
      <c r="AK21" s="47"/>
      <c r="AL21" s="46"/>
      <c r="AM21" s="47"/>
      <c r="AN21" s="46"/>
      <c r="AO21" s="47"/>
      <c r="AP21" s="46"/>
      <c r="AQ21" s="47"/>
      <c r="AR21" s="46"/>
      <c r="AS21" s="47"/>
      <c r="AT21" s="46"/>
      <c r="AU21" s="47"/>
      <c r="AV21" s="46"/>
      <c r="AW21" s="47"/>
      <c r="AX21" s="46"/>
      <c r="AY21" s="46"/>
      <c r="AZ21" s="46"/>
      <c r="BA21" s="46"/>
    </row>
    <row r="22" spans="1:53" ht="15.75">
      <c r="A22" s="41">
        <v>17</v>
      </c>
      <c r="B22" s="58" t="s">
        <v>289</v>
      </c>
      <c r="D22" s="46"/>
      <c r="E22" s="63"/>
      <c r="F22" s="46"/>
      <c r="G22" s="63"/>
      <c r="H22" s="46"/>
      <c r="I22" s="63"/>
      <c r="J22" s="46"/>
      <c r="K22" s="63"/>
      <c r="L22" s="46"/>
      <c r="M22" s="63"/>
      <c r="N22" s="46"/>
      <c r="O22" s="63"/>
      <c r="P22" s="46"/>
      <c r="Q22" s="63"/>
      <c r="R22" s="46"/>
      <c r="S22" s="63"/>
      <c r="T22" s="46"/>
      <c r="U22" s="63"/>
      <c r="V22" s="46"/>
      <c r="W22" s="63"/>
      <c r="X22" s="46"/>
      <c r="Y22" s="63"/>
      <c r="Z22" s="46"/>
      <c r="AA22" s="63"/>
      <c r="AB22" s="46"/>
      <c r="AC22" s="63"/>
      <c r="AD22" s="46"/>
      <c r="AE22" s="47"/>
      <c r="AF22" s="46"/>
      <c r="AG22" s="47"/>
      <c r="AH22" s="46"/>
      <c r="AI22" s="47"/>
      <c r="AJ22" s="46"/>
      <c r="AK22" s="47"/>
      <c r="AL22" s="46"/>
      <c r="AM22" s="47"/>
      <c r="AN22" s="46"/>
      <c r="AO22" s="47"/>
      <c r="AP22" s="46"/>
      <c r="AQ22" s="47"/>
      <c r="AR22" s="46"/>
      <c r="AS22" s="47"/>
      <c r="AT22" s="46"/>
      <c r="AU22" s="47"/>
      <c r="AV22" s="46"/>
      <c r="AW22" s="47"/>
      <c r="AX22" s="46"/>
      <c r="AY22" s="46"/>
      <c r="AZ22" s="46"/>
      <c r="BA22" s="46"/>
    </row>
    <row r="23" spans="1:53" ht="15.75">
      <c r="A23" s="41">
        <v>18</v>
      </c>
      <c r="B23" s="57" t="s">
        <v>297</v>
      </c>
    </row>
    <row r="24" spans="1:53" ht="15.75">
      <c r="A24" s="41">
        <v>19</v>
      </c>
      <c r="B24" s="58" t="s">
        <v>290</v>
      </c>
    </row>
    <row r="25" spans="1:53" ht="15.75">
      <c r="A25" s="41">
        <v>20</v>
      </c>
      <c r="B25" s="58" t="s">
        <v>171</v>
      </c>
    </row>
    <row r="26" spans="1:53" ht="15.75">
      <c r="A26" s="41">
        <v>21</v>
      </c>
      <c r="B26" s="58" t="s">
        <v>291</v>
      </c>
    </row>
    <row r="27" spans="1:53" ht="15.75">
      <c r="A27" s="41">
        <v>22</v>
      </c>
      <c r="B27" s="58" t="s">
        <v>292</v>
      </c>
    </row>
    <row r="28" spans="1:53" ht="15.75">
      <c r="A28" s="41">
        <v>23</v>
      </c>
      <c r="B28" s="57" t="s">
        <v>240</v>
      </c>
    </row>
    <row r="29" spans="1:53" ht="15.75">
      <c r="A29" s="41">
        <v>24</v>
      </c>
      <c r="B29" s="58" t="s">
        <v>293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140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175</v>
      </c>
    </row>
    <row r="5" spans="4:4">
      <c r="D5" t="s">
        <v>176</v>
      </c>
    </row>
    <row r="6" spans="4:4">
      <c r="D6" t="s">
        <v>177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7" sqref="A7"/>
    </sheetView>
  </sheetViews>
  <sheetFormatPr defaultRowHeight="15"/>
  <cols>
    <col min="1" max="1" width="32.7109375" style="137" customWidth="1"/>
    <col min="2" max="2" width="0.7109375" style="137" customWidth="1"/>
    <col min="3" max="3" width="4.5703125" style="138" customWidth="1"/>
    <col min="4" max="4" width="36.5703125" style="175" customWidth="1"/>
    <col min="5" max="5" width="4.5703125" style="176" customWidth="1"/>
    <col min="6" max="6" width="36.5703125" style="368" customWidth="1"/>
    <col min="7" max="7" width="4.5703125" style="176" customWidth="1"/>
    <col min="8" max="8" width="30.5703125" style="368" bestFit="1" customWidth="1"/>
    <col min="9" max="9" width="11" style="176" customWidth="1"/>
    <col min="10" max="10" width="17.7109375" style="176" customWidth="1"/>
    <col min="11" max="11" width="27.28515625" style="176" customWidth="1"/>
    <col min="12" max="12" width="10.7109375" style="176" customWidth="1"/>
    <col min="13" max="13" width="11.85546875" style="176" customWidth="1"/>
    <col min="14" max="15" width="18.28515625" style="176" customWidth="1"/>
    <col min="16" max="16384" width="9.140625" style="176"/>
  </cols>
  <sheetData>
    <row r="1" spans="1:10" ht="24" customHeight="1">
      <c r="A1" s="152" t="s">
        <v>962</v>
      </c>
      <c r="C1" s="176"/>
      <c r="D1" s="55"/>
      <c r="E1" s="40"/>
      <c r="F1" s="55"/>
      <c r="G1" s="40"/>
      <c r="H1" s="55"/>
      <c r="I1" s="40"/>
      <c r="J1" s="40"/>
    </row>
    <row r="2" spans="1:10" ht="3.75" customHeight="1">
      <c r="D2" s="366"/>
      <c r="F2" s="366"/>
      <c r="H2" s="366"/>
    </row>
    <row r="3" spans="1:10" ht="30">
      <c r="A3" s="143" t="s">
        <v>8</v>
      </c>
      <c r="D3" s="43" t="s">
        <v>967</v>
      </c>
      <c r="F3" s="256" t="s">
        <v>1158</v>
      </c>
      <c r="H3" s="256" t="s">
        <v>1163</v>
      </c>
    </row>
    <row r="4" spans="1:10" ht="19.5" thickBot="1">
      <c r="A4" s="144" t="s">
        <v>115</v>
      </c>
      <c r="D4" s="27" t="s">
        <v>135</v>
      </c>
      <c r="F4" s="264" t="s">
        <v>1064</v>
      </c>
      <c r="G4" s="177"/>
      <c r="H4" s="256" t="s">
        <v>1051</v>
      </c>
      <c r="I4" s="177"/>
    </row>
    <row r="5" spans="1:10" ht="19.5" thickTop="1">
      <c r="A5" s="147" t="s">
        <v>1188</v>
      </c>
      <c r="D5" s="27" t="s">
        <v>936</v>
      </c>
      <c r="F5" s="355" t="s">
        <v>1051</v>
      </c>
      <c r="G5" s="177"/>
      <c r="H5" s="256" t="s">
        <v>1052</v>
      </c>
      <c r="I5" s="177"/>
    </row>
    <row r="6" spans="1:10" ht="18.75">
      <c r="A6" s="394" t="s">
        <v>1189</v>
      </c>
      <c r="D6" s="27" t="s">
        <v>954</v>
      </c>
      <c r="F6" s="355" t="s">
        <v>1052</v>
      </c>
      <c r="G6" s="177"/>
      <c r="H6" s="256" t="s">
        <v>1075</v>
      </c>
      <c r="I6" s="177"/>
    </row>
    <row r="7" spans="1:10" ht="19.5" thickBot="1">
      <c r="A7" s="396" t="s">
        <v>1190</v>
      </c>
      <c r="D7" s="27" t="s">
        <v>937</v>
      </c>
      <c r="F7" s="264" t="s">
        <v>1075</v>
      </c>
      <c r="G7" s="177"/>
      <c r="H7" s="256" t="s">
        <v>1160</v>
      </c>
      <c r="I7" s="177"/>
    </row>
    <row r="8" spans="1:10" ht="19.5" thickTop="1">
      <c r="A8" s="399" t="s">
        <v>1191</v>
      </c>
      <c r="D8" s="27" t="s">
        <v>317</v>
      </c>
      <c r="F8" s="256" t="s">
        <v>1053</v>
      </c>
      <c r="G8" s="177"/>
      <c r="H8" s="256" t="s">
        <v>1161</v>
      </c>
      <c r="I8" s="177"/>
    </row>
    <row r="9" spans="1:10" ht="18.75">
      <c r="A9" s="397" t="s">
        <v>7</v>
      </c>
      <c r="D9" s="27" t="s">
        <v>943</v>
      </c>
      <c r="F9" s="256" t="s">
        <v>1054</v>
      </c>
      <c r="G9" s="177"/>
      <c r="H9" s="256" t="s">
        <v>1162</v>
      </c>
      <c r="I9" s="177"/>
    </row>
    <row r="10" spans="1:10" ht="18.75">
      <c r="A10" s="398" t="s">
        <v>100</v>
      </c>
      <c r="D10" s="27" t="s">
        <v>946</v>
      </c>
      <c r="F10" s="256" t="s">
        <v>1055</v>
      </c>
      <c r="G10" s="177"/>
      <c r="H10" s="369"/>
      <c r="I10" s="177"/>
    </row>
    <row r="11" spans="1:10" ht="15.75">
      <c r="A11" s="121"/>
      <c r="D11" s="27" t="s">
        <v>947</v>
      </c>
      <c r="F11" s="256" t="s">
        <v>1056</v>
      </c>
      <c r="G11" s="177"/>
      <c r="H11" s="369"/>
    </row>
    <row r="12" spans="1:10" ht="15.75">
      <c r="A12" s="121"/>
      <c r="D12" s="27" t="s">
        <v>948</v>
      </c>
      <c r="F12" s="256" t="s">
        <v>1057</v>
      </c>
      <c r="G12" s="177"/>
      <c r="H12" s="369"/>
    </row>
    <row r="13" spans="1:10" ht="15.75">
      <c r="A13" s="121"/>
      <c r="D13" s="27" t="s">
        <v>952</v>
      </c>
      <c r="F13" s="256" t="s">
        <v>1067</v>
      </c>
      <c r="G13" s="177"/>
      <c r="H13" s="369"/>
    </row>
    <row r="14" spans="1:10" ht="15.75">
      <c r="A14" s="121"/>
      <c r="D14" s="27" t="s">
        <v>963</v>
      </c>
      <c r="F14" s="256" t="s">
        <v>1066</v>
      </c>
      <c r="G14" s="177"/>
      <c r="H14" s="369"/>
    </row>
    <row r="15" spans="1:10" ht="15.75">
      <c r="A15" s="121"/>
      <c r="D15" s="27" t="s">
        <v>964</v>
      </c>
      <c r="F15" s="256" t="s">
        <v>1065</v>
      </c>
      <c r="G15" s="177"/>
      <c r="H15" s="369"/>
    </row>
    <row r="16" spans="1:10" ht="15.75">
      <c r="A16" s="121"/>
      <c r="D16" s="27" t="s">
        <v>965</v>
      </c>
      <c r="F16" s="367"/>
      <c r="G16" s="177"/>
      <c r="H16" s="367"/>
    </row>
    <row r="17" spans="1:7" ht="15.75">
      <c r="A17" s="169"/>
      <c r="D17" s="27" t="s">
        <v>966</v>
      </c>
      <c r="F17" s="367"/>
      <c r="G17" s="177"/>
    </row>
    <row r="18" spans="1:7" ht="15.75">
      <c r="A18" s="169"/>
      <c r="D18" s="27" t="s">
        <v>968</v>
      </c>
      <c r="F18" s="367"/>
    </row>
    <row r="19" spans="1:7" ht="15.75">
      <c r="A19" s="169"/>
      <c r="D19" s="27"/>
      <c r="F19" s="367"/>
    </row>
    <row r="20" spans="1:7" ht="15.75">
      <c r="A20" s="169"/>
      <c r="D20" s="27"/>
      <c r="F20" s="367"/>
    </row>
    <row r="21" spans="1:7" ht="15.75">
      <c r="A21" s="169"/>
      <c r="D21" s="27"/>
    </row>
    <row r="22" spans="1:7" ht="15.75">
      <c r="A22" s="169"/>
      <c r="D22" s="27"/>
    </row>
    <row r="23" spans="1:7" ht="15.75">
      <c r="A23" s="169"/>
      <c r="D23" s="27"/>
    </row>
    <row r="24" spans="1:7" ht="15.75">
      <c r="D24" s="27"/>
    </row>
    <row r="25" spans="1:7" ht="15.75">
      <c r="D25" s="27"/>
    </row>
    <row r="26" spans="1:7" ht="15.75">
      <c r="D26" s="27"/>
    </row>
    <row r="27" spans="1:7" ht="15.75">
      <c r="D27" s="27"/>
    </row>
    <row r="28" spans="1:7" ht="15.75">
      <c r="D28" s="27"/>
    </row>
    <row r="29" spans="1:7" ht="15.75">
      <c r="D29" s="27"/>
    </row>
    <row r="30" spans="1:7" ht="15.75">
      <c r="D30" s="27"/>
    </row>
    <row r="31" spans="1:7" ht="15.75">
      <c r="D31" s="27"/>
    </row>
    <row r="32" spans="1:7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phoneticPr fontId="29" type="noConversion"/>
  <conditionalFormatting sqref="H3:H9">
    <cfRule type="duplicateValues" dxfId="5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>
      <selection activeCell="A10" sqref="A10"/>
    </sheetView>
  </sheetViews>
  <sheetFormatPr defaultRowHeight="15"/>
  <cols>
    <col min="1" max="1" width="32.7109375" style="137" customWidth="1"/>
    <col min="2" max="2" width="0.7109375" style="137" customWidth="1"/>
    <col min="3" max="3" width="4.5703125" style="138" customWidth="1"/>
    <col min="4" max="4" width="5.85546875" style="138" customWidth="1"/>
    <col min="5" max="5" width="44" style="138" customWidth="1"/>
    <col min="6" max="6" width="28.5703125" style="138" customWidth="1"/>
    <col min="7" max="7" width="18.28515625" style="138" customWidth="1"/>
    <col min="8" max="8" width="36.5703125" style="138" customWidth="1"/>
    <col min="9" max="9" width="32" style="138" customWidth="1"/>
    <col min="10" max="10" width="18.28515625" style="138" customWidth="1"/>
    <col min="11" max="11" width="34.28515625" style="138" customWidth="1"/>
    <col min="12" max="12" width="30" style="138" customWidth="1"/>
    <col min="13" max="13" width="31.42578125" style="138" customWidth="1"/>
    <col min="14" max="14" width="39.42578125" style="138" customWidth="1"/>
    <col min="15" max="15" width="21.42578125" style="138" customWidth="1"/>
    <col min="16" max="16" width="24.42578125" style="138" bestFit="1" customWidth="1"/>
    <col min="17" max="17" width="18.28515625" style="138" customWidth="1"/>
    <col min="18" max="19" width="9.140625" style="138"/>
    <col min="20" max="16384" width="9.140625" style="142"/>
  </cols>
  <sheetData>
    <row r="1" spans="1:18" ht="24" customHeight="1">
      <c r="A1" s="152" t="s">
        <v>386</v>
      </c>
      <c r="D1" s="299" t="s">
        <v>389</v>
      </c>
      <c r="E1" s="299"/>
      <c r="F1" s="299"/>
      <c r="G1" s="299"/>
      <c r="H1" s="299"/>
      <c r="I1" s="299"/>
      <c r="J1" s="299"/>
      <c r="K1" s="139"/>
      <c r="L1" s="140"/>
      <c r="M1" s="141"/>
    </row>
    <row r="2" spans="1:18" ht="3.75" customHeight="1">
      <c r="F2" s="138" t="s">
        <v>3</v>
      </c>
    </row>
    <row r="3" spans="1:18" ht="18.75">
      <c r="A3" s="143" t="s">
        <v>8</v>
      </c>
      <c r="D3" s="117" t="s">
        <v>124</v>
      </c>
      <c r="E3" s="117" t="s">
        <v>117</v>
      </c>
      <c r="F3" s="117" t="s">
        <v>128</v>
      </c>
      <c r="G3" s="117" t="s">
        <v>129</v>
      </c>
      <c r="H3" s="117" t="s">
        <v>1156</v>
      </c>
      <c r="I3" s="117" t="s">
        <v>130</v>
      </c>
      <c r="J3" s="117" t="s">
        <v>131</v>
      </c>
      <c r="K3" s="117" t="s">
        <v>132</v>
      </c>
      <c r="L3" s="117" t="s">
        <v>1100</v>
      </c>
    </row>
    <row r="4" spans="1:18" ht="18.75">
      <c r="A4" s="144" t="s">
        <v>115</v>
      </c>
      <c r="D4" s="27">
        <v>0</v>
      </c>
      <c r="E4" s="27" t="s">
        <v>1051</v>
      </c>
      <c r="F4" s="150">
        <v>1234567890</v>
      </c>
      <c r="G4" s="31" t="s">
        <v>934</v>
      </c>
      <c r="H4" s="151" t="s">
        <v>935</v>
      </c>
      <c r="I4" s="31" t="s">
        <v>1167</v>
      </c>
      <c r="J4" s="27"/>
      <c r="K4" s="27"/>
      <c r="L4" s="27"/>
    </row>
    <row r="5" spans="1:18" ht="24" customHeight="1">
      <c r="A5" s="147" t="s">
        <v>1188</v>
      </c>
    </row>
    <row r="6" spans="1:18" ht="34.5" customHeight="1">
      <c r="A6" s="394" t="s">
        <v>1189</v>
      </c>
    </row>
    <row r="7" spans="1:18" ht="18.75">
      <c r="A7" s="396" t="s">
        <v>1190</v>
      </c>
      <c r="D7" s="153"/>
      <c r="E7" s="153"/>
      <c r="F7" s="153"/>
      <c r="G7" s="153"/>
      <c r="H7" s="153"/>
      <c r="I7" s="153"/>
      <c r="J7" s="153"/>
    </row>
    <row r="8" spans="1:18" ht="18.75">
      <c r="A8" s="399" t="s">
        <v>1191</v>
      </c>
      <c r="D8" s="118" t="s">
        <v>124</v>
      </c>
      <c r="E8" s="118" t="s">
        <v>125</v>
      </c>
      <c r="F8" s="118" t="s">
        <v>938</v>
      </c>
      <c r="G8" s="119" t="s">
        <v>127</v>
      </c>
      <c r="H8" s="118" t="s">
        <v>320</v>
      </c>
      <c r="I8" s="118" t="s">
        <v>319</v>
      </c>
      <c r="J8" s="118" t="s">
        <v>321</v>
      </c>
      <c r="K8" s="118" t="s">
        <v>322</v>
      </c>
      <c r="L8" s="118" t="s">
        <v>387</v>
      </c>
      <c r="M8" s="118" t="s">
        <v>126</v>
      </c>
      <c r="N8" s="118" t="s">
        <v>120</v>
      </c>
      <c r="O8" s="118" t="s">
        <v>388</v>
      </c>
      <c r="P8" s="120" t="s">
        <v>121</v>
      </c>
      <c r="Q8" s="120" t="s">
        <v>133</v>
      </c>
      <c r="R8" s="118" t="s">
        <v>122</v>
      </c>
    </row>
    <row r="9" spans="1:18" ht="18.75">
      <c r="A9" s="397" t="s">
        <v>7</v>
      </c>
      <c r="D9" s="27">
        <v>0</v>
      </c>
      <c r="E9" s="27" t="s">
        <v>135</v>
      </c>
      <c r="F9" s="27" t="s">
        <v>945</v>
      </c>
      <c r="G9" s="25">
        <v>0</v>
      </c>
      <c r="H9" s="154">
        <f>SUMIF(Tarakonesh[پرداخت کننده],FinancialAccountsTable[[#This Row],[نام حساب]],Tarakonesh[مبلغ (ریال)])</f>
        <v>0</v>
      </c>
      <c r="I9" s="154">
        <f>SUMIF(Tarakonesh[دریافت کننده],FinancialAccountsTable[[#This Row],[نام حساب]],Tarakonesh[مبلغ (ریال)])</f>
        <v>0</v>
      </c>
      <c r="J9" s="154">
        <f>(FinancialAccountsTable[[#This Row],[جمع دریافتی]]+FinancialAccountsTable[[#This Row],[موجودی اولیه]])-FinancialAccountsTable[[#This Row],[جمع پرداختی]]</f>
        <v>0</v>
      </c>
      <c r="K9" s="132" t="str">
        <f>IF(FinancialAccountsTable[[#This Row],[مانده]]=0,"",IF(FinancialAccountsTable[[#This Row],[مانده]]&gt;0,"بدهکار","بستانکار"))</f>
        <v/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398" t="s">
        <v>100</v>
      </c>
      <c r="D10" s="27">
        <v>1</v>
      </c>
      <c r="E10" s="27" t="s">
        <v>936</v>
      </c>
      <c r="F10" s="27" t="s">
        <v>942</v>
      </c>
      <c r="G10" s="25">
        <v>0</v>
      </c>
      <c r="H10" s="154">
        <f>SUMIF(Tarakonesh[پرداخت کننده],FinancialAccountsTable[[#This Row],[نام حساب]],Tarakonesh[مبلغ (ریال)])</f>
        <v>0</v>
      </c>
      <c r="I10" s="154">
        <f>SUMIF(Tarakonesh[دریافت کننده],FinancialAccountsTable[[#This Row],[نام حساب]],Tarakonesh[مبلغ (ریال)])</f>
        <v>0</v>
      </c>
      <c r="J10" s="154">
        <f>(FinancialAccountsTable[[#This Row],[جمع دریافتی]]+FinancialAccountsTable[[#This Row],[موجودی اولیه]])-FinancialAccountsTable[[#This Row],[جمع پرداختی]]</f>
        <v>0</v>
      </c>
      <c r="K10" s="132" t="str">
        <f>IF(FinancialAccountsTable[[#This Row],[مانده]]=0,"",IF(FinancialAccountsTable[[#This Row],[مانده]]&gt;0,"بدهکار","بستانکار"))</f>
        <v/>
      </c>
      <c r="L10" s="27" t="s">
        <v>955</v>
      </c>
      <c r="M10" s="27" t="s">
        <v>960</v>
      </c>
      <c r="N10" s="27"/>
      <c r="O10" s="27"/>
      <c r="P10" s="31"/>
      <c r="Q10" s="31"/>
      <c r="R10" s="27"/>
    </row>
    <row r="11" spans="1:18" ht="31.5">
      <c r="A11" s="121"/>
      <c r="D11" s="27">
        <v>2</v>
      </c>
      <c r="E11" s="27" t="s">
        <v>954</v>
      </c>
      <c r="F11" s="27" t="s">
        <v>939</v>
      </c>
      <c r="G11" s="25">
        <v>0</v>
      </c>
      <c r="H11" s="154">
        <f>SUMIF(Tarakonesh[پرداخت کننده],FinancialAccountsTable[[#This Row],[نام حساب]],Tarakonesh[مبلغ (ریال)])</f>
        <v>0</v>
      </c>
      <c r="I11" s="154">
        <f>SUMIF(Tarakonesh[دریافت کننده],FinancialAccountsTable[[#This Row],[نام حساب]],Tarakonesh[مبلغ (ریال)])</f>
        <v>0</v>
      </c>
      <c r="J11" s="154">
        <f>(FinancialAccountsTable[[#This Row],[جمع دریافتی]]+FinancialAccountsTable[[#This Row],[موجودی اولیه]])-FinancialAccountsTable[[#This Row],[جمع پرداختی]]</f>
        <v>0</v>
      </c>
      <c r="K11" s="132" t="str">
        <f>IF(FinancialAccountsTable[[#This Row],[مانده]]=0,"",IF(FinancialAccountsTable[[#This Row],[مانده]]&gt;0,"بدهکار","بستانکار"))</f>
        <v/>
      </c>
      <c r="L11" s="27" t="s">
        <v>956</v>
      </c>
      <c r="M11" s="27"/>
      <c r="N11" s="27"/>
      <c r="O11" s="27"/>
      <c r="P11" s="31"/>
      <c r="Q11" s="31"/>
      <c r="R11" s="27"/>
    </row>
    <row r="12" spans="1:18" ht="24" customHeight="1">
      <c r="A12" s="121"/>
      <c r="D12" s="27">
        <v>3</v>
      </c>
      <c r="E12" s="27" t="s">
        <v>937</v>
      </c>
      <c r="F12" s="27" t="s">
        <v>940</v>
      </c>
      <c r="G12" s="25">
        <v>0</v>
      </c>
      <c r="H12" s="154">
        <f>SUMIF(Tarakonesh[پرداخت کننده],FinancialAccountsTable[[#This Row],[نام حساب]],Tarakonesh[مبلغ (ریال)])</f>
        <v>0</v>
      </c>
      <c r="I12" s="154">
        <f>SUMIF(Tarakonesh[دریافت کننده],FinancialAccountsTable[[#This Row],[نام حساب]],Tarakonesh[مبلغ (ریال)])</f>
        <v>0</v>
      </c>
      <c r="J12" s="154">
        <f>(FinancialAccountsTable[[#This Row],[جمع دریافتی]]+FinancialAccountsTable[[#This Row],[موجودی اولیه]])-FinancialAccountsTable[[#This Row],[جمع پرداختی]]</f>
        <v>0</v>
      </c>
      <c r="K12" s="132" t="str">
        <f>IF(FinancialAccountsTable[[#This Row],[مانده]]=0,"",IF(FinancialAccountsTable[[#This Row],[مانده]]&gt;0,"بدهکار","بستانکار"))</f>
        <v/>
      </c>
      <c r="L12" s="27" t="s">
        <v>957</v>
      </c>
      <c r="M12" s="27"/>
      <c r="N12" s="27"/>
      <c r="O12" s="27"/>
      <c r="P12" s="31"/>
      <c r="Q12" s="31"/>
      <c r="R12" s="27"/>
    </row>
    <row r="13" spans="1:18" ht="24" customHeight="1">
      <c r="A13" s="121"/>
      <c r="D13" s="27">
        <v>4</v>
      </c>
      <c r="E13" s="27" t="s">
        <v>317</v>
      </c>
      <c r="F13" s="27" t="s">
        <v>941</v>
      </c>
      <c r="G13" s="25">
        <v>0</v>
      </c>
      <c r="H13" s="154">
        <f>SUMIF(Tarakonesh[پرداخت کننده],FinancialAccountsTable[[#This Row],[نام حساب]],Tarakonesh[مبلغ (ریال)])</f>
        <v>0</v>
      </c>
      <c r="I13" s="154">
        <f>SUMIF(Tarakonesh[دریافت کننده],FinancialAccountsTable[[#This Row],[نام حساب]],Tarakonesh[مبلغ (ریال)])</f>
        <v>0</v>
      </c>
      <c r="J13" s="154">
        <f>(FinancialAccountsTable[[#This Row],[جمع دریافتی]]+FinancialAccountsTable[[#This Row],[موجودی اولیه]])-FinancialAccountsTable[[#This Row],[جمع پرداختی]]</f>
        <v>0</v>
      </c>
      <c r="K13" s="132" t="str">
        <f>IF(FinancialAccountsTable[[#This Row],[مانده]]=0,"",IF(FinancialAccountsTable[[#This Row],[مانده]]&gt;0,"بدهکار","بستانکار"))</f>
        <v/>
      </c>
      <c r="L13" s="27" t="s">
        <v>958</v>
      </c>
      <c r="M13" s="27"/>
      <c r="N13" s="27"/>
      <c r="O13" s="27"/>
      <c r="P13" s="31"/>
      <c r="Q13" s="31"/>
      <c r="R13" s="27"/>
    </row>
    <row r="14" spans="1:18" ht="34.5" customHeight="1">
      <c r="A14" s="121"/>
      <c r="D14" s="27">
        <v>5</v>
      </c>
      <c r="E14" s="27" t="s">
        <v>943</v>
      </c>
      <c r="F14" s="27" t="s">
        <v>944</v>
      </c>
      <c r="G14" s="25">
        <v>0</v>
      </c>
      <c r="H14" s="154">
        <f>SUMIF(Tarakonesh[پرداخت کننده],FinancialAccountsTable[[#This Row],[نام حساب]],Tarakonesh[مبلغ (ریال)])</f>
        <v>0</v>
      </c>
      <c r="I14" s="154">
        <f>SUMIF(Tarakonesh[دریافت کننده],FinancialAccountsTable[[#This Row],[نام حساب]],Tarakonesh[مبلغ (ریال)])</f>
        <v>0</v>
      </c>
      <c r="J14" s="154">
        <f>(FinancialAccountsTable[[#This Row],[جمع دریافتی]]+FinancialAccountsTable[[#This Row],[موجودی اولیه]])-FinancialAccountsTable[[#This Row],[جمع پرداختی]]</f>
        <v>0</v>
      </c>
      <c r="K14" s="132" t="str">
        <f>IF(FinancialAccountsTable[[#This Row],[مانده]]=0,"",IF(FinancialAccountsTable[[#This Row],[مانده]]&gt;0,"بدهکار","بستانکار"))</f>
        <v/>
      </c>
      <c r="L14" s="27" t="s">
        <v>959</v>
      </c>
      <c r="M14" s="27"/>
      <c r="N14" s="27"/>
      <c r="O14" s="27"/>
      <c r="P14" s="31"/>
      <c r="Q14" s="31"/>
      <c r="R14" s="27"/>
    </row>
    <row r="15" spans="1:18" ht="24" customHeight="1">
      <c r="A15" s="121"/>
      <c r="D15" s="27">
        <v>6</v>
      </c>
      <c r="E15" s="27" t="s">
        <v>946</v>
      </c>
      <c r="F15" s="27" t="s">
        <v>951</v>
      </c>
      <c r="G15" s="25">
        <v>0</v>
      </c>
      <c r="H15" s="154">
        <f>SUMIF(Tarakonesh[پرداخت کننده],FinancialAccountsTable[[#This Row],[نام حساب]],Tarakonesh[مبلغ (ریال)])</f>
        <v>0</v>
      </c>
      <c r="I15" s="154">
        <f>SUMIF(Tarakonesh[دریافت کننده],FinancialAccountsTable[[#This Row],[نام حساب]],Tarakonesh[مبلغ (ریال)])</f>
        <v>0</v>
      </c>
      <c r="J15" s="154">
        <f>(FinancialAccountsTable[[#This Row],[جمع دریافتی]]+FinancialAccountsTable[[#This Row],[موجودی اولیه]])-FinancialAccountsTable[[#This Row],[جمع پرداختی]]</f>
        <v>0</v>
      </c>
      <c r="K15" s="155" t="str">
        <f>IF(FinancialAccountsTable[[#This Row],[مانده]]=0,"",IF(FinancialAccountsTable[[#This Row],[مانده]]&gt;0,"بدهکار","بستانکار"))</f>
        <v/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1"/>
      <c r="D16" s="27">
        <v>7</v>
      </c>
      <c r="E16" s="27" t="s">
        <v>947</v>
      </c>
      <c r="F16" s="27" t="s">
        <v>949</v>
      </c>
      <c r="G16" s="25">
        <v>0</v>
      </c>
      <c r="H16" s="154">
        <f>SUMIF(Tarakonesh[پرداخت کننده],FinancialAccountsTable[[#This Row],[نام حساب]],Tarakonesh[مبلغ (ریال)])</f>
        <v>0</v>
      </c>
      <c r="I16" s="154">
        <f>SUMIF(Tarakonesh[دریافت کننده],FinancialAccountsTable[[#This Row],[نام حساب]],Tarakonesh[مبلغ (ریال)])</f>
        <v>0</v>
      </c>
      <c r="J16" s="154">
        <f>(FinancialAccountsTable[[#This Row],[جمع دریافتی]]+FinancialAccountsTable[[#This Row],[موجودی اولیه]])-FinancialAccountsTable[[#This Row],[جمع پرداختی]]</f>
        <v>0</v>
      </c>
      <c r="K16" s="155" t="str">
        <f>IF(FinancialAccountsTable[[#This Row],[مانده]]=0,"",IF(FinancialAccountsTable[[#This Row],[مانده]]&gt;0,"بدهکار","بستانکار"))</f>
        <v/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1"/>
      <c r="D17" s="27">
        <v>8</v>
      </c>
      <c r="E17" s="27" t="s">
        <v>948</v>
      </c>
      <c r="F17" s="27" t="s">
        <v>950</v>
      </c>
      <c r="G17" s="25">
        <v>0</v>
      </c>
      <c r="H17" s="154">
        <f>SUMIF(Tarakonesh[پرداخت کننده],FinancialAccountsTable[[#This Row],[نام حساب]],Tarakonesh[مبلغ (ریال)])</f>
        <v>0</v>
      </c>
      <c r="I17" s="154">
        <f>SUMIF(Tarakonesh[دریافت کننده],FinancialAccountsTable[[#This Row],[نام حساب]],Tarakonesh[مبلغ (ریال)])</f>
        <v>0</v>
      </c>
      <c r="J17" s="154">
        <f>(FinancialAccountsTable[[#This Row],[جمع دریافتی]]+FinancialAccountsTable[[#This Row],[موجودی اولیه]])-FinancialAccountsTable[[#This Row],[جمع پرداختی]]</f>
        <v>0</v>
      </c>
      <c r="K17" s="155" t="str">
        <f>IF(FinancialAccountsTable[[#This Row],[مانده]]=0,"",IF(FinancialAccountsTable[[#This Row],[مانده]]&gt;0,"بدهکار","بستانکار"))</f>
        <v/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1"/>
      <c r="D18" s="27">
        <v>9</v>
      </c>
      <c r="E18" s="27" t="s">
        <v>952</v>
      </c>
      <c r="F18" s="27" t="s">
        <v>953</v>
      </c>
      <c r="G18" s="25">
        <v>0</v>
      </c>
      <c r="H18" s="154">
        <f>SUMIF(Tarakonesh[پرداخت کننده],FinancialAccountsTable[[#This Row],[نام حساب]],Tarakonesh[مبلغ (ریال)])</f>
        <v>0</v>
      </c>
      <c r="I18" s="154">
        <f>SUMIF(Tarakonesh[دریافت کننده],FinancialAccountsTable[[#This Row],[نام حساب]],Tarakonesh[مبلغ (ریال)])</f>
        <v>0</v>
      </c>
      <c r="J18" s="154">
        <f>(FinancialAccountsTable[[#This Row],[جمع دریافتی]]+FinancialAccountsTable[[#This Row],[موجودی اولیه]])-FinancialAccountsTable[[#This Row],[جمع پرداختی]]</f>
        <v>0</v>
      </c>
      <c r="K18" s="155" t="str">
        <f>IF(FinancialAccountsTable[[#This Row],[مانده]]=0,"",IF(FinancialAccountsTable[[#This Row],[مانده]]&gt;0,"بدهکار","بستانکار"))</f>
        <v/>
      </c>
      <c r="L18" s="27"/>
      <c r="M18" s="27"/>
      <c r="N18" s="27"/>
      <c r="O18" s="27"/>
      <c r="P18" s="31"/>
      <c r="Q18" s="31"/>
      <c r="R18" s="27"/>
    </row>
    <row r="19" spans="1:18" ht="15.75">
      <c r="A19" s="121"/>
      <c r="D19" s="132" t="s">
        <v>142</v>
      </c>
      <c r="E19" s="156"/>
      <c r="F19" s="156"/>
      <c r="G19" s="154">
        <f>SUBTOTAL(109,FinancialAccountsTable[موجودی اولیه])</f>
        <v>0</v>
      </c>
      <c r="H19" s="154">
        <f>SUBTOTAL(109,FinancialAccountsTable[جمع پرداختی])-H14</f>
        <v>0</v>
      </c>
      <c r="I19" s="154">
        <f>SUBTOTAL(109,FinancialAccountsTable[جمع دریافتی])-I14</f>
        <v>0</v>
      </c>
      <c r="J19" s="154">
        <f>SUBTOTAL(109,FinancialAccountsTable[مانده])-J14</f>
        <v>0</v>
      </c>
      <c r="K19" s="156"/>
      <c r="L19" s="156"/>
      <c r="M19" s="156"/>
      <c r="N19" s="157"/>
      <c r="O19" s="157"/>
      <c r="P19" s="157"/>
      <c r="Q19" s="157"/>
      <c r="R19" s="157"/>
    </row>
    <row r="20" spans="1:18">
      <c r="A20" s="121"/>
    </row>
    <row r="21" spans="1:18">
      <c r="A21" s="121"/>
    </row>
    <row r="22" spans="1:18">
      <c r="A22" s="121"/>
    </row>
    <row r="23" spans="1:18" ht="15.75">
      <c r="A23" s="121"/>
      <c r="D23" s="134"/>
      <c r="E23" s="134"/>
      <c r="F23" s="134"/>
      <c r="G23" s="159"/>
      <c r="H23" s="127"/>
      <c r="I23" s="160"/>
      <c r="J23" s="161"/>
      <c r="K23" s="134"/>
    </row>
    <row r="24" spans="1:18">
      <c r="D24" s="349"/>
      <c r="I24" s="158"/>
      <c r="K24" s="158"/>
    </row>
    <row r="25" spans="1:18">
      <c r="D25" s="350"/>
      <c r="E25" s="350"/>
      <c r="F25" s="350"/>
      <c r="G25" s="350"/>
      <c r="H25" s="350"/>
      <c r="I25" s="350"/>
      <c r="J25" s="350"/>
      <c r="K25" s="350"/>
      <c r="L25" s="350"/>
    </row>
    <row r="26" spans="1:18">
      <c r="D26" s="350"/>
      <c r="E26" s="350"/>
      <c r="F26" s="350"/>
      <c r="G26" s="350"/>
      <c r="H26" s="350"/>
      <c r="I26" s="350"/>
      <c r="J26" s="350"/>
      <c r="K26" s="350"/>
      <c r="L26" s="350"/>
    </row>
    <row r="27" spans="1:18">
      <c r="D27" s="350"/>
      <c r="E27" s="350"/>
      <c r="F27" s="350"/>
      <c r="G27" s="350"/>
      <c r="H27" s="350"/>
      <c r="I27" s="350"/>
      <c r="J27" s="350"/>
      <c r="K27" s="350"/>
      <c r="L27" s="350"/>
    </row>
    <row r="28" spans="1:18">
      <c r="D28" s="350"/>
      <c r="E28" s="350"/>
      <c r="F28" s="350"/>
      <c r="G28" s="350"/>
      <c r="H28" s="350"/>
      <c r="I28" s="350"/>
      <c r="J28" s="350"/>
      <c r="K28" s="350"/>
      <c r="L28" s="350"/>
    </row>
    <row r="29" spans="1:18">
      <c r="D29" s="350"/>
      <c r="E29" s="350"/>
      <c r="F29" s="350"/>
      <c r="G29" s="350"/>
      <c r="H29" s="350"/>
      <c r="I29" s="350"/>
      <c r="J29" s="350"/>
      <c r="K29" s="350"/>
      <c r="L29" s="35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>
      <selection activeCell="A9" sqref="A9"/>
    </sheetView>
  </sheetViews>
  <sheetFormatPr defaultRowHeight="15"/>
  <cols>
    <col min="1" max="1" width="29.7109375" style="128" customWidth="1"/>
    <col min="2" max="2" width="0.7109375" style="129" customWidth="1"/>
    <col min="3" max="3" width="4.5703125" style="127" customWidth="1"/>
    <col min="4" max="4" width="4.5703125" style="336" customWidth="1"/>
    <col min="5" max="5" width="18.42578125" style="336" customWidth="1"/>
    <col min="6" max="6" width="4.5703125" style="336" customWidth="1"/>
    <col min="7" max="8" width="18.28515625" style="336" customWidth="1"/>
    <col min="9" max="9" width="4.5703125" style="336" customWidth="1"/>
    <col min="10" max="10" width="4.5703125" style="40" customWidth="1"/>
    <col min="11" max="11" width="9.140625" style="380"/>
    <col min="12" max="12" width="18.28515625" style="380" customWidth="1"/>
    <col min="13" max="13" width="4.5703125" style="266" customWidth="1"/>
    <col min="14" max="15" width="18.28515625" style="266" customWidth="1"/>
    <col min="16" max="16" width="4.5703125" style="266" customWidth="1"/>
    <col min="17" max="17" width="4.5703125" style="127" customWidth="1"/>
    <col min="18" max="18" width="4.5703125" style="347" customWidth="1"/>
    <col min="19" max="19" width="36.5703125" style="347" customWidth="1"/>
    <col min="20" max="20" width="4.5703125" style="347" customWidth="1"/>
    <col min="21" max="21" width="4.5703125" style="40" customWidth="1"/>
    <col min="22" max="22" width="4.5703125" style="353" customWidth="1"/>
    <col min="23" max="23" width="36.5703125" style="352" customWidth="1"/>
    <col min="24" max="24" width="4.5703125" style="351" customWidth="1"/>
    <col min="25" max="25" width="4.5703125" style="40" customWidth="1"/>
    <col min="26" max="26" width="4.5703125" style="356" customWidth="1"/>
    <col min="27" max="27" width="36.5703125" style="356" customWidth="1"/>
    <col min="28" max="28" width="4.5703125" style="356" customWidth="1"/>
    <col min="29" max="29" width="4.5703125" style="40" customWidth="1"/>
    <col min="30" max="30" width="4.5703125" style="358" customWidth="1"/>
    <col min="31" max="31" width="18.28515625" customWidth="1"/>
    <col min="32" max="32" width="18.28515625" style="127" customWidth="1"/>
    <col min="33" max="33" width="18.28515625" style="130" customWidth="1"/>
    <col min="34" max="34" width="4.5703125" style="359" customWidth="1"/>
    <col min="35" max="37" width="18.28515625" style="127" customWidth="1"/>
    <col min="38" max="38" width="4.5703125" style="359" customWidth="1"/>
    <col min="39" max="40" width="18.28515625" style="127" customWidth="1"/>
    <col min="41" max="41" width="4.5703125" style="359" customWidth="1"/>
    <col min="42" max="43" width="18.28515625" style="127" customWidth="1"/>
    <col min="44" max="44" width="4.5703125" style="359" customWidth="1"/>
    <col min="45" max="46" width="18.28515625" style="127" customWidth="1"/>
    <col min="47" max="47" width="4.5703125" style="359" customWidth="1"/>
    <col min="48" max="48" width="18.28515625" style="127" customWidth="1"/>
    <col min="49" max="49" width="5.42578125" style="127" customWidth="1"/>
    <col min="50" max="16384" width="9.140625" style="127"/>
  </cols>
  <sheetData>
    <row r="1" spans="1:46" ht="24" customHeight="1" thickBot="1">
      <c r="A1" s="124" t="s">
        <v>385</v>
      </c>
      <c r="B1" s="125"/>
      <c r="C1" s="126"/>
      <c r="K1" s="266"/>
      <c r="L1" s="266"/>
      <c r="Q1" s="40"/>
      <c r="R1" s="346"/>
      <c r="S1" s="346"/>
      <c r="T1" s="346"/>
      <c r="V1" s="351"/>
      <c r="AE1" s="358"/>
      <c r="AF1" s="359"/>
      <c r="AG1" s="360"/>
      <c r="AI1" s="359"/>
      <c r="AJ1" s="359"/>
      <c r="AK1" s="359"/>
      <c r="AM1" s="359"/>
      <c r="AN1" s="359"/>
      <c r="AP1" s="359"/>
      <c r="AQ1" s="359"/>
      <c r="AS1" s="359"/>
      <c r="AT1" s="359"/>
    </row>
    <row r="2" spans="1:46" ht="24" customHeight="1" thickBot="1">
      <c r="A2" s="121"/>
      <c r="E2" s="337" t="s">
        <v>1152</v>
      </c>
      <c r="F2" s="338"/>
      <c r="G2" s="338"/>
      <c r="H2" s="339"/>
      <c r="K2" s="266"/>
      <c r="L2" s="333" t="s">
        <v>1151</v>
      </c>
      <c r="M2" s="334"/>
      <c r="N2" s="334"/>
      <c r="O2" s="335"/>
      <c r="S2" s="348" t="s">
        <v>1154</v>
      </c>
      <c r="W2" s="354" t="s">
        <v>1157</v>
      </c>
      <c r="AA2" s="357" t="s">
        <v>1159</v>
      </c>
      <c r="AE2" s="363" t="s">
        <v>1164</v>
      </c>
      <c r="AF2" s="364"/>
      <c r="AG2" s="364"/>
      <c r="AH2" s="364"/>
      <c r="AI2" s="364"/>
      <c r="AJ2" s="364"/>
      <c r="AK2" s="364"/>
      <c r="AL2" s="364"/>
      <c r="AM2" s="364"/>
      <c r="AN2" s="364"/>
      <c r="AO2" s="364"/>
      <c r="AP2" s="364"/>
      <c r="AQ2" s="364"/>
      <c r="AR2" s="364"/>
      <c r="AS2" s="364"/>
      <c r="AT2" s="365"/>
    </row>
    <row r="3" spans="1:46" ht="18.75">
      <c r="A3" s="143" t="s">
        <v>8</v>
      </c>
      <c r="K3" s="266"/>
      <c r="L3" s="266"/>
      <c r="M3" s="330"/>
      <c r="O3" s="331"/>
      <c r="AE3" s="358"/>
      <c r="AF3" s="359"/>
      <c r="AG3" s="360"/>
      <c r="AI3" s="359"/>
      <c r="AJ3" s="359"/>
      <c r="AK3" s="359"/>
      <c r="AM3" s="359"/>
      <c r="AN3" s="359"/>
      <c r="AP3" s="359"/>
      <c r="AQ3" s="359"/>
      <c r="AS3" s="359"/>
      <c r="AT3" s="359"/>
    </row>
    <row r="4" spans="1:46" ht="30" customHeight="1">
      <c r="A4" s="144" t="s">
        <v>115</v>
      </c>
      <c r="E4" s="343" t="s">
        <v>1153</v>
      </c>
      <c r="G4" s="340" t="s">
        <v>381</v>
      </c>
      <c r="H4" s="340"/>
      <c r="K4" s="266"/>
      <c r="L4" s="345" t="s">
        <v>136</v>
      </c>
      <c r="M4" s="332"/>
      <c r="N4" s="344" t="s">
        <v>376</v>
      </c>
      <c r="O4" s="344"/>
      <c r="S4" s="131" t="s">
        <v>993</v>
      </c>
      <c r="W4" s="66" t="s">
        <v>1077</v>
      </c>
      <c r="AA4" s="66" t="s">
        <v>1120</v>
      </c>
      <c r="AE4" s="300" t="s">
        <v>350</v>
      </c>
      <c r="AF4" s="300"/>
      <c r="AG4" s="300"/>
      <c r="AH4" s="361"/>
      <c r="AI4" s="301" t="s">
        <v>351</v>
      </c>
      <c r="AJ4" s="301"/>
      <c r="AK4" s="301"/>
      <c r="AM4" s="302" t="s">
        <v>373</v>
      </c>
      <c r="AN4" s="302"/>
      <c r="AP4" s="265" t="s">
        <v>352</v>
      </c>
      <c r="AQ4" s="265"/>
      <c r="AS4" s="266" t="s">
        <v>353</v>
      </c>
      <c r="AT4" s="266"/>
    </row>
    <row r="5" spans="1:46" ht="18.75">
      <c r="A5" s="147" t="s">
        <v>1188</v>
      </c>
      <c r="E5" s="66" t="s">
        <v>1069</v>
      </c>
      <c r="G5" s="341" t="s">
        <v>124</v>
      </c>
      <c r="H5" s="342" t="s">
        <v>370</v>
      </c>
      <c r="K5" s="266"/>
      <c r="L5" s="132" t="s">
        <v>277</v>
      </c>
      <c r="M5" s="332"/>
      <c r="N5" s="131" t="s">
        <v>374</v>
      </c>
      <c r="O5" s="131" t="s">
        <v>375</v>
      </c>
      <c r="S5" s="131" t="s">
        <v>975</v>
      </c>
      <c r="W5" s="66" t="s">
        <v>1076</v>
      </c>
      <c r="AA5" s="66" t="s">
        <v>1113</v>
      </c>
      <c r="AE5" s="131" t="s">
        <v>354</v>
      </c>
      <c r="AF5" s="133" t="s">
        <v>367</v>
      </c>
      <c r="AG5" s="133" t="s">
        <v>366</v>
      </c>
      <c r="AH5" s="360"/>
      <c r="AI5" s="131" t="s">
        <v>355</v>
      </c>
      <c r="AJ5" s="131" t="s">
        <v>367</v>
      </c>
      <c r="AK5" s="131" t="s">
        <v>366</v>
      </c>
      <c r="AM5" s="131" t="s">
        <v>356</v>
      </c>
      <c r="AN5" s="131" t="s">
        <v>382</v>
      </c>
      <c r="AP5" s="131" t="s">
        <v>357</v>
      </c>
      <c r="AQ5" s="131" t="s">
        <v>382</v>
      </c>
      <c r="AS5" s="162" t="s">
        <v>358</v>
      </c>
      <c r="AT5" s="162" t="s">
        <v>382</v>
      </c>
    </row>
    <row r="6" spans="1:46" ht="30" customHeight="1" thickBot="1">
      <c r="A6" s="394" t="s">
        <v>1189</v>
      </c>
      <c r="E6" s="66" t="s">
        <v>1070</v>
      </c>
      <c r="G6" s="131">
        <v>0</v>
      </c>
      <c r="H6" s="133" t="s">
        <v>372</v>
      </c>
      <c r="K6" s="266"/>
      <c r="L6" s="132" t="s">
        <v>301</v>
      </c>
      <c r="M6" s="332"/>
      <c r="N6" s="131" t="s">
        <v>146</v>
      </c>
      <c r="O6" s="131"/>
      <c r="S6" s="131" t="s">
        <v>970</v>
      </c>
      <c r="W6" s="271" t="s">
        <v>970</v>
      </c>
      <c r="AA6" s="66" t="s">
        <v>1108</v>
      </c>
      <c r="AE6" s="133" t="s">
        <v>368</v>
      </c>
      <c r="AF6" s="133" t="s">
        <v>359</v>
      </c>
      <c r="AG6" s="131" t="str">
        <f>CONCATENATE(تقویم!$A$2,HolidayTable[[#This Row],[روز و ماه]])</f>
        <v>14000101</v>
      </c>
      <c r="AI6" s="163" t="s">
        <v>408</v>
      </c>
      <c r="AJ6" s="133" t="s">
        <v>360</v>
      </c>
      <c r="AK6" s="131" t="str">
        <f>CONCATENATE(تقویم!$A$2,EventsTable[[#This Row],[روز و ماه]])</f>
        <v>14000102</v>
      </c>
      <c r="AM6" s="133" t="s">
        <v>777</v>
      </c>
      <c r="AN6" s="133" t="s">
        <v>778</v>
      </c>
      <c r="AP6" s="163" t="s">
        <v>813</v>
      </c>
      <c r="AQ6" s="133" t="s">
        <v>359</v>
      </c>
      <c r="AS6" s="133" t="s">
        <v>894</v>
      </c>
      <c r="AT6" s="133" t="s">
        <v>359</v>
      </c>
    </row>
    <row r="7" spans="1:46" ht="30.75" thickTop="1">
      <c r="A7" s="396" t="s">
        <v>1190</v>
      </c>
      <c r="E7" s="66" t="s">
        <v>1071</v>
      </c>
      <c r="G7" s="131">
        <v>1</v>
      </c>
      <c r="H7" s="133"/>
      <c r="K7" s="266"/>
      <c r="L7" s="132" t="s">
        <v>137</v>
      </c>
      <c r="N7" s="131" t="s">
        <v>377</v>
      </c>
      <c r="O7" s="131"/>
      <c r="S7" s="131" t="s">
        <v>976</v>
      </c>
      <c r="W7" s="66" t="s">
        <v>222</v>
      </c>
      <c r="AE7" s="133" t="s">
        <v>369</v>
      </c>
      <c r="AF7" s="133" t="s">
        <v>360</v>
      </c>
      <c r="AG7" s="131" t="str">
        <f>CONCATENATE(تقویم!$A$2,HolidayTable[[#This Row],[روز و ماه]])</f>
        <v>14000102</v>
      </c>
      <c r="AI7" s="163" t="s">
        <v>409</v>
      </c>
      <c r="AJ7" s="133" t="s">
        <v>360</v>
      </c>
      <c r="AK7" s="131" t="str">
        <f>CONCATENATE(تقویم!$A$2,EventsTable[[#This Row],[روز و ماه]])</f>
        <v>14000102</v>
      </c>
      <c r="AM7" s="133" t="s">
        <v>779</v>
      </c>
      <c r="AN7" s="133" t="s">
        <v>780</v>
      </c>
      <c r="AP7" s="163" t="s">
        <v>814</v>
      </c>
      <c r="AQ7" s="133" t="s">
        <v>815</v>
      </c>
      <c r="AS7" s="133" t="s">
        <v>895</v>
      </c>
      <c r="AT7" s="133" t="s">
        <v>896</v>
      </c>
    </row>
    <row r="8" spans="1:46" ht="45">
      <c r="A8" s="399" t="s">
        <v>1191</v>
      </c>
      <c r="E8" s="66" t="s">
        <v>1072</v>
      </c>
      <c r="G8" s="131">
        <v>2</v>
      </c>
      <c r="H8" s="133"/>
      <c r="K8" s="266"/>
      <c r="L8" s="266"/>
      <c r="N8" s="131" t="s">
        <v>378</v>
      </c>
      <c r="O8" s="131"/>
      <c r="S8" s="131" t="s">
        <v>977</v>
      </c>
      <c r="W8" s="66" t="s">
        <v>971</v>
      </c>
      <c r="AA8" s="66" t="s">
        <v>1121</v>
      </c>
      <c r="AE8" s="133" t="s">
        <v>369</v>
      </c>
      <c r="AF8" s="133" t="s">
        <v>361</v>
      </c>
      <c r="AG8" s="131" t="str">
        <f>CONCATENATE(تقویم!$A$2,HolidayTable[[#This Row],[روز و ماه]])</f>
        <v>14000103</v>
      </c>
      <c r="AI8" s="163" t="s">
        <v>410</v>
      </c>
      <c r="AJ8" s="133" t="s">
        <v>411</v>
      </c>
      <c r="AK8" s="131" t="str">
        <f>CONCATENATE(تقویم!$A$2,EventsTable[[#This Row],[روز و ماه]])</f>
        <v>14000106</v>
      </c>
      <c r="AM8" s="133" t="s">
        <v>781</v>
      </c>
      <c r="AN8" s="133" t="s">
        <v>782</v>
      </c>
      <c r="AP8" s="163" t="s">
        <v>816</v>
      </c>
      <c r="AQ8" s="133" t="s">
        <v>363</v>
      </c>
      <c r="AS8" s="133" t="s">
        <v>897</v>
      </c>
      <c r="AT8" s="133" t="s">
        <v>898</v>
      </c>
    </row>
    <row r="9" spans="1:46" ht="45">
      <c r="A9" s="397" t="s">
        <v>7</v>
      </c>
      <c r="E9" s="66" t="s">
        <v>1073</v>
      </c>
      <c r="G9" s="131">
        <v>3</v>
      </c>
      <c r="H9" s="133"/>
      <c r="K9" s="266"/>
      <c r="L9" s="117" t="s">
        <v>112</v>
      </c>
      <c r="N9" s="131" t="s">
        <v>379</v>
      </c>
      <c r="O9" s="131"/>
      <c r="S9" s="131" t="s">
        <v>979</v>
      </c>
      <c r="W9" s="66" t="s">
        <v>973</v>
      </c>
      <c r="AA9" s="66" t="s">
        <v>1122</v>
      </c>
      <c r="AE9" s="133" t="s">
        <v>369</v>
      </c>
      <c r="AF9" s="133" t="s">
        <v>362</v>
      </c>
      <c r="AG9" s="131" t="str">
        <f>CONCATENATE(تقویم!$A$2,HolidayTable[[#This Row],[روز و ماه]])</f>
        <v>14000104</v>
      </c>
      <c r="AI9" s="163" t="s">
        <v>412</v>
      </c>
      <c r="AJ9" s="133" t="s">
        <v>413</v>
      </c>
      <c r="AK9" s="131" t="str">
        <f>CONCATENATE(تقویم!$A$2,EventsTable[[#This Row],[روز و ماه]])</f>
        <v>14000107</v>
      </c>
      <c r="AM9" s="133" t="s">
        <v>783</v>
      </c>
      <c r="AN9" s="133" t="s">
        <v>463</v>
      </c>
      <c r="AP9" s="163" t="s">
        <v>817</v>
      </c>
      <c r="AQ9" s="133" t="s">
        <v>425</v>
      </c>
      <c r="AS9" s="133" t="s">
        <v>899</v>
      </c>
      <c r="AT9" s="133" t="s">
        <v>900</v>
      </c>
    </row>
    <row r="10" spans="1:46" ht="60">
      <c r="A10" s="398" t="s">
        <v>100</v>
      </c>
      <c r="K10" s="266"/>
      <c r="L10" s="132" t="s">
        <v>113</v>
      </c>
      <c r="N10" s="131" t="s">
        <v>380</v>
      </c>
      <c r="O10" s="131"/>
      <c r="S10" s="131" t="s">
        <v>978</v>
      </c>
      <c r="W10" s="66" t="s">
        <v>972</v>
      </c>
      <c r="AA10" s="66" t="s">
        <v>1114</v>
      </c>
      <c r="AE10" s="133" t="s">
        <v>365</v>
      </c>
      <c r="AF10" s="133" t="s">
        <v>363</v>
      </c>
      <c r="AG10" s="131" t="str">
        <f>CONCATENATE(تقویم!$A$2,HolidayTable[[#This Row],[روز و ماه]])</f>
        <v>14000112</v>
      </c>
      <c r="AI10" s="163" t="s">
        <v>414</v>
      </c>
      <c r="AJ10" s="133" t="s">
        <v>405</v>
      </c>
      <c r="AK10" s="131" t="str">
        <f>CONCATENATE(تقویم!$A$2,EventsTable[[#This Row],[روز و ماه]])</f>
        <v>14000115</v>
      </c>
      <c r="AM10" s="133" t="s">
        <v>784</v>
      </c>
      <c r="AN10" s="133" t="s">
        <v>463</v>
      </c>
      <c r="AP10" s="163" t="s">
        <v>818</v>
      </c>
      <c r="AQ10" s="133" t="s">
        <v>441</v>
      </c>
      <c r="AS10" s="133" t="s">
        <v>901</v>
      </c>
      <c r="AT10" s="133" t="s">
        <v>902</v>
      </c>
    </row>
    <row r="11" spans="1:46" ht="30">
      <c r="A11" s="121"/>
      <c r="K11" s="266"/>
      <c r="L11" s="132" t="s">
        <v>114</v>
      </c>
      <c r="S11" s="131" t="s">
        <v>980</v>
      </c>
      <c r="W11" s="66" t="s">
        <v>995</v>
      </c>
      <c r="AA11" s="66" t="s">
        <v>1123</v>
      </c>
      <c r="AE11" s="133" t="s">
        <v>399</v>
      </c>
      <c r="AF11" s="133" t="s">
        <v>364</v>
      </c>
      <c r="AG11" s="131" t="str">
        <f>CONCATENATE(تقویم!$A$2,HolidayTable[[#This Row],[روز و ماه]])</f>
        <v>14000113</v>
      </c>
      <c r="AI11" s="164" t="s">
        <v>415</v>
      </c>
      <c r="AJ11" s="133" t="s">
        <v>416</v>
      </c>
      <c r="AK11" s="131" t="str">
        <f>CONCATENATE(تقویم!$A$2,EventsTable[[#This Row],[روز و ماه]])</f>
        <v>14000118</v>
      </c>
      <c r="AM11" s="133" t="s">
        <v>785</v>
      </c>
      <c r="AN11" s="133" t="s">
        <v>786</v>
      </c>
      <c r="AP11" s="133" t="s">
        <v>819</v>
      </c>
      <c r="AQ11" s="133" t="s">
        <v>820</v>
      </c>
      <c r="AS11" s="133" t="s">
        <v>903</v>
      </c>
      <c r="AT11" s="133" t="s">
        <v>539</v>
      </c>
    </row>
    <row r="12" spans="1:46" ht="90">
      <c r="A12" s="121"/>
      <c r="K12" s="266"/>
      <c r="L12" s="132" t="s">
        <v>138</v>
      </c>
      <c r="S12" s="131" t="s">
        <v>1011</v>
      </c>
      <c r="AE12" s="165" t="s">
        <v>400</v>
      </c>
      <c r="AF12" s="133" t="s">
        <v>404</v>
      </c>
      <c r="AG12" s="135" t="str">
        <f>CONCATENATE(تقویم!$A$2,HolidayTable[[#This Row],[روز و ماه]])</f>
        <v>14000314</v>
      </c>
      <c r="AI12" s="164" t="s">
        <v>417</v>
      </c>
      <c r="AJ12" s="133" t="s">
        <v>418</v>
      </c>
      <c r="AK12" s="135" t="str">
        <f>CONCATENATE(تقویم!$A$2,EventsTable[[#This Row],[روز و ماه]])</f>
        <v>14000119</v>
      </c>
      <c r="AM12" s="133" t="s">
        <v>787</v>
      </c>
      <c r="AN12" s="133" t="s">
        <v>788</v>
      </c>
      <c r="AP12" s="163" t="s">
        <v>821</v>
      </c>
      <c r="AQ12" s="133" t="s">
        <v>461</v>
      </c>
      <c r="AS12" s="133" t="s">
        <v>904</v>
      </c>
      <c r="AT12" s="133" t="s">
        <v>543</v>
      </c>
    </row>
    <row r="13" spans="1:46" ht="45">
      <c r="A13" s="121"/>
      <c r="K13" s="266"/>
      <c r="L13" s="266"/>
      <c r="S13" s="131" t="s">
        <v>1013</v>
      </c>
      <c r="W13" s="131" t="s">
        <v>988</v>
      </c>
      <c r="AA13" s="66" t="s">
        <v>1124</v>
      </c>
      <c r="AE13" s="133" t="s">
        <v>401</v>
      </c>
      <c r="AF13" s="133" t="s">
        <v>405</v>
      </c>
      <c r="AG13" s="135" t="str">
        <f>CONCATENATE(تقویم!$A$2,HolidayTable[[#This Row],[روز و ماه]])</f>
        <v>14000115</v>
      </c>
      <c r="AI13" s="164" t="s">
        <v>419</v>
      </c>
      <c r="AJ13" s="133" t="s">
        <v>420</v>
      </c>
      <c r="AK13" s="135" t="str">
        <f>CONCATENATE(تقویم!$A$2,EventsTable[[#This Row],[روز و ماه]])</f>
        <v>14000120</v>
      </c>
      <c r="AM13" s="133" t="s">
        <v>789</v>
      </c>
      <c r="AN13" s="133" t="s">
        <v>788</v>
      </c>
      <c r="AP13" s="163" t="s">
        <v>822</v>
      </c>
      <c r="AQ13" s="133" t="s">
        <v>469</v>
      </c>
      <c r="AS13" s="133" t="s">
        <v>905</v>
      </c>
      <c r="AT13" s="133" t="s">
        <v>558</v>
      </c>
    </row>
    <row r="14" spans="1:46" ht="60.75" thickBot="1">
      <c r="K14" s="266"/>
      <c r="L14" s="131" t="s">
        <v>144</v>
      </c>
      <c r="S14" s="245" t="s">
        <v>986</v>
      </c>
      <c r="W14" s="131" t="s">
        <v>123</v>
      </c>
      <c r="AA14" s="66" t="s">
        <v>1185</v>
      </c>
      <c r="AE14" s="133" t="s">
        <v>402</v>
      </c>
      <c r="AF14" s="133" t="s">
        <v>406</v>
      </c>
      <c r="AG14" s="135" t="str">
        <f>CONCATENATE(تقویم!$A$2,HolidayTable[[#This Row],[روز و ماه]])</f>
        <v>14001122</v>
      </c>
      <c r="AI14" s="164" t="s">
        <v>421</v>
      </c>
      <c r="AJ14" s="133" t="s">
        <v>420</v>
      </c>
      <c r="AK14" s="135" t="str">
        <f>CONCATENATE(تقویم!$A$2,EventsTable[[#This Row],[روز و ماه]])</f>
        <v>14000120</v>
      </c>
      <c r="AM14" s="133" t="s">
        <v>790</v>
      </c>
      <c r="AN14" s="133" t="s">
        <v>791</v>
      </c>
      <c r="AP14" s="163" t="s">
        <v>823</v>
      </c>
      <c r="AQ14" s="133" t="s">
        <v>824</v>
      </c>
      <c r="AS14" s="133" t="s">
        <v>906</v>
      </c>
      <c r="AT14" s="133" t="s">
        <v>573</v>
      </c>
    </row>
    <row r="15" spans="1:46" ht="60.75" thickTop="1">
      <c r="K15" s="266"/>
      <c r="L15" s="131" t="s">
        <v>148</v>
      </c>
      <c r="S15" s="131" t="s">
        <v>971</v>
      </c>
      <c r="W15" s="246" t="s">
        <v>1044</v>
      </c>
      <c r="AA15" s="66" t="s">
        <v>1109</v>
      </c>
      <c r="AE15" s="133" t="s">
        <v>403</v>
      </c>
      <c r="AF15" s="133" t="s">
        <v>407</v>
      </c>
      <c r="AG15" s="135" t="str">
        <f>CONCATENATE(تقویم!$A$2,HolidayTable[[#This Row],[روز و ماه]])</f>
        <v>14001229</v>
      </c>
      <c r="AI15" s="164" t="s">
        <v>422</v>
      </c>
      <c r="AJ15" s="133" t="s">
        <v>423</v>
      </c>
      <c r="AK15" s="135" t="str">
        <f>CONCATENATE(تقویم!$A$2,EventsTable[[#This Row],[روز و ماه]])</f>
        <v>14000121</v>
      </c>
      <c r="AM15" s="133" t="s">
        <v>792</v>
      </c>
      <c r="AN15" s="133" t="s">
        <v>791</v>
      </c>
      <c r="AP15" s="163" t="s">
        <v>825</v>
      </c>
      <c r="AQ15" s="133" t="s">
        <v>824</v>
      </c>
      <c r="AS15" s="133" t="s">
        <v>907</v>
      </c>
      <c r="AT15" s="133" t="s">
        <v>585</v>
      </c>
    </row>
    <row r="16" spans="1:46" ht="90">
      <c r="K16" s="266"/>
      <c r="L16" s="131" t="s">
        <v>145</v>
      </c>
      <c r="S16" s="131" t="s">
        <v>973</v>
      </c>
      <c r="W16" s="131" t="s">
        <v>1042</v>
      </c>
      <c r="AA16" s="66" t="s">
        <v>1126</v>
      </c>
      <c r="AE16" s="127"/>
      <c r="AF16" s="130"/>
      <c r="AG16" s="136"/>
      <c r="AI16" s="164" t="s">
        <v>424</v>
      </c>
      <c r="AJ16" s="133" t="s">
        <v>423</v>
      </c>
      <c r="AK16" s="135" t="str">
        <f>CONCATENATE(تقویم!$A$2,EventsTable[[#This Row],[روز و ماه]])</f>
        <v>14000121</v>
      </c>
      <c r="AM16" s="133" t="s">
        <v>793</v>
      </c>
      <c r="AN16" s="133" t="s">
        <v>581</v>
      </c>
      <c r="AP16" s="133" t="s">
        <v>826</v>
      </c>
      <c r="AQ16" s="133" t="s">
        <v>827</v>
      </c>
      <c r="AS16" s="133" t="s">
        <v>908</v>
      </c>
      <c r="AT16" s="133" t="s">
        <v>604</v>
      </c>
    </row>
    <row r="17" spans="11:46" ht="45">
      <c r="K17" s="266"/>
      <c r="L17" s="131" t="s">
        <v>146</v>
      </c>
      <c r="S17" s="131" t="s">
        <v>1012</v>
      </c>
      <c r="W17" s="131" t="s">
        <v>989</v>
      </c>
      <c r="AA17" s="66" t="s">
        <v>1127</v>
      </c>
      <c r="AE17" s="127"/>
      <c r="AF17" s="130"/>
      <c r="AG17" s="136"/>
      <c r="AI17" s="164" t="s">
        <v>810</v>
      </c>
      <c r="AJ17" s="133" t="s">
        <v>425</v>
      </c>
      <c r="AK17" s="135" t="str">
        <f>CONCATENATE(تقویم!$A$2,EventsTable[[#This Row],[روز و ماه]])</f>
        <v>14000125</v>
      </c>
      <c r="AM17" s="133" t="s">
        <v>794</v>
      </c>
      <c r="AN17" s="133" t="s">
        <v>629</v>
      </c>
      <c r="AP17" s="133" t="s">
        <v>828</v>
      </c>
      <c r="AQ17" s="133" t="s">
        <v>504</v>
      </c>
      <c r="AS17" s="133" t="s">
        <v>909</v>
      </c>
      <c r="AT17" s="133" t="s">
        <v>910</v>
      </c>
    </row>
    <row r="18" spans="11:46" ht="45">
      <c r="K18" s="266"/>
      <c r="L18" s="131" t="s">
        <v>302</v>
      </c>
      <c r="S18" s="131" t="s">
        <v>1014</v>
      </c>
      <c r="W18" s="131" t="s">
        <v>992</v>
      </c>
      <c r="AA18" s="66" t="s">
        <v>1125</v>
      </c>
      <c r="AE18" s="127"/>
      <c r="AF18" s="130"/>
      <c r="AG18" s="136"/>
      <c r="AI18" s="164" t="s">
        <v>426</v>
      </c>
      <c r="AJ18" s="133" t="s">
        <v>427</v>
      </c>
      <c r="AK18" s="135" t="str">
        <f>CONCATENATE(تقویم!$A$2,EventsTable[[#This Row],[روز و ماه]])</f>
        <v>14000129</v>
      </c>
      <c r="AM18" s="133" t="s">
        <v>795</v>
      </c>
      <c r="AN18" s="133" t="s">
        <v>796</v>
      </c>
      <c r="AP18" s="133" t="s">
        <v>829</v>
      </c>
      <c r="AQ18" s="133" t="s">
        <v>506</v>
      </c>
      <c r="AS18" s="133" t="s">
        <v>911</v>
      </c>
      <c r="AT18" s="133" t="s">
        <v>647</v>
      </c>
    </row>
    <row r="19" spans="11:46" ht="60">
      <c r="K19" s="266"/>
      <c r="L19" s="131" t="s">
        <v>149</v>
      </c>
      <c r="S19" s="131" t="s">
        <v>974</v>
      </c>
      <c r="AA19" s="66" t="s">
        <v>1128</v>
      </c>
      <c r="AE19" s="127"/>
      <c r="AF19" s="130"/>
      <c r="AG19" s="136"/>
      <c r="AI19" s="164" t="s">
        <v>428</v>
      </c>
      <c r="AJ19" s="133" t="s">
        <v>429</v>
      </c>
      <c r="AK19" s="135" t="str">
        <f>CONCATENATE(تقویم!$A$2,EventsTable[[#This Row],[روز و ماه]])</f>
        <v>14000201</v>
      </c>
      <c r="AM19" s="133" t="s">
        <v>797</v>
      </c>
      <c r="AN19" s="133" t="s">
        <v>798</v>
      </c>
      <c r="AP19" s="133" t="s">
        <v>830</v>
      </c>
      <c r="AQ19" s="133" t="s">
        <v>539</v>
      </c>
      <c r="AS19" s="133" t="s">
        <v>912</v>
      </c>
      <c r="AT19" s="133" t="s">
        <v>913</v>
      </c>
    </row>
    <row r="20" spans="11:46" ht="60">
      <c r="K20" s="266"/>
      <c r="L20" s="131" t="s">
        <v>77</v>
      </c>
      <c r="S20" s="131" t="s">
        <v>981</v>
      </c>
      <c r="AA20" s="66" t="s">
        <v>1115</v>
      </c>
      <c r="AE20" s="127"/>
      <c r="AF20" s="130"/>
      <c r="AG20" s="136"/>
      <c r="AI20" s="164" t="s">
        <v>430</v>
      </c>
      <c r="AJ20" s="133" t="s">
        <v>431</v>
      </c>
      <c r="AK20" s="135" t="str">
        <f>CONCATENATE(تقویم!$A$2,EventsTable[[#This Row],[روز و ماه]])</f>
        <v>14000202</v>
      </c>
      <c r="AM20" s="133" t="s">
        <v>799</v>
      </c>
      <c r="AN20" s="133" t="s">
        <v>800</v>
      </c>
      <c r="AP20" s="133" t="s">
        <v>831</v>
      </c>
      <c r="AQ20" s="133" t="s">
        <v>832</v>
      </c>
      <c r="AS20" s="133" t="s">
        <v>914</v>
      </c>
      <c r="AT20" s="133" t="s">
        <v>699</v>
      </c>
    </row>
    <row r="21" spans="11:46" ht="30">
      <c r="K21" s="266"/>
      <c r="L21" s="131" t="s">
        <v>147</v>
      </c>
      <c r="S21" s="133" t="s">
        <v>995</v>
      </c>
      <c r="AE21" s="127"/>
      <c r="AF21" s="130"/>
      <c r="AG21" s="136"/>
      <c r="AI21" s="164" t="s">
        <v>432</v>
      </c>
      <c r="AJ21" s="133" t="s">
        <v>431</v>
      </c>
      <c r="AK21" s="135" t="str">
        <f>CONCATENATE(تقویم!$A$2,EventsTable[[#This Row],[روز و ماه]])</f>
        <v>14000202</v>
      </c>
      <c r="AM21" s="133" t="s">
        <v>801</v>
      </c>
      <c r="AN21" s="133" t="s">
        <v>802</v>
      </c>
      <c r="AP21" s="133" t="s">
        <v>833</v>
      </c>
      <c r="AQ21" s="133" t="s">
        <v>599</v>
      </c>
      <c r="AS21" s="133" t="s">
        <v>915</v>
      </c>
      <c r="AT21" s="133" t="s">
        <v>704</v>
      </c>
    </row>
    <row r="22" spans="11:46" ht="30">
      <c r="K22" s="266"/>
      <c r="L22" s="266"/>
      <c r="S22" s="131" t="s">
        <v>972</v>
      </c>
      <c r="AA22" s="66" t="s">
        <v>1104</v>
      </c>
      <c r="AE22" s="127"/>
      <c r="AF22" s="130"/>
      <c r="AG22" s="136"/>
      <c r="AI22" s="164" t="s">
        <v>433</v>
      </c>
      <c r="AJ22" s="133" t="s">
        <v>431</v>
      </c>
      <c r="AK22" s="135" t="str">
        <f>CONCATENATE(تقویم!$A$2,EventsTable[[#This Row],[روز و ماه]])</f>
        <v>14000202</v>
      </c>
      <c r="AM22" s="133" t="s">
        <v>803</v>
      </c>
      <c r="AN22" s="133" t="s">
        <v>804</v>
      </c>
      <c r="AP22" s="133" t="s">
        <v>834</v>
      </c>
      <c r="AQ22" s="133" t="s">
        <v>599</v>
      </c>
      <c r="AS22" s="133" t="s">
        <v>916</v>
      </c>
      <c r="AT22" s="133" t="s">
        <v>704</v>
      </c>
    </row>
    <row r="23" spans="11:46" ht="45">
      <c r="K23" s="266"/>
      <c r="L23" s="266"/>
      <c r="AA23" s="66" t="s">
        <v>1129</v>
      </c>
      <c r="AE23" s="127"/>
      <c r="AF23" s="130"/>
      <c r="AG23" s="136"/>
      <c r="AI23" s="164" t="s">
        <v>434</v>
      </c>
      <c r="AJ23" s="133" t="s">
        <v>435</v>
      </c>
      <c r="AK23" s="135" t="str">
        <f>CONCATENATE(تقویم!$A$2,EventsTable[[#This Row],[روز و ماه]])</f>
        <v>14000203</v>
      </c>
      <c r="AM23" s="133" t="s">
        <v>805</v>
      </c>
      <c r="AN23" s="133" t="s">
        <v>806</v>
      </c>
      <c r="AP23" s="133" t="s">
        <v>835</v>
      </c>
      <c r="AQ23" s="133" t="s">
        <v>608</v>
      </c>
      <c r="AS23" s="133" t="s">
        <v>917</v>
      </c>
      <c r="AT23" s="133" t="s">
        <v>802</v>
      </c>
    </row>
    <row r="24" spans="11:46" ht="60">
      <c r="K24" s="266"/>
      <c r="L24" s="266"/>
      <c r="S24" s="131" t="s">
        <v>988</v>
      </c>
      <c r="AA24" s="66" t="s">
        <v>1116</v>
      </c>
      <c r="AE24" s="127"/>
      <c r="AF24" s="130"/>
      <c r="AG24" s="136"/>
      <c r="AI24" s="164" t="s">
        <v>436</v>
      </c>
      <c r="AJ24" s="133" t="s">
        <v>435</v>
      </c>
      <c r="AK24" s="135" t="str">
        <f>CONCATENATE(تقویم!$A$2,EventsTable[[#This Row],[روز و ماه]])</f>
        <v>14000203</v>
      </c>
      <c r="AM24" s="133" t="s">
        <v>807</v>
      </c>
      <c r="AN24" s="133" t="s">
        <v>808</v>
      </c>
      <c r="AP24" s="133" t="s">
        <v>836</v>
      </c>
      <c r="AQ24" s="133" t="s">
        <v>608</v>
      </c>
      <c r="AS24" s="133" t="s">
        <v>918</v>
      </c>
      <c r="AT24" s="133" t="s">
        <v>713</v>
      </c>
    </row>
    <row r="25" spans="11:46" ht="45">
      <c r="K25" s="266"/>
      <c r="L25" s="266"/>
      <c r="S25" s="131" t="s">
        <v>123</v>
      </c>
      <c r="AA25" s="66" t="s">
        <v>1130</v>
      </c>
      <c r="AE25" s="127"/>
      <c r="AF25" s="130"/>
      <c r="AG25" s="136"/>
      <c r="AI25" s="164" t="s">
        <v>437</v>
      </c>
      <c r="AJ25" s="133" t="s">
        <v>435</v>
      </c>
      <c r="AK25" s="135" t="str">
        <f>CONCATENATE(تقویم!$A$2,EventsTable[[#This Row],[روز و ماه]])</f>
        <v>14000203</v>
      </c>
      <c r="AM25" s="133" t="s">
        <v>809</v>
      </c>
      <c r="AN25" s="133" t="s">
        <v>765</v>
      </c>
      <c r="AP25" s="133" t="s">
        <v>837</v>
      </c>
      <c r="AQ25" s="133" t="s">
        <v>608</v>
      </c>
      <c r="AS25" s="133" t="s">
        <v>919</v>
      </c>
      <c r="AT25" s="133" t="s">
        <v>715</v>
      </c>
    </row>
    <row r="26" spans="11:46" ht="45">
      <c r="K26" s="266"/>
      <c r="L26" s="266"/>
      <c r="S26" s="246" t="s">
        <v>1044</v>
      </c>
      <c r="AE26" s="127"/>
      <c r="AF26" s="130"/>
      <c r="AG26" s="136"/>
      <c r="AI26" s="164" t="s">
        <v>438</v>
      </c>
      <c r="AJ26" s="133" t="s">
        <v>439</v>
      </c>
      <c r="AK26" s="135" t="str">
        <f>CONCATENATE(تقویم!$A$2,EventsTable[[#This Row],[روز و ماه]])</f>
        <v>14000205</v>
      </c>
      <c r="AP26" s="133" t="s">
        <v>838</v>
      </c>
      <c r="AQ26" s="133" t="s">
        <v>839</v>
      </c>
      <c r="AS26" s="133" t="s">
        <v>920</v>
      </c>
      <c r="AT26" s="133" t="s">
        <v>921</v>
      </c>
    </row>
    <row r="27" spans="11:46" ht="45">
      <c r="K27" s="266"/>
      <c r="L27" s="266"/>
      <c r="S27" s="131" t="s">
        <v>1042</v>
      </c>
      <c r="AA27" s="66" t="s">
        <v>1107</v>
      </c>
      <c r="AE27" s="127"/>
      <c r="AF27" s="130"/>
      <c r="AG27" s="136"/>
      <c r="AI27" s="164" t="s">
        <v>440</v>
      </c>
      <c r="AJ27" s="133" t="s">
        <v>441</v>
      </c>
      <c r="AK27" s="135" t="str">
        <f>CONCATENATE(تقویم!$A$2,EventsTable[[#This Row],[روز و ماه]])</f>
        <v>14000207</v>
      </c>
      <c r="AP27" s="133" t="s">
        <v>840</v>
      </c>
      <c r="AQ27" s="133" t="s">
        <v>841</v>
      </c>
      <c r="AS27" s="133" t="s">
        <v>922</v>
      </c>
      <c r="AT27" s="133" t="s">
        <v>923</v>
      </c>
    </row>
    <row r="28" spans="11:46" ht="60">
      <c r="K28" s="266"/>
      <c r="L28" s="266"/>
      <c r="S28" s="131" t="s">
        <v>989</v>
      </c>
      <c r="AA28" s="66" t="s">
        <v>1180</v>
      </c>
      <c r="AE28" s="127"/>
      <c r="AF28" s="130"/>
      <c r="AG28" s="136"/>
      <c r="AI28" s="164" t="s">
        <v>442</v>
      </c>
      <c r="AJ28" s="133" t="s">
        <v>443</v>
      </c>
      <c r="AK28" s="135" t="str">
        <f>CONCATENATE(تقویم!$A$2,EventsTable[[#This Row],[روز و ماه]])</f>
        <v>14000209</v>
      </c>
      <c r="AP28" s="133" t="s">
        <v>842</v>
      </c>
      <c r="AQ28" s="133" t="s">
        <v>843</v>
      </c>
      <c r="AS28" s="133" t="s">
        <v>924</v>
      </c>
      <c r="AT28" s="133" t="s">
        <v>925</v>
      </c>
    </row>
    <row r="29" spans="11:46" ht="30">
      <c r="K29" s="266"/>
      <c r="L29" s="266"/>
      <c r="S29" s="131" t="s">
        <v>990</v>
      </c>
      <c r="AA29" s="66" t="s">
        <v>1131</v>
      </c>
      <c r="AE29" s="127"/>
      <c r="AF29" s="130"/>
      <c r="AG29" s="136"/>
      <c r="AI29" s="164" t="s">
        <v>444</v>
      </c>
      <c r="AJ29" s="133" t="s">
        <v>445</v>
      </c>
      <c r="AK29" s="135" t="str">
        <f>CONCATENATE(تقویم!$A$2,EventsTable[[#This Row],[روز و ماه]])</f>
        <v>14000210</v>
      </c>
      <c r="AP29" s="133" t="s">
        <v>844</v>
      </c>
      <c r="AQ29" s="133" t="s">
        <v>629</v>
      </c>
      <c r="AS29" s="133" t="s">
        <v>926</v>
      </c>
      <c r="AT29" s="133" t="s">
        <v>927</v>
      </c>
    </row>
    <row r="30" spans="11:46" ht="30">
      <c r="K30" s="266"/>
      <c r="L30" s="266"/>
      <c r="S30" s="131" t="s">
        <v>1043</v>
      </c>
      <c r="AA30" s="66" t="s">
        <v>1117</v>
      </c>
      <c r="AE30" s="127"/>
      <c r="AF30" s="130"/>
      <c r="AG30" s="136"/>
      <c r="AI30" s="164" t="s">
        <v>446</v>
      </c>
      <c r="AJ30" s="133" t="s">
        <v>445</v>
      </c>
      <c r="AK30" s="135" t="str">
        <f>CONCATENATE(تقویم!$A$2,EventsTable[[#This Row],[روز و ماه]])</f>
        <v>14000210</v>
      </c>
      <c r="AP30" s="133" t="s">
        <v>845</v>
      </c>
      <c r="AQ30" s="133" t="s">
        <v>629</v>
      </c>
      <c r="AS30" s="133" t="s">
        <v>928</v>
      </c>
      <c r="AT30" s="133" t="s">
        <v>882</v>
      </c>
    </row>
    <row r="31" spans="11:46" ht="45">
      <c r="K31" s="266"/>
      <c r="L31" s="266"/>
      <c r="S31" s="131" t="s">
        <v>991</v>
      </c>
      <c r="AA31" s="66" t="s">
        <v>1112</v>
      </c>
      <c r="AE31" s="127"/>
      <c r="AF31" s="130"/>
      <c r="AG31" s="136"/>
      <c r="AI31" s="164" t="s">
        <v>447</v>
      </c>
      <c r="AJ31" s="133" t="s">
        <v>448</v>
      </c>
      <c r="AK31" s="135" t="str">
        <f>CONCATENATE(تقویم!$A$2,EventsTable[[#This Row],[روز و ماه]])</f>
        <v>14000212</v>
      </c>
      <c r="AP31" s="133" t="s">
        <v>846</v>
      </c>
      <c r="AQ31" s="133" t="s">
        <v>634</v>
      </c>
      <c r="AS31" s="133" t="s">
        <v>929</v>
      </c>
      <c r="AT31" s="133" t="s">
        <v>750</v>
      </c>
    </row>
    <row r="32" spans="11:46" ht="45">
      <c r="K32" s="266"/>
      <c r="L32" s="266"/>
      <c r="S32" s="131" t="s">
        <v>992</v>
      </c>
      <c r="AA32" s="66" t="s">
        <v>1186</v>
      </c>
      <c r="AE32" s="127"/>
      <c r="AF32" s="130"/>
      <c r="AG32" s="136"/>
      <c r="AI32" s="164" t="s">
        <v>449</v>
      </c>
      <c r="AJ32" s="133" t="s">
        <v>450</v>
      </c>
      <c r="AK32" s="135" t="str">
        <f>CONCATENATE(تقویم!$A$2,EventsTable[[#This Row],[روز و ماه]])</f>
        <v>14000215</v>
      </c>
      <c r="AP32" s="133" t="s">
        <v>847</v>
      </c>
      <c r="AQ32" s="133" t="s">
        <v>634</v>
      </c>
      <c r="AS32" s="133" t="s">
        <v>930</v>
      </c>
      <c r="AT32" s="133" t="s">
        <v>887</v>
      </c>
    </row>
    <row r="33" spans="11:46" ht="45">
      <c r="K33" s="266"/>
      <c r="L33" s="266"/>
      <c r="AE33" s="127"/>
      <c r="AF33" s="130"/>
      <c r="AG33" s="136"/>
      <c r="AI33" s="164" t="s">
        <v>451</v>
      </c>
      <c r="AJ33" s="133" t="s">
        <v>452</v>
      </c>
      <c r="AK33" s="135" t="str">
        <f>CONCATENATE(تقویم!$A$2,EventsTable[[#This Row],[روز و ماه]])</f>
        <v>14000218</v>
      </c>
      <c r="AP33" s="133" t="s">
        <v>848</v>
      </c>
      <c r="AQ33" s="133" t="s">
        <v>849</v>
      </c>
      <c r="AS33" s="133" t="s">
        <v>931</v>
      </c>
      <c r="AT33" s="133" t="s">
        <v>774</v>
      </c>
    </row>
    <row r="34" spans="11:46" ht="45">
      <c r="K34" s="266"/>
      <c r="L34" s="266"/>
      <c r="AA34" s="315" t="s">
        <v>1136</v>
      </c>
      <c r="AE34" s="127"/>
      <c r="AF34" s="130"/>
      <c r="AG34" s="136"/>
      <c r="AI34" s="164" t="s">
        <v>453</v>
      </c>
      <c r="AJ34" s="133" t="s">
        <v>454</v>
      </c>
      <c r="AK34" s="135" t="str">
        <f>CONCATENATE(تقویم!$A$2,EventsTable[[#This Row],[روز و ماه]])</f>
        <v>14000219</v>
      </c>
      <c r="AP34" s="133" t="s">
        <v>850</v>
      </c>
      <c r="AQ34" s="133" t="s">
        <v>851</v>
      </c>
    </row>
    <row r="35" spans="11:46" ht="60">
      <c r="K35" s="266"/>
      <c r="L35" s="266"/>
      <c r="AA35" s="315" t="s">
        <v>1137</v>
      </c>
      <c r="AE35" s="127"/>
      <c r="AF35" s="130"/>
      <c r="AG35" s="136"/>
      <c r="AI35" s="164" t="s">
        <v>455</v>
      </c>
      <c r="AJ35" s="133" t="s">
        <v>454</v>
      </c>
      <c r="AK35" s="135" t="str">
        <f>CONCATENATE(تقویم!$A$2,EventsTable[[#This Row],[روز و ماه]])</f>
        <v>14000219</v>
      </c>
      <c r="AP35" s="133" t="s">
        <v>852</v>
      </c>
      <c r="AQ35" s="133" t="s">
        <v>650</v>
      </c>
    </row>
    <row r="36" spans="11:46" ht="60">
      <c r="K36" s="266"/>
      <c r="L36" s="266"/>
      <c r="AA36" s="315" t="s">
        <v>1138</v>
      </c>
      <c r="AE36" s="127"/>
      <c r="AF36" s="130"/>
      <c r="AG36" s="136"/>
      <c r="AI36" s="164" t="s">
        <v>456</v>
      </c>
      <c r="AJ36" s="133" t="s">
        <v>457</v>
      </c>
      <c r="AK36" s="135" t="str">
        <f>CONCATENATE(تقویم!$A$2,EventsTable[[#This Row],[روز و ماه]])</f>
        <v>14000224</v>
      </c>
      <c r="AP36" s="133" t="s">
        <v>853</v>
      </c>
      <c r="AQ36" s="133" t="s">
        <v>854</v>
      </c>
    </row>
    <row r="37" spans="11:46" ht="45">
      <c r="AA37" s="315" t="s">
        <v>1118</v>
      </c>
      <c r="AE37" s="127"/>
      <c r="AF37" s="130"/>
      <c r="AG37" s="136"/>
      <c r="AI37" s="164" t="s">
        <v>458</v>
      </c>
      <c r="AJ37" s="133" t="s">
        <v>459</v>
      </c>
      <c r="AK37" s="135" t="str">
        <f>CONCATENATE(تقویم!$A$2,EventsTable[[#This Row],[روز و ماه]])</f>
        <v>14000225</v>
      </c>
      <c r="AP37" s="133" t="s">
        <v>855</v>
      </c>
      <c r="AQ37" s="133" t="s">
        <v>856</v>
      </c>
    </row>
    <row r="38" spans="11:46" ht="30">
      <c r="AA38" s="315" t="s">
        <v>1139</v>
      </c>
      <c r="AE38" s="127"/>
      <c r="AF38" s="130"/>
      <c r="AG38" s="136"/>
      <c r="AI38" s="164" t="s">
        <v>460</v>
      </c>
      <c r="AJ38" s="133" t="s">
        <v>461</v>
      </c>
      <c r="AK38" s="135" t="str">
        <f>CONCATENATE(تقویم!$A$2,EventsTable[[#This Row],[روز و ماه]])</f>
        <v>14000227</v>
      </c>
      <c r="AP38" s="133" t="s">
        <v>857</v>
      </c>
      <c r="AQ38" s="133" t="s">
        <v>798</v>
      </c>
    </row>
    <row r="39" spans="11:46" ht="30">
      <c r="AA39" s="315" t="s">
        <v>1140</v>
      </c>
      <c r="AE39" s="127"/>
      <c r="AF39" s="130"/>
      <c r="AG39" s="136"/>
      <c r="AI39" s="164" t="s">
        <v>462</v>
      </c>
      <c r="AJ39" s="133" t="s">
        <v>463</v>
      </c>
      <c r="AK39" s="135" t="str">
        <f>CONCATENATE(تقویم!$A$2,EventsTable[[#This Row],[روز و ماه]])</f>
        <v>14000228</v>
      </c>
      <c r="AP39" s="133" t="s">
        <v>858</v>
      </c>
      <c r="AQ39" s="133" t="s">
        <v>679</v>
      </c>
    </row>
    <row r="40" spans="11:46" ht="45">
      <c r="AA40" s="315" t="s">
        <v>1141</v>
      </c>
      <c r="AE40" s="127"/>
      <c r="AF40" s="130"/>
      <c r="AG40" s="136"/>
      <c r="AI40" s="164" t="s">
        <v>464</v>
      </c>
      <c r="AJ40" s="133" t="s">
        <v>465</v>
      </c>
      <c r="AK40" s="135" t="str">
        <f>CONCATENATE(تقویم!$A$2,EventsTable[[#This Row],[روز و ماه]])</f>
        <v>14000230</v>
      </c>
      <c r="AP40" s="133" t="s">
        <v>859</v>
      </c>
      <c r="AQ40" s="133" t="s">
        <v>860</v>
      </c>
    </row>
    <row r="41" spans="11:46" ht="30">
      <c r="AA41" s="315" t="s">
        <v>1110</v>
      </c>
      <c r="AE41" s="127"/>
      <c r="AF41" s="130"/>
      <c r="AG41" s="136"/>
      <c r="AI41" s="164" t="s">
        <v>466</v>
      </c>
      <c r="AJ41" s="133" t="s">
        <v>467</v>
      </c>
      <c r="AK41" s="135" t="str">
        <f>CONCATENATE(تقویم!$A$2,EventsTable[[#This Row],[روز و ماه]])</f>
        <v>14000231</v>
      </c>
      <c r="AP41" s="133" t="s">
        <v>861</v>
      </c>
      <c r="AQ41" s="133" t="s">
        <v>860</v>
      </c>
    </row>
    <row r="42" spans="11:46" ht="30">
      <c r="AA42" s="315" t="s">
        <v>1142</v>
      </c>
      <c r="AE42" s="127"/>
      <c r="AF42" s="130"/>
      <c r="AG42" s="136"/>
      <c r="AI42" s="164" t="s">
        <v>468</v>
      </c>
      <c r="AJ42" s="133" t="s">
        <v>469</v>
      </c>
      <c r="AK42" s="135" t="str">
        <f>CONCATENATE(تقویم!$A$2,EventsTable[[#This Row],[روز و ماه]])</f>
        <v>14000301</v>
      </c>
      <c r="AP42" s="133" t="s">
        <v>862</v>
      </c>
      <c r="AQ42" s="133" t="s">
        <v>689</v>
      </c>
    </row>
    <row r="43" spans="11:46" ht="45">
      <c r="AA43" s="315" t="s">
        <v>1119</v>
      </c>
      <c r="AE43" s="127"/>
      <c r="AF43" s="130"/>
      <c r="AG43" s="136"/>
      <c r="AI43" s="164" t="s">
        <v>470</v>
      </c>
      <c r="AJ43" s="133" t="s">
        <v>469</v>
      </c>
      <c r="AK43" s="135" t="str">
        <f>CONCATENATE(تقویم!$A$2,EventsTable[[#This Row],[روز و ماه]])</f>
        <v>14000301</v>
      </c>
      <c r="AP43" s="133" t="s">
        <v>863</v>
      </c>
      <c r="AQ43" s="133" t="s">
        <v>691</v>
      </c>
    </row>
    <row r="44" spans="11:46" ht="60">
      <c r="AE44" s="127"/>
      <c r="AF44" s="130"/>
      <c r="AG44" s="136"/>
      <c r="AI44" s="164" t="s">
        <v>471</v>
      </c>
      <c r="AJ44" s="133" t="s">
        <v>472</v>
      </c>
      <c r="AK44" s="135" t="str">
        <f>CONCATENATE(تقویم!$A$2,EventsTable[[#This Row],[روز و ماه]])</f>
        <v>14000303</v>
      </c>
      <c r="AP44" s="133" t="s">
        <v>862</v>
      </c>
      <c r="AQ44" s="133" t="s">
        <v>693</v>
      </c>
    </row>
    <row r="45" spans="11:46">
      <c r="AE45" s="127"/>
      <c r="AF45" s="130"/>
      <c r="AG45" s="136"/>
      <c r="AI45" s="164" t="s">
        <v>811</v>
      </c>
      <c r="AJ45" s="133" t="s">
        <v>473</v>
      </c>
      <c r="AK45" s="135" t="str">
        <f>CONCATENATE(تقویم!$A$2,EventsTable[[#This Row],[روز و ماه]])</f>
        <v>14000304</v>
      </c>
      <c r="AP45" s="133" t="s">
        <v>862</v>
      </c>
      <c r="AQ45" s="133" t="s">
        <v>864</v>
      </c>
    </row>
    <row r="46" spans="11:46" ht="60">
      <c r="AE46" s="127"/>
      <c r="AF46" s="130"/>
      <c r="AG46" s="136"/>
      <c r="AI46" s="164" t="s">
        <v>474</v>
      </c>
      <c r="AJ46" s="133" t="s">
        <v>473</v>
      </c>
      <c r="AK46" s="135" t="str">
        <f>CONCATENATE(تقویم!$A$2,EventsTable[[#This Row],[روز و ماه]])</f>
        <v>14000304</v>
      </c>
      <c r="AP46" s="133" t="s">
        <v>865</v>
      </c>
      <c r="AQ46" s="133" t="s">
        <v>866</v>
      </c>
    </row>
    <row r="47" spans="11:46" ht="45">
      <c r="AE47" s="127"/>
      <c r="AF47" s="130"/>
      <c r="AG47" s="136"/>
      <c r="AI47" s="164" t="s">
        <v>475</v>
      </c>
      <c r="AJ47" s="133" t="s">
        <v>476</v>
      </c>
      <c r="AK47" s="135" t="str">
        <f>CONCATENATE(تقویم!$A$2,EventsTable[[#This Row],[روز و ماه]])</f>
        <v>14000305</v>
      </c>
      <c r="AP47" s="133" t="s">
        <v>867</v>
      </c>
      <c r="AQ47" s="133" t="s">
        <v>720</v>
      </c>
    </row>
    <row r="48" spans="11:46" ht="45">
      <c r="AE48" s="127"/>
      <c r="AF48" s="130"/>
      <c r="AG48" s="136"/>
      <c r="AI48" s="164" t="s">
        <v>477</v>
      </c>
      <c r="AJ48" s="133" t="s">
        <v>478</v>
      </c>
      <c r="AK48" s="135" t="str">
        <f>CONCATENATE(تقویم!$A$2,EventsTable[[#This Row],[روز و ماه]])</f>
        <v>14000307</v>
      </c>
      <c r="AP48" s="133" t="s">
        <v>868</v>
      </c>
      <c r="AQ48" s="133" t="s">
        <v>869</v>
      </c>
    </row>
    <row r="49" spans="31:43" ht="60">
      <c r="AE49" s="127"/>
      <c r="AF49" s="130"/>
      <c r="AG49" s="136"/>
      <c r="AI49" s="164" t="s">
        <v>479</v>
      </c>
      <c r="AJ49" s="133" t="s">
        <v>404</v>
      </c>
      <c r="AK49" s="135" t="str">
        <f>CONCATENATE(تقویم!$A$2,EventsTable[[#This Row],[روز و ماه]])</f>
        <v>14000314</v>
      </c>
      <c r="AP49" s="133" t="s">
        <v>870</v>
      </c>
      <c r="AQ49" s="133" t="s">
        <v>871</v>
      </c>
    </row>
    <row r="50" spans="31:43" ht="75">
      <c r="AE50" s="127"/>
      <c r="AF50" s="130"/>
      <c r="AG50" s="136"/>
      <c r="AI50" s="164" t="s">
        <v>480</v>
      </c>
      <c r="AJ50" s="133" t="s">
        <v>481</v>
      </c>
      <c r="AK50" s="135" t="str">
        <f>CONCATENATE(تقویم!$A$2,EventsTable[[#This Row],[روز و ماه]])</f>
        <v>14000315</v>
      </c>
      <c r="AP50" s="133" t="s">
        <v>872</v>
      </c>
      <c r="AQ50" s="133" t="s">
        <v>873</v>
      </c>
    </row>
    <row r="51" spans="31:43" ht="45">
      <c r="AE51" s="127"/>
      <c r="AF51" s="130"/>
      <c r="AG51" s="136"/>
      <c r="AI51" s="164" t="s">
        <v>482</v>
      </c>
      <c r="AJ51" s="133" t="s">
        <v>483</v>
      </c>
      <c r="AK51" s="135" t="str">
        <f>CONCATENATE(تقویم!$A$2,EventsTable[[#This Row],[روز و ماه]])</f>
        <v>14000320</v>
      </c>
      <c r="AP51" s="133" t="s">
        <v>874</v>
      </c>
      <c r="AQ51" s="133" t="s">
        <v>873</v>
      </c>
    </row>
    <row r="52" spans="31:43" ht="60">
      <c r="AE52" s="127"/>
      <c r="AF52" s="130"/>
      <c r="AG52" s="136"/>
      <c r="AI52" s="164" t="s">
        <v>484</v>
      </c>
      <c r="AJ52" s="133" t="s">
        <v>483</v>
      </c>
      <c r="AK52" s="135" t="str">
        <f>CONCATENATE(تقویم!$A$2,EventsTable[[#This Row],[روز و ماه]])</f>
        <v>14000320</v>
      </c>
      <c r="AP52" s="133" t="s">
        <v>875</v>
      </c>
      <c r="AQ52" s="133" t="s">
        <v>735</v>
      </c>
    </row>
    <row r="53" spans="31:43" ht="60">
      <c r="AE53" s="127"/>
      <c r="AF53" s="130"/>
      <c r="AG53" s="136"/>
      <c r="AI53" s="164" t="s">
        <v>485</v>
      </c>
      <c r="AJ53" s="133" t="s">
        <v>486</v>
      </c>
      <c r="AK53" s="135" t="str">
        <f>CONCATENATE(تقویم!$A$2,EventsTable[[#This Row],[روز و ماه]])</f>
        <v>14000326</v>
      </c>
      <c r="AP53" s="133" t="s">
        <v>876</v>
      </c>
      <c r="AQ53" s="133" t="s">
        <v>877</v>
      </c>
    </row>
    <row r="54" spans="31:43" ht="90">
      <c r="AE54" s="127"/>
      <c r="AF54" s="130"/>
      <c r="AG54" s="136"/>
      <c r="AI54" s="164" t="s">
        <v>487</v>
      </c>
      <c r="AJ54" s="133" t="s">
        <v>488</v>
      </c>
      <c r="AK54" s="135" t="str">
        <f>CONCATENATE(تقویم!$A$2,EventsTable[[#This Row],[روز و ماه]])</f>
        <v>14000327</v>
      </c>
      <c r="AP54" s="133" t="s">
        <v>878</v>
      </c>
      <c r="AQ54" s="133" t="s">
        <v>747</v>
      </c>
    </row>
    <row r="55" spans="31:43" ht="60">
      <c r="AE55" s="127"/>
      <c r="AF55" s="130"/>
      <c r="AG55" s="136"/>
      <c r="AI55" s="164" t="s">
        <v>489</v>
      </c>
      <c r="AJ55" s="133" t="s">
        <v>490</v>
      </c>
      <c r="AK55" s="135" t="str">
        <f>CONCATENATE(تقویم!$A$2,EventsTable[[#This Row],[روز و ماه]])</f>
        <v>14000329</v>
      </c>
      <c r="AP55" s="133" t="s">
        <v>879</v>
      </c>
      <c r="AQ55" s="133" t="s">
        <v>880</v>
      </c>
    </row>
    <row r="56" spans="31:43" ht="75">
      <c r="AE56" s="127"/>
      <c r="AF56" s="130"/>
      <c r="AG56" s="136"/>
      <c r="AI56" s="164" t="s">
        <v>491</v>
      </c>
      <c r="AJ56" s="133" t="s">
        <v>492</v>
      </c>
      <c r="AK56" s="135" t="str">
        <f>CONCATENATE(تقویم!$A$2,EventsTable[[#This Row],[روز و ماه]])</f>
        <v>14000330</v>
      </c>
      <c r="AP56" s="133" t="s">
        <v>881</v>
      </c>
      <c r="AQ56" s="133" t="s">
        <v>882</v>
      </c>
    </row>
    <row r="57" spans="31:43" ht="30">
      <c r="AE57" s="127"/>
      <c r="AF57" s="130"/>
      <c r="AG57" s="136"/>
      <c r="AI57" s="164" t="s">
        <v>493</v>
      </c>
      <c r="AJ57" s="133" t="s">
        <v>494</v>
      </c>
      <c r="AK57" s="135" t="str">
        <f>CONCATENATE(تقویم!$A$2,EventsTable[[#This Row],[روز و ماه]])</f>
        <v>14000331</v>
      </c>
      <c r="AP57" s="133" t="s">
        <v>883</v>
      </c>
      <c r="AQ57" s="133" t="s">
        <v>882</v>
      </c>
    </row>
    <row r="58" spans="31:43" ht="90">
      <c r="AE58" s="127"/>
      <c r="AF58" s="130"/>
      <c r="AG58" s="136"/>
      <c r="AI58" s="164" t="s">
        <v>495</v>
      </c>
      <c r="AJ58" s="133" t="s">
        <v>494</v>
      </c>
      <c r="AK58" s="135" t="str">
        <f>CONCATENATE(تقویم!$A$2,EventsTable[[#This Row],[روز و ماه]])</f>
        <v>14000331</v>
      </c>
      <c r="AP58" s="133" t="s">
        <v>884</v>
      </c>
      <c r="AQ58" s="133" t="s">
        <v>885</v>
      </c>
    </row>
    <row r="59" spans="31:43" ht="90">
      <c r="AE59" s="127"/>
      <c r="AF59" s="130"/>
      <c r="AG59" s="136"/>
      <c r="AI59" s="164" t="s">
        <v>496</v>
      </c>
      <c r="AJ59" s="133" t="s">
        <v>497</v>
      </c>
      <c r="AK59" s="135" t="str">
        <f>CONCATENATE(تقویم!$A$2,EventsTable[[#This Row],[روز و ماه]])</f>
        <v>14000401</v>
      </c>
      <c r="AP59" s="133" t="s">
        <v>886</v>
      </c>
      <c r="AQ59" s="133" t="s">
        <v>887</v>
      </c>
    </row>
    <row r="60" spans="31:43">
      <c r="AE60" s="127"/>
      <c r="AF60" s="130"/>
      <c r="AG60" s="136"/>
      <c r="AI60" s="164" t="s">
        <v>498</v>
      </c>
      <c r="AJ60" s="133" t="s">
        <v>497</v>
      </c>
      <c r="AK60" s="135" t="str">
        <f>CONCATENATE(تقویم!$A$2,EventsTable[[#This Row],[روز و ماه]])</f>
        <v>14000401</v>
      </c>
      <c r="AP60" s="133" t="s">
        <v>888</v>
      </c>
      <c r="AQ60" s="133" t="s">
        <v>758</v>
      </c>
    </row>
    <row r="61" spans="31:43" ht="105">
      <c r="AE61" s="127"/>
      <c r="AF61" s="130"/>
      <c r="AG61" s="136"/>
      <c r="AI61" s="164" t="s">
        <v>499</v>
      </c>
      <c r="AJ61" s="133" t="s">
        <v>500</v>
      </c>
      <c r="AK61" s="135" t="str">
        <f>CONCATENATE(تقویم!$A$2,EventsTable[[#This Row],[روز و ماه]])</f>
        <v>14000407</v>
      </c>
      <c r="AP61" s="133" t="s">
        <v>889</v>
      </c>
      <c r="AQ61" s="133" t="s">
        <v>763</v>
      </c>
    </row>
    <row r="62" spans="31:43" ht="45">
      <c r="AE62" s="127"/>
      <c r="AF62" s="130"/>
      <c r="AG62" s="136"/>
      <c r="AI62" s="164" t="s">
        <v>501</v>
      </c>
      <c r="AJ62" s="133" t="s">
        <v>500</v>
      </c>
      <c r="AK62" s="135" t="str">
        <f>CONCATENATE(تقویم!$A$2,EventsTable[[#This Row],[روز و ماه]])</f>
        <v>14000407</v>
      </c>
      <c r="AP62" s="133" t="s">
        <v>890</v>
      </c>
      <c r="AQ62" s="133" t="s">
        <v>768</v>
      </c>
    </row>
    <row r="63" spans="31:43" ht="45">
      <c r="AE63" s="127"/>
      <c r="AF63" s="130"/>
      <c r="AG63" s="136"/>
      <c r="AI63" s="164" t="s">
        <v>502</v>
      </c>
      <c r="AJ63" s="133" t="s">
        <v>500</v>
      </c>
      <c r="AK63" s="135" t="str">
        <f>CONCATENATE(تقویم!$A$2,EventsTable[[#This Row],[روز و ماه]])</f>
        <v>14000407</v>
      </c>
      <c r="AP63" s="133" t="s">
        <v>891</v>
      </c>
      <c r="AQ63" s="133" t="s">
        <v>892</v>
      </c>
    </row>
    <row r="64" spans="31:43" ht="30">
      <c r="AE64" s="127"/>
      <c r="AF64" s="130"/>
      <c r="AG64" s="136"/>
      <c r="AI64" s="164" t="s">
        <v>503</v>
      </c>
      <c r="AJ64" s="133" t="s">
        <v>504</v>
      </c>
      <c r="AK64" s="135" t="str">
        <f>CONCATENATE(تقویم!$A$2,EventsTable[[#This Row],[روز و ماه]])</f>
        <v>14000408</v>
      </c>
      <c r="AP64" s="133" t="s">
        <v>893</v>
      </c>
      <c r="AQ64" s="133" t="s">
        <v>774</v>
      </c>
    </row>
    <row r="65" spans="31:37">
      <c r="AE65" s="127"/>
      <c r="AF65" s="130"/>
      <c r="AG65" s="136"/>
      <c r="AI65" s="164" t="s">
        <v>505</v>
      </c>
      <c r="AJ65" s="133" t="s">
        <v>506</v>
      </c>
      <c r="AK65" s="135" t="str">
        <f>CONCATENATE(تقویم!$A$2,EventsTable[[#This Row],[روز و ماه]])</f>
        <v>14000410</v>
      </c>
    </row>
    <row r="66" spans="31:37">
      <c r="AE66" s="127"/>
      <c r="AF66" s="130"/>
      <c r="AG66" s="136"/>
      <c r="AI66" s="164" t="s">
        <v>507</v>
      </c>
      <c r="AJ66" s="133" t="s">
        <v>506</v>
      </c>
      <c r="AK66" s="135" t="str">
        <f>CONCATENATE(تقویم!$A$2,EventsTable[[#This Row],[روز و ماه]])</f>
        <v>14000410</v>
      </c>
    </row>
    <row r="67" spans="31:37" ht="30">
      <c r="AE67" s="127"/>
      <c r="AF67" s="130"/>
      <c r="AG67" s="136"/>
      <c r="AI67" s="164" t="s">
        <v>508</v>
      </c>
      <c r="AJ67" s="133" t="s">
        <v>506</v>
      </c>
      <c r="AK67" s="135" t="str">
        <f>CONCATENATE(تقویم!$A$2,EventsTable[[#This Row],[روز و ماه]])</f>
        <v>14000410</v>
      </c>
    </row>
    <row r="68" spans="31:37" ht="60">
      <c r="AE68" s="127"/>
      <c r="AF68" s="130"/>
      <c r="AG68" s="136"/>
      <c r="AI68" s="164" t="s">
        <v>509</v>
      </c>
      <c r="AJ68" s="133" t="s">
        <v>510</v>
      </c>
      <c r="AK68" s="135" t="str">
        <f>CONCATENATE(تقویم!$A$2,EventsTable[[#This Row],[روز و ماه]])</f>
        <v>14000411</v>
      </c>
    </row>
    <row r="69" spans="31:37" ht="75">
      <c r="AE69" s="127"/>
      <c r="AF69" s="130"/>
      <c r="AG69" s="136"/>
      <c r="AI69" s="164" t="s">
        <v>511</v>
      </c>
      <c r="AJ69" s="133" t="s">
        <v>512</v>
      </c>
      <c r="AK69" s="135" t="str">
        <f>CONCATENATE(تقویم!$A$2,EventsTable[[#This Row],[روز و ماه]])</f>
        <v>14000412</v>
      </c>
    </row>
    <row r="70" spans="31:37" ht="30">
      <c r="AE70" s="127"/>
      <c r="AF70" s="130"/>
      <c r="AG70" s="136"/>
      <c r="AI70" s="164" t="s">
        <v>513</v>
      </c>
      <c r="AJ70" s="133" t="s">
        <v>512</v>
      </c>
      <c r="AK70" s="135" t="str">
        <f>CONCATENATE(تقویم!$A$2,EventsTable[[#This Row],[روز و ماه]])</f>
        <v>14000412</v>
      </c>
    </row>
    <row r="71" spans="31:37" ht="30">
      <c r="AE71" s="127"/>
      <c r="AF71" s="130"/>
      <c r="AG71" s="136"/>
      <c r="AI71" s="164" t="s">
        <v>514</v>
      </c>
      <c r="AJ71" s="133" t="s">
        <v>512</v>
      </c>
      <c r="AK71" s="135" t="str">
        <f>CONCATENATE(تقویم!$A$2,EventsTable[[#This Row],[روز و ماه]])</f>
        <v>14000412</v>
      </c>
    </row>
    <row r="72" spans="31:37">
      <c r="AE72" s="127"/>
      <c r="AF72" s="130"/>
      <c r="AG72" s="136"/>
      <c r="AI72" s="164" t="s">
        <v>932</v>
      </c>
      <c r="AJ72" s="133" t="s">
        <v>516</v>
      </c>
      <c r="AK72" s="135" t="str">
        <f>CONCATENATE(تقویم!$A$2,EventsTable[[#This Row],[روز و ماه]])</f>
        <v>14000414</v>
      </c>
    </row>
    <row r="73" spans="31:37">
      <c r="AE73" s="127"/>
      <c r="AF73" s="130"/>
      <c r="AG73" s="136"/>
      <c r="AI73" s="164" t="s">
        <v>515</v>
      </c>
      <c r="AJ73" s="133" t="s">
        <v>516</v>
      </c>
      <c r="AK73" s="135" t="str">
        <f>CONCATENATE(تقویم!$A$2,EventsTable[[#This Row],[روز و ماه]])</f>
        <v>14000414</v>
      </c>
    </row>
    <row r="74" spans="31:37">
      <c r="AE74" s="127"/>
      <c r="AF74" s="130"/>
      <c r="AG74" s="136"/>
      <c r="AI74" s="164" t="s">
        <v>517</v>
      </c>
      <c r="AJ74" s="133" t="s">
        <v>518</v>
      </c>
      <c r="AK74" s="135" t="str">
        <f>CONCATENATE(تقویم!$A$2,EventsTable[[#This Row],[روز و ماه]])</f>
        <v>14000416</v>
      </c>
    </row>
    <row r="75" spans="31:37" ht="30">
      <c r="AE75" s="127"/>
      <c r="AF75" s="130"/>
      <c r="AG75" s="136"/>
      <c r="AI75" s="164" t="s">
        <v>519</v>
      </c>
      <c r="AJ75" s="133" t="s">
        <v>520</v>
      </c>
      <c r="AK75" s="135" t="str">
        <f>CONCATENATE(تقویم!$A$2,EventsTable[[#This Row],[روز و ماه]])</f>
        <v>14000418</v>
      </c>
    </row>
    <row r="76" spans="31:37" ht="60">
      <c r="AE76" s="127"/>
      <c r="AF76" s="130"/>
      <c r="AG76" s="136"/>
      <c r="AI76" s="164" t="s">
        <v>521</v>
      </c>
      <c r="AJ76" s="133" t="s">
        <v>520</v>
      </c>
      <c r="AK76" s="135" t="str">
        <f>CONCATENATE(تقویم!$A$2,EventsTable[[#This Row],[روز و ماه]])</f>
        <v>14000418</v>
      </c>
    </row>
    <row r="77" spans="31:37">
      <c r="AE77" s="127"/>
      <c r="AF77" s="130"/>
      <c r="AG77" s="136"/>
      <c r="AI77" s="164" t="s">
        <v>522</v>
      </c>
      <c r="AJ77" s="133" t="s">
        <v>523</v>
      </c>
      <c r="AK77" s="135" t="str">
        <f>CONCATENATE(تقویم!$A$2,EventsTable[[#This Row],[روز و ماه]])</f>
        <v>14000421</v>
      </c>
    </row>
    <row r="78" spans="31:37" ht="60">
      <c r="AE78" s="127"/>
      <c r="AF78" s="130"/>
      <c r="AG78" s="136"/>
      <c r="AI78" s="164" t="s">
        <v>524</v>
      </c>
      <c r="AJ78" s="133" t="s">
        <v>523</v>
      </c>
      <c r="AK78" s="135" t="str">
        <f>CONCATENATE(تقویم!$A$2,EventsTable[[#This Row],[روز و ماه]])</f>
        <v>14000421</v>
      </c>
    </row>
    <row r="79" spans="31:37" ht="45">
      <c r="AE79" s="127"/>
      <c r="AF79" s="130"/>
      <c r="AG79" s="136"/>
      <c r="AI79" s="164" t="s">
        <v>525</v>
      </c>
      <c r="AJ79" s="133" t="s">
        <v>526</v>
      </c>
      <c r="AK79" s="135" t="str">
        <f>CONCATENATE(تقویم!$A$2,EventsTable[[#This Row],[روز و ماه]])</f>
        <v>14000423</v>
      </c>
    </row>
    <row r="80" spans="31:37" ht="45">
      <c r="AE80" s="127"/>
      <c r="AF80" s="130"/>
      <c r="AG80" s="136"/>
      <c r="AI80" s="164" t="s">
        <v>527</v>
      </c>
      <c r="AJ80" s="133" t="s">
        <v>526</v>
      </c>
      <c r="AK80" s="135" t="str">
        <f>CONCATENATE(تقویم!$A$2,EventsTable[[#This Row],[روز و ماه]])</f>
        <v>14000423</v>
      </c>
    </row>
    <row r="81" spans="31:37" ht="30">
      <c r="AE81" s="127"/>
      <c r="AF81" s="130"/>
      <c r="AG81" s="136"/>
      <c r="AI81" s="164" t="s">
        <v>528</v>
      </c>
      <c r="AJ81" s="133" t="s">
        <v>529</v>
      </c>
      <c r="AK81" s="135" t="str">
        <f>CONCATENATE(تقویم!$A$2,EventsTable[[#This Row],[روز و ماه]])</f>
        <v>14000425</v>
      </c>
    </row>
    <row r="82" spans="31:37" ht="45">
      <c r="AE82" s="127"/>
      <c r="AF82" s="130"/>
      <c r="AG82" s="136"/>
      <c r="AI82" s="164" t="s">
        <v>530</v>
      </c>
      <c r="AJ82" s="133" t="s">
        <v>531</v>
      </c>
      <c r="AK82" s="135" t="str">
        <f>CONCATENATE(تقویم!$A$2,EventsTable[[#This Row],[روز و ماه]])</f>
        <v>14000426</v>
      </c>
    </row>
    <row r="83" spans="31:37" ht="60">
      <c r="AE83" s="127"/>
      <c r="AF83" s="130"/>
      <c r="AG83" s="136"/>
      <c r="AI83" s="164" t="s">
        <v>532</v>
      </c>
      <c r="AJ83" s="133" t="s">
        <v>533</v>
      </c>
      <c r="AK83" s="135" t="str">
        <f>CONCATENATE(تقویم!$A$2,EventsTable[[#This Row],[روز و ماه]])</f>
        <v>14000427</v>
      </c>
    </row>
    <row r="84" spans="31:37" ht="30">
      <c r="AE84" s="127"/>
      <c r="AF84" s="130"/>
      <c r="AG84" s="136"/>
      <c r="AI84" s="164" t="s">
        <v>534</v>
      </c>
      <c r="AJ84" s="133" t="s">
        <v>535</v>
      </c>
      <c r="AK84" s="135" t="str">
        <f>CONCATENATE(تقویم!$A$2,EventsTable[[#This Row],[روز و ماه]])</f>
        <v>14000730</v>
      </c>
    </row>
    <row r="85" spans="31:37" ht="30">
      <c r="AE85" s="127"/>
      <c r="AF85" s="130"/>
      <c r="AG85" s="136"/>
      <c r="AI85" s="164" t="s">
        <v>536</v>
      </c>
      <c r="AJ85" s="133" t="s">
        <v>537</v>
      </c>
      <c r="AK85" s="135" t="str">
        <f>CONCATENATE(تقویم!$A$2,EventsTable[[#This Row],[روز و ماه]])</f>
        <v>14000504</v>
      </c>
    </row>
    <row r="86" spans="31:37" ht="45">
      <c r="AE86" s="127"/>
      <c r="AF86" s="130"/>
      <c r="AG86" s="136"/>
      <c r="AI86" s="164" t="s">
        <v>538</v>
      </c>
      <c r="AJ86" s="133" t="s">
        <v>539</v>
      </c>
      <c r="AK86" s="135" t="str">
        <f>CONCATENATE(تقویم!$A$2,EventsTable[[#This Row],[روز و ماه]])</f>
        <v>14000505</v>
      </c>
    </row>
    <row r="87" spans="31:37" ht="45">
      <c r="AE87" s="127"/>
      <c r="AF87" s="130"/>
      <c r="AG87" s="136"/>
      <c r="AI87" s="164" t="s">
        <v>540</v>
      </c>
      <c r="AJ87" s="133" t="s">
        <v>541</v>
      </c>
      <c r="AK87" s="135" t="str">
        <f>CONCATENATE(تقویم!$A$2,EventsTable[[#This Row],[روز و ماه]])</f>
        <v>14000506</v>
      </c>
    </row>
    <row r="88" spans="31:37" ht="45">
      <c r="AE88" s="127"/>
      <c r="AF88" s="130"/>
      <c r="AG88" s="136"/>
      <c r="AI88" s="164" t="s">
        <v>542</v>
      </c>
      <c r="AJ88" s="133" t="s">
        <v>543</v>
      </c>
      <c r="AK88" s="135" t="str">
        <f>CONCATENATE(تقویم!$A$2,EventsTable[[#This Row],[روز و ماه]])</f>
        <v>14000508</v>
      </c>
    </row>
    <row r="89" spans="31:37">
      <c r="AE89" s="127"/>
      <c r="AF89" s="130"/>
      <c r="AG89" s="136"/>
      <c r="AI89" s="164" t="s">
        <v>544</v>
      </c>
      <c r="AJ89" s="133" t="s">
        <v>545</v>
      </c>
      <c r="AK89" s="135" t="str">
        <f>CONCATENATE(تقویم!$A$2,EventsTable[[#This Row],[روز و ماه]])</f>
        <v>14000509</v>
      </c>
    </row>
    <row r="90" spans="31:37" ht="45">
      <c r="AE90" s="127"/>
      <c r="AF90" s="130"/>
      <c r="AG90" s="136"/>
      <c r="AI90" s="164" t="s">
        <v>546</v>
      </c>
      <c r="AJ90" s="133" t="s">
        <v>547</v>
      </c>
      <c r="AK90" s="135" t="str">
        <f>CONCATENATE(تقویم!$A$2,EventsTable[[#This Row],[روز و ماه]])</f>
        <v>14000511</v>
      </c>
    </row>
    <row r="91" spans="31:37" ht="30">
      <c r="AE91" s="127"/>
      <c r="AF91" s="130"/>
      <c r="AG91" s="136"/>
      <c r="AI91" s="164" t="s">
        <v>812</v>
      </c>
      <c r="AJ91" s="133" t="s">
        <v>548</v>
      </c>
      <c r="AK91" s="135" t="str">
        <f>CONCATENATE(تقویم!$A$2,EventsTable[[#This Row],[روز و ماه]])</f>
        <v>14000514</v>
      </c>
    </row>
    <row r="92" spans="31:37" ht="30">
      <c r="AE92" s="127"/>
      <c r="AF92" s="130"/>
      <c r="AG92" s="136"/>
      <c r="AI92" s="164" t="s">
        <v>549</v>
      </c>
      <c r="AJ92" s="133" t="s">
        <v>548</v>
      </c>
      <c r="AK92" s="135" t="str">
        <f>CONCATENATE(تقویم!$A$2,EventsTable[[#This Row],[روز و ماه]])</f>
        <v>14000514</v>
      </c>
    </row>
    <row r="93" spans="31:37" ht="75">
      <c r="AE93" s="127"/>
      <c r="AF93" s="130"/>
      <c r="AG93" s="136"/>
      <c r="AI93" s="164" t="s">
        <v>550</v>
      </c>
      <c r="AJ93" s="133" t="s">
        <v>551</v>
      </c>
      <c r="AK93" s="135" t="str">
        <f>CONCATENATE(تقویم!$A$2,EventsTable[[#This Row],[روز و ماه]])</f>
        <v>14000515</v>
      </c>
    </row>
    <row r="94" spans="31:37" ht="45">
      <c r="AE94" s="127"/>
      <c r="AF94" s="130"/>
      <c r="AG94" s="136"/>
      <c r="AI94" s="164" t="s">
        <v>552</v>
      </c>
      <c r="AJ94" s="133" t="s">
        <v>551</v>
      </c>
      <c r="AK94" s="135" t="str">
        <f>CONCATENATE(تقویم!$A$2,EventsTable[[#This Row],[روز و ماه]])</f>
        <v>14000515</v>
      </c>
    </row>
    <row r="95" spans="31:37" ht="30">
      <c r="AE95" s="127"/>
      <c r="AF95" s="130"/>
      <c r="AG95" s="136"/>
      <c r="AI95" s="164" t="s">
        <v>553</v>
      </c>
      <c r="AJ95" s="133" t="s">
        <v>554</v>
      </c>
      <c r="AK95" s="135" t="str">
        <f>CONCATENATE(تقویم!$A$2,EventsTable[[#This Row],[روز و ماه]])</f>
        <v>14000516</v>
      </c>
    </row>
    <row r="96" spans="31:37">
      <c r="AE96" s="127"/>
      <c r="AF96" s="130"/>
      <c r="AG96" s="136"/>
      <c r="AI96" s="164" t="s">
        <v>555</v>
      </c>
      <c r="AJ96" s="133" t="s">
        <v>556</v>
      </c>
      <c r="AK96" s="135" t="str">
        <f>CONCATENATE(تقویم!$A$2,EventsTable[[#This Row],[روز و ماه]])</f>
        <v>14000517</v>
      </c>
    </row>
    <row r="97" spans="31:37" ht="30">
      <c r="AE97" s="127"/>
      <c r="AF97" s="130"/>
      <c r="AG97" s="136"/>
      <c r="AI97" s="164" t="s">
        <v>557</v>
      </c>
      <c r="AJ97" s="133" t="s">
        <v>558</v>
      </c>
      <c r="AK97" s="135" t="str">
        <f>CONCATENATE(تقویم!$A$2,EventsTable[[#This Row],[روز و ماه]])</f>
        <v>14000518</v>
      </c>
    </row>
    <row r="98" spans="31:37" ht="30">
      <c r="AE98" s="127"/>
      <c r="AF98" s="130"/>
      <c r="AG98" s="136"/>
      <c r="AI98" s="164" t="s">
        <v>559</v>
      </c>
      <c r="AJ98" s="133" t="s">
        <v>560</v>
      </c>
      <c r="AK98" s="135" t="str">
        <f>CONCATENATE(تقویم!$A$2,EventsTable[[#This Row],[روز و ماه]])</f>
        <v>14000521</v>
      </c>
    </row>
    <row r="99" spans="31:37" ht="30">
      <c r="AE99" s="127"/>
      <c r="AF99" s="130"/>
      <c r="AG99" s="136"/>
      <c r="AI99" s="164" t="s">
        <v>561</v>
      </c>
      <c r="AJ99" s="133" t="s">
        <v>562</v>
      </c>
      <c r="AK99" s="135" t="str">
        <f>CONCATENATE(تقویم!$A$2,EventsTable[[#This Row],[روز و ماه]])</f>
        <v>14000522</v>
      </c>
    </row>
    <row r="100" spans="31:37">
      <c r="AE100" s="127"/>
      <c r="AF100" s="130"/>
      <c r="AG100" s="136"/>
      <c r="AI100" s="164" t="s">
        <v>563</v>
      </c>
      <c r="AJ100" s="133" t="s">
        <v>564</v>
      </c>
      <c r="AK100" s="135" t="str">
        <f>CONCATENATE(تقویم!$A$2,EventsTable[[#This Row],[روز و ماه]])</f>
        <v>14000523</v>
      </c>
    </row>
    <row r="101" spans="31:37" ht="45">
      <c r="AE101" s="127"/>
      <c r="AF101" s="130"/>
      <c r="AG101" s="136"/>
      <c r="AI101" s="164" t="s">
        <v>565</v>
      </c>
      <c r="AJ101" s="133" t="s">
        <v>566</v>
      </c>
      <c r="AK101" s="135" t="str">
        <f>CONCATENATE(تقویم!$A$2,EventsTable[[#This Row],[روز و ماه]])</f>
        <v>14000526</v>
      </c>
    </row>
    <row r="102" spans="31:37" ht="45">
      <c r="AE102" s="127"/>
      <c r="AF102" s="130"/>
      <c r="AG102" s="136"/>
      <c r="AI102" s="164" t="s">
        <v>567</v>
      </c>
      <c r="AJ102" s="133" t="s">
        <v>568</v>
      </c>
      <c r="AK102" s="135" t="str">
        <f>CONCATENATE(تقویم!$A$2,EventsTable[[#This Row],[روز و ماه]])</f>
        <v>14000528</v>
      </c>
    </row>
    <row r="103" spans="31:37" ht="60">
      <c r="AE103" s="127"/>
      <c r="AF103" s="130"/>
      <c r="AG103" s="136"/>
      <c r="AI103" s="164" t="s">
        <v>569</v>
      </c>
      <c r="AJ103" s="133" t="s">
        <v>568</v>
      </c>
      <c r="AK103" s="135" t="str">
        <f>CONCATENATE(تقویم!$A$2,EventsTable[[#This Row],[روز و ماه]])</f>
        <v>14000528</v>
      </c>
    </row>
    <row r="104" spans="31:37" ht="30">
      <c r="AE104" s="127"/>
      <c r="AF104" s="130"/>
      <c r="AG104" s="136"/>
      <c r="AI104" s="164" t="s">
        <v>570</v>
      </c>
      <c r="AJ104" s="133" t="s">
        <v>571</v>
      </c>
      <c r="AK104" s="135" t="str">
        <f>CONCATENATE(تقویم!$A$2,EventsTable[[#This Row],[روز و ماه]])</f>
        <v>14000530</v>
      </c>
    </row>
    <row r="105" spans="31:37">
      <c r="AE105" s="127"/>
      <c r="AF105" s="130"/>
      <c r="AG105" s="136"/>
      <c r="AI105" s="164" t="s">
        <v>572</v>
      </c>
      <c r="AJ105" s="133" t="s">
        <v>573</v>
      </c>
      <c r="AK105" s="135" t="str">
        <f>CONCATENATE(تقویم!$A$2,EventsTable[[#This Row],[روز و ماه]])</f>
        <v>14000531</v>
      </c>
    </row>
    <row r="106" spans="31:37" ht="30">
      <c r="AE106" s="127"/>
      <c r="AF106" s="130"/>
      <c r="AG106" s="136"/>
      <c r="AI106" s="164" t="s">
        <v>574</v>
      </c>
      <c r="AJ106" s="133" t="s">
        <v>575</v>
      </c>
      <c r="AK106" s="135" t="str">
        <f>CONCATENATE(تقویم!$A$2,EventsTable[[#This Row],[روز و ماه]])</f>
        <v>14000601</v>
      </c>
    </row>
    <row r="107" spans="31:37">
      <c r="AE107" s="127"/>
      <c r="AF107" s="130"/>
      <c r="AG107" s="136"/>
      <c r="AI107" s="164" t="s">
        <v>576</v>
      </c>
      <c r="AJ107" s="133" t="s">
        <v>575</v>
      </c>
      <c r="AK107" s="135" t="str">
        <f>CONCATENATE(تقویم!$A$2,EventsTable[[#This Row],[روز و ماه]])</f>
        <v>14000601</v>
      </c>
    </row>
    <row r="108" spans="31:37">
      <c r="AE108" s="127"/>
      <c r="AF108" s="130"/>
      <c r="AG108" s="136"/>
      <c r="AI108" s="164" t="s">
        <v>577</v>
      </c>
      <c r="AJ108" s="133" t="s">
        <v>578</v>
      </c>
      <c r="AK108" s="135" t="str">
        <f>CONCATENATE(تقویم!$A$2,EventsTable[[#This Row],[روز و ماه]])</f>
        <v>14000602</v>
      </c>
    </row>
    <row r="109" spans="31:37" ht="45">
      <c r="AE109" s="127"/>
      <c r="AF109" s="130"/>
      <c r="AG109" s="136"/>
      <c r="AI109" s="164" t="s">
        <v>579</v>
      </c>
      <c r="AJ109" s="133" t="s">
        <v>578</v>
      </c>
      <c r="AK109" s="135" t="str">
        <f>CONCATENATE(تقویم!$A$2,EventsTable[[#This Row],[روز و ماه]])</f>
        <v>14000602</v>
      </c>
    </row>
    <row r="110" spans="31:37" ht="45">
      <c r="AE110" s="127"/>
      <c r="AF110" s="130"/>
      <c r="AG110" s="136"/>
      <c r="AI110" s="164" t="s">
        <v>580</v>
      </c>
      <c r="AJ110" s="133" t="s">
        <v>581</v>
      </c>
      <c r="AK110" s="135" t="str">
        <f>CONCATENATE(تقویم!$A$2,EventsTable[[#This Row],[روز و ماه]])</f>
        <v>14000603</v>
      </c>
    </row>
    <row r="111" spans="31:37">
      <c r="AE111" s="127"/>
      <c r="AF111" s="130"/>
      <c r="AG111" s="136"/>
      <c r="AI111" s="164" t="s">
        <v>582</v>
      </c>
      <c r="AJ111" s="133" t="s">
        <v>583</v>
      </c>
      <c r="AK111" s="135" t="str">
        <f>CONCATENATE(تقویم!$A$2,EventsTable[[#This Row],[روز و ماه]])</f>
        <v>14000604</v>
      </c>
    </row>
    <row r="112" spans="31:37" ht="30">
      <c r="AE112" s="127"/>
      <c r="AF112" s="130"/>
      <c r="AG112" s="136"/>
      <c r="AI112" s="164" t="s">
        <v>584</v>
      </c>
      <c r="AJ112" s="133" t="s">
        <v>585</v>
      </c>
      <c r="AK112" s="135" t="str">
        <f>CONCATENATE(تقویم!$A$2,EventsTable[[#This Row],[روز و ماه]])</f>
        <v>14000605</v>
      </c>
    </row>
    <row r="113" spans="31:37">
      <c r="AE113" s="127"/>
      <c r="AF113" s="130"/>
      <c r="AG113" s="136"/>
      <c r="AI113" s="164" t="s">
        <v>586</v>
      </c>
      <c r="AJ113" s="133" t="s">
        <v>585</v>
      </c>
      <c r="AK113" s="135" t="str">
        <f>CONCATENATE(تقویم!$A$2,EventsTable[[#This Row],[روز و ماه]])</f>
        <v>14000605</v>
      </c>
    </row>
    <row r="114" spans="31:37">
      <c r="AE114" s="127"/>
      <c r="AF114" s="130"/>
      <c r="AG114" s="136"/>
      <c r="AI114" s="164" t="s">
        <v>587</v>
      </c>
      <c r="AJ114" s="133" t="s">
        <v>585</v>
      </c>
      <c r="AK114" s="135" t="str">
        <f>CONCATENATE(تقویم!$A$2,EventsTable[[#This Row],[روز و ماه]])</f>
        <v>14000605</v>
      </c>
    </row>
    <row r="115" spans="31:37" ht="105">
      <c r="AE115" s="127"/>
      <c r="AF115" s="130"/>
      <c r="AG115" s="136"/>
      <c r="AI115" s="164" t="s">
        <v>588</v>
      </c>
      <c r="AJ115" s="133" t="s">
        <v>589</v>
      </c>
      <c r="AK115" s="135" t="str">
        <f>CONCATENATE(تقویم!$A$2,EventsTable[[#This Row],[روز و ماه]])</f>
        <v>14000608</v>
      </c>
    </row>
    <row r="116" spans="31:37" ht="60">
      <c r="AE116" s="127"/>
      <c r="AF116" s="130"/>
      <c r="AG116" s="136"/>
      <c r="AI116" s="164" t="s">
        <v>590</v>
      </c>
      <c r="AJ116" s="133" t="s">
        <v>591</v>
      </c>
      <c r="AK116" s="135" t="str">
        <f>CONCATENATE(تقویم!$A$2,EventsTable[[#This Row],[روز و ماه]])</f>
        <v>14000610</v>
      </c>
    </row>
    <row r="117" spans="31:37" ht="75">
      <c r="AE117" s="127"/>
      <c r="AF117" s="130"/>
      <c r="AG117" s="136"/>
      <c r="AI117" s="164" t="s">
        <v>592</v>
      </c>
      <c r="AJ117" s="133" t="s">
        <v>591</v>
      </c>
      <c r="AK117" s="135" t="str">
        <f>CONCATENATE(تقویم!$A$2,EventsTable[[#This Row],[روز و ماه]])</f>
        <v>14000610</v>
      </c>
    </row>
    <row r="118" spans="31:37">
      <c r="AE118" s="127"/>
      <c r="AF118" s="130"/>
      <c r="AG118" s="136"/>
      <c r="AI118" s="164" t="s">
        <v>593</v>
      </c>
      <c r="AJ118" s="133" t="s">
        <v>594</v>
      </c>
      <c r="AK118" s="135" t="str">
        <f>CONCATENATE(تقویم!$A$2,EventsTable[[#This Row],[روز و ماه]])</f>
        <v>14000611</v>
      </c>
    </row>
    <row r="119" spans="31:37" ht="60">
      <c r="AE119" s="127"/>
      <c r="AF119" s="130"/>
      <c r="AG119" s="136"/>
      <c r="AI119" s="164" t="s">
        <v>595</v>
      </c>
      <c r="AJ119" s="133" t="s">
        <v>596</v>
      </c>
      <c r="AK119" s="135" t="str">
        <f>CONCATENATE(تقویم!$A$2,EventsTable[[#This Row],[روز و ماه]])</f>
        <v>14000612</v>
      </c>
    </row>
    <row r="120" spans="31:37">
      <c r="AE120" s="127"/>
      <c r="AF120" s="130"/>
      <c r="AG120" s="136"/>
      <c r="AI120" s="164" t="s">
        <v>597</v>
      </c>
      <c r="AJ120" s="133" t="s">
        <v>596</v>
      </c>
      <c r="AK120" s="135" t="str">
        <f>CONCATENATE(تقویم!$A$2,EventsTable[[#This Row],[روز و ماه]])</f>
        <v>14000612</v>
      </c>
    </row>
    <row r="121" spans="31:37">
      <c r="AE121" s="127"/>
      <c r="AF121" s="130"/>
      <c r="AG121" s="136"/>
      <c r="AI121" s="133" t="s">
        <v>598</v>
      </c>
      <c r="AJ121" s="133" t="s">
        <v>599</v>
      </c>
      <c r="AK121" s="135" t="str">
        <f>CONCATENATE(تقویم!$A$2,EventsTable[[#This Row],[روز و ماه]])</f>
        <v>14000613</v>
      </c>
    </row>
    <row r="122" spans="31:37" ht="30">
      <c r="AE122" s="127"/>
      <c r="AF122" s="130"/>
      <c r="AG122" s="136"/>
      <c r="AI122" s="133" t="s">
        <v>600</v>
      </c>
      <c r="AJ122" s="133" t="s">
        <v>599</v>
      </c>
      <c r="AK122" s="135" t="str">
        <f>CONCATENATE(تقویم!$A$2,EventsTable[[#This Row],[روز و ماه]])</f>
        <v>14000613</v>
      </c>
    </row>
    <row r="123" spans="31:37">
      <c r="AE123" s="127"/>
      <c r="AF123" s="130"/>
      <c r="AG123" s="136"/>
      <c r="AI123" s="133" t="s">
        <v>933</v>
      </c>
      <c r="AJ123" s="133" t="s">
        <v>599</v>
      </c>
      <c r="AK123" s="135" t="str">
        <f>CONCATENATE(تقویم!$A$2,EventsTable[[#This Row],[روز و ماه]])</f>
        <v>14000613</v>
      </c>
    </row>
    <row r="124" spans="31:37" ht="45">
      <c r="AE124" s="127"/>
      <c r="AF124" s="130"/>
      <c r="AG124" s="136"/>
      <c r="AI124" s="133" t="s">
        <v>601</v>
      </c>
      <c r="AJ124" s="133" t="s">
        <v>602</v>
      </c>
      <c r="AK124" s="135" t="str">
        <f>CONCATENATE(تقویم!$A$2,EventsTable[[#This Row],[روز و ماه]])</f>
        <v>14000614</v>
      </c>
    </row>
    <row r="125" spans="31:37" ht="75">
      <c r="AE125" s="127"/>
      <c r="AF125" s="130"/>
      <c r="AG125" s="136"/>
      <c r="AI125" s="133" t="s">
        <v>603</v>
      </c>
      <c r="AJ125" s="133" t="s">
        <v>604</v>
      </c>
      <c r="AK125" s="135" t="str">
        <f>CONCATENATE(تقویم!$A$2,EventsTable[[#This Row],[روز و ماه]])</f>
        <v>14000617</v>
      </c>
    </row>
    <row r="126" spans="31:37" ht="60">
      <c r="AE126" s="127"/>
      <c r="AF126" s="130"/>
      <c r="AG126" s="136"/>
      <c r="AI126" s="133" t="s">
        <v>605</v>
      </c>
      <c r="AJ126" s="133" t="s">
        <v>606</v>
      </c>
      <c r="AK126" s="135" t="str">
        <f>CONCATENATE(تقویم!$A$2,EventsTable[[#This Row],[روز و ماه]])</f>
        <v>14000619</v>
      </c>
    </row>
    <row r="127" spans="31:37" ht="60">
      <c r="AE127" s="127"/>
      <c r="AF127" s="130"/>
      <c r="AG127" s="136"/>
      <c r="AI127" s="133" t="s">
        <v>607</v>
      </c>
      <c r="AJ127" s="133" t="s">
        <v>608</v>
      </c>
      <c r="AK127" s="135" t="str">
        <f>CONCATENATE(تقویم!$A$2,EventsTable[[#This Row],[روز و ماه]])</f>
        <v>14000620</v>
      </c>
    </row>
    <row r="128" spans="31:37">
      <c r="AE128" s="127"/>
      <c r="AF128" s="130"/>
      <c r="AG128" s="136"/>
      <c r="AI128" s="133" t="s">
        <v>609</v>
      </c>
      <c r="AJ128" s="133" t="s">
        <v>610</v>
      </c>
      <c r="AK128" s="135" t="str">
        <f>CONCATENATE(تقویم!$A$2,EventsTable[[#This Row],[روز و ماه]])</f>
        <v>14000621</v>
      </c>
    </row>
    <row r="129" spans="31:37">
      <c r="AE129" s="127"/>
      <c r="AF129" s="130"/>
      <c r="AG129" s="136"/>
      <c r="AI129" s="133" t="s">
        <v>611</v>
      </c>
      <c r="AJ129" s="133" t="s">
        <v>612</v>
      </c>
      <c r="AK129" s="135" t="str">
        <f>CONCATENATE(تقویم!$A$2,EventsTable[[#This Row],[روز و ماه]])</f>
        <v>14000627</v>
      </c>
    </row>
    <row r="130" spans="31:37" ht="30">
      <c r="AE130" s="127"/>
      <c r="AF130" s="130"/>
      <c r="AG130" s="136"/>
      <c r="AI130" s="133" t="s">
        <v>613</v>
      </c>
      <c r="AJ130" s="133" t="s">
        <v>612</v>
      </c>
      <c r="AK130" s="135" t="str">
        <f>CONCATENATE(تقویم!$A$2,EventsTable[[#This Row],[روز و ماه]])</f>
        <v>14000627</v>
      </c>
    </row>
    <row r="131" spans="31:37" ht="30">
      <c r="AE131" s="127"/>
      <c r="AF131" s="130"/>
      <c r="AG131" s="136"/>
      <c r="AI131" s="133" t="s">
        <v>614</v>
      </c>
      <c r="AJ131" s="133" t="s">
        <v>615</v>
      </c>
      <c r="AK131" s="135" t="str">
        <f>CONCATENATE(تقویم!$A$2,EventsTable[[#This Row],[روز و ماه]])</f>
        <v>14000631</v>
      </c>
    </row>
    <row r="132" spans="31:37">
      <c r="AE132" s="127"/>
      <c r="AF132" s="130"/>
      <c r="AG132" s="136"/>
      <c r="AI132" s="133" t="s">
        <v>616</v>
      </c>
      <c r="AJ132" s="133" t="s">
        <v>615</v>
      </c>
      <c r="AK132" s="135" t="str">
        <f>CONCATENATE(تقویم!$A$2,EventsTable[[#This Row],[روز و ماه]])</f>
        <v>14000631</v>
      </c>
    </row>
    <row r="133" spans="31:37" ht="60">
      <c r="AE133" s="127"/>
      <c r="AF133" s="130"/>
      <c r="AG133" s="136"/>
      <c r="AI133" s="133" t="s">
        <v>617</v>
      </c>
      <c r="AJ133" s="133" t="s">
        <v>618</v>
      </c>
      <c r="AK133" s="135" t="str">
        <f>CONCATENATE(تقویم!$A$2,EventsTable[[#This Row],[روز و ماه]])</f>
        <v>14000705</v>
      </c>
    </row>
    <row r="134" spans="31:37" ht="45">
      <c r="AE134" s="127"/>
      <c r="AF134" s="130"/>
      <c r="AG134" s="136"/>
      <c r="AI134" s="133" t="s">
        <v>619</v>
      </c>
      <c r="AJ134" s="133" t="s">
        <v>620</v>
      </c>
      <c r="AK134" s="135" t="str">
        <f>CONCATENATE(تقویم!$A$2,EventsTable[[#This Row],[روز و ماه]])</f>
        <v>14000707</v>
      </c>
    </row>
    <row r="135" spans="31:37" ht="60">
      <c r="AE135" s="127"/>
      <c r="AF135" s="130"/>
      <c r="AG135" s="136"/>
      <c r="AI135" s="133" t="s">
        <v>621</v>
      </c>
      <c r="AJ135" s="133" t="s">
        <v>620</v>
      </c>
      <c r="AK135" s="135" t="str">
        <f>CONCATENATE(تقویم!$A$2,EventsTable[[#This Row],[روز و ماه]])</f>
        <v>14000707</v>
      </c>
    </row>
    <row r="136" spans="31:37">
      <c r="AE136" s="127"/>
      <c r="AF136" s="130"/>
      <c r="AG136" s="136"/>
      <c r="AI136" s="133" t="s">
        <v>622</v>
      </c>
      <c r="AJ136" s="133" t="s">
        <v>620</v>
      </c>
      <c r="AK136" s="135" t="str">
        <f>CONCATENATE(تقویم!$A$2,EventsTable[[#This Row],[روز و ماه]])</f>
        <v>14000707</v>
      </c>
    </row>
    <row r="137" spans="31:37">
      <c r="AE137" s="127"/>
      <c r="AF137" s="130"/>
      <c r="AG137" s="136"/>
      <c r="AI137" s="133" t="s">
        <v>623</v>
      </c>
      <c r="AJ137" s="133" t="s">
        <v>620</v>
      </c>
      <c r="AK137" s="135" t="str">
        <f>CONCATENATE(تقویم!$A$2,EventsTable[[#This Row],[روز و ماه]])</f>
        <v>14000707</v>
      </c>
    </row>
    <row r="138" spans="31:37">
      <c r="AE138" s="127"/>
      <c r="AF138" s="130"/>
      <c r="AG138" s="136"/>
      <c r="AI138" s="133" t="s">
        <v>624</v>
      </c>
      <c r="AJ138" s="133" t="s">
        <v>625</v>
      </c>
      <c r="AK138" s="135" t="str">
        <f>CONCATENATE(تقویم!$A$2,EventsTable[[#This Row],[روز و ماه]])</f>
        <v>14000708</v>
      </c>
    </row>
    <row r="139" spans="31:37" ht="45">
      <c r="AE139" s="127"/>
      <c r="AF139" s="130"/>
      <c r="AG139" s="136"/>
      <c r="AI139" s="133" t="s">
        <v>626</v>
      </c>
      <c r="AJ139" s="133" t="s">
        <v>627</v>
      </c>
      <c r="AK139" s="135" t="str">
        <f>CONCATENATE(تقویم!$A$2,EventsTable[[#This Row],[روز و ماه]])</f>
        <v>14000709</v>
      </c>
    </row>
    <row r="140" spans="31:37" ht="60">
      <c r="AE140" s="127"/>
      <c r="AF140" s="130"/>
      <c r="AG140" s="136"/>
      <c r="AI140" s="133" t="s">
        <v>628</v>
      </c>
      <c r="AJ140" s="133" t="s">
        <v>629</v>
      </c>
      <c r="AK140" s="135" t="str">
        <f>CONCATENATE(تقویم!$A$2,EventsTable[[#This Row],[روز و ماه]])</f>
        <v>14000713</v>
      </c>
    </row>
    <row r="141" spans="31:37">
      <c r="AE141" s="127"/>
      <c r="AF141" s="130"/>
      <c r="AG141" s="136"/>
      <c r="AI141" s="133" t="s">
        <v>630</v>
      </c>
      <c r="AJ141" s="133" t="s">
        <v>629</v>
      </c>
      <c r="AK141" s="135" t="str">
        <f>CONCATENATE(تقویم!$A$2,EventsTable[[#This Row],[روز و ماه]])</f>
        <v>14000713</v>
      </c>
    </row>
    <row r="142" spans="31:37">
      <c r="AE142" s="127"/>
      <c r="AF142" s="130"/>
      <c r="AG142" s="136"/>
      <c r="AI142" s="133" t="s">
        <v>631</v>
      </c>
      <c r="AJ142" s="133" t="s">
        <v>632</v>
      </c>
      <c r="AK142" s="135" t="str">
        <f>CONCATENATE(تقویم!$A$2,EventsTable[[#This Row],[روز و ماه]])</f>
        <v>14000714</v>
      </c>
    </row>
    <row r="143" spans="31:37">
      <c r="AE143" s="127"/>
      <c r="AF143" s="130"/>
      <c r="AG143" s="136"/>
      <c r="AI143" s="133" t="s">
        <v>633</v>
      </c>
      <c r="AJ143" s="133" t="s">
        <v>634</v>
      </c>
      <c r="AK143" s="135" t="str">
        <f>CONCATENATE(تقویم!$A$2,EventsTable[[#This Row],[روز و ماه]])</f>
        <v>14000715</v>
      </c>
    </row>
    <row r="144" spans="31:37">
      <c r="AE144" s="127"/>
      <c r="AF144" s="130"/>
      <c r="AG144" s="136"/>
      <c r="AI144" s="133" t="s">
        <v>635</v>
      </c>
      <c r="AJ144" s="133" t="s">
        <v>636</v>
      </c>
      <c r="AK144" s="135" t="str">
        <f>CONCATENATE(تقویم!$A$2,EventsTable[[#This Row],[روز و ماه]])</f>
        <v>14000720</v>
      </c>
    </row>
    <row r="145" spans="31:37" ht="60">
      <c r="AE145" s="127"/>
      <c r="AF145" s="130"/>
      <c r="AG145" s="136"/>
      <c r="AI145" s="133" t="s">
        <v>637</v>
      </c>
      <c r="AJ145" s="133" t="s">
        <v>564</v>
      </c>
      <c r="AK145" s="135" t="str">
        <f>CONCATENATE(تقویم!$A$2,EventsTable[[#This Row],[روز و ماه]])</f>
        <v>14000523</v>
      </c>
    </row>
    <row r="146" spans="31:37">
      <c r="AE146" s="127"/>
      <c r="AF146" s="130"/>
      <c r="AG146" s="136"/>
      <c r="AI146" s="133" t="s">
        <v>638</v>
      </c>
      <c r="AJ146" s="133" t="s">
        <v>639</v>
      </c>
      <c r="AK146" s="135" t="str">
        <f>CONCATENATE(تقویم!$A$2,EventsTable[[#This Row],[روز و ماه]])</f>
        <v>14000724</v>
      </c>
    </row>
    <row r="147" spans="31:37">
      <c r="AE147" s="127"/>
      <c r="AF147" s="130"/>
      <c r="AG147" s="136"/>
      <c r="AI147" s="133" t="s">
        <v>640</v>
      </c>
      <c r="AJ147" s="133" t="s">
        <v>639</v>
      </c>
      <c r="AK147" s="135" t="str">
        <f>CONCATENATE(تقویم!$A$2,EventsTable[[#This Row],[روز و ماه]])</f>
        <v>14000724</v>
      </c>
    </row>
    <row r="148" spans="31:37" ht="90">
      <c r="AE148" s="127"/>
      <c r="AF148" s="130"/>
      <c r="AG148" s="136"/>
      <c r="AI148" s="133" t="s">
        <v>641</v>
      </c>
      <c r="AJ148" s="133" t="s">
        <v>639</v>
      </c>
      <c r="AK148" s="135" t="str">
        <f>CONCATENATE(تقویم!$A$2,EventsTable[[#This Row],[روز و ماه]])</f>
        <v>14000724</v>
      </c>
    </row>
    <row r="149" spans="31:37">
      <c r="AE149" s="127"/>
      <c r="AF149" s="130"/>
      <c r="AG149" s="136"/>
      <c r="AI149" s="133" t="s">
        <v>642</v>
      </c>
      <c r="AJ149" s="133" t="s">
        <v>643</v>
      </c>
      <c r="AK149" s="135" t="str">
        <f>CONCATENATE(تقویم!$A$2,EventsTable[[#This Row],[روز و ماه]])</f>
        <v>14000726</v>
      </c>
    </row>
    <row r="150" spans="31:37">
      <c r="AE150" s="127"/>
      <c r="AF150" s="130"/>
      <c r="AG150" s="136"/>
      <c r="AI150" s="133" t="s">
        <v>644</v>
      </c>
      <c r="AJ150" s="133" t="s">
        <v>645</v>
      </c>
      <c r="AK150" s="135" t="str">
        <f>CONCATENATE(تقویم!$A$2,EventsTable[[#This Row],[روز و ماه]])</f>
        <v>14000729</v>
      </c>
    </row>
    <row r="151" spans="31:37" ht="60">
      <c r="AE151" s="127"/>
      <c r="AF151" s="130"/>
      <c r="AG151" s="136"/>
      <c r="AI151" s="133" t="s">
        <v>646</v>
      </c>
      <c r="AJ151" s="133" t="s">
        <v>647</v>
      </c>
      <c r="AK151" s="135" t="str">
        <f>CONCATENATE(تقویم!$A$2,EventsTable[[#This Row],[روز و ماه]])</f>
        <v>14000801</v>
      </c>
    </row>
    <row r="152" spans="31:37">
      <c r="AE152" s="127"/>
      <c r="AF152" s="130"/>
      <c r="AG152" s="136"/>
      <c r="AI152" s="133" t="s">
        <v>648</v>
      </c>
      <c r="AJ152" s="133" t="s">
        <v>647</v>
      </c>
      <c r="AK152" s="135" t="str">
        <f>CONCATENATE(تقویم!$A$2,EventsTable[[#This Row],[روز و ماه]])</f>
        <v>14000801</v>
      </c>
    </row>
    <row r="153" spans="31:37" ht="75">
      <c r="AE153" s="127"/>
      <c r="AF153" s="130"/>
      <c r="AG153" s="136"/>
      <c r="AI153" s="133" t="s">
        <v>649</v>
      </c>
      <c r="AJ153" s="133" t="s">
        <v>650</v>
      </c>
      <c r="AK153" s="135" t="str">
        <f>CONCATENATE(تقویم!$A$2,EventsTable[[#This Row],[روز و ماه]])</f>
        <v>14000804</v>
      </c>
    </row>
    <row r="154" spans="31:37" ht="45">
      <c r="AE154" s="127"/>
      <c r="AF154" s="130"/>
      <c r="AG154" s="136"/>
      <c r="AI154" s="133" t="s">
        <v>651</v>
      </c>
      <c r="AJ154" s="133" t="s">
        <v>652</v>
      </c>
      <c r="AK154" s="135" t="str">
        <f>CONCATENATE(تقویم!$A$2,EventsTable[[#This Row],[روز و ماه]])</f>
        <v>14000808</v>
      </c>
    </row>
    <row r="155" spans="31:37">
      <c r="AE155" s="127"/>
      <c r="AF155" s="130"/>
      <c r="AG155" s="136"/>
      <c r="AI155" s="133"/>
      <c r="AJ155" s="133"/>
      <c r="AK155" s="135" t="str">
        <f>CONCATENATE(تقویم!$A$2,EventsTable[[#This Row],[روز و ماه]])</f>
        <v>1400</v>
      </c>
    </row>
    <row r="156" spans="31:37" ht="30">
      <c r="AE156" s="127"/>
      <c r="AF156" s="130"/>
      <c r="AG156" s="136"/>
      <c r="AI156" s="133" t="s">
        <v>653</v>
      </c>
      <c r="AJ156" s="133" t="s">
        <v>652</v>
      </c>
      <c r="AK156" s="135" t="str">
        <f>CONCATENATE(تقویم!$A$2,EventsTable[[#This Row],[روز و ماه]])</f>
        <v>14000808</v>
      </c>
    </row>
    <row r="157" spans="31:37">
      <c r="AE157" s="127"/>
      <c r="AF157" s="130"/>
      <c r="AG157" s="136"/>
      <c r="AI157" s="133" t="s">
        <v>654</v>
      </c>
      <c r="AJ157" s="133" t="s">
        <v>652</v>
      </c>
      <c r="AK157" s="135" t="str">
        <f>CONCATENATE(تقویم!$A$2,EventsTable[[#This Row],[روز و ماه]])</f>
        <v>14000808</v>
      </c>
    </row>
    <row r="158" spans="31:37" ht="60">
      <c r="AE158" s="127"/>
      <c r="AF158" s="130"/>
      <c r="AG158" s="136"/>
      <c r="AI158" s="133" t="s">
        <v>655</v>
      </c>
      <c r="AJ158" s="133" t="s">
        <v>656</v>
      </c>
      <c r="AK158" s="135" t="str">
        <f>CONCATENATE(تقویم!$A$2,EventsTable[[#This Row],[روز و ماه]])</f>
        <v>14000810</v>
      </c>
    </row>
    <row r="159" spans="31:37" ht="60">
      <c r="AE159" s="127"/>
      <c r="AF159" s="130"/>
      <c r="AG159" s="136"/>
      <c r="AI159" s="133" t="s">
        <v>657</v>
      </c>
      <c r="AJ159" s="133" t="s">
        <v>658</v>
      </c>
      <c r="AK159" s="135" t="str">
        <f>CONCATENATE(تقویم!$A$2,EventsTable[[#This Row],[روز و ماه]])</f>
        <v>14000813</v>
      </c>
    </row>
    <row r="160" spans="31:37" ht="30">
      <c r="AE160" s="127"/>
      <c r="AF160" s="130"/>
      <c r="AG160" s="136"/>
      <c r="AI160" s="133" t="s">
        <v>659</v>
      </c>
      <c r="AJ160" s="133" t="s">
        <v>658</v>
      </c>
      <c r="AK160" s="135" t="str">
        <f>CONCATENATE(تقویم!$A$2,EventsTable[[#This Row],[روز و ماه]])</f>
        <v>14000813</v>
      </c>
    </row>
    <row r="161" spans="31:37">
      <c r="AE161" s="127"/>
      <c r="AF161" s="130"/>
      <c r="AG161" s="136"/>
      <c r="AI161" s="133" t="s">
        <v>660</v>
      </c>
      <c r="AJ161" s="133" t="s">
        <v>658</v>
      </c>
      <c r="AK161" s="135" t="str">
        <f>CONCATENATE(تقویم!$A$2,EventsTable[[#This Row],[روز و ماه]])</f>
        <v>14000813</v>
      </c>
    </row>
    <row r="162" spans="31:37" ht="60">
      <c r="AE162" s="127"/>
      <c r="AF162" s="130"/>
      <c r="AG162" s="136"/>
      <c r="AI162" s="133" t="s">
        <v>661</v>
      </c>
      <c r="AJ162" s="133" t="s">
        <v>658</v>
      </c>
      <c r="AK162" s="135" t="str">
        <f>CONCATENATE(تقویم!$A$2,EventsTable[[#This Row],[روز و ماه]])</f>
        <v>14000813</v>
      </c>
    </row>
    <row r="163" spans="31:37">
      <c r="AE163" s="127"/>
      <c r="AF163" s="130"/>
      <c r="AG163" s="136"/>
      <c r="AI163" s="133" t="s">
        <v>662</v>
      </c>
      <c r="AJ163" s="133" t="s">
        <v>663</v>
      </c>
      <c r="AK163" s="135" t="str">
        <f>CONCATENATE(تقویم!$A$2,EventsTable[[#This Row],[روز و ماه]])</f>
        <v>14000814</v>
      </c>
    </row>
    <row r="164" spans="31:37">
      <c r="AE164" s="127"/>
      <c r="AF164" s="130"/>
      <c r="AG164" s="136"/>
      <c r="AI164" s="133" t="s">
        <v>664</v>
      </c>
      <c r="AJ164" s="133" t="s">
        <v>665</v>
      </c>
      <c r="AK164" s="135" t="str">
        <f>CONCATENATE(تقویم!$A$2,EventsTable[[#This Row],[روز و ماه]])</f>
        <v>14000818</v>
      </c>
    </row>
    <row r="165" spans="31:37" ht="30">
      <c r="AE165" s="127"/>
      <c r="AF165" s="130"/>
      <c r="AG165" s="136"/>
      <c r="AI165" s="133" t="s">
        <v>666</v>
      </c>
      <c r="AJ165" s="133" t="s">
        <v>667</v>
      </c>
      <c r="AK165" s="135" t="str">
        <f>CONCATENATE(تقویم!$A$2,EventsTable[[#This Row],[روز و ماه]])</f>
        <v>14000824</v>
      </c>
    </row>
    <row r="166" spans="31:37" ht="45">
      <c r="AE166" s="127"/>
      <c r="AF166" s="130"/>
      <c r="AG166" s="136"/>
      <c r="AI166" s="133" t="s">
        <v>668</v>
      </c>
      <c r="AJ166" s="133" t="s">
        <v>667</v>
      </c>
      <c r="AK166" s="135" t="str">
        <f>CONCATENATE(تقویم!$A$2,EventsTable[[#This Row],[روز و ماه]])</f>
        <v>14000824</v>
      </c>
    </row>
    <row r="167" spans="31:37" ht="30">
      <c r="AE167" s="127"/>
      <c r="AF167" s="130"/>
      <c r="AG167" s="136"/>
      <c r="AI167" s="133" t="s">
        <v>669</v>
      </c>
      <c r="AJ167" s="133" t="s">
        <v>670</v>
      </c>
      <c r="AK167" s="135" t="str">
        <f>CONCATENATE(تقویم!$A$2,EventsTable[[#This Row],[روز و ماه]])</f>
        <v>14000826</v>
      </c>
    </row>
    <row r="168" spans="31:37" ht="90">
      <c r="AE168" s="127"/>
      <c r="AF168" s="130"/>
      <c r="AG168" s="136"/>
      <c r="AI168" s="133" t="s">
        <v>671</v>
      </c>
      <c r="AJ168" s="133" t="s">
        <v>672</v>
      </c>
      <c r="AK168" s="135" t="str">
        <f>CONCATENATE(تقویم!$A$2,EventsTable[[#This Row],[روز و ماه]])</f>
        <v>14000905</v>
      </c>
    </row>
    <row r="169" spans="31:37" ht="30">
      <c r="AE169" s="127"/>
      <c r="AF169" s="130"/>
      <c r="AG169" s="136"/>
      <c r="AI169" s="133" t="s">
        <v>673</v>
      </c>
      <c r="AJ169" s="133" t="s">
        <v>672</v>
      </c>
      <c r="AK169" s="135" t="str">
        <f>CONCATENATE(تقویم!$A$2,EventsTable[[#This Row],[روز و ماه]])</f>
        <v>14000905</v>
      </c>
    </row>
    <row r="170" spans="31:37">
      <c r="AE170" s="127"/>
      <c r="AF170" s="130"/>
      <c r="AG170" s="136"/>
      <c r="AI170" s="133" t="s">
        <v>674</v>
      </c>
      <c r="AJ170" s="133" t="s">
        <v>675</v>
      </c>
      <c r="AK170" s="135" t="str">
        <f>CONCATENATE(تقویم!$A$2,EventsTable[[#This Row],[روز و ماه]])</f>
        <v>14000907</v>
      </c>
    </row>
    <row r="171" spans="31:37" ht="30">
      <c r="AE171" s="127"/>
      <c r="AF171" s="130"/>
      <c r="AG171" s="136"/>
      <c r="AI171" s="133" t="s">
        <v>676</v>
      </c>
      <c r="AJ171" s="133" t="s">
        <v>677</v>
      </c>
      <c r="AK171" s="135" t="str">
        <f>CONCATENATE(تقویم!$A$2,EventsTable[[#This Row],[روز و ماه]])</f>
        <v>14000909</v>
      </c>
    </row>
    <row r="172" spans="31:37" ht="45">
      <c r="AE172" s="127"/>
      <c r="AF172" s="130"/>
      <c r="AG172" s="136"/>
      <c r="AI172" s="133" t="s">
        <v>678</v>
      </c>
      <c r="AJ172" s="133" t="s">
        <v>679</v>
      </c>
      <c r="AK172" s="135" t="str">
        <f>CONCATENATE(تقویم!$A$2,EventsTable[[#This Row],[روز و ماه]])</f>
        <v>14000910</v>
      </c>
    </row>
    <row r="173" spans="31:37" ht="45">
      <c r="AE173" s="127"/>
      <c r="AF173" s="130"/>
      <c r="AG173" s="136"/>
      <c r="AI173" s="133" t="s">
        <v>680</v>
      </c>
      <c r="AJ173" s="133" t="s">
        <v>681</v>
      </c>
      <c r="AK173" s="135" t="str">
        <f>CONCATENATE(تقویم!$A$2,EventsTable[[#This Row],[روز و ماه]])</f>
        <v>14000911</v>
      </c>
    </row>
    <row r="174" spans="31:37" ht="75">
      <c r="AE174" s="127"/>
      <c r="AF174" s="130"/>
      <c r="AG174" s="136"/>
      <c r="AI174" s="133" t="s">
        <v>682</v>
      </c>
      <c r="AJ174" s="133" t="s">
        <v>683</v>
      </c>
      <c r="AK174" s="135" t="str">
        <f>CONCATENATE(تقویم!$A$2,EventsTable[[#This Row],[روز و ماه]])</f>
        <v>14000912</v>
      </c>
    </row>
    <row r="175" spans="31:37">
      <c r="AE175" s="127"/>
      <c r="AF175" s="130"/>
      <c r="AG175" s="136"/>
      <c r="AI175" s="133" t="s">
        <v>684</v>
      </c>
      <c r="AJ175" s="133" t="s">
        <v>685</v>
      </c>
      <c r="AK175" s="135" t="str">
        <f>CONCATENATE(تقویم!$A$2,EventsTable[[#This Row],[روز و ماه]])</f>
        <v>14000913</v>
      </c>
    </row>
    <row r="176" spans="31:37">
      <c r="AE176" s="127"/>
      <c r="AF176" s="130"/>
      <c r="AG176" s="136"/>
      <c r="AI176" s="133" t="s">
        <v>686</v>
      </c>
      <c r="AJ176" s="133" t="s">
        <v>687</v>
      </c>
      <c r="AK176" s="135" t="str">
        <f>CONCATENATE(تقویم!$A$2,EventsTable[[#This Row],[روز و ماه]])</f>
        <v>14000916</v>
      </c>
    </row>
    <row r="177" spans="31:37" ht="60">
      <c r="AE177" s="127"/>
      <c r="AF177" s="130"/>
      <c r="AG177" s="136"/>
      <c r="AI177" s="133" t="s">
        <v>688</v>
      </c>
      <c r="AJ177" s="133" t="s">
        <v>689</v>
      </c>
      <c r="AK177" s="135" t="str">
        <f>CONCATENATE(تقویم!$A$2,EventsTable[[#This Row],[روز و ماه]])</f>
        <v>14000918</v>
      </c>
    </row>
    <row r="178" spans="31:37" ht="75">
      <c r="AE178" s="127"/>
      <c r="AF178" s="130"/>
      <c r="AG178" s="136"/>
      <c r="AI178" s="133" t="s">
        <v>690</v>
      </c>
      <c r="AJ178" s="133" t="s">
        <v>691</v>
      </c>
      <c r="AK178" s="135" t="str">
        <f>CONCATENATE(تقویم!$A$2,EventsTable[[#This Row],[روز و ماه]])</f>
        <v>14000919</v>
      </c>
    </row>
    <row r="179" spans="31:37" ht="60">
      <c r="AE179" s="127"/>
      <c r="AF179" s="130"/>
      <c r="AG179" s="136"/>
      <c r="AI179" s="133" t="s">
        <v>692</v>
      </c>
      <c r="AJ179" s="133" t="s">
        <v>693</v>
      </c>
      <c r="AK179" s="135" t="str">
        <f>CONCATENATE(تقویم!$A$2,EventsTable[[#This Row],[روز و ماه]])</f>
        <v>14000920</v>
      </c>
    </row>
    <row r="180" spans="31:37">
      <c r="AE180" s="127"/>
      <c r="AF180" s="130"/>
      <c r="AG180" s="136"/>
      <c r="AI180" s="133" t="s">
        <v>694</v>
      </c>
      <c r="AJ180" s="133" t="s">
        <v>695</v>
      </c>
      <c r="AK180" s="135" t="str">
        <f>CONCATENATE(تقویم!$A$2,EventsTable[[#This Row],[روز و ماه]])</f>
        <v>14000925</v>
      </c>
    </row>
    <row r="181" spans="31:37">
      <c r="AE181" s="127"/>
      <c r="AF181" s="130"/>
      <c r="AG181" s="136"/>
      <c r="AI181" s="133" t="s">
        <v>696</v>
      </c>
      <c r="AJ181" s="133" t="s">
        <v>697</v>
      </c>
      <c r="AK181" s="135" t="str">
        <f>CONCATENATE(تقویم!$A$2,EventsTable[[#This Row],[روز و ماه]])</f>
        <v>14000926</v>
      </c>
    </row>
    <row r="182" spans="31:37" ht="45">
      <c r="AE182" s="127"/>
      <c r="AF182" s="130"/>
      <c r="AG182" s="136"/>
      <c r="AI182" s="133" t="s">
        <v>698</v>
      </c>
      <c r="AJ182" s="133" t="s">
        <v>699</v>
      </c>
      <c r="AK182" s="135" t="str">
        <f>CONCATENATE(تقویم!$A$2,EventsTable[[#This Row],[روز و ماه]])</f>
        <v>14000927</v>
      </c>
    </row>
    <row r="183" spans="31:37" ht="30">
      <c r="AE183" s="127"/>
      <c r="AF183" s="130"/>
      <c r="AG183" s="136"/>
      <c r="AI183" s="133" t="s">
        <v>700</v>
      </c>
      <c r="AJ183" s="133" t="s">
        <v>699</v>
      </c>
      <c r="AK183" s="135" t="str">
        <f>CONCATENATE(تقویم!$A$2,EventsTable[[#This Row],[روز و ماه]])</f>
        <v>14000927</v>
      </c>
    </row>
    <row r="184" spans="31:37" ht="30">
      <c r="AE184" s="127"/>
      <c r="AF184" s="130"/>
      <c r="AG184" s="136"/>
      <c r="AI184" s="133" t="s">
        <v>701</v>
      </c>
      <c r="AJ184" s="133" t="s">
        <v>702</v>
      </c>
      <c r="AK184" s="135" t="str">
        <f>CONCATENATE(تقویم!$A$2,EventsTable[[#This Row],[روز و ماه]])</f>
        <v>14000929</v>
      </c>
    </row>
    <row r="185" spans="31:37">
      <c r="AE185" s="127"/>
      <c r="AF185" s="130"/>
      <c r="AG185" s="136"/>
      <c r="AI185" s="133" t="s">
        <v>703</v>
      </c>
      <c r="AJ185" s="133" t="s">
        <v>704</v>
      </c>
      <c r="AK185" s="135" t="str">
        <f>CONCATENATE(تقویم!$A$2,EventsTable[[#This Row],[روز و ماه]])</f>
        <v>14000930</v>
      </c>
    </row>
    <row r="186" spans="31:37">
      <c r="AE186" s="127"/>
      <c r="AF186" s="130"/>
      <c r="AG186" s="136"/>
      <c r="AI186" s="133" t="s">
        <v>705</v>
      </c>
      <c r="AJ186" s="133" t="s">
        <v>706</v>
      </c>
      <c r="AK186" s="135" t="str">
        <f>CONCATENATE(تقویم!$A$2,EventsTable[[#This Row],[روز و ماه]])</f>
        <v>14001003</v>
      </c>
    </row>
    <row r="187" spans="31:37" ht="45">
      <c r="AE187" s="127"/>
      <c r="AF187" s="130"/>
      <c r="AG187" s="136"/>
      <c r="AI187" s="133" t="s">
        <v>707</v>
      </c>
      <c r="AJ187" s="133" t="s">
        <v>708</v>
      </c>
      <c r="AK187" s="135" t="str">
        <f>CONCATENATE(تقویم!$A$2,EventsTable[[#This Row],[روز و ماه]])</f>
        <v>14001005</v>
      </c>
    </row>
    <row r="188" spans="31:37" ht="75">
      <c r="AE188" s="127"/>
      <c r="AF188" s="130"/>
      <c r="AG188" s="136"/>
      <c r="AI188" s="133" t="s">
        <v>709</v>
      </c>
      <c r="AJ188" s="133" t="s">
        <v>710</v>
      </c>
      <c r="AK188" s="135" t="str">
        <f>CONCATENATE(تقویم!$A$2,EventsTable[[#This Row],[روز و ماه]])</f>
        <v>14001007</v>
      </c>
    </row>
    <row r="189" spans="31:37" ht="60">
      <c r="AE189" s="127"/>
      <c r="AF189" s="130"/>
      <c r="AG189" s="136"/>
      <c r="AI189" s="133" t="s">
        <v>711</v>
      </c>
      <c r="AJ189" s="133" t="s">
        <v>710</v>
      </c>
      <c r="AK189" s="135" t="str">
        <f>CONCATENATE(تقویم!$A$2,EventsTable[[#This Row],[روز و ماه]])</f>
        <v>14001007</v>
      </c>
    </row>
    <row r="190" spans="31:37">
      <c r="AE190" s="127"/>
      <c r="AF190" s="130"/>
      <c r="AG190" s="136"/>
      <c r="AI190" s="133" t="s">
        <v>712</v>
      </c>
      <c r="AJ190" s="133" t="s">
        <v>713</v>
      </c>
      <c r="AK190" s="135" t="str">
        <f>CONCATENATE(تقویم!$A$2,EventsTable[[#This Row],[روز و ماه]])</f>
        <v>14001008</v>
      </c>
    </row>
    <row r="191" spans="31:37" ht="45">
      <c r="AE191" s="127"/>
      <c r="AF191" s="130"/>
      <c r="AG191" s="136"/>
      <c r="AI191" s="133" t="s">
        <v>714</v>
      </c>
      <c r="AJ191" s="133" t="s">
        <v>715</v>
      </c>
      <c r="AK191" s="135" t="str">
        <f>CONCATENATE(تقویم!$A$2,EventsTable[[#This Row],[روز و ماه]])</f>
        <v>14001009</v>
      </c>
    </row>
    <row r="192" spans="31:37" ht="105">
      <c r="AE192" s="127"/>
      <c r="AF192" s="130"/>
      <c r="AG192" s="136"/>
      <c r="AI192" s="133" t="s">
        <v>716</v>
      </c>
      <c r="AJ192" s="133" t="s">
        <v>717</v>
      </c>
      <c r="AK192" s="135" t="str">
        <f>CONCATENATE(تقویم!$A$2,EventsTable[[#This Row],[روز و ماه]])</f>
        <v>14001013</v>
      </c>
    </row>
    <row r="193" spans="31:37" ht="75">
      <c r="AE193" s="127"/>
      <c r="AF193" s="130"/>
      <c r="AG193" s="136"/>
      <c r="AI193" s="133" t="s">
        <v>718</v>
      </c>
      <c r="AJ193" s="133" t="s">
        <v>717</v>
      </c>
      <c r="AK193" s="135" t="str">
        <f>CONCATENATE(تقویم!$A$2,EventsTable[[#This Row],[روز و ماه]])</f>
        <v>14001013</v>
      </c>
    </row>
    <row r="194" spans="31:37" ht="75">
      <c r="AE194" s="127"/>
      <c r="AF194" s="130"/>
      <c r="AG194" s="136"/>
      <c r="AI194" s="133" t="s">
        <v>719</v>
      </c>
      <c r="AJ194" s="133" t="s">
        <v>720</v>
      </c>
      <c r="AK194" s="135" t="str">
        <f>CONCATENATE(تقویم!$A$2,EventsTable[[#This Row],[روز و ماه]])</f>
        <v>14001017</v>
      </c>
    </row>
    <row r="195" spans="31:37" ht="30">
      <c r="AE195" s="127"/>
      <c r="AF195" s="130"/>
      <c r="AG195" s="136"/>
      <c r="AI195" s="133" t="s">
        <v>721</v>
      </c>
      <c r="AJ195" s="133" t="s">
        <v>720</v>
      </c>
      <c r="AK195" s="135" t="str">
        <f>CONCATENATE(تقویم!$A$2,EventsTable[[#This Row],[روز و ماه]])</f>
        <v>14001017</v>
      </c>
    </row>
    <row r="196" spans="31:37" ht="30">
      <c r="AE196" s="127"/>
      <c r="AF196" s="130"/>
      <c r="AG196" s="136"/>
      <c r="AI196" s="133" t="s">
        <v>722</v>
      </c>
      <c r="AJ196" s="133" t="s">
        <v>723</v>
      </c>
      <c r="AK196" s="135" t="str">
        <f>CONCATENATE(تقویم!$A$2,EventsTable[[#This Row],[روز و ماه]])</f>
        <v>14001019</v>
      </c>
    </row>
    <row r="197" spans="31:37" ht="30">
      <c r="AE197" s="127"/>
      <c r="AF197" s="130"/>
      <c r="AG197" s="136"/>
      <c r="AI197" s="133" t="s">
        <v>724</v>
      </c>
      <c r="AJ197" s="133" t="s">
        <v>725</v>
      </c>
      <c r="AK197" s="135" t="str">
        <f>CONCATENATE(تقویم!$A$2,EventsTable[[#This Row],[روز و ماه]])</f>
        <v>14001020</v>
      </c>
    </row>
    <row r="198" spans="31:37" ht="60">
      <c r="AE198" s="127"/>
      <c r="AF198" s="130"/>
      <c r="AG198" s="136"/>
      <c r="AI198" s="133" t="s">
        <v>726</v>
      </c>
      <c r="AJ198" s="133" t="s">
        <v>727</v>
      </c>
      <c r="AK198" s="135" t="str">
        <f>CONCATENATE(تقویم!$A$2,EventsTable[[#This Row],[روز و ماه]])</f>
        <v>14001022</v>
      </c>
    </row>
    <row r="199" spans="31:37" ht="30">
      <c r="AE199" s="127"/>
      <c r="AF199" s="130"/>
      <c r="AG199" s="136"/>
      <c r="AI199" s="133" t="s">
        <v>728</v>
      </c>
      <c r="AJ199" s="133" t="s">
        <v>729</v>
      </c>
      <c r="AK199" s="135" t="str">
        <f>CONCATENATE(تقویم!$A$2,EventsTable[[#This Row],[روز و ماه]])</f>
        <v>14001026</v>
      </c>
    </row>
    <row r="200" spans="31:37" ht="75">
      <c r="AE200" s="127"/>
      <c r="AF200" s="130"/>
      <c r="AG200" s="136"/>
      <c r="AI200" s="133" t="s">
        <v>730</v>
      </c>
      <c r="AJ200" s="133" t="s">
        <v>731</v>
      </c>
      <c r="AK200" s="135" t="str">
        <f>CONCATENATE(تقویم!$A$2,EventsTable[[#This Row],[روز و ماه]])</f>
        <v>14001027</v>
      </c>
    </row>
    <row r="201" spans="31:37">
      <c r="AE201" s="127"/>
      <c r="AF201" s="130"/>
      <c r="AG201" s="136"/>
      <c r="AI201" s="133" t="s">
        <v>732</v>
      </c>
      <c r="AJ201" s="133" t="s">
        <v>733</v>
      </c>
      <c r="AK201" s="135" t="str">
        <f>CONCATENATE(تقویم!$A$2,EventsTable[[#This Row],[روز و ماه]])</f>
        <v>14001029</v>
      </c>
    </row>
    <row r="202" spans="31:37" ht="30">
      <c r="AE202" s="127"/>
      <c r="AF202" s="130"/>
      <c r="AG202" s="136"/>
      <c r="AI202" s="133" t="s">
        <v>734</v>
      </c>
      <c r="AJ202" s="133" t="s">
        <v>735</v>
      </c>
      <c r="AK202" s="135" t="str">
        <f>CONCATENATE(تقویم!$A$2,EventsTable[[#This Row],[روز و ماه]])</f>
        <v>14001106</v>
      </c>
    </row>
    <row r="203" spans="31:37" ht="75">
      <c r="AE203" s="127"/>
      <c r="AF203" s="130"/>
      <c r="AG203" s="136"/>
      <c r="AI203" s="133" t="s">
        <v>736</v>
      </c>
      <c r="AJ203" s="133" t="s">
        <v>737</v>
      </c>
      <c r="AK203" s="135" t="str">
        <f>CONCATENATE(تقویم!$A$2,EventsTable[[#This Row],[روز و ماه]])</f>
        <v>14001112</v>
      </c>
    </row>
    <row r="204" spans="31:37">
      <c r="AE204" s="127"/>
      <c r="AF204" s="130"/>
      <c r="AG204" s="136"/>
      <c r="AI204" s="133" t="s">
        <v>738</v>
      </c>
      <c r="AJ204" s="133" t="s">
        <v>739</v>
      </c>
      <c r="AK204" s="135" t="str">
        <f>CONCATENATE(تقویم!$A$2,EventsTable[[#This Row],[روز و ماه]])</f>
        <v>14001114</v>
      </c>
    </row>
    <row r="205" spans="31:37">
      <c r="AE205" s="127"/>
      <c r="AF205" s="130"/>
      <c r="AG205" s="136"/>
      <c r="AI205" s="133" t="s">
        <v>740</v>
      </c>
      <c r="AJ205" s="133" t="s">
        <v>741</v>
      </c>
      <c r="AK205" s="135" t="str">
        <f>CONCATENATE(تقویم!$A$2,EventsTable[[#This Row],[روز و ماه]])</f>
        <v>14001119</v>
      </c>
    </row>
    <row r="206" spans="31:37" ht="60">
      <c r="AE206" s="127"/>
      <c r="AF206" s="130"/>
      <c r="AG206" s="136"/>
      <c r="AI206" s="133" t="s">
        <v>742</v>
      </c>
      <c r="AJ206" s="133" t="s">
        <v>743</v>
      </c>
      <c r="AK206" s="135" t="str">
        <f>CONCATENATE(تقویم!$A$2,EventsTable[[#This Row],[روز و ماه]])</f>
        <v>14001121</v>
      </c>
    </row>
    <row r="207" spans="31:37" ht="105">
      <c r="AE207" s="127"/>
      <c r="AF207" s="130"/>
      <c r="AG207" s="136"/>
      <c r="AI207" s="133" t="s">
        <v>744</v>
      </c>
      <c r="AJ207" s="133" t="s">
        <v>745</v>
      </c>
      <c r="AK207" s="135" t="str">
        <f>CONCATENATE(تقویم!$A$2,EventsTable[[#This Row],[روز و ماه]])</f>
        <v>14001125</v>
      </c>
    </row>
    <row r="208" spans="31:37" ht="60">
      <c r="AE208" s="127"/>
      <c r="AF208" s="130"/>
      <c r="AG208" s="136"/>
      <c r="AI208" s="133" t="s">
        <v>746</v>
      </c>
      <c r="AJ208" s="133" t="s">
        <v>747</v>
      </c>
      <c r="AK208" s="135" t="str">
        <f>CONCATENATE(تقویم!$A$2,EventsTable[[#This Row],[روز و ماه]])</f>
        <v>14001129</v>
      </c>
    </row>
    <row r="209" spans="31:37" ht="30">
      <c r="AE209" s="127"/>
      <c r="AF209" s="130"/>
      <c r="AG209" s="136"/>
      <c r="AI209" s="133" t="s">
        <v>748</v>
      </c>
      <c r="AJ209" s="133" t="s">
        <v>747</v>
      </c>
      <c r="AK209" s="135" t="str">
        <f>CONCATENATE(تقویم!$A$2,EventsTable[[#This Row],[روز و ماه]])</f>
        <v>14001129</v>
      </c>
    </row>
    <row r="210" spans="31:37" ht="30">
      <c r="AE210" s="127"/>
      <c r="AF210" s="130"/>
      <c r="AG210" s="136"/>
      <c r="AI210" s="133" t="s">
        <v>749</v>
      </c>
      <c r="AJ210" s="133" t="s">
        <v>750</v>
      </c>
      <c r="AK210" s="135" t="str">
        <f>CONCATENATE(تقویم!$A$2,EventsTable[[#This Row],[روز و ماه]])</f>
        <v>14001203</v>
      </c>
    </row>
    <row r="211" spans="31:37" ht="30">
      <c r="AE211" s="127"/>
      <c r="AF211" s="130"/>
      <c r="AG211" s="136"/>
      <c r="AI211" s="133" t="s">
        <v>751</v>
      </c>
      <c r="AJ211" s="133" t="s">
        <v>752</v>
      </c>
      <c r="AK211" s="135" t="str">
        <f>CONCATENATE(تقویم!$A$2,EventsTable[[#This Row],[روز و ماه]])</f>
        <v>14001205</v>
      </c>
    </row>
    <row r="212" spans="31:37">
      <c r="AE212" s="127"/>
      <c r="AF212" s="130"/>
      <c r="AG212" s="136"/>
      <c r="AI212" s="133" t="s">
        <v>753</v>
      </c>
      <c r="AJ212" s="133" t="s">
        <v>752</v>
      </c>
      <c r="AK212" s="135" t="str">
        <f>CONCATENATE(تقویم!$A$2,EventsTable[[#This Row],[روز و ماه]])</f>
        <v>14001205</v>
      </c>
    </row>
    <row r="213" spans="31:37" ht="30">
      <c r="AE213" s="127"/>
      <c r="AF213" s="130"/>
      <c r="AG213" s="136"/>
      <c r="AI213" s="133" t="s">
        <v>754</v>
      </c>
      <c r="AJ213" s="133" t="s">
        <v>755</v>
      </c>
      <c r="AK213" s="135" t="str">
        <f>CONCATENATE(تقویم!$A$2,EventsTable[[#This Row],[روز و ماه]])</f>
        <v>14001208</v>
      </c>
    </row>
    <row r="214" spans="31:37" ht="30">
      <c r="AE214" s="127"/>
      <c r="AF214" s="130"/>
      <c r="AG214" s="136"/>
      <c r="AI214" s="133" t="s">
        <v>756</v>
      </c>
      <c r="AJ214" s="133" t="s">
        <v>755</v>
      </c>
      <c r="AK214" s="135" t="str">
        <f>CONCATENATE(تقویم!$A$2,EventsTable[[#This Row],[روز و ماه]])</f>
        <v>14001208</v>
      </c>
    </row>
    <row r="215" spans="31:37" ht="30">
      <c r="AE215" s="127"/>
      <c r="AF215" s="130"/>
      <c r="AG215" s="136"/>
      <c r="AI215" s="133" t="s">
        <v>757</v>
      </c>
      <c r="AJ215" s="133" t="s">
        <v>758</v>
      </c>
      <c r="AK215" s="135" t="str">
        <f>CONCATENATE(تقویم!$A$2,EventsTable[[#This Row],[روز و ماه]])</f>
        <v>14001209</v>
      </c>
    </row>
    <row r="216" spans="31:37">
      <c r="AE216" s="127"/>
      <c r="AF216" s="130"/>
      <c r="AG216" s="136"/>
      <c r="AI216" s="133" t="s">
        <v>759</v>
      </c>
      <c r="AJ216" s="133" t="s">
        <v>760</v>
      </c>
      <c r="AK216" s="135" t="str">
        <f>CONCATENATE(تقویم!$A$2,EventsTable[[#This Row],[روز و ماه]])</f>
        <v>14001214</v>
      </c>
    </row>
    <row r="217" spans="31:37" ht="30">
      <c r="AE217" s="127"/>
      <c r="AF217" s="130"/>
      <c r="AG217" s="136"/>
      <c r="AI217" s="133" t="s">
        <v>761</v>
      </c>
      <c r="AJ217" s="133" t="s">
        <v>760</v>
      </c>
      <c r="AK217" s="135" t="str">
        <f>CONCATENATE(تقویم!$A$2,EventsTable[[#This Row],[روز و ماه]])</f>
        <v>14001214</v>
      </c>
    </row>
    <row r="218" spans="31:37">
      <c r="AE218" s="127"/>
      <c r="AF218" s="130"/>
      <c r="AG218" s="136"/>
      <c r="AI218" s="133" t="s">
        <v>762</v>
      </c>
      <c r="AJ218" s="133" t="s">
        <v>763</v>
      </c>
      <c r="AK218" s="135" t="str">
        <f>CONCATENATE(تقویم!$A$2,EventsTable[[#This Row],[روز و ماه]])</f>
        <v>14001215</v>
      </c>
    </row>
    <row r="219" spans="31:37" ht="30">
      <c r="AE219" s="127"/>
      <c r="AF219" s="130"/>
      <c r="AG219" s="136"/>
      <c r="AI219" s="133" t="s">
        <v>764</v>
      </c>
      <c r="AJ219" s="133" t="s">
        <v>765</v>
      </c>
      <c r="AK219" s="135" t="str">
        <f>CONCATENATE(تقویم!$A$2,EventsTable[[#This Row],[روز و ماه]])</f>
        <v>14001218</v>
      </c>
    </row>
    <row r="220" spans="31:37" ht="60">
      <c r="AE220" s="127"/>
      <c r="AF220" s="130"/>
      <c r="AG220" s="136"/>
      <c r="AI220" s="133" t="s">
        <v>766</v>
      </c>
      <c r="AJ220" s="133" t="s">
        <v>765</v>
      </c>
      <c r="AK220" s="135" t="str">
        <f>CONCATENATE(تقویم!$A$2,EventsTable[[#This Row],[روز و ماه]])</f>
        <v>14001218</v>
      </c>
    </row>
    <row r="221" spans="31:37">
      <c r="AE221" s="127"/>
      <c r="AF221" s="130"/>
      <c r="AG221" s="136"/>
      <c r="AI221" s="133" t="s">
        <v>767</v>
      </c>
      <c r="AJ221" s="133" t="s">
        <v>768</v>
      </c>
      <c r="AK221" s="135" t="str">
        <f>CONCATENATE(تقویم!$A$2,EventsTable[[#This Row],[روز و ماه]])</f>
        <v>14001220</v>
      </c>
    </row>
    <row r="222" spans="31:37" ht="30">
      <c r="AE222" s="127"/>
      <c r="AF222" s="130"/>
      <c r="AG222" s="136"/>
      <c r="AI222" s="133" t="s">
        <v>769</v>
      </c>
      <c r="AJ222" s="133" t="s">
        <v>770</v>
      </c>
      <c r="AK222" s="135" t="str">
        <f>CONCATENATE(تقویم!$A$2,EventsTable[[#This Row],[روز و ماه]])</f>
        <v>14001221</v>
      </c>
    </row>
    <row r="223" spans="31:37" ht="105">
      <c r="AE223" s="127"/>
      <c r="AF223" s="130"/>
      <c r="AG223" s="136"/>
      <c r="AI223" s="133" t="s">
        <v>771</v>
      </c>
      <c r="AJ223" s="133" t="s">
        <v>772</v>
      </c>
      <c r="AK223" s="135" t="str">
        <f>CONCATENATE(تقویم!$A$2,EventsTable[[#This Row],[روز و ماه]])</f>
        <v>14001222</v>
      </c>
    </row>
    <row r="224" spans="31:37" ht="45">
      <c r="AE224" s="127"/>
      <c r="AF224" s="130"/>
      <c r="AG224" s="136"/>
      <c r="AI224" s="133" t="s">
        <v>773</v>
      </c>
      <c r="AJ224" s="133" t="s">
        <v>774</v>
      </c>
      <c r="AK224" s="135" t="str">
        <f>CONCATENATE(تقویم!$A$2,EventsTable[[#This Row],[روز و ماه]])</f>
        <v>14001225</v>
      </c>
    </row>
    <row r="225" spans="31:38" ht="60">
      <c r="AE225" s="127"/>
      <c r="AF225" s="130"/>
      <c r="AG225" s="136"/>
      <c r="AI225" s="133" t="s">
        <v>775</v>
      </c>
      <c r="AJ225" s="133" t="s">
        <v>776</v>
      </c>
      <c r="AK225" s="135" t="str">
        <f>CONCATENATE(تقویم!$A$2,EventsTable[[#This Row],[روز و ماه]])</f>
        <v>14001230</v>
      </c>
    </row>
    <row r="226" spans="31:38">
      <c r="AE226" s="127"/>
      <c r="AF226" s="130"/>
      <c r="AG226" s="136"/>
      <c r="AK226" s="136"/>
    </row>
    <row r="227" spans="31:38">
      <c r="AE227" s="127"/>
      <c r="AF227" s="130"/>
      <c r="AG227" s="136"/>
      <c r="AK227" s="136"/>
    </row>
    <row r="228" spans="31:38">
      <c r="AH228" s="362"/>
      <c r="AL228" s="362"/>
    </row>
    <row r="229" spans="31:38">
      <c r="AH229" s="362"/>
      <c r="AL229" s="362"/>
    </row>
    <row r="230" spans="31:38">
      <c r="AH230" s="362"/>
      <c r="AL230" s="362"/>
    </row>
    <row r="231" spans="31:38">
      <c r="AH231" s="362"/>
      <c r="AL231" s="362"/>
    </row>
    <row r="232" spans="31:38">
      <c r="AH232" s="362"/>
      <c r="AL232" s="362"/>
    </row>
    <row r="233" spans="31:38">
      <c r="AH233" s="362"/>
      <c r="AL233" s="362"/>
    </row>
    <row r="234" spans="31:38">
      <c r="AH234" s="362"/>
      <c r="AL234" s="362"/>
    </row>
    <row r="235" spans="31:38">
      <c r="AH235" s="362"/>
      <c r="AL235" s="362"/>
    </row>
    <row r="236" spans="31:38">
      <c r="AH236" s="362"/>
      <c r="AL236" s="362"/>
    </row>
    <row r="237" spans="31:38">
      <c r="AH237" s="362"/>
      <c r="AL237" s="362"/>
    </row>
    <row r="238" spans="31:38">
      <c r="AH238" s="362"/>
      <c r="AL238" s="362"/>
    </row>
    <row r="239" spans="31:38">
      <c r="AH239" s="362"/>
      <c r="AL239" s="362"/>
    </row>
    <row r="240" spans="31:38">
      <c r="AH240" s="362"/>
      <c r="AL240" s="362"/>
    </row>
    <row r="241" spans="34:38">
      <c r="AH241" s="362"/>
      <c r="AL241" s="362"/>
    </row>
    <row r="242" spans="34:38">
      <c r="AH242" s="362"/>
      <c r="AL242" s="362"/>
    </row>
    <row r="243" spans="34:38">
      <c r="AH243" s="362"/>
      <c r="AL243" s="362"/>
    </row>
    <row r="244" spans="34:38">
      <c r="AH244" s="362"/>
      <c r="AL244" s="362"/>
    </row>
    <row r="245" spans="34:38">
      <c r="AH245" s="362"/>
      <c r="AL245" s="362"/>
    </row>
    <row r="246" spans="34:38">
      <c r="AH246" s="362"/>
      <c r="AL246" s="362"/>
    </row>
    <row r="247" spans="34:38">
      <c r="AH247" s="362"/>
      <c r="AL247" s="362"/>
    </row>
    <row r="248" spans="34:38">
      <c r="AH248" s="362"/>
      <c r="AL248" s="362"/>
    </row>
    <row r="249" spans="34:38">
      <c r="AH249" s="362"/>
      <c r="AL249" s="362"/>
    </row>
    <row r="250" spans="34:38">
      <c r="AH250" s="362"/>
      <c r="AL250" s="362"/>
    </row>
    <row r="251" spans="34:38">
      <c r="AH251" s="362"/>
      <c r="AL251" s="362"/>
    </row>
    <row r="252" spans="34:38">
      <c r="AH252" s="362"/>
      <c r="AL252" s="362"/>
    </row>
    <row r="253" spans="34:38">
      <c r="AH253" s="362"/>
      <c r="AL253" s="362"/>
    </row>
    <row r="254" spans="34:38">
      <c r="AH254" s="362"/>
      <c r="AL254" s="362"/>
    </row>
    <row r="255" spans="34:38">
      <c r="AH255" s="362"/>
      <c r="AL255" s="362"/>
    </row>
    <row r="256" spans="34:38">
      <c r="AH256" s="362"/>
      <c r="AL256" s="362"/>
    </row>
    <row r="257" spans="34:38">
      <c r="AH257" s="362"/>
      <c r="AL257" s="362"/>
    </row>
    <row r="258" spans="34:38">
      <c r="AH258" s="362"/>
      <c r="AL258" s="362"/>
    </row>
    <row r="259" spans="34:38">
      <c r="AH259" s="362"/>
      <c r="AL259" s="362"/>
    </row>
    <row r="260" spans="34:38">
      <c r="AH260" s="362"/>
      <c r="AL260" s="362"/>
    </row>
    <row r="261" spans="34:38">
      <c r="AH261" s="362"/>
      <c r="AL261" s="362"/>
    </row>
    <row r="262" spans="34:38">
      <c r="AH262" s="362"/>
      <c r="AL262" s="362"/>
    </row>
    <row r="263" spans="34:38">
      <c r="AH263" s="362"/>
      <c r="AL263" s="362"/>
    </row>
    <row r="264" spans="34:38">
      <c r="AH264" s="362"/>
      <c r="AL264" s="362"/>
    </row>
    <row r="265" spans="34:38">
      <c r="AH265" s="362"/>
      <c r="AL265" s="362"/>
    </row>
    <row r="266" spans="34:38">
      <c r="AH266" s="362"/>
      <c r="AL266" s="362"/>
    </row>
    <row r="267" spans="34:38">
      <c r="AH267" s="362"/>
      <c r="AL267" s="362"/>
    </row>
    <row r="268" spans="34:38">
      <c r="AH268" s="362"/>
      <c r="AL268" s="362"/>
    </row>
    <row r="269" spans="34:38">
      <c r="AH269" s="362"/>
      <c r="AL269" s="362"/>
    </row>
    <row r="270" spans="34:38">
      <c r="AH270" s="362"/>
      <c r="AL270" s="362"/>
    </row>
    <row r="271" spans="34:38">
      <c r="AH271" s="362"/>
      <c r="AL271" s="362"/>
    </row>
    <row r="272" spans="34:38">
      <c r="AH272" s="362"/>
      <c r="AL272" s="362"/>
    </row>
    <row r="273" spans="34:38">
      <c r="AH273" s="362"/>
      <c r="AL273" s="362"/>
    </row>
    <row r="274" spans="34:38">
      <c r="AH274" s="362"/>
      <c r="AL274" s="362"/>
    </row>
    <row r="275" spans="34:38">
      <c r="AH275" s="362"/>
      <c r="AL275" s="362"/>
    </row>
    <row r="276" spans="34:38">
      <c r="AH276" s="362"/>
      <c r="AL276" s="362"/>
    </row>
    <row r="277" spans="34:38">
      <c r="AH277" s="362"/>
      <c r="AL277" s="362"/>
    </row>
    <row r="278" spans="34:38">
      <c r="AH278" s="362"/>
      <c r="AL278" s="362"/>
    </row>
    <row r="279" spans="34:38">
      <c r="AH279" s="362"/>
      <c r="AL279" s="362"/>
    </row>
    <row r="280" spans="34:38">
      <c r="AH280" s="362"/>
      <c r="AL280" s="362"/>
    </row>
    <row r="281" spans="34:38">
      <c r="AH281" s="362"/>
      <c r="AL281" s="362"/>
    </row>
    <row r="282" spans="34:38">
      <c r="AH282" s="362"/>
      <c r="AL282" s="362"/>
    </row>
    <row r="283" spans="34:38">
      <c r="AH283" s="362"/>
      <c r="AL283" s="362"/>
    </row>
    <row r="284" spans="34:38">
      <c r="AH284" s="362"/>
      <c r="AL284" s="362"/>
    </row>
    <row r="285" spans="34:38">
      <c r="AH285" s="362"/>
      <c r="AL285" s="362"/>
    </row>
    <row r="286" spans="34:38">
      <c r="AH286" s="362"/>
      <c r="AL286" s="362"/>
    </row>
    <row r="287" spans="34:38">
      <c r="AH287" s="362"/>
      <c r="AL287" s="362"/>
    </row>
    <row r="288" spans="34:38">
      <c r="AH288" s="362"/>
      <c r="AL288" s="362"/>
    </row>
    <row r="289" spans="34:38">
      <c r="AH289" s="362"/>
      <c r="AL289" s="362"/>
    </row>
    <row r="290" spans="34:38">
      <c r="AH290" s="362"/>
      <c r="AL290" s="362"/>
    </row>
    <row r="291" spans="34:38">
      <c r="AH291" s="362"/>
      <c r="AL291" s="362"/>
    </row>
    <row r="292" spans="34:38">
      <c r="AH292" s="362"/>
      <c r="AL292" s="362"/>
    </row>
    <row r="293" spans="34:38">
      <c r="AH293" s="362"/>
      <c r="AL293" s="362"/>
    </row>
    <row r="294" spans="34:38">
      <c r="AH294" s="362"/>
      <c r="AL294" s="362"/>
    </row>
    <row r="295" spans="34:38">
      <c r="AH295" s="362"/>
      <c r="AL295" s="362"/>
    </row>
    <row r="296" spans="34:38">
      <c r="AH296" s="362"/>
      <c r="AL296" s="362"/>
    </row>
    <row r="297" spans="34:38">
      <c r="AH297" s="362"/>
      <c r="AL297" s="362"/>
    </row>
    <row r="298" spans="34:38">
      <c r="AH298" s="362"/>
      <c r="AL298" s="362"/>
    </row>
    <row r="299" spans="34:38">
      <c r="AH299" s="362"/>
      <c r="AL299" s="362"/>
    </row>
    <row r="300" spans="34:38">
      <c r="AH300" s="362"/>
      <c r="AL300" s="362"/>
    </row>
    <row r="301" spans="34:38">
      <c r="AH301" s="362"/>
      <c r="AL301" s="362"/>
    </row>
    <row r="302" spans="34:38">
      <c r="AH302" s="362"/>
      <c r="AL302" s="362"/>
    </row>
    <row r="303" spans="34:38">
      <c r="AH303" s="362"/>
      <c r="AL303" s="362"/>
    </row>
    <row r="304" spans="34:38">
      <c r="AH304" s="362"/>
      <c r="AL304" s="362"/>
    </row>
    <row r="305" spans="34:38">
      <c r="AH305" s="362"/>
      <c r="AL305" s="362"/>
    </row>
    <row r="306" spans="34:38">
      <c r="AH306" s="362"/>
      <c r="AL306" s="362"/>
    </row>
    <row r="307" spans="34:38">
      <c r="AH307" s="362"/>
      <c r="AL307" s="362"/>
    </row>
    <row r="308" spans="34:38">
      <c r="AH308" s="362"/>
      <c r="AL308" s="362"/>
    </row>
    <row r="309" spans="34:38">
      <c r="AH309" s="362"/>
      <c r="AL309" s="362"/>
    </row>
    <row r="310" spans="34:38">
      <c r="AH310" s="362"/>
      <c r="AL310" s="362"/>
    </row>
    <row r="311" spans="34:38">
      <c r="AH311" s="362"/>
      <c r="AL311" s="362"/>
    </row>
    <row r="312" spans="34:38">
      <c r="AH312" s="362"/>
      <c r="AL312" s="362"/>
    </row>
    <row r="313" spans="34:38">
      <c r="AH313" s="362"/>
      <c r="AL313" s="362"/>
    </row>
    <row r="314" spans="34:38">
      <c r="AH314" s="362"/>
      <c r="AL314" s="362"/>
    </row>
    <row r="315" spans="34:38">
      <c r="AH315" s="362"/>
      <c r="AL315" s="362"/>
    </row>
    <row r="316" spans="34:38">
      <c r="AH316" s="362"/>
      <c r="AL316" s="362"/>
    </row>
    <row r="317" spans="34:38">
      <c r="AH317" s="362"/>
      <c r="AL317" s="362"/>
    </row>
    <row r="318" spans="34:38">
      <c r="AH318" s="362"/>
      <c r="AL318" s="362"/>
    </row>
    <row r="319" spans="34:38">
      <c r="AH319" s="362"/>
      <c r="AL319" s="362"/>
    </row>
    <row r="320" spans="34:38">
      <c r="AH320" s="362"/>
      <c r="AL320" s="362"/>
    </row>
    <row r="321" spans="34:38">
      <c r="AH321" s="362"/>
      <c r="AL321" s="362"/>
    </row>
    <row r="322" spans="34:38">
      <c r="AH322" s="362"/>
      <c r="AL322" s="362"/>
    </row>
    <row r="323" spans="34:38">
      <c r="AH323" s="362"/>
      <c r="AL323" s="362"/>
    </row>
    <row r="324" spans="34:38">
      <c r="AH324" s="362"/>
      <c r="AL324" s="362"/>
    </row>
    <row r="325" spans="34:38">
      <c r="AH325" s="362"/>
      <c r="AL325" s="362"/>
    </row>
    <row r="326" spans="34:38">
      <c r="AH326" s="362"/>
      <c r="AL326" s="362"/>
    </row>
    <row r="327" spans="34:38">
      <c r="AH327" s="362"/>
      <c r="AL327" s="362"/>
    </row>
    <row r="328" spans="34:38">
      <c r="AH328" s="362"/>
      <c r="AL328" s="362"/>
    </row>
    <row r="329" spans="34:38">
      <c r="AH329" s="362"/>
      <c r="AL329" s="362"/>
    </row>
    <row r="330" spans="34:38">
      <c r="AH330" s="362"/>
      <c r="AL330" s="362"/>
    </row>
    <row r="331" spans="34:38">
      <c r="AH331" s="362"/>
      <c r="AL331" s="362"/>
    </row>
    <row r="332" spans="34:38">
      <c r="AH332" s="362"/>
      <c r="AL332" s="362"/>
    </row>
    <row r="333" spans="34:38">
      <c r="AH333" s="362"/>
      <c r="AL333" s="362"/>
    </row>
    <row r="334" spans="34:38">
      <c r="AH334" s="362"/>
      <c r="AL334" s="362"/>
    </row>
    <row r="335" spans="34:38">
      <c r="AH335" s="362"/>
      <c r="AL335" s="362"/>
    </row>
    <row r="336" spans="34:38">
      <c r="AH336" s="362"/>
      <c r="AL336" s="362"/>
    </row>
    <row r="337" spans="34:38">
      <c r="AH337" s="362"/>
      <c r="AL337" s="362"/>
    </row>
    <row r="338" spans="34:38">
      <c r="AH338" s="362"/>
      <c r="AL338" s="362"/>
    </row>
    <row r="339" spans="34:38">
      <c r="AH339" s="362"/>
      <c r="AL339" s="362"/>
    </row>
    <row r="340" spans="34:38">
      <c r="AH340" s="362"/>
      <c r="AL340" s="362"/>
    </row>
    <row r="341" spans="34:38">
      <c r="AH341" s="362"/>
      <c r="AL341" s="362"/>
    </row>
    <row r="342" spans="34:38">
      <c r="AH342" s="362"/>
      <c r="AL342" s="362"/>
    </row>
    <row r="343" spans="34:38">
      <c r="AH343" s="362"/>
      <c r="AL343" s="362"/>
    </row>
    <row r="344" spans="34:38">
      <c r="AH344" s="362"/>
      <c r="AL344" s="362"/>
    </row>
    <row r="345" spans="34:38">
      <c r="AH345" s="362"/>
      <c r="AL345" s="362"/>
    </row>
    <row r="346" spans="34:38">
      <c r="AH346" s="362"/>
      <c r="AL346" s="362"/>
    </row>
    <row r="347" spans="34:38">
      <c r="AH347" s="362"/>
      <c r="AL347" s="362"/>
    </row>
    <row r="348" spans="34:38">
      <c r="AH348" s="362"/>
      <c r="AL348" s="362"/>
    </row>
    <row r="349" spans="34:38">
      <c r="AH349" s="362"/>
      <c r="AL349" s="362"/>
    </row>
    <row r="350" spans="34:38">
      <c r="AH350" s="362"/>
      <c r="AL350" s="362"/>
    </row>
    <row r="351" spans="34:38">
      <c r="AH351" s="362"/>
      <c r="AL351" s="362"/>
    </row>
    <row r="352" spans="34:38">
      <c r="AH352" s="362"/>
      <c r="AL352" s="362"/>
    </row>
    <row r="353" spans="34:38">
      <c r="AH353" s="362"/>
      <c r="AL353" s="362"/>
    </row>
    <row r="356" spans="34:38">
      <c r="AH356" s="362"/>
      <c r="AL356" s="362"/>
    </row>
    <row r="357" spans="34:38">
      <c r="AH357" s="362"/>
      <c r="AL357" s="362"/>
    </row>
    <row r="358" spans="34:38">
      <c r="AH358" s="362"/>
      <c r="AL358" s="362"/>
    </row>
    <row r="359" spans="34:38">
      <c r="AH359" s="362"/>
      <c r="AL359" s="362"/>
    </row>
    <row r="360" spans="34:38">
      <c r="AH360" s="362"/>
      <c r="AL360" s="362"/>
    </row>
    <row r="361" spans="34:38">
      <c r="AH361" s="362"/>
      <c r="AL361" s="362"/>
    </row>
    <row r="362" spans="34:38">
      <c r="AH362" s="362"/>
      <c r="AL362" s="362"/>
    </row>
    <row r="363" spans="34:38">
      <c r="AH363" s="362"/>
      <c r="AL363" s="362"/>
    </row>
    <row r="364" spans="34:38">
      <c r="AH364" s="362"/>
      <c r="AL364" s="362"/>
    </row>
    <row r="365" spans="34:38">
      <c r="AH365" s="362"/>
      <c r="AL365" s="362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4" priority="4"/>
  </conditionalFormatting>
  <conditionalFormatting sqref="AA34:AA43">
    <cfRule type="duplicateValues" dxfId="3" priority="1"/>
  </conditionalFormatting>
  <conditionalFormatting sqref="AA8:AA11">
    <cfRule type="duplicateValues" dxfId="2" priority="23"/>
  </conditionalFormatting>
  <conditionalFormatting sqref="AA13:AA20">
    <cfRule type="duplicateValues" dxfId="1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4"/>
  <sheetViews>
    <sheetView rightToLeft="1" workbookViewId="0">
      <pane ySplit="2" topLeftCell="A3" activePane="bottomLeft" state="frozen"/>
      <selection pane="bottomLeft" activeCell="A8" sqref="A8"/>
    </sheetView>
  </sheetViews>
  <sheetFormatPr defaultRowHeight="15"/>
  <cols>
    <col min="1" max="1" width="30.5703125" style="169" customWidth="1"/>
    <col min="2" max="2" width="0.7109375" style="169" customWidth="1"/>
    <col min="3" max="3" width="4.5703125" style="171" customWidth="1"/>
    <col min="4" max="4" width="18.28515625" style="171" customWidth="1"/>
    <col min="5" max="6" width="73.140625" style="171" customWidth="1"/>
    <col min="7" max="10" width="18.28515625" style="171" customWidth="1"/>
    <col min="11" max="11" width="61.5703125" style="171" customWidth="1"/>
    <col min="12" max="12" width="20.85546875" style="171" customWidth="1"/>
    <col min="13" max="13" width="28.7109375" style="171" customWidth="1"/>
    <col min="14" max="16384" width="9.140625" style="171"/>
  </cols>
  <sheetData>
    <row r="1" spans="1:8" s="168" customFormat="1" ht="21" customHeight="1">
      <c r="A1" s="166" t="s">
        <v>390</v>
      </c>
      <c r="B1" s="167"/>
      <c r="D1" s="304" t="s">
        <v>397</v>
      </c>
      <c r="E1" s="304"/>
      <c r="F1" s="153"/>
      <c r="G1" s="153"/>
      <c r="H1" s="153"/>
    </row>
    <row r="2" spans="1:8" s="168" customFormat="1" ht="3" customHeight="1">
      <c r="A2" s="169"/>
      <c r="B2" s="169"/>
    </row>
    <row r="3" spans="1:8" ht="18.75">
      <c r="A3" s="143" t="s">
        <v>8</v>
      </c>
      <c r="B3" s="170"/>
    </row>
    <row r="4" spans="1:8" ht="18.75">
      <c r="A4" s="144" t="s">
        <v>115</v>
      </c>
      <c r="D4" s="303" t="s">
        <v>391</v>
      </c>
      <c r="E4" s="303"/>
      <c r="F4" s="303"/>
    </row>
    <row r="5" spans="1:8" ht="18.75">
      <c r="A5" s="147" t="s">
        <v>1188</v>
      </c>
      <c r="D5" s="172" t="s">
        <v>392</v>
      </c>
      <c r="E5" s="172" t="s">
        <v>40</v>
      </c>
      <c r="F5" s="172" t="s">
        <v>393</v>
      </c>
    </row>
    <row r="6" spans="1:8" ht="45">
      <c r="A6" s="394" t="s">
        <v>1189</v>
      </c>
      <c r="D6" s="173" t="s">
        <v>8</v>
      </c>
      <c r="E6" s="174" t="s">
        <v>394</v>
      </c>
      <c r="F6" s="174" t="s">
        <v>123</v>
      </c>
    </row>
    <row r="7" spans="1:8" ht="75">
      <c r="A7" s="396" t="s">
        <v>1190</v>
      </c>
      <c r="D7" s="173" t="s">
        <v>107</v>
      </c>
      <c r="E7" s="174" t="s">
        <v>395</v>
      </c>
      <c r="F7" s="174" t="s">
        <v>396</v>
      </c>
    </row>
    <row r="8" spans="1:8" ht="18.75">
      <c r="A8" s="399" t="s">
        <v>1191</v>
      </c>
    </row>
    <row r="9" spans="1:8" ht="18.75">
      <c r="A9" s="397" t="s">
        <v>7</v>
      </c>
    </row>
    <row r="10" spans="1:8" ht="18.75">
      <c r="A10" s="398" t="s">
        <v>100</v>
      </c>
    </row>
    <row r="11" spans="1:8" ht="30">
      <c r="E11" s="171" t="s">
        <v>383</v>
      </c>
      <c r="F11" s="171" t="s">
        <v>384</v>
      </c>
    </row>
    <row r="17" spans="4:4">
      <c r="D17" s="305"/>
    </row>
    <row r="18" spans="4:4">
      <c r="D18" s="305"/>
    </row>
    <row r="19" spans="4:4">
      <c r="D19" s="66" t="s">
        <v>100</v>
      </c>
    </row>
    <row r="20" spans="4:4" ht="30">
      <c r="D20" s="57" t="s">
        <v>1132</v>
      </c>
    </row>
    <row r="21" spans="4:4" ht="60">
      <c r="D21" s="57" t="s">
        <v>1133</v>
      </c>
    </row>
    <row r="22" spans="4:4" ht="30">
      <c r="D22" s="57" t="s">
        <v>1134</v>
      </c>
    </row>
    <row r="23" spans="4:4" ht="75">
      <c r="D23" s="66" t="s">
        <v>1135</v>
      </c>
    </row>
    <row r="24" spans="4:4">
      <c r="D24" s="305"/>
    </row>
  </sheetData>
  <mergeCells count="2">
    <mergeCell ref="D4:F4"/>
    <mergeCell ref="D1:E1"/>
  </mergeCells>
  <conditionalFormatting sqref="D19:D22">
    <cfRule type="duplicateValues" dxfId="0" priority="1"/>
  </conditionalFormatting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49</vt:i4>
      </vt:variant>
    </vt:vector>
  </HeadingPairs>
  <TitlesOfParts>
    <vt:vector size="75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2021-12-28T13:29:39Z</dcterms:modified>
</cp:coreProperties>
</file>