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948CEC98-27B1-4C08-B612-298F6A046C20}" xr6:coauthVersionLast="47" xr6:coauthVersionMax="47" xr10:uidLastSave="{00000000-0000-0000-0000-000000000000}"/>
  <bookViews>
    <workbookView xWindow="-120" yWindow="330" windowWidth="25440" windowHeight="15540" tabRatio="907" activeTab="2" xr2:uid="{00000000-000D-0000-FFFF-FFFF00000000}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state="hidden" r:id="rId5"/>
    <sheet name="مدیریت چک‌ها" sheetId="2" state="hidden" r:id="rId6"/>
    <sheet name="مدیریت بدهی‌ها-طلب‌ها" sheetId="16" state="hidden" r:id="rId7"/>
    <sheet name="برنامه ریزی پرداخت‌ها" sheetId="15" state="hidden" r:id="rId8"/>
    <sheet name="تقویم" sheetId="18" state="hidden" r:id="rId9"/>
    <sheet name="گزارش فعالیت‌های ماه جاری" sheetId="5" state="hidden" r:id="rId10"/>
    <sheet name="گزارش دریافت‌ها" sheetId="8" state="hidden" r:id="rId11"/>
    <sheet name="گزارش پرداخت‌ها" sheetId="9" state="hidden" r:id="rId12"/>
    <sheet name="گزارش انتقال‌ها" sheetId="10" state="hidden" r:id="rId13"/>
    <sheet name="گروه‌‌های درآمدی" sheetId="20" r:id="rId14"/>
    <sheet name="گزارش گروه‌های دریافتی" sheetId="13" state="hidden" r:id="rId15"/>
    <sheet name="گروه‌‌های (بابت‌ها) هزینه" sheetId="6" r:id="rId16"/>
    <sheet name="گزارش گروه‌های پرداختی" sheetId="12" state="hidden" r:id="rId17"/>
    <sheet name="گروه‌های انتقال" sheetId="26" state="hidden" r:id="rId18"/>
    <sheet name="گزارش گروه‌های انتقال" sheetId="27" state="hidden" r:id="rId19"/>
    <sheet name="جست و جو" sheetId="17" state="hidden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9"/>
  <externalReferences>
    <externalReference r:id="rId25"/>
  </externalReferences>
  <definedNames>
    <definedName name="AccountNamesList">#REF!</definedName>
    <definedName name="Accounts_and_ReceiversAndPayers_List">Accounts_Receivers_Payers_Table[Accounts_Receivers_Payers]</definedName>
    <definedName name="RecipientsList">#REF!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3" l="1"/>
  <c r="I18" i="3"/>
  <c r="H17" i="3"/>
  <c r="I17" i="3"/>
  <c r="H16" i="3"/>
  <c r="I16" i="3"/>
  <c r="H15" i="3"/>
  <c r="I15" i="3"/>
  <c r="I14" i="3"/>
  <c r="H14" i="3"/>
  <c r="I13" i="3"/>
  <c r="H13" i="3"/>
  <c r="I12" i="3"/>
  <c r="H12" i="3"/>
  <c r="I11" i="3"/>
  <c r="H11" i="3"/>
  <c r="I10" i="3"/>
  <c r="H10" i="3"/>
  <c r="G19" i="3"/>
  <c r="I9" i="3"/>
  <c r="H9" i="3"/>
  <c r="S122" i="4"/>
  <c r="S71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O11" i="4"/>
  <c r="O12" i="4"/>
  <c r="O13" i="4"/>
  <c r="O14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M28" i="22" l="1"/>
  <c r="M25" i="22"/>
  <c r="I25" i="22" s="1"/>
  <c r="M23" i="22"/>
  <c r="M24" i="22" s="1"/>
  <c r="U32" i="18"/>
  <c r="F14" i="18"/>
  <c r="G14" i="18"/>
  <c r="I23" i="18"/>
  <c r="Z5" i="18"/>
  <c r="AA14" i="18"/>
  <c r="S14" i="18"/>
  <c r="P14" i="18"/>
  <c r="J32" i="18"/>
  <c r="AA32" i="18"/>
  <c r="P23" i="18"/>
  <c r="AB14" i="18"/>
  <c r="F23" i="18"/>
  <c r="H32" i="18"/>
  <c r="I32" i="18"/>
  <c r="G23" i="18"/>
  <c r="Z14" i="18"/>
  <c r="S5" i="18"/>
  <c r="Z32" i="18"/>
  <c r="R32" i="18"/>
  <c r="P32" i="18"/>
  <c r="U14" i="18"/>
  <c r="P5" i="18"/>
  <c r="Q14" i="18"/>
  <c r="Z23" i="18"/>
  <c r="S32" i="18"/>
  <c r="G32" i="18"/>
  <c r="F5" i="18"/>
  <c r="T5" i="18"/>
  <c r="G5" i="18"/>
  <c r="AA23" i="18"/>
  <c r="J23" i="18"/>
  <c r="T14" i="18"/>
  <c r="T32" i="18"/>
  <c r="H23" i="18"/>
  <c r="Q32" i="18"/>
  <c r="Q5" i="18"/>
  <c r="R5" i="18"/>
  <c r="F32" i="18"/>
  <c r="R14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AB32" i="18"/>
  <c r="AC32" i="18"/>
  <c r="AA5" i="18"/>
  <c r="AD32" i="18"/>
  <c r="K23" i="18"/>
  <c r="H14" i="18"/>
  <c r="V14" i="18"/>
  <c r="U5" i="18"/>
  <c r="H5" i="18"/>
  <c r="V32" i="18"/>
  <c r="Q23" i="18"/>
  <c r="AB5" i="18"/>
  <c r="K32" i="18"/>
  <c r="AC14" i="18"/>
  <c r="AB23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AD14" i="18"/>
  <c r="AC5" i="18"/>
  <c r="V5" i="18"/>
  <c r="I5" i="18"/>
  <c r="AE14" i="18"/>
  <c r="L23" i="18"/>
  <c r="R23" i="18"/>
  <c r="S23" i="18" s="1"/>
  <c r="AC23" i="18"/>
  <c r="I14" i="18"/>
  <c r="L32" i="18"/>
  <c r="AE32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AF14" i="18"/>
  <c r="T23" i="18"/>
  <c r="J14" i="18"/>
  <c r="J5" i="18"/>
  <c r="AD5" i="18"/>
  <c r="AF32" i="18"/>
  <c r="AD23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K5" i="18"/>
  <c r="U23" i="18"/>
  <c r="K14" i="18"/>
  <c r="AE5" i="18"/>
  <c r="AE23" i="18"/>
  <c r="I3" i="1" l="1"/>
  <c r="V23" i="18"/>
  <c r="L5" i="18"/>
  <c r="AF5" i="18"/>
  <c r="AF23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<sst xmlns="http://schemas.openxmlformats.org/spreadsheetml/2006/main" count="1391" uniqueCount="982">
  <si>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</si>
  <si>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</si>
  <si>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</si>
  <si>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</si>
  <si>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</si>
  <si>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</si>
  <si>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</si>
  <si>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</si>
  <si>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</si>
  <si>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</si>
  <si>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</si>
  <si>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</si>
  <si>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</si>
  <si>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</si>
  <si>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</si>
  <si>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</si>
  <si>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</si>
  <si>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</si>
  <si>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</si>
  <si>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</si>
  <si>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</si>
  <si>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</si>
  <si>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</si>
  <si>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</si>
  <si>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</si>
  <si>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</si>
  <si>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</si>
  <si>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</si>
  <si>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</si>
  <si>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</si>
  <si>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</si>
  <si>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</si>
  <si>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</si>
  <si>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</si>
  <si>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</si>
  <si>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</si>
  <si>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</si>
  <si>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</si>
  <si>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</si>
  <si>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</si>
  <si>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</si>
  <si>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</si>
  <si>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</si>
  <si>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</si>
  <si>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</si>
  <si>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</si>
  <si>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</si>
  <si>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</si>
  <si>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</si>
  <si>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</si>
  <si>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</si>
  <si>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</si>
  <si>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</si>
  <si>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</si>
  <si>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</si>
  <si>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</si>
  <si>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</si>
  <si>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</si>
  <si>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</si>
  <si>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</si>
  <si>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</si>
  <si>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</si>
  <si>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</si>
  <si>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</si>
  <si>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</si>
  <si>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</si>
  <si>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</si>
  <si>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</si>
  <si>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</si>
  <si>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</si>
  <si>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</si>
  <si>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</si>
  <si>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</si>
  <si>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</si>
  <si>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</si>
  <si>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</si>
  <si>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</si>
  <si>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</si>
  <si>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</si>
  <si>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</si>
  <si>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</si>
  <si>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</si>
  <si>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</si>
  <si>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</si>
  <si>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</si>
  <si>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</si>
  <si>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</si>
  <si>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</si>
  <si>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</si>
  <si>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</si>
  <si>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</si>
  <si>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</si>
  <si>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</si>
  <si>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</si>
  <si>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</si>
  <si>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</si>
  <si>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</si>
  <si>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</si>
  <si>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</si>
  <si>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</si>
  <si>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</si>
  <si>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</si>
  <si>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</si>
  <si>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</si>
  <si>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</si>
  <si>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</si>
  <si>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</si>
  <si>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</si>
  <si>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</si>
  <si>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</si>
  <si>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</si>
  <si>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</si>
  <si>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</si>
  <si>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</si>
  <si>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</si>
  <si>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</si>
  <si>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</si>
  <si>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</si>
  <si>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</si>
  <si>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</si>
  <si>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</si>
  <si>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</si>
  <si>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</si>
  <si>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</si>
  <si>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</si>
  <si>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</si>
  <si>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</si>
  <si>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</si>
  <si>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</si>
  <si>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</si>
  <si>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</si>
  <si>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</si>
  <si>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</si>
  <si>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</si>
  <si>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</si>
  <si>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</si>
  <si>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</si>
  <si>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</si>
  <si>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</si>
  <si>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</si>
  <si>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</si>
  <si>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</si>
  <si>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</si>
  <si>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</si>
  <si>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</si>
  <si>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</si>
  <si>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</si>
  <si>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</si>
  <si>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</si>
  <si>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</si>
  <si>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</si>
  <si>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</si>
  <si>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</si>
  <si>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</si>
  <si>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</si>
  <si>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</si>
  <si>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</si>
  <si>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</si>
  <si>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</si>
  <si>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</si>
  <si>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</si>
  <si>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</si>
  <si>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</si>
  <si>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</si>
  <si>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</si>
  <si>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</si>
  <si>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</si>
  <si>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</si>
  <si>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</si>
  <si>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</si>
  <si>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</si>
  <si>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</si>
  <si>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</si>
  <si>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</si>
  <si>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</si>
  <si>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</si>
  <si>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</si>
  <si>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</si>
  <si>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</si>
  <si>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</si>
  <si>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</si>
  <si>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</si>
  <si>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</si>
  <si>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</si>
  <si>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</si>
  <si>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</si>
  <si>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</si>
  <si>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</si>
  <si>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</si>
  <si>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</si>
  <si>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</si>
  <si>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</si>
  <si>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</si>
  <si>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</si>
  <si>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</si>
  <si>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</si>
  <si>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</si>
  <si>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</si>
  <si>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</si>
  <si>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</si>
  <si>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</si>
  <si>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</si>
  <si>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</si>
  <si>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</si>
  <si>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</si>
  <si>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</si>
  <si>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</si>
  <si>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</si>
  <si>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</si>
  <si>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</si>
  <si>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</si>
  <si>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</si>
  <si>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</si>
  <si>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</si>
  <si>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</si>
  <si>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</si>
  <si>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</si>
  <si>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</si>
  <si>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</si>
  <si>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</si>
  <si>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</si>
  <si>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</si>
  <si>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</si>
  <si>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</si>
  <si>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</si>
  <si>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</si>
  <si>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</si>
  <si>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</si>
  <si>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</si>
  <si>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</si>
  <si>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</si>
  <si>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</si>
  <si>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</si>
  <si>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</si>
  <si>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</si>
  <si>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</si>
  <si>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</si>
  <si>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</si>
  <si>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</si>
  <si>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</si>
  <si>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</si>
  <si>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</si>
  <si>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</si>
  <si>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</si>
  <si>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</si>
  <si>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</si>
  <si>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</si>
  <si>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</si>
  <si>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</si>
  <si>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</si>
  <si>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</si>
  <si>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</si>
  <si>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</si>
  <si>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</si>
  <si>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</si>
  <si>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</si>
  <si>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</si>
  <si>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</si>
  <si>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</si>
  <si>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</si>
  <si>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</si>
  <si>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</si>
  <si>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</si>
  <si>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</si>
  <si>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</si>
  <si>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</si>
  <si>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</si>
  <si>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</si>
  <si>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</si>
  <si>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</si>
  <si>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</si>
  <si>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</si>
  <si>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</si>
  <si>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</si>
  <si>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</si>
  <si>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</si>
  <si>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</si>
  <si>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</si>
  <si>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</si>
  <si>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</si>
  <si>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</si>
  <si>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</si>
  <si>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</si>
  <si>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</si>
  <si>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</si>
  <si>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</si>
  <si>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</si>
  <si>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</si>
  <si>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</si>
  <si>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</si>
  <si>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</si>
  <si>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</si>
  <si>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</si>
  <si>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</si>
  <si>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</si>
  <si>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</si>
  <si>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</si>
  <si>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</si>
  <si>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</si>
  <si>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</si>
  <si>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</si>
  <si>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</si>
  <si>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</si>
  <si>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</si>
  <si>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</si>
  <si>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</si>
  <si>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</si>
  <si>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</si>
  <si>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</si>
  <si>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</si>
  <si>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</si>
  <si>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</si>
  <si>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</si>
  <si>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</si>
  <si>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</si>
  <si>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</si>
  <si>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</si>
  <si>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</si>
  <si>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</si>
  <si>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</si>
  <si>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</si>
  <si>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</si>
  <si>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</si>
  <si>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</si>
  <si>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</si>
  <si>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</si>
  <si>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</si>
  <si>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</si>
  <si>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 پور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</si>
  <si>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</si>
  <si>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</si>
  <si>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</si>
  <si>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</si>
  <si>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</si>
  <si>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</si>
  <si>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</si>
  <si>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</si>
  <si>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</si>
  <si>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</si>
  <si>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</si>
  <si>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</si>
  <si>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</si>
  <si>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</si>
  <si>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</si>
  <si>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</si>
  <si>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</si>
  <si>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</si>
  <si>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</si>
  <si>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</si>
  <si>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</si>
  <si>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</si>
  <si>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</si>
  <si>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</si>
  <si>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</si>
  <si>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</si>
  <si>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</si>
  <si>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</si>
  <si>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</si>
  <si>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</si>
  <si>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</si>
  <si>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</si>
  <si>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</si>
  <si>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</si>
  <si>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</si>
  <si>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</si>
  <si>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</si>
  <si>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</si>
  <si>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</si>
  <si>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</si>
  <si>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</si>
  <si>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</si>
  <si>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</si>
  <si>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</si>
  <si>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</si>
  <si>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</si>
  <si>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</si>
  <si>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</si>
  <si>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</si>
  <si>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</si>
  <si>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</si>
  <si>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</si>
  <si>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</si>
  <si>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</si>
  <si>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</si>
  <si>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</si>
  <si>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</si>
  <si>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</si>
  <si>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</si>
  <si>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</si>
  <si>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</si>
  <si>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</si>
  <si>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</si>
  <si>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</si>
  <si>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</si>
  <si>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</si>
  <si>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</si>
  <si>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</si>
  <si>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</si>
  <si>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</si>
  <si>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</si>
  <si>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</si>
  <si>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</si>
  <si>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</si>
  <si>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</si>
  <si>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</si>
  <si>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</si>
  <si>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</si>
  <si>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</si>
  <si>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</si>
  <si>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</si>
  <si>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</si>
  <si>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</si>
  <si>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</si>
  <si>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</si>
  <si>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</si>
  <si>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</si>
  <si>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</si>
  <si>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</si>
  <si>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</si>
  <si>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</si>
  <si>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</si>
  <si>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</si>
  <si>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</si>
  <si>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</si>
  <si>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</si>
  <si>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</si>
  <si>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</si>
  <si>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</si>
  <si>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</si>
  <si>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</si>
  <si>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</si>
  <si>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</si>
  <si>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</si>
  <si>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</si>
  <si>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</si>
  <si>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</si>
  <si>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</si>
  <si>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</si>
  <si>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</si>
  <si>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</si>
  <si>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</si>
  <si>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</si>
  <si>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</si>
  <si>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</si>
  <si>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</si>
  <si>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</si>
  <si>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</si>
  <si>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</si>
  <si>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</si>
  <si>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</si>
  <si>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</si>
  <si>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</si>
  <si>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</si>
  <si>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</si>
  <si>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</si>
  <si>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</si>
  <si>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</si>
  <si>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</si>
  <si>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</si>
  <si>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</si>
  <si>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</si>
  <si>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</si>
  <si>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</si>
  <si>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</si>
  <si>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</si>
  <si>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</si>
  <si>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</si>
  <si>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</si>
  <si>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</si>
  <si>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</si>
  <si>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</si>
  <si>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</si>
  <si>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</si>
  <si>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</si>
  <si>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</si>
  <si>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</si>
  <si>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</si>
  <si>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</si>
  <si>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</si>
  <si>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</si>
  <si>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</si>
  <si>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</si>
  <si>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</si>
  <si>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</si>
  <si>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</si>
  <si>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</si>
  <si>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</si>
  <si>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</si>
  <si>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</si>
  <si>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</si>
  <si>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</si>
  <si>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</si>
  <si>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</si>
  <si>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</si>
  <si>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</si>
  <si>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</si>
  <si>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</si>
  <si>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</si>
  <si>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</si>
  <si>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</si>
  <si>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</si>
  <si>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</si>
  <si>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</si>
  <si>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</si>
  <si>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</si>
  <si>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</si>
  <si>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</si>
  <si>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</si>
  <si>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</si>
  <si>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</si>
  <si>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</si>
  <si>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</si>
  <si>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</si>
  <si>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</si>
  <si>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</si>
  <si>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</si>
  <si>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</si>
  <si>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</si>
  <si>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</si>
  <si>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</si>
  <si>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</si>
  <si>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</si>
  <si>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</si>
  <si>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</si>
  <si>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</si>
  <si>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</si>
  <si>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</si>
  <si>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</si>
  <si>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</si>
  <si>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</si>
  <si>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</si>
  <si>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</si>
  <si>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</si>
  <si>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</si>
  <si>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</si>
  <si>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</si>
  <si>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</si>
  <si>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</si>
  <si>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</si>
  <si>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</si>
  <si>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</si>
  <si>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</si>
  <si>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</si>
  <si>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</si>
  <si>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</si>
  <si>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</si>
  <si>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</si>
  <si>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</si>
  <si>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</si>
  <si>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</si>
  <si>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</si>
  <si>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</si>
  <si>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</si>
  <si>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</si>
  <si>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</si>
  <si>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</si>
  <si>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</si>
  <si>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</si>
  <si>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</si>
  <si>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</si>
  <si>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</si>
  <si>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</si>
  <si>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</si>
  <si>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</si>
  <si>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</si>
  <si>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</si>
  <si>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</si>
  <si>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</si>
  <si>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</si>
  <si>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</si>
  <si>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</si>
  <si>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</si>
  <si>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</si>
  <si>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</si>
  <si>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</si>
  <si>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</si>
  <si>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</si>
  <si>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</si>
  <si>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</si>
  <si>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</si>
  <si>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</si>
  <si>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</si>
  <si>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</si>
  <si>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</si>
  <si>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</si>
  <si>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</si>
  <si>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</si>
  <si>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</si>
  <si>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</si>
  <si>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</si>
  <si>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</si>
  <si>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</si>
  <si>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</si>
  <si>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</si>
  <si>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</si>
  <si>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</si>
  <si>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</si>
  <si>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</si>
  <si>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</si>
  <si>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</si>
  <si>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</si>
  <si>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</si>
  <si>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</si>
  <si>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</si>
  <si>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</si>
  <si>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</si>
  <si>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</si>
  <si>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</si>
  <si>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</si>
  <si>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</si>
  <si>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</si>
  <si>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</si>
  <si>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</si>
  <si>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</si>
  <si>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</si>
  <si>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</si>
  <si>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</si>
  <si>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</si>
  <si>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</si>
  <si>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</si>
  <si>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</si>
  <si>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</si>
  <si>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</si>
  <si>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</si>
  <si>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</si>
  <si>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</si>
  <si>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</si>
  <si>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</si>
  <si>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</si>
  <si>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</si>
  <si>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</si>
  <si>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</si>
  <si>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</si>
  <si>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</si>
  <si>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</si>
  <si>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</si>
  <si>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</si>
  <si>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</si>
  <si>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</si>
  <si>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</si>
  <si>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</si>
  <si>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</si>
  <si>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</si>
  <si>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</si>
  <si>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</si>
  <si>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</si>
  <si>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</si>
  <si>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</si>
  <si>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</si>
  <si>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</si>
  <si>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</si>
  <si>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</si>
  <si>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</si>
  <si>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</si>
  <si>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</si>
  <si>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</si>
  <si>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</si>
  <si>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</si>
  <si>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</si>
  <si>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</si>
  <si>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</si>
  <si>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</si>
  <si>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</si>
  <si>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</si>
  <si>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</si>
  <si>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</si>
  <si>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</si>
  <si>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</si>
  <si>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</si>
  <si>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</si>
  <si>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</si>
  <si>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</si>
  <si>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</si>
  <si>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</si>
  <si>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</si>
  <si>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</si>
  <si>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</si>
  <si>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</si>
  <si>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</si>
  <si>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</si>
  <si>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</si>
  <si>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</si>
  <si>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</si>
  <si>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</si>
  <si>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</si>
  <si>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</si>
  <si>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</si>
  <si>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</si>
  <si>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</si>
  <si>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</si>
  <si>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</si>
  <si>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</si>
  <si>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</si>
  <si>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</si>
  <si>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</si>
  <si>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</si>
  <si>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</si>
  <si>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</si>
  <si>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</si>
  <si>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</si>
  <si>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</si>
  <si>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</si>
  <si>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</si>
  <si>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</si>
  <si>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</si>
  <si>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</si>
  <si>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</si>
  <si>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</si>
  <si>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</si>
  <si>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</si>
  <si>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</si>
  <si>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</si>
  <si>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</si>
  <si>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</si>
  <si>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</si>
  <si>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</si>
  <si>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</si>
  <si>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</si>
  <si>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</si>
  <si>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</si>
  <si>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</si>
  <si>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</si>
  <si>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</si>
  <si>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</si>
  <si>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</si>
  <si>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</si>
  <si>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</si>
  <si>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</si>
  <si>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</si>
  <si>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</si>
  <si>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</si>
  <si>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</si>
  <si>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</si>
  <si>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</si>
  <si>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</si>
  <si>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</si>
  <si>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</si>
  <si>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</si>
  <si>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</si>
  <si>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</si>
  <si>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</si>
  <si>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</si>
  <si>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</si>
  <si>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</si>
  <si>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</si>
  <si>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</si>
  <si>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</si>
  <si>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</si>
  <si>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</si>
  <si>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</si>
  <si>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</si>
  <si>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</si>
  <si>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</si>
  <si>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</si>
  <si>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</si>
  <si>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</si>
  <si>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</si>
  <si>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</si>
  <si>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</si>
  <si>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</si>
  <si>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</si>
  <si>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</si>
  <si>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</si>
  <si>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</si>
  <si>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</si>
  <si>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</si>
  <si>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</si>
  <si>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</si>
  <si>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</si>
  <si>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</si>
  <si>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</si>
  <si>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</si>
  <si>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</si>
  <si>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</si>
  <si>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</si>
  <si>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</si>
  <si>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</si>
  <si>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</si>
  <si>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</si>
  <si>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</si>
  <si>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</si>
  <si>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</si>
  <si>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</si>
  <si>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</si>
  <si>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</si>
  <si>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</si>
  <si>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</si>
  <si>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</si>
  <si>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</si>
  <si>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</si>
  <si>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</si>
  <si>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</si>
  <si>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</si>
  <si>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</si>
  <si>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</si>
  <si>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</si>
  <si>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</si>
  <si>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</si>
  <si>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</si>
  <si>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</si>
  <si>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</si>
  <si>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</si>
  <si>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</si>
  <si>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</si>
  <si>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</si>
  <si>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</si>
  <si>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</si>
  <si>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</si>
  <si>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</si>
  <si>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</si>
  <si>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</si>
  <si>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</si>
  <si>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</si>
  <si>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</si>
  <si>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</si>
  <si>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</si>
  <si>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</si>
  <si>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</si>
  <si>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</si>
  <si>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</si>
  <si>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</si>
  <si>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</si>
  <si>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</si>
  <si>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</si>
  <si>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</si>
  <si>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</si>
  <si>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</si>
  <si>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</si>
  <si>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</si>
  <si>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</si>
  <si>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</si>
  <si>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</si>
  <si>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</si>
  <si>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</si>
  <si>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</si>
  <si>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</si>
  <si>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</si>
  <si>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</si>
  <si>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</si>
  <si>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</si>
  <si>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</si>
  <si>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</si>
  <si>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</si>
  <si>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</si>
  <si>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</si>
  <si>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</si>
  <si>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</si>
  <si>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</si>
  <si>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</si>
  <si>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</si>
  <si>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</si>
  <si>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</si>
  <si>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</si>
  <si>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</si>
  <si>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</si>
  <si>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</si>
  <si>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</si>
  <si>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</si>
  <si>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</si>
  <si>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</si>
  <si>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</si>
  <si>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</si>
  <si>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</si>
  <si>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</si>
  <si>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</si>
  <si>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</si>
  <si>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</si>
  <si>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</si>
  <si>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</si>
  <si>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</si>
  <si>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</si>
  <si>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</si>
  <si>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</si>
  <si>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</si>
  <si>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</si>
  <si>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</si>
  <si>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</si>
  <si>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</si>
  <si>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</si>
  <si>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</si>
  <si>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</si>
  <si>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</si>
  <si>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</si>
  <si>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</si>
  <si>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</si>
  <si>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</si>
  <si>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</si>
  <si>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</si>
  <si>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</si>
  <si>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</si>
  <si>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</si>
  <si>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</si>
  <si>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</si>
  <si>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</si>
  <si>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</si>
  <si>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</si>
  <si>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</si>
  <si>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</si>
  <si>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</si>
  <si>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</si>
  <si>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</si>
  <si>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</si>
  <si>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</si>
  <si>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</si>
  <si>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</si>
  <si>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</si>
  <si>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</si>
  <si>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</si>
  <si>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</si>
  <si>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</si>
  <si>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</si>
  <si>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</si>
  <si>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</si>
  <si>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</si>
  <si>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</si>
  <si>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</si>
  <si>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</si>
  <si>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</si>
  <si>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</si>
  <si>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</si>
  <si>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</si>
  <si>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</si>
  <si>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</si>
  <si>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</si>
  <si>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</si>
  <si>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</si>
  <si>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</si>
  <si>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</si>
  <si>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</si>
  <si>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</si>
  <si>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</si>
  <si>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</si>
  <si>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</si>
  <si>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</si>
  <si>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</si>
  <si>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</si>
  <si>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</si>
  <si>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</si>
  <si>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</si>
  <si>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</si>
  <si>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</si>
  <si>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</si>
  <si>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</si>
  <si>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</si>
  <si>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</si>
  <si>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</si>
  <si>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</si>
  <si>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</si>
  <si>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</si>
  <si>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</si>
  <si>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</si>
  <si>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</si>
  <si>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</si>
  <si>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</si>
  <si>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</si>
  <si>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</si>
  <si>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</si>
  <si>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</si>
  <si>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</si>
  <si>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</si>
  <si>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</si>
  <si>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</si>
  <si>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</si>
  <si>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</si>
  <si>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</si>
  <si>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</si>
  <si>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</si>
  <si>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</si>
  <si>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</si>
  <si>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</si>
  <si>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</si>
  <si>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</si>
  <si>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</si>
  <si>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</si>
  <si>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</si>
  <si>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</si>
  <si>
    <t>رمز صفحه: Receivers&amp;PayersPass</t>
  </si>
  <si>
    <t>شخص ۱</t>
  </si>
  <si>
    <t>شخص ۲</t>
  </si>
  <si>
    <t>شخص ۳</t>
  </si>
  <si>
    <t>شخص ۴</t>
  </si>
  <si>
    <t>Accounts_Receivers_Payers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</si>
</sst>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</cellStyleXfs>
  <cellXfs count="220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9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15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19" fillId="17" borderId="0" xfId="0" applyFont="1" applyFill="1" applyAlignment="1">
      <alignment horizontal="center" vertical="center" wrapText="1" readingOrder="2"/>
    </xf>
    <xf numFmtId="0" fontId="20" fillId="17" borderId="0" xfId="0" applyFont="1" applyFill="1"/>
    <xf numFmtId="0" fontId="0" fillId="17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1" borderId="0" xfId="0" applyFont="1" applyFill="1" applyAlignment="1">
      <alignment horizontal="center" vertical="center" wrapText="1" readingOrder="2"/>
    </xf>
    <xf numFmtId="0" fontId="20" fillId="31" borderId="0" xfId="0" applyFont="1" applyFill="1"/>
    <xf numFmtId="0" fontId="0" fillId="31" borderId="0" xfId="0" applyFill="1"/>
    <xf numFmtId="0" fontId="13" fillId="32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5" borderId="0" xfId="0" applyFill="1"/>
    <xf numFmtId="169" fontId="23" fillId="35" borderId="0" xfId="0" applyNumberFormat="1" applyFont="1" applyFill="1" applyAlignment="1" applyProtection="1">
      <alignment horizontal="center" vertical="center"/>
    </xf>
    <xf numFmtId="0" fontId="21" fillId="35" borderId="0" xfId="0" applyNumberFormat="1" applyFont="1" applyFill="1" applyAlignment="1" applyProtection="1">
      <alignment horizontal="center" vertical="center"/>
    </xf>
    <xf numFmtId="0" fontId="4" fillId="20" borderId="0" xfId="0" applyFont="1" applyFill="1" applyAlignment="1" applyProtection="1">
      <alignment horizontal="center" vertical="center" wrapText="1" readingOrder="2"/>
    </xf>
    <xf numFmtId="0" fontId="4" fillId="35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horizontal="center" vertical="center" wrapText="1" readingOrder="2"/>
    </xf>
    <xf numFmtId="0" fontId="20" fillId="35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8" fillId="16" borderId="0" xfId="0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9" borderId="0" xfId="0" applyFont="1" applyFill="1" applyAlignment="1" applyProtection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0" fontId="8" fillId="9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8" borderId="0" xfId="0" applyFont="1" applyFill="1" applyAlignment="1" applyProtection="1">
      <alignment horizontal="center" vertical="center" wrapText="1" readingOrder="2"/>
    </xf>
    <xf numFmtId="0" fontId="27" fillId="18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13" fillId="17" borderId="0" xfId="1" applyFont="1" applyFill="1" applyAlignment="1" applyProtection="1">
      <alignment horizontal="center" vertical="center" wrapText="1"/>
    </xf>
    <xf numFmtId="0" fontId="22" fillId="30" borderId="0" xfId="0" applyFont="1" applyFill="1" applyAlignment="1">
      <alignment horizontal="center" vertical="center" wrapText="1" readingOrder="2"/>
    </xf>
    <xf numFmtId="0" fontId="22" fillId="29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1" borderId="0" xfId="0" applyFont="1" applyFill="1" applyAlignment="1">
      <alignment horizontal="center" vertical="center" textRotation="180" wrapText="1" readingOrder="2"/>
    </xf>
    <xf numFmtId="0" fontId="22" fillId="17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1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8" fillId="36" borderId="0" xfId="1" applyFont="1" applyFill="1" applyBorder="1" applyAlignment="1" applyProtection="1">
      <alignment horizontal="center" vertical="center" wrapText="1"/>
    </xf>
    <xf numFmtId="0" fontId="8" fillId="36" borderId="0" xfId="0" applyFont="1" applyFill="1" applyAlignment="1" applyProtection="1">
      <alignment horizontal="center" vertical="center" wrapText="1" readingOrder="2"/>
    </xf>
    <xf numFmtId="0" fontId="7" fillId="27" borderId="0" xfId="0" applyFont="1" applyFill="1" applyAlignment="1" applyProtection="1">
      <alignment horizontal="center" vertical="center" wrapText="1" readingOrder="2"/>
    </xf>
    <xf numFmtId="0" fontId="18" fillId="3" borderId="0" xfId="0" applyFont="1" applyFill="1" applyAlignment="1" applyProtection="1">
      <alignment horizontal="center" vertical="center" wrapText="1" readingOrder="2"/>
    </xf>
    <xf numFmtId="0" fontId="18" fillId="33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horizontal="center" vertical="center" wrapText="1" readingOrder="2"/>
    </xf>
    <xf numFmtId="0" fontId="0" fillId="21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18" fillId="21" borderId="0" xfId="0" applyFont="1" applyFill="1" applyAlignment="1" applyProtection="1">
      <alignment horizontal="center" vertical="center" wrapText="1" readingOrder="2"/>
    </xf>
    <xf numFmtId="0" fontId="4" fillId="20" borderId="0" xfId="0" applyFont="1" applyFill="1" applyAlignment="1" applyProtection="1">
      <alignment horizontal="center" vertical="center"/>
    </xf>
    <xf numFmtId="0" fontId="0" fillId="35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7" fillId="27" borderId="0" xfId="0" applyFont="1" applyFill="1" applyAlignment="1" applyProtection="1">
      <alignment horizontal="center" vertical="center" wrapText="1"/>
    </xf>
    <xf numFmtId="0" fontId="0" fillId="35" borderId="0" xfId="0" applyFont="1" applyFill="1" applyProtection="1"/>
    <xf numFmtId="0" fontId="0" fillId="35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8" fillId="18" borderId="0" xfId="0" applyFont="1" applyFill="1" applyAlignment="1" applyProtection="1">
      <alignment horizontal="center" vertical="center" wrapText="1"/>
    </xf>
    <xf numFmtId="0" fontId="1" fillId="22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9" borderId="0" xfId="0" applyNumberFormat="1" applyFont="1" applyFill="1" applyAlignment="1" applyProtection="1">
      <alignment horizontal="center" vertical="center" wrapText="1"/>
    </xf>
  </cellXfs>
  <cellStyles count="3">
    <cellStyle name="Currency" xfId="2" builtinId="4"/>
    <cellStyle name="Hyperlink" xfId="1" builtinId="8"/>
    <cellStyle name="Normal" xfId="0" builtinId="0"/>
  </cellStyles>
  <dxfs count="210"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209" dataDxfId="208">
  <autoFilter ref="A7:N507" xr:uid="{00000000-0009-0000-0100-000003000000}"/>
  <tableColumns count="14">
    <tableColumn id="1" xr3:uid="{00000000-0010-0000-0000-000001000000}" name="ردیف" dataDxfId="207"/>
    <tableColumn id="2" xr3:uid="{00000000-0010-0000-0000-000002000000}" name="افراد (اعضا)" dataDxfId="206"/>
    <tableColumn id="4" xr3:uid="{00000000-0010-0000-0000-000004000000}" name="تاریخ" dataDxfId="205"/>
    <tableColumn id="5" xr3:uid="{00000000-0010-0000-0000-000005000000}" name="عنوان" dataDxfId="204"/>
    <tableColumn id="14" xr3:uid="{00000000-0010-0000-0000-00000E000000}" name="تراکنش" dataDxfId="203"/>
    <tableColumn id="6" xr3:uid="{00000000-0010-0000-0000-000006000000}" name="گروه (درآمد/هزینه)" dataDxfId="202"/>
    <tableColumn id="7" xr3:uid="{00000000-0010-0000-0000-000007000000}" name="زیر گروه" dataDxfId="201"/>
    <tableColumn id="3" xr3:uid="{00000000-0010-0000-0000-000003000000}" name="روش تراکنش" dataDxfId="200"/>
    <tableColumn id="8" xr3:uid="{00000000-0010-0000-0000-000008000000}" name="مبلغ (ریال)" dataDxfId="199"/>
    <tableColumn id="9" xr3:uid="{00000000-0010-0000-0000-000009000000}" name="پرداخت کننده" dataDxfId="198"/>
    <tableColumn id="10" xr3:uid="{00000000-0010-0000-0000-00000A000000}" name="دریافت کننده" dataDxfId="197"/>
    <tableColumn id="11" xr3:uid="{00000000-0010-0000-0000-00000B000000}" name="مانده حساب‌ها" dataDxfId="196" dataCellStyle="Currency"/>
    <tableColumn id="12" xr3:uid="{00000000-0010-0000-0000-00000C000000}" name="نوع خرج" dataDxfId="195"/>
    <tableColumn id="13" xr3:uid="{00000000-0010-0000-0000-00000D000000}" name="شرح" dataDxfId="19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193" dataDxfId="192">
  <autoFilter ref="A4:B12" xr:uid="{00000000-0009-0000-0100-00000A000000}"/>
  <tableColumns count="2">
    <tableColumn id="1" xr3:uid="{00000000-0010-0000-0100-000001000000}" name="کد گروه درآمدی" dataDxfId="191"/>
    <tableColumn id="2" xr3:uid="{00000000-0010-0000-0100-000002000000}" name="نام گروه درآمد" dataDxfId="19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189" dataDxfId="188">
  <autoFilter ref="F5:F6" xr:uid="{00000000-0009-0000-0100-00000B000000}"/>
  <tableColumns count="1">
    <tableColumn id="1" xr3:uid="{00000000-0010-0000-0200-000001000000}" name="دستمزد" dataDxfId="18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186" dataDxfId="185">
  <autoFilter ref="H5:H6" xr:uid="{00000000-0009-0000-0100-00000C000000}"/>
  <tableColumns count="1">
    <tableColumn id="1" xr3:uid="{00000000-0010-0000-0300-000001000000}" name="منفعت کسب" dataDxfId="18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183" dataDxfId="182">
  <autoFilter ref="J5:J6" xr:uid="{00000000-0009-0000-0100-00000D000000}"/>
  <tableColumns count="1">
    <tableColumn id="1" xr3:uid="{00000000-0010-0000-0400-000001000000}" name="سود سرمایه‌گذاری" dataDxfId="181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180" dataDxfId="179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178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177" dataDxfId="176">
  <autoFilter ref="N5:N6" xr:uid="{00000000-0009-0000-0100-000010000000}"/>
  <tableColumns count="1">
    <tableColumn id="1" xr3:uid="{00000000-0010-0000-0600-000001000000}" name="دریافت رهن و اجاره" dataDxfId="175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174" dataDxfId="173">
  <autoFilter ref="P5:P6" xr:uid="{00000000-0009-0000-0100-000011000000}"/>
  <tableColumns count="1">
    <tableColumn id="1" xr3:uid="{00000000-0010-0000-0700-000001000000}" name="دریافت وام" dataDxfId="172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171" dataDxfId="170">
  <autoFilter ref="R5:R6" xr:uid="{00000000-0009-0000-0100-000012000000}"/>
  <tableColumns count="1">
    <tableColumn id="1" xr3:uid="{00000000-0010-0000-0800-000001000000}" name="درآمد متفرقه" dataDxfId="169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168" dataDxfId="167">
  <autoFilter ref="D5:D6" xr:uid="{00000000-0009-0000-0100-00002A000000}"/>
  <tableColumns count="1">
    <tableColumn id="1" xr3:uid="{00000000-0010-0000-0900-000001000000}" name="حقوق" dataDxfId="16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165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164"/>
    <tableColumn id="2" xr3:uid="{00000000-0010-0000-0A00-000002000000}" name="نام گروه هزینه" dataDxfId="163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162" dataDxfId="161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16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159" dataDxfId="158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15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156" dataDxfId="155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154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153" dataDxfId="152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151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150" dataDxfId="149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148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147" dataDxfId="146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14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144" dataDxfId="143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142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141" dataDxfId="140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139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138" dataDxfId="137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136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135" dataDxfId="134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133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132" dataDxfId="131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130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129" dataDxfId="128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127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126" dataDxfId="125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12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123" dataDxfId="122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12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120" dataDxfId="119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118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117" dataDxfId="116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115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114" dataDxfId="113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112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111" dataDxfId="110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109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108" dataDxfId="107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106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105" dataDxfId="104">
  <autoFilter ref="AP4:AP8" xr:uid="{00000000-0009-0000-0100-000025000000}"/>
  <tableColumns count="1">
    <tableColumn id="1" xr3:uid="{00000000-0010-0000-1E00-000001000000}" name="مالیات" dataDxfId="10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102" dataDxfId="101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100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99" dataDxfId="98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97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96" dataDxfId="95">
  <autoFilter ref="AV4:AV11" xr:uid="{00000000-0009-0000-0100-000028000000}"/>
  <tableColumns count="1">
    <tableColumn id="1" xr3:uid="{00000000-0010-0000-2100-000001000000}" name="هدیه و کادو" dataDxfId="94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93" dataDxfId="92">
  <autoFilter ref="AX4:AX7" xr:uid="{00000000-0009-0000-0100-000029000000}"/>
  <tableColumns count="1">
    <tableColumn id="1" xr3:uid="{00000000-0010-0000-2200-000001000000}" name="یادگیری و توسعه فردی" dataDxfId="91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7" totalsRowShown="0" headerRowDxfId="2" dataDxfId="1">
  <autoFilter ref="D3:D17" xr:uid="{282954C5-616F-485C-A314-4D9D555112CE}"/>
  <tableColumns count="1">
    <tableColumn id="1" xr3:uid="{4F5516FC-A919-4D2F-9080-341CCE3046E2}" name="Accounts_Receivers_Payers" dataDxfId="3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90" dataDxfId="89">
  <autoFilter ref="D3:L4" xr:uid="{48C55AA4-F37D-4D99-BE2B-B1221861617E}"/>
  <tableColumns count="9">
    <tableColumn id="6" xr3:uid="{68E8881D-1F0D-41F5-8C5D-764D3CBD2FD0}" name="ID" dataDxfId="88"/>
    <tableColumn id="1" xr3:uid="{2F87ECEC-D557-47DE-89F2-D88E134F34F1}" name="افراد" dataDxfId="87"/>
    <tableColumn id="2" xr3:uid="{85475129-5B44-4EA7-938C-C7F633C408DC}" name="کد ملی" dataDxfId="86"/>
    <tableColumn id="3" xr3:uid="{AE0E4825-4DF9-4EF2-A007-8D15688BCB78}" name="شماره تماس" dataDxfId="85"/>
    <tableColumn id="4" xr3:uid="{6557281E-E601-4363-A5E8-D3F55F24CFFF}" name="آدرس ایمیل" dataDxfId="84" dataCellStyle="Hyperlink"/>
    <tableColumn id="5" xr3:uid="{7192D02E-A22E-46AF-B898-9ED00C2D1F34}" name="سایت اینترنتی" dataDxfId="83"/>
    <tableColumn id="7" xr3:uid="{31B3615E-F042-4B31-B668-D43C93A87FE5}" name="آدرس محل کار" dataDxfId="82"/>
    <tableColumn id="8" xr3:uid="{B916AA35-F910-4551-98CF-C16AFDBEFF70}" name="آدرس منزل" dataDxfId="81"/>
    <tableColumn id="9" xr3:uid="{8C252ACF-424E-4297-9478-B4372ACF1CCF}" name="توضیحات" dataDxfId="80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79" dataDxfId="78" totalsRowDxfId="77">
  <autoFilter ref="D8:R18" xr:uid="{274EC88A-4B54-49A7-9AA9-7C2621AB40BC}"/>
  <tableColumns count="15">
    <tableColumn id="1" xr3:uid="{B07A4647-B141-4519-A431-57834BEB4690}" name="ID" totalsRowLabel="Total" dataDxfId="76" totalsRowDxfId="75"/>
    <tableColumn id="2" xr3:uid="{9B0863B0-2E0D-40E3-80A5-53A7C80DB031}" name="نام حساب" dataDxfId="74" totalsRowDxfId="73"/>
    <tableColumn id="3" xr3:uid="{22E26951-650A-4DA8-83F7-7342252ADAF4}" name="شرح حساب" dataDxfId="72" totalsRowDxfId="71"/>
    <tableColumn id="4" xr3:uid="{0ACE1E7A-4205-4BD4-B95E-C67B9D28BA4E}" name="موجودی اولیه" totalsRowFunction="custom" dataDxfId="70" totalsRowDxfId="69">
      <totalsRowFormula>SUBTOTAL(109,FinancialAccountsTable[موجودی اولیه])-G14</totalsRowFormula>
    </tableColumn>
    <tableColumn id="9" xr3:uid="{9BF51EE3-668E-4C80-B6DB-2712CE69E2D3}" name="جمع پرداختی" totalsRowFunction="custom" dataDxfId="68" totalsRowDxfId="67">
      <calculatedColumnFormula>SUMIF([1]!Tarakonesh[پرداخت کننده],FinancialAccountsTable[[#This Row],[نام حساب]],[1]!Tarakonesh[مبلغ (ریال)])</calculatedColumnFormula>
      <totalsRowFormula>SUBTOTAL(109,FinancialAccountsTable[جمع پرداختی])-H14</totalsRowFormula>
    </tableColumn>
    <tableColumn id="11" xr3:uid="{8AE20E53-4327-42D3-8063-1F3B02795A7E}" name="جمع دریافتی" totalsRowFunction="custom" dataDxfId="66" totalsRowDxfId="65">
      <calculatedColumnFormula>SUMIF([1]!Tarakonesh[دریافت کننده],FinancialAccountsTable[[#This Row],[نام حساب]],[1]!Tarakonesh[مبلغ (ریال)])</calculatedColumnFormula>
      <totalsRowFormula>SUBTOTAL(109,FinancialAccountsTable[جمع دریافتی])-I14</totalsRowFormula>
    </tableColumn>
    <tableColumn id="12" xr3:uid="{095FB686-98D1-4C04-AA7E-A329642F7292}" name="مانده" totalsRowFunction="custom" dataDxfId="64" totalsRowDxfId="63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62" totalsRowDxfId="61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60" totalsRowDxfId="59"/>
    <tableColumn id="18" xr3:uid="{CD505A3A-0F06-41B5-9C88-ACE7BBDC75B9}" name="نوع حساب" dataDxfId="58" totalsRowDxfId="57"/>
    <tableColumn id="10" xr3:uid="{AB3BD14A-860C-4744-B018-FC385AC6514C}" name="شماره حساب" dataDxfId="56" totalsRowDxfId="55"/>
    <tableColumn id="19" xr3:uid="{7E3F7BE6-EF70-4DB5-ACF8-A36DE0C80E5B}" name="شماره شبا" dataDxfId="54" totalsRowDxfId="53"/>
    <tableColumn id="14" xr3:uid="{5D0BD8D2-3C56-4B7E-AE34-770948467C25}" name="شماره کارت" dataDxfId="52" totalsRowDxfId="51"/>
    <tableColumn id="15" xr3:uid="{F0EA249A-426E-4668-B36E-75E5633920DC}" name="تاریخ انقضاء کارت" dataDxfId="50" totalsRowDxfId="49"/>
    <tableColumn id="16" xr3:uid="{CF2BE494-D0B5-4C01-8126-ED743F936578}" name="CVV2" dataDxfId="48" totalsRowDxfId="47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D3:D6" totalsRowShown="0" headerRowDxfId="45" dataDxfId="44">
  <autoFilter ref="D3:D6" xr:uid="{00000000-0009-0000-0100-000002000000}"/>
  <tableColumns count="1">
    <tableColumn id="1" xr3:uid="{00000000-0010-0000-2700-000001000000}" name="نوع خرج" dataDxfId="46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F3:F7" totalsRowShown="0" headerRowDxfId="42" dataDxfId="41">
  <autoFilter ref="F3:F7" xr:uid="{00000000-0009-0000-0100-000006000000}"/>
  <tableColumns count="1">
    <tableColumn id="1" xr3:uid="{00000000-0010-0000-2800-000001000000}" name="نوع تراکنش" dataDxfId="43"/>
  </tableColumns>
  <tableStyleInfo name="TableStyleMedium23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H3:H10" totalsRowShown="0" headerRowDxfId="39" dataDxfId="38">
  <autoFilter ref="H3:H10" xr:uid="{00000000-0009-0000-0100-000009000000}"/>
  <tableColumns count="1">
    <tableColumn id="1" xr3:uid="{00000000-0010-0000-2900-000001000000}" name="روش تراکنش" dataDxfId="40"/>
  </tableColumns>
  <tableStyleInfo name="TableStyleMedium3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M4:O14" totalsRowShown="0" headerRowDxfId="37" dataDxfId="36">
  <autoFilter ref="M4:O14" xr:uid="{00000000-0009-0000-0100-00002C000000}"/>
  <tableColumns count="3">
    <tableColumn id="1" xr3:uid="{00000000-0010-0000-2A00-000001000000}" name="عنوان تعطیلات" dataDxfId="10"/>
    <tableColumn id="2" xr3:uid="{00000000-0010-0000-2A00-000002000000}" name="روز و ماه" dataDxfId="8"/>
    <tableColumn id="3" xr3:uid="{00000000-0010-0000-2A00-000003000000}" name="Date" dataDxfId="9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J4:K10" totalsRowShown="0" headerRowDxfId="33" dataDxfId="32">
  <autoFilter ref="J4:K10" xr:uid="{00000000-0009-0000-0100-00002D000000}"/>
  <tableColumns count="2">
    <tableColumn id="1" xr3:uid="{00000000-0010-0000-2B00-000001000000}" name="ID" dataDxfId="35"/>
    <tableColumn id="2" xr3:uid="{00000000-0010-0000-2B00-000002000000}" name="شیوه نمایش تاریخ" dataDxfId="34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Q4:S224" totalsRowShown="0" headerRowDxfId="28" dataDxfId="27">
  <autoFilter ref="Q4:S224" xr:uid="{00000000-0009-0000-0100-00002E000000}"/>
  <tableColumns count="3">
    <tableColumn id="1" xr3:uid="{00000000-0010-0000-2C00-000001000000}" name="عنوان مناسبت" dataDxfId="31"/>
    <tableColumn id="2" xr3:uid="{00000000-0010-0000-2C00-000002000000}" name="روز و ماه" dataDxfId="30"/>
    <tableColumn id="3" xr3:uid="{00000000-0010-0000-2C00-000003000000}" name="Date" dataDxfId="29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U4:V24" totalsRowShown="0" headerRowDxfId="24" dataDxfId="23">
  <autoFilter ref="U4:V24" xr:uid="{00000000-0009-0000-0100-00002F000000}"/>
  <tableColumns count="2">
    <tableColumn id="1" xr3:uid="{00000000-0010-0000-2D00-000001000000}" name="تعطیلات قمری" dataDxfId="26"/>
    <tableColumn id="2" xr3:uid="{00000000-0010-0000-2D00-000002000000}" name="Day and Month" dataDxfId="25"/>
  </tableColumns>
  <tableStyleInfo name="TableStyleMedium1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X4:Y63" totalsRowShown="0" headerRowDxfId="20" dataDxfId="19">
  <autoFilter ref="X4:Y63" xr:uid="{00000000-0009-0000-0100-000030000000}"/>
  <tableColumns count="2">
    <tableColumn id="1" xr3:uid="{00000000-0010-0000-2E00-000001000000}" name="مناسبت قمری" dataDxfId="22"/>
    <tableColumn id="2" xr3:uid="{00000000-0010-0000-2E00-000002000000}" name="Day and Month" dataDxfId="21"/>
  </tableColumns>
  <tableStyleInfo name="TableStyleMedium14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A4:AB32" totalsRowShown="0" headerRowDxfId="16" dataDxfId="15">
  <autoFilter ref="AA4:AB32" xr:uid="{00000000-0009-0000-0100-000031000000}"/>
  <tableColumns count="2">
    <tableColumn id="1" xr3:uid="{00000000-0010-0000-2F00-000001000000}" name="مناسبت میلادی" dataDxfId="18"/>
    <tableColumn id="2" xr3:uid="{00000000-0010-0000-2F00-000002000000}" name="Day and Month" dataDxfId="17"/>
  </tableColumns>
  <tableStyleInfo name="TableStyleMedium1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J13:K41" totalsRowShown="0" headerRowDxfId="12" dataDxfId="11">
  <autoFilter ref="J13:K41" xr:uid="{00000000-0009-0000-0100-000032000000}"/>
  <tableColumns count="2">
    <tableColumn id="1" xr3:uid="{00000000-0010-0000-3000-000001000000}" name="عملیات" dataDxfId="14"/>
    <tableColumn id="2" xr3:uid="{00000000-0010-0000-3000-000002000000}" name="Wage" dataDxfId="13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3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5.xml"/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3.xml"/><Relationship Id="rId11" Type="http://schemas.openxmlformats.org/officeDocument/2006/relationships/table" Target="../tables/table48.xml"/><Relationship Id="rId5" Type="http://schemas.openxmlformats.org/officeDocument/2006/relationships/table" Target="../tables/table42.xml"/><Relationship Id="rId10" Type="http://schemas.openxmlformats.org/officeDocument/2006/relationships/table" Target="../tables/table47.xml"/><Relationship Id="rId4" Type="http://schemas.openxmlformats.org/officeDocument/2006/relationships/table" Target="../tables/table41.xml"/><Relationship Id="rId9" Type="http://schemas.openxmlformats.org/officeDocument/2006/relationships/table" Target="../tables/table4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/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101</v>
      </c>
    </row>
    <row r="5" spans="1:29" ht="16.5" thickBot="1" x14ac:dyDescent="0.3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9" t="s">
        <v>1</v>
      </c>
      <c r="Q5" s="70" t="s">
        <v>118</v>
      </c>
      <c r="R5" s="70" t="s">
        <v>0</v>
      </c>
      <c r="S5" s="71" t="s">
        <v>17</v>
      </c>
      <c r="T5" s="72" t="s">
        <v>107</v>
      </c>
      <c r="U5" s="73" t="s">
        <v>146</v>
      </c>
      <c r="V5" s="70" t="s">
        <v>116</v>
      </c>
      <c r="W5" s="70" t="s">
        <v>147</v>
      </c>
      <c r="X5" s="74" t="s">
        <v>2</v>
      </c>
      <c r="Y5" s="70" t="s">
        <v>6</v>
      </c>
      <c r="Z5" s="70" t="s">
        <v>5</v>
      </c>
      <c r="AA5" s="70" t="s">
        <v>155</v>
      </c>
      <c r="AB5" s="71" t="s">
        <v>112</v>
      </c>
      <c r="AC5" s="71" t="s">
        <v>40</v>
      </c>
    </row>
    <row r="6" spans="1:29" ht="15.75" x14ac:dyDescent="0.25">
      <c r="P6" s="75">
        <v>1</v>
      </c>
      <c r="Q6" s="76" t="s">
        <v>119</v>
      </c>
      <c r="R6" s="77">
        <f>DATE(2021,6,26)</f>
        <v>44373</v>
      </c>
      <c r="S6" s="78" t="s">
        <v>154</v>
      </c>
      <c r="T6" s="79" t="s">
        <v>280</v>
      </c>
      <c r="U6" s="76" t="s">
        <v>184</v>
      </c>
      <c r="V6" s="76" t="s">
        <v>268</v>
      </c>
      <c r="W6" s="76" t="s">
        <v>151</v>
      </c>
      <c r="X6" s="80">
        <v>80000</v>
      </c>
      <c r="Y6" s="76" t="s">
        <v>137</v>
      </c>
      <c r="Z6" s="76" t="s">
        <v>327</v>
      </c>
      <c r="AA6" s="76"/>
      <c r="AB6" s="78" t="s">
        <v>113</v>
      </c>
      <c r="AC6" s="78"/>
    </row>
    <row r="7" spans="1:29" ht="15.75" x14ac:dyDescent="0.25">
      <c r="P7" s="81">
        <v>2</v>
      </c>
      <c r="Q7" s="82"/>
      <c r="R7" s="83">
        <f>DATE(2021,6,26)</f>
        <v>44373</v>
      </c>
      <c r="S7" s="84"/>
      <c r="T7" s="85" t="s">
        <v>280</v>
      </c>
      <c r="U7" s="82"/>
      <c r="V7" s="82"/>
      <c r="W7" s="82"/>
      <c r="X7" s="86"/>
      <c r="Y7" s="82"/>
      <c r="Z7" s="82"/>
      <c r="AA7" s="82"/>
      <c r="AB7" s="84"/>
      <c r="AC7" s="84"/>
    </row>
    <row r="8" spans="1:29" ht="15.75" x14ac:dyDescent="0.25">
      <c r="P8" s="75">
        <v>3</v>
      </c>
      <c r="Q8" s="76"/>
      <c r="R8" s="77">
        <f>DATE(2021,8,17)</f>
        <v>44425</v>
      </c>
      <c r="S8" s="78"/>
      <c r="T8" s="79" t="s">
        <v>304</v>
      </c>
      <c r="U8" s="76" t="s">
        <v>307</v>
      </c>
      <c r="V8" s="76" t="s">
        <v>318</v>
      </c>
      <c r="W8" s="76"/>
      <c r="X8" s="80"/>
      <c r="Y8" s="76"/>
      <c r="Z8" s="76"/>
      <c r="AA8" s="76"/>
      <c r="AB8" s="78"/>
      <c r="AC8" s="78"/>
    </row>
    <row r="11" spans="1:29" x14ac:dyDescent="0.25">
      <c r="A11" t="s">
        <v>106</v>
      </c>
    </row>
    <row r="12" spans="1:29" x14ac:dyDescent="0.25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 x14ac:dyDescent="0.25">
      <c r="R15" t="s">
        <v>335</v>
      </c>
    </row>
    <row r="16" spans="1:29" ht="18.75" x14ac:dyDescent="0.2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334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17" t="str">
        <f>Slash(14000525)</f>
        <v>1400/05/25</v>
      </c>
      <c r="Q22">
        <v>7</v>
      </c>
    </row>
    <row r="23" spans="3:17" x14ac:dyDescent="0.25">
      <c r="K23" s="95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7" spans="3:17" ht="18.75" x14ac:dyDescent="0.25">
      <c r="C27" s="159" t="s">
        <v>8</v>
      </c>
    </row>
    <row r="28" spans="3:17" ht="18.75" x14ac:dyDescent="0.25">
      <c r="C28" s="167" t="s">
        <v>98</v>
      </c>
      <c r="M28" t="e">
        <f>CL</f>
        <v>#NAME?</v>
      </c>
    </row>
    <row r="29" spans="3:17" ht="18.75" x14ac:dyDescent="0.25">
      <c r="C29" s="160" t="s">
        <v>115</v>
      </c>
    </row>
    <row r="30" spans="3:17" ht="18.75" x14ac:dyDescent="0.25">
      <c r="C30" s="165" t="s">
        <v>111</v>
      </c>
    </row>
    <row r="31" spans="3:17" ht="18.75" x14ac:dyDescent="0.25">
      <c r="C31" s="163" t="s">
        <v>974</v>
      </c>
    </row>
    <row r="32" spans="3:17" ht="18.75" x14ac:dyDescent="0.25">
      <c r="C32" s="146" t="s">
        <v>975</v>
      </c>
    </row>
    <row r="33" spans="3:3" ht="18.75" x14ac:dyDescent="0.25">
      <c r="C33" s="164" t="s">
        <v>89</v>
      </c>
    </row>
    <row r="34" spans="3:3" ht="18.75" x14ac:dyDescent="0.25">
      <c r="C34" s="165" t="s">
        <v>111</v>
      </c>
    </row>
    <row r="35" spans="3:3" ht="18.75" x14ac:dyDescent="0.25">
      <c r="C35" s="166" t="s">
        <v>105</v>
      </c>
    </row>
    <row r="36" spans="3:3" x14ac:dyDescent="0.25">
      <c r="C36" s="153"/>
    </row>
    <row r="37" spans="3:3" x14ac:dyDescent="0.25">
      <c r="C37" s="153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 x14ac:dyDescent="0.25">
      <c r="B6" s="2" t="s">
        <v>84</v>
      </c>
      <c r="D6" t="s">
        <v>85</v>
      </c>
      <c r="F6" t="s">
        <v>90</v>
      </c>
      <c r="H6" s="2" t="s">
        <v>94</v>
      </c>
    </row>
    <row r="7" spans="2:8" x14ac:dyDescent="0.25">
      <c r="B7" t="s">
        <v>98</v>
      </c>
      <c r="D7" t="s">
        <v>86</v>
      </c>
      <c r="F7" t="s">
        <v>91</v>
      </c>
      <c r="H7" t="s">
        <v>95</v>
      </c>
    </row>
    <row r="8" spans="2:8" x14ac:dyDescent="0.25">
      <c r="B8" s="2" t="s">
        <v>144</v>
      </c>
      <c r="D8" t="s">
        <v>87</v>
      </c>
      <c r="F8" t="s">
        <v>92</v>
      </c>
    </row>
    <row r="9" spans="2:8" x14ac:dyDescent="0.25">
      <c r="B9" s="2" t="s">
        <v>7</v>
      </c>
      <c r="D9" t="s">
        <v>88</v>
      </c>
      <c r="F9" t="s">
        <v>93</v>
      </c>
    </row>
    <row r="10" spans="2:8" x14ac:dyDescent="0.25">
      <c r="B10" s="2" t="s">
        <v>99</v>
      </c>
      <c r="D10" t="s">
        <v>89</v>
      </c>
      <c r="H10" t="s">
        <v>96</v>
      </c>
    </row>
    <row r="11" spans="2:8" x14ac:dyDescent="0.25">
      <c r="H11" t="s">
        <v>97</v>
      </c>
    </row>
    <row r="12" spans="2:8" x14ac:dyDescent="0.25">
      <c r="B12" t="s">
        <v>100</v>
      </c>
    </row>
    <row r="24" spans="8:11" x14ac:dyDescent="0.25">
      <c r="H24" t="s">
        <v>42</v>
      </c>
    </row>
    <row r="29" spans="8:11" x14ac:dyDescent="0.25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tabSelected="1" workbookViewId="0">
      <pane ySplit="7" topLeftCell="A8" activePane="bottomLeft" state="frozen"/>
      <selection pane="bottomLeft" activeCell="J3" sqref="J3:K3"/>
    </sheetView>
  </sheetViews>
  <sheetFormatPr defaultRowHeight="15.75" x14ac:dyDescent="0.2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 x14ac:dyDescent="0.25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6" t="s">
        <v>111</v>
      </c>
      <c r="I1" s="14" t="s">
        <v>105</v>
      </c>
      <c r="J1" s="15" t="s">
        <v>98</v>
      </c>
      <c r="K1" s="97" t="s">
        <v>7</v>
      </c>
      <c r="L1" s="4"/>
      <c r="M1" s="28"/>
      <c r="N1" s="4"/>
      <c r="O1" s="45"/>
      <c r="P1" s="45"/>
      <c r="Q1" s="45"/>
      <c r="R1" s="45"/>
    </row>
    <row r="2" spans="1:19" ht="3.75" customHeight="1" x14ac:dyDescent="0.25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5"/>
      <c r="P2" s="45"/>
      <c r="Q2" s="45"/>
      <c r="R2" s="45"/>
    </row>
    <row r="3" spans="1:19" ht="24" customHeight="1" x14ac:dyDescent="0.25">
      <c r="A3" s="16"/>
      <c r="B3" s="5" t="s">
        <v>108</v>
      </c>
      <c r="C3" s="90">
        <f>SUMIF(Tarakonesh[تراکنش],"دریافت_درآمد",Tarakonesh[مبلغ (ریال)])</f>
        <v>5525000</v>
      </c>
      <c r="D3" s="6" t="s">
        <v>109</v>
      </c>
      <c r="E3" s="89">
        <f>SUMIF(Tarakonesh[تراکنش],"پرداخت_هزینه",Tarakonesh[مبلغ (ریال)])</f>
        <v>3093000</v>
      </c>
      <c r="F3" s="37" t="s">
        <v>333</v>
      </c>
      <c r="G3" s="88">
        <f>SUMIF(Tarakonesh[تراکنش],"انتقال",Tarakonesh[مبلغ (ریال)])</f>
        <v>520000</v>
      </c>
      <c r="H3" s="92" t="s">
        <v>336</v>
      </c>
      <c r="I3" s="94" t="e">
        <f>#REF!</f>
        <v>#REF!</v>
      </c>
      <c r="J3" s="180" t="s">
        <v>144</v>
      </c>
      <c r="K3" s="180"/>
      <c r="L3" s="4"/>
      <c r="M3" s="29"/>
      <c r="N3" s="4"/>
      <c r="O3" s="45"/>
      <c r="P3" s="45"/>
      <c r="Q3" s="45"/>
      <c r="R3" s="45"/>
    </row>
    <row r="4" spans="1:19" s="56" customFormat="1" ht="3.75" customHeight="1" x14ac:dyDescent="0.25">
      <c r="A4" s="16"/>
      <c r="B4" s="52"/>
      <c r="C4" s="52"/>
      <c r="D4" s="52"/>
      <c r="E4" s="53"/>
      <c r="F4" s="53"/>
      <c r="G4" s="93"/>
      <c r="H4" s="54"/>
      <c r="I4" s="4"/>
      <c r="J4" s="55"/>
      <c r="K4" s="55"/>
      <c r="L4" s="4"/>
      <c r="M4" s="29"/>
      <c r="N4" s="4"/>
      <c r="O4" s="4"/>
      <c r="P4" s="4"/>
      <c r="Q4" s="4"/>
      <c r="R4" s="4"/>
    </row>
    <row r="5" spans="1:19" ht="24" customHeight="1" x14ac:dyDescent="0.25">
      <c r="A5" s="16"/>
      <c r="B5" s="52"/>
      <c r="C5" s="118">
        <v>0</v>
      </c>
      <c r="D5" s="52"/>
      <c r="E5" s="126" t="s">
        <v>410</v>
      </c>
      <c r="F5" s="125">
        <f ca="1">TODAY()</f>
        <v>44547</v>
      </c>
      <c r="G5" s="4"/>
      <c r="H5" s="54"/>
      <c r="I5" s="4"/>
      <c r="J5" s="51" t="s">
        <v>186</v>
      </c>
      <c r="K5" s="57" t="s">
        <v>187</v>
      </c>
      <c r="L5" s="4"/>
      <c r="M5" s="29"/>
      <c r="N5" s="4"/>
      <c r="O5" s="45"/>
      <c r="P5" s="45"/>
      <c r="Q5" s="45"/>
      <c r="R5" s="45"/>
    </row>
    <row r="6" spans="1:19" ht="3.75" customHeight="1" x14ac:dyDescent="0.25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5"/>
      <c r="P6" s="45"/>
      <c r="Q6" s="45"/>
      <c r="R6" s="45"/>
    </row>
    <row r="7" spans="1:19" ht="24" customHeight="1" x14ac:dyDescent="0.25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6" t="s">
        <v>146</v>
      </c>
      <c r="G7" s="8" t="s">
        <v>116</v>
      </c>
      <c r="H7" s="8" t="s">
        <v>147</v>
      </c>
      <c r="I7" s="21" t="s">
        <v>2</v>
      </c>
      <c r="J7" s="8" t="s">
        <v>6</v>
      </c>
      <c r="K7" s="8" t="s">
        <v>5</v>
      </c>
      <c r="L7" s="8" t="s">
        <v>155</v>
      </c>
      <c r="M7" s="30" t="s">
        <v>112</v>
      </c>
      <c r="N7" s="30" t="s">
        <v>40</v>
      </c>
      <c r="O7" s="45"/>
      <c r="P7" s="45"/>
      <c r="Q7" s="45"/>
      <c r="R7" s="45"/>
      <c r="S7" s="45"/>
    </row>
    <row r="8" spans="1:19" x14ac:dyDescent="0.25">
      <c r="A8" s="26">
        <v>1</v>
      </c>
      <c r="B8" s="27" t="s">
        <v>119</v>
      </c>
      <c r="C8" s="31" t="s">
        <v>382</v>
      </c>
      <c r="D8" s="31" t="s">
        <v>154</v>
      </c>
      <c r="E8" s="39" t="s">
        <v>280</v>
      </c>
      <c r="F8" s="27" t="s">
        <v>282</v>
      </c>
      <c r="G8" s="27"/>
      <c r="H8" s="27" t="s">
        <v>305</v>
      </c>
      <c r="I8" s="25">
        <v>80000</v>
      </c>
      <c r="J8" s="27" t="s">
        <v>320</v>
      </c>
      <c r="K8" s="27" t="s">
        <v>328</v>
      </c>
      <c r="L8" s="91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 x14ac:dyDescent="0.25">
      <c r="A9" s="26">
        <v>2</v>
      </c>
      <c r="B9" s="27"/>
      <c r="C9" s="31" t="s">
        <v>383</v>
      </c>
      <c r="D9" s="31"/>
      <c r="E9" s="39" t="s">
        <v>304</v>
      </c>
      <c r="F9" s="27"/>
      <c r="G9" s="27"/>
      <c r="H9" s="27" t="s">
        <v>150</v>
      </c>
      <c r="I9" s="25">
        <v>1000000</v>
      </c>
      <c r="J9" s="27" t="s">
        <v>325</v>
      </c>
      <c r="K9" s="27" t="s">
        <v>320</v>
      </c>
      <c r="L9" s="91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 x14ac:dyDescent="0.25">
      <c r="A10" s="26">
        <v>3</v>
      </c>
      <c r="B10" s="27"/>
      <c r="C10" s="31" t="s">
        <v>381</v>
      </c>
      <c r="D10" s="31"/>
      <c r="E10" s="39" t="s">
        <v>140</v>
      </c>
      <c r="F10" s="27"/>
      <c r="G10" s="27"/>
      <c r="H10" s="27" t="s">
        <v>149</v>
      </c>
      <c r="I10" s="25">
        <v>20000</v>
      </c>
      <c r="J10" s="27" t="s">
        <v>137</v>
      </c>
      <c r="K10" s="27" t="s">
        <v>320</v>
      </c>
      <c r="L10" s="91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7"/>
    </row>
    <row r="11" spans="1:19" x14ac:dyDescent="0.25">
      <c r="A11" s="26">
        <v>4</v>
      </c>
      <c r="B11" s="27"/>
      <c r="C11" s="31"/>
      <c r="D11" s="31"/>
      <c r="E11" s="39" t="s">
        <v>304</v>
      </c>
      <c r="F11" s="27"/>
      <c r="G11" s="27"/>
      <c r="H11" s="27" t="s">
        <v>148</v>
      </c>
      <c r="I11" s="25">
        <v>20000</v>
      </c>
      <c r="J11" s="27" t="s">
        <v>323</v>
      </c>
      <c r="K11" s="27" t="s">
        <v>321</v>
      </c>
      <c r="L11" s="91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7"/>
    </row>
    <row r="12" spans="1:19" x14ac:dyDescent="0.25">
      <c r="A12" s="26">
        <v>5</v>
      </c>
      <c r="B12" s="27"/>
      <c r="C12" s="31"/>
      <c r="D12" s="31"/>
      <c r="E12" s="39" t="s">
        <v>280</v>
      </c>
      <c r="F12" s="27"/>
      <c r="G12" s="27"/>
      <c r="H12" s="27"/>
      <c r="I12" s="25">
        <v>3000</v>
      </c>
      <c r="J12" s="27" t="s">
        <v>321</v>
      </c>
      <c r="K12" s="27" t="s">
        <v>327</v>
      </c>
      <c r="L12" s="91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 x14ac:dyDescent="0.25">
      <c r="A13" s="26">
        <v>6</v>
      </c>
      <c r="B13" s="27"/>
      <c r="C13" s="31"/>
      <c r="D13" s="31"/>
      <c r="E13" s="39" t="s">
        <v>304</v>
      </c>
      <c r="F13" s="27"/>
      <c r="G13" s="27"/>
      <c r="H13" s="27"/>
      <c r="I13" s="25">
        <v>500000</v>
      </c>
      <c r="J13" s="27" t="s">
        <v>324</v>
      </c>
      <c r="K13" s="27" t="s">
        <v>137</v>
      </c>
      <c r="L13" s="91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 x14ac:dyDescent="0.25">
      <c r="A14" s="26">
        <v>7</v>
      </c>
      <c r="B14" s="27"/>
      <c r="C14" s="31"/>
      <c r="D14" s="31"/>
      <c r="E14" s="39" t="s">
        <v>140</v>
      </c>
      <c r="F14" s="27"/>
      <c r="G14" s="27"/>
      <c r="H14" s="27"/>
      <c r="I14" s="25">
        <v>500000</v>
      </c>
      <c r="J14" s="27" t="s">
        <v>322</v>
      </c>
      <c r="K14" s="27" t="s">
        <v>321</v>
      </c>
      <c r="L14" s="91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 x14ac:dyDescent="0.25">
      <c r="A15" s="26">
        <v>8</v>
      </c>
      <c r="B15" s="27"/>
      <c r="C15" s="31"/>
      <c r="D15" s="31"/>
      <c r="E15" s="39" t="s">
        <v>280</v>
      </c>
      <c r="F15" s="27"/>
      <c r="G15" s="27"/>
      <c r="H15" s="27"/>
      <c r="I15" s="25">
        <v>10000</v>
      </c>
      <c r="J15" s="27" t="s">
        <v>320</v>
      </c>
      <c r="K15" s="27" t="s">
        <v>324</v>
      </c>
      <c r="L15" s="91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 x14ac:dyDescent="0.25">
      <c r="A16" s="26">
        <v>9</v>
      </c>
      <c r="B16" s="27"/>
      <c r="C16" s="31"/>
      <c r="D16" s="31"/>
      <c r="E16" s="39" t="s">
        <v>280</v>
      </c>
      <c r="F16" s="27"/>
      <c r="G16" s="27"/>
      <c r="H16" s="27"/>
      <c r="I16" s="25">
        <v>3000000</v>
      </c>
      <c r="J16" s="27" t="s">
        <v>321</v>
      </c>
      <c r="K16" s="27" t="s">
        <v>325</v>
      </c>
      <c r="L16" s="91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 x14ac:dyDescent="0.25">
      <c r="A17" s="26">
        <v>10</v>
      </c>
      <c r="B17" s="27"/>
      <c r="C17" s="31" t="s">
        <v>411</v>
      </c>
      <c r="D17" s="31"/>
      <c r="E17" s="39" t="s">
        <v>304</v>
      </c>
      <c r="F17" s="27"/>
      <c r="G17" s="27"/>
      <c r="H17" s="27"/>
      <c r="I17" s="25">
        <v>4000000</v>
      </c>
      <c r="J17" s="27" t="s">
        <v>326</v>
      </c>
      <c r="K17" s="27" t="s">
        <v>137</v>
      </c>
      <c r="L17" s="91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 x14ac:dyDescent="0.25">
      <c r="A18" s="26">
        <v>11</v>
      </c>
      <c r="B18" s="27" t="s">
        <v>119</v>
      </c>
      <c r="C18" s="31"/>
      <c r="D18" s="31"/>
      <c r="E18" s="39" t="s">
        <v>304</v>
      </c>
      <c r="F18" s="27"/>
      <c r="G18" s="27"/>
      <c r="H18" s="27"/>
      <c r="I18" s="25">
        <v>5000</v>
      </c>
      <c r="J18" s="27"/>
      <c r="K18" s="27"/>
      <c r="L18" s="91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 x14ac:dyDescent="0.25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1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 x14ac:dyDescent="0.25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1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 x14ac:dyDescent="0.25">
      <c r="A21" s="26">
        <v>14</v>
      </c>
      <c r="B21" s="27"/>
      <c r="C21" s="31" t="s">
        <v>382</v>
      </c>
      <c r="D21" s="31"/>
      <c r="E21" s="39"/>
      <c r="F21" s="27"/>
      <c r="G21" s="27"/>
      <c r="H21" s="27"/>
      <c r="I21" s="25"/>
      <c r="J21" s="27"/>
      <c r="K21" s="27"/>
      <c r="L21" s="91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 x14ac:dyDescent="0.25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1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 x14ac:dyDescent="0.25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1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 x14ac:dyDescent="0.25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1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 x14ac:dyDescent="0.25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1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 x14ac:dyDescent="0.25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1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 x14ac:dyDescent="0.25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1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 x14ac:dyDescent="0.25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1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 x14ac:dyDescent="0.25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1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 x14ac:dyDescent="0.25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1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 x14ac:dyDescent="0.25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1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 x14ac:dyDescent="0.25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1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 x14ac:dyDescent="0.25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1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 x14ac:dyDescent="0.25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1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 x14ac:dyDescent="0.25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1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 x14ac:dyDescent="0.25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1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 x14ac:dyDescent="0.25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1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 x14ac:dyDescent="0.25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1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 x14ac:dyDescent="0.25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1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 x14ac:dyDescent="0.25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1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 x14ac:dyDescent="0.25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1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 x14ac:dyDescent="0.25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1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 x14ac:dyDescent="0.25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1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 x14ac:dyDescent="0.25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1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 x14ac:dyDescent="0.25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1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 x14ac:dyDescent="0.25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1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 x14ac:dyDescent="0.25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1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 x14ac:dyDescent="0.25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1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 x14ac:dyDescent="0.25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1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 x14ac:dyDescent="0.25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1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 x14ac:dyDescent="0.25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1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 x14ac:dyDescent="0.25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1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 x14ac:dyDescent="0.25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1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 x14ac:dyDescent="0.25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1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 x14ac:dyDescent="0.25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1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 x14ac:dyDescent="0.25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1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 x14ac:dyDescent="0.25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1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 x14ac:dyDescent="0.25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1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 x14ac:dyDescent="0.25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1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 x14ac:dyDescent="0.25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1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 x14ac:dyDescent="0.25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1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 x14ac:dyDescent="0.25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1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 x14ac:dyDescent="0.25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1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 x14ac:dyDescent="0.25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1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 x14ac:dyDescent="0.25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1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 x14ac:dyDescent="0.25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1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 x14ac:dyDescent="0.25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1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 x14ac:dyDescent="0.25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1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 x14ac:dyDescent="0.25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1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 x14ac:dyDescent="0.25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1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 x14ac:dyDescent="0.25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1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 x14ac:dyDescent="0.25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1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 x14ac:dyDescent="0.25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1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 x14ac:dyDescent="0.25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1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 x14ac:dyDescent="0.25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1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 x14ac:dyDescent="0.25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1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 x14ac:dyDescent="0.25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1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 x14ac:dyDescent="0.25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1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 x14ac:dyDescent="0.25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1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 x14ac:dyDescent="0.25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1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 x14ac:dyDescent="0.25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1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 x14ac:dyDescent="0.25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1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 x14ac:dyDescent="0.25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1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 x14ac:dyDescent="0.25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1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 x14ac:dyDescent="0.25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1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 x14ac:dyDescent="0.25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1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 x14ac:dyDescent="0.25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1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 x14ac:dyDescent="0.25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1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 x14ac:dyDescent="0.25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1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 x14ac:dyDescent="0.25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1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 x14ac:dyDescent="0.25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1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 x14ac:dyDescent="0.25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1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 x14ac:dyDescent="0.25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1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 x14ac:dyDescent="0.25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1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 x14ac:dyDescent="0.25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1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 x14ac:dyDescent="0.25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1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 x14ac:dyDescent="0.25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1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 x14ac:dyDescent="0.25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1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 x14ac:dyDescent="0.25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1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 x14ac:dyDescent="0.25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1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 x14ac:dyDescent="0.25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1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 x14ac:dyDescent="0.25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1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 x14ac:dyDescent="0.25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1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 x14ac:dyDescent="0.25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1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 x14ac:dyDescent="0.25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1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 x14ac:dyDescent="0.25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1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 x14ac:dyDescent="0.25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1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 x14ac:dyDescent="0.25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1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 x14ac:dyDescent="0.25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1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 x14ac:dyDescent="0.25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1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 x14ac:dyDescent="0.25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1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 x14ac:dyDescent="0.25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1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 x14ac:dyDescent="0.25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1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 x14ac:dyDescent="0.25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1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 x14ac:dyDescent="0.25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1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 x14ac:dyDescent="0.25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1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 x14ac:dyDescent="0.25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1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 x14ac:dyDescent="0.25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1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 x14ac:dyDescent="0.25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1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 x14ac:dyDescent="0.25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1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 x14ac:dyDescent="0.25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1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 x14ac:dyDescent="0.25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1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 x14ac:dyDescent="0.25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1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 x14ac:dyDescent="0.25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1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 x14ac:dyDescent="0.25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1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 x14ac:dyDescent="0.25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1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 x14ac:dyDescent="0.25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1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 x14ac:dyDescent="0.25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1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 x14ac:dyDescent="0.25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1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 x14ac:dyDescent="0.25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1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 x14ac:dyDescent="0.25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1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 x14ac:dyDescent="0.25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1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 x14ac:dyDescent="0.25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1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 x14ac:dyDescent="0.25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1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 x14ac:dyDescent="0.25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1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 x14ac:dyDescent="0.25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1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 x14ac:dyDescent="0.25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1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 x14ac:dyDescent="0.25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1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 x14ac:dyDescent="0.25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1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 x14ac:dyDescent="0.25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1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 x14ac:dyDescent="0.25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1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 x14ac:dyDescent="0.25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1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 x14ac:dyDescent="0.25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1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 x14ac:dyDescent="0.25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1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 x14ac:dyDescent="0.25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1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 x14ac:dyDescent="0.25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1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 x14ac:dyDescent="0.25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1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 x14ac:dyDescent="0.25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1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 x14ac:dyDescent="0.25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1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 x14ac:dyDescent="0.25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1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 x14ac:dyDescent="0.25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1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 x14ac:dyDescent="0.25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1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 x14ac:dyDescent="0.25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1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 x14ac:dyDescent="0.25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1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 x14ac:dyDescent="0.25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1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 x14ac:dyDescent="0.25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1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 x14ac:dyDescent="0.25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1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 x14ac:dyDescent="0.25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1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 x14ac:dyDescent="0.25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1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 x14ac:dyDescent="0.25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1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 x14ac:dyDescent="0.25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1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 x14ac:dyDescent="0.25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1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 x14ac:dyDescent="0.25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1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 x14ac:dyDescent="0.25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1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 x14ac:dyDescent="0.25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1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 x14ac:dyDescent="0.25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1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 x14ac:dyDescent="0.25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1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 x14ac:dyDescent="0.25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1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 x14ac:dyDescent="0.25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1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 x14ac:dyDescent="0.25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1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 x14ac:dyDescent="0.25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1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 x14ac:dyDescent="0.25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1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 x14ac:dyDescent="0.25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1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 x14ac:dyDescent="0.25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1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 x14ac:dyDescent="0.25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1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 x14ac:dyDescent="0.25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1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 x14ac:dyDescent="0.25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1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 x14ac:dyDescent="0.25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1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 x14ac:dyDescent="0.25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1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 x14ac:dyDescent="0.25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1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 x14ac:dyDescent="0.25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1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 x14ac:dyDescent="0.25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1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 x14ac:dyDescent="0.25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1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 x14ac:dyDescent="0.25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1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 x14ac:dyDescent="0.25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1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 x14ac:dyDescent="0.25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1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 x14ac:dyDescent="0.25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1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 x14ac:dyDescent="0.25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1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 x14ac:dyDescent="0.25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1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 x14ac:dyDescent="0.25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1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 x14ac:dyDescent="0.25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1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 x14ac:dyDescent="0.25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1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 x14ac:dyDescent="0.25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1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 x14ac:dyDescent="0.25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1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 x14ac:dyDescent="0.25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1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 x14ac:dyDescent="0.25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1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 x14ac:dyDescent="0.25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1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 x14ac:dyDescent="0.25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1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 x14ac:dyDescent="0.25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1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 x14ac:dyDescent="0.25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1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 x14ac:dyDescent="0.25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1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 x14ac:dyDescent="0.25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1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 x14ac:dyDescent="0.25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1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 x14ac:dyDescent="0.25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1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 x14ac:dyDescent="0.25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1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 x14ac:dyDescent="0.25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1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 x14ac:dyDescent="0.25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1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 x14ac:dyDescent="0.25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1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 x14ac:dyDescent="0.25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1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 x14ac:dyDescent="0.25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1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 x14ac:dyDescent="0.25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1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 x14ac:dyDescent="0.25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1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 x14ac:dyDescent="0.25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1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 x14ac:dyDescent="0.25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1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 x14ac:dyDescent="0.25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1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 x14ac:dyDescent="0.25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1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 x14ac:dyDescent="0.25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1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 x14ac:dyDescent="0.25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1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 x14ac:dyDescent="0.25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1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 x14ac:dyDescent="0.25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1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 x14ac:dyDescent="0.25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1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 x14ac:dyDescent="0.25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1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 x14ac:dyDescent="0.25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1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 x14ac:dyDescent="0.25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1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 x14ac:dyDescent="0.25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1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 x14ac:dyDescent="0.25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1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 x14ac:dyDescent="0.25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1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 x14ac:dyDescent="0.25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1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 x14ac:dyDescent="0.25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1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 x14ac:dyDescent="0.25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1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 x14ac:dyDescent="0.25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1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 x14ac:dyDescent="0.25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1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 x14ac:dyDescent="0.25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1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 x14ac:dyDescent="0.25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1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 x14ac:dyDescent="0.25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1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 x14ac:dyDescent="0.25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1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 x14ac:dyDescent="0.25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1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 x14ac:dyDescent="0.25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1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 x14ac:dyDescent="0.25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1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 x14ac:dyDescent="0.25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1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 x14ac:dyDescent="0.25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1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 x14ac:dyDescent="0.25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1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 x14ac:dyDescent="0.25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1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 x14ac:dyDescent="0.25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1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 x14ac:dyDescent="0.25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1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 x14ac:dyDescent="0.25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1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 x14ac:dyDescent="0.25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1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 x14ac:dyDescent="0.25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1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 x14ac:dyDescent="0.25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1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 x14ac:dyDescent="0.25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1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 x14ac:dyDescent="0.25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1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 x14ac:dyDescent="0.25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1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 x14ac:dyDescent="0.25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1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 x14ac:dyDescent="0.25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1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 x14ac:dyDescent="0.25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1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 x14ac:dyDescent="0.25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1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 x14ac:dyDescent="0.25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1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 x14ac:dyDescent="0.25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1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 x14ac:dyDescent="0.25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1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 x14ac:dyDescent="0.25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1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 x14ac:dyDescent="0.25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1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 x14ac:dyDescent="0.25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1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 x14ac:dyDescent="0.25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1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 x14ac:dyDescent="0.25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1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 x14ac:dyDescent="0.25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1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 x14ac:dyDescent="0.25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1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 x14ac:dyDescent="0.25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1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 x14ac:dyDescent="0.25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1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 x14ac:dyDescent="0.25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1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 x14ac:dyDescent="0.25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1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 x14ac:dyDescent="0.25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1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 x14ac:dyDescent="0.25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1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 x14ac:dyDescent="0.25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1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 x14ac:dyDescent="0.25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1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 x14ac:dyDescent="0.25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1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 x14ac:dyDescent="0.25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1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 x14ac:dyDescent="0.25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1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 x14ac:dyDescent="0.25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1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 x14ac:dyDescent="0.25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1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 x14ac:dyDescent="0.25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1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 x14ac:dyDescent="0.25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1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 x14ac:dyDescent="0.25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1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 x14ac:dyDescent="0.25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1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 x14ac:dyDescent="0.25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1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 x14ac:dyDescent="0.25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1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 x14ac:dyDescent="0.25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1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 x14ac:dyDescent="0.25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1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 x14ac:dyDescent="0.25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1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 x14ac:dyDescent="0.25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1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 x14ac:dyDescent="0.25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1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 x14ac:dyDescent="0.25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1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 x14ac:dyDescent="0.25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1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 x14ac:dyDescent="0.25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1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 x14ac:dyDescent="0.25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1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 x14ac:dyDescent="0.25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1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 x14ac:dyDescent="0.25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1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 x14ac:dyDescent="0.25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1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 x14ac:dyDescent="0.25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1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 x14ac:dyDescent="0.25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1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 x14ac:dyDescent="0.25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1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 x14ac:dyDescent="0.25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1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 x14ac:dyDescent="0.25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1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 x14ac:dyDescent="0.25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1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 x14ac:dyDescent="0.25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1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 x14ac:dyDescent="0.25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1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 x14ac:dyDescent="0.25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1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 x14ac:dyDescent="0.25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1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 x14ac:dyDescent="0.25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1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 x14ac:dyDescent="0.25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1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 x14ac:dyDescent="0.25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1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 x14ac:dyDescent="0.25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1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 x14ac:dyDescent="0.25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1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 x14ac:dyDescent="0.25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1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 x14ac:dyDescent="0.25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1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 x14ac:dyDescent="0.25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1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 x14ac:dyDescent="0.25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1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 x14ac:dyDescent="0.25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1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 x14ac:dyDescent="0.25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1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 x14ac:dyDescent="0.25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1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 x14ac:dyDescent="0.25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1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 x14ac:dyDescent="0.25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1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 x14ac:dyDescent="0.25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1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 x14ac:dyDescent="0.25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1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 x14ac:dyDescent="0.25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1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 x14ac:dyDescent="0.25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1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 x14ac:dyDescent="0.25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1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 x14ac:dyDescent="0.25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1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 x14ac:dyDescent="0.25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1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 x14ac:dyDescent="0.25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1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 x14ac:dyDescent="0.25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1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 x14ac:dyDescent="0.25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1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 x14ac:dyDescent="0.25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1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 x14ac:dyDescent="0.25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1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 x14ac:dyDescent="0.25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1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 x14ac:dyDescent="0.25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1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 x14ac:dyDescent="0.25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1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 x14ac:dyDescent="0.25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1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 x14ac:dyDescent="0.25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1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 x14ac:dyDescent="0.25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1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 x14ac:dyDescent="0.25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1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 x14ac:dyDescent="0.25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1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 x14ac:dyDescent="0.25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1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 x14ac:dyDescent="0.25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1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 x14ac:dyDescent="0.25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1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 x14ac:dyDescent="0.25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1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 x14ac:dyDescent="0.25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1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 x14ac:dyDescent="0.25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1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 x14ac:dyDescent="0.25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1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 x14ac:dyDescent="0.25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1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 x14ac:dyDescent="0.25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1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 x14ac:dyDescent="0.25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1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 x14ac:dyDescent="0.25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1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 x14ac:dyDescent="0.25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1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 x14ac:dyDescent="0.25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1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 x14ac:dyDescent="0.25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1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 x14ac:dyDescent="0.25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1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 x14ac:dyDescent="0.25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1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 x14ac:dyDescent="0.25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1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 x14ac:dyDescent="0.25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1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 x14ac:dyDescent="0.25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1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 x14ac:dyDescent="0.25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1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 x14ac:dyDescent="0.25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1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 x14ac:dyDescent="0.25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1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 x14ac:dyDescent="0.25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1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 x14ac:dyDescent="0.25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1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 x14ac:dyDescent="0.25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1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 x14ac:dyDescent="0.25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1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 x14ac:dyDescent="0.25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1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 x14ac:dyDescent="0.25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1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 x14ac:dyDescent="0.25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1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 x14ac:dyDescent="0.25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1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 x14ac:dyDescent="0.25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1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 x14ac:dyDescent="0.25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1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 x14ac:dyDescent="0.25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1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 x14ac:dyDescent="0.25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1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 x14ac:dyDescent="0.25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1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 x14ac:dyDescent="0.25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1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 x14ac:dyDescent="0.25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1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 x14ac:dyDescent="0.25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1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 x14ac:dyDescent="0.25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1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 x14ac:dyDescent="0.25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1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 x14ac:dyDescent="0.25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1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 x14ac:dyDescent="0.25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1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 x14ac:dyDescent="0.25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1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 x14ac:dyDescent="0.25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1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 x14ac:dyDescent="0.25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1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 x14ac:dyDescent="0.25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1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 x14ac:dyDescent="0.25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1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 x14ac:dyDescent="0.25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1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 x14ac:dyDescent="0.25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1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 x14ac:dyDescent="0.25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1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 x14ac:dyDescent="0.25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1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 x14ac:dyDescent="0.25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1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 x14ac:dyDescent="0.25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1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 x14ac:dyDescent="0.25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1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 x14ac:dyDescent="0.25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1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 x14ac:dyDescent="0.25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1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 x14ac:dyDescent="0.25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1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 x14ac:dyDescent="0.25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1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 x14ac:dyDescent="0.25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1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 x14ac:dyDescent="0.25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1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 x14ac:dyDescent="0.25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1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 x14ac:dyDescent="0.25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1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 x14ac:dyDescent="0.25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1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 x14ac:dyDescent="0.25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1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 x14ac:dyDescent="0.25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1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 x14ac:dyDescent="0.25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1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 x14ac:dyDescent="0.25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1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 x14ac:dyDescent="0.25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1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 x14ac:dyDescent="0.25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1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 x14ac:dyDescent="0.25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1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 x14ac:dyDescent="0.25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1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 x14ac:dyDescent="0.25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1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 x14ac:dyDescent="0.25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1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 x14ac:dyDescent="0.25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1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 x14ac:dyDescent="0.25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1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 x14ac:dyDescent="0.25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1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 x14ac:dyDescent="0.25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1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 x14ac:dyDescent="0.25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1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 x14ac:dyDescent="0.25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1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 x14ac:dyDescent="0.25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1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 x14ac:dyDescent="0.25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1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 x14ac:dyDescent="0.25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1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 x14ac:dyDescent="0.25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1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 x14ac:dyDescent="0.25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1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 x14ac:dyDescent="0.25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1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 x14ac:dyDescent="0.25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1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 x14ac:dyDescent="0.25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1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 x14ac:dyDescent="0.25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1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 x14ac:dyDescent="0.25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1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 x14ac:dyDescent="0.25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1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 x14ac:dyDescent="0.25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1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 x14ac:dyDescent="0.25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1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 x14ac:dyDescent="0.25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1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 x14ac:dyDescent="0.25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1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 x14ac:dyDescent="0.25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1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 x14ac:dyDescent="0.25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1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 x14ac:dyDescent="0.25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1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 x14ac:dyDescent="0.25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1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 x14ac:dyDescent="0.25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1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 x14ac:dyDescent="0.25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1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 x14ac:dyDescent="0.25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1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 x14ac:dyDescent="0.25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1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 x14ac:dyDescent="0.25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1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 x14ac:dyDescent="0.25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1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 x14ac:dyDescent="0.25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1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 x14ac:dyDescent="0.25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1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 x14ac:dyDescent="0.25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1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 x14ac:dyDescent="0.25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1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 x14ac:dyDescent="0.25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1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 x14ac:dyDescent="0.25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1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 x14ac:dyDescent="0.25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1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 x14ac:dyDescent="0.25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1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 x14ac:dyDescent="0.25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1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 x14ac:dyDescent="0.25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1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 x14ac:dyDescent="0.25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1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 x14ac:dyDescent="0.25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1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 x14ac:dyDescent="0.25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1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 x14ac:dyDescent="0.25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1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 x14ac:dyDescent="0.25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1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 x14ac:dyDescent="0.25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1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 x14ac:dyDescent="0.25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1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 x14ac:dyDescent="0.25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1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 x14ac:dyDescent="0.25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1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 x14ac:dyDescent="0.25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1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 x14ac:dyDescent="0.25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1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 x14ac:dyDescent="0.25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1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 x14ac:dyDescent="0.25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1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 x14ac:dyDescent="0.25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1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 x14ac:dyDescent="0.25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1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 x14ac:dyDescent="0.25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1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 x14ac:dyDescent="0.25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1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 x14ac:dyDescent="0.25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1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 x14ac:dyDescent="0.25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1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 x14ac:dyDescent="0.25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1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 x14ac:dyDescent="0.25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1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 x14ac:dyDescent="0.25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1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 x14ac:dyDescent="0.25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1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 x14ac:dyDescent="0.25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1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 x14ac:dyDescent="0.25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1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 x14ac:dyDescent="0.25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1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 x14ac:dyDescent="0.25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1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 x14ac:dyDescent="0.25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1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 x14ac:dyDescent="0.25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1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 x14ac:dyDescent="0.25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1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 x14ac:dyDescent="0.25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1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 x14ac:dyDescent="0.25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1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 x14ac:dyDescent="0.25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1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 x14ac:dyDescent="0.25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1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 x14ac:dyDescent="0.25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1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 x14ac:dyDescent="0.25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1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 x14ac:dyDescent="0.25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1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 x14ac:dyDescent="0.25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1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 x14ac:dyDescent="0.25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1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 x14ac:dyDescent="0.25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1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 x14ac:dyDescent="0.25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1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 x14ac:dyDescent="0.25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1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 x14ac:dyDescent="0.25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1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 x14ac:dyDescent="0.25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1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 x14ac:dyDescent="0.25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1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 x14ac:dyDescent="0.25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1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 x14ac:dyDescent="0.25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1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 x14ac:dyDescent="0.25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1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 x14ac:dyDescent="0.25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1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 x14ac:dyDescent="0.25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1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 x14ac:dyDescent="0.25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1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 x14ac:dyDescent="0.25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1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 x14ac:dyDescent="0.25">
      <c r="D514" s="119"/>
    </row>
    <row r="515" spans="4:4" x14ac:dyDescent="0.25">
      <c r="D515" s="119"/>
    </row>
  </sheetData>
  <dataConsolidate/>
  <mergeCells count="1">
    <mergeCell ref="J3:K3"/>
  </mergeCells>
  <conditionalFormatting sqref="A8:N507">
    <cfRule type="expression" dxfId="7" priority="1">
      <formula xml:space="preserve"> "" = $E8</formula>
    </cfRule>
    <cfRule type="expression" dxfId="6" priority="5">
      <formula xml:space="preserve"> "انتقال" = $E8</formula>
    </cfRule>
    <cfRule type="expression" dxfId="5" priority="6">
      <formula xml:space="preserve"> "پرداخت_هزینه" = $E8</formula>
    </cfRule>
    <cfRule type="expression" dxfId="4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00B0F0"/>
  </sheetPr>
  <dimension ref="A1"/>
  <sheetViews>
    <sheetView rightToLeft="1"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 x14ac:dyDescent="0.2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00" t="s">
        <v>337</v>
      </c>
    </row>
    <row r="2" spans="1:33" ht="24" customHeight="1" x14ac:dyDescent="0.25">
      <c r="A2" s="99">
        <v>1400</v>
      </c>
      <c r="D2" s="111"/>
      <c r="E2" s="111"/>
      <c r="F2" s="111">
        <v>0</v>
      </c>
      <c r="G2" s="111">
        <v>1</v>
      </c>
      <c r="H2" s="111">
        <v>2</v>
      </c>
      <c r="I2" s="111">
        <v>3</v>
      </c>
      <c r="J2" s="111">
        <v>4</v>
      </c>
      <c r="K2" s="111">
        <v>5</v>
      </c>
      <c r="L2" s="111">
        <v>6</v>
      </c>
      <c r="M2" s="112"/>
      <c r="N2" s="112"/>
      <c r="O2" s="111"/>
      <c r="P2" s="111">
        <v>0</v>
      </c>
      <c r="Q2" s="111">
        <v>1</v>
      </c>
      <c r="R2" s="111">
        <v>2</v>
      </c>
      <c r="S2" s="111">
        <v>3</v>
      </c>
      <c r="T2" s="111">
        <v>4</v>
      </c>
      <c r="U2" s="111">
        <v>5</v>
      </c>
      <c r="V2" s="111">
        <v>6</v>
      </c>
      <c r="W2" s="112"/>
      <c r="X2" s="112"/>
      <c r="Y2" s="111"/>
      <c r="Z2" s="111">
        <v>0</v>
      </c>
      <c r="AA2" s="111">
        <v>1</v>
      </c>
      <c r="AB2" s="111">
        <v>2</v>
      </c>
      <c r="AC2" s="111">
        <v>3</v>
      </c>
      <c r="AD2" s="111">
        <v>4</v>
      </c>
      <c r="AE2" s="111">
        <v>5</v>
      </c>
      <c r="AF2" s="111">
        <v>6</v>
      </c>
    </row>
    <row r="3" spans="1:33" ht="24" customHeight="1" x14ac:dyDescent="0.25">
      <c r="A3" s="41"/>
      <c r="D3" s="184" t="s">
        <v>346</v>
      </c>
      <c r="E3" s="102"/>
      <c r="F3" s="182" t="s">
        <v>338</v>
      </c>
      <c r="G3" s="182"/>
      <c r="H3" s="182"/>
      <c r="I3" s="182"/>
      <c r="J3" s="182"/>
      <c r="K3" s="182"/>
      <c r="L3" s="182"/>
      <c r="M3" s="104"/>
      <c r="O3" s="102"/>
      <c r="P3" s="182" t="s">
        <v>347</v>
      </c>
      <c r="Q3" s="182"/>
      <c r="R3" s="182"/>
      <c r="S3" s="182"/>
      <c r="T3" s="182"/>
      <c r="U3" s="182"/>
      <c r="V3" s="182"/>
      <c r="W3" s="104"/>
      <c r="Y3" s="102"/>
      <c r="Z3" s="182" t="s">
        <v>350</v>
      </c>
      <c r="AA3" s="182"/>
      <c r="AB3" s="182"/>
      <c r="AC3" s="182"/>
      <c r="AD3" s="182"/>
      <c r="AE3" s="182"/>
      <c r="AF3" s="182"/>
      <c r="AG3" s="104"/>
    </row>
    <row r="4" spans="1:33" ht="24" customHeight="1" thickBot="1" x14ac:dyDescent="0.3">
      <c r="A4" s="9" t="s">
        <v>8</v>
      </c>
      <c r="D4" s="184"/>
      <c r="E4" s="102"/>
      <c r="F4" s="103" t="s">
        <v>339</v>
      </c>
      <c r="G4" s="103" t="s">
        <v>341</v>
      </c>
      <c r="H4" s="103" t="s">
        <v>342</v>
      </c>
      <c r="I4" s="103" t="s">
        <v>343</v>
      </c>
      <c r="J4" s="103" t="s">
        <v>344</v>
      </c>
      <c r="K4" s="103" t="s">
        <v>345</v>
      </c>
      <c r="L4" s="103" t="s">
        <v>340</v>
      </c>
      <c r="M4" s="104"/>
      <c r="O4" s="102"/>
      <c r="P4" s="103" t="s">
        <v>339</v>
      </c>
      <c r="Q4" s="103" t="s">
        <v>341</v>
      </c>
      <c r="R4" s="103" t="s">
        <v>342</v>
      </c>
      <c r="S4" s="103" t="s">
        <v>343</v>
      </c>
      <c r="T4" s="103" t="s">
        <v>344</v>
      </c>
      <c r="U4" s="103" t="s">
        <v>345</v>
      </c>
      <c r="V4" s="103" t="s">
        <v>340</v>
      </c>
      <c r="W4" s="104"/>
      <c r="Y4" s="102"/>
      <c r="Z4" s="103" t="s">
        <v>339</v>
      </c>
      <c r="AA4" s="103" t="s">
        <v>341</v>
      </c>
      <c r="AB4" s="103" t="s">
        <v>342</v>
      </c>
      <c r="AC4" s="103" t="s">
        <v>343</v>
      </c>
      <c r="AD4" s="103" t="s">
        <v>344</v>
      </c>
      <c r="AE4" s="103" t="s">
        <v>345</v>
      </c>
      <c r="AF4" s="103" t="s">
        <v>340</v>
      </c>
      <c r="AG4" s="104"/>
    </row>
    <row r="5" spans="1:33" ht="24" customHeight="1" x14ac:dyDescent="0.25">
      <c r="A5" s="35" t="s">
        <v>115</v>
      </c>
      <c r="D5" s="184"/>
      <c r="E5" s="102"/>
      <c r="F5" s="101" t="str">
        <f>IF(DayWeekNo($A$2&amp;"0101")=F2,1,IF(DayWeekNo($A$2&amp;"0101")&lt;F2,E5+1,""))</f>
        <v/>
      </c>
      <c r="G5" s="101">
        <f>IF(DayWeekNo($A$2&amp;"0101")=G2,1,IF(DayWeekNo($A$2&amp;"0101")&lt;G2,F5+1,""))</f>
        <v>1</v>
      </c>
      <c r="H5" s="101">
        <f>IF(DayWeekNo($A$2&amp;"0101")=H2,1,IF(DayWeekNo($A$2&amp;"0101")&lt;H2,G5+1,""))</f>
        <v>2</v>
      </c>
      <c r="I5" s="101">
        <f>IF(DayWeekNo($A$2&amp;"0101")=I2,1,IF(DayWeekNo($A$2&amp;"0101")&lt;I2,H5+1,""))</f>
        <v>3</v>
      </c>
      <c r="J5" s="101">
        <f>IF(DayWeekNo($A$2&amp;"0101")=J2,1,IF(DayWeekNo($A$2&amp;"0101")&lt;J2,I5+1,""))</f>
        <v>4</v>
      </c>
      <c r="K5" s="101">
        <f>IF(DayWeekNo($A$2&amp;"0101")=K2,1,IF(DayWeekNo($A$2&amp;"0101")&lt;K2,J5+1,""))</f>
        <v>5</v>
      </c>
      <c r="L5" s="101">
        <f>IF(DayWeekNo($A$2&amp;"0101")=L2,1,IF(DayWeekNo($A$2&amp;"0101")&lt;L2,K5+1,""))</f>
        <v>6</v>
      </c>
      <c r="M5" s="105"/>
      <c r="O5" s="102"/>
      <c r="P5" s="101" t="str">
        <f>IF(DayWeekNo($A$2&amp;"0201")=P2,1,IF(DayWeekNo($A$2&amp;"0201")&lt;P2,O5+1,""))</f>
        <v/>
      </c>
      <c r="Q5" s="101" t="str">
        <f>IF(DayWeekNo($A$2&amp;"0201")=Q2,1,IF(DayWeekNo($A$2&amp;"0201")&lt;Q2,P5+1,""))</f>
        <v/>
      </c>
      <c r="R5" s="101" t="str">
        <f>IF(DayWeekNo($A$2&amp;"0201")=R2,1,IF(DayWeekNo($A$2&amp;"0201")&lt;R2,Q5+1,""))</f>
        <v/>
      </c>
      <c r="S5" s="101" t="str">
        <f>IF(DayWeekNo($A$2&amp;"0201")=S2,1,IF(DayWeekNo($A$2&amp;"0201")&lt;S2,R5+1,""))</f>
        <v/>
      </c>
      <c r="T5" s="101">
        <f>IF(DayWeekNo($A$2&amp;"0201")=T2,1,IF(DayWeekNo($A$2&amp;"0201")&lt;T2,S5+1,""))</f>
        <v>1</v>
      </c>
      <c r="U5" s="101">
        <f>IF(DayWeekNo($A$2&amp;"0201")=U2,1,IF(DayWeekNo($A$2&amp;"0201")&lt;U2,T5+1,""))</f>
        <v>2</v>
      </c>
      <c r="V5" s="101">
        <f>IF(DayWeekNo($A$2&amp;"0201")=V2,1,IF(DayWeekNo($A$2&amp;"0201")&lt;V2,U5+1,""))</f>
        <v>3</v>
      </c>
      <c r="Y5" s="102"/>
      <c r="Z5" s="101">
        <f>IF(DayWeekNo($A$2&amp;"0301")=Z2,1,IF(DayWeekNo($A$2&amp;"0301")&lt;Z2,Y5+1,""))</f>
        <v>1</v>
      </c>
      <c r="AA5" s="101">
        <f>IF(DayWeekNo($A$2&amp;"0301")=AA2,1,IF(DayWeekNo($A$2&amp;"0301")&lt;AA2,Z5+1,""))</f>
        <v>2</v>
      </c>
      <c r="AB5" s="101">
        <f>IF(DayWeekNo($A$2&amp;"0301")=AB2,1,IF(DayWeekNo($A$2&amp;"0301")&lt;AB2,AA5+1,""))</f>
        <v>3</v>
      </c>
      <c r="AC5" s="101">
        <f>IF(DayWeekNo($A$2&amp;"0301")=AC2,1,IF(DayWeekNo($A$2&amp;"0301")&lt;AC2,AB5+1,""))</f>
        <v>4</v>
      </c>
      <c r="AD5" s="101">
        <f>IF(DayWeekNo($A$2&amp;"0301")=AD2,1,IF(DayWeekNo($A$2&amp;"0301")&lt;AD2,AC5+1,""))</f>
        <v>5</v>
      </c>
      <c r="AE5" s="101">
        <f>IF(DayWeekNo($A$2&amp;"0301")=AE2,1,IF(DayWeekNo($A$2&amp;"0301")&lt;AE2,AD5+1,""))</f>
        <v>6</v>
      </c>
      <c r="AF5" s="101">
        <f>IF(DayWeekNo($A$2&amp;"0301")=AF2,1,IF(DayWeekNo($A$2&amp;"0301")&lt;AF2,AE5+1,""))</f>
        <v>7</v>
      </c>
      <c r="AG5" s="105"/>
    </row>
    <row r="6" spans="1:33" ht="24" customHeight="1" x14ac:dyDescent="0.25">
      <c r="A6" s="10" t="s">
        <v>102</v>
      </c>
      <c r="D6" s="184"/>
      <c r="E6" s="102"/>
      <c r="F6" s="101">
        <f>IFERROR(IF(L5+1&lt;=31,L5+1,""),"")</f>
        <v>7</v>
      </c>
      <c r="G6" s="101">
        <f>IFERROR(IF(F6+1&lt;=31,F6+1,""),"")</f>
        <v>8</v>
      </c>
      <c r="H6" s="101">
        <f t="shared" ref="H6:L6" si="0">IFERROR(IF(G6+1&lt;=31,G6+1,""),"")</f>
        <v>9</v>
      </c>
      <c r="I6" s="101">
        <f t="shared" si="0"/>
        <v>10</v>
      </c>
      <c r="J6" s="101">
        <f t="shared" si="0"/>
        <v>11</v>
      </c>
      <c r="K6" s="101">
        <f t="shared" si="0"/>
        <v>12</v>
      </c>
      <c r="L6" s="101">
        <f t="shared" si="0"/>
        <v>13</v>
      </c>
      <c r="M6" s="105"/>
      <c r="O6" s="102"/>
      <c r="P6" s="101">
        <f>IFERROR(IF(V5+1&lt;=31,V5+1,""),"")</f>
        <v>4</v>
      </c>
      <c r="Q6" s="101">
        <f>IFERROR(IF(P6+1&lt;=31,P6+1,""),"")</f>
        <v>5</v>
      </c>
      <c r="R6" s="101">
        <f t="shared" ref="R6:V6" si="1">IFERROR(IF(Q6+1&lt;=31,Q6+1,""),"")</f>
        <v>6</v>
      </c>
      <c r="S6" s="101">
        <f t="shared" si="1"/>
        <v>7</v>
      </c>
      <c r="T6" s="101">
        <f t="shared" si="1"/>
        <v>8</v>
      </c>
      <c r="U6" s="101">
        <f t="shared" si="1"/>
        <v>9</v>
      </c>
      <c r="V6" s="101">
        <f t="shared" si="1"/>
        <v>10</v>
      </c>
      <c r="Y6" s="102"/>
      <c r="Z6" s="101">
        <f>IFERROR(IF(AF5+1&lt;=31,AF5+1,""),"")</f>
        <v>8</v>
      </c>
      <c r="AA6" s="101">
        <f>IFERROR(IF(Z6+1&lt;=31,Z6+1,""),"")</f>
        <v>9</v>
      </c>
      <c r="AB6" s="101">
        <f t="shared" ref="AB6:AF6" si="2">IFERROR(IF(AA6+1&lt;=31,AA6+1,""),"")</f>
        <v>10</v>
      </c>
      <c r="AC6" s="101">
        <f t="shared" si="2"/>
        <v>11</v>
      </c>
      <c r="AD6" s="101">
        <f t="shared" si="2"/>
        <v>12</v>
      </c>
      <c r="AE6" s="101">
        <f t="shared" si="2"/>
        <v>13</v>
      </c>
      <c r="AF6" s="101">
        <f t="shared" si="2"/>
        <v>14</v>
      </c>
      <c r="AG6" s="105"/>
    </row>
    <row r="7" spans="1:33" ht="24" customHeight="1" x14ac:dyDescent="0.25">
      <c r="A7" s="11" t="s">
        <v>103</v>
      </c>
      <c r="D7" s="184"/>
      <c r="E7" s="102"/>
      <c r="F7" s="101">
        <f t="shared" ref="F7:F9" si="3">IFERROR(IF(L6+1&lt;=31,L6+1,""),"")</f>
        <v>14</v>
      </c>
      <c r="G7" s="101">
        <f t="shared" ref="G7:L7" si="4">IFERROR(IF(F7+1&lt;=31,F7+1,""),"")</f>
        <v>15</v>
      </c>
      <c r="H7" s="101">
        <f t="shared" si="4"/>
        <v>16</v>
      </c>
      <c r="I7" s="101">
        <f t="shared" si="4"/>
        <v>17</v>
      </c>
      <c r="J7" s="101">
        <f t="shared" si="4"/>
        <v>18</v>
      </c>
      <c r="K7" s="101">
        <f t="shared" si="4"/>
        <v>19</v>
      </c>
      <c r="L7" s="101">
        <f t="shared" si="4"/>
        <v>20</v>
      </c>
      <c r="M7" s="105"/>
      <c r="O7" s="102"/>
      <c r="P7" s="101">
        <f t="shared" ref="P7:P9" si="5">IFERROR(IF(V6+1&lt;=31,V6+1,""),"")</f>
        <v>11</v>
      </c>
      <c r="Q7" s="101">
        <f t="shared" ref="Q7:V7" si="6">IFERROR(IF(P7+1&lt;=31,P7+1,""),"")</f>
        <v>12</v>
      </c>
      <c r="R7" s="101">
        <f t="shared" si="6"/>
        <v>13</v>
      </c>
      <c r="S7" s="101">
        <f t="shared" si="6"/>
        <v>14</v>
      </c>
      <c r="T7" s="101">
        <f t="shared" si="6"/>
        <v>15</v>
      </c>
      <c r="U7" s="101">
        <f t="shared" si="6"/>
        <v>16</v>
      </c>
      <c r="V7" s="101">
        <f t="shared" si="6"/>
        <v>17</v>
      </c>
      <c r="Y7" s="102"/>
      <c r="Z7" s="101">
        <f t="shared" ref="Z7:Z9" si="7">IFERROR(IF(AF6+1&lt;=31,AF6+1,""),"")</f>
        <v>15</v>
      </c>
      <c r="AA7" s="101">
        <f t="shared" ref="AA7:AF7" si="8">IFERROR(IF(Z7+1&lt;=31,Z7+1,""),"")</f>
        <v>16</v>
      </c>
      <c r="AB7" s="101">
        <f t="shared" si="8"/>
        <v>17</v>
      </c>
      <c r="AC7" s="101">
        <f t="shared" si="8"/>
        <v>18</v>
      </c>
      <c r="AD7" s="101">
        <f t="shared" si="8"/>
        <v>19</v>
      </c>
      <c r="AE7" s="101">
        <f t="shared" si="8"/>
        <v>20</v>
      </c>
      <c r="AF7" s="101">
        <f t="shared" si="8"/>
        <v>21</v>
      </c>
      <c r="AG7" s="105"/>
    </row>
    <row r="8" spans="1:33" ht="24" customHeight="1" x14ac:dyDescent="0.25">
      <c r="A8" s="33" t="s">
        <v>104</v>
      </c>
      <c r="D8" s="184"/>
      <c r="E8" s="102"/>
      <c r="F8" s="101">
        <f t="shared" si="3"/>
        <v>21</v>
      </c>
      <c r="G8" s="101">
        <f t="shared" ref="G8:L8" si="9">IFERROR(IF(F8+1&lt;=31,F8+1,""),"")</f>
        <v>22</v>
      </c>
      <c r="H8" s="101">
        <f t="shared" si="9"/>
        <v>23</v>
      </c>
      <c r="I8" s="101">
        <f t="shared" si="9"/>
        <v>24</v>
      </c>
      <c r="J8" s="101">
        <f t="shared" si="9"/>
        <v>25</v>
      </c>
      <c r="K8" s="101">
        <f t="shared" si="9"/>
        <v>26</v>
      </c>
      <c r="L8" s="101">
        <f t="shared" si="9"/>
        <v>27</v>
      </c>
      <c r="M8" s="105"/>
      <c r="O8" s="102"/>
      <c r="P8" s="101">
        <f t="shared" si="5"/>
        <v>18</v>
      </c>
      <c r="Q8" s="101">
        <f t="shared" ref="Q8:V8" si="10">IFERROR(IF(P8+1&lt;=31,P8+1,""),"")</f>
        <v>19</v>
      </c>
      <c r="R8" s="101">
        <f t="shared" si="10"/>
        <v>20</v>
      </c>
      <c r="S8" s="101">
        <f t="shared" si="10"/>
        <v>21</v>
      </c>
      <c r="T8" s="101">
        <f t="shared" si="10"/>
        <v>22</v>
      </c>
      <c r="U8" s="101">
        <f t="shared" si="10"/>
        <v>23</v>
      </c>
      <c r="V8" s="101">
        <f t="shared" si="10"/>
        <v>24</v>
      </c>
      <c r="Y8" s="102"/>
      <c r="Z8" s="101">
        <f t="shared" si="7"/>
        <v>22</v>
      </c>
      <c r="AA8" s="101">
        <f t="shared" ref="AA8:AF8" si="11">IFERROR(IF(Z8+1&lt;=31,Z8+1,""),"")</f>
        <v>23</v>
      </c>
      <c r="AB8" s="101">
        <f t="shared" si="11"/>
        <v>24</v>
      </c>
      <c r="AC8" s="101">
        <f t="shared" si="11"/>
        <v>25</v>
      </c>
      <c r="AD8" s="101">
        <f t="shared" si="11"/>
        <v>26</v>
      </c>
      <c r="AE8" s="101">
        <f t="shared" si="11"/>
        <v>27</v>
      </c>
      <c r="AF8" s="101">
        <f t="shared" si="11"/>
        <v>28</v>
      </c>
      <c r="AG8" s="105"/>
    </row>
    <row r="9" spans="1:33" ht="24" customHeight="1" x14ac:dyDescent="0.25">
      <c r="A9" s="12" t="s">
        <v>110</v>
      </c>
      <c r="D9" s="184"/>
      <c r="E9" s="102"/>
      <c r="F9" s="101">
        <f t="shared" si="3"/>
        <v>28</v>
      </c>
      <c r="G9" s="101">
        <f t="shared" ref="G9:L10" si="12">IFERROR(IF(F9+1&lt;=31,F9+1,""),"")</f>
        <v>29</v>
      </c>
      <c r="H9" s="101">
        <f t="shared" si="12"/>
        <v>30</v>
      </c>
      <c r="I9" s="101">
        <f t="shared" si="12"/>
        <v>31</v>
      </c>
      <c r="J9" s="101" t="str">
        <f t="shared" si="12"/>
        <v/>
      </c>
      <c r="K9" s="101" t="str">
        <f t="shared" si="12"/>
        <v/>
      </c>
      <c r="L9" s="101" t="str">
        <f t="shared" si="12"/>
        <v/>
      </c>
      <c r="M9" s="105"/>
      <c r="O9" s="102"/>
      <c r="P9" s="101">
        <f t="shared" si="5"/>
        <v>25</v>
      </c>
      <c r="Q9" s="101">
        <f t="shared" ref="Q9:V10" si="13">IFERROR(IF(P9+1&lt;=31,P9+1,""),"")</f>
        <v>26</v>
      </c>
      <c r="R9" s="101">
        <f t="shared" si="13"/>
        <v>27</v>
      </c>
      <c r="S9" s="101">
        <f t="shared" si="13"/>
        <v>28</v>
      </c>
      <c r="T9" s="101">
        <f t="shared" si="13"/>
        <v>29</v>
      </c>
      <c r="U9" s="101">
        <f t="shared" si="13"/>
        <v>30</v>
      </c>
      <c r="V9" s="101">
        <f t="shared" si="13"/>
        <v>31</v>
      </c>
      <c r="Y9" s="102"/>
      <c r="Z9" s="101">
        <f t="shared" si="7"/>
        <v>29</v>
      </c>
      <c r="AA9" s="101">
        <f t="shared" ref="AA9:AF10" si="14">IFERROR(IF(Z9+1&lt;=31,Z9+1,""),"")</f>
        <v>30</v>
      </c>
      <c r="AB9" s="101">
        <f t="shared" si="14"/>
        <v>31</v>
      </c>
      <c r="AC9" s="101" t="str">
        <f t="shared" si="14"/>
        <v/>
      </c>
      <c r="AD9" s="101" t="str">
        <f t="shared" si="14"/>
        <v/>
      </c>
      <c r="AE9" s="101" t="str">
        <f t="shared" si="14"/>
        <v/>
      </c>
      <c r="AF9" s="101" t="str">
        <f t="shared" si="14"/>
        <v/>
      </c>
      <c r="AG9" s="105"/>
    </row>
    <row r="10" spans="1:33" ht="24" customHeight="1" x14ac:dyDescent="0.25">
      <c r="A10" s="13" t="s">
        <v>89</v>
      </c>
      <c r="D10" s="184"/>
      <c r="E10" s="102"/>
      <c r="F10" s="101" t="str">
        <f t="shared" ref="F10" si="15">IFERROR(IF(L9+1&lt;=31,L9+1,""),"")</f>
        <v/>
      </c>
      <c r="G10" s="101" t="str">
        <f t="shared" si="12"/>
        <v/>
      </c>
      <c r="H10" s="101" t="str">
        <f t="shared" si="12"/>
        <v/>
      </c>
      <c r="I10" s="101" t="str">
        <f t="shared" si="12"/>
        <v/>
      </c>
      <c r="J10" s="101" t="str">
        <f t="shared" si="12"/>
        <v/>
      </c>
      <c r="K10" s="101" t="str">
        <f t="shared" si="12"/>
        <v/>
      </c>
      <c r="L10" s="101" t="str">
        <f t="shared" si="12"/>
        <v/>
      </c>
      <c r="O10" s="102"/>
      <c r="P10" s="101" t="str">
        <f t="shared" ref="P10" si="16">IFERROR(IF(V9+1&lt;=31,V9+1,""),"")</f>
        <v/>
      </c>
      <c r="Q10" s="101" t="str">
        <f t="shared" si="13"/>
        <v/>
      </c>
      <c r="R10" s="101" t="str">
        <f t="shared" si="13"/>
        <v/>
      </c>
      <c r="S10" s="101" t="str">
        <f t="shared" si="13"/>
        <v/>
      </c>
      <c r="T10" s="101" t="str">
        <f t="shared" si="13"/>
        <v/>
      </c>
      <c r="U10" s="101" t="str">
        <f t="shared" si="13"/>
        <v/>
      </c>
      <c r="V10" s="101" t="str">
        <f t="shared" si="13"/>
        <v/>
      </c>
      <c r="Y10" s="102"/>
      <c r="Z10" s="101" t="str">
        <f t="shared" ref="Z10" si="17">IFERROR(IF(AF9+1&lt;=31,AF9+1,""),"")</f>
        <v/>
      </c>
      <c r="AA10" s="101" t="str">
        <f t="shared" si="14"/>
        <v/>
      </c>
      <c r="AB10" s="101" t="str">
        <f t="shared" si="14"/>
        <v/>
      </c>
      <c r="AC10" s="101" t="str">
        <f t="shared" si="14"/>
        <v/>
      </c>
      <c r="AD10" s="101" t="str">
        <f t="shared" si="14"/>
        <v/>
      </c>
      <c r="AE10" s="101" t="str">
        <f t="shared" si="14"/>
        <v/>
      </c>
      <c r="AF10" s="101" t="str">
        <f t="shared" si="14"/>
        <v/>
      </c>
    </row>
    <row r="11" spans="1:33" ht="24" customHeight="1" x14ac:dyDescent="0.25">
      <c r="A11" s="23" t="s">
        <v>111</v>
      </c>
      <c r="D11" s="111"/>
      <c r="E11" s="111"/>
      <c r="F11" s="111">
        <v>0</v>
      </c>
      <c r="G11" s="111">
        <v>1</v>
      </c>
      <c r="H11" s="111">
        <v>2</v>
      </c>
      <c r="I11" s="111">
        <v>3</v>
      </c>
      <c r="J11" s="111">
        <v>4</v>
      </c>
      <c r="K11" s="111">
        <v>5</v>
      </c>
      <c r="L11" s="111">
        <v>6</v>
      </c>
      <c r="M11" s="112"/>
      <c r="N11" s="112"/>
      <c r="O11" s="111"/>
      <c r="P11" s="111">
        <v>0</v>
      </c>
      <c r="Q11" s="111">
        <v>1</v>
      </c>
      <c r="R11" s="111">
        <v>2</v>
      </c>
      <c r="S11" s="111">
        <v>3</v>
      </c>
      <c r="T11" s="111">
        <v>4</v>
      </c>
      <c r="U11" s="111">
        <v>5</v>
      </c>
      <c r="V11" s="111">
        <v>6</v>
      </c>
      <c r="W11" s="112"/>
      <c r="X11" s="112"/>
      <c r="Y11" s="112"/>
      <c r="Z11" s="111">
        <v>0</v>
      </c>
      <c r="AA11" s="111">
        <v>1</v>
      </c>
      <c r="AB11" s="111">
        <v>2</v>
      </c>
      <c r="AC11" s="111">
        <v>3</v>
      </c>
      <c r="AD11" s="111">
        <v>4</v>
      </c>
      <c r="AE11" s="111">
        <v>5</v>
      </c>
      <c r="AF11" s="111">
        <v>6</v>
      </c>
      <c r="AG11" s="112"/>
    </row>
    <row r="12" spans="1:33" ht="24" customHeight="1" x14ac:dyDescent="0.25">
      <c r="A12" s="14" t="s">
        <v>105</v>
      </c>
      <c r="D12" s="183" t="s">
        <v>348</v>
      </c>
      <c r="E12" s="106"/>
      <c r="F12" s="181" t="s">
        <v>349</v>
      </c>
      <c r="G12" s="181"/>
      <c r="H12" s="181"/>
      <c r="I12" s="181"/>
      <c r="J12" s="181"/>
      <c r="K12" s="181"/>
      <c r="L12" s="181"/>
      <c r="M12" s="107"/>
      <c r="O12" s="106"/>
      <c r="P12" s="181" t="s">
        <v>351</v>
      </c>
      <c r="Q12" s="181"/>
      <c r="R12" s="181"/>
      <c r="S12" s="181"/>
      <c r="T12" s="181"/>
      <c r="U12" s="181"/>
      <c r="V12" s="181"/>
      <c r="W12" s="107"/>
      <c r="Y12" s="106"/>
      <c r="Z12" s="181" t="s">
        <v>352</v>
      </c>
      <c r="AA12" s="181"/>
      <c r="AB12" s="181"/>
      <c r="AC12" s="181"/>
      <c r="AD12" s="181"/>
      <c r="AE12" s="181"/>
      <c r="AF12" s="181"/>
      <c r="AG12" s="107"/>
    </row>
    <row r="13" spans="1:33" ht="24" customHeight="1" thickBot="1" x14ac:dyDescent="0.3">
      <c r="A13" s="15" t="s">
        <v>98</v>
      </c>
      <c r="D13" s="183"/>
      <c r="E13" s="106"/>
      <c r="F13" s="103" t="s">
        <v>339</v>
      </c>
      <c r="G13" s="103" t="s">
        <v>341</v>
      </c>
      <c r="H13" s="103" t="s">
        <v>342</v>
      </c>
      <c r="I13" s="103" t="s">
        <v>343</v>
      </c>
      <c r="J13" s="103" t="s">
        <v>344</v>
      </c>
      <c r="K13" s="103" t="s">
        <v>345</v>
      </c>
      <c r="L13" s="103" t="s">
        <v>340</v>
      </c>
      <c r="M13" s="107"/>
      <c r="O13" s="106"/>
      <c r="P13" s="103" t="s">
        <v>339</v>
      </c>
      <c r="Q13" s="103" t="s">
        <v>341</v>
      </c>
      <c r="R13" s="103" t="s">
        <v>342</v>
      </c>
      <c r="S13" s="103" t="s">
        <v>343</v>
      </c>
      <c r="T13" s="103" t="s">
        <v>344</v>
      </c>
      <c r="U13" s="103" t="s">
        <v>345</v>
      </c>
      <c r="V13" s="103" t="s">
        <v>340</v>
      </c>
      <c r="W13" s="107"/>
      <c r="Y13" s="106"/>
      <c r="Z13" s="103" t="s">
        <v>339</v>
      </c>
      <c r="AA13" s="103" t="s">
        <v>341</v>
      </c>
      <c r="AB13" s="103" t="s">
        <v>342</v>
      </c>
      <c r="AC13" s="103" t="s">
        <v>343</v>
      </c>
      <c r="AD13" s="103" t="s">
        <v>344</v>
      </c>
      <c r="AE13" s="103" t="s">
        <v>345</v>
      </c>
      <c r="AF13" s="103" t="s">
        <v>340</v>
      </c>
      <c r="AG13" s="107"/>
    </row>
    <row r="14" spans="1:33" ht="24" customHeight="1" x14ac:dyDescent="0.25">
      <c r="A14" s="116" t="s">
        <v>99</v>
      </c>
      <c r="D14" s="183"/>
      <c r="E14" s="106"/>
      <c r="F14" s="101" t="str">
        <f>IF(DayWeekNo($A$2&amp;"0401")=F11,1,IF(DayWeekNo($A$2&amp;"0401")&lt;F11,E14+1,""))</f>
        <v/>
      </c>
      <c r="G14" s="101" t="str">
        <f>IF(DayWeekNo($A$2&amp;"0401")=G11,1,IF(DayWeekNo($A$2&amp;"0401")&lt;G11,F14+1,""))</f>
        <v/>
      </c>
      <c r="H14" s="101" t="str">
        <f>IF(DayWeekNo($A$2&amp;"0401")=H11,1,IF(DayWeekNo($A$2&amp;"0401")&lt;H11,G14+1,""))</f>
        <v/>
      </c>
      <c r="I14" s="101">
        <f>IF(DayWeekNo($A$2&amp;"0401")=I11,1,IF(DayWeekNo($A$2&amp;"0401")&lt;I11,H14+1,""))</f>
        <v>1</v>
      </c>
      <c r="J14" s="101">
        <f>IF(DayWeekNo($A$2&amp;"0401")=J11,1,IF(DayWeekNo($A$2&amp;"0401")&lt;J11,I14+1,""))</f>
        <v>2</v>
      </c>
      <c r="K14" s="101">
        <f>IF(DayWeekNo($A$2&amp;"0401")=K11,1,IF(DayWeekNo($A$2&amp;"0401")&lt;K11,J14+1,""))</f>
        <v>3</v>
      </c>
      <c r="L14" s="101">
        <f>IF(DayWeekNo($A$2&amp;"0401")=L11,1,IF(DayWeekNo($A$2&amp;"0401")&lt;L11,K14+1,""))</f>
        <v>4</v>
      </c>
      <c r="M14" s="105"/>
      <c r="O14" s="106"/>
      <c r="P14" s="101" t="str">
        <f>IF(DayWeekNo($A$2&amp;"0501")=P11,1,IF(DayWeekNo($A$2&amp;"0501")&lt;P11,O14+1,""))</f>
        <v/>
      </c>
      <c r="Q14" s="101" t="str">
        <f>IF(DayWeekNo($A$2&amp;"0501")=Q11,1,IF(DayWeekNo($A$2&amp;"0501")&lt;Q11,P14+1,""))</f>
        <v/>
      </c>
      <c r="R14" s="101" t="str">
        <f>IF(DayWeekNo($A$2&amp;"0501")=R11,1,IF(DayWeekNo($A$2&amp;"0501")&lt;R11,Q14+1,""))</f>
        <v/>
      </c>
      <c r="S14" s="101" t="str">
        <f>IF(DayWeekNo($A$2&amp;"0501")=S11,1,IF(DayWeekNo($A$2&amp;"0501")&lt;S11,R14+1,""))</f>
        <v/>
      </c>
      <c r="T14" s="101" t="str">
        <f>IF(DayWeekNo($A$2&amp;"0501")=T11,1,IF(DayWeekNo($A$2&amp;"0501")&lt;T11,S14+1,""))</f>
        <v/>
      </c>
      <c r="U14" s="101" t="str">
        <f>IF(DayWeekNo($A$2&amp;"0501")=U11,1,IF(DayWeekNo($A$2&amp;"0501")&lt;U11,T14+1,""))</f>
        <v/>
      </c>
      <c r="V14" s="101">
        <f>IF(DayWeekNo($A$2&amp;"0501")=V11,1,IF(DayWeekNo($A$2&amp;"0501")&lt;V11,U14+1,""))</f>
        <v>1</v>
      </c>
      <c r="W14" s="105"/>
      <c r="Y14" s="106"/>
      <c r="Z14" s="101" t="str">
        <f>IF(DayWeekNo($A$2&amp;"0601")=Z11,1,IF(DayWeekNo($A$2&amp;"0601")&lt;Z11,Y14+1,""))</f>
        <v/>
      </c>
      <c r="AA14" s="101" t="str">
        <f>IF(DayWeekNo($A$2&amp;"0601")=AA11,1,IF(DayWeekNo($A$2&amp;"0601")&lt;AA11,Z14+1,""))</f>
        <v/>
      </c>
      <c r="AB14" s="101">
        <f>IF(DayWeekNo($A$2&amp;"0601")=AB11,1,IF(DayWeekNo($A$2&amp;"0601")&lt;AB11,AA14+1,""))</f>
        <v>1</v>
      </c>
      <c r="AC14" s="101">
        <f>IF(DayWeekNo($A$2&amp;"0601")=AC11,1,IF(DayWeekNo($A$2&amp;"0601")&lt;AC11,AB14+1,""))</f>
        <v>2</v>
      </c>
      <c r="AD14" s="101">
        <f>IF(DayWeekNo($A$2&amp;"0601")=AD11,1,IF(DayWeekNo($A$2&amp;"0601")&lt;AD11,AC14+1,""))</f>
        <v>3</v>
      </c>
      <c r="AE14" s="101">
        <f>IF(DayWeekNo($A$2&amp;"0601")=AE11,1,IF(DayWeekNo($A$2&amp;"0601")&lt;AE11,AD14+1,""))</f>
        <v>4</v>
      </c>
      <c r="AF14" s="101">
        <f>IF(DayWeekNo($A$2&amp;"0601")=AF11,1,IF(DayWeekNo($A$2&amp;"0601")&lt;AF11,AE14+1,""))</f>
        <v>5</v>
      </c>
      <c r="AG14" s="105"/>
    </row>
    <row r="15" spans="1:33" ht="24" customHeight="1" x14ac:dyDescent="0.25">
      <c r="A15" s="98" t="s">
        <v>100</v>
      </c>
      <c r="D15" s="183"/>
      <c r="E15" s="106"/>
      <c r="F15" s="101">
        <f>IFERROR(IF(L14+1&lt;=31,L14+1,""),"")</f>
        <v>5</v>
      </c>
      <c r="G15" s="101">
        <f>IFERROR(IF(F15+1&lt;=31,F15+1,""),"")</f>
        <v>6</v>
      </c>
      <c r="H15" s="101">
        <f t="shared" ref="H15:L15" si="18">IFERROR(IF(G15+1&lt;=31,G15+1,""),"")</f>
        <v>7</v>
      </c>
      <c r="I15" s="101">
        <f t="shared" si="18"/>
        <v>8</v>
      </c>
      <c r="J15" s="101">
        <f t="shared" si="18"/>
        <v>9</v>
      </c>
      <c r="K15" s="101">
        <f t="shared" si="18"/>
        <v>10</v>
      </c>
      <c r="L15" s="101">
        <f t="shared" si="18"/>
        <v>11</v>
      </c>
      <c r="M15" s="105"/>
      <c r="O15" s="106"/>
      <c r="P15" s="101">
        <f>IFERROR(IF(V14+1&lt;=31,V14+1,""),"")</f>
        <v>2</v>
      </c>
      <c r="Q15" s="101">
        <f>IFERROR(IF(P15+1&lt;=31,P15+1,""),"")</f>
        <v>3</v>
      </c>
      <c r="R15" s="101">
        <f t="shared" ref="R15:V15" si="19">IFERROR(IF(Q15+1&lt;=31,Q15+1,""),"")</f>
        <v>4</v>
      </c>
      <c r="S15" s="101">
        <f t="shared" si="19"/>
        <v>5</v>
      </c>
      <c r="T15" s="101">
        <f t="shared" si="19"/>
        <v>6</v>
      </c>
      <c r="U15" s="101">
        <f t="shared" si="19"/>
        <v>7</v>
      </c>
      <c r="V15" s="101">
        <f t="shared" si="19"/>
        <v>8</v>
      </c>
      <c r="W15" s="105"/>
      <c r="Y15" s="106"/>
      <c r="Z15" s="101">
        <f>IFERROR(IF(AF14+1&lt;=31,AF14+1,""),"")</f>
        <v>6</v>
      </c>
      <c r="AA15" s="101">
        <f>IFERROR(IF(Z15+1&lt;=31,Z15+1,""),"")</f>
        <v>7</v>
      </c>
      <c r="AB15" s="101">
        <f t="shared" ref="AB15:AF15" si="20">IFERROR(IF(AA15+1&lt;=31,AA15+1,""),"")</f>
        <v>8</v>
      </c>
      <c r="AC15" s="101">
        <f t="shared" si="20"/>
        <v>9</v>
      </c>
      <c r="AD15" s="101">
        <f t="shared" si="20"/>
        <v>10</v>
      </c>
      <c r="AE15" s="101">
        <f t="shared" si="20"/>
        <v>11</v>
      </c>
      <c r="AF15" s="101">
        <f t="shared" si="20"/>
        <v>12</v>
      </c>
      <c r="AG15" s="105"/>
    </row>
    <row r="16" spans="1:33" ht="24" customHeight="1" x14ac:dyDescent="0.25">
      <c r="D16" s="183"/>
      <c r="E16" s="106"/>
      <c r="F16" s="101">
        <f t="shared" ref="F16:F18" si="21">IFERROR(IF(L15+1&lt;=31,L15+1,""),"")</f>
        <v>12</v>
      </c>
      <c r="G16" s="101">
        <f t="shared" ref="G16:L16" si="22">IFERROR(IF(F16+1&lt;=31,F16+1,""),"")</f>
        <v>13</v>
      </c>
      <c r="H16" s="101">
        <f t="shared" si="22"/>
        <v>14</v>
      </c>
      <c r="I16" s="101">
        <f t="shared" si="22"/>
        <v>15</v>
      </c>
      <c r="J16" s="101">
        <f t="shared" si="22"/>
        <v>16</v>
      </c>
      <c r="K16" s="101">
        <f t="shared" si="22"/>
        <v>17</v>
      </c>
      <c r="L16" s="101">
        <f t="shared" si="22"/>
        <v>18</v>
      </c>
      <c r="M16" s="105"/>
      <c r="O16" s="106"/>
      <c r="P16" s="101">
        <f t="shared" ref="P16:P18" si="23">IFERROR(IF(V15+1&lt;=31,V15+1,""),"")</f>
        <v>9</v>
      </c>
      <c r="Q16" s="101">
        <f t="shared" ref="Q16:V16" si="24">IFERROR(IF(P16+1&lt;=31,P16+1,""),"")</f>
        <v>10</v>
      </c>
      <c r="R16" s="101">
        <f t="shared" si="24"/>
        <v>11</v>
      </c>
      <c r="S16" s="101">
        <f t="shared" si="24"/>
        <v>12</v>
      </c>
      <c r="T16" s="101">
        <f t="shared" si="24"/>
        <v>13</v>
      </c>
      <c r="U16" s="101">
        <f t="shared" si="24"/>
        <v>14</v>
      </c>
      <c r="V16" s="101">
        <f t="shared" si="24"/>
        <v>15</v>
      </c>
      <c r="W16" s="105"/>
      <c r="Y16" s="106"/>
      <c r="Z16" s="101">
        <f t="shared" ref="Z16:Z19" si="25">IFERROR(IF(AF15+1&lt;=31,AF15+1,""),"")</f>
        <v>13</v>
      </c>
      <c r="AA16" s="101">
        <f t="shared" ref="AA16:AF16" si="26">IFERROR(IF(Z16+1&lt;=31,Z16+1,""),"")</f>
        <v>14</v>
      </c>
      <c r="AB16" s="101">
        <f t="shared" si="26"/>
        <v>15</v>
      </c>
      <c r="AC16" s="101">
        <f t="shared" si="26"/>
        <v>16</v>
      </c>
      <c r="AD16" s="101">
        <f t="shared" si="26"/>
        <v>17</v>
      </c>
      <c r="AE16" s="101">
        <f t="shared" si="26"/>
        <v>18</v>
      </c>
      <c r="AF16" s="101">
        <f t="shared" si="26"/>
        <v>19</v>
      </c>
      <c r="AG16" s="105"/>
    </row>
    <row r="17" spans="4:33" ht="21" x14ac:dyDescent="0.25">
      <c r="D17" s="183"/>
      <c r="E17" s="106"/>
      <c r="F17" s="101">
        <f t="shared" si="21"/>
        <v>19</v>
      </c>
      <c r="G17" s="101">
        <f t="shared" ref="G17:L17" si="27">IFERROR(IF(F17+1&lt;=31,F17+1,""),"")</f>
        <v>20</v>
      </c>
      <c r="H17" s="101">
        <f t="shared" si="27"/>
        <v>21</v>
      </c>
      <c r="I17" s="101">
        <f t="shared" si="27"/>
        <v>22</v>
      </c>
      <c r="J17" s="101">
        <f t="shared" si="27"/>
        <v>23</v>
      </c>
      <c r="K17" s="101">
        <f t="shared" si="27"/>
        <v>24</v>
      </c>
      <c r="L17" s="101">
        <f t="shared" si="27"/>
        <v>25</v>
      </c>
      <c r="M17" s="105"/>
      <c r="O17" s="106"/>
      <c r="P17" s="101">
        <f t="shared" si="23"/>
        <v>16</v>
      </c>
      <c r="Q17" s="101">
        <f t="shared" ref="Q17:V17" si="28">IFERROR(IF(P17+1&lt;=31,P17+1,""),"")</f>
        <v>17</v>
      </c>
      <c r="R17" s="101">
        <f t="shared" si="28"/>
        <v>18</v>
      </c>
      <c r="S17" s="101">
        <f t="shared" si="28"/>
        <v>19</v>
      </c>
      <c r="T17" s="101">
        <f t="shared" si="28"/>
        <v>20</v>
      </c>
      <c r="U17" s="101">
        <f t="shared" si="28"/>
        <v>21</v>
      </c>
      <c r="V17" s="101">
        <f t="shared" si="28"/>
        <v>22</v>
      </c>
      <c r="W17" s="105"/>
      <c r="Y17" s="106"/>
      <c r="Z17" s="101">
        <f t="shared" si="25"/>
        <v>20</v>
      </c>
      <c r="AA17" s="101">
        <f t="shared" ref="AA17:AF17" si="29">IFERROR(IF(Z17+1&lt;=31,Z17+1,""),"")</f>
        <v>21</v>
      </c>
      <c r="AB17" s="101">
        <f t="shared" si="29"/>
        <v>22</v>
      </c>
      <c r="AC17" s="101">
        <f t="shared" si="29"/>
        <v>23</v>
      </c>
      <c r="AD17" s="101">
        <f t="shared" si="29"/>
        <v>24</v>
      </c>
      <c r="AE17" s="101">
        <f t="shared" si="29"/>
        <v>25</v>
      </c>
      <c r="AF17" s="101">
        <f t="shared" si="29"/>
        <v>26</v>
      </c>
      <c r="AG17" s="105"/>
    </row>
    <row r="18" spans="4:33" ht="21" x14ac:dyDescent="0.25">
      <c r="D18" s="183"/>
      <c r="E18" s="106"/>
      <c r="F18" s="101">
        <f t="shared" si="21"/>
        <v>26</v>
      </c>
      <c r="G18" s="101">
        <f t="shared" ref="G18:L19" si="30">IFERROR(IF(F18+1&lt;=31,F18+1,""),"")</f>
        <v>27</v>
      </c>
      <c r="H18" s="101">
        <f t="shared" si="30"/>
        <v>28</v>
      </c>
      <c r="I18" s="101">
        <f t="shared" si="30"/>
        <v>29</v>
      </c>
      <c r="J18" s="101">
        <f t="shared" si="30"/>
        <v>30</v>
      </c>
      <c r="K18" s="101">
        <f t="shared" si="30"/>
        <v>31</v>
      </c>
      <c r="L18" s="101" t="str">
        <f t="shared" si="30"/>
        <v/>
      </c>
      <c r="M18" s="105"/>
      <c r="O18" s="106"/>
      <c r="P18" s="101">
        <f t="shared" si="23"/>
        <v>23</v>
      </c>
      <c r="Q18" s="101">
        <f t="shared" ref="Q18:V19" si="31">IFERROR(IF(P18+1&lt;=31,P18+1,""),"")</f>
        <v>24</v>
      </c>
      <c r="R18" s="101">
        <f t="shared" si="31"/>
        <v>25</v>
      </c>
      <c r="S18" s="101">
        <f t="shared" si="31"/>
        <v>26</v>
      </c>
      <c r="T18" s="101">
        <f t="shared" si="31"/>
        <v>27</v>
      </c>
      <c r="U18" s="101">
        <f t="shared" si="31"/>
        <v>28</v>
      </c>
      <c r="V18" s="101">
        <f t="shared" si="31"/>
        <v>29</v>
      </c>
      <c r="W18" s="105"/>
      <c r="Y18" s="106"/>
      <c r="Z18" s="101">
        <f t="shared" si="25"/>
        <v>27</v>
      </c>
      <c r="AA18" s="101">
        <f t="shared" ref="AA18:AF18" si="32">IFERROR(IF(Z18+1&lt;=31,Z18+1,""),"")</f>
        <v>28</v>
      </c>
      <c r="AB18" s="101">
        <f t="shared" si="32"/>
        <v>29</v>
      </c>
      <c r="AC18" s="101">
        <f t="shared" si="32"/>
        <v>30</v>
      </c>
      <c r="AD18" s="101">
        <f t="shared" si="32"/>
        <v>31</v>
      </c>
      <c r="AE18" s="101" t="str">
        <f t="shared" si="32"/>
        <v/>
      </c>
      <c r="AF18" s="101" t="str">
        <f t="shared" si="32"/>
        <v/>
      </c>
      <c r="AG18" s="105"/>
    </row>
    <row r="19" spans="4:33" ht="21" x14ac:dyDescent="0.25">
      <c r="D19" s="183"/>
      <c r="E19" s="107"/>
      <c r="F19" s="101" t="str">
        <f t="shared" ref="F19" si="33">IFERROR(IF(L18+1&lt;=31,L18+1,""),"")</f>
        <v/>
      </c>
      <c r="G19" s="101" t="str">
        <f t="shared" si="30"/>
        <v/>
      </c>
      <c r="H19" s="101" t="str">
        <f t="shared" si="30"/>
        <v/>
      </c>
      <c r="I19" s="101" t="str">
        <f t="shared" si="30"/>
        <v/>
      </c>
      <c r="J19" s="101" t="str">
        <f t="shared" si="30"/>
        <v/>
      </c>
      <c r="K19" s="101" t="str">
        <f t="shared" si="30"/>
        <v/>
      </c>
      <c r="L19" s="101" t="str">
        <f t="shared" si="30"/>
        <v/>
      </c>
      <c r="O19" s="107"/>
      <c r="P19" s="101">
        <f t="shared" ref="P19" si="34">IFERROR(IF(V18+1&lt;=31,V18+1,""),"")</f>
        <v>30</v>
      </c>
      <c r="Q19" s="101">
        <f t="shared" si="31"/>
        <v>31</v>
      </c>
      <c r="R19" s="101" t="str">
        <f t="shared" si="31"/>
        <v/>
      </c>
      <c r="S19" s="101" t="str">
        <f t="shared" si="31"/>
        <v/>
      </c>
      <c r="T19" s="101" t="str">
        <f t="shared" si="31"/>
        <v/>
      </c>
      <c r="U19" s="101" t="str">
        <f t="shared" si="31"/>
        <v/>
      </c>
      <c r="V19" s="101" t="str">
        <f t="shared" si="31"/>
        <v/>
      </c>
      <c r="Y19" s="107"/>
      <c r="Z19" s="101" t="str">
        <f t="shared" si="25"/>
        <v/>
      </c>
      <c r="AA19" s="101" t="str">
        <f t="shared" ref="AA19:AF19" si="35">IFERROR(IF(Z19+1&lt;=31,Z19+1,""),"")</f>
        <v/>
      </c>
      <c r="AB19" s="101" t="str">
        <f t="shared" si="35"/>
        <v/>
      </c>
      <c r="AC19" s="101" t="str">
        <f t="shared" si="35"/>
        <v/>
      </c>
      <c r="AD19" s="101" t="str">
        <f t="shared" si="35"/>
        <v/>
      </c>
      <c r="AE19" s="101" t="str">
        <f t="shared" si="35"/>
        <v/>
      </c>
      <c r="AF19" s="101" t="str">
        <f t="shared" si="35"/>
        <v/>
      </c>
    </row>
    <row r="20" spans="4:33" ht="21" x14ac:dyDescent="0.25">
      <c r="D20" s="111"/>
      <c r="E20" s="111"/>
      <c r="F20" s="111">
        <v>0</v>
      </c>
      <c r="G20" s="111">
        <v>1</v>
      </c>
      <c r="H20" s="111">
        <v>2</v>
      </c>
      <c r="I20" s="111">
        <v>3</v>
      </c>
      <c r="J20" s="111">
        <v>4</v>
      </c>
      <c r="K20" s="111">
        <v>5</v>
      </c>
      <c r="L20" s="111">
        <v>6</v>
      </c>
      <c r="M20" s="112"/>
      <c r="N20" s="112"/>
      <c r="O20" s="111"/>
      <c r="P20" s="111">
        <v>0</v>
      </c>
      <c r="Q20" s="111">
        <v>1</v>
      </c>
      <c r="R20" s="111">
        <v>2</v>
      </c>
      <c r="S20" s="111">
        <v>3</v>
      </c>
      <c r="T20" s="111">
        <v>4</v>
      </c>
      <c r="U20" s="111">
        <v>5</v>
      </c>
      <c r="V20" s="111">
        <v>6</v>
      </c>
      <c r="W20" s="112"/>
      <c r="X20" s="112"/>
      <c r="Y20" s="111"/>
      <c r="Z20" s="111">
        <v>0</v>
      </c>
      <c r="AA20" s="111">
        <v>1</v>
      </c>
      <c r="AB20" s="111">
        <v>2</v>
      </c>
      <c r="AC20" s="111">
        <v>3</v>
      </c>
      <c r="AD20" s="111">
        <v>4</v>
      </c>
      <c r="AE20" s="111">
        <v>5</v>
      </c>
      <c r="AF20" s="111">
        <v>6</v>
      </c>
      <c r="AG20" s="112"/>
    </row>
    <row r="21" spans="4:33" ht="25.5" x14ac:dyDescent="0.25">
      <c r="D21" s="188" t="s">
        <v>353</v>
      </c>
      <c r="E21" s="108"/>
      <c r="F21" s="185" t="s">
        <v>354</v>
      </c>
      <c r="G21" s="185"/>
      <c r="H21" s="185"/>
      <c r="I21" s="185"/>
      <c r="J21" s="185"/>
      <c r="K21" s="185"/>
      <c r="L21" s="185"/>
      <c r="M21" s="110"/>
      <c r="O21" s="108"/>
      <c r="P21" s="185" t="s">
        <v>355</v>
      </c>
      <c r="Q21" s="185"/>
      <c r="R21" s="185"/>
      <c r="S21" s="185"/>
      <c r="T21" s="185"/>
      <c r="U21" s="185"/>
      <c r="V21" s="185"/>
      <c r="W21" s="110"/>
      <c r="Y21" s="108"/>
      <c r="Z21" s="185" t="s">
        <v>355</v>
      </c>
      <c r="AA21" s="185"/>
      <c r="AB21" s="185"/>
      <c r="AC21" s="185"/>
      <c r="AD21" s="185"/>
      <c r="AE21" s="185"/>
      <c r="AF21" s="185"/>
      <c r="AG21" s="110"/>
    </row>
    <row r="22" spans="4:33" ht="21.75" thickBot="1" x14ac:dyDescent="0.3">
      <c r="D22" s="188"/>
      <c r="E22" s="108"/>
      <c r="F22" s="103" t="s">
        <v>339</v>
      </c>
      <c r="G22" s="103" t="s">
        <v>341</v>
      </c>
      <c r="H22" s="103" t="s">
        <v>342</v>
      </c>
      <c r="I22" s="103" t="s">
        <v>343</v>
      </c>
      <c r="J22" s="103" t="s">
        <v>344</v>
      </c>
      <c r="K22" s="103" t="s">
        <v>345</v>
      </c>
      <c r="L22" s="103" t="s">
        <v>340</v>
      </c>
      <c r="M22" s="110"/>
      <c r="O22" s="108"/>
      <c r="P22" s="103" t="s">
        <v>339</v>
      </c>
      <c r="Q22" s="103" t="s">
        <v>341</v>
      </c>
      <c r="R22" s="103" t="s">
        <v>342</v>
      </c>
      <c r="S22" s="103" t="s">
        <v>343</v>
      </c>
      <c r="T22" s="103" t="s">
        <v>344</v>
      </c>
      <c r="U22" s="103" t="s">
        <v>345</v>
      </c>
      <c r="V22" s="103" t="s">
        <v>340</v>
      </c>
      <c r="W22" s="110"/>
      <c r="Y22" s="108"/>
      <c r="Z22" s="103" t="s">
        <v>339</v>
      </c>
      <c r="AA22" s="103" t="s">
        <v>341</v>
      </c>
      <c r="AB22" s="103" t="s">
        <v>342</v>
      </c>
      <c r="AC22" s="103" t="s">
        <v>343</v>
      </c>
      <c r="AD22" s="103" t="s">
        <v>344</v>
      </c>
      <c r="AE22" s="103" t="s">
        <v>345</v>
      </c>
      <c r="AF22" s="103" t="s">
        <v>340</v>
      </c>
      <c r="AG22" s="110"/>
    </row>
    <row r="23" spans="4:33" ht="21" x14ac:dyDescent="0.25">
      <c r="D23" s="188"/>
      <c r="E23" s="108"/>
      <c r="F23" s="101" t="str">
        <f>IF(DayWeekNo($A$2&amp;"0701")=F20,1,IF(DayWeekNo($A$2&amp;"0701")&lt;F20,E23+1,""))</f>
        <v/>
      </c>
      <c r="G23" s="101" t="str">
        <f>IF(DayWeekNo($A$2&amp;"0701")=G20,1,IF(DayWeekNo($A$2&amp;"0701")&lt;G20,F23+1,""))</f>
        <v/>
      </c>
      <c r="H23" s="101" t="str">
        <f>IF(DayWeekNo($A$2&amp;"0701")=H20,1,IF(DayWeekNo($A$2&amp;"0701")&lt;H20,G23+1,""))</f>
        <v/>
      </c>
      <c r="I23" s="101" t="str">
        <f>IF(DayWeekNo($A$2&amp;"0701")=I20,1,IF(DayWeekNo($A$2&amp;"0701")&lt;I20,H23+1,""))</f>
        <v/>
      </c>
      <c r="J23" s="101" t="str">
        <f>IF(DayWeekNo($A$2&amp;"0701")=J20,1,IF(DayWeekNo($A$2&amp;"0701")&lt;J20,I23+1,""))</f>
        <v/>
      </c>
      <c r="K23" s="101">
        <f>IF(DayWeekNo($A$2&amp;"0701")=K20,1,IF(DayWeekNo($A$2&amp;"0701")&lt;K20,J23+1,""))</f>
        <v>1</v>
      </c>
      <c r="L23" s="101">
        <f>IF(DayWeekNo($A$2&amp;"0701")=L20,1,IF(DayWeekNo($A$2&amp;"0701")&lt;L20,K23+1,""))</f>
        <v>2</v>
      </c>
      <c r="M23" s="105"/>
      <c r="O23" s="108"/>
      <c r="P23" s="101">
        <f>IF(DayWeekNo($A$2&amp;"0801")=P20,1,IF(DayWeekNo($A$2&amp;"0801")&lt;P20,O23+1,""))</f>
        <v>1</v>
      </c>
      <c r="Q23" s="101">
        <f>IF(DayWeekNo($A$2&amp;"0801")=Q20,1,IF(DayWeekNo($A$2&amp;"0801")&lt;Q20,P23+1,""))</f>
        <v>2</v>
      </c>
      <c r="R23" s="101">
        <f>IF(DayWeekNo($A$2&amp;"0801")=R20,1,IF(DayWeekNo($A$2&amp;"0801")&lt;R20,Q23+1,""))</f>
        <v>3</v>
      </c>
      <c r="S23" s="101">
        <f>IF(DayWeekNo($A$2&amp;"0801")=S20,1,IF(DayWeekNo($A$2&amp;"0801")&lt;S20,R23+1,""))</f>
        <v>4</v>
      </c>
      <c r="T23" s="101">
        <f>IF(DayWeekNo($A$2&amp;"0801")=T20,1,IF(DayWeekNo($A$2&amp;"0801")&lt;T20,S23+1,""))</f>
        <v>5</v>
      </c>
      <c r="U23" s="101">
        <f>IF(DayWeekNo($A$2&amp;"0801")=U20,1,IF(DayWeekNo($A$2&amp;"0801")&lt;U20,T23+1,""))</f>
        <v>6</v>
      </c>
      <c r="V23" s="101">
        <f>IF(DayWeekNo($A$2&amp;"0801")=V20,1,IF(DayWeekNo($A$2&amp;"0801")&lt;V20,U23+1,""))</f>
        <v>7</v>
      </c>
      <c r="W23" s="105"/>
      <c r="Y23" s="108"/>
      <c r="Z23" s="101" t="str">
        <f>IF(DayWeekNo($A$2&amp;"0901")=Z20,1,IF(DayWeekNo($A$2&amp;"0901")&lt;Z20,Y23+1,""))</f>
        <v/>
      </c>
      <c r="AA23" s="101" t="str">
        <f>IF(DayWeekNo($A$2&amp;"0901")=AA20,1,IF(DayWeekNo($A$2&amp;"0901")&lt;AA20,Z23+1,""))</f>
        <v/>
      </c>
      <c r="AB23" s="101">
        <f>IF(DayWeekNo($A$2&amp;"0901")=AB20,1,IF(DayWeekNo($A$2&amp;"0901")&lt;AB20,AA23+1,""))</f>
        <v>1</v>
      </c>
      <c r="AC23" s="101">
        <f>IF(DayWeekNo($A$2&amp;"0901")=AC20,1,IF(DayWeekNo($A$2&amp;"0901")&lt;AC20,AB23+1,""))</f>
        <v>2</v>
      </c>
      <c r="AD23" s="101">
        <f>IF(DayWeekNo($A$2&amp;"0901")=AD20,1,IF(DayWeekNo($A$2&amp;"0901")&lt;AD20,AC23+1,""))</f>
        <v>3</v>
      </c>
      <c r="AE23" s="101">
        <f>IF(DayWeekNo($A$2&amp;"0901")=AE20,1,IF(DayWeekNo($A$2&amp;"0901")&lt;AE20,AD23+1,""))</f>
        <v>4</v>
      </c>
      <c r="AF23" s="101">
        <f>IF(DayWeekNo($A$2&amp;"0901")=AF20,1,IF(DayWeekNo($A$2&amp;"0901")&lt;AF20,AE23+1,""))</f>
        <v>5</v>
      </c>
      <c r="AG23" s="105"/>
    </row>
    <row r="24" spans="4:33" ht="21" x14ac:dyDescent="0.25">
      <c r="D24" s="188"/>
      <c r="E24" s="108"/>
      <c r="F24" s="101">
        <f>IFERROR(IF(L23+1&lt;=30,L23+1,""),"")</f>
        <v>3</v>
      </c>
      <c r="G24" s="101">
        <f>IFERROR(IF(F24+1&lt;=30,F24+1,""),"")</f>
        <v>4</v>
      </c>
      <c r="H24" s="101">
        <f t="shared" ref="H24:L24" si="36">IFERROR(IF(G24+1&lt;=30,G24+1,""),"")</f>
        <v>5</v>
      </c>
      <c r="I24" s="101">
        <f t="shared" si="36"/>
        <v>6</v>
      </c>
      <c r="J24" s="101">
        <f t="shared" si="36"/>
        <v>7</v>
      </c>
      <c r="K24" s="101">
        <f t="shared" si="36"/>
        <v>8</v>
      </c>
      <c r="L24" s="101">
        <f t="shared" si="36"/>
        <v>9</v>
      </c>
      <c r="M24" s="105"/>
      <c r="O24" s="108"/>
      <c r="P24" s="101">
        <f>IFERROR(IF(V23+1&lt;=30,V23+1,""),"")</f>
        <v>8</v>
      </c>
      <c r="Q24" s="101">
        <f>IFERROR(IF(P24+1&lt;=30,P24+1,""),"")</f>
        <v>9</v>
      </c>
      <c r="R24" s="101">
        <f t="shared" ref="R24:V24" si="37">IFERROR(IF(Q24+1&lt;=30,Q24+1,""),"")</f>
        <v>10</v>
      </c>
      <c r="S24" s="101">
        <f t="shared" si="37"/>
        <v>11</v>
      </c>
      <c r="T24" s="101">
        <f t="shared" si="37"/>
        <v>12</v>
      </c>
      <c r="U24" s="101">
        <f t="shared" si="37"/>
        <v>13</v>
      </c>
      <c r="V24" s="101">
        <f t="shared" si="37"/>
        <v>14</v>
      </c>
      <c r="W24" s="105"/>
      <c r="Y24" s="108"/>
      <c r="Z24" s="101">
        <f>IFERROR(IF(AF23+1&lt;=30,AF23+1,""),"")</f>
        <v>6</v>
      </c>
      <c r="AA24" s="101">
        <f>IFERROR(IF(Z24+1&lt;=30,Z24+1,""),"")</f>
        <v>7</v>
      </c>
      <c r="AB24" s="101">
        <f t="shared" ref="AB24:AF24" si="38">IFERROR(IF(AA24+1&lt;=30,AA24+1,""),"")</f>
        <v>8</v>
      </c>
      <c r="AC24" s="101">
        <f t="shared" si="38"/>
        <v>9</v>
      </c>
      <c r="AD24" s="101">
        <f t="shared" si="38"/>
        <v>10</v>
      </c>
      <c r="AE24" s="101">
        <f t="shared" si="38"/>
        <v>11</v>
      </c>
      <c r="AF24" s="101">
        <f t="shared" si="38"/>
        <v>12</v>
      </c>
      <c r="AG24" s="105"/>
    </row>
    <row r="25" spans="4:33" ht="21" x14ac:dyDescent="0.25">
      <c r="D25" s="188"/>
      <c r="E25" s="108"/>
      <c r="F25" s="101">
        <f t="shared" ref="F25:F28" si="39">IFERROR(IF(L24+1&lt;=30,L24+1,""),"")</f>
        <v>10</v>
      </c>
      <c r="G25" s="101">
        <f t="shared" ref="G25:L25" si="40">IFERROR(IF(F25+1&lt;=30,F25+1,""),"")</f>
        <v>11</v>
      </c>
      <c r="H25" s="101">
        <f t="shared" si="40"/>
        <v>12</v>
      </c>
      <c r="I25" s="101">
        <f t="shared" si="40"/>
        <v>13</v>
      </c>
      <c r="J25" s="101">
        <f t="shared" si="40"/>
        <v>14</v>
      </c>
      <c r="K25" s="101">
        <f t="shared" si="40"/>
        <v>15</v>
      </c>
      <c r="L25" s="101">
        <f t="shared" si="40"/>
        <v>16</v>
      </c>
      <c r="M25" s="105"/>
      <c r="O25" s="108"/>
      <c r="P25" s="101">
        <f t="shared" ref="P25:P28" si="41">IFERROR(IF(V24+1&lt;=30,V24+1,""),"")</f>
        <v>15</v>
      </c>
      <c r="Q25" s="101">
        <f t="shared" ref="Q25:V25" si="42">IFERROR(IF(P25+1&lt;=30,P25+1,""),"")</f>
        <v>16</v>
      </c>
      <c r="R25" s="101">
        <f t="shared" si="42"/>
        <v>17</v>
      </c>
      <c r="S25" s="101">
        <f t="shared" si="42"/>
        <v>18</v>
      </c>
      <c r="T25" s="101">
        <f t="shared" si="42"/>
        <v>19</v>
      </c>
      <c r="U25" s="101">
        <f t="shared" si="42"/>
        <v>20</v>
      </c>
      <c r="V25" s="101">
        <f t="shared" si="42"/>
        <v>21</v>
      </c>
      <c r="W25" s="105"/>
      <c r="Y25" s="108"/>
      <c r="Z25" s="101">
        <f t="shared" ref="Z25:Z28" si="43">IFERROR(IF(AF24+1&lt;=30,AF24+1,""),"")</f>
        <v>13</v>
      </c>
      <c r="AA25" s="101">
        <f t="shared" ref="AA25:AF25" si="44">IFERROR(IF(Z25+1&lt;=30,Z25+1,""),"")</f>
        <v>14</v>
      </c>
      <c r="AB25" s="101">
        <f t="shared" si="44"/>
        <v>15</v>
      </c>
      <c r="AC25" s="101">
        <f t="shared" si="44"/>
        <v>16</v>
      </c>
      <c r="AD25" s="101">
        <f t="shared" si="44"/>
        <v>17</v>
      </c>
      <c r="AE25" s="101">
        <f t="shared" si="44"/>
        <v>18</v>
      </c>
      <c r="AF25" s="101">
        <f t="shared" si="44"/>
        <v>19</v>
      </c>
      <c r="AG25" s="105"/>
    </row>
    <row r="26" spans="4:33" ht="21" x14ac:dyDescent="0.25">
      <c r="D26" s="188"/>
      <c r="E26" s="108"/>
      <c r="F26" s="101">
        <f t="shared" si="39"/>
        <v>17</v>
      </c>
      <c r="G26" s="101">
        <f t="shared" ref="G26:L26" si="45">IFERROR(IF(F26+1&lt;=30,F26+1,""),"")</f>
        <v>18</v>
      </c>
      <c r="H26" s="101">
        <f t="shared" si="45"/>
        <v>19</v>
      </c>
      <c r="I26" s="101">
        <f t="shared" si="45"/>
        <v>20</v>
      </c>
      <c r="J26" s="101">
        <f t="shared" si="45"/>
        <v>21</v>
      </c>
      <c r="K26" s="101">
        <f t="shared" si="45"/>
        <v>22</v>
      </c>
      <c r="L26" s="101">
        <f t="shared" si="45"/>
        <v>23</v>
      </c>
      <c r="M26" s="105"/>
      <c r="O26" s="108"/>
      <c r="P26" s="101">
        <f t="shared" si="41"/>
        <v>22</v>
      </c>
      <c r="Q26" s="101">
        <f t="shared" ref="Q26:V26" si="46">IFERROR(IF(P26+1&lt;=30,P26+1,""),"")</f>
        <v>23</v>
      </c>
      <c r="R26" s="101">
        <f t="shared" si="46"/>
        <v>24</v>
      </c>
      <c r="S26" s="101">
        <f t="shared" si="46"/>
        <v>25</v>
      </c>
      <c r="T26" s="101">
        <f t="shared" si="46"/>
        <v>26</v>
      </c>
      <c r="U26" s="101">
        <f t="shared" si="46"/>
        <v>27</v>
      </c>
      <c r="V26" s="101">
        <f t="shared" si="46"/>
        <v>28</v>
      </c>
      <c r="W26" s="105"/>
      <c r="Y26" s="108"/>
      <c r="Z26" s="101">
        <f t="shared" si="43"/>
        <v>20</v>
      </c>
      <c r="AA26" s="101">
        <f t="shared" ref="AA26:AF26" si="47">IFERROR(IF(Z26+1&lt;=30,Z26+1,""),"")</f>
        <v>21</v>
      </c>
      <c r="AB26" s="101">
        <f t="shared" si="47"/>
        <v>22</v>
      </c>
      <c r="AC26" s="101">
        <f t="shared" si="47"/>
        <v>23</v>
      </c>
      <c r="AD26" s="101">
        <f t="shared" si="47"/>
        <v>24</v>
      </c>
      <c r="AE26" s="101">
        <f t="shared" si="47"/>
        <v>25</v>
      </c>
      <c r="AF26" s="101">
        <f t="shared" si="47"/>
        <v>26</v>
      </c>
      <c r="AG26" s="105"/>
    </row>
    <row r="27" spans="4:33" ht="21" x14ac:dyDescent="0.25">
      <c r="D27" s="188"/>
      <c r="E27" s="108"/>
      <c r="F27" s="101">
        <f t="shared" si="39"/>
        <v>24</v>
      </c>
      <c r="G27" s="101">
        <f t="shared" ref="G27:L27" si="48">IFERROR(IF(F27+1&lt;=30,F27+1,""),"")</f>
        <v>25</v>
      </c>
      <c r="H27" s="101">
        <f t="shared" si="48"/>
        <v>26</v>
      </c>
      <c r="I27" s="101">
        <f t="shared" si="48"/>
        <v>27</v>
      </c>
      <c r="J27" s="101">
        <f t="shared" si="48"/>
        <v>28</v>
      </c>
      <c r="K27" s="101">
        <f t="shared" si="48"/>
        <v>29</v>
      </c>
      <c r="L27" s="101">
        <f t="shared" si="48"/>
        <v>30</v>
      </c>
      <c r="M27" s="105"/>
      <c r="O27" s="108"/>
      <c r="P27" s="101">
        <f t="shared" si="41"/>
        <v>29</v>
      </c>
      <c r="Q27" s="101">
        <f t="shared" ref="Q27:V27" si="49">IFERROR(IF(P27+1&lt;=30,P27+1,""),"")</f>
        <v>30</v>
      </c>
      <c r="R27" s="101" t="str">
        <f t="shared" si="49"/>
        <v/>
      </c>
      <c r="S27" s="101" t="str">
        <f t="shared" si="49"/>
        <v/>
      </c>
      <c r="T27" s="101" t="str">
        <f t="shared" si="49"/>
        <v/>
      </c>
      <c r="U27" s="101" t="str">
        <f t="shared" si="49"/>
        <v/>
      </c>
      <c r="V27" s="101" t="str">
        <f t="shared" si="49"/>
        <v/>
      </c>
      <c r="W27" s="105"/>
      <c r="Y27" s="108"/>
      <c r="Z27" s="101">
        <f t="shared" si="43"/>
        <v>27</v>
      </c>
      <c r="AA27" s="101">
        <f t="shared" ref="AA27:AF27" si="50">IFERROR(IF(Z27+1&lt;=30,Z27+1,""),"")</f>
        <v>28</v>
      </c>
      <c r="AB27" s="101">
        <f t="shared" si="50"/>
        <v>29</v>
      </c>
      <c r="AC27" s="101">
        <f t="shared" si="50"/>
        <v>30</v>
      </c>
      <c r="AD27" s="101" t="str">
        <f t="shared" si="50"/>
        <v/>
      </c>
      <c r="AE27" s="101" t="str">
        <f t="shared" si="50"/>
        <v/>
      </c>
      <c r="AF27" s="101" t="str">
        <f t="shared" si="50"/>
        <v/>
      </c>
      <c r="AG27" s="105"/>
    </row>
    <row r="28" spans="4:33" ht="21" x14ac:dyDescent="0.25">
      <c r="D28" s="188"/>
      <c r="E28" s="109"/>
      <c r="F28" s="101" t="str">
        <f t="shared" si="39"/>
        <v/>
      </c>
      <c r="G28" s="101" t="str">
        <f t="shared" ref="G28:L28" si="51">IFERROR(IF(F28+1&lt;=30,F28+1,""),"")</f>
        <v/>
      </c>
      <c r="H28" s="101" t="str">
        <f t="shared" si="51"/>
        <v/>
      </c>
      <c r="I28" s="101" t="str">
        <f t="shared" si="51"/>
        <v/>
      </c>
      <c r="J28" s="101" t="str">
        <f t="shared" si="51"/>
        <v/>
      </c>
      <c r="K28" s="101" t="str">
        <f t="shared" si="51"/>
        <v/>
      </c>
      <c r="L28" s="101" t="str">
        <f t="shared" si="51"/>
        <v/>
      </c>
      <c r="O28" s="109"/>
      <c r="P28" s="101" t="str">
        <f t="shared" si="41"/>
        <v/>
      </c>
      <c r="Q28" s="101" t="str">
        <f t="shared" ref="Q28:V28" si="52">IFERROR(IF(P28+1&lt;=30,P28+1,""),"")</f>
        <v/>
      </c>
      <c r="R28" s="101" t="str">
        <f t="shared" si="52"/>
        <v/>
      </c>
      <c r="S28" s="101" t="str">
        <f t="shared" si="52"/>
        <v/>
      </c>
      <c r="T28" s="101" t="str">
        <f t="shared" si="52"/>
        <v/>
      </c>
      <c r="U28" s="101" t="str">
        <f t="shared" si="52"/>
        <v/>
      </c>
      <c r="V28" s="101" t="str">
        <f t="shared" si="52"/>
        <v/>
      </c>
      <c r="Y28" s="109"/>
      <c r="Z28" s="101" t="str">
        <f t="shared" si="43"/>
        <v/>
      </c>
      <c r="AA28" s="101" t="str">
        <f t="shared" ref="AA28:AF28" si="53">IFERROR(IF(Z28+1&lt;=30,Z28+1,""),"")</f>
        <v/>
      </c>
      <c r="AB28" s="101" t="str">
        <f t="shared" si="53"/>
        <v/>
      </c>
      <c r="AC28" s="101" t="str">
        <f t="shared" si="53"/>
        <v/>
      </c>
      <c r="AD28" s="101" t="str">
        <f t="shared" si="53"/>
        <v/>
      </c>
      <c r="AE28" s="101" t="str">
        <f t="shared" si="53"/>
        <v/>
      </c>
      <c r="AF28" s="101" t="str">
        <f t="shared" si="53"/>
        <v/>
      </c>
    </row>
    <row r="29" spans="4:33" ht="21" x14ac:dyDescent="0.25">
      <c r="D29" s="111"/>
      <c r="E29" s="111"/>
      <c r="F29" s="111">
        <v>0</v>
      </c>
      <c r="G29" s="111">
        <v>1</v>
      </c>
      <c r="H29" s="111">
        <v>2</v>
      </c>
      <c r="I29" s="111">
        <v>3</v>
      </c>
      <c r="J29" s="111">
        <v>4</v>
      </c>
      <c r="K29" s="111">
        <v>5</v>
      </c>
      <c r="L29" s="111">
        <v>6</v>
      </c>
      <c r="M29" s="112"/>
      <c r="N29" s="112"/>
      <c r="O29" s="111"/>
      <c r="P29" s="111">
        <v>0</v>
      </c>
      <c r="Q29" s="111">
        <v>1</v>
      </c>
      <c r="R29" s="111">
        <v>2</v>
      </c>
      <c r="S29" s="111">
        <v>3</v>
      </c>
      <c r="T29" s="111">
        <v>4</v>
      </c>
      <c r="U29" s="111">
        <v>5</v>
      </c>
      <c r="V29" s="111">
        <v>6</v>
      </c>
      <c r="W29" s="112"/>
      <c r="X29" s="112"/>
      <c r="Y29" s="111"/>
      <c r="Z29" s="111">
        <v>0</v>
      </c>
      <c r="AA29" s="111">
        <v>1</v>
      </c>
      <c r="AB29" s="111">
        <v>2</v>
      </c>
      <c r="AC29" s="111">
        <v>3</v>
      </c>
      <c r="AD29" s="111">
        <v>4</v>
      </c>
      <c r="AE29" s="111">
        <v>5</v>
      </c>
      <c r="AF29" s="111">
        <v>6</v>
      </c>
      <c r="AG29" s="112"/>
    </row>
    <row r="30" spans="4:33" ht="25.5" x14ac:dyDescent="0.25">
      <c r="D30" s="186" t="s">
        <v>356</v>
      </c>
      <c r="E30" s="113"/>
      <c r="F30" s="187" t="s">
        <v>357</v>
      </c>
      <c r="G30" s="187"/>
      <c r="H30" s="187"/>
      <c r="I30" s="187"/>
      <c r="J30" s="187"/>
      <c r="K30" s="187"/>
      <c r="L30" s="187"/>
      <c r="M30" s="115"/>
      <c r="O30" s="113"/>
      <c r="P30" s="187" t="s">
        <v>358</v>
      </c>
      <c r="Q30" s="187"/>
      <c r="R30" s="187"/>
      <c r="S30" s="187"/>
      <c r="T30" s="187"/>
      <c r="U30" s="187"/>
      <c r="V30" s="187"/>
      <c r="W30" s="115"/>
      <c r="Y30" s="113"/>
      <c r="Z30" s="187" t="s">
        <v>359</v>
      </c>
      <c r="AA30" s="187"/>
      <c r="AB30" s="187"/>
      <c r="AC30" s="187"/>
      <c r="AD30" s="187"/>
      <c r="AE30" s="187"/>
      <c r="AF30" s="187"/>
      <c r="AG30" s="115"/>
    </row>
    <row r="31" spans="4:33" ht="21.75" thickBot="1" x14ac:dyDescent="0.3">
      <c r="D31" s="186"/>
      <c r="E31" s="113"/>
      <c r="F31" s="103" t="s">
        <v>339</v>
      </c>
      <c r="G31" s="103" t="s">
        <v>341</v>
      </c>
      <c r="H31" s="103" t="s">
        <v>342</v>
      </c>
      <c r="I31" s="103" t="s">
        <v>343</v>
      </c>
      <c r="J31" s="103" t="s">
        <v>344</v>
      </c>
      <c r="K31" s="103" t="s">
        <v>345</v>
      </c>
      <c r="L31" s="103" t="s">
        <v>340</v>
      </c>
      <c r="M31" s="115"/>
      <c r="O31" s="113"/>
      <c r="P31" s="103" t="s">
        <v>339</v>
      </c>
      <c r="Q31" s="103" t="s">
        <v>341</v>
      </c>
      <c r="R31" s="103" t="s">
        <v>342</v>
      </c>
      <c r="S31" s="103" t="s">
        <v>343</v>
      </c>
      <c r="T31" s="103" t="s">
        <v>344</v>
      </c>
      <c r="U31" s="103" t="s">
        <v>345</v>
      </c>
      <c r="V31" s="103" t="s">
        <v>340</v>
      </c>
      <c r="W31" s="115"/>
      <c r="Y31" s="113"/>
      <c r="Z31" s="103" t="s">
        <v>339</v>
      </c>
      <c r="AA31" s="103" t="s">
        <v>341</v>
      </c>
      <c r="AB31" s="103" t="s">
        <v>342</v>
      </c>
      <c r="AC31" s="103" t="s">
        <v>343</v>
      </c>
      <c r="AD31" s="103" t="s">
        <v>344</v>
      </c>
      <c r="AE31" s="103" t="s">
        <v>345</v>
      </c>
      <c r="AF31" s="103" t="s">
        <v>340</v>
      </c>
      <c r="AG31" s="115"/>
    </row>
    <row r="32" spans="4:33" ht="21" x14ac:dyDescent="0.25">
      <c r="D32" s="186"/>
      <c r="E32" s="113"/>
      <c r="F32" s="101" t="str">
        <f>IF(DayWeekNo($A$2&amp;"1001")=F29,1,IF(DayWeekNo($A$2&amp;"1001")&lt;F29,E32+1,""))</f>
        <v/>
      </c>
      <c r="G32" s="101" t="str">
        <f>IF(DayWeekNo($A$2&amp;"1001")=G29,1,IF(DayWeekNo($A$2&amp;"1001")&lt;G29,F32+1,""))</f>
        <v/>
      </c>
      <c r="H32" s="101" t="str">
        <f>IF(DayWeekNo($A$2&amp;"1001")=H29,1,IF(DayWeekNo($A$2&amp;"1001")&lt;H29,G32+1,""))</f>
        <v/>
      </c>
      <c r="I32" s="101" t="str">
        <f>IF(DayWeekNo($A$2&amp;"1001")=I29,1,IF(DayWeekNo($A$2&amp;"1001")&lt;I29,H32+1,""))</f>
        <v/>
      </c>
      <c r="J32" s="101">
        <f>IF(DayWeekNo($A$2&amp;"1001")=J29,1,IF(DayWeekNo($A$2&amp;"1001")&lt;J29,I32+1,""))</f>
        <v>1</v>
      </c>
      <c r="K32" s="101">
        <f>IF(DayWeekNo($A$2&amp;"1001")=K29,1,IF(DayWeekNo($A$2&amp;"1001")&lt;K29,J32+1,""))</f>
        <v>2</v>
      </c>
      <c r="L32" s="101">
        <f>IF(DayWeekNo($A$2&amp;"1001")=L29,1,IF(DayWeekNo($A$2&amp;"1001")&lt;L29,K32+1,""))</f>
        <v>3</v>
      </c>
      <c r="M32" s="105"/>
      <c r="O32" s="113"/>
      <c r="P32" s="101" t="str">
        <f>IF(DayWeekNo($A$2&amp;"1101")=P29,1,IF(DayWeekNo($A$2&amp;"1101")&lt;P29,O32+1,""))</f>
        <v/>
      </c>
      <c r="Q32" s="101" t="str">
        <f>IF(DayWeekNo($A$2&amp;"1101")=Q29,1,IF(DayWeekNo($A$2&amp;"1101")&lt;Q29,P32+1,""))</f>
        <v/>
      </c>
      <c r="R32" s="101" t="str">
        <f>IF(DayWeekNo($A$2&amp;"1101")=R29,1,IF(DayWeekNo($A$2&amp;"1101")&lt;R29,Q32+1,""))</f>
        <v/>
      </c>
      <c r="S32" s="101" t="str">
        <f>IF(DayWeekNo($A$2&amp;"1101")=S29,1,IF(DayWeekNo($A$2&amp;"1101")&lt;S29,R32+1,""))</f>
        <v/>
      </c>
      <c r="T32" s="101" t="str">
        <f>IF(DayWeekNo($A$2&amp;"1101")=T29,1,IF(DayWeekNo($A$2&amp;"1101")&lt;T29,S32+1,""))</f>
        <v/>
      </c>
      <c r="U32" s="101" t="str">
        <f>IF(DayWeekNo($A$2&amp;"1101")=U29,1,IF(DayWeekNo($A$2&amp;"1101")&lt;U29,T32+1,""))</f>
        <v/>
      </c>
      <c r="V32" s="101">
        <f>IF(DayWeekNo($A$2&amp;"1101")=V29,1,IF(DayWeekNo($A$2&amp;"1101")&lt;V29,U32+1,""))</f>
        <v>1</v>
      </c>
      <c r="W32" s="105"/>
      <c r="Y32" s="113"/>
      <c r="Z32" s="101" t="str">
        <f>IF(DayWeekNo($A$2&amp;"1201")=Z29,1,IF(DayWeekNo($A$2&amp;"1201")&lt;Z29,Y32+1,""))</f>
        <v/>
      </c>
      <c r="AA32" s="101">
        <f>IF(DayWeekNo($A$2&amp;"1201")=AA29,1,IF(DayWeekNo($A$2&amp;"1201")&lt;AA29,Z32+1,""))</f>
        <v>1</v>
      </c>
      <c r="AB32" s="101">
        <f>IF(DayWeekNo($A$2&amp;"1201")=AB29,1,IF(DayWeekNo($A$2&amp;"1201")&lt;AB29,AA32+1,""))</f>
        <v>2</v>
      </c>
      <c r="AC32" s="101">
        <f>IF(DayWeekNo($A$2&amp;"1201")=AC29,1,IF(DayWeekNo($A$2&amp;"1201")&lt;AC29,AB32+1,""))</f>
        <v>3</v>
      </c>
      <c r="AD32" s="101">
        <f>IF(DayWeekNo($A$2&amp;"1201")=AD29,1,IF(DayWeekNo($A$2&amp;"1201")&lt;AD29,AC32+1,""))</f>
        <v>4</v>
      </c>
      <c r="AE32" s="101">
        <f>IF(DayWeekNo($A$2&amp;"1201")=AE29,1,IF(DayWeekNo($A$2&amp;"1201")&lt;AE29,AD32+1,""))</f>
        <v>5</v>
      </c>
      <c r="AF32" s="101">
        <f>IF(DayWeekNo($A$2&amp;"1201")=AF29,1,IF(DayWeekNo($A$2&amp;"1201")&lt;AF29,AE32+1,""))</f>
        <v>6</v>
      </c>
      <c r="AG32" s="105"/>
    </row>
    <row r="33" spans="4:33" ht="21" x14ac:dyDescent="0.25">
      <c r="D33" s="186"/>
      <c r="E33" s="113"/>
      <c r="F33" s="101">
        <f>IFERROR(IF(L32+1&lt;=30,L32+1,""),"")</f>
        <v>4</v>
      </c>
      <c r="G33" s="101">
        <f>IFERROR(IF(F33+1&lt;=30,F33+1,""),"")</f>
        <v>5</v>
      </c>
      <c r="H33" s="101">
        <f t="shared" ref="H33:L33" si="54">IFERROR(IF(G33+1&lt;=30,G33+1,""),"")</f>
        <v>6</v>
      </c>
      <c r="I33" s="101">
        <f t="shared" si="54"/>
        <v>7</v>
      </c>
      <c r="J33" s="101">
        <f t="shared" si="54"/>
        <v>8</v>
      </c>
      <c r="K33" s="101">
        <f t="shared" si="54"/>
        <v>9</v>
      </c>
      <c r="L33" s="101">
        <f t="shared" si="54"/>
        <v>10</v>
      </c>
      <c r="M33" s="105"/>
      <c r="O33" s="113"/>
      <c r="P33" s="101">
        <f>IFERROR(IF(V32+1&lt;=30,V32+1,""),"")</f>
        <v>2</v>
      </c>
      <c r="Q33" s="101">
        <f>IFERROR(IF(P33+1&lt;=30,P33+1,""),"")</f>
        <v>3</v>
      </c>
      <c r="R33" s="101">
        <f t="shared" ref="R33:V33" si="55">IFERROR(IF(Q33+1&lt;=30,Q33+1,""),"")</f>
        <v>4</v>
      </c>
      <c r="S33" s="101">
        <f t="shared" si="55"/>
        <v>5</v>
      </c>
      <c r="T33" s="101">
        <f t="shared" si="55"/>
        <v>6</v>
      </c>
      <c r="U33" s="101">
        <f t="shared" si="55"/>
        <v>7</v>
      </c>
      <c r="V33" s="101">
        <f t="shared" si="55"/>
        <v>8</v>
      </c>
      <c r="W33" s="105"/>
      <c r="Y33" s="113"/>
      <c r="Z33" s="101">
        <f>IFERROR(IF(AF32+1&lt;=29,AF32+1,""),"")</f>
        <v>7</v>
      </c>
      <c r="AA33" s="101">
        <f>IFERROR(IF(Z33+1&lt;=29,Z33+1,""),"")</f>
        <v>8</v>
      </c>
      <c r="AB33" s="101">
        <f t="shared" ref="AB33:AF33" si="56">IFERROR(IF(AA33+1&lt;=29,AA33+1,""),"")</f>
        <v>9</v>
      </c>
      <c r="AC33" s="101">
        <f t="shared" si="56"/>
        <v>10</v>
      </c>
      <c r="AD33" s="101">
        <f t="shared" si="56"/>
        <v>11</v>
      </c>
      <c r="AE33" s="101">
        <f t="shared" si="56"/>
        <v>12</v>
      </c>
      <c r="AF33" s="101">
        <f t="shared" si="56"/>
        <v>13</v>
      </c>
      <c r="AG33" s="105"/>
    </row>
    <row r="34" spans="4:33" ht="21" x14ac:dyDescent="0.25">
      <c r="D34" s="186"/>
      <c r="E34" s="113"/>
      <c r="F34" s="101">
        <f t="shared" ref="F34:F37" si="57">IFERROR(IF(L33+1&lt;=30,L33+1,""),"")</f>
        <v>11</v>
      </c>
      <c r="G34" s="101">
        <f t="shared" ref="G34:L34" si="58">IFERROR(IF(F34+1&lt;=30,F34+1,""),"")</f>
        <v>12</v>
      </c>
      <c r="H34" s="101">
        <f t="shared" si="58"/>
        <v>13</v>
      </c>
      <c r="I34" s="101">
        <f t="shared" si="58"/>
        <v>14</v>
      </c>
      <c r="J34" s="101">
        <f t="shared" si="58"/>
        <v>15</v>
      </c>
      <c r="K34" s="101">
        <f t="shared" si="58"/>
        <v>16</v>
      </c>
      <c r="L34" s="101">
        <f t="shared" si="58"/>
        <v>17</v>
      </c>
      <c r="M34" s="105"/>
      <c r="O34" s="113"/>
      <c r="P34" s="101">
        <f t="shared" ref="P34:P37" si="59">IFERROR(IF(V33+1&lt;=30,V33+1,""),"")</f>
        <v>9</v>
      </c>
      <c r="Q34" s="101">
        <f t="shared" ref="Q34:V34" si="60">IFERROR(IF(P34+1&lt;=30,P34+1,""),"")</f>
        <v>10</v>
      </c>
      <c r="R34" s="101">
        <f t="shared" si="60"/>
        <v>11</v>
      </c>
      <c r="S34" s="101">
        <f t="shared" si="60"/>
        <v>12</v>
      </c>
      <c r="T34" s="101">
        <f t="shared" si="60"/>
        <v>13</v>
      </c>
      <c r="U34" s="101">
        <f t="shared" si="60"/>
        <v>14</v>
      </c>
      <c r="V34" s="101">
        <f t="shared" si="60"/>
        <v>15</v>
      </c>
      <c r="W34" s="105"/>
      <c r="Y34" s="113"/>
      <c r="Z34" s="101">
        <f t="shared" ref="Z34:Z36" si="61">IFERROR(IF(AF33+1&lt;=29,AF33+1,""),"")</f>
        <v>14</v>
      </c>
      <c r="AA34" s="101">
        <f t="shared" ref="AA34:AF34" si="62">IFERROR(IF(Z34+1&lt;=29,Z34+1,""),"")</f>
        <v>15</v>
      </c>
      <c r="AB34" s="101">
        <f t="shared" si="62"/>
        <v>16</v>
      </c>
      <c r="AC34" s="101">
        <f t="shared" si="62"/>
        <v>17</v>
      </c>
      <c r="AD34" s="101">
        <f t="shared" si="62"/>
        <v>18</v>
      </c>
      <c r="AE34" s="101">
        <f t="shared" si="62"/>
        <v>19</v>
      </c>
      <c r="AF34" s="101">
        <f t="shared" si="62"/>
        <v>20</v>
      </c>
      <c r="AG34" s="105"/>
    </row>
    <row r="35" spans="4:33" ht="21" x14ac:dyDescent="0.25">
      <c r="D35" s="186"/>
      <c r="E35" s="113"/>
      <c r="F35" s="101">
        <f t="shared" si="57"/>
        <v>18</v>
      </c>
      <c r="G35" s="101">
        <f t="shared" ref="G35:L35" si="63">IFERROR(IF(F35+1&lt;=30,F35+1,""),"")</f>
        <v>19</v>
      </c>
      <c r="H35" s="101">
        <f t="shared" si="63"/>
        <v>20</v>
      </c>
      <c r="I35" s="101">
        <f t="shared" si="63"/>
        <v>21</v>
      </c>
      <c r="J35" s="101">
        <f t="shared" si="63"/>
        <v>22</v>
      </c>
      <c r="K35" s="101">
        <f t="shared" si="63"/>
        <v>23</v>
      </c>
      <c r="L35" s="101">
        <f t="shared" si="63"/>
        <v>24</v>
      </c>
      <c r="M35" s="105"/>
      <c r="O35" s="113"/>
      <c r="P35" s="101">
        <f t="shared" si="59"/>
        <v>16</v>
      </c>
      <c r="Q35" s="101">
        <f t="shared" ref="Q35:V35" si="64">IFERROR(IF(P35+1&lt;=30,P35+1,""),"")</f>
        <v>17</v>
      </c>
      <c r="R35" s="101">
        <f t="shared" si="64"/>
        <v>18</v>
      </c>
      <c r="S35" s="101">
        <f t="shared" si="64"/>
        <v>19</v>
      </c>
      <c r="T35" s="101">
        <f t="shared" si="64"/>
        <v>20</v>
      </c>
      <c r="U35" s="101">
        <f t="shared" si="64"/>
        <v>21</v>
      </c>
      <c r="V35" s="101">
        <f t="shared" si="64"/>
        <v>22</v>
      </c>
      <c r="W35" s="105"/>
      <c r="Y35" s="113"/>
      <c r="Z35" s="101">
        <f t="shared" si="61"/>
        <v>21</v>
      </c>
      <c r="AA35" s="101">
        <f t="shared" ref="AA35:AF35" si="65">IFERROR(IF(Z35+1&lt;=29,Z35+1,""),"")</f>
        <v>22</v>
      </c>
      <c r="AB35" s="101">
        <f t="shared" si="65"/>
        <v>23</v>
      </c>
      <c r="AC35" s="101">
        <f t="shared" si="65"/>
        <v>24</v>
      </c>
      <c r="AD35" s="101">
        <f t="shared" si="65"/>
        <v>25</v>
      </c>
      <c r="AE35" s="101">
        <f t="shared" si="65"/>
        <v>26</v>
      </c>
      <c r="AF35" s="101">
        <f t="shared" si="65"/>
        <v>27</v>
      </c>
      <c r="AG35" s="105"/>
    </row>
    <row r="36" spans="4:33" ht="21" x14ac:dyDescent="0.25">
      <c r="D36" s="186"/>
      <c r="E36" s="113"/>
      <c r="F36" s="101">
        <f t="shared" si="57"/>
        <v>25</v>
      </c>
      <c r="G36" s="101">
        <f t="shared" ref="G36:L36" si="66">IFERROR(IF(F36+1&lt;=30,F36+1,""),"")</f>
        <v>26</v>
      </c>
      <c r="H36" s="101">
        <f t="shared" si="66"/>
        <v>27</v>
      </c>
      <c r="I36" s="101">
        <f t="shared" si="66"/>
        <v>28</v>
      </c>
      <c r="J36" s="101">
        <f t="shared" si="66"/>
        <v>29</v>
      </c>
      <c r="K36" s="101">
        <f t="shared" si="66"/>
        <v>30</v>
      </c>
      <c r="L36" s="101" t="str">
        <f t="shared" si="66"/>
        <v/>
      </c>
      <c r="M36" s="105"/>
      <c r="O36" s="113"/>
      <c r="P36" s="101">
        <f t="shared" si="59"/>
        <v>23</v>
      </c>
      <c r="Q36" s="101">
        <f t="shared" ref="Q36:V36" si="67">IFERROR(IF(P36+1&lt;=30,P36+1,""),"")</f>
        <v>24</v>
      </c>
      <c r="R36" s="101">
        <f t="shared" si="67"/>
        <v>25</v>
      </c>
      <c r="S36" s="101">
        <f t="shared" si="67"/>
        <v>26</v>
      </c>
      <c r="T36" s="101">
        <f t="shared" si="67"/>
        <v>27</v>
      </c>
      <c r="U36" s="101">
        <f t="shared" si="67"/>
        <v>28</v>
      </c>
      <c r="V36" s="101">
        <f t="shared" si="67"/>
        <v>29</v>
      </c>
      <c r="W36" s="105"/>
      <c r="Y36" s="113"/>
      <c r="Z36" s="101">
        <f t="shared" si="61"/>
        <v>28</v>
      </c>
      <c r="AA36" s="101">
        <f t="shared" ref="AA36:AF36" si="68">IFERROR(IF(Z36+1&lt;=29,Z36+1,""),"")</f>
        <v>29</v>
      </c>
      <c r="AB36" s="101" t="str">
        <f t="shared" si="68"/>
        <v/>
      </c>
      <c r="AC36" s="101" t="str">
        <f t="shared" si="68"/>
        <v/>
      </c>
      <c r="AD36" s="101" t="str">
        <f t="shared" si="68"/>
        <v/>
      </c>
      <c r="AE36" s="101" t="str">
        <f t="shared" si="68"/>
        <v/>
      </c>
      <c r="AF36" s="101" t="str">
        <f t="shared" si="68"/>
        <v/>
      </c>
      <c r="AG36" s="105"/>
    </row>
    <row r="37" spans="4:33" ht="21" x14ac:dyDescent="0.25">
      <c r="D37" s="186"/>
      <c r="E37" s="114"/>
      <c r="F37" s="101" t="str">
        <f t="shared" si="57"/>
        <v/>
      </c>
      <c r="G37" s="101" t="str">
        <f t="shared" ref="G37:L37" si="69">IFERROR(IF(F37+1&lt;=30,F37+1,""),"")</f>
        <v/>
      </c>
      <c r="H37" s="101" t="str">
        <f t="shared" si="69"/>
        <v/>
      </c>
      <c r="I37" s="101" t="str">
        <f t="shared" si="69"/>
        <v/>
      </c>
      <c r="J37" s="101" t="str">
        <f t="shared" si="69"/>
        <v/>
      </c>
      <c r="K37" s="101" t="str">
        <f t="shared" si="69"/>
        <v/>
      </c>
      <c r="L37" s="101" t="str">
        <f t="shared" si="69"/>
        <v/>
      </c>
      <c r="O37" s="114"/>
      <c r="P37" s="101">
        <f t="shared" si="59"/>
        <v>30</v>
      </c>
      <c r="Q37" s="101" t="str">
        <f t="shared" ref="Q37:V37" si="70">IFERROR(IF(P37+1&lt;=30,P37+1,""),"")</f>
        <v/>
      </c>
      <c r="R37" s="101" t="str">
        <f t="shared" si="70"/>
        <v/>
      </c>
      <c r="S37" s="101" t="str">
        <f t="shared" si="70"/>
        <v/>
      </c>
      <c r="T37" s="101" t="str">
        <f t="shared" si="70"/>
        <v/>
      </c>
      <c r="U37" s="101" t="str">
        <f t="shared" si="70"/>
        <v/>
      </c>
      <c r="V37" s="101" t="str">
        <f t="shared" si="70"/>
        <v/>
      </c>
      <c r="Y37" s="114"/>
      <c r="Z37" s="101" t="str">
        <f>IFERROR(IF(AF36+1&lt;=29,AF36+1,""),"")</f>
        <v/>
      </c>
      <c r="AA37" s="101" t="str">
        <f t="shared" ref="AA37:AF37" si="71">IFERROR(IF(Z37+1&lt;=29,Z37+1,""),"")</f>
        <v/>
      </c>
      <c r="AB37" s="101" t="str">
        <f t="shared" si="71"/>
        <v/>
      </c>
      <c r="AC37" s="101" t="str">
        <f t="shared" si="71"/>
        <v/>
      </c>
      <c r="AD37" s="101" t="str">
        <f t="shared" si="71"/>
        <v/>
      </c>
      <c r="AE37" s="101" t="str">
        <f t="shared" si="71"/>
        <v/>
      </c>
      <c r="AF37" s="101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0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61</v>
      </c>
    </row>
    <row r="14" spans="2:2" x14ac:dyDescent="0.25">
      <c r="B14" t="s">
        <v>60</v>
      </c>
    </row>
    <row r="15" spans="2:2" x14ac:dyDescent="0.25">
      <c r="B15" t="s">
        <v>62</v>
      </c>
    </row>
    <row r="20" spans="2:10" x14ac:dyDescent="0.25">
      <c r="B20" t="s">
        <v>63</v>
      </c>
    </row>
    <row r="21" spans="2:10" x14ac:dyDescent="0.25">
      <c r="B21" t="s">
        <v>64</v>
      </c>
    </row>
    <row r="22" spans="2:10" x14ac:dyDescent="0.25">
      <c r="B22" t="s">
        <v>65</v>
      </c>
    </row>
    <row r="24" spans="2:10" x14ac:dyDescent="0.25">
      <c r="B24" t="s">
        <v>66</v>
      </c>
    </row>
    <row r="25" spans="2:10" x14ac:dyDescent="0.25">
      <c r="B25" t="s">
        <v>67</v>
      </c>
    </row>
    <row r="28" spans="2:10" x14ac:dyDescent="0.25">
      <c r="B28" t="s">
        <v>68</v>
      </c>
      <c r="J28" t="s">
        <v>82</v>
      </c>
    </row>
    <row r="29" spans="2:10" x14ac:dyDescent="0.25">
      <c r="J29" t="s">
        <v>83</v>
      </c>
    </row>
    <row r="31" spans="2:10" x14ac:dyDescent="0.25">
      <c r="B31" t="s">
        <v>69</v>
      </c>
    </row>
    <row r="32" spans="2:10" x14ac:dyDescent="0.25">
      <c r="B32" t="s">
        <v>70</v>
      </c>
    </row>
    <row r="33" spans="2:7" x14ac:dyDescent="0.25">
      <c r="B33" t="s">
        <v>71</v>
      </c>
    </row>
    <row r="34" spans="2:7" x14ac:dyDescent="0.25">
      <c r="B34" t="s">
        <v>72</v>
      </c>
    </row>
    <row r="35" spans="2:7" x14ac:dyDescent="0.25">
      <c r="B35" t="s">
        <v>73</v>
      </c>
    </row>
    <row r="36" spans="2:7" x14ac:dyDescent="0.25">
      <c r="G36" t="s">
        <v>79</v>
      </c>
    </row>
    <row r="37" spans="2:7" x14ac:dyDescent="0.25">
      <c r="B37" t="s">
        <v>74</v>
      </c>
      <c r="G37" t="s">
        <v>80</v>
      </c>
    </row>
    <row r="38" spans="2:7" x14ac:dyDescent="0.25">
      <c r="B38" t="s">
        <v>75</v>
      </c>
      <c r="G38" s="1">
        <v>323423423</v>
      </c>
    </row>
    <row r="39" spans="2:7" x14ac:dyDescent="0.25">
      <c r="B39" t="s">
        <v>76</v>
      </c>
    </row>
    <row r="40" spans="2:7" x14ac:dyDescent="0.25">
      <c r="B40" t="s">
        <v>77</v>
      </c>
      <c r="G40" t="s">
        <v>81</v>
      </c>
    </row>
    <row r="41" spans="2:7" x14ac:dyDescent="0.25">
      <c r="B41" t="s">
        <v>78</v>
      </c>
    </row>
    <row r="42" spans="2:7" x14ac:dyDescent="0.25">
      <c r="B42" t="s">
        <v>72</v>
      </c>
    </row>
    <row r="43" spans="2:7" x14ac:dyDescent="0.25">
      <c r="B43" t="s">
        <v>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 x14ac:dyDescent="0.25">
      <c r="A1" s="9" t="s">
        <v>8</v>
      </c>
      <c r="B1" s="35" t="s">
        <v>115</v>
      </c>
      <c r="C1" s="50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 x14ac:dyDescent="0.25"/>
    <row r="3" spans="1:23" ht="15.75" x14ac:dyDescent="0.25">
      <c r="A3" s="189" t="s">
        <v>157</v>
      </c>
      <c r="B3" s="189"/>
      <c r="D3" s="41"/>
      <c r="F3" s="41"/>
      <c r="H3" s="41"/>
      <c r="J3" s="41"/>
      <c r="L3" s="41"/>
      <c r="N3" s="41"/>
      <c r="P3" s="48"/>
      <c r="Q3" s="48"/>
      <c r="R3" s="41"/>
      <c r="S3" s="41"/>
      <c r="T3" s="41"/>
      <c r="U3" s="41"/>
      <c r="V3" s="41"/>
      <c r="W3" s="41"/>
    </row>
    <row r="4" spans="1:23" ht="15.75" customHeight="1" x14ac:dyDescent="0.25">
      <c r="A4" s="43" t="s">
        <v>156</v>
      </c>
      <c r="B4" s="43" t="s">
        <v>168</v>
      </c>
      <c r="D4" s="41"/>
      <c r="F4" s="41"/>
      <c r="H4" s="41"/>
      <c r="J4" s="41"/>
      <c r="L4" s="41"/>
      <c r="N4" s="41"/>
      <c r="P4" s="48"/>
      <c r="Q4" s="48"/>
      <c r="R4" s="41"/>
      <c r="S4" s="41"/>
      <c r="T4" s="41"/>
      <c r="U4" s="41"/>
      <c r="V4" s="41"/>
      <c r="W4" s="41"/>
    </row>
    <row r="5" spans="1:23" ht="15.75" x14ac:dyDescent="0.25">
      <c r="A5" s="42">
        <v>1</v>
      </c>
      <c r="B5" s="42" t="s">
        <v>306</v>
      </c>
      <c r="D5" s="67" t="s">
        <v>306</v>
      </c>
      <c r="F5" s="67" t="s">
        <v>158</v>
      </c>
      <c r="G5" s="48"/>
      <c r="H5" s="67" t="s">
        <v>160</v>
      </c>
      <c r="I5" s="48"/>
      <c r="J5" s="67" t="s">
        <v>162</v>
      </c>
      <c r="K5" s="48"/>
      <c r="L5" s="67" t="s">
        <v>164</v>
      </c>
      <c r="N5" s="67" t="s">
        <v>165</v>
      </c>
      <c r="O5" s="48"/>
      <c r="P5" s="67" t="s">
        <v>163</v>
      </c>
      <c r="Q5" s="48"/>
      <c r="R5" s="68" t="s">
        <v>316</v>
      </c>
    </row>
    <row r="6" spans="1:23" ht="15.75" x14ac:dyDescent="0.25">
      <c r="A6" s="42">
        <v>2</v>
      </c>
      <c r="B6" s="65" t="s">
        <v>158</v>
      </c>
      <c r="D6" s="67" t="s">
        <v>317</v>
      </c>
      <c r="F6" s="67" t="s">
        <v>159</v>
      </c>
      <c r="G6" s="48"/>
      <c r="H6" s="67" t="s">
        <v>161</v>
      </c>
      <c r="I6" s="48"/>
      <c r="J6" s="67" t="s">
        <v>318</v>
      </c>
      <c r="K6" s="48"/>
      <c r="L6" s="67" t="s">
        <v>317</v>
      </c>
      <c r="M6" s="48"/>
      <c r="N6" s="67" t="s">
        <v>153</v>
      </c>
      <c r="O6" s="48"/>
      <c r="P6" s="67" t="s">
        <v>319</v>
      </c>
      <c r="Q6" s="48"/>
      <c r="R6" s="66" t="s">
        <v>314</v>
      </c>
    </row>
    <row r="7" spans="1:23" ht="15.75" x14ac:dyDescent="0.25">
      <c r="A7" s="42">
        <v>3</v>
      </c>
      <c r="B7" s="42" t="s">
        <v>310</v>
      </c>
      <c r="F7" s="47"/>
      <c r="G7" s="48"/>
      <c r="H7" s="47"/>
      <c r="I7" s="48"/>
      <c r="J7" s="47"/>
      <c r="K7" s="48"/>
      <c r="L7" s="67" t="s">
        <v>311</v>
      </c>
      <c r="M7" s="48"/>
      <c r="N7" s="47"/>
      <c r="O7" s="48"/>
      <c r="P7" s="47"/>
      <c r="Q7" s="48"/>
    </row>
    <row r="8" spans="1:23" ht="15.75" x14ac:dyDescent="0.25">
      <c r="A8" s="42">
        <v>4</v>
      </c>
      <c r="B8" s="42" t="s">
        <v>307</v>
      </c>
      <c r="F8" s="47"/>
      <c r="G8" s="48"/>
      <c r="H8" s="47"/>
      <c r="I8" s="48"/>
      <c r="J8" s="47"/>
      <c r="K8" s="48"/>
      <c r="L8" s="67" t="s">
        <v>312</v>
      </c>
      <c r="M8" s="48"/>
      <c r="N8" s="47"/>
      <c r="O8" s="48"/>
      <c r="P8" s="47"/>
      <c r="Q8" s="48"/>
    </row>
    <row r="9" spans="1:23" ht="15.75" x14ac:dyDescent="0.25">
      <c r="A9" s="42">
        <v>5</v>
      </c>
      <c r="B9" s="42" t="s">
        <v>313</v>
      </c>
      <c r="H9" s="47"/>
      <c r="I9" s="48"/>
      <c r="J9" s="47"/>
      <c r="K9" s="48"/>
      <c r="L9" s="47"/>
      <c r="M9" s="48"/>
      <c r="N9" s="47"/>
      <c r="O9" s="48"/>
    </row>
    <row r="10" spans="1:23" ht="15.75" x14ac:dyDescent="0.25">
      <c r="A10" s="42">
        <v>6</v>
      </c>
      <c r="B10" s="42" t="s">
        <v>308</v>
      </c>
      <c r="L10" s="47"/>
    </row>
    <row r="11" spans="1:23" ht="15.75" x14ac:dyDescent="0.25">
      <c r="A11" s="42">
        <v>7</v>
      </c>
      <c r="B11" s="42" t="s">
        <v>309</v>
      </c>
      <c r="L11" s="47"/>
    </row>
    <row r="12" spans="1:23" ht="15.75" x14ac:dyDescent="0.25">
      <c r="A12" s="42">
        <v>8</v>
      </c>
      <c r="B12" s="42" t="s">
        <v>315</v>
      </c>
    </row>
    <row r="13" spans="1:23" ht="15.75" x14ac:dyDescent="0.25">
      <c r="A13" s="42"/>
      <c r="B13" s="42"/>
    </row>
    <row r="14" spans="1:23" ht="15.75" x14ac:dyDescent="0.25">
      <c r="A14" s="42"/>
      <c r="B14" s="42"/>
    </row>
    <row r="15" spans="1:23" ht="15.75" x14ac:dyDescent="0.2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D11" sqref="D11"/>
    </sheetView>
  </sheetViews>
  <sheetFormatPr defaultRowHeight="15" x14ac:dyDescent="0.2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0" customWidth="1"/>
    <col min="6" max="6" width="21.42578125" customWidth="1"/>
    <col min="7" max="7" width="0.7109375" style="60" customWidth="1"/>
    <col min="8" max="8" width="15.7109375" customWidth="1"/>
    <col min="9" max="9" width="0.7109375" style="60" customWidth="1"/>
    <col min="10" max="10" width="20.7109375" customWidth="1"/>
    <col min="11" max="11" width="0.7109375" style="60" customWidth="1"/>
    <col min="12" max="12" width="21.42578125" customWidth="1"/>
    <col min="13" max="13" width="0.7109375" style="60" customWidth="1"/>
    <col min="14" max="14" width="14.28515625" customWidth="1"/>
    <col min="15" max="15" width="0.7109375" style="60" customWidth="1"/>
    <col min="16" max="16" width="18.85546875" customWidth="1"/>
    <col min="17" max="17" width="0.7109375" style="60" customWidth="1"/>
    <col min="18" max="18" width="17.140625" customWidth="1"/>
    <col min="19" max="19" width="0.7109375" style="60" customWidth="1"/>
    <col min="20" max="20" width="17.140625" customWidth="1"/>
    <col min="21" max="21" width="0.7109375" style="60" customWidth="1"/>
    <col min="22" max="22" width="30.7109375" customWidth="1"/>
    <col min="23" max="23" width="0.7109375" style="60" customWidth="1"/>
    <col min="24" max="24" width="22.85546875" customWidth="1"/>
    <col min="25" max="25" width="0.7109375" style="60" customWidth="1"/>
    <col min="26" max="26" width="17.140625" customWidth="1"/>
    <col min="27" max="27" width="0.7109375" style="60" customWidth="1"/>
    <col min="28" max="28" width="22.85546875" customWidth="1"/>
    <col min="29" max="29" width="0.7109375" style="60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 x14ac:dyDescent="0.25">
      <c r="A1" s="9" t="s">
        <v>8</v>
      </c>
      <c r="B1" s="35" t="s">
        <v>115</v>
      </c>
      <c r="C1" s="49"/>
      <c r="D1" s="60"/>
      <c r="F1" s="41"/>
      <c r="H1" s="41"/>
      <c r="J1" s="41"/>
      <c r="L1" s="41"/>
      <c r="N1" s="60"/>
      <c r="P1" s="60"/>
      <c r="R1" s="60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 x14ac:dyDescent="0.25">
      <c r="A2" s="9" t="s">
        <v>8</v>
      </c>
      <c r="B2" s="35" t="s">
        <v>115</v>
      </c>
      <c r="C2" s="49"/>
      <c r="D2" s="60"/>
      <c r="F2" s="41"/>
      <c r="H2" s="41"/>
      <c r="J2" s="41"/>
      <c r="L2" s="41"/>
      <c r="N2" s="60"/>
      <c r="P2" s="60"/>
      <c r="R2" s="60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 x14ac:dyDescent="0.25">
      <c r="D3" s="60"/>
      <c r="E3" s="60"/>
      <c r="G3" s="60"/>
      <c r="I3" s="60"/>
      <c r="K3" s="60"/>
      <c r="M3" s="60"/>
      <c r="N3" s="60"/>
      <c r="O3" s="60"/>
      <c r="P3" s="60"/>
      <c r="Q3" s="60"/>
      <c r="R3" s="60"/>
      <c r="S3" s="60"/>
      <c r="U3" s="60"/>
      <c r="W3" s="60"/>
      <c r="Y3" s="60"/>
      <c r="AA3" s="60"/>
      <c r="AC3" s="60"/>
    </row>
    <row r="4" spans="1:55" ht="15.75" x14ac:dyDescent="0.25">
      <c r="A4" s="190" t="s">
        <v>166</v>
      </c>
      <c r="B4" s="190"/>
      <c r="D4" s="42" t="s">
        <v>184</v>
      </c>
      <c r="E4" s="61"/>
      <c r="F4" s="42" t="s">
        <v>188</v>
      </c>
      <c r="G4" s="61"/>
      <c r="H4" s="42" t="s">
        <v>182</v>
      </c>
      <c r="I4" s="61"/>
      <c r="J4" s="42" t="s">
        <v>172</v>
      </c>
      <c r="K4" s="61"/>
      <c r="L4" s="42" t="s">
        <v>171</v>
      </c>
      <c r="M4" s="61"/>
      <c r="N4" s="42" t="s">
        <v>173</v>
      </c>
      <c r="O4" s="61"/>
      <c r="P4" s="42" t="s">
        <v>177</v>
      </c>
      <c r="Q4" s="61"/>
      <c r="R4" s="42" t="s">
        <v>183</v>
      </c>
      <c r="S4" s="61"/>
      <c r="T4" s="42" t="s">
        <v>198</v>
      </c>
      <c r="U4" s="61"/>
      <c r="V4" s="42" t="s">
        <v>181</v>
      </c>
      <c r="W4" s="61"/>
      <c r="X4" s="42" t="s">
        <v>260</v>
      </c>
      <c r="Y4" s="61"/>
      <c r="Z4" s="42" t="s">
        <v>185</v>
      </c>
      <c r="AA4" s="61"/>
      <c r="AB4" s="42" t="s">
        <v>202</v>
      </c>
      <c r="AC4" s="61"/>
      <c r="AD4" s="42" t="s">
        <v>270</v>
      </c>
      <c r="AE4" s="62"/>
      <c r="AF4" s="42" t="s">
        <v>273</v>
      </c>
      <c r="AG4" s="62"/>
      <c r="AH4" s="42" t="s">
        <v>275</v>
      </c>
      <c r="AI4" s="62"/>
      <c r="AJ4" s="42" t="s">
        <v>175</v>
      </c>
      <c r="AK4" s="62"/>
      <c r="AL4" s="42" t="s">
        <v>224</v>
      </c>
      <c r="AM4" s="62"/>
      <c r="AN4" s="42" t="s">
        <v>238</v>
      </c>
      <c r="AO4" s="62"/>
      <c r="AP4" s="42" t="s">
        <v>174</v>
      </c>
      <c r="AQ4" s="62"/>
      <c r="AR4" s="42" t="s">
        <v>276</v>
      </c>
      <c r="AS4" s="62"/>
      <c r="AT4" s="42" t="s">
        <v>243</v>
      </c>
      <c r="AU4" s="62"/>
      <c r="AV4" s="42" t="s">
        <v>176</v>
      </c>
      <c r="AW4" s="48"/>
      <c r="AX4" s="47" t="s">
        <v>170</v>
      </c>
      <c r="AY4" s="47"/>
      <c r="AZ4" s="47"/>
      <c r="BA4" s="47"/>
    </row>
    <row r="5" spans="1:55" ht="15.75" x14ac:dyDescent="0.25">
      <c r="A5" s="42" t="s">
        <v>167</v>
      </c>
      <c r="B5" s="42" t="s">
        <v>169</v>
      </c>
      <c r="D5" s="42" t="s">
        <v>263</v>
      </c>
      <c r="E5" s="61"/>
      <c r="F5" s="42" t="s">
        <v>193</v>
      </c>
      <c r="G5" s="61"/>
      <c r="H5" s="42" t="s">
        <v>212</v>
      </c>
      <c r="I5" s="61"/>
      <c r="J5" s="42" t="s">
        <v>217</v>
      </c>
      <c r="K5" s="61"/>
      <c r="L5" s="42" t="s">
        <v>221</v>
      </c>
      <c r="M5" s="61"/>
      <c r="N5" s="42" t="s">
        <v>199</v>
      </c>
      <c r="O5" s="61"/>
      <c r="P5" s="42" t="s">
        <v>266</v>
      </c>
      <c r="Q5" s="61"/>
      <c r="R5" s="42" t="s">
        <v>234</v>
      </c>
      <c r="S5" s="61"/>
      <c r="T5" s="42" t="s">
        <v>203</v>
      </c>
      <c r="U5" s="61"/>
      <c r="V5" s="42" t="s">
        <v>208</v>
      </c>
      <c r="W5" s="61"/>
      <c r="X5" s="42" t="s">
        <v>267</v>
      </c>
      <c r="Y5" s="61"/>
      <c r="Z5" s="42" t="s">
        <v>268</v>
      </c>
      <c r="AA5" s="61"/>
      <c r="AB5" s="42" t="s">
        <v>265</v>
      </c>
      <c r="AC5" s="61"/>
      <c r="AD5" s="42" t="s">
        <v>279</v>
      </c>
      <c r="AE5" s="62"/>
      <c r="AF5" s="42" t="s">
        <v>274</v>
      </c>
      <c r="AG5" s="62"/>
      <c r="AH5" s="42" t="s">
        <v>302</v>
      </c>
      <c r="AI5" s="62"/>
      <c r="AJ5" s="42" t="s">
        <v>252</v>
      </c>
      <c r="AK5" s="62"/>
      <c r="AL5" s="42" t="s">
        <v>250</v>
      </c>
      <c r="AM5" s="62"/>
      <c r="AN5" s="42" t="s">
        <v>240</v>
      </c>
      <c r="AO5" s="62"/>
      <c r="AP5" s="42" t="s">
        <v>198</v>
      </c>
      <c r="AQ5" s="62"/>
      <c r="AR5" s="42" t="s">
        <v>277</v>
      </c>
      <c r="AS5" s="62"/>
      <c r="AT5" s="42" t="s">
        <v>245</v>
      </c>
      <c r="AU5" s="62"/>
      <c r="AV5" s="42" t="s">
        <v>255</v>
      </c>
      <c r="AW5" s="48"/>
      <c r="AX5" s="47" t="s">
        <v>298</v>
      </c>
      <c r="AY5" s="47"/>
      <c r="AZ5" s="47"/>
      <c r="BA5" s="47"/>
    </row>
    <row r="6" spans="1:55" ht="15.75" x14ac:dyDescent="0.25">
      <c r="A6" s="42">
        <v>1</v>
      </c>
      <c r="B6" s="58" t="s">
        <v>184</v>
      </c>
      <c r="D6" s="42" t="s">
        <v>264</v>
      </c>
      <c r="E6" s="61"/>
      <c r="F6" s="42" t="s">
        <v>192</v>
      </c>
      <c r="G6" s="61"/>
      <c r="H6" s="42" t="s">
        <v>213</v>
      </c>
      <c r="I6" s="61"/>
      <c r="J6" s="42" t="s">
        <v>220</v>
      </c>
      <c r="K6" s="61"/>
      <c r="L6" s="42" t="s">
        <v>222</v>
      </c>
      <c r="M6" s="61"/>
      <c r="N6" s="42" t="s">
        <v>198</v>
      </c>
      <c r="O6" s="61"/>
      <c r="P6" s="42" t="s">
        <v>153</v>
      </c>
      <c r="Q6" s="61"/>
      <c r="R6" s="42" t="s">
        <v>235</v>
      </c>
      <c r="S6" s="61"/>
      <c r="T6" s="42" t="s">
        <v>207</v>
      </c>
      <c r="U6" s="61"/>
      <c r="V6" s="42" t="s">
        <v>209</v>
      </c>
      <c r="W6" s="61"/>
      <c r="X6" s="42" t="s">
        <v>153</v>
      </c>
      <c r="Y6" s="61"/>
      <c r="Z6" s="42" t="s">
        <v>269</v>
      </c>
      <c r="AA6" s="61"/>
      <c r="AB6" s="42" t="s">
        <v>230</v>
      </c>
      <c r="AC6" s="61"/>
      <c r="AD6" s="42" t="s">
        <v>278</v>
      </c>
      <c r="AE6" s="62"/>
      <c r="AF6" s="42" t="s">
        <v>301</v>
      </c>
      <c r="AG6" s="62"/>
      <c r="AH6" s="42" t="s">
        <v>317</v>
      </c>
      <c r="AI6" s="62"/>
      <c r="AJ6" s="42" t="s">
        <v>251</v>
      </c>
      <c r="AK6" s="62"/>
      <c r="AL6" s="42" t="s">
        <v>225</v>
      </c>
      <c r="AM6" s="62"/>
      <c r="AN6" s="42" t="s">
        <v>239</v>
      </c>
      <c r="AO6" s="62"/>
      <c r="AP6" s="42" t="s">
        <v>247</v>
      </c>
      <c r="AQ6" s="62"/>
      <c r="AR6" s="42" t="s">
        <v>303</v>
      </c>
      <c r="AS6" s="62"/>
      <c r="AT6" s="42" t="s">
        <v>244</v>
      </c>
      <c r="AU6" s="62"/>
      <c r="AV6" s="42" t="s">
        <v>256</v>
      </c>
      <c r="AW6" s="48"/>
      <c r="AX6" s="47" t="s">
        <v>297</v>
      </c>
      <c r="AY6" s="47"/>
      <c r="AZ6" s="47"/>
      <c r="BA6" s="47"/>
    </row>
    <row r="7" spans="1:55" ht="15.75" x14ac:dyDescent="0.25">
      <c r="A7" s="42">
        <v>2</v>
      </c>
      <c r="B7" s="59" t="s">
        <v>282</v>
      </c>
      <c r="D7" s="42" t="s">
        <v>261</v>
      </c>
      <c r="E7" s="61"/>
      <c r="F7" s="42" t="s">
        <v>191</v>
      </c>
      <c r="G7" s="61"/>
      <c r="H7" s="42" t="s">
        <v>214</v>
      </c>
      <c r="I7" s="61"/>
      <c r="J7" s="42" t="s">
        <v>218</v>
      </c>
      <c r="K7" s="61"/>
      <c r="L7" s="42"/>
      <c r="M7" s="61"/>
      <c r="N7" s="42" t="s">
        <v>200</v>
      </c>
      <c r="O7" s="61"/>
      <c r="P7" s="42"/>
      <c r="Q7" s="61"/>
      <c r="R7" s="42" t="s">
        <v>236</v>
      </c>
      <c r="S7" s="61"/>
      <c r="T7" s="42" t="s">
        <v>204</v>
      </c>
      <c r="U7" s="61"/>
      <c r="V7" s="42" t="s">
        <v>210</v>
      </c>
      <c r="W7" s="61"/>
      <c r="X7" s="42"/>
      <c r="Y7" s="61"/>
      <c r="Z7" s="42"/>
      <c r="AA7" s="61"/>
      <c r="AB7" s="42"/>
      <c r="AC7" s="61"/>
      <c r="AD7" s="42" t="s">
        <v>271</v>
      </c>
      <c r="AE7" s="62"/>
      <c r="AF7" s="42"/>
      <c r="AG7" s="62"/>
      <c r="AH7" s="42"/>
      <c r="AI7" s="62"/>
      <c r="AJ7" s="42"/>
      <c r="AK7" s="62"/>
      <c r="AL7" s="42" t="s">
        <v>226</v>
      </c>
      <c r="AM7" s="62"/>
      <c r="AN7" s="42" t="s">
        <v>241</v>
      </c>
      <c r="AO7" s="62"/>
      <c r="AP7" s="42" t="s">
        <v>248</v>
      </c>
      <c r="AQ7" s="62"/>
      <c r="AR7" s="42"/>
      <c r="AS7" s="62"/>
      <c r="AT7" s="42" t="s">
        <v>246</v>
      </c>
      <c r="AU7" s="62"/>
      <c r="AV7" s="42" t="s">
        <v>257</v>
      </c>
      <c r="AW7" s="48"/>
      <c r="AX7" s="47" t="s">
        <v>299</v>
      </c>
      <c r="AY7" s="47"/>
      <c r="AZ7" s="47"/>
      <c r="BA7" s="47"/>
    </row>
    <row r="8" spans="1:55" ht="15.75" x14ac:dyDescent="0.25">
      <c r="A8" s="42">
        <v>3</v>
      </c>
      <c r="B8" s="59" t="s">
        <v>283</v>
      </c>
      <c r="D8" s="42" t="s">
        <v>262</v>
      </c>
      <c r="E8" s="61"/>
      <c r="F8" s="42" t="s">
        <v>189</v>
      </c>
      <c r="G8" s="61"/>
      <c r="H8" s="42" t="s">
        <v>215</v>
      </c>
      <c r="I8" s="61"/>
      <c r="J8" s="42" t="s">
        <v>223</v>
      </c>
      <c r="K8" s="61"/>
      <c r="L8" s="42"/>
      <c r="M8" s="61"/>
      <c r="N8" s="42" t="s">
        <v>201</v>
      </c>
      <c r="O8" s="61"/>
      <c r="P8" s="42"/>
      <c r="Q8" s="61"/>
      <c r="R8" s="42" t="s">
        <v>237</v>
      </c>
      <c r="S8" s="61"/>
      <c r="T8" s="42" t="s">
        <v>205</v>
      </c>
      <c r="U8" s="61"/>
      <c r="V8" s="42" t="s">
        <v>211</v>
      </c>
      <c r="W8" s="61"/>
      <c r="X8" s="42"/>
      <c r="Y8" s="61"/>
      <c r="Z8" s="42"/>
      <c r="AA8" s="61"/>
      <c r="AB8" s="42"/>
      <c r="AC8" s="61"/>
      <c r="AD8" s="42" t="s">
        <v>272</v>
      </c>
      <c r="AE8" s="62"/>
      <c r="AF8" s="42"/>
      <c r="AG8" s="62"/>
      <c r="AH8" s="42"/>
      <c r="AI8" s="62"/>
      <c r="AJ8" s="42"/>
      <c r="AK8" s="62"/>
      <c r="AL8" s="42" t="s">
        <v>227</v>
      </c>
      <c r="AM8" s="62"/>
      <c r="AN8" s="42" t="s">
        <v>242</v>
      </c>
      <c r="AO8" s="62"/>
      <c r="AP8" s="42" t="s">
        <v>249</v>
      </c>
      <c r="AQ8" s="62"/>
      <c r="AR8" s="42"/>
      <c r="AS8" s="62"/>
      <c r="AT8" s="42"/>
      <c r="AU8" s="62"/>
      <c r="AV8" s="42" t="s">
        <v>253</v>
      </c>
      <c r="AW8" s="48"/>
      <c r="AX8" s="47"/>
      <c r="AY8" s="47"/>
      <c r="AZ8" s="47"/>
      <c r="BA8" s="47"/>
    </row>
    <row r="9" spans="1:55" ht="15.75" x14ac:dyDescent="0.25">
      <c r="A9" s="42">
        <v>4</v>
      </c>
      <c r="B9" s="58" t="s">
        <v>284</v>
      </c>
      <c r="D9" s="42"/>
      <c r="E9" s="61"/>
      <c r="F9" s="42" t="s">
        <v>190</v>
      </c>
      <c r="G9" s="61"/>
      <c r="H9" s="42" t="s">
        <v>216</v>
      </c>
      <c r="I9" s="61"/>
      <c r="J9" s="42" t="s">
        <v>219</v>
      </c>
      <c r="K9" s="61"/>
      <c r="L9" s="42"/>
      <c r="M9" s="61"/>
      <c r="N9" s="42"/>
      <c r="O9" s="61"/>
      <c r="P9" s="42"/>
      <c r="Q9" s="61"/>
      <c r="R9" s="42"/>
      <c r="S9" s="61"/>
      <c r="T9" s="42" t="s">
        <v>206</v>
      </c>
      <c r="U9" s="61"/>
      <c r="V9" s="42"/>
      <c r="W9" s="61"/>
      <c r="X9" s="42"/>
      <c r="Y9" s="61"/>
      <c r="Z9" s="42"/>
      <c r="AA9" s="61"/>
      <c r="AB9" s="42"/>
      <c r="AC9" s="61"/>
      <c r="AD9" s="42"/>
      <c r="AE9" s="62"/>
      <c r="AF9" s="42"/>
      <c r="AG9" s="62"/>
      <c r="AH9" s="42"/>
      <c r="AI9" s="62"/>
      <c r="AJ9" s="42"/>
      <c r="AK9" s="62"/>
      <c r="AL9" s="42" t="s">
        <v>233</v>
      </c>
      <c r="AM9" s="62"/>
      <c r="AN9" s="42"/>
      <c r="AO9" s="62"/>
      <c r="AP9" s="42"/>
      <c r="AQ9" s="62"/>
      <c r="AR9" s="42"/>
      <c r="AS9" s="62"/>
      <c r="AT9" s="42"/>
      <c r="AU9" s="62"/>
      <c r="AV9" s="42" t="s">
        <v>254</v>
      </c>
      <c r="AW9" s="48"/>
      <c r="AX9" s="47"/>
      <c r="AY9" s="47"/>
      <c r="AZ9" s="47"/>
      <c r="BA9" s="47"/>
    </row>
    <row r="10" spans="1:55" ht="15.75" x14ac:dyDescent="0.25">
      <c r="A10" s="42">
        <v>5</v>
      </c>
      <c r="B10" s="58" t="s">
        <v>285</v>
      </c>
      <c r="D10" s="42"/>
      <c r="E10" s="61"/>
      <c r="F10" s="42" t="s">
        <v>194</v>
      </c>
      <c r="G10" s="61"/>
      <c r="H10" s="42"/>
      <c r="I10" s="61"/>
      <c r="J10" s="42"/>
      <c r="K10" s="61"/>
      <c r="L10" s="42"/>
      <c r="M10" s="61"/>
      <c r="N10" s="42"/>
      <c r="O10" s="61"/>
      <c r="P10" s="42"/>
      <c r="Q10" s="61"/>
      <c r="R10" s="42"/>
      <c r="S10" s="61"/>
      <c r="T10" s="42"/>
      <c r="U10" s="61"/>
      <c r="V10" s="42"/>
      <c r="W10" s="61"/>
      <c r="X10" s="42"/>
      <c r="Y10" s="61"/>
      <c r="Z10" s="42"/>
      <c r="AA10" s="61"/>
      <c r="AB10" s="42"/>
      <c r="AC10" s="61"/>
      <c r="AD10" s="42"/>
      <c r="AE10" s="62"/>
      <c r="AF10" s="42"/>
      <c r="AG10" s="62"/>
      <c r="AH10" s="42"/>
      <c r="AI10" s="62"/>
      <c r="AJ10" s="42"/>
      <c r="AK10" s="62"/>
      <c r="AL10" s="42" t="s">
        <v>228</v>
      </c>
      <c r="AM10" s="62"/>
      <c r="AN10" s="42"/>
      <c r="AO10" s="62"/>
      <c r="AP10" s="42"/>
      <c r="AQ10" s="62"/>
      <c r="AR10" s="42"/>
      <c r="AS10" s="62"/>
      <c r="AT10" s="42"/>
      <c r="AU10" s="62"/>
      <c r="AV10" s="42" t="s">
        <v>258</v>
      </c>
      <c r="AW10" s="48"/>
      <c r="AX10" s="47"/>
      <c r="AY10" s="47"/>
      <c r="AZ10" s="47"/>
      <c r="BA10" s="47"/>
    </row>
    <row r="11" spans="1:55" ht="15.75" x14ac:dyDescent="0.25">
      <c r="A11" s="42">
        <v>6</v>
      </c>
      <c r="B11" s="59" t="s">
        <v>173</v>
      </c>
      <c r="D11" s="42"/>
      <c r="E11" s="61"/>
      <c r="F11" s="42" t="s">
        <v>197</v>
      </c>
      <c r="G11" s="61"/>
      <c r="H11" s="42"/>
      <c r="I11" s="61"/>
      <c r="J11" s="42"/>
      <c r="K11" s="61"/>
      <c r="L11" s="42"/>
      <c r="M11" s="61"/>
      <c r="N11" s="42"/>
      <c r="O11" s="61"/>
      <c r="P11" s="42"/>
      <c r="Q11" s="61"/>
      <c r="R11" s="42"/>
      <c r="S11" s="61"/>
      <c r="T11" s="42"/>
      <c r="U11" s="61"/>
      <c r="V11" s="42"/>
      <c r="W11" s="61"/>
      <c r="X11" s="42"/>
      <c r="Y11" s="61"/>
      <c r="Z11" s="42"/>
      <c r="AA11" s="61"/>
      <c r="AB11" s="42"/>
      <c r="AC11" s="61"/>
      <c r="AD11" s="42"/>
      <c r="AE11" s="62"/>
      <c r="AF11" s="42"/>
      <c r="AG11" s="62"/>
      <c r="AH11" s="42"/>
      <c r="AI11" s="62"/>
      <c r="AJ11" s="42"/>
      <c r="AK11" s="62"/>
      <c r="AL11" s="42" t="s">
        <v>232</v>
      </c>
      <c r="AM11" s="62"/>
      <c r="AN11" s="42"/>
      <c r="AO11" s="62"/>
      <c r="AP11" s="42"/>
      <c r="AQ11" s="62"/>
      <c r="AR11" s="42"/>
      <c r="AS11" s="62"/>
      <c r="AT11" s="42"/>
      <c r="AU11" s="62"/>
      <c r="AV11" s="42" t="s">
        <v>259</v>
      </c>
      <c r="AW11" s="48"/>
      <c r="AX11" s="47"/>
      <c r="AY11" s="47"/>
      <c r="AZ11" s="47"/>
      <c r="BA11" s="47"/>
    </row>
    <row r="12" spans="1:55" ht="15.75" x14ac:dyDescent="0.25">
      <c r="A12" s="42">
        <v>7</v>
      </c>
      <c r="B12" s="59" t="s">
        <v>286</v>
      </c>
      <c r="D12" s="42"/>
      <c r="E12" s="61"/>
      <c r="F12" s="42" t="s">
        <v>195</v>
      </c>
      <c r="G12" s="61"/>
      <c r="H12" s="42"/>
      <c r="I12" s="61"/>
      <c r="J12" s="42"/>
      <c r="K12" s="61"/>
      <c r="L12" s="42"/>
      <c r="M12" s="61"/>
      <c r="N12" s="42"/>
      <c r="O12" s="61"/>
      <c r="P12" s="42"/>
      <c r="Q12" s="61"/>
      <c r="R12" s="42"/>
      <c r="S12" s="61"/>
      <c r="T12" s="42"/>
      <c r="U12" s="61"/>
      <c r="V12" s="42"/>
      <c r="W12" s="61"/>
      <c r="X12" s="42"/>
      <c r="Y12" s="61"/>
      <c r="Z12" s="42"/>
      <c r="AA12" s="61"/>
      <c r="AB12" s="42"/>
      <c r="AC12" s="61"/>
      <c r="AD12" s="42"/>
      <c r="AE12" s="62"/>
      <c r="AF12" s="42"/>
      <c r="AG12" s="62"/>
      <c r="AH12" s="42"/>
      <c r="AI12" s="62"/>
      <c r="AJ12" s="42"/>
      <c r="AK12" s="62"/>
      <c r="AL12" s="42" t="s">
        <v>247</v>
      </c>
      <c r="AM12" s="62"/>
      <c r="AN12" s="42"/>
      <c r="AO12" s="62"/>
      <c r="AP12" s="42"/>
      <c r="AQ12" s="62"/>
      <c r="AR12" s="42"/>
      <c r="AS12" s="62"/>
      <c r="AT12" s="42"/>
      <c r="AU12" s="62"/>
      <c r="AV12" s="42"/>
      <c r="AW12" s="48"/>
      <c r="AX12" s="47"/>
      <c r="AY12" s="47"/>
      <c r="AZ12" s="47"/>
      <c r="BA12" s="47"/>
    </row>
    <row r="13" spans="1:55" ht="15.75" x14ac:dyDescent="0.25">
      <c r="A13" s="42">
        <v>8</v>
      </c>
      <c r="B13" s="59" t="s">
        <v>287</v>
      </c>
      <c r="D13" s="42"/>
      <c r="E13" s="61"/>
      <c r="F13" s="42" t="s">
        <v>196</v>
      </c>
      <c r="G13" s="61"/>
      <c r="H13" s="42"/>
      <c r="I13" s="61"/>
      <c r="J13" s="42"/>
      <c r="K13" s="61"/>
      <c r="L13" s="42"/>
      <c r="M13" s="61"/>
      <c r="N13" s="42"/>
      <c r="O13" s="61"/>
      <c r="P13" s="42"/>
      <c r="Q13" s="61"/>
      <c r="R13" s="42"/>
      <c r="S13" s="63"/>
      <c r="T13" s="42"/>
      <c r="U13" s="61"/>
      <c r="V13" s="42"/>
      <c r="W13" s="61"/>
      <c r="X13" s="42"/>
      <c r="Y13" s="61"/>
      <c r="Z13" s="42"/>
      <c r="AA13" s="61"/>
      <c r="AB13" s="42"/>
      <c r="AC13" s="61"/>
      <c r="AD13" s="42"/>
      <c r="AE13" s="62"/>
      <c r="AF13" s="42"/>
      <c r="AG13" s="62"/>
      <c r="AH13" s="42"/>
      <c r="AI13" s="62"/>
      <c r="AJ13" s="42"/>
      <c r="AK13" s="62"/>
      <c r="AL13" s="42" t="s">
        <v>231</v>
      </c>
      <c r="AM13" s="62"/>
      <c r="AN13" s="42"/>
      <c r="AO13" s="62"/>
      <c r="AP13" s="42"/>
      <c r="AQ13" s="62"/>
      <c r="AR13" s="42"/>
      <c r="AS13" s="62"/>
      <c r="AT13" s="42"/>
      <c r="AU13" s="62"/>
      <c r="AV13" s="42"/>
      <c r="AW13" s="48"/>
      <c r="AX13" s="47"/>
      <c r="AY13" s="47"/>
      <c r="AZ13" s="47"/>
      <c r="BA13" s="47"/>
    </row>
    <row r="14" spans="1:55" ht="15.75" x14ac:dyDescent="0.25">
      <c r="A14" s="42">
        <v>9</v>
      </c>
      <c r="B14" s="58" t="s">
        <v>198</v>
      </c>
      <c r="D14" s="42"/>
      <c r="E14" s="61"/>
      <c r="F14" s="42"/>
      <c r="G14" s="61"/>
      <c r="H14" s="42"/>
      <c r="I14" s="61"/>
      <c r="J14" s="42"/>
      <c r="K14" s="61"/>
      <c r="L14" s="42"/>
      <c r="M14" s="61"/>
      <c r="N14" s="42"/>
      <c r="O14" s="61"/>
      <c r="P14" s="42"/>
      <c r="Q14" s="61"/>
      <c r="R14" s="42"/>
      <c r="S14" s="61"/>
      <c r="T14" s="42"/>
      <c r="U14" s="61"/>
      <c r="V14" s="42"/>
      <c r="W14" s="61"/>
      <c r="X14" s="42"/>
      <c r="Y14" s="61"/>
      <c r="Z14" s="42"/>
      <c r="AA14" s="61"/>
      <c r="AB14" s="42"/>
      <c r="AC14" s="61"/>
      <c r="AD14" s="42"/>
      <c r="AE14" s="62"/>
      <c r="AF14" s="42"/>
      <c r="AG14" s="62"/>
      <c r="AH14" s="42"/>
      <c r="AI14" s="62"/>
      <c r="AJ14" s="42"/>
      <c r="AK14" s="62"/>
      <c r="AL14" s="42" t="s">
        <v>229</v>
      </c>
      <c r="AM14" s="62"/>
      <c r="AN14" s="42"/>
      <c r="AO14" s="62"/>
      <c r="AP14" s="42"/>
      <c r="AQ14" s="62"/>
      <c r="AR14" s="42"/>
      <c r="AS14" s="62"/>
      <c r="AT14" s="42"/>
      <c r="AU14" s="62"/>
      <c r="AV14" s="42"/>
      <c r="AW14" s="48"/>
      <c r="AX14" s="47"/>
      <c r="AY14" s="47"/>
      <c r="AZ14" s="47"/>
      <c r="BA14" s="47"/>
    </row>
    <row r="15" spans="1:55" ht="15.75" x14ac:dyDescent="0.25">
      <c r="A15" s="42">
        <v>10</v>
      </c>
      <c r="B15" s="59" t="s">
        <v>288</v>
      </c>
      <c r="D15" s="42"/>
      <c r="E15" s="61"/>
      <c r="F15" s="42"/>
      <c r="G15" s="61"/>
      <c r="H15" s="42"/>
      <c r="I15" s="61"/>
      <c r="J15" s="42"/>
      <c r="K15" s="61"/>
      <c r="L15" s="42"/>
      <c r="M15" s="61"/>
      <c r="N15" s="42"/>
      <c r="O15" s="61"/>
      <c r="P15" s="42"/>
      <c r="Q15" s="61"/>
      <c r="R15" s="42"/>
      <c r="S15" s="61"/>
      <c r="T15" s="42"/>
      <c r="U15" s="61"/>
      <c r="V15" s="42"/>
      <c r="W15" s="61"/>
      <c r="X15" s="42"/>
      <c r="Y15" s="61"/>
      <c r="Z15" s="42"/>
      <c r="AA15" s="61"/>
      <c r="AB15" s="42"/>
      <c r="AC15" s="61"/>
      <c r="AD15" s="42"/>
      <c r="AE15" s="62"/>
      <c r="AF15" s="42"/>
      <c r="AG15" s="62"/>
      <c r="AH15" s="42"/>
      <c r="AI15" s="62"/>
      <c r="AJ15" s="42"/>
      <c r="AK15" s="62"/>
      <c r="AL15" s="42" t="s">
        <v>230</v>
      </c>
      <c r="AM15" s="62"/>
      <c r="AN15" s="42"/>
      <c r="AO15" s="62"/>
      <c r="AP15" s="42"/>
      <c r="AQ15" s="62"/>
      <c r="AR15" s="42"/>
      <c r="AS15" s="62"/>
      <c r="AT15" s="42"/>
      <c r="AU15" s="62"/>
      <c r="AV15" s="42"/>
      <c r="AW15" s="48"/>
      <c r="AX15" s="47"/>
      <c r="AY15" s="47"/>
      <c r="AZ15" s="47"/>
      <c r="BA15" s="47"/>
    </row>
    <row r="16" spans="1:55" ht="15.75" x14ac:dyDescent="0.25">
      <c r="A16" s="42">
        <v>11</v>
      </c>
      <c r="B16" s="59" t="s">
        <v>281</v>
      </c>
      <c r="D16" s="42"/>
      <c r="E16" s="61"/>
      <c r="F16" s="42"/>
      <c r="G16" s="61"/>
      <c r="H16" s="42"/>
      <c r="I16" s="61"/>
      <c r="J16" s="42"/>
      <c r="K16" s="61"/>
      <c r="L16" s="42"/>
      <c r="M16" s="61"/>
      <c r="N16" s="42"/>
      <c r="O16" s="61"/>
      <c r="P16" s="42"/>
      <c r="Q16" s="61"/>
      <c r="R16" s="42"/>
      <c r="S16" s="61"/>
      <c r="T16" s="42"/>
      <c r="U16" s="61"/>
      <c r="V16" s="42"/>
      <c r="W16" s="61"/>
      <c r="X16" s="42"/>
      <c r="Y16" s="61"/>
      <c r="Z16" s="42"/>
      <c r="AA16" s="61"/>
      <c r="AB16" s="42"/>
      <c r="AC16" s="61"/>
      <c r="AD16" s="42"/>
      <c r="AE16" s="62"/>
      <c r="AF16" s="42"/>
      <c r="AG16" s="62"/>
      <c r="AH16" s="42"/>
      <c r="AI16" s="62"/>
      <c r="AJ16" s="42"/>
      <c r="AK16" s="62"/>
      <c r="AL16" s="42"/>
      <c r="AM16" s="62"/>
      <c r="AN16" s="42"/>
      <c r="AO16" s="62"/>
      <c r="AP16" s="42"/>
      <c r="AQ16" s="62"/>
      <c r="AR16" s="42"/>
      <c r="AS16" s="62"/>
      <c r="AT16" s="42"/>
      <c r="AU16" s="62"/>
      <c r="AV16" s="42"/>
      <c r="AW16" s="48"/>
      <c r="AX16" s="47"/>
      <c r="AY16" s="47"/>
      <c r="AZ16" s="47"/>
      <c r="BA16" s="47"/>
    </row>
    <row r="17" spans="1:53" ht="15.75" x14ac:dyDescent="0.25">
      <c r="A17" s="42">
        <v>12</v>
      </c>
      <c r="B17" s="59" t="s">
        <v>185</v>
      </c>
      <c r="D17" s="47"/>
      <c r="E17" s="64"/>
      <c r="F17" s="47"/>
      <c r="G17" s="64"/>
      <c r="H17" s="47"/>
      <c r="I17" s="64"/>
      <c r="J17" s="47"/>
      <c r="K17" s="64"/>
      <c r="L17" s="47"/>
      <c r="M17" s="64"/>
      <c r="N17" s="47"/>
      <c r="O17" s="64"/>
      <c r="P17" s="47"/>
      <c r="Q17" s="64"/>
      <c r="R17" s="47"/>
      <c r="S17" s="64"/>
      <c r="T17" s="47"/>
      <c r="U17" s="64"/>
      <c r="V17" s="47"/>
      <c r="W17" s="64"/>
      <c r="X17" s="47"/>
      <c r="Y17" s="64"/>
      <c r="Z17" s="47"/>
      <c r="AA17" s="64"/>
      <c r="AB17" s="47"/>
      <c r="AC17" s="64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7"/>
      <c r="AZ17" s="47"/>
      <c r="BA17" s="47"/>
    </row>
    <row r="18" spans="1:53" ht="15.75" x14ac:dyDescent="0.25">
      <c r="A18" s="42">
        <v>13</v>
      </c>
      <c r="B18" s="58" t="s">
        <v>202</v>
      </c>
      <c r="D18" s="47"/>
      <c r="E18" s="64"/>
      <c r="F18" s="47"/>
      <c r="G18" s="64"/>
      <c r="H18" s="47"/>
      <c r="I18" s="64"/>
      <c r="J18" s="47"/>
      <c r="K18" s="64"/>
      <c r="L18" s="47"/>
      <c r="M18" s="64"/>
      <c r="N18" s="47"/>
      <c r="O18" s="64"/>
      <c r="P18" s="47"/>
      <c r="Q18" s="64"/>
      <c r="R18" s="47"/>
      <c r="S18" s="64"/>
      <c r="T18" s="47"/>
      <c r="U18" s="64"/>
      <c r="V18" s="47"/>
      <c r="W18" s="64"/>
      <c r="X18" s="47"/>
      <c r="Y18" s="64"/>
      <c r="Z18" s="47"/>
      <c r="AA18" s="64"/>
      <c r="AB18" s="47"/>
      <c r="AC18" s="64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7"/>
      <c r="AZ18" s="47"/>
      <c r="BA18" s="47"/>
    </row>
    <row r="19" spans="1:53" ht="15.75" x14ac:dyDescent="0.25">
      <c r="A19" s="42">
        <v>14</v>
      </c>
      <c r="B19" s="59" t="s">
        <v>289</v>
      </c>
      <c r="D19" s="47"/>
      <c r="E19" s="64"/>
      <c r="F19" s="47"/>
      <c r="G19" s="64"/>
      <c r="H19" s="47"/>
      <c r="I19" s="64"/>
      <c r="J19" s="47"/>
      <c r="K19" s="64"/>
      <c r="L19" s="47"/>
      <c r="M19" s="64"/>
      <c r="N19" s="47"/>
      <c r="O19" s="64"/>
      <c r="P19" s="47"/>
      <c r="Q19" s="64"/>
      <c r="R19" s="47"/>
      <c r="S19" s="64"/>
      <c r="T19" s="47"/>
      <c r="U19" s="64"/>
      <c r="V19" s="47"/>
      <c r="W19" s="64"/>
      <c r="X19" s="47"/>
      <c r="Y19" s="64"/>
      <c r="Z19" s="47"/>
      <c r="AA19" s="64"/>
      <c r="AB19" s="47"/>
      <c r="AC19" s="64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7"/>
      <c r="AZ19" s="47"/>
      <c r="BA19" s="47"/>
    </row>
    <row r="20" spans="1:53" ht="15.75" x14ac:dyDescent="0.25">
      <c r="A20" s="42">
        <v>15</v>
      </c>
      <c r="B20" s="59" t="s">
        <v>290</v>
      </c>
      <c r="D20" s="47"/>
      <c r="E20" s="64"/>
      <c r="F20" s="47"/>
      <c r="G20" s="64"/>
      <c r="H20" s="47"/>
      <c r="I20" s="64"/>
      <c r="J20" s="47"/>
      <c r="K20" s="64"/>
      <c r="L20" s="47"/>
      <c r="M20" s="64"/>
      <c r="N20" s="47"/>
      <c r="O20" s="64"/>
      <c r="P20" s="47"/>
      <c r="Q20" s="64"/>
      <c r="R20" s="47"/>
      <c r="S20" s="64"/>
      <c r="T20" s="47"/>
      <c r="U20" s="64"/>
      <c r="V20" s="47"/>
      <c r="W20" s="64"/>
      <c r="X20" s="47"/>
      <c r="Y20" s="64"/>
      <c r="Z20" s="47"/>
      <c r="AA20" s="64"/>
      <c r="AB20" s="47"/>
      <c r="AC20" s="64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7"/>
      <c r="AZ20" s="47"/>
      <c r="BA20" s="47"/>
    </row>
    <row r="21" spans="1:53" ht="15.75" x14ac:dyDescent="0.25">
      <c r="A21" s="42">
        <v>16</v>
      </c>
      <c r="B21" s="59" t="s">
        <v>291</v>
      </c>
      <c r="D21" s="47"/>
      <c r="E21" s="64"/>
      <c r="F21" s="47"/>
      <c r="G21" s="64"/>
      <c r="H21" s="47"/>
      <c r="I21" s="64"/>
      <c r="J21" s="47"/>
      <c r="K21" s="64"/>
      <c r="L21" s="47"/>
      <c r="M21" s="64"/>
      <c r="N21" s="47"/>
      <c r="O21" s="64"/>
      <c r="P21" s="47"/>
      <c r="Q21" s="64"/>
      <c r="R21" s="47"/>
      <c r="S21" s="64"/>
      <c r="T21" s="47"/>
      <c r="U21" s="64"/>
      <c r="V21" s="47"/>
      <c r="W21" s="64"/>
      <c r="X21" s="47"/>
      <c r="Y21" s="64"/>
      <c r="Z21" s="47"/>
      <c r="AA21" s="64"/>
      <c r="AB21" s="47"/>
      <c r="AC21" s="64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7"/>
      <c r="AZ21" s="47"/>
      <c r="BA21" s="47"/>
    </row>
    <row r="22" spans="1:53" ht="15.75" x14ac:dyDescent="0.25">
      <c r="A22" s="42">
        <v>17</v>
      </c>
      <c r="B22" s="59" t="s">
        <v>292</v>
      </c>
      <c r="D22" s="47"/>
      <c r="E22" s="64"/>
      <c r="F22" s="47"/>
      <c r="G22" s="64"/>
      <c r="H22" s="47"/>
      <c r="I22" s="64"/>
      <c r="J22" s="47"/>
      <c r="K22" s="64"/>
      <c r="L22" s="47"/>
      <c r="M22" s="64"/>
      <c r="N22" s="47"/>
      <c r="O22" s="64"/>
      <c r="P22" s="47"/>
      <c r="Q22" s="64"/>
      <c r="R22" s="47"/>
      <c r="S22" s="64"/>
      <c r="T22" s="47"/>
      <c r="U22" s="64"/>
      <c r="V22" s="47"/>
      <c r="W22" s="64"/>
      <c r="X22" s="47"/>
      <c r="Y22" s="64"/>
      <c r="Z22" s="47"/>
      <c r="AA22" s="64"/>
      <c r="AB22" s="47"/>
      <c r="AC22" s="64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7"/>
      <c r="AZ22" s="47"/>
      <c r="BA22" s="47"/>
    </row>
    <row r="23" spans="1:53" ht="15.75" x14ac:dyDescent="0.25">
      <c r="A23" s="42">
        <v>18</v>
      </c>
      <c r="B23" s="58" t="s">
        <v>300</v>
      </c>
    </row>
    <row r="24" spans="1:53" ht="15.75" x14ac:dyDescent="0.25">
      <c r="A24" s="42">
        <v>19</v>
      </c>
      <c r="B24" s="59" t="s">
        <v>293</v>
      </c>
    </row>
    <row r="25" spans="1:53" ht="15.75" x14ac:dyDescent="0.25">
      <c r="A25" s="42">
        <v>20</v>
      </c>
      <c r="B25" s="59" t="s">
        <v>174</v>
      </c>
    </row>
    <row r="26" spans="1:53" ht="15.75" x14ac:dyDescent="0.25">
      <c r="A26" s="42">
        <v>21</v>
      </c>
      <c r="B26" s="59" t="s">
        <v>294</v>
      </c>
    </row>
    <row r="27" spans="1:53" ht="15.75" x14ac:dyDescent="0.25">
      <c r="A27" s="42">
        <v>22</v>
      </c>
      <c r="B27" s="59" t="s">
        <v>295</v>
      </c>
    </row>
    <row r="28" spans="1:53" ht="15.75" x14ac:dyDescent="0.25">
      <c r="A28" s="42">
        <v>23</v>
      </c>
      <c r="B28" s="58" t="s">
        <v>243</v>
      </c>
    </row>
    <row r="29" spans="1:53" ht="15.75" x14ac:dyDescent="0.25">
      <c r="A29" s="42">
        <v>24</v>
      </c>
      <c r="B29" s="59" t="s">
        <v>296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178</v>
      </c>
    </row>
    <row r="5" spans="4:4" x14ac:dyDescent="0.25">
      <c r="D5" t="s">
        <v>179</v>
      </c>
    </row>
    <row r="6" spans="4:4" x14ac:dyDescent="0.25">
      <c r="D6" t="s">
        <v>180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43</v>
      </c>
    </row>
    <row r="6" spans="1:3" x14ac:dyDescent="0.25">
      <c r="B6" t="s">
        <v>44</v>
      </c>
      <c r="C6" t="s">
        <v>45</v>
      </c>
    </row>
    <row r="9" spans="1:3" x14ac:dyDescent="0.25">
      <c r="B9" t="s">
        <v>52</v>
      </c>
      <c r="C9" t="s">
        <v>46</v>
      </c>
    </row>
    <row r="10" spans="1:3" x14ac:dyDescent="0.25">
      <c r="B10" t="s">
        <v>53</v>
      </c>
    </row>
    <row r="13" spans="1:3" x14ac:dyDescent="0.25">
      <c r="B13" t="s">
        <v>51</v>
      </c>
    </row>
    <row r="14" spans="1:3" x14ac:dyDescent="0.25">
      <c r="B14" t="s">
        <v>47</v>
      </c>
      <c r="C14" t="s">
        <v>48</v>
      </c>
    </row>
    <row r="15" spans="1:3" x14ac:dyDescent="0.25">
      <c r="B15" t="s">
        <v>49</v>
      </c>
      <c r="C15" t="s">
        <v>50</v>
      </c>
    </row>
    <row r="18" spans="2:2" x14ac:dyDescent="0.25">
      <c r="B18" t="s">
        <v>54</v>
      </c>
    </row>
    <row r="20" spans="2:2" x14ac:dyDescent="0.25">
      <c r="B20" t="s">
        <v>55</v>
      </c>
    </row>
    <row r="22" spans="2:2" x14ac:dyDescent="0.25">
      <c r="B22" t="s">
        <v>56</v>
      </c>
    </row>
    <row r="24" spans="2:2" x14ac:dyDescent="0.25">
      <c r="B24" t="s">
        <v>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A14" sqref="A14"/>
    </sheetView>
  </sheetViews>
  <sheetFormatPr defaultRowHeight="15" x14ac:dyDescent="0.25"/>
  <cols>
    <col min="1" max="1" width="32.7109375" style="153" customWidth="1"/>
    <col min="2" max="2" width="0.7109375" style="153" customWidth="1"/>
    <col min="3" max="3" width="4.5703125" style="154" customWidth="1"/>
    <col min="4" max="4" width="36.5703125" style="216" customWidth="1"/>
    <col min="5" max="5" width="4.5703125" style="217" customWidth="1"/>
    <col min="6" max="6" width="18.140625" style="217" bestFit="1" customWidth="1"/>
    <col min="7" max="7" width="27.28515625" style="217" bestFit="1" customWidth="1"/>
    <col min="8" max="8" width="30.5703125" style="217" bestFit="1" customWidth="1"/>
    <col min="9" max="9" width="11" style="217" customWidth="1"/>
    <col min="10" max="10" width="17.7109375" style="217" customWidth="1"/>
    <col min="11" max="11" width="27.28515625" style="217" customWidth="1"/>
    <col min="12" max="12" width="10.7109375" style="217" customWidth="1"/>
    <col min="13" max="13" width="11.85546875" style="217" customWidth="1"/>
    <col min="14" max="15" width="18.28515625" style="217" customWidth="1"/>
    <col min="16" max="16384" width="9.140625" style="217"/>
  </cols>
  <sheetData>
    <row r="1" spans="1:10" ht="24" customHeight="1" x14ac:dyDescent="0.25">
      <c r="A1" s="170" t="s">
        <v>976</v>
      </c>
      <c r="C1" s="217"/>
      <c r="D1" s="191" t="s">
        <v>401</v>
      </c>
      <c r="E1" s="191"/>
      <c r="F1" s="191"/>
      <c r="G1" s="191"/>
      <c r="H1" s="191"/>
      <c r="I1" s="191"/>
      <c r="J1" s="191"/>
    </row>
    <row r="2" spans="1:10" ht="3.75" customHeight="1" x14ac:dyDescent="0.25">
      <c r="D2" s="217"/>
    </row>
    <row r="3" spans="1:10" ht="18.75" x14ac:dyDescent="0.25">
      <c r="A3" s="159" t="s">
        <v>8</v>
      </c>
      <c r="D3" s="44" t="s">
        <v>981</v>
      </c>
      <c r="H3" s="207"/>
    </row>
    <row r="4" spans="1:10" ht="18.75" x14ac:dyDescent="0.25">
      <c r="A4" s="160" t="s">
        <v>115</v>
      </c>
      <c r="D4" s="27" t="s">
        <v>138</v>
      </c>
      <c r="F4" s="218"/>
      <c r="G4" s="218"/>
      <c r="H4" s="219"/>
      <c r="I4" s="218"/>
    </row>
    <row r="5" spans="1:10" ht="18.75" x14ac:dyDescent="0.25">
      <c r="A5" s="161" t="s">
        <v>102</v>
      </c>
      <c r="D5" s="27" t="s">
        <v>949</v>
      </c>
      <c r="F5" s="218"/>
      <c r="G5" s="218"/>
      <c r="H5" s="219"/>
      <c r="I5" s="218"/>
    </row>
    <row r="6" spans="1:10" ht="18.75" x14ac:dyDescent="0.25">
      <c r="A6" s="162" t="s">
        <v>103</v>
      </c>
      <c r="D6" s="27" t="s">
        <v>967</v>
      </c>
      <c r="F6" s="218"/>
      <c r="G6" s="218"/>
      <c r="H6" s="218"/>
      <c r="I6" s="218"/>
    </row>
    <row r="7" spans="1:10" ht="18.75" x14ac:dyDescent="0.25">
      <c r="A7" s="163" t="s">
        <v>104</v>
      </c>
      <c r="D7" s="27" t="s">
        <v>950</v>
      </c>
      <c r="F7" s="218"/>
      <c r="G7" s="218"/>
      <c r="H7" s="218"/>
      <c r="I7" s="218"/>
    </row>
    <row r="8" spans="1:10" ht="18.75" x14ac:dyDescent="0.25">
      <c r="A8" s="146" t="s">
        <v>110</v>
      </c>
      <c r="D8" s="27" t="s">
        <v>321</v>
      </c>
      <c r="F8" s="218"/>
      <c r="G8" s="218"/>
      <c r="H8" s="218"/>
      <c r="I8" s="218"/>
    </row>
    <row r="9" spans="1:10" ht="18.75" x14ac:dyDescent="0.25">
      <c r="A9" s="164" t="s">
        <v>89</v>
      </c>
      <c r="D9" s="27" t="s">
        <v>956</v>
      </c>
      <c r="F9" s="218"/>
      <c r="G9" s="218"/>
      <c r="H9" s="218"/>
      <c r="I9" s="218"/>
    </row>
    <row r="10" spans="1:10" ht="18.75" x14ac:dyDescent="0.25">
      <c r="A10" s="165" t="s">
        <v>111</v>
      </c>
      <c r="D10" s="27" t="s">
        <v>959</v>
      </c>
      <c r="F10" s="218"/>
      <c r="G10" s="218"/>
      <c r="H10" s="218"/>
      <c r="I10" s="218"/>
    </row>
    <row r="11" spans="1:10" ht="18.75" x14ac:dyDescent="0.25">
      <c r="A11" s="166" t="s">
        <v>105</v>
      </c>
      <c r="D11" s="27" t="s">
        <v>960</v>
      </c>
      <c r="F11" s="218"/>
      <c r="G11" s="218"/>
      <c r="H11" s="218"/>
    </row>
    <row r="12" spans="1:10" ht="18.75" x14ac:dyDescent="0.25">
      <c r="A12" s="167" t="s">
        <v>98</v>
      </c>
      <c r="D12" s="27" t="s">
        <v>961</v>
      </c>
      <c r="F12" s="218"/>
      <c r="G12" s="218"/>
      <c r="H12" s="218"/>
    </row>
    <row r="13" spans="1:10" ht="15.75" x14ac:dyDescent="0.25">
      <c r="A13" s="209"/>
      <c r="D13" s="27" t="s">
        <v>965</v>
      </c>
      <c r="F13" s="218"/>
      <c r="G13" s="218"/>
      <c r="H13" s="218"/>
    </row>
    <row r="14" spans="1:10" ht="15.75" x14ac:dyDescent="0.25">
      <c r="A14" s="209"/>
      <c r="D14" s="27" t="s">
        <v>977</v>
      </c>
      <c r="F14" s="218"/>
      <c r="G14" s="218"/>
      <c r="H14" s="218"/>
    </row>
    <row r="15" spans="1:10" ht="15.75" x14ac:dyDescent="0.25">
      <c r="A15" s="209"/>
      <c r="D15" s="27" t="s">
        <v>978</v>
      </c>
      <c r="F15" s="218"/>
      <c r="G15" s="218"/>
      <c r="H15" s="218"/>
    </row>
    <row r="16" spans="1:10" ht="15.75" x14ac:dyDescent="0.25">
      <c r="A16" s="209"/>
      <c r="D16" s="27" t="s">
        <v>979</v>
      </c>
      <c r="F16" s="218"/>
      <c r="G16" s="218"/>
      <c r="H16" s="218"/>
    </row>
    <row r="17" spans="1:8" ht="15.75" x14ac:dyDescent="0.25">
      <c r="A17" s="209"/>
      <c r="D17" s="27" t="s">
        <v>980</v>
      </c>
      <c r="F17" s="218"/>
      <c r="G17" s="218"/>
      <c r="H17" s="218"/>
    </row>
    <row r="18" spans="1:8" ht="15.75" x14ac:dyDescent="0.25">
      <c r="A18" s="209"/>
      <c r="D18" s="27"/>
    </row>
    <row r="19" spans="1:8" ht="15.75" x14ac:dyDescent="0.25">
      <c r="A19" s="209"/>
      <c r="D19" s="27"/>
    </row>
    <row r="20" spans="1:8" ht="15.75" x14ac:dyDescent="0.25">
      <c r="A20" s="209"/>
      <c r="D20" s="27"/>
    </row>
    <row r="21" spans="1:8" ht="15.75" x14ac:dyDescent="0.25">
      <c r="A21" s="209"/>
      <c r="D21" s="27"/>
    </row>
    <row r="22" spans="1:8" ht="15.75" x14ac:dyDescent="0.25">
      <c r="A22" s="209"/>
      <c r="D22" s="27"/>
    </row>
    <row r="23" spans="1:8" ht="15.75" x14ac:dyDescent="0.25">
      <c r="A23" s="209"/>
      <c r="D23" s="27"/>
    </row>
    <row r="24" spans="1:8" ht="15.75" x14ac:dyDescent="0.25">
      <c r="D24" s="27"/>
    </row>
    <row r="25" spans="1:8" ht="15.75" x14ac:dyDescent="0.25">
      <c r="D25" s="27"/>
    </row>
    <row r="26" spans="1:8" ht="15.75" x14ac:dyDescent="0.25">
      <c r="D26" s="27"/>
    </row>
    <row r="27" spans="1:8" ht="15.75" x14ac:dyDescent="0.25">
      <c r="D27" s="27"/>
    </row>
    <row r="28" spans="1:8" ht="15.75" x14ac:dyDescent="0.25">
      <c r="D28" s="27"/>
    </row>
    <row r="29" spans="1:8" ht="15.75" x14ac:dyDescent="0.25">
      <c r="D29" s="27"/>
    </row>
    <row r="30" spans="1:8" ht="15.75" x14ac:dyDescent="0.25">
      <c r="D30" s="27"/>
    </row>
    <row r="31" spans="1:8" ht="15.75" x14ac:dyDescent="0.25">
      <c r="D31" s="27"/>
    </row>
    <row r="32" spans="1:8" ht="15.75" x14ac:dyDescent="0.25">
      <c r="D32" s="27"/>
    </row>
    <row r="33" spans="4:4" ht="15.75" x14ac:dyDescent="0.25">
      <c r="D33" s="27"/>
    </row>
    <row r="34" spans="4:4" ht="15.75" x14ac:dyDescent="0.25">
      <c r="D34" s="27"/>
    </row>
    <row r="35" spans="4:4" ht="15.75" x14ac:dyDescent="0.25">
      <c r="D35" s="27"/>
    </row>
    <row r="36" spans="4:4" ht="15.75" x14ac:dyDescent="0.25">
      <c r="D36" s="27"/>
    </row>
    <row r="37" spans="4:4" ht="15.75" x14ac:dyDescent="0.25">
      <c r="D37" s="27"/>
    </row>
    <row r="38" spans="4:4" ht="15.75" x14ac:dyDescent="0.25">
      <c r="D38" s="27"/>
    </row>
    <row r="39" spans="4:4" ht="15.75" x14ac:dyDescent="0.25">
      <c r="D39" s="27"/>
    </row>
    <row r="40" spans="4:4" ht="15.75" x14ac:dyDescent="0.25">
      <c r="D40" s="27"/>
    </row>
    <row r="41" spans="4:4" ht="15.75" x14ac:dyDescent="0.25">
      <c r="D41" s="27"/>
    </row>
    <row r="42" spans="4:4" ht="15.75" x14ac:dyDescent="0.25">
      <c r="D42" s="27"/>
    </row>
    <row r="43" spans="4:4" ht="15.75" x14ac:dyDescent="0.25">
      <c r="D43" s="27"/>
    </row>
    <row r="44" spans="4:4" ht="15.75" x14ac:dyDescent="0.25">
      <c r="D44" s="27"/>
    </row>
    <row r="45" spans="4:4" ht="15.75" x14ac:dyDescent="0.25">
      <c r="D45" s="27"/>
    </row>
    <row r="46" spans="4:4" ht="15.75" x14ac:dyDescent="0.25">
      <c r="D46" s="27"/>
    </row>
    <row r="47" spans="4:4" ht="15.75" x14ac:dyDescent="0.25">
      <c r="D47" s="27"/>
    </row>
    <row r="48" spans="4:4" ht="15.75" x14ac:dyDescent="0.25">
      <c r="D48" s="27"/>
    </row>
    <row r="49" spans="4:4" ht="15.75" x14ac:dyDescent="0.25">
      <c r="D49" s="27"/>
    </row>
    <row r="50" spans="4:4" ht="15.75" x14ac:dyDescent="0.25">
      <c r="D50" s="27"/>
    </row>
    <row r="51" spans="4:4" ht="15.75" x14ac:dyDescent="0.25">
      <c r="D51" s="27"/>
    </row>
    <row r="52" spans="4:4" ht="15.75" x14ac:dyDescent="0.25">
      <c r="D52" s="27"/>
    </row>
    <row r="53" spans="4:4" ht="15.75" x14ac:dyDescent="0.25">
      <c r="D53" s="27"/>
    </row>
    <row r="54" spans="4:4" ht="15.75" x14ac:dyDescent="0.25">
      <c r="D54" s="27"/>
    </row>
    <row r="55" spans="4:4" ht="15.75" x14ac:dyDescent="0.25">
      <c r="D55" s="27"/>
    </row>
    <row r="56" spans="4:4" ht="15.75" x14ac:dyDescent="0.25">
      <c r="D56" s="27"/>
    </row>
    <row r="57" spans="4:4" ht="15.75" x14ac:dyDescent="0.25">
      <c r="D57" s="27"/>
    </row>
    <row r="58" spans="4:4" ht="15.75" x14ac:dyDescent="0.25">
      <c r="D58" s="27"/>
    </row>
    <row r="59" spans="4:4" ht="15.75" x14ac:dyDescent="0.25">
      <c r="D59" s="27"/>
    </row>
    <row r="60" spans="4:4" ht="15.75" x14ac:dyDescent="0.25">
      <c r="D60" s="27"/>
    </row>
    <row r="61" spans="4:4" ht="15.75" x14ac:dyDescent="0.25">
      <c r="D61" s="27"/>
    </row>
    <row r="62" spans="4:4" ht="15.75" x14ac:dyDescent="0.25">
      <c r="D62" s="27"/>
    </row>
    <row r="63" spans="4:4" ht="15.75" x14ac:dyDescent="0.25">
      <c r="D63" s="27"/>
    </row>
    <row r="64" spans="4:4" ht="15.75" x14ac:dyDescent="0.25">
      <c r="D64" s="27"/>
    </row>
    <row r="65" spans="4:4" ht="15.75" x14ac:dyDescent="0.25">
      <c r="D65" s="27"/>
    </row>
  </sheetData>
  <mergeCells count="1">
    <mergeCell ref="D1:J1"/>
  </mergeCells>
  <phoneticPr fontId="29" type="noConversion"/>
  <hyperlinks>
    <hyperlink ref="A3" location="فهرست!A1" display="فهرست" xr:uid="{8FF52D09-3C28-4081-AFD1-48F9B29B46EB}"/>
    <hyperlink ref="A5" location="'مدیریت وام و اقساط'!A1" display="وام و اقساط" xr:uid="{15DFB650-48CC-48A9-A3BD-DCB149A21626}"/>
    <hyperlink ref="A6" location="'مدیریت چک‌ها'!A1" display="چک‌ها" xr:uid="{47D0D153-95B7-4E0F-8364-8DA241F271D3}"/>
    <hyperlink ref="A7" location="'مدیریت بدهی‌ها-طلب‌ها'!A1" display="بدهی‌ها و طلب‌ها" xr:uid="{9BFEC45E-85CF-4A1F-8460-49AF35C93893}"/>
    <hyperlink ref="A8" location="'برنامه ریزی پرداخت‌ها'!A1" display="برنامه ریزی" xr:uid="{20D80FBE-1D5B-42F4-8CFC-62528609909A}"/>
    <hyperlink ref="A9" location="تقویم!A1" display="تقویم" xr:uid="{4D6DC6F8-F885-4837-B29A-C029A724DBE4}"/>
    <hyperlink ref="A10" location="'برنامه و بودجه بندی'!A1" display="بودجه بندی" xr:uid="{7BC75EF9-D3A9-4B73-A677-7AC8E23E723E}"/>
    <hyperlink ref="A11" location="'گزارش فعالیت‌های ماه جاری'!A1" display="ماه جاری" xr:uid="{B91F396F-8382-4E18-8886-B54904080CBE}"/>
    <hyperlink ref="A12" location="'جست و جو'!A1" display="جست و جو" xr:uid="{E1AE5110-42DE-421D-99BC-7FFB24220202}"/>
    <hyperlink ref="A4" location="تراکنش‌ها!A1" display="تراکنش‌ها" xr:uid="{858DF72D-ABCF-42EA-8168-A5D648A34C9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4"/>
  <sheetViews>
    <sheetView showGridLines="0" rightToLeft="1" workbookViewId="0">
      <selection activeCell="E27" sqref="E27"/>
    </sheetView>
  </sheetViews>
  <sheetFormatPr defaultRowHeight="15" x14ac:dyDescent="0.25"/>
  <cols>
    <col min="1" max="1" width="32.7109375" style="153" customWidth="1"/>
    <col min="2" max="2" width="0.7109375" style="153" customWidth="1"/>
    <col min="3" max="3" width="4.5703125" style="154" customWidth="1"/>
    <col min="4" max="4" width="5.85546875" style="154" customWidth="1"/>
    <col min="5" max="5" width="44" style="154" customWidth="1"/>
    <col min="6" max="6" width="28.5703125" style="154" customWidth="1"/>
    <col min="7" max="7" width="18.28515625" style="154" customWidth="1"/>
    <col min="8" max="8" width="36.5703125" style="154" customWidth="1"/>
    <col min="9" max="9" width="32" style="154" customWidth="1"/>
    <col min="10" max="10" width="18.28515625" style="154" customWidth="1"/>
    <col min="11" max="11" width="34.28515625" style="154" customWidth="1"/>
    <col min="12" max="12" width="30" style="154" customWidth="1"/>
    <col min="13" max="13" width="31.42578125" style="154" customWidth="1"/>
    <col min="14" max="14" width="39.42578125" style="154" customWidth="1"/>
    <col min="15" max="15" width="21.42578125" style="154" customWidth="1"/>
    <col min="16" max="16" width="24.42578125" style="154" bestFit="1" customWidth="1"/>
    <col min="17" max="17" width="18.28515625" style="154" customWidth="1"/>
    <col min="18" max="19" width="9.140625" style="154"/>
    <col min="20" max="16384" width="9.140625" style="158"/>
  </cols>
  <sheetData>
    <row r="1" spans="1:18" ht="24" customHeight="1" x14ac:dyDescent="0.25">
      <c r="A1" s="170" t="s">
        <v>398</v>
      </c>
      <c r="D1" s="191" t="s">
        <v>401</v>
      </c>
      <c r="E1" s="191"/>
      <c r="F1" s="191"/>
      <c r="G1" s="191"/>
      <c r="H1" s="191"/>
      <c r="I1" s="191"/>
      <c r="J1" s="191"/>
      <c r="K1" s="155"/>
      <c r="L1" s="156"/>
      <c r="M1" s="157"/>
    </row>
    <row r="2" spans="1:18" ht="3.75" customHeight="1" x14ac:dyDescent="0.25">
      <c r="F2" s="154" t="s">
        <v>3</v>
      </c>
    </row>
    <row r="3" spans="1:18" ht="18.75" x14ac:dyDescent="0.25">
      <c r="A3" s="159" t="s">
        <v>8</v>
      </c>
      <c r="D3" s="120" t="s">
        <v>124</v>
      </c>
      <c r="E3" s="120" t="s">
        <v>117</v>
      </c>
      <c r="F3" s="120" t="s">
        <v>128</v>
      </c>
      <c r="G3" s="120" t="s">
        <v>129</v>
      </c>
      <c r="H3" s="120" t="s">
        <v>130</v>
      </c>
      <c r="I3" s="120" t="s">
        <v>131</v>
      </c>
      <c r="J3" s="120" t="s">
        <v>132</v>
      </c>
      <c r="K3" s="120" t="s">
        <v>133</v>
      </c>
      <c r="L3" s="120" t="s">
        <v>134</v>
      </c>
    </row>
    <row r="4" spans="1:18" ht="18.75" x14ac:dyDescent="0.25">
      <c r="A4" s="160" t="s">
        <v>115</v>
      </c>
      <c r="D4" s="27">
        <v>0</v>
      </c>
      <c r="E4" s="27" t="s">
        <v>119</v>
      </c>
      <c r="F4" s="168">
        <v>1234567890</v>
      </c>
      <c r="G4" s="31" t="s">
        <v>947</v>
      </c>
      <c r="H4" s="169" t="s">
        <v>948</v>
      </c>
      <c r="I4" s="31" t="s">
        <v>135</v>
      </c>
      <c r="J4" s="27"/>
      <c r="K4" s="27"/>
      <c r="L4" s="27"/>
    </row>
    <row r="5" spans="1:18" ht="24" customHeight="1" x14ac:dyDescent="0.25">
      <c r="A5" s="161" t="s">
        <v>102</v>
      </c>
    </row>
    <row r="6" spans="1:18" ht="34.5" customHeight="1" x14ac:dyDescent="0.25">
      <c r="A6" s="162" t="s">
        <v>103</v>
      </c>
    </row>
    <row r="7" spans="1:18" ht="18.75" x14ac:dyDescent="0.25">
      <c r="A7" s="163" t="s">
        <v>104</v>
      </c>
      <c r="D7" s="171"/>
      <c r="E7" s="171"/>
      <c r="F7" s="171"/>
      <c r="G7" s="171"/>
      <c r="H7" s="171"/>
      <c r="I7" s="171"/>
      <c r="J7" s="171"/>
    </row>
    <row r="8" spans="1:18" ht="18.75" x14ac:dyDescent="0.25">
      <c r="A8" s="146" t="s">
        <v>110</v>
      </c>
      <c r="D8" s="121" t="s">
        <v>124</v>
      </c>
      <c r="E8" s="121" t="s">
        <v>125</v>
      </c>
      <c r="F8" s="121" t="s">
        <v>951</v>
      </c>
      <c r="G8" s="122" t="s">
        <v>127</v>
      </c>
      <c r="H8" s="121" t="s">
        <v>330</v>
      </c>
      <c r="I8" s="121" t="s">
        <v>329</v>
      </c>
      <c r="J8" s="121" t="s">
        <v>331</v>
      </c>
      <c r="K8" s="121" t="s">
        <v>332</v>
      </c>
      <c r="L8" s="121" t="s">
        <v>399</v>
      </c>
      <c r="M8" s="121" t="s">
        <v>126</v>
      </c>
      <c r="N8" s="121" t="s">
        <v>120</v>
      </c>
      <c r="O8" s="121" t="s">
        <v>400</v>
      </c>
      <c r="P8" s="123" t="s">
        <v>121</v>
      </c>
      <c r="Q8" s="123" t="s">
        <v>136</v>
      </c>
      <c r="R8" s="121" t="s">
        <v>122</v>
      </c>
    </row>
    <row r="9" spans="1:18" ht="18.75" x14ac:dyDescent="0.25">
      <c r="A9" s="164" t="s">
        <v>89</v>
      </c>
      <c r="D9" s="27">
        <v>0</v>
      </c>
      <c r="E9" s="27" t="s">
        <v>138</v>
      </c>
      <c r="F9" s="27" t="s">
        <v>958</v>
      </c>
      <c r="G9" s="25">
        <v>0</v>
      </c>
      <c r="H9" s="172">
        <f>SUMIF([1]!Tarakonesh[پرداخت کننده],FinancialAccountsTable[[#This Row],[نام حساب]],[1]!Tarakonesh[مبلغ (ریال)])</f>
        <v>0</v>
      </c>
      <c r="I9" s="172">
        <f>SUMIF([1]!Tarakonesh[دریافت کننده],FinancialAccountsTable[[#This Row],[نام حساب]],[1]!Tarakonesh[مبلغ (ریال)])</f>
        <v>0</v>
      </c>
      <c r="J9" s="172">
        <f>(FinancialAccountsTable[[#This Row],[جمع دریافتی]]+FinancialAccountsTable[[#This Row],[موجودی اولیه]])-FinancialAccountsTable[[#This Row],[جمع پرداختی]]</f>
        <v>0</v>
      </c>
      <c r="K9" s="139" t="str">
        <f>IF(FinancialAccountsTable[[#This Row],[مانده]]=0,"",IF(FinancialAccountsTable[[#This Row],[مانده]]&gt;0,"بدهکار","بستانکار"))</f>
        <v/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 x14ac:dyDescent="0.25">
      <c r="A10" s="165" t="s">
        <v>111</v>
      </c>
      <c r="D10" s="27">
        <v>1</v>
      </c>
      <c r="E10" s="27" t="s">
        <v>949</v>
      </c>
      <c r="F10" s="27" t="s">
        <v>955</v>
      </c>
      <c r="G10" s="25">
        <v>0</v>
      </c>
      <c r="H10" s="172">
        <f>SUMIF([1]!Tarakonesh[پرداخت کننده],FinancialAccountsTable[[#This Row],[نام حساب]],[1]!Tarakonesh[مبلغ (ریال)])</f>
        <v>0</v>
      </c>
      <c r="I10" s="172">
        <f>SUMIF([1]!Tarakonesh[دریافت کننده],FinancialAccountsTable[[#This Row],[نام حساب]],[1]!Tarakonesh[مبلغ (ریال)])</f>
        <v>0</v>
      </c>
      <c r="J10" s="172">
        <f>(FinancialAccountsTable[[#This Row],[جمع دریافتی]]+FinancialAccountsTable[[#This Row],[موجودی اولیه]])-FinancialAccountsTable[[#This Row],[جمع پرداختی]]</f>
        <v>0</v>
      </c>
      <c r="K10" s="139" t="str">
        <f>IF(FinancialAccountsTable[[#This Row],[مانده]]=0,"",IF(FinancialAccountsTable[[#This Row],[مانده]]&gt;0,"بدهکار","بستانکار"))</f>
        <v/>
      </c>
      <c r="L10" s="27" t="s">
        <v>968</v>
      </c>
      <c r="M10" s="27" t="s">
        <v>973</v>
      </c>
      <c r="N10" s="27"/>
      <c r="O10" s="27"/>
      <c r="P10" s="31"/>
      <c r="Q10" s="31"/>
      <c r="R10" s="27"/>
    </row>
    <row r="11" spans="1:18" ht="31.5" x14ac:dyDescent="0.25">
      <c r="A11" s="166" t="s">
        <v>105</v>
      </c>
      <c r="D11" s="27">
        <v>2</v>
      </c>
      <c r="E11" s="27" t="s">
        <v>967</v>
      </c>
      <c r="F11" s="27" t="s">
        <v>952</v>
      </c>
      <c r="G11" s="25">
        <v>0</v>
      </c>
      <c r="H11" s="172">
        <f>SUMIF([1]!Tarakonesh[پرداخت کننده],FinancialAccountsTable[[#This Row],[نام حساب]],[1]!Tarakonesh[مبلغ (ریال)])</f>
        <v>0</v>
      </c>
      <c r="I11" s="172">
        <f>SUMIF([1]!Tarakonesh[دریافت کننده],FinancialAccountsTable[[#This Row],[نام حساب]],[1]!Tarakonesh[مبلغ (ریال)])</f>
        <v>0</v>
      </c>
      <c r="J11" s="172">
        <f>(FinancialAccountsTable[[#This Row],[جمع دریافتی]]+FinancialAccountsTable[[#This Row],[موجودی اولیه]])-FinancialAccountsTable[[#This Row],[جمع پرداختی]]</f>
        <v>0</v>
      </c>
      <c r="K11" s="139" t="str">
        <f>IF(FinancialAccountsTable[[#This Row],[مانده]]=0,"",IF(FinancialAccountsTable[[#This Row],[مانده]]&gt;0,"بدهکار","بستانکار"))</f>
        <v/>
      </c>
      <c r="L11" s="27" t="s">
        <v>969</v>
      </c>
      <c r="M11" s="27"/>
      <c r="N11" s="27"/>
      <c r="O11" s="27"/>
      <c r="P11" s="31"/>
      <c r="Q11" s="31"/>
      <c r="R11" s="27"/>
    </row>
    <row r="12" spans="1:18" ht="24" customHeight="1" x14ac:dyDescent="0.25">
      <c r="A12" s="167" t="s">
        <v>98</v>
      </c>
      <c r="D12" s="27">
        <v>3</v>
      </c>
      <c r="E12" s="27" t="s">
        <v>950</v>
      </c>
      <c r="F12" s="27" t="s">
        <v>953</v>
      </c>
      <c r="G12" s="25">
        <v>0</v>
      </c>
      <c r="H12" s="172">
        <f>SUMIF([1]!Tarakonesh[پرداخت کننده],FinancialAccountsTable[[#This Row],[نام حساب]],[1]!Tarakonesh[مبلغ (ریال)])</f>
        <v>0</v>
      </c>
      <c r="I12" s="172">
        <f>SUMIF([1]!Tarakonesh[دریافت کننده],FinancialAccountsTable[[#This Row],[نام حساب]],[1]!Tarakonesh[مبلغ (ریال)])</f>
        <v>0</v>
      </c>
      <c r="J12" s="172">
        <f>(FinancialAccountsTable[[#This Row],[جمع دریافتی]]+FinancialAccountsTable[[#This Row],[موجودی اولیه]])-FinancialAccountsTable[[#This Row],[جمع پرداختی]]</f>
        <v>0</v>
      </c>
      <c r="K12" s="139" t="str">
        <f>IF(FinancialAccountsTable[[#This Row],[مانده]]=0,"",IF(FinancialAccountsTable[[#This Row],[مانده]]&gt;0,"بدهکار","بستانکار"))</f>
        <v/>
      </c>
      <c r="L12" s="27" t="s">
        <v>970</v>
      </c>
      <c r="M12" s="27"/>
      <c r="N12" s="27"/>
      <c r="O12" s="27"/>
      <c r="P12" s="31"/>
      <c r="Q12" s="31"/>
      <c r="R12" s="27"/>
    </row>
    <row r="13" spans="1:18" ht="24" customHeight="1" x14ac:dyDescent="0.25">
      <c r="A13" s="124"/>
      <c r="D13" s="27">
        <v>4</v>
      </c>
      <c r="E13" s="27" t="s">
        <v>321</v>
      </c>
      <c r="F13" s="27" t="s">
        <v>954</v>
      </c>
      <c r="G13" s="25">
        <v>0</v>
      </c>
      <c r="H13" s="172">
        <f>SUMIF([1]!Tarakonesh[پرداخت کننده],FinancialAccountsTable[[#This Row],[نام حساب]],[1]!Tarakonesh[مبلغ (ریال)])</f>
        <v>0</v>
      </c>
      <c r="I13" s="172">
        <f>SUMIF([1]!Tarakonesh[دریافت کننده],FinancialAccountsTable[[#This Row],[نام حساب]],[1]!Tarakonesh[مبلغ (ریال)])</f>
        <v>0</v>
      </c>
      <c r="J13" s="172">
        <f>(FinancialAccountsTable[[#This Row],[جمع دریافتی]]+FinancialAccountsTable[[#This Row],[موجودی اولیه]])-FinancialAccountsTable[[#This Row],[جمع پرداختی]]</f>
        <v>0</v>
      </c>
      <c r="K13" s="139" t="str">
        <f>IF(FinancialAccountsTable[[#This Row],[مانده]]=0,"",IF(FinancialAccountsTable[[#This Row],[مانده]]&gt;0,"بدهکار","بستانکار"))</f>
        <v/>
      </c>
      <c r="L13" s="27" t="s">
        <v>971</v>
      </c>
      <c r="M13" s="27"/>
      <c r="N13" s="27"/>
      <c r="O13" s="27"/>
      <c r="P13" s="31"/>
      <c r="Q13" s="31"/>
      <c r="R13" s="27"/>
    </row>
    <row r="14" spans="1:18" ht="34.5" customHeight="1" x14ac:dyDescent="0.25">
      <c r="A14" s="124"/>
      <c r="D14" s="27">
        <v>5</v>
      </c>
      <c r="E14" s="27" t="s">
        <v>956</v>
      </c>
      <c r="F14" s="27" t="s">
        <v>957</v>
      </c>
      <c r="G14" s="25">
        <v>0</v>
      </c>
      <c r="H14" s="172">
        <f>SUMIF([1]!Tarakonesh[پرداخت کننده],FinancialAccountsTable[[#This Row],[نام حساب]],[1]!Tarakonesh[مبلغ (ریال)])</f>
        <v>0</v>
      </c>
      <c r="I14" s="172">
        <f>SUMIF([1]!Tarakonesh[دریافت کننده],FinancialAccountsTable[[#This Row],[نام حساب]],[1]!Tarakonesh[مبلغ (ریال)])</f>
        <v>0</v>
      </c>
      <c r="J14" s="172">
        <f>(FinancialAccountsTable[[#This Row],[جمع دریافتی]]+FinancialAccountsTable[[#This Row],[موجودی اولیه]])-FinancialAccountsTable[[#This Row],[جمع پرداختی]]</f>
        <v>0</v>
      </c>
      <c r="K14" s="139" t="str">
        <f>IF(FinancialAccountsTable[[#This Row],[مانده]]=0,"",IF(FinancialAccountsTable[[#This Row],[مانده]]&gt;0,"بدهکار","بستانکار"))</f>
        <v/>
      </c>
      <c r="L14" s="27" t="s">
        <v>972</v>
      </c>
      <c r="M14" s="27"/>
      <c r="N14" s="27"/>
      <c r="O14" s="27"/>
      <c r="P14" s="31"/>
      <c r="Q14" s="31"/>
      <c r="R14" s="27"/>
    </row>
    <row r="15" spans="1:18" ht="24" customHeight="1" x14ac:dyDescent="0.25">
      <c r="A15" s="124"/>
      <c r="D15" s="27">
        <v>6</v>
      </c>
      <c r="E15" s="27" t="s">
        <v>959</v>
      </c>
      <c r="F15" s="27" t="s">
        <v>964</v>
      </c>
      <c r="G15" s="25">
        <v>0</v>
      </c>
      <c r="H15" s="172">
        <f>SUMIF([1]!Tarakonesh[پرداخت کننده],FinancialAccountsTable[[#This Row],[نام حساب]],[1]!Tarakonesh[مبلغ (ریال)])</f>
        <v>0</v>
      </c>
      <c r="I15" s="172">
        <f>SUMIF([1]!Tarakonesh[دریافت کننده],FinancialAccountsTable[[#This Row],[نام حساب]],[1]!Tarakonesh[مبلغ (ریال)])</f>
        <v>0</v>
      </c>
      <c r="J15" s="172">
        <f>(FinancialAccountsTable[[#This Row],[جمع دریافتی]]+FinancialAccountsTable[[#This Row],[موجودی اولیه]])-FinancialAccountsTable[[#This Row],[جمع پرداختی]]</f>
        <v>0</v>
      </c>
      <c r="K15" s="173" t="str">
        <f>IF(FinancialAccountsTable[[#This Row],[مانده]]=0,"",IF(FinancialAccountsTable[[#This Row],[مانده]]&gt;0,"بدهکار","بستانکار"))</f>
        <v/>
      </c>
      <c r="L15" s="27"/>
      <c r="M15" s="27"/>
      <c r="N15" s="27"/>
      <c r="O15" s="27"/>
      <c r="P15" s="31"/>
      <c r="Q15" s="31"/>
      <c r="R15" s="27"/>
    </row>
    <row r="16" spans="1:18" ht="24" customHeight="1" x14ac:dyDescent="0.25">
      <c r="A16" s="124"/>
      <c r="D16" s="27">
        <v>7</v>
      </c>
      <c r="E16" s="27" t="s">
        <v>960</v>
      </c>
      <c r="F16" s="27" t="s">
        <v>962</v>
      </c>
      <c r="G16" s="25">
        <v>0</v>
      </c>
      <c r="H16" s="172">
        <f>SUMIF([1]!Tarakonesh[پرداخت کننده],FinancialAccountsTable[[#This Row],[نام حساب]],[1]!Tarakonesh[مبلغ (ریال)])</f>
        <v>0</v>
      </c>
      <c r="I16" s="172">
        <f>SUMIF([1]!Tarakonesh[دریافت کننده],FinancialAccountsTable[[#This Row],[نام حساب]],[1]!Tarakonesh[مبلغ (ریال)])</f>
        <v>0</v>
      </c>
      <c r="J16" s="172">
        <f>(FinancialAccountsTable[[#This Row],[جمع دریافتی]]+FinancialAccountsTable[[#This Row],[موجودی اولیه]])-FinancialAccountsTable[[#This Row],[جمع پرداختی]]</f>
        <v>0</v>
      </c>
      <c r="K16" s="173" t="str">
        <f>IF(FinancialAccountsTable[[#This Row],[مانده]]=0,"",IF(FinancialAccountsTable[[#This Row],[مانده]]&gt;0,"بدهکار","بستانکار"))</f>
        <v/>
      </c>
      <c r="L16" s="27"/>
      <c r="M16" s="27"/>
      <c r="N16" s="27"/>
      <c r="O16" s="27"/>
      <c r="P16" s="31"/>
      <c r="Q16" s="31"/>
      <c r="R16" s="27"/>
    </row>
    <row r="17" spans="1:18" ht="24" customHeight="1" x14ac:dyDescent="0.25">
      <c r="A17" s="124"/>
      <c r="D17" s="27">
        <v>8</v>
      </c>
      <c r="E17" s="27" t="s">
        <v>961</v>
      </c>
      <c r="F17" s="27" t="s">
        <v>963</v>
      </c>
      <c r="G17" s="25">
        <v>0</v>
      </c>
      <c r="H17" s="172">
        <f>SUMIF([1]!Tarakonesh[پرداخت کننده],FinancialAccountsTable[[#This Row],[نام حساب]],[1]!Tarakonesh[مبلغ (ریال)])</f>
        <v>0</v>
      </c>
      <c r="I17" s="172">
        <f>SUMIF([1]!Tarakonesh[دریافت کننده],FinancialAccountsTable[[#This Row],[نام حساب]],[1]!Tarakonesh[مبلغ (ریال)])</f>
        <v>0</v>
      </c>
      <c r="J17" s="172">
        <f>(FinancialAccountsTable[[#This Row],[جمع دریافتی]]+FinancialAccountsTable[[#This Row],[موجودی اولیه]])-FinancialAccountsTable[[#This Row],[جمع پرداختی]]</f>
        <v>0</v>
      </c>
      <c r="K17" s="173" t="str">
        <f>IF(FinancialAccountsTable[[#This Row],[مانده]]=0,"",IF(FinancialAccountsTable[[#This Row],[مانده]]&gt;0,"بدهکار","بستانکار"))</f>
        <v/>
      </c>
      <c r="L17" s="27"/>
      <c r="M17" s="27"/>
      <c r="N17" s="27"/>
      <c r="O17" s="27"/>
      <c r="P17" s="31"/>
      <c r="Q17" s="31"/>
      <c r="R17" s="27"/>
    </row>
    <row r="18" spans="1:18" ht="24" customHeight="1" x14ac:dyDescent="0.25">
      <c r="A18" s="124"/>
      <c r="D18" s="27">
        <v>9</v>
      </c>
      <c r="E18" s="27" t="s">
        <v>965</v>
      </c>
      <c r="F18" s="27" t="s">
        <v>966</v>
      </c>
      <c r="G18" s="25">
        <v>0</v>
      </c>
      <c r="H18" s="172">
        <f>SUMIF([1]!Tarakonesh[پرداخت کننده],FinancialAccountsTable[[#This Row],[نام حساب]],[1]!Tarakonesh[مبلغ (ریال)])</f>
        <v>0</v>
      </c>
      <c r="I18" s="172">
        <f>SUMIF([1]!Tarakonesh[دریافت کننده],FinancialAccountsTable[[#This Row],[نام حساب]],[1]!Tarakonesh[مبلغ (ریال)])</f>
        <v>0</v>
      </c>
      <c r="J18" s="172">
        <f>(FinancialAccountsTable[[#This Row],[جمع دریافتی]]+FinancialAccountsTable[[#This Row],[موجودی اولیه]])-FinancialAccountsTable[[#This Row],[جمع پرداختی]]</f>
        <v>0</v>
      </c>
      <c r="K18" s="173" t="str">
        <f>IF(FinancialAccountsTable[[#This Row],[مانده]]=0,"",IF(FinancialAccountsTable[[#This Row],[مانده]]&gt;0,"بدهکار","بستانکار"))</f>
        <v/>
      </c>
      <c r="L18" s="27"/>
      <c r="M18" s="27"/>
      <c r="N18" s="27"/>
      <c r="O18" s="27"/>
      <c r="P18" s="31"/>
      <c r="Q18" s="31"/>
      <c r="R18" s="27"/>
    </row>
    <row r="19" spans="1:18" ht="15.75" x14ac:dyDescent="0.25">
      <c r="A19" s="124"/>
      <c r="D19" s="139" t="s">
        <v>145</v>
      </c>
      <c r="E19" s="174"/>
      <c r="F19" s="174"/>
      <c r="G19" s="172">
        <f>SUBTOTAL(109,FinancialAccountsTable[موجودی اولیه])-G14</f>
        <v>0</v>
      </c>
      <c r="H19" s="172">
        <f>SUBTOTAL(109,FinancialAccountsTable[جمع پرداختی])-H14</f>
        <v>0</v>
      </c>
      <c r="I19" s="172">
        <f>SUBTOTAL(109,FinancialAccountsTable[جمع دریافتی])-I14</f>
        <v>0</v>
      </c>
      <c r="J19" s="172">
        <f>SUBTOTAL(109,FinancialAccountsTable[مانده])-J14</f>
        <v>0</v>
      </c>
      <c r="K19" s="174"/>
      <c r="L19" s="174"/>
      <c r="M19" s="174"/>
      <c r="N19" s="175"/>
      <c r="O19" s="175"/>
      <c r="P19" s="175"/>
      <c r="Q19" s="175"/>
      <c r="R19" s="175"/>
    </row>
    <row r="20" spans="1:18" x14ac:dyDescent="0.25">
      <c r="A20" s="124"/>
    </row>
    <row r="21" spans="1:18" x14ac:dyDescent="0.25">
      <c r="A21" s="124"/>
      <c r="I21" s="176"/>
      <c r="K21" s="176"/>
    </row>
    <row r="22" spans="1:18" x14ac:dyDescent="0.25">
      <c r="A22" s="124"/>
      <c r="I22" s="176"/>
    </row>
    <row r="23" spans="1:18" ht="15.75" x14ac:dyDescent="0.25">
      <c r="A23" s="124"/>
      <c r="D23" s="143"/>
      <c r="E23" s="143"/>
      <c r="F23" s="143"/>
      <c r="G23" s="177"/>
      <c r="H23" s="130"/>
      <c r="I23" s="178"/>
      <c r="J23" s="179"/>
      <c r="K23" s="143"/>
    </row>
    <row r="24" spans="1:18" ht="15.75" x14ac:dyDescent="0.25">
      <c r="D24" s="143"/>
      <c r="E24" s="143"/>
      <c r="F24" s="143"/>
      <c r="G24" s="177"/>
      <c r="H24" s="130"/>
      <c r="I24" s="178"/>
      <c r="J24" s="179"/>
      <c r="K24" s="143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B365"/>
  <sheetViews>
    <sheetView showGridLines="0" rightToLeft="1" topLeftCell="J1" workbookViewId="0">
      <selection activeCell="O6" sqref="O6"/>
    </sheetView>
  </sheetViews>
  <sheetFormatPr defaultRowHeight="15" x14ac:dyDescent="0.25"/>
  <cols>
    <col min="1" max="1" width="29.7109375" style="131" customWidth="1"/>
    <col min="2" max="2" width="0.7109375" style="132" customWidth="1"/>
    <col min="3" max="3" width="4.5703125" style="130" customWidth="1"/>
    <col min="4" max="4" width="18.28515625" style="130" customWidth="1"/>
    <col min="5" max="5" width="0.7109375" style="130" customWidth="1"/>
    <col min="6" max="6" width="24.85546875" style="130" bestFit="1" customWidth="1"/>
    <col min="7" max="7" width="0.7109375" style="130" customWidth="1"/>
    <col min="8" max="8" width="28.5703125" style="130" customWidth="1"/>
    <col min="9" max="9" width="0.7109375" style="130" customWidth="1"/>
    <col min="10" max="10" width="26.28515625" style="130" bestFit="1" customWidth="1"/>
    <col min="11" max="11" width="20.7109375" style="133" bestFit="1" customWidth="1"/>
    <col min="12" max="12" width="4.5703125" style="130" customWidth="1"/>
    <col min="13" max="13" width="28.5703125" style="130" customWidth="1"/>
    <col min="14" max="14" width="14.28515625" style="133" customWidth="1"/>
    <col min="15" max="15" width="18.85546875" style="130" customWidth="1"/>
    <col min="16" max="16" width="0.7109375" style="130" customWidth="1"/>
    <col min="17" max="17" width="28.5703125" style="130" customWidth="1"/>
    <col min="18" max="18" width="14.28515625" style="130" customWidth="1"/>
    <col min="19" max="19" width="18.85546875" style="130" customWidth="1"/>
    <col min="20" max="20" width="0.7109375" style="130" customWidth="1"/>
    <col min="21" max="21" width="28.5703125" style="130" customWidth="1"/>
    <col min="22" max="22" width="18.85546875" style="130" customWidth="1"/>
    <col min="23" max="23" width="0.7109375" style="130" customWidth="1"/>
    <col min="24" max="24" width="28.5703125" style="130" customWidth="1"/>
    <col min="25" max="25" width="18.85546875" style="130" customWidth="1"/>
    <col min="26" max="26" width="0.7109375" style="130" customWidth="1"/>
    <col min="27" max="27" width="28.5703125" style="130" customWidth="1"/>
    <col min="28" max="28" width="18.85546875" style="130" customWidth="1"/>
    <col min="29" max="16384" width="9.140625" style="130"/>
  </cols>
  <sheetData>
    <row r="1" spans="1:28" ht="24" customHeight="1" x14ac:dyDescent="0.25">
      <c r="A1" s="127" t="s">
        <v>397</v>
      </c>
      <c r="B1" s="128"/>
      <c r="C1" s="129"/>
      <c r="D1" s="192" t="s">
        <v>395</v>
      </c>
      <c r="E1" s="192"/>
      <c r="F1" s="192"/>
      <c r="G1" s="192"/>
      <c r="H1" s="192"/>
      <c r="I1" s="192"/>
      <c r="J1" s="192"/>
      <c r="K1" s="192"/>
      <c r="M1" s="193" t="s">
        <v>396</v>
      </c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</row>
    <row r="2" spans="1:28" ht="3.75" customHeight="1" x14ac:dyDescent="0.25"/>
    <row r="3" spans="1:28" ht="18.75" x14ac:dyDescent="0.25">
      <c r="A3" s="134" t="s">
        <v>8</v>
      </c>
      <c r="D3" s="120" t="s">
        <v>112</v>
      </c>
      <c r="F3" s="135" t="s">
        <v>139</v>
      </c>
      <c r="H3" s="136" t="s">
        <v>147</v>
      </c>
      <c r="J3" s="194" t="s">
        <v>393</v>
      </c>
      <c r="K3" s="194"/>
      <c r="M3" s="195" t="s">
        <v>360</v>
      </c>
      <c r="N3" s="195"/>
      <c r="O3" s="195"/>
      <c r="P3" s="137"/>
      <c r="Q3" s="196" t="s">
        <v>361</v>
      </c>
      <c r="R3" s="196"/>
      <c r="S3" s="196"/>
      <c r="U3" s="197" t="s">
        <v>385</v>
      </c>
      <c r="V3" s="197"/>
      <c r="X3" s="198" t="s">
        <v>362</v>
      </c>
      <c r="Y3" s="198"/>
      <c r="AA3" s="199" t="s">
        <v>363</v>
      </c>
      <c r="AB3" s="199"/>
    </row>
    <row r="4" spans="1:28" ht="18.75" x14ac:dyDescent="0.25">
      <c r="A4" s="138" t="s">
        <v>115</v>
      </c>
      <c r="D4" s="139" t="s">
        <v>113</v>
      </c>
      <c r="E4" s="129"/>
      <c r="F4" s="139" t="s">
        <v>280</v>
      </c>
      <c r="G4" s="140"/>
      <c r="H4" s="136" t="s">
        <v>151</v>
      </c>
      <c r="J4" s="136" t="s">
        <v>124</v>
      </c>
      <c r="K4" s="141" t="s">
        <v>380</v>
      </c>
      <c r="M4" s="136" t="s">
        <v>364</v>
      </c>
      <c r="N4" s="141" t="s">
        <v>377</v>
      </c>
      <c r="O4" s="141" t="s">
        <v>376</v>
      </c>
      <c r="P4" s="133"/>
      <c r="Q4" s="136" t="s">
        <v>365</v>
      </c>
      <c r="R4" s="136" t="s">
        <v>377</v>
      </c>
      <c r="S4" s="136" t="s">
        <v>376</v>
      </c>
      <c r="U4" s="136" t="s">
        <v>366</v>
      </c>
      <c r="V4" s="136" t="s">
        <v>394</v>
      </c>
      <c r="X4" s="136" t="s">
        <v>367</v>
      </c>
      <c r="Y4" s="136" t="s">
        <v>394</v>
      </c>
      <c r="AA4" s="200" t="s">
        <v>368</v>
      </c>
      <c r="AB4" s="200" t="s">
        <v>394</v>
      </c>
    </row>
    <row r="5" spans="1:28" ht="30" x14ac:dyDescent="0.25">
      <c r="A5" s="142" t="s">
        <v>102</v>
      </c>
      <c r="D5" s="139" t="s">
        <v>114</v>
      </c>
      <c r="E5" s="143"/>
      <c r="F5" s="139" t="s">
        <v>304</v>
      </c>
      <c r="G5" s="143"/>
      <c r="H5" s="136" t="s">
        <v>148</v>
      </c>
      <c r="J5" s="136">
        <v>0</v>
      </c>
      <c r="K5" s="141" t="s">
        <v>384</v>
      </c>
      <c r="M5" s="141" t="s">
        <v>378</v>
      </c>
      <c r="N5" s="141" t="s">
        <v>369</v>
      </c>
      <c r="O5" s="136" t="str">
        <f>CONCATENATE(تقویم!$A$2,HolidayTable[[#This Row],[روز و ماه]])</f>
        <v>14000101</v>
      </c>
      <c r="Q5" s="201" t="s">
        <v>421</v>
      </c>
      <c r="R5" s="141" t="s">
        <v>370</v>
      </c>
      <c r="S5" s="136" t="str">
        <f>CONCATENATE(تقویم!$A$2,EventsTable[[#This Row],[روز و ماه]])</f>
        <v>14000102</v>
      </c>
      <c r="U5" s="141" t="s">
        <v>790</v>
      </c>
      <c r="V5" s="141" t="s">
        <v>791</v>
      </c>
      <c r="X5" s="201" t="s">
        <v>826</v>
      </c>
      <c r="Y5" s="141" t="s">
        <v>369</v>
      </c>
      <c r="AA5" s="141" t="s">
        <v>907</v>
      </c>
      <c r="AB5" s="141" t="s">
        <v>369</v>
      </c>
    </row>
    <row r="6" spans="1:28" ht="18.75" x14ac:dyDescent="0.25">
      <c r="A6" s="144" t="s">
        <v>103</v>
      </c>
      <c r="D6" s="139" t="s">
        <v>141</v>
      </c>
      <c r="E6" s="143"/>
      <c r="F6" s="139" t="s">
        <v>140</v>
      </c>
      <c r="G6" s="143"/>
      <c r="H6" s="136" t="s">
        <v>149</v>
      </c>
      <c r="J6" s="136">
        <v>1</v>
      </c>
      <c r="K6" s="141"/>
      <c r="M6" s="141" t="s">
        <v>379</v>
      </c>
      <c r="N6" s="141" t="s">
        <v>370</v>
      </c>
      <c r="O6" s="136" t="str">
        <f>CONCATENATE(تقویم!$A$2,HolidayTable[[#This Row],[روز و ماه]])</f>
        <v>14000102</v>
      </c>
      <c r="Q6" s="201" t="s">
        <v>422</v>
      </c>
      <c r="R6" s="141" t="s">
        <v>370</v>
      </c>
      <c r="S6" s="136" t="str">
        <f>CONCATENATE(تقویم!$A$2,EventsTable[[#This Row],[روز و ماه]])</f>
        <v>14000102</v>
      </c>
      <c r="U6" s="141" t="s">
        <v>792</v>
      </c>
      <c r="V6" s="141" t="s">
        <v>793</v>
      </c>
      <c r="X6" s="201" t="s">
        <v>827</v>
      </c>
      <c r="Y6" s="141" t="s">
        <v>828</v>
      </c>
      <c r="AA6" s="141" t="s">
        <v>908</v>
      </c>
      <c r="AB6" s="141" t="s">
        <v>909</v>
      </c>
    </row>
    <row r="7" spans="1:28" ht="30" x14ac:dyDescent="0.25">
      <c r="A7" s="145" t="s">
        <v>104</v>
      </c>
      <c r="E7" s="143"/>
      <c r="F7" s="139"/>
      <c r="G7" s="143"/>
      <c r="H7" s="136" t="s">
        <v>305</v>
      </c>
      <c r="J7" s="136">
        <v>2</v>
      </c>
      <c r="K7" s="141"/>
      <c r="M7" s="141" t="s">
        <v>379</v>
      </c>
      <c r="N7" s="141" t="s">
        <v>371</v>
      </c>
      <c r="O7" s="136" t="str">
        <f>CONCATENATE(تقویم!$A$2,HolidayTable[[#This Row],[روز و ماه]])</f>
        <v>14000103</v>
      </c>
      <c r="Q7" s="201" t="s">
        <v>423</v>
      </c>
      <c r="R7" s="141" t="s">
        <v>424</v>
      </c>
      <c r="S7" s="136" t="str">
        <f>CONCATENATE(تقویم!$A$2,EventsTable[[#This Row],[روز و ماه]])</f>
        <v>14000106</v>
      </c>
      <c r="U7" s="141" t="s">
        <v>794</v>
      </c>
      <c r="V7" s="141" t="s">
        <v>795</v>
      </c>
      <c r="X7" s="201" t="s">
        <v>829</v>
      </c>
      <c r="Y7" s="141" t="s">
        <v>373</v>
      </c>
      <c r="AA7" s="141" t="s">
        <v>910</v>
      </c>
      <c r="AB7" s="141" t="s">
        <v>911</v>
      </c>
    </row>
    <row r="8" spans="1:28" ht="30" x14ac:dyDescent="0.25">
      <c r="A8" s="146" t="s">
        <v>110</v>
      </c>
      <c r="G8" s="143"/>
      <c r="H8" s="136" t="s">
        <v>152</v>
      </c>
      <c r="J8" s="136">
        <v>3</v>
      </c>
      <c r="K8" s="141"/>
      <c r="M8" s="141" t="s">
        <v>379</v>
      </c>
      <c r="N8" s="141" t="s">
        <v>372</v>
      </c>
      <c r="O8" s="136" t="str">
        <f>CONCATENATE(تقویم!$A$2,HolidayTable[[#This Row],[روز و ماه]])</f>
        <v>14000104</v>
      </c>
      <c r="Q8" s="201" t="s">
        <v>425</v>
      </c>
      <c r="R8" s="141" t="s">
        <v>426</v>
      </c>
      <c r="S8" s="136" t="str">
        <f>CONCATENATE(تقویم!$A$2,EventsTable[[#This Row],[روز و ماه]])</f>
        <v>14000107</v>
      </c>
      <c r="U8" s="141" t="s">
        <v>796</v>
      </c>
      <c r="V8" s="141" t="s">
        <v>476</v>
      </c>
      <c r="X8" s="201" t="s">
        <v>830</v>
      </c>
      <c r="Y8" s="141" t="s">
        <v>438</v>
      </c>
      <c r="AA8" s="141" t="s">
        <v>912</v>
      </c>
      <c r="AB8" s="141" t="s">
        <v>913</v>
      </c>
    </row>
    <row r="9" spans="1:28" ht="30" x14ac:dyDescent="0.25">
      <c r="A9" s="147" t="s">
        <v>89</v>
      </c>
      <c r="H9" s="136" t="s">
        <v>77</v>
      </c>
      <c r="J9" s="136"/>
      <c r="K9" s="141"/>
      <c r="M9" s="141" t="s">
        <v>375</v>
      </c>
      <c r="N9" s="141" t="s">
        <v>373</v>
      </c>
      <c r="O9" s="136" t="str">
        <f>CONCATENATE(تقویم!$A$2,HolidayTable[[#This Row],[روز و ماه]])</f>
        <v>14000112</v>
      </c>
      <c r="Q9" s="201" t="s">
        <v>427</v>
      </c>
      <c r="R9" s="141" t="s">
        <v>418</v>
      </c>
      <c r="S9" s="136" t="str">
        <f>CONCATENATE(تقویم!$A$2,EventsTable[[#This Row],[روز و ماه]])</f>
        <v>14000115</v>
      </c>
      <c r="U9" s="141" t="s">
        <v>797</v>
      </c>
      <c r="V9" s="141" t="s">
        <v>476</v>
      </c>
      <c r="X9" s="201" t="s">
        <v>831</v>
      </c>
      <c r="Y9" s="141" t="s">
        <v>454</v>
      </c>
      <c r="AA9" s="141" t="s">
        <v>914</v>
      </c>
      <c r="AB9" s="141" t="s">
        <v>915</v>
      </c>
    </row>
    <row r="10" spans="1:28" ht="18.75" x14ac:dyDescent="0.25">
      <c r="A10" s="148" t="s">
        <v>111</v>
      </c>
      <c r="H10" s="136" t="s">
        <v>150</v>
      </c>
      <c r="J10" s="136"/>
      <c r="K10" s="141"/>
      <c r="M10" s="141" t="s">
        <v>412</v>
      </c>
      <c r="N10" s="141" t="s">
        <v>374</v>
      </c>
      <c r="O10" s="136" t="str">
        <f>CONCATENATE(تقویم!$A$2,HolidayTable[[#This Row],[روز و ماه]])</f>
        <v>14000113</v>
      </c>
      <c r="Q10" s="202" t="s">
        <v>428</v>
      </c>
      <c r="R10" s="141" t="s">
        <v>429</v>
      </c>
      <c r="S10" s="136" t="str">
        <f>CONCATENATE(تقویم!$A$2,EventsTable[[#This Row],[روز و ماه]])</f>
        <v>14000118</v>
      </c>
      <c r="U10" s="141" t="s">
        <v>798</v>
      </c>
      <c r="V10" s="141" t="s">
        <v>799</v>
      </c>
      <c r="X10" s="141" t="s">
        <v>832</v>
      </c>
      <c r="Y10" s="141" t="s">
        <v>833</v>
      </c>
      <c r="AA10" s="141" t="s">
        <v>916</v>
      </c>
      <c r="AB10" s="141" t="s">
        <v>552</v>
      </c>
    </row>
    <row r="11" spans="1:28" ht="45" x14ac:dyDescent="0.25">
      <c r="A11" s="149" t="s">
        <v>105</v>
      </c>
      <c r="M11" s="203" t="s">
        <v>413</v>
      </c>
      <c r="N11" s="141" t="s">
        <v>417</v>
      </c>
      <c r="O11" s="150" t="str">
        <f>CONCATENATE(تقویم!$A$2,HolidayTable[[#This Row],[روز و ماه]])</f>
        <v>14000314</v>
      </c>
      <c r="Q11" s="202" t="s">
        <v>430</v>
      </c>
      <c r="R11" s="141" t="s">
        <v>431</v>
      </c>
      <c r="S11" s="150" t="str">
        <f>CONCATENATE(تقویم!$A$2,EventsTable[[#This Row],[روز و ماه]])</f>
        <v>14000119</v>
      </c>
      <c r="U11" s="141" t="s">
        <v>800</v>
      </c>
      <c r="V11" s="141" t="s">
        <v>801</v>
      </c>
      <c r="X11" s="201" t="s">
        <v>834</v>
      </c>
      <c r="Y11" s="141" t="s">
        <v>474</v>
      </c>
      <c r="AA11" s="141" t="s">
        <v>917</v>
      </c>
      <c r="AB11" s="141" t="s">
        <v>556</v>
      </c>
    </row>
    <row r="12" spans="1:28" ht="30" x14ac:dyDescent="0.25">
      <c r="A12" s="151" t="s">
        <v>98</v>
      </c>
      <c r="J12" s="204" t="s">
        <v>388</v>
      </c>
      <c r="K12" s="204"/>
      <c r="M12" s="141" t="s">
        <v>414</v>
      </c>
      <c r="N12" s="141" t="s">
        <v>418</v>
      </c>
      <c r="O12" s="150" t="str">
        <f>CONCATENATE(تقویم!$A$2,HolidayTable[[#This Row],[روز و ماه]])</f>
        <v>14000115</v>
      </c>
      <c r="Q12" s="202" t="s">
        <v>432</v>
      </c>
      <c r="R12" s="141" t="s">
        <v>433</v>
      </c>
      <c r="S12" s="150" t="str">
        <f>CONCATENATE(تقویم!$A$2,EventsTable[[#This Row],[روز و ماه]])</f>
        <v>14000120</v>
      </c>
      <c r="U12" s="141" t="s">
        <v>802</v>
      </c>
      <c r="V12" s="141" t="s">
        <v>801</v>
      </c>
      <c r="X12" s="201" t="s">
        <v>835</v>
      </c>
      <c r="Y12" s="141" t="s">
        <v>482</v>
      </c>
      <c r="AA12" s="141" t="s">
        <v>918</v>
      </c>
      <c r="AB12" s="141" t="s">
        <v>571</v>
      </c>
    </row>
    <row r="13" spans="1:28" ht="45" x14ac:dyDescent="0.25">
      <c r="J13" s="136" t="s">
        <v>386</v>
      </c>
      <c r="K13" s="136" t="s">
        <v>387</v>
      </c>
      <c r="M13" s="141" t="s">
        <v>415</v>
      </c>
      <c r="N13" s="141" t="s">
        <v>419</v>
      </c>
      <c r="O13" s="150" t="str">
        <f>CONCATENATE(تقویم!$A$2,HolidayTable[[#This Row],[روز و ماه]])</f>
        <v>14001122</v>
      </c>
      <c r="Q13" s="202" t="s">
        <v>434</v>
      </c>
      <c r="R13" s="141" t="s">
        <v>433</v>
      </c>
      <c r="S13" s="150" t="str">
        <f>CONCATENATE(تقویم!$A$2,EventsTable[[#This Row],[روز و ماه]])</f>
        <v>14000120</v>
      </c>
      <c r="U13" s="141" t="s">
        <v>803</v>
      </c>
      <c r="V13" s="141" t="s">
        <v>804</v>
      </c>
      <c r="X13" s="201" t="s">
        <v>836</v>
      </c>
      <c r="Y13" s="141" t="s">
        <v>837</v>
      </c>
      <c r="AA13" s="141" t="s">
        <v>919</v>
      </c>
      <c r="AB13" s="141" t="s">
        <v>586</v>
      </c>
    </row>
    <row r="14" spans="1:28" ht="30" x14ac:dyDescent="0.25">
      <c r="J14" s="136" t="s">
        <v>149</v>
      </c>
      <c r="K14" s="136"/>
      <c r="M14" s="141" t="s">
        <v>416</v>
      </c>
      <c r="N14" s="141" t="s">
        <v>420</v>
      </c>
      <c r="O14" s="150" t="str">
        <f>CONCATENATE(تقویم!$A$2,HolidayTable[[#This Row],[روز و ماه]])</f>
        <v>14001229</v>
      </c>
      <c r="Q14" s="202" t="s">
        <v>435</v>
      </c>
      <c r="R14" s="141" t="s">
        <v>436</v>
      </c>
      <c r="S14" s="150" t="str">
        <f>CONCATENATE(تقویم!$A$2,EventsTable[[#This Row],[روز و ماه]])</f>
        <v>14000121</v>
      </c>
      <c r="U14" s="141" t="s">
        <v>805</v>
      </c>
      <c r="V14" s="141" t="s">
        <v>804</v>
      </c>
      <c r="X14" s="201" t="s">
        <v>838</v>
      </c>
      <c r="Y14" s="141" t="s">
        <v>837</v>
      </c>
      <c r="AA14" s="141" t="s">
        <v>920</v>
      </c>
      <c r="AB14" s="141" t="s">
        <v>598</v>
      </c>
    </row>
    <row r="15" spans="1:28" ht="60" x14ac:dyDescent="0.25">
      <c r="J15" s="136" t="s">
        <v>389</v>
      </c>
      <c r="K15" s="136"/>
      <c r="O15" s="152"/>
      <c r="Q15" s="202" t="s">
        <v>437</v>
      </c>
      <c r="R15" s="141" t="s">
        <v>436</v>
      </c>
      <c r="S15" s="150" t="str">
        <f>CONCATENATE(تقویم!$A$2,EventsTable[[#This Row],[روز و ماه]])</f>
        <v>14000121</v>
      </c>
      <c r="U15" s="141" t="s">
        <v>806</v>
      </c>
      <c r="V15" s="141" t="s">
        <v>594</v>
      </c>
      <c r="X15" s="141" t="s">
        <v>839</v>
      </c>
      <c r="Y15" s="141" t="s">
        <v>840</v>
      </c>
      <c r="AA15" s="141" t="s">
        <v>921</v>
      </c>
      <c r="AB15" s="141" t="s">
        <v>617</v>
      </c>
    </row>
    <row r="16" spans="1:28" ht="30" x14ac:dyDescent="0.25">
      <c r="J16" s="136" t="s">
        <v>390</v>
      </c>
      <c r="K16" s="136"/>
      <c r="O16" s="152"/>
      <c r="Q16" s="202" t="s">
        <v>823</v>
      </c>
      <c r="R16" s="141" t="s">
        <v>438</v>
      </c>
      <c r="S16" s="150" t="str">
        <f>CONCATENATE(تقویم!$A$2,EventsTable[[#This Row],[روز و ماه]])</f>
        <v>14000125</v>
      </c>
      <c r="U16" s="141" t="s">
        <v>807</v>
      </c>
      <c r="V16" s="141" t="s">
        <v>642</v>
      </c>
      <c r="X16" s="141" t="s">
        <v>841</v>
      </c>
      <c r="Y16" s="141" t="s">
        <v>517</v>
      </c>
      <c r="AA16" s="141" t="s">
        <v>922</v>
      </c>
      <c r="AB16" s="141" t="s">
        <v>923</v>
      </c>
    </row>
    <row r="17" spans="10:28" ht="30" x14ac:dyDescent="0.25">
      <c r="J17" s="136" t="s">
        <v>391</v>
      </c>
      <c r="K17" s="136"/>
      <c r="O17" s="152"/>
      <c r="Q17" s="202" t="s">
        <v>439</v>
      </c>
      <c r="R17" s="141" t="s">
        <v>440</v>
      </c>
      <c r="S17" s="150" t="str">
        <f>CONCATENATE(تقویم!$A$2,EventsTable[[#This Row],[روز و ماه]])</f>
        <v>14000129</v>
      </c>
      <c r="U17" s="141" t="s">
        <v>808</v>
      </c>
      <c r="V17" s="141" t="s">
        <v>809</v>
      </c>
      <c r="X17" s="141" t="s">
        <v>842</v>
      </c>
      <c r="Y17" s="141" t="s">
        <v>519</v>
      </c>
      <c r="AA17" s="141" t="s">
        <v>924</v>
      </c>
      <c r="AB17" s="141" t="s">
        <v>660</v>
      </c>
    </row>
    <row r="18" spans="10:28" ht="45" x14ac:dyDescent="0.25">
      <c r="J18" s="136" t="s">
        <v>392</v>
      </c>
      <c r="K18" s="136"/>
      <c r="O18" s="152"/>
      <c r="Q18" s="202" t="s">
        <v>441</v>
      </c>
      <c r="R18" s="141" t="s">
        <v>442</v>
      </c>
      <c r="S18" s="150" t="str">
        <f>CONCATENATE(تقویم!$A$2,EventsTable[[#This Row],[روز و ماه]])</f>
        <v>14000201</v>
      </c>
      <c r="U18" s="141" t="s">
        <v>810</v>
      </c>
      <c r="V18" s="141" t="s">
        <v>811</v>
      </c>
      <c r="X18" s="141" t="s">
        <v>843</v>
      </c>
      <c r="Y18" s="141" t="s">
        <v>552</v>
      </c>
      <c r="AA18" s="141" t="s">
        <v>925</v>
      </c>
      <c r="AB18" s="141" t="s">
        <v>926</v>
      </c>
    </row>
    <row r="19" spans="10:28" ht="30" x14ac:dyDescent="0.25">
      <c r="J19" s="136"/>
      <c r="K19" s="141"/>
      <c r="O19" s="152"/>
      <c r="Q19" s="202" t="s">
        <v>443</v>
      </c>
      <c r="R19" s="141" t="s">
        <v>444</v>
      </c>
      <c r="S19" s="150" t="str">
        <f>CONCATENATE(تقویم!$A$2,EventsTable[[#This Row],[روز و ماه]])</f>
        <v>14000202</v>
      </c>
      <c r="U19" s="141" t="s">
        <v>812</v>
      </c>
      <c r="V19" s="141" t="s">
        <v>813</v>
      </c>
      <c r="X19" s="141" t="s">
        <v>844</v>
      </c>
      <c r="Y19" s="141" t="s">
        <v>845</v>
      </c>
      <c r="AA19" s="141" t="s">
        <v>927</v>
      </c>
      <c r="AB19" s="141" t="s">
        <v>712</v>
      </c>
    </row>
    <row r="20" spans="10:28" ht="30" x14ac:dyDescent="0.25">
      <c r="J20" s="136"/>
      <c r="K20" s="141"/>
      <c r="O20" s="152"/>
      <c r="Q20" s="202" t="s">
        <v>445</v>
      </c>
      <c r="R20" s="141" t="s">
        <v>444</v>
      </c>
      <c r="S20" s="150" t="str">
        <f>CONCATENATE(تقویم!$A$2,EventsTable[[#This Row],[روز و ماه]])</f>
        <v>14000202</v>
      </c>
      <c r="U20" s="141" t="s">
        <v>814</v>
      </c>
      <c r="V20" s="141" t="s">
        <v>815</v>
      </c>
      <c r="X20" s="141" t="s">
        <v>846</v>
      </c>
      <c r="Y20" s="141" t="s">
        <v>612</v>
      </c>
      <c r="AA20" s="141" t="s">
        <v>928</v>
      </c>
      <c r="AB20" s="141" t="s">
        <v>717</v>
      </c>
    </row>
    <row r="21" spans="10:28" x14ac:dyDescent="0.25">
      <c r="J21" s="136"/>
      <c r="K21" s="141"/>
      <c r="O21" s="152"/>
      <c r="Q21" s="202" t="s">
        <v>446</v>
      </c>
      <c r="R21" s="141" t="s">
        <v>444</v>
      </c>
      <c r="S21" s="150" t="str">
        <f>CONCATENATE(تقویم!$A$2,EventsTable[[#This Row],[روز و ماه]])</f>
        <v>14000202</v>
      </c>
      <c r="U21" s="141" t="s">
        <v>816</v>
      </c>
      <c r="V21" s="141" t="s">
        <v>817</v>
      </c>
      <c r="X21" s="141" t="s">
        <v>847</v>
      </c>
      <c r="Y21" s="141" t="s">
        <v>612</v>
      </c>
      <c r="AA21" s="141" t="s">
        <v>929</v>
      </c>
      <c r="AB21" s="141" t="s">
        <v>717</v>
      </c>
    </row>
    <row r="22" spans="10:28" ht="30" x14ac:dyDescent="0.25">
      <c r="J22" s="136"/>
      <c r="K22" s="141"/>
      <c r="O22" s="152"/>
      <c r="Q22" s="202" t="s">
        <v>447</v>
      </c>
      <c r="R22" s="141" t="s">
        <v>448</v>
      </c>
      <c r="S22" s="150" t="str">
        <f>CONCATENATE(تقویم!$A$2,EventsTable[[#This Row],[روز و ماه]])</f>
        <v>14000203</v>
      </c>
      <c r="U22" s="141" t="s">
        <v>818</v>
      </c>
      <c r="V22" s="141" t="s">
        <v>819</v>
      </c>
      <c r="X22" s="141" t="s">
        <v>848</v>
      </c>
      <c r="Y22" s="141" t="s">
        <v>621</v>
      </c>
      <c r="AA22" s="141" t="s">
        <v>930</v>
      </c>
      <c r="AB22" s="141" t="s">
        <v>815</v>
      </c>
    </row>
    <row r="23" spans="10:28" ht="45" x14ac:dyDescent="0.25">
      <c r="J23" s="136"/>
      <c r="K23" s="141"/>
      <c r="O23" s="152"/>
      <c r="Q23" s="202" t="s">
        <v>449</v>
      </c>
      <c r="R23" s="141" t="s">
        <v>448</v>
      </c>
      <c r="S23" s="150" t="str">
        <f>CONCATENATE(تقویم!$A$2,EventsTable[[#This Row],[روز و ماه]])</f>
        <v>14000203</v>
      </c>
      <c r="U23" s="141" t="s">
        <v>820</v>
      </c>
      <c r="V23" s="141" t="s">
        <v>821</v>
      </c>
      <c r="X23" s="141" t="s">
        <v>849</v>
      </c>
      <c r="Y23" s="141" t="s">
        <v>621</v>
      </c>
      <c r="AA23" s="141" t="s">
        <v>931</v>
      </c>
      <c r="AB23" s="141" t="s">
        <v>726</v>
      </c>
    </row>
    <row r="24" spans="10:28" ht="30" x14ac:dyDescent="0.25">
      <c r="J24" s="136"/>
      <c r="K24" s="141"/>
      <c r="O24" s="152"/>
      <c r="Q24" s="202" t="s">
        <v>450</v>
      </c>
      <c r="R24" s="141" t="s">
        <v>448</v>
      </c>
      <c r="S24" s="150" t="str">
        <f>CONCATENATE(تقویم!$A$2,EventsTable[[#This Row],[روز و ماه]])</f>
        <v>14000203</v>
      </c>
      <c r="U24" s="141" t="s">
        <v>822</v>
      </c>
      <c r="V24" s="141" t="s">
        <v>778</v>
      </c>
      <c r="X24" s="141" t="s">
        <v>850</v>
      </c>
      <c r="Y24" s="141" t="s">
        <v>621</v>
      </c>
      <c r="AA24" s="141" t="s">
        <v>932</v>
      </c>
      <c r="AB24" s="141" t="s">
        <v>728</v>
      </c>
    </row>
    <row r="25" spans="10:28" ht="30" x14ac:dyDescent="0.25">
      <c r="J25" s="136"/>
      <c r="K25" s="141"/>
      <c r="O25" s="152"/>
      <c r="Q25" s="202" t="s">
        <v>451</v>
      </c>
      <c r="R25" s="141" t="s">
        <v>452</v>
      </c>
      <c r="S25" s="150" t="str">
        <f>CONCATENATE(تقویم!$A$2,EventsTable[[#This Row],[روز و ماه]])</f>
        <v>14000205</v>
      </c>
      <c r="X25" s="141" t="s">
        <v>851</v>
      </c>
      <c r="Y25" s="141" t="s">
        <v>852</v>
      </c>
      <c r="AA25" s="141" t="s">
        <v>933</v>
      </c>
      <c r="AB25" s="141" t="s">
        <v>934</v>
      </c>
    </row>
    <row r="26" spans="10:28" ht="30" x14ac:dyDescent="0.25">
      <c r="J26" s="136"/>
      <c r="K26" s="141"/>
      <c r="O26" s="152"/>
      <c r="Q26" s="202" t="s">
        <v>453</v>
      </c>
      <c r="R26" s="141" t="s">
        <v>454</v>
      </c>
      <c r="S26" s="150" t="str">
        <f>CONCATENATE(تقویم!$A$2,EventsTable[[#This Row],[روز و ماه]])</f>
        <v>14000207</v>
      </c>
      <c r="X26" s="141" t="s">
        <v>853</v>
      </c>
      <c r="Y26" s="141" t="s">
        <v>854</v>
      </c>
      <c r="AA26" s="141" t="s">
        <v>935</v>
      </c>
      <c r="AB26" s="141" t="s">
        <v>936</v>
      </c>
    </row>
    <row r="27" spans="10:28" ht="30" x14ac:dyDescent="0.25">
      <c r="J27" s="136"/>
      <c r="K27" s="141"/>
      <c r="O27" s="152"/>
      <c r="Q27" s="202" t="s">
        <v>455</v>
      </c>
      <c r="R27" s="141" t="s">
        <v>456</v>
      </c>
      <c r="S27" s="150" t="str">
        <f>CONCATENATE(تقویم!$A$2,EventsTable[[#This Row],[روز و ماه]])</f>
        <v>14000209</v>
      </c>
      <c r="X27" s="141" t="s">
        <v>855</v>
      </c>
      <c r="Y27" s="141" t="s">
        <v>856</v>
      </c>
      <c r="AA27" s="141" t="s">
        <v>937</v>
      </c>
      <c r="AB27" s="141" t="s">
        <v>938</v>
      </c>
    </row>
    <row r="28" spans="10:28" ht="30" x14ac:dyDescent="0.25">
      <c r="J28" s="136"/>
      <c r="K28" s="141"/>
      <c r="O28" s="152"/>
      <c r="Q28" s="202" t="s">
        <v>457</v>
      </c>
      <c r="R28" s="141" t="s">
        <v>458</v>
      </c>
      <c r="S28" s="150" t="str">
        <f>CONCATENATE(تقویم!$A$2,EventsTable[[#This Row],[روز و ماه]])</f>
        <v>14000210</v>
      </c>
      <c r="X28" s="141" t="s">
        <v>857</v>
      </c>
      <c r="Y28" s="141" t="s">
        <v>642</v>
      </c>
      <c r="AA28" s="141" t="s">
        <v>939</v>
      </c>
      <c r="AB28" s="141" t="s">
        <v>940</v>
      </c>
    </row>
    <row r="29" spans="10:28" ht="30" x14ac:dyDescent="0.25">
      <c r="J29" s="136"/>
      <c r="K29" s="141"/>
      <c r="O29" s="152"/>
      <c r="Q29" s="202" t="s">
        <v>459</v>
      </c>
      <c r="R29" s="141" t="s">
        <v>458</v>
      </c>
      <c r="S29" s="150" t="str">
        <f>CONCATENATE(تقویم!$A$2,EventsTable[[#This Row],[روز و ماه]])</f>
        <v>14000210</v>
      </c>
      <c r="X29" s="141" t="s">
        <v>858</v>
      </c>
      <c r="Y29" s="141" t="s">
        <v>642</v>
      </c>
      <c r="AA29" s="141" t="s">
        <v>941</v>
      </c>
      <c r="AB29" s="141" t="s">
        <v>895</v>
      </c>
    </row>
    <row r="30" spans="10:28" ht="30" x14ac:dyDescent="0.25">
      <c r="J30" s="136"/>
      <c r="K30" s="141"/>
      <c r="O30" s="152"/>
      <c r="Q30" s="202" t="s">
        <v>460</v>
      </c>
      <c r="R30" s="141" t="s">
        <v>461</v>
      </c>
      <c r="S30" s="150" t="str">
        <f>CONCATENATE(تقویم!$A$2,EventsTable[[#This Row],[روز و ماه]])</f>
        <v>14000212</v>
      </c>
      <c r="X30" s="141" t="s">
        <v>859</v>
      </c>
      <c r="Y30" s="141" t="s">
        <v>647</v>
      </c>
      <c r="AA30" s="141" t="s">
        <v>942</v>
      </c>
      <c r="AB30" s="141" t="s">
        <v>763</v>
      </c>
    </row>
    <row r="31" spans="10:28" ht="30" x14ac:dyDescent="0.25">
      <c r="J31" s="136"/>
      <c r="K31" s="141"/>
      <c r="O31" s="152"/>
      <c r="Q31" s="202" t="s">
        <v>462</v>
      </c>
      <c r="R31" s="141" t="s">
        <v>463</v>
      </c>
      <c r="S31" s="150" t="str">
        <f>CONCATENATE(تقویم!$A$2,EventsTable[[#This Row],[روز و ماه]])</f>
        <v>14000215</v>
      </c>
      <c r="X31" s="141" t="s">
        <v>860</v>
      </c>
      <c r="Y31" s="141" t="s">
        <v>647</v>
      </c>
      <c r="AA31" s="141" t="s">
        <v>943</v>
      </c>
      <c r="AB31" s="141" t="s">
        <v>900</v>
      </c>
    </row>
    <row r="32" spans="10:28" ht="30" x14ac:dyDescent="0.25">
      <c r="J32" s="136"/>
      <c r="K32" s="141"/>
      <c r="O32" s="152"/>
      <c r="Q32" s="202" t="s">
        <v>464</v>
      </c>
      <c r="R32" s="141" t="s">
        <v>465</v>
      </c>
      <c r="S32" s="150" t="str">
        <f>CONCATENATE(تقویم!$A$2,EventsTable[[#This Row],[روز و ماه]])</f>
        <v>14000218</v>
      </c>
      <c r="X32" s="141" t="s">
        <v>861</v>
      </c>
      <c r="Y32" s="141" t="s">
        <v>862</v>
      </c>
      <c r="AA32" s="141" t="s">
        <v>944</v>
      </c>
      <c r="AB32" s="141" t="s">
        <v>787</v>
      </c>
    </row>
    <row r="33" spans="10:25" ht="30" x14ac:dyDescent="0.25">
      <c r="J33" s="136"/>
      <c r="K33" s="141"/>
      <c r="O33" s="152"/>
      <c r="Q33" s="202" t="s">
        <v>466</v>
      </c>
      <c r="R33" s="141" t="s">
        <v>467</v>
      </c>
      <c r="S33" s="150" t="str">
        <f>CONCATENATE(تقویم!$A$2,EventsTable[[#This Row],[روز و ماه]])</f>
        <v>14000219</v>
      </c>
      <c r="X33" s="141" t="s">
        <v>863</v>
      </c>
      <c r="Y33" s="141" t="s">
        <v>864</v>
      </c>
    </row>
    <row r="34" spans="10:25" ht="30" x14ac:dyDescent="0.25">
      <c r="J34" s="136"/>
      <c r="K34" s="141"/>
      <c r="O34" s="152"/>
      <c r="Q34" s="202" t="s">
        <v>468</v>
      </c>
      <c r="R34" s="141" t="s">
        <v>467</v>
      </c>
      <c r="S34" s="150" t="str">
        <f>CONCATENATE(تقویم!$A$2,EventsTable[[#This Row],[روز و ماه]])</f>
        <v>14000219</v>
      </c>
      <c r="X34" s="141" t="s">
        <v>865</v>
      </c>
      <c r="Y34" s="141" t="s">
        <v>663</v>
      </c>
    </row>
    <row r="35" spans="10:25" ht="30" x14ac:dyDescent="0.25">
      <c r="J35" s="136"/>
      <c r="K35" s="141"/>
      <c r="O35" s="152"/>
      <c r="Q35" s="202" t="s">
        <v>469</v>
      </c>
      <c r="R35" s="141" t="s">
        <v>470</v>
      </c>
      <c r="S35" s="150" t="str">
        <f>CONCATENATE(تقویم!$A$2,EventsTable[[#This Row],[روز و ماه]])</f>
        <v>14000224</v>
      </c>
      <c r="X35" s="141" t="s">
        <v>866</v>
      </c>
      <c r="Y35" s="141" t="s">
        <v>867</v>
      </c>
    </row>
    <row r="36" spans="10:25" ht="30" x14ac:dyDescent="0.25">
      <c r="J36" s="136"/>
      <c r="K36" s="141"/>
      <c r="O36" s="152"/>
      <c r="Q36" s="202" t="s">
        <v>471</v>
      </c>
      <c r="R36" s="141" t="s">
        <v>472</v>
      </c>
      <c r="S36" s="150" t="str">
        <f>CONCATENATE(تقویم!$A$2,EventsTable[[#This Row],[روز و ماه]])</f>
        <v>14000225</v>
      </c>
      <c r="X36" s="141" t="s">
        <v>868</v>
      </c>
      <c r="Y36" s="141" t="s">
        <v>869</v>
      </c>
    </row>
    <row r="37" spans="10:25" x14ac:dyDescent="0.25">
      <c r="J37" s="136"/>
      <c r="K37" s="141"/>
      <c r="O37" s="152"/>
      <c r="Q37" s="202" t="s">
        <v>473</v>
      </c>
      <c r="R37" s="141" t="s">
        <v>474</v>
      </c>
      <c r="S37" s="150" t="str">
        <f>CONCATENATE(تقویم!$A$2,EventsTable[[#This Row],[روز و ماه]])</f>
        <v>14000227</v>
      </c>
      <c r="X37" s="141" t="s">
        <v>870</v>
      </c>
      <c r="Y37" s="141" t="s">
        <v>811</v>
      </c>
    </row>
    <row r="38" spans="10:25" ht="30" x14ac:dyDescent="0.25">
      <c r="J38" s="136"/>
      <c r="K38" s="141"/>
      <c r="O38" s="152"/>
      <c r="Q38" s="202" t="s">
        <v>475</v>
      </c>
      <c r="R38" s="141" t="s">
        <v>476</v>
      </c>
      <c r="S38" s="150" t="str">
        <f>CONCATENATE(تقویم!$A$2,EventsTable[[#This Row],[روز و ماه]])</f>
        <v>14000228</v>
      </c>
      <c r="X38" s="141" t="s">
        <v>871</v>
      </c>
      <c r="Y38" s="141" t="s">
        <v>692</v>
      </c>
    </row>
    <row r="39" spans="10:25" ht="30" x14ac:dyDescent="0.25">
      <c r="J39" s="136"/>
      <c r="K39" s="141"/>
      <c r="O39" s="152"/>
      <c r="Q39" s="202" t="s">
        <v>477</v>
      </c>
      <c r="R39" s="141" t="s">
        <v>478</v>
      </c>
      <c r="S39" s="150" t="str">
        <f>CONCATENATE(تقویم!$A$2,EventsTable[[#This Row],[روز و ماه]])</f>
        <v>14000230</v>
      </c>
      <c r="X39" s="141" t="s">
        <v>872</v>
      </c>
      <c r="Y39" s="141" t="s">
        <v>873</v>
      </c>
    </row>
    <row r="40" spans="10:25" x14ac:dyDescent="0.25">
      <c r="J40" s="136"/>
      <c r="K40" s="141"/>
      <c r="O40" s="152"/>
      <c r="Q40" s="202" t="s">
        <v>479</v>
      </c>
      <c r="R40" s="141" t="s">
        <v>480</v>
      </c>
      <c r="S40" s="150" t="str">
        <f>CONCATENATE(تقویم!$A$2,EventsTable[[#This Row],[روز و ماه]])</f>
        <v>14000231</v>
      </c>
      <c r="X40" s="141" t="s">
        <v>874</v>
      </c>
      <c r="Y40" s="141" t="s">
        <v>873</v>
      </c>
    </row>
    <row r="41" spans="10:25" x14ac:dyDescent="0.25">
      <c r="J41" s="136"/>
      <c r="K41" s="141"/>
      <c r="O41" s="152"/>
      <c r="Q41" s="202" t="s">
        <v>481</v>
      </c>
      <c r="R41" s="141" t="s">
        <v>482</v>
      </c>
      <c r="S41" s="150" t="str">
        <f>CONCATENATE(تقویم!$A$2,EventsTable[[#This Row],[روز و ماه]])</f>
        <v>14000301</v>
      </c>
      <c r="X41" s="141" t="s">
        <v>875</v>
      </c>
      <c r="Y41" s="141" t="s">
        <v>702</v>
      </c>
    </row>
    <row r="42" spans="10:25" ht="30" x14ac:dyDescent="0.25">
      <c r="O42" s="152"/>
      <c r="Q42" s="202" t="s">
        <v>483</v>
      </c>
      <c r="R42" s="141" t="s">
        <v>482</v>
      </c>
      <c r="S42" s="150" t="str">
        <f>CONCATENATE(تقویم!$A$2,EventsTable[[#This Row],[روز و ماه]])</f>
        <v>14000301</v>
      </c>
      <c r="X42" s="141" t="s">
        <v>876</v>
      </c>
      <c r="Y42" s="141" t="s">
        <v>704</v>
      </c>
    </row>
    <row r="43" spans="10:25" ht="45" x14ac:dyDescent="0.25">
      <c r="O43" s="152"/>
      <c r="Q43" s="202" t="s">
        <v>484</v>
      </c>
      <c r="R43" s="141" t="s">
        <v>485</v>
      </c>
      <c r="S43" s="150" t="str">
        <f>CONCATENATE(تقویم!$A$2,EventsTable[[#This Row],[روز و ماه]])</f>
        <v>14000303</v>
      </c>
      <c r="X43" s="141" t="s">
        <v>875</v>
      </c>
      <c r="Y43" s="141" t="s">
        <v>706</v>
      </c>
    </row>
    <row r="44" spans="10:25" x14ac:dyDescent="0.25">
      <c r="O44" s="152"/>
      <c r="Q44" s="202" t="s">
        <v>824</v>
      </c>
      <c r="R44" s="141" t="s">
        <v>486</v>
      </c>
      <c r="S44" s="150" t="str">
        <f>CONCATENATE(تقویم!$A$2,EventsTable[[#This Row],[روز و ماه]])</f>
        <v>14000304</v>
      </c>
      <c r="X44" s="141" t="s">
        <v>875</v>
      </c>
      <c r="Y44" s="141" t="s">
        <v>877</v>
      </c>
    </row>
    <row r="45" spans="10:25" ht="30" x14ac:dyDescent="0.25">
      <c r="O45" s="152"/>
      <c r="Q45" s="202" t="s">
        <v>487</v>
      </c>
      <c r="R45" s="141" t="s">
        <v>486</v>
      </c>
      <c r="S45" s="150" t="str">
        <f>CONCATENATE(تقویم!$A$2,EventsTable[[#This Row],[روز و ماه]])</f>
        <v>14000304</v>
      </c>
      <c r="X45" s="141" t="s">
        <v>878</v>
      </c>
      <c r="Y45" s="141" t="s">
        <v>879</v>
      </c>
    </row>
    <row r="46" spans="10:25" ht="30" x14ac:dyDescent="0.25">
      <c r="O46" s="152"/>
      <c r="Q46" s="202" t="s">
        <v>488</v>
      </c>
      <c r="R46" s="141" t="s">
        <v>489</v>
      </c>
      <c r="S46" s="150" t="str">
        <f>CONCATENATE(تقویم!$A$2,EventsTable[[#This Row],[روز و ماه]])</f>
        <v>14000305</v>
      </c>
      <c r="X46" s="141" t="s">
        <v>880</v>
      </c>
      <c r="Y46" s="141" t="s">
        <v>733</v>
      </c>
    </row>
    <row r="47" spans="10:25" ht="30" x14ac:dyDescent="0.25">
      <c r="O47" s="152"/>
      <c r="Q47" s="202" t="s">
        <v>490</v>
      </c>
      <c r="R47" s="141" t="s">
        <v>491</v>
      </c>
      <c r="S47" s="150" t="str">
        <f>CONCATENATE(تقویم!$A$2,EventsTable[[#This Row],[روز و ماه]])</f>
        <v>14000307</v>
      </c>
      <c r="X47" s="141" t="s">
        <v>881</v>
      </c>
      <c r="Y47" s="141" t="s">
        <v>882</v>
      </c>
    </row>
    <row r="48" spans="10:25" ht="30" x14ac:dyDescent="0.25">
      <c r="O48" s="152"/>
      <c r="Q48" s="202" t="s">
        <v>492</v>
      </c>
      <c r="R48" s="141" t="s">
        <v>417</v>
      </c>
      <c r="S48" s="150" t="str">
        <f>CONCATENATE(تقویم!$A$2,EventsTable[[#This Row],[روز و ماه]])</f>
        <v>14000314</v>
      </c>
      <c r="X48" s="141" t="s">
        <v>883</v>
      </c>
      <c r="Y48" s="141" t="s">
        <v>884</v>
      </c>
    </row>
    <row r="49" spans="15:25" ht="45" x14ac:dyDescent="0.25">
      <c r="O49" s="152"/>
      <c r="Q49" s="202" t="s">
        <v>493</v>
      </c>
      <c r="R49" s="141" t="s">
        <v>494</v>
      </c>
      <c r="S49" s="150" t="str">
        <f>CONCATENATE(تقویم!$A$2,EventsTable[[#This Row],[روز و ماه]])</f>
        <v>14000315</v>
      </c>
      <c r="X49" s="141" t="s">
        <v>885</v>
      </c>
      <c r="Y49" s="141" t="s">
        <v>886</v>
      </c>
    </row>
    <row r="50" spans="15:25" ht="30" x14ac:dyDescent="0.25">
      <c r="O50" s="152"/>
      <c r="Q50" s="202" t="s">
        <v>495</v>
      </c>
      <c r="R50" s="141" t="s">
        <v>496</v>
      </c>
      <c r="S50" s="150" t="str">
        <f>CONCATENATE(تقویم!$A$2,EventsTable[[#This Row],[روز و ماه]])</f>
        <v>14000320</v>
      </c>
      <c r="X50" s="141" t="s">
        <v>887</v>
      </c>
      <c r="Y50" s="141" t="s">
        <v>886</v>
      </c>
    </row>
    <row r="51" spans="15:25" ht="45" x14ac:dyDescent="0.25">
      <c r="O51" s="152"/>
      <c r="Q51" s="202" t="s">
        <v>497</v>
      </c>
      <c r="R51" s="141" t="s">
        <v>496</v>
      </c>
      <c r="S51" s="150" t="str">
        <f>CONCATENATE(تقویم!$A$2,EventsTable[[#This Row],[روز و ماه]])</f>
        <v>14000320</v>
      </c>
      <c r="X51" s="141" t="s">
        <v>888</v>
      </c>
      <c r="Y51" s="141" t="s">
        <v>748</v>
      </c>
    </row>
    <row r="52" spans="15:25" ht="45" x14ac:dyDescent="0.25">
      <c r="O52" s="152"/>
      <c r="Q52" s="202" t="s">
        <v>498</v>
      </c>
      <c r="R52" s="141" t="s">
        <v>499</v>
      </c>
      <c r="S52" s="150" t="str">
        <f>CONCATENATE(تقویم!$A$2,EventsTable[[#This Row],[روز و ماه]])</f>
        <v>14000326</v>
      </c>
      <c r="X52" s="141" t="s">
        <v>889</v>
      </c>
      <c r="Y52" s="141" t="s">
        <v>890</v>
      </c>
    </row>
    <row r="53" spans="15:25" ht="45" x14ac:dyDescent="0.25">
      <c r="O53" s="152"/>
      <c r="Q53" s="202" t="s">
        <v>500</v>
      </c>
      <c r="R53" s="141" t="s">
        <v>501</v>
      </c>
      <c r="S53" s="150" t="str">
        <f>CONCATENATE(تقویم!$A$2,EventsTable[[#This Row],[روز و ماه]])</f>
        <v>14000327</v>
      </c>
      <c r="X53" s="141" t="s">
        <v>891</v>
      </c>
      <c r="Y53" s="141" t="s">
        <v>760</v>
      </c>
    </row>
    <row r="54" spans="15:25" ht="30" x14ac:dyDescent="0.25">
      <c r="O54" s="152"/>
      <c r="Q54" s="202" t="s">
        <v>502</v>
      </c>
      <c r="R54" s="141" t="s">
        <v>503</v>
      </c>
      <c r="S54" s="150" t="str">
        <f>CONCATENATE(تقویم!$A$2,EventsTable[[#This Row],[روز و ماه]])</f>
        <v>14000329</v>
      </c>
      <c r="X54" s="141" t="s">
        <v>892</v>
      </c>
      <c r="Y54" s="141" t="s">
        <v>893</v>
      </c>
    </row>
    <row r="55" spans="15:25" ht="45" x14ac:dyDescent="0.25">
      <c r="O55" s="152"/>
      <c r="Q55" s="202" t="s">
        <v>504</v>
      </c>
      <c r="R55" s="141" t="s">
        <v>505</v>
      </c>
      <c r="S55" s="150" t="str">
        <f>CONCATENATE(تقویم!$A$2,EventsTable[[#This Row],[روز و ماه]])</f>
        <v>14000330</v>
      </c>
      <c r="X55" s="141" t="s">
        <v>894</v>
      </c>
      <c r="Y55" s="141" t="s">
        <v>895</v>
      </c>
    </row>
    <row r="56" spans="15:25" ht="30" x14ac:dyDescent="0.25">
      <c r="O56" s="152"/>
      <c r="Q56" s="202" t="s">
        <v>506</v>
      </c>
      <c r="R56" s="141" t="s">
        <v>507</v>
      </c>
      <c r="S56" s="150" t="str">
        <f>CONCATENATE(تقویم!$A$2,EventsTable[[#This Row],[روز و ماه]])</f>
        <v>14000331</v>
      </c>
      <c r="X56" s="141" t="s">
        <v>896</v>
      </c>
      <c r="Y56" s="141" t="s">
        <v>895</v>
      </c>
    </row>
    <row r="57" spans="15:25" ht="45" x14ac:dyDescent="0.25">
      <c r="O57" s="152"/>
      <c r="Q57" s="202" t="s">
        <v>508</v>
      </c>
      <c r="R57" s="141" t="s">
        <v>507</v>
      </c>
      <c r="S57" s="150" t="str">
        <f>CONCATENATE(تقویم!$A$2,EventsTable[[#This Row],[روز و ماه]])</f>
        <v>14000331</v>
      </c>
      <c r="X57" s="141" t="s">
        <v>897</v>
      </c>
      <c r="Y57" s="141" t="s">
        <v>898</v>
      </c>
    </row>
    <row r="58" spans="15:25" ht="60" x14ac:dyDescent="0.25">
      <c r="O58" s="152"/>
      <c r="Q58" s="202" t="s">
        <v>509</v>
      </c>
      <c r="R58" s="141" t="s">
        <v>510</v>
      </c>
      <c r="S58" s="150" t="str">
        <f>CONCATENATE(تقویم!$A$2,EventsTable[[#This Row],[روز و ماه]])</f>
        <v>14000401</v>
      </c>
      <c r="X58" s="141" t="s">
        <v>899</v>
      </c>
      <c r="Y58" s="141" t="s">
        <v>900</v>
      </c>
    </row>
    <row r="59" spans="15:25" x14ac:dyDescent="0.25">
      <c r="O59" s="152"/>
      <c r="Q59" s="202" t="s">
        <v>511</v>
      </c>
      <c r="R59" s="141" t="s">
        <v>510</v>
      </c>
      <c r="S59" s="150" t="str">
        <f>CONCATENATE(تقویم!$A$2,EventsTable[[#This Row],[روز و ماه]])</f>
        <v>14000401</v>
      </c>
      <c r="X59" s="141" t="s">
        <v>901</v>
      </c>
      <c r="Y59" s="141" t="s">
        <v>771</v>
      </c>
    </row>
    <row r="60" spans="15:25" ht="60" x14ac:dyDescent="0.25">
      <c r="O60" s="152"/>
      <c r="Q60" s="202" t="s">
        <v>512</v>
      </c>
      <c r="R60" s="141" t="s">
        <v>513</v>
      </c>
      <c r="S60" s="150" t="str">
        <f>CONCATENATE(تقویم!$A$2,EventsTable[[#This Row],[روز و ماه]])</f>
        <v>14000407</v>
      </c>
      <c r="X60" s="141" t="s">
        <v>902</v>
      </c>
      <c r="Y60" s="141" t="s">
        <v>776</v>
      </c>
    </row>
    <row r="61" spans="15:25" ht="30" x14ac:dyDescent="0.25">
      <c r="O61" s="152"/>
      <c r="Q61" s="202" t="s">
        <v>514</v>
      </c>
      <c r="R61" s="141" t="s">
        <v>513</v>
      </c>
      <c r="S61" s="150" t="str">
        <f>CONCATENATE(تقویم!$A$2,EventsTable[[#This Row],[روز و ماه]])</f>
        <v>14000407</v>
      </c>
      <c r="X61" s="141" t="s">
        <v>903</v>
      </c>
      <c r="Y61" s="141" t="s">
        <v>781</v>
      </c>
    </row>
    <row r="62" spans="15:25" ht="30" x14ac:dyDescent="0.25">
      <c r="O62" s="152"/>
      <c r="Q62" s="202" t="s">
        <v>515</v>
      </c>
      <c r="R62" s="141" t="s">
        <v>513</v>
      </c>
      <c r="S62" s="150" t="str">
        <f>CONCATENATE(تقویم!$A$2,EventsTable[[#This Row],[روز و ماه]])</f>
        <v>14000407</v>
      </c>
      <c r="X62" s="141" t="s">
        <v>904</v>
      </c>
      <c r="Y62" s="141" t="s">
        <v>905</v>
      </c>
    </row>
    <row r="63" spans="15:25" ht="30" x14ac:dyDescent="0.25">
      <c r="O63" s="152"/>
      <c r="Q63" s="202" t="s">
        <v>516</v>
      </c>
      <c r="R63" s="141" t="s">
        <v>517</v>
      </c>
      <c r="S63" s="150" t="str">
        <f>CONCATENATE(تقویم!$A$2,EventsTable[[#This Row],[روز و ماه]])</f>
        <v>14000408</v>
      </c>
      <c r="X63" s="141" t="s">
        <v>906</v>
      </c>
      <c r="Y63" s="141" t="s">
        <v>787</v>
      </c>
    </row>
    <row r="64" spans="15:25" x14ac:dyDescent="0.25">
      <c r="O64" s="152"/>
      <c r="Q64" s="202" t="s">
        <v>518</v>
      </c>
      <c r="R64" s="141" t="s">
        <v>519</v>
      </c>
      <c r="S64" s="150" t="str">
        <f>CONCATENATE(تقویم!$A$2,EventsTable[[#This Row],[روز و ماه]])</f>
        <v>14000410</v>
      </c>
    </row>
    <row r="65" spans="15:19" x14ac:dyDescent="0.25">
      <c r="O65" s="152"/>
      <c r="Q65" s="202" t="s">
        <v>520</v>
      </c>
      <c r="R65" s="141" t="s">
        <v>519</v>
      </c>
      <c r="S65" s="150" t="str">
        <f>CONCATENATE(تقویم!$A$2,EventsTable[[#This Row],[روز و ماه]])</f>
        <v>14000410</v>
      </c>
    </row>
    <row r="66" spans="15:19" x14ac:dyDescent="0.25">
      <c r="O66" s="152"/>
      <c r="Q66" s="202" t="s">
        <v>521</v>
      </c>
      <c r="R66" s="141" t="s">
        <v>519</v>
      </c>
      <c r="S66" s="150" t="str">
        <f>CONCATENATE(تقویم!$A$2,EventsTable[[#This Row],[روز و ماه]])</f>
        <v>14000410</v>
      </c>
    </row>
    <row r="67" spans="15:19" ht="45" x14ac:dyDescent="0.25">
      <c r="O67" s="152"/>
      <c r="Q67" s="202" t="s">
        <v>522</v>
      </c>
      <c r="R67" s="141" t="s">
        <v>523</v>
      </c>
      <c r="S67" s="150" t="str">
        <f>CONCATENATE(تقویم!$A$2,EventsTable[[#This Row],[روز و ماه]])</f>
        <v>14000411</v>
      </c>
    </row>
    <row r="68" spans="15:19" ht="45" x14ac:dyDescent="0.25">
      <c r="O68" s="152"/>
      <c r="Q68" s="202" t="s">
        <v>524</v>
      </c>
      <c r="R68" s="141" t="s">
        <v>525</v>
      </c>
      <c r="S68" s="150" t="str">
        <f>CONCATENATE(تقویم!$A$2,EventsTable[[#This Row],[روز و ماه]])</f>
        <v>14000412</v>
      </c>
    </row>
    <row r="69" spans="15:19" x14ac:dyDescent="0.25">
      <c r="O69" s="152"/>
      <c r="Q69" s="202" t="s">
        <v>526</v>
      </c>
      <c r="R69" s="141" t="s">
        <v>525</v>
      </c>
      <c r="S69" s="150" t="str">
        <f>CONCATENATE(تقویم!$A$2,EventsTable[[#This Row],[روز و ماه]])</f>
        <v>14000412</v>
      </c>
    </row>
    <row r="70" spans="15:19" ht="30" x14ac:dyDescent="0.25">
      <c r="O70" s="152"/>
      <c r="Q70" s="202" t="s">
        <v>527</v>
      </c>
      <c r="R70" s="141" t="s">
        <v>525</v>
      </c>
      <c r="S70" s="150" t="str">
        <f>CONCATENATE(تقویم!$A$2,EventsTable[[#This Row],[روز و ماه]])</f>
        <v>14000412</v>
      </c>
    </row>
    <row r="71" spans="15:19" x14ac:dyDescent="0.25">
      <c r="O71" s="152"/>
      <c r="Q71" s="202" t="s">
        <v>945</v>
      </c>
      <c r="R71" s="141" t="s">
        <v>529</v>
      </c>
      <c r="S71" s="150" t="str">
        <f>CONCATENATE(تقویم!$A$2,EventsTable[[#This Row],[روز و ماه]])</f>
        <v>14000414</v>
      </c>
    </row>
    <row r="72" spans="15:19" x14ac:dyDescent="0.25">
      <c r="O72" s="152"/>
      <c r="Q72" s="202" t="s">
        <v>528</v>
      </c>
      <c r="R72" s="141" t="s">
        <v>529</v>
      </c>
      <c r="S72" s="150" t="str">
        <f>CONCATENATE(تقویم!$A$2,EventsTable[[#This Row],[روز و ماه]])</f>
        <v>14000414</v>
      </c>
    </row>
    <row r="73" spans="15:19" x14ac:dyDescent="0.25">
      <c r="O73" s="152"/>
      <c r="Q73" s="202" t="s">
        <v>530</v>
      </c>
      <c r="R73" s="141" t="s">
        <v>531</v>
      </c>
      <c r="S73" s="150" t="str">
        <f>CONCATENATE(تقویم!$A$2,EventsTable[[#This Row],[روز و ماه]])</f>
        <v>14000416</v>
      </c>
    </row>
    <row r="74" spans="15:19" x14ac:dyDescent="0.25">
      <c r="O74" s="152"/>
      <c r="Q74" s="202" t="s">
        <v>532</v>
      </c>
      <c r="R74" s="141" t="s">
        <v>533</v>
      </c>
      <c r="S74" s="150" t="str">
        <f>CONCATENATE(تقویم!$A$2,EventsTable[[#This Row],[روز و ماه]])</f>
        <v>14000418</v>
      </c>
    </row>
    <row r="75" spans="15:19" ht="45" x14ac:dyDescent="0.25">
      <c r="O75" s="152"/>
      <c r="Q75" s="202" t="s">
        <v>534</v>
      </c>
      <c r="R75" s="141" t="s">
        <v>533</v>
      </c>
      <c r="S75" s="150" t="str">
        <f>CONCATENATE(تقویم!$A$2,EventsTable[[#This Row],[روز و ماه]])</f>
        <v>14000418</v>
      </c>
    </row>
    <row r="76" spans="15:19" x14ac:dyDescent="0.25">
      <c r="O76" s="152"/>
      <c r="Q76" s="202" t="s">
        <v>535</v>
      </c>
      <c r="R76" s="141" t="s">
        <v>536</v>
      </c>
      <c r="S76" s="150" t="str">
        <f>CONCATENATE(تقویم!$A$2,EventsTable[[#This Row],[روز و ماه]])</f>
        <v>14000421</v>
      </c>
    </row>
    <row r="77" spans="15:19" ht="30" x14ac:dyDescent="0.25">
      <c r="O77" s="152"/>
      <c r="Q77" s="202" t="s">
        <v>537</v>
      </c>
      <c r="R77" s="141" t="s">
        <v>536</v>
      </c>
      <c r="S77" s="150" t="str">
        <f>CONCATENATE(تقویم!$A$2,EventsTable[[#This Row],[روز و ماه]])</f>
        <v>14000421</v>
      </c>
    </row>
    <row r="78" spans="15:19" ht="30" x14ac:dyDescent="0.25">
      <c r="O78" s="152"/>
      <c r="Q78" s="202" t="s">
        <v>538</v>
      </c>
      <c r="R78" s="141" t="s">
        <v>539</v>
      </c>
      <c r="S78" s="150" t="str">
        <f>CONCATENATE(تقویم!$A$2,EventsTable[[#This Row],[روز و ماه]])</f>
        <v>14000423</v>
      </c>
    </row>
    <row r="79" spans="15:19" ht="30" x14ac:dyDescent="0.25">
      <c r="O79" s="152"/>
      <c r="Q79" s="202" t="s">
        <v>540</v>
      </c>
      <c r="R79" s="141" t="s">
        <v>539</v>
      </c>
      <c r="S79" s="150" t="str">
        <f>CONCATENATE(تقویم!$A$2,EventsTable[[#This Row],[روز و ماه]])</f>
        <v>14000423</v>
      </c>
    </row>
    <row r="80" spans="15:19" x14ac:dyDescent="0.25">
      <c r="O80" s="152"/>
      <c r="Q80" s="202" t="s">
        <v>541</v>
      </c>
      <c r="R80" s="141" t="s">
        <v>542</v>
      </c>
      <c r="S80" s="150" t="str">
        <f>CONCATENATE(تقویم!$A$2,EventsTable[[#This Row],[روز و ماه]])</f>
        <v>14000425</v>
      </c>
    </row>
    <row r="81" spans="15:19" ht="30" x14ac:dyDescent="0.25">
      <c r="O81" s="152"/>
      <c r="Q81" s="202" t="s">
        <v>543</v>
      </c>
      <c r="R81" s="141" t="s">
        <v>544</v>
      </c>
      <c r="S81" s="150" t="str">
        <f>CONCATENATE(تقویم!$A$2,EventsTable[[#This Row],[روز و ماه]])</f>
        <v>14000426</v>
      </c>
    </row>
    <row r="82" spans="15:19" ht="30" x14ac:dyDescent="0.25">
      <c r="O82" s="152"/>
      <c r="Q82" s="202" t="s">
        <v>545</v>
      </c>
      <c r="R82" s="141" t="s">
        <v>546</v>
      </c>
      <c r="S82" s="150" t="str">
        <f>CONCATENATE(تقویم!$A$2,EventsTable[[#This Row],[روز و ماه]])</f>
        <v>14000427</v>
      </c>
    </row>
    <row r="83" spans="15:19" ht="30" x14ac:dyDescent="0.25">
      <c r="O83" s="152"/>
      <c r="Q83" s="202" t="s">
        <v>547</v>
      </c>
      <c r="R83" s="141" t="s">
        <v>548</v>
      </c>
      <c r="S83" s="150" t="str">
        <f>CONCATENATE(تقویم!$A$2,EventsTable[[#This Row],[روز و ماه]])</f>
        <v>14000730</v>
      </c>
    </row>
    <row r="84" spans="15:19" x14ac:dyDescent="0.25">
      <c r="O84" s="152"/>
      <c r="Q84" s="202" t="s">
        <v>549</v>
      </c>
      <c r="R84" s="141" t="s">
        <v>550</v>
      </c>
      <c r="S84" s="150" t="str">
        <f>CONCATENATE(تقویم!$A$2,EventsTable[[#This Row],[روز و ماه]])</f>
        <v>14000504</v>
      </c>
    </row>
    <row r="85" spans="15:19" ht="30" x14ac:dyDescent="0.25">
      <c r="O85" s="152"/>
      <c r="Q85" s="202" t="s">
        <v>551</v>
      </c>
      <c r="R85" s="141" t="s">
        <v>552</v>
      </c>
      <c r="S85" s="150" t="str">
        <f>CONCATENATE(تقویم!$A$2,EventsTable[[#This Row],[روز و ماه]])</f>
        <v>14000505</v>
      </c>
    </row>
    <row r="86" spans="15:19" ht="30" x14ac:dyDescent="0.25">
      <c r="O86" s="152"/>
      <c r="Q86" s="202" t="s">
        <v>553</v>
      </c>
      <c r="R86" s="141" t="s">
        <v>554</v>
      </c>
      <c r="S86" s="150" t="str">
        <f>CONCATENATE(تقویم!$A$2,EventsTable[[#This Row],[روز و ماه]])</f>
        <v>14000506</v>
      </c>
    </row>
    <row r="87" spans="15:19" ht="30" x14ac:dyDescent="0.25">
      <c r="O87" s="152"/>
      <c r="Q87" s="202" t="s">
        <v>555</v>
      </c>
      <c r="R87" s="141" t="s">
        <v>556</v>
      </c>
      <c r="S87" s="150" t="str">
        <f>CONCATENATE(تقویم!$A$2,EventsTable[[#This Row],[روز و ماه]])</f>
        <v>14000508</v>
      </c>
    </row>
    <row r="88" spans="15:19" x14ac:dyDescent="0.25">
      <c r="O88" s="152"/>
      <c r="Q88" s="202" t="s">
        <v>557</v>
      </c>
      <c r="R88" s="141" t="s">
        <v>558</v>
      </c>
      <c r="S88" s="150" t="str">
        <f>CONCATENATE(تقویم!$A$2,EventsTable[[#This Row],[روز و ماه]])</f>
        <v>14000509</v>
      </c>
    </row>
    <row r="89" spans="15:19" ht="30" x14ac:dyDescent="0.25">
      <c r="O89" s="152"/>
      <c r="Q89" s="202" t="s">
        <v>559</v>
      </c>
      <c r="R89" s="141" t="s">
        <v>560</v>
      </c>
      <c r="S89" s="150" t="str">
        <f>CONCATENATE(تقویم!$A$2,EventsTable[[#This Row],[روز و ماه]])</f>
        <v>14000511</v>
      </c>
    </row>
    <row r="90" spans="15:19" ht="30" x14ac:dyDescent="0.25">
      <c r="O90" s="152"/>
      <c r="Q90" s="202" t="s">
        <v>825</v>
      </c>
      <c r="R90" s="141" t="s">
        <v>561</v>
      </c>
      <c r="S90" s="150" t="str">
        <f>CONCATENATE(تقویم!$A$2,EventsTable[[#This Row],[روز و ماه]])</f>
        <v>14000514</v>
      </c>
    </row>
    <row r="91" spans="15:19" x14ac:dyDescent="0.25">
      <c r="O91" s="152"/>
      <c r="Q91" s="202" t="s">
        <v>562</v>
      </c>
      <c r="R91" s="141" t="s">
        <v>561</v>
      </c>
      <c r="S91" s="150" t="str">
        <f>CONCATENATE(تقویم!$A$2,EventsTable[[#This Row],[روز و ماه]])</f>
        <v>14000514</v>
      </c>
    </row>
    <row r="92" spans="15:19" ht="45" x14ac:dyDescent="0.25">
      <c r="O92" s="152"/>
      <c r="Q92" s="202" t="s">
        <v>563</v>
      </c>
      <c r="R92" s="141" t="s">
        <v>564</v>
      </c>
      <c r="S92" s="150" t="str">
        <f>CONCATENATE(تقویم!$A$2,EventsTable[[#This Row],[روز و ماه]])</f>
        <v>14000515</v>
      </c>
    </row>
    <row r="93" spans="15:19" ht="30" x14ac:dyDescent="0.25">
      <c r="O93" s="152"/>
      <c r="Q93" s="202" t="s">
        <v>565</v>
      </c>
      <c r="R93" s="141" t="s">
        <v>564</v>
      </c>
      <c r="S93" s="150" t="str">
        <f>CONCATENATE(تقویم!$A$2,EventsTable[[#This Row],[روز و ماه]])</f>
        <v>14000515</v>
      </c>
    </row>
    <row r="94" spans="15:19" x14ac:dyDescent="0.25">
      <c r="O94" s="152"/>
      <c r="Q94" s="202" t="s">
        <v>566</v>
      </c>
      <c r="R94" s="141" t="s">
        <v>567</v>
      </c>
      <c r="S94" s="150" t="str">
        <f>CONCATENATE(تقویم!$A$2,EventsTable[[#This Row],[روز و ماه]])</f>
        <v>14000516</v>
      </c>
    </row>
    <row r="95" spans="15:19" x14ac:dyDescent="0.25">
      <c r="O95" s="152"/>
      <c r="Q95" s="202" t="s">
        <v>568</v>
      </c>
      <c r="R95" s="141" t="s">
        <v>569</v>
      </c>
      <c r="S95" s="150" t="str">
        <f>CONCATENATE(تقویم!$A$2,EventsTable[[#This Row],[روز و ماه]])</f>
        <v>14000517</v>
      </c>
    </row>
    <row r="96" spans="15:19" x14ac:dyDescent="0.25">
      <c r="O96" s="152"/>
      <c r="Q96" s="202" t="s">
        <v>570</v>
      </c>
      <c r="R96" s="141" t="s">
        <v>571</v>
      </c>
      <c r="S96" s="150" t="str">
        <f>CONCATENATE(تقویم!$A$2,EventsTable[[#This Row],[روز و ماه]])</f>
        <v>14000518</v>
      </c>
    </row>
    <row r="97" spans="15:19" x14ac:dyDescent="0.25">
      <c r="O97" s="152"/>
      <c r="Q97" s="202" t="s">
        <v>572</v>
      </c>
      <c r="R97" s="141" t="s">
        <v>573</v>
      </c>
      <c r="S97" s="150" t="str">
        <f>CONCATENATE(تقویم!$A$2,EventsTable[[#This Row],[روز و ماه]])</f>
        <v>14000521</v>
      </c>
    </row>
    <row r="98" spans="15:19" x14ac:dyDescent="0.25">
      <c r="O98" s="152"/>
      <c r="Q98" s="202" t="s">
        <v>574</v>
      </c>
      <c r="R98" s="141" t="s">
        <v>575</v>
      </c>
      <c r="S98" s="150" t="str">
        <f>CONCATENATE(تقویم!$A$2,EventsTable[[#This Row],[روز و ماه]])</f>
        <v>14000522</v>
      </c>
    </row>
    <row r="99" spans="15:19" x14ac:dyDescent="0.25">
      <c r="O99" s="152"/>
      <c r="Q99" s="202" t="s">
        <v>576</v>
      </c>
      <c r="R99" s="141" t="s">
        <v>577</v>
      </c>
      <c r="S99" s="150" t="str">
        <f>CONCATENATE(تقویم!$A$2,EventsTable[[#This Row],[روز و ماه]])</f>
        <v>14000523</v>
      </c>
    </row>
    <row r="100" spans="15:19" ht="30" x14ac:dyDescent="0.25">
      <c r="O100" s="152"/>
      <c r="Q100" s="202" t="s">
        <v>578</v>
      </c>
      <c r="R100" s="141" t="s">
        <v>579</v>
      </c>
      <c r="S100" s="150" t="str">
        <f>CONCATENATE(تقویم!$A$2,EventsTable[[#This Row],[روز و ماه]])</f>
        <v>14000526</v>
      </c>
    </row>
    <row r="101" spans="15:19" ht="30" x14ac:dyDescent="0.25">
      <c r="O101" s="152"/>
      <c r="Q101" s="202" t="s">
        <v>580</v>
      </c>
      <c r="R101" s="141" t="s">
        <v>581</v>
      </c>
      <c r="S101" s="150" t="str">
        <f>CONCATENATE(تقویم!$A$2,EventsTable[[#This Row],[روز و ماه]])</f>
        <v>14000528</v>
      </c>
    </row>
    <row r="102" spans="15:19" ht="45" x14ac:dyDescent="0.25">
      <c r="O102" s="152"/>
      <c r="Q102" s="202" t="s">
        <v>582</v>
      </c>
      <c r="R102" s="141" t="s">
        <v>581</v>
      </c>
      <c r="S102" s="150" t="str">
        <f>CONCATENATE(تقویم!$A$2,EventsTable[[#This Row],[روز و ماه]])</f>
        <v>14000528</v>
      </c>
    </row>
    <row r="103" spans="15:19" x14ac:dyDescent="0.25">
      <c r="O103" s="152"/>
      <c r="Q103" s="202" t="s">
        <v>583</v>
      </c>
      <c r="R103" s="141" t="s">
        <v>584</v>
      </c>
      <c r="S103" s="150" t="str">
        <f>CONCATENATE(تقویم!$A$2,EventsTable[[#This Row],[روز و ماه]])</f>
        <v>14000530</v>
      </c>
    </row>
    <row r="104" spans="15:19" x14ac:dyDescent="0.25">
      <c r="O104" s="152"/>
      <c r="Q104" s="202" t="s">
        <v>585</v>
      </c>
      <c r="R104" s="141" t="s">
        <v>586</v>
      </c>
      <c r="S104" s="150" t="str">
        <f>CONCATENATE(تقویم!$A$2,EventsTable[[#This Row],[روز و ماه]])</f>
        <v>14000531</v>
      </c>
    </row>
    <row r="105" spans="15:19" x14ac:dyDescent="0.25">
      <c r="O105" s="152"/>
      <c r="Q105" s="202" t="s">
        <v>587</v>
      </c>
      <c r="R105" s="141" t="s">
        <v>588</v>
      </c>
      <c r="S105" s="150" t="str">
        <f>CONCATENATE(تقویم!$A$2,EventsTable[[#This Row],[روز و ماه]])</f>
        <v>14000601</v>
      </c>
    </row>
    <row r="106" spans="15:19" x14ac:dyDescent="0.25">
      <c r="O106" s="152"/>
      <c r="Q106" s="202" t="s">
        <v>589</v>
      </c>
      <c r="R106" s="141" t="s">
        <v>588</v>
      </c>
      <c r="S106" s="150" t="str">
        <f>CONCATENATE(تقویم!$A$2,EventsTable[[#This Row],[روز و ماه]])</f>
        <v>14000601</v>
      </c>
    </row>
    <row r="107" spans="15:19" x14ac:dyDescent="0.25">
      <c r="O107" s="152"/>
      <c r="Q107" s="202" t="s">
        <v>590</v>
      </c>
      <c r="R107" s="141" t="s">
        <v>591</v>
      </c>
      <c r="S107" s="150" t="str">
        <f>CONCATENATE(تقویم!$A$2,EventsTable[[#This Row],[روز و ماه]])</f>
        <v>14000602</v>
      </c>
    </row>
    <row r="108" spans="15:19" ht="30" x14ac:dyDescent="0.25">
      <c r="O108" s="152"/>
      <c r="Q108" s="202" t="s">
        <v>592</v>
      </c>
      <c r="R108" s="141" t="s">
        <v>591</v>
      </c>
      <c r="S108" s="150" t="str">
        <f>CONCATENATE(تقویم!$A$2,EventsTable[[#This Row],[روز و ماه]])</f>
        <v>14000602</v>
      </c>
    </row>
    <row r="109" spans="15:19" ht="30" x14ac:dyDescent="0.25">
      <c r="O109" s="152"/>
      <c r="Q109" s="202" t="s">
        <v>593</v>
      </c>
      <c r="R109" s="141" t="s">
        <v>594</v>
      </c>
      <c r="S109" s="150" t="str">
        <f>CONCATENATE(تقویم!$A$2,EventsTable[[#This Row],[روز و ماه]])</f>
        <v>14000603</v>
      </c>
    </row>
    <row r="110" spans="15:19" x14ac:dyDescent="0.25">
      <c r="O110" s="152"/>
      <c r="Q110" s="202" t="s">
        <v>595</v>
      </c>
      <c r="R110" s="141" t="s">
        <v>596</v>
      </c>
      <c r="S110" s="150" t="str">
        <f>CONCATENATE(تقویم!$A$2,EventsTable[[#This Row],[روز و ماه]])</f>
        <v>14000604</v>
      </c>
    </row>
    <row r="111" spans="15:19" x14ac:dyDescent="0.25">
      <c r="O111" s="152"/>
      <c r="Q111" s="202" t="s">
        <v>597</v>
      </c>
      <c r="R111" s="141" t="s">
        <v>598</v>
      </c>
      <c r="S111" s="150" t="str">
        <f>CONCATENATE(تقویم!$A$2,EventsTable[[#This Row],[روز و ماه]])</f>
        <v>14000605</v>
      </c>
    </row>
    <row r="112" spans="15:19" x14ac:dyDescent="0.25">
      <c r="O112" s="152"/>
      <c r="Q112" s="202" t="s">
        <v>599</v>
      </c>
      <c r="R112" s="141" t="s">
        <v>598</v>
      </c>
      <c r="S112" s="150" t="str">
        <f>CONCATENATE(تقویم!$A$2,EventsTable[[#This Row],[روز و ماه]])</f>
        <v>14000605</v>
      </c>
    </row>
    <row r="113" spans="15:19" x14ac:dyDescent="0.25">
      <c r="O113" s="152"/>
      <c r="Q113" s="202" t="s">
        <v>600</v>
      </c>
      <c r="R113" s="141" t="s">
        <v>598</v>
      </c>
      <c r="S113" s="150" t="str">
        <f>CONCATENATE(تقویم!$A$2,EventsTable[[#This Row],[روز و ماه]])</f>
        <v>14000605</v>
      </c>
    </row>
    <row r="114" spans="15:19" ht="60" x14ac:dyDescent="0.25">
      <c r="O114" s="152"/>
      <c r="Q114" s="202" t="s">
        <v>601</v>
      </c>
      <c r="R114" s="141" t="s">
        <v>602</v>
      </c>
      <c r="S114" s="150" t="str">
        <f>CONCATENATE(تقویم!$A$2,EventsTable[[#This Row],[روز و ماه]])</f>
        <v>14000608</v>
      </c>
    </row>
    <row r="115" spans="15:19" ht="45" x14ac:dyDescent="0.25">
      <c r="O115" s="152"/>
      <c r="Q115" s="202" t="s">
        <v>603</v>
      </c>
      <c r="R115" s="141" t="s">
        <v>604</v>
      </c>
      <c r="S115" s="150" t="str">
        <f>CONCATENATE(تقویم!$A$2,EventsTable[[#This Row],[روز و ماه]])</f>
        <v>14000610</v>
      </c>
    </row>
    <row r="116" spans="15:19" ht="45" x14ac:dyDescent="0.25">
      <c r="O116" s="152"/>
      <c r="Q116" s="202" t="s">
        <v>605</v>
      </c>
      <c r="R116" s="141" t="s">
        <v>604</v>
      </c>
      <c r="S116" s="150" t="str">
        <f>CONCATENATE(تقویم!$A$2,EventsTable[[#This Row],[روز و ماه]])</f>
        <v>14000610</v>
      </c>
    </row>
    <row r="117" spans="15:19" x14ac:dyDescent="0.25">
      <c r="O117" s="152"/>
      <c r="Q117" s="202" t="s">
        <v>606</v>
      </c>
      <c r="R117" s="141" t="s">
        <v>607</v>
      </c>
      <c r="S117" s="150" t="str">
        <f>CONCATENATE(تقویم!$A$2,EventsTable[[#This Row],[روز و ماه]])</f>
        <v>14000611</v>
      </c>
    </row>
    <row r="118" spans="15:19" ht="45" x14ac:dyDescent="0.25">
      <c r="O118" s="152"/>
      <c r="Q118" s="202" t="s">
        <v>608</v>
      </c>
      <c r="R118" s="141" t="s">
        <v>609</v>
      </c>
      <c r="S118" s="150" t="str">
        <f>CONCATENATE(تقویم!$A$2,EventsTable[[#This Row],[روز و ماه]])</f>
        <v>14000612</v>
      </c>
    </row>
    <row r="119" spans="15:19" x14ac:dyDescent="0.25">
      <c r="O119" s="152"/>
      <c r="Q119" s="202" t="s">
        <v>610</v>
      </c>
      <c r="R119" s="141" t="s">
        <v>609</v>
      </c>
      <c r="S119" s="150" t="str">
        <f>CONCATENATE(تقویم!$A$2,EventsTable[[#This Row],[روز و ماه]])</f>
        <v>14000612</v>
      </c>
    </row>
    <row r="120" spans="15:19" x14ac:dyDescent="0.25">
      <c r="O120" s="152"/>
      <c r="Q120" s="141" t="s">
        <v>611</v>
      </c>
      <c r="R120" s="141" t="s">
        <v>612</v>
      </c>
      <c r="S120" s="150" t="str">
        <f>CONCATENATE(تقویم!$A$2,EventsTable[[#This Row],[روز و ماه]])</f>
        <v>14000613</v>
      </c>
    </row>
    <row r="121" spans="15:19" x14ac:dyDescent="0.25">
      <c r="O121" s="152"/>
      <c r="Q121" s="141" t="s">
        <v>613</v>
      </c>
      <c r="R121" s="141" t="s">
        <v>612</v>
      </c>
      <c r="S121" s="150" t="str">
        <f>CONCATENATE(تقویم!$A$2,EventsTable[[#This Row],[روز و ماه]])</f>
        <v>14000613</v>
      </c>
    </row>
    <row r="122" spans="15:19" x14ac:dyDescent="0.25">
      <c r="O122" s="152"/>
      <c r="Q122" s="141" t="s">
        <v>946</v>
      </c>
      <c r="R122" s="141" t="s">
        <v>612</v>
      </c>
      <c r="S122" s="150" t="str">
        <f>CONCATENATE(تقویم!$A$2,EventsTable[[#This Row],[روز و ماه]])</f>
        <v>14000613</v>
      </c>
    </row>
    <row r="123" spans="15:19" ht="30" x14ac:dyDescent="0.25">
      <c r="O123" s="152"/>
      <c r="Q123" s="141" t="s">
        <v>614</v>
      </c>
      <c r="R123" s="141" t="s">
        <v>615</v>
      </c>
      <c r="S123" s="150" t="str">
        <f>CONCATENATE(تقویم!$A$2,EventsTable[[#This Row],[روز و ماه]])</f>
        <v>14000614</v>
      </c>
    </row>
    <row r="124" spans="15:19" ht="45" x14ac:dyDescent="0.25">
      <c r="O124" s="152"/>
      <c r="Q124" s="141" t="s">
        <v>616</v>
      </c>
      <c r="R124" s="141" t="s">
        <v>617</v>
      </c>
      <c r="S124" s="150" t="str">
        <f>CONCATENATE(تقویم!$A$2,EventsTable[[#This Row],[روز و ماه]])</f>
        <v>14000617</v>
      </c>
    </row>
    <row r="125" spans="15:19" ht="45" x14ac:dyDescent="0.25">
      <c r="O125" s="152"/>
      <c r="Q125" s="141" t="s">
        <v>618</v>
      </c>
      <c r="R125" s="141" t="s">
        <v>619</v>
      </c>
      <c r="S125" s="150" t="str">
        <f>CONCATENATE(تقویم!$A$2,EventsTable[[#This Row],[روز و ماه]])</f>
        <v>14000619</v>
      </c>
    </row>
    <row r="126" spans="15:19" ht="30" x14ac:dyDescent="0.25">
      <c r="O126" s="152"/>
      <c r="Q126" s="141" t="s">
        <v>620</v>
      </c>
      <c r="R126" s="141" t="s">
        <v>621</v>
      </c>
      <c r="S126" s="150" t="str">
        <f>CONCATENATE(تقویم!$A$2,EventsTable[[#This Row],[روز و ماه]])</f>
        <v>14000620</v>
      </c>
    </row>
    <row r="127" spans="15:19" x14ac:dyDescent="0.25">
      <c r="O127" s="152"/>
      <c r="Q127" s="141" t="s">
        <v>622</v>
      </c>
      <c r="R127" s="141" t="s">
        <v>623</v>
      </c>
      <c r="S127" s="150" t="str">
        <f>CONCATENATE(تقویم!$A$2,EventsTable[[#This Row],[روز و ماه]])</f>
        <v>14000621</v>
      </c>
    </row>
    <row r="128" spans="15:19" x14ac:dyDescent="0.25">
      <c r="O128" s="152"/>
      <c r="Q128" s="141" t="s">
        <v>624</v>
      </c>
      <c r="R128" s="141" t="s">
        <v>625</v>
      </c>
      <c r="S128" s="150" t="str">
        <f>CONCATENATE(تقویم!$A$2,EventsTable[[#This Row],[روز و ماه]])</f>
        <v>14000627</v>
      </c>
    </row>
    <row r="129" spans="15:19" ht="30" x14ac:dyDescent="0.25">
      <c r="O129" s="152"/>
      <c r="Q129" s="141" t="s">
        <v>626</v>
      </c>
      <c r="R129" s="141" t="s">
        <v>625</v>
      </c>
      <c r="S129" s="150" t="str">
        <f>CONCATENATE(تقویم!$A$2,EventsTable[[#This Row],[روز و ماه]])</f>
        <v>14000627</v>
      </c>
    </row>
    <row r="130" spans="15:19" x14ac:dyDescent="0.25">
      <c r="O130" s="152"/>
      <c r="Q130" s="141" t="s">
        <v>627</v>
      </c>
      <c r="R130" s="141" t="s">
        <v>628</v>
      </c>
      <c r="S130" s="150" t="str">
        <f>CONCATENATE(تقویم!$A$2,EventsTable[[#This Row],[روز و ماه]])</f>
        <v>14000631</v>
      </c>
    </row>
    <row r="131" spans="15:19" x14ac:dyDescent="0.25">
      <c r="O131" s="152"/>
      <c r="Q131" s="141" t="s">
        <v>629</v>
      </c>
      <c r="R131" s="141" t="s">
        <v>628</v>
      </c>
      <c r="S131" s="150" t="str">
        <f>CONCATENATE(تقویم!$A$2,EventsTable[[#This Row],[روز و ماه]])</f>
        <v>14000631</v>
      </c>
    </row>
    <row r="132" spans="15:19" ht="30" x14ac:dyDescent="0.25">
      <c r="O132" s="152"/>
      <c r="Q132" s="141" t="s">
        <v>630</v>
      </c>
      <c r="R132" s="141" t="s">
        <v>631</v>
      </c>
      <c r="S132" s="150" t="str">
        <f>CONCATENATE(تقویم!$A$2,EventsTable[[#This Row],[روز و ماه]])</f>
        <v>14000705</v>
      </c>
    </row>
    <row r="133" spans="15:19" ht="30" x14ac:dyDescent="0.25">
      <c r="O133" s="152"/>
      <c r="Q133" s="141" t="s">
        <v>632</v>
      </c>
      <c r="R133" s="141" t="s">
        <v>633</v>
      </c>
      <c r="S133" s="150" t="str">
        <f>CONCATENATE(تقویم!$A$2,EventsTable[[#This Row],[روز و ماه]])</f>
        <v>14000707</v>
      </c>
    </row>
    <row r="134" spans="15:19" ht="45" x14ac:dyDescent="0.25">
      <c r="O134" s="152"/>
      <c r="Q134" s="141" t="s">
        <v>634</v>
      </c>
      <c r="R134" s="141" t="s">
        <v>633</v>
      </c>
      <c r="S134" s="150" t="str">
        <f>CONCATENATE(تقویم!$A$2,EventsTable[[#This Row],[روز و ماه]])</f>
        <v>14000707</v>
      </c>
    </row>
    <row r="135" spans="15:19" x14ac:dyDescent="0.25">
      <c r="O135" s="152"/>
      <c r="Q135" s="141" t="s">
        <v>635</v>
      </c>
      <c r="R135" s="141" t="s">
        <v>633</v>
      </c>
      <c r="S135" s="150" t="str">
        <f>CONCATENATE(تقویم!$A$2,EventsTable[[#This Row],[روز و ماه]])</f>
        <v>14000707</v>
      </c>
    </row>
    <row r="136" spans="15:19" x14ac:dyDescent="0.25">
      <c r="O136" s="152"/>
      <c r="Q136" s="141" t="s">
        <v>636</v>
      </c>
      <c r="R136" s="141" t="s">
        <v>633</v>
      </c>
      <c r="S136" s="150" t="str">
        <f>CONCATENATE(تقویم!$A$2,EventsTable[[#This Row],[روز و ماه]])</f>
        <v>14000707</v>
      </c>
    </row>
    <row r="137" spans="15:19" x14ac:dyDescent="0.25">
      <c r="O137" s="152"/>
      <c r="Q137" s="141" t="s">
        <v>637</v>
      </c>
      <c r="R137" s="141" t="s">
        <v>638</v>
      </c>
      <c r="S137" s="150" t="str">
        <f>CONCATENATE(تقویم!$A$2,EventsTable[[#This Row],[روز و ماه]])</f>
        <v>14000708</v>
      </c>
    </row>
    <row r="138" spans="15:19" ht="30" x14ac:dyDescent="0.25">
      <c r="O138" s="152"/>
      <c r="Q138" s="141" t="s">
        <v>639</v>
      </c>
      <c r="R138" s="141" t="s">
        <v>640</v>
      </c>
      <c r="S138" s="150" t="str">
        <f>CONCATENATE(تقویم!$A$2,EventsTable[[#This Row],[روز و ماه]])</f>
        <v>14000709</v>
      </c>
    </row>
    <row r="139" spans="15:19" ht="30" x14ac:dyDescent="0.25">
      <c r="O139" s="152"/>
      <c r="Q139" s="141" t="s">
        <v>641</v>
      </c>
      <c r="R139" s="141" t="s">
        <v>642</v>
      </c>
      <c r="S139" s="150" t="str">
        <f>CONCATENATE(تقویم!$A$2,EventsTable[[#This Row],[روز و ماه]])</f>
        <v>14000713</v>
      </c>
    </row>
    <row r="140" spans="15:19" x14ac:dyDescent="0.25">
      <c r="O140" s="152"/>
      <c r="Q140" s="141" t="s">
        <v>643</v>
      </c>
      <c r="R140" s="141" t="s">
        <v>642</v>
      </c>
      <c r="S140" s="150" t="str">
        <f>CONCATENATE(تقویم!$A$2,EventsTable[[#This Row],[روز و ماه]])</f>
        <v>14000713</v>
      </c>
    </row>
    <row r="141" spans="15:19" x14ac:dyDescent="0.25">
      <c r="O141" s="152"/>
      <c r="Q141" s="141" t="s">
        <v>644</v>
      </c>
      <c r="R141" s="141" t="s">
        <v>645</v>
      </c>
      <c r="S141" s="150" t="str">
        <f>CONCATENATE(تقویم!$A$2,EventsTable[[#This Row],[روز و ماه]])</f>
        <v>14000714</v>
      </c>
    </row>
    <row r="142" spans="15:19" x14ac:dyDescent="0.25">
      <c r="O142" s="152"/>
      <c r="Q142" s="141" t="s">
        <v>646</v>
      </c>
      <c r="R142" s="141" t="s">
        <v>647</v>
      </c>
      <c r="S142" s="150" t="str">
        <f>CONCATENATE(تقویم!$A$2,EventsTable[[#This Row],[روز و ماه]])</f>
        <v>14000715</v>
      </c>
    </row>
    <row r="143" spans="15:19" x14ac:dyDescent="0.25">
      <c r="O143" s="152"/>
      <c r="Q143" s="141" t="s">
        <v>648</v>
      </c>
      <c r="R143" s="141" t="s">
        <v>649</v>
      </c>
      <c r="S143" s="150" t="str">
        <f>CONCATENATE(تقویم!$A$2,EventsTable[[#This Row],[روز و ماه]])</f>
        <v>14000720</v>
      </c>
    </row>
    <row r="144" spans="15:19" ht="45" x14ac:dyDescent="0.25">
      <c r="O144" s="152"/>
      <c r="Q144" s="141" t="s">
        <v>650</v>
      </c>
      <c r="R144" s="141" t="s">
        <v>577</v>
      </c>
      <c r="S144" s="150" t="str">
        <f>CONCATENATE(تقویم!$A$2,EventsTable[[#This Row],[روز و ماه]])</f>
        <v>14000523</v>
      </c>
    </row>
    <row r="145" spans="15:19" x14ac:dyDescent="0.25">
      <c r="O145" s="152"/>
      <c r="Q145" s="141" t="s">
        <v>651</v>
      </c>
      <c r="R145" s="141" t="s">
        <v>652</v>
      </c>
      <c r="S145" s="150" t="str">
        <f>CONCATENATE(تقویم!$A$2,EventsTable[[#This Row],[روز و ماه]])</f>
        <v>14000724</v>
      </c>
    </row>
    <row r="146" spans="15:19" x14ac:dyDescent="0.25">
      <c r="O146" s="152"/>
      <c r="Q146" s="141" t="s">
        <v>653</v>
      </c>
      <c r="R146" s="141" t="s">
        <v>652</v>
      </c>
      <c r="S146" s="150" t="str">
        <f>CONCATENATE(تقویم!$A$2,EventsTable[[#This Row],[روز و ماه]])</f>
        <v>14000724</v>
      </c>
    </row>
    <row r="147" spans="15:19" ht="45" x14ac:dyDescent="0.25">
      <c r="O147" s="152"/>
      <c r="Q147" s="141" t="s">
        <v>654</v>
      </c>
      <c r="R147" s="141" t="s">
        <v>652</v>
      </c>
      <c r="S147" s="150" t="str">
        <f>CONCATENATE(تقویم!$A$2,EventsTable[[#This Row],[روز و ماه]])</f>
        <v>14000724</v>
      </c>
    </row>
    <row r="148" spans="15:19" x14ac:dyDescent="0.25">
      <c r="O148" s="152"/>
      <c r="Q148" s="141" t="s">
        <v>655</v>
      </c>
      <c r="R148" s="141" t="s">
        <v>656</v>
      </c>
      <c r="S148" s="150" t="str">
        <f>CONCATENATE(تقویم!$A$2,EventsTable[[#This Row],[روز و ماه]])</f>
        <v>14000726</v>
      </c>
    </row>
    <row r="149" spans="15:19" x14ac:dyDescent="0.25">
      <c r="O149" s="152"/>
      <c r="Q149" s="141" t="s">
        <v>657</v>
      </c>
      <c r="R149" s="141" t="s">
        <v>658</v>
      </c>
      <c r="S149" s="150" t="str">
        <f>CONCATENATE(تقویم!$A$2,EventsTable[[#This Row],[روز و ماه]])</f>
        <v>14000729</v>
      </c>
    </row>
    <row r="150" spans="15:19" ht="30" x14ac:dyDescent="0.25">
      <c r="O150" s="152"/>
      <c r="Q150" s="141" t="s">
        <v>659</v>
      </c>
      <c r="R150" s="141" t="s">
        <v>660</v>
      </c>
      <c r="S150" s="150" t="str">
        <f>CONCATENATE(تقویم!$A$2,EventsTable[[#This Row],[روز و ماه]])</f>
        <v>14000801</v>
      </c>
    </row>
    <row r="151" spans="15:19" x14ac:dyDescent="0.25">
      <c r="O151" s="152"/>
      <c r="Q151" s="141" t="s">
        <v>661</v>
      </c>
      <c r="R151" s="141" t="s">
        <v>660</v>
      </c>
      <c r="S151" s="150" t="str">
        <f>CONCATENATE(تقویم!$A$2,EventsTable[[#This Row],[روز و ماه]])</f>
        <v>14000801</v>
      </c>
    </row>
    <row r="152" spans="15:19" ht="45" x14ac:dyDescent="0.25">
      <c r="O152" s="152"/>
      <c r="Q152" s="141" t="s">
        <v>662</v>
      </c>
      <c r="R152" s="141" t="s">
        <v>663</v>
      </c>
      <c r="S152" s="150" t="str">
        <f>CONCATENATE(تقویم!$A$2,EventsTable[[#This Row],[روز و ماه]])</f>
        <v>14000804</v>
      </c>
    </row>
    <row r="153" spans="15:19" ht="30" x14ac:dyDescent="0.25">
      <c r="O153" s="152"/>
      <c r="Q153" s="141" t="s">
        <v>664</v>
      </c>
      <c r="R153" s="141" t="s">
        <v>665</v>
      </c>
      <c r="S153" s="150" t="str">
        <f>CONCATENATE(تقویم!$A$2,EventsTable[[#This Row],[روز و ماه]])</f>
        <v>14000808</v>
      </c>
    </row>
    <row r="154" spans="15:19" x14ac:dyDescent="0.25">
      <c r="O154" s="152"/>
      <c r="Q154" s="141"/>
      <c r="R154" s="141"/>
      <c r="S154" s="150" t="str">
        <f>CONCATENATE(تقویم!$A$2,EventsTable[[#This Row],[روز و ماه]])</f>
        <v>1400</v>
      </c>
    </row>
    <row r="155" spans="15:19" x14ac:dyDescent="0.25">
      <c r="O155" s="152"/>
      <c r="Q155" s="141" t="s">
        <v>666</v>
      </c>
      <c r="R155" s="141" t="s">
        <v>665</v>
      </c>
      <c r="S155" s="150" t="str">
        <f>CONCATENATE(تقویم!$A$2,EventsTable[[#This Row],[روز و ماه]])</f>
        <v>14000808</v>
      </c>
    </row>
    <row r="156" spans="15:19" x14ac:dyDescent="0.25">
      <c r="O156" s="152"/>
      <c r="Q156" s="141" t="s">
        <v>667</v>
      </c>
      <c r="R156" s="141" t="s">
        <v>665</v>
      </c>
      <c r="S156" s="150" t="str">
        <f>CONCATENATE(تقویم!$A$2,EventsTable[[#This Row],[روز و ماه]])</f>
        <v>14000808</v>
      </c>
    </row>
    <row r="157" spans="15:19" ht="45" x14ac:dyDescent="0.25">
      <c r="O157" s="152"/>
      <c r="Q157" s="141" t="s">
        <v>668</v>
      </c>
      <c r="R157" s="141" t="s">
        <v>669</v>
      </c>
      <c r="S157" s="150" t="str">
        <f>CONCATENATE(تقویم!$A$2,EventsTable[[#This Row],[روز و ماه]])</f>
        <v>14000810</v>
      </c>
    </row>
    <row r="158" spans="15:19" ht="45" x14ac:dyDescent="0.25">
      <c r="O158" s="152"/>
      <c r="Q158" s="141" t="s">
        <v>670</v>
      </c>
      <c r="R158" s="141" t="s">
        <v>671</v>
      </c>
      <c r="S158" s="150" t="str">
        <f>CONCATENATE(تقویم!$A$2,EventsTable[[#This Row],[روز و ماه]])</f>
        <v>14000813</v>
      </c>
    </row>
    <row r="159" spans="15:19" x14ac:dyDescent="0.25">
      <c r="O159" s="152"/>
      <c r="Q159" s="141" t="s">
        <v>672</v>
      </c>
      <c r="R159" s="141" t="s">
        <v>671</v>
      </c>
      <c r="S159" s="150" t="str">
        <f>CONCATENATE(تقویم!$A$2,EventsTable[[#This Row],[روز و ماه]])</f>
        <v>14000813</v>
      </c>
    </row>
    <row r="160" spans="15:19" x14ac:dyDescent="0.25">
      <c r="O160" s="152"/>
      <c r="Q160" s="141" t="s">
        <v>673</v>
      </c>
      <c r="R160" s="141" t="s">
        <v>671</v>
      </c>
      <c r="S160" s="150" t="str">
        <f>CONCATENATE(تقویم!$A$2,EventsTable[[#This Row],[روز و ماه]])</f>
        <v>14000813</v>
      </c>
    </row>
    <row r="161" spans="15:19" ht="30" x14ac:dyDescent="0.25">
      <c r="O161" s="152"/>
      <c r="Q161" s="141" t="s">
        <v>674</v>
      </c>
      <c r="R161" s="141" t="s">
        <v>671</v>
      </c>
      <c r="S161" s="150" t="str">
        <f>CONCATENATE(تقویم!$A$2,EventsTable[[#This Row],[روز و ماه]])</f>
        <v>14000813</v>
      </c>
    </row>
    <row r="162" spans="15:19" x14ac:dyDescent="0.25">
      <c r="O162" s="152"/>
      <c r="Q162" s="141" t="s">
        <v>675</v>
      </c>
      <c r="R162" s="141" t="s">
        <v>676</v>
      </c>
      <c r="S162" s="150" t="str">
        <f>CONCATENATE(تقویم!$A$2,EventsTable[[#This Row],[روز و ماه]])</f>
        <v>14000814</v>
      </c>
    </row>
    <row r="163" spans="15:19" x14ac:dyDescent="0.25">
      <c r="O163" s="152"/>
      <c r="Q163" s="141" t="s">
        <v>677</v>
      </c>
      <c r="R163" s="141" t="s">
        <v>678</v>
      </c>
      <c r="S163" s="150" t="str">
        <f>CONCATENATE(تقویم!$A$2,EventsTable[[#This Row],[روز و ماه]])</f>
        <v>14000818</v>
      </c>
    </row>
    <row r="164" spans="15:19" x14ac:dyDescent="0.25">
      <c r="O164" s="152"/>
      <c r="Q164" s="141" t="s">
        <v>679</v>
      </c>
      <c r="R164" s="141" t="s">
        <v>680</v>
      </c>
      <c r="S164" s="150" t="str">
        <f>CONCATENATE(تقویم!$A$2,EventsTable[[#This Row],[روز و ماه]])</f>
        <v>14000824</v>
      </c>
    </row>
    <row r="165" spans="15:19" ht="45" x14ac:dyDescent="0.25">
      <c r="O165" s="152"/>
      <c r="Q165" s="141" t="s">
        <v>681</v>
      </c>
      <c r="R165" s="141" t="s">
        <v>680</v>
      </c>
      <c r="S165" s="150" t="str">
        <f>CONCATENATE(تقویم!$A$2,EventsTable[[#This Row],[روز و ماه]])</f>
        <v>14000824</v>
      </c>
    </row>
    <row r="166" spans="15:19" ht="30" x14ac:dyDescent="0.25">
      <c r="O166" s="152"/>
      <c r="Q166" s="141" t="s">
        <v>682</v>
      </c>
      <c r="R166" s="141" t="s">
        <v>683</v>
      </c>
      <c r="S166" s="150" t="str">
        <f>CONCATENATE(تقویم!$A$2,EventsTable[[#This Row],[روز و ماه]])</f>
        <v>14000826</v>
      </c>
    </row>
    <row r="167" spans="15:19" ht="45" x14ac:dyDescent="0.25">
      <c r="O167" s="152"/>
      <c r="Q167" s="141" t="s">
        <v>684</v>
      </c>
      <c r="R167" s="141" t="s">
        <v>685</v>
      </c>
      <c r="S167" s="150" t="str">
        <f>CONCATENATE(تقویم!$A$2,EventsTable[[#This Row],[روز و ماه]])</f>
        <v>14000905</v>
      </c>
    </row>
    <row r="168" spans="15:19" x14ac:dyDescent="0.25">
      <c r="O168" s="152"/>
      <c r="Q168" s="141" t="s">
        <v>686</v>
      </c>
      <c r="R168" s="141" t="s">
        <v>685</v>
      </c>
      <c r="S168" s="150" t="str">
        <f>CONCATENATE(تقویم!$A$2,EventsTable[[#This Row],[روز و ماه]])</f>
        <v>14000905</v>
      </c>
    </row>
    <row r="169" spans="15:19" x14ac:dyDescent="0.25">
      <c r="O169" s="152"/>
      <c r="Q169" s="141" t="s">
        <v>687</v>
      </c>
      <c r="R169" s="141" t="s">
        <v>688</v>
      </c>
      <c r="S169" s="150" t="str">
        <f>CONCATENATE(تقویم!$A$2,EventsTable[[#This Row],[روز و ماه]])</f>
        <v>14000907</v>
      </c>
    </row>
    <row r="170" spans="15:19" x14ac:dyDescent="0.25">
      <c r="O170" s="152"/>
      <c r="Q170" s="141" t="s">
        <v>689</v>
      </c>
      <c r="R170" s="141" t="s">
        <v>690</v>
      </c>
      <c r="S170" s="150" t="str">
        <f>CONCATENATE(تقویم!$A$2,EventsTable[[#This Row],[روز و ماه]])</f>
        <v>14000909</v>
      </c>
    </row>
    <row r="171" spans="15:19" ht="30" x14ac:dyDescent="0.25">
      <c r="O171" s="152"/>
      <c r="Q171" s="141" t="s">
        <v>691</v>
      </c>
      <c r="R171" s="141" t="s">
        <v>692</v>
      </c>
      <c r="S171" s="150" t="str">
        <f>CONCATENATE(تقویم!$A$2,EventsTable[[#This Row],[روز و ماه]])</f>
        <v>14000910</v>
      </c>
    </row>
    <row r="172" spans="15:19" ht="30" x14ac:dyDescent="0.25">
      <c r="O172" s="152"/>
      <c r="Q172" s="141" t="s">
        <v>693</v>
      </c>
      <c r="R172" s="141" t="s">
        <v>694</v>
      </c>
      <c r="S172" s="150" t="str">
        <f>CONCATENATE(تقویم!$A$2,EventsTable[[#This Row],[روز و ماه]])</f>
        <v>14000911</v>
      </c>
    </row>
    <row r="173" spans="15:19" ht="45" x14ac:dyDescent="0.25">
      <c r="O173" s="152"/>
      <c r="Q173" s="141" t="s">
        <v>695</v>
      </c>
      <c r="R173" s="141" t="s">
        <v>696</v>
      </c>
      <c r="S173" s="150" t="str">
        <f>CONCATENATE(تقویم!$A$2,EventsTable[[#This Row],[روز و ماه]])</f>
        <v>14000912</v>
      </c>
    </row>
    <row r="174" spans="15:19" x14ac:dyDescent="0.25">
      <c r="O174" s="152"/>
      <c r="Q174" s="141" t="s">
        <v>697</v>
      </c>
      <c r="R174" s="141" t="s">
        <v>698</v>
      </c>
      <c r="S174" s="150" t="str">
        <f>CONCATENATE(تقویم!$A$2,EventsTable[[#This Row],[روز و ماه]])</f>
        <v>14000913</v>
      </c>
    </row>
    <row r="175" spans="15:19" x14ac:dyDescent="0.25">
      <c r="O175" s="152"/>
      <c r="Q175" s="141" t="s">
        <v>699</v>
      </c>
      <c r="R175" s="141" t="s">
        <v>700</v>
      </c>
      <c r="S175" s="150" t="str">
        <f>CONCATENATE(تقویم!$A$2,EventsTable[[#This Row],[روز و ماه]])</f>
        <v>14000916</v>
      </c>
    </row>
    <row r="176" spans="15:19" ht="45" x14ac:dyDescent="0.25">
      <c r="O176" s="152"/>
      <c r="Q176" s="141" t="s">
        <v>701</v>
      </c>
      <c r="R176" s="141" t="s">
        <v>702</v>
      </c>
      <c r="S176" s="150" t="str">
        <f>CONCATENATE(تقویم!$A$2,EventsTable[[#This Row],[روز و ماه]])</f>
        <v>14000918</v>
      </c>
    </row>
    <row r="177" spans="15:19" ht="45" x14ac:dyDescent="0.25">
      <c r="O177" s="152"/>
      <c r="Q177" s="141" t="s">
        <v>703</v>
      </c>
      <c r="R177" s="141" t="s">
        <v>704</v>
      </c>
      <c r="S177" s="150" t="str">
        <f>CONCATENATE(تقویم!$A$2,EventsTable[[#This Row],[روز و ماه]])</f>
        <v>14000919</v>
      </c>
    </row>
    <row r="178" spans="15:19" ht="45" x14ac:dyDescent="0.25">
      <c r="O178" s="152"/>
      <c r="Q178" s="141" t="s">
        <v>705</v>
      </c>
      <c r="R178" s="141" t="s">
        <v>706</v>
      </c>
      <c r="S178" s="150" t="str">
        <f>CONCATENATE(تقویم!$A$2,EventsTable[[#This Row],[روز و ماه]])</f>
        <v>14000920</v>
      </c>
    </row>
    <row r="179" spans="15:19" x14ac:dyDescent="0.25">
      <c r="O179" s="152"/>
      <c r="Q179" s="141" t="s">
        <v>707</v>
      </c>
      <c r="R179" s="141" t="s">
        <v>708</v>
      </c>
      <c r="S179" s="150" t="str">
        <f>CONCATENATE(تقویم!$A$2,EventsTable[[#This Row],[روز و ماه]])</f>
        <v>14000925</v>
      </c>
    </row>
    <row r="180" spans="15:19" x14ac:dyDescent="0.25">
      <c r="O180" s="152"/>
      <c r="Q180" s="141" t="s">
        <v>709</v>
      </c>
      <c r="R180" s="141" t="s">
        <v>710</v>
      </c>
      <c r="S180" s="150" t="str">
        <f>CONCATENATE(تقویم!$A$2,EventsTable[[#This Row],[روز و ماه]])</f>
        <v>14000926</v>
      </c>
    </row>
    <row r="181" spans="15:19" ht="30" x14ac:dyDescent="0.25">
      <c r="O181" s="152"/>
      <c r="Q181" s="141" t="s">
        <v>711</v>
      </c>
      <c r="R181" s="141" t="s">
        <v>712</v>
      </c>
      <c r="S181" s="150" t="str">
        <f>CONCATENATE(تقویم!$A$2,EventsTable[[#This Row],[روز و ماه]])</f>
        <v>14000927</v>
      </c>
    </row>
    <row r="182" spans="15:19" x14ac:dyDescent="0.25">
      <c r="O182" s="152"/>
      <c r="Q182" s="141" t="s">
        <v>713</v>
      </c>
      <c r="R182" s="141" t="s">
        <v>712</v>
      </c>
      <c r="S182" s="150" t="str">
        <f>CONCATENATE(تقویم!$A$2,EventsTable[[#This Row],[روز و ماه]])</f>
        <v>14000927</v>
      </c>
    </row>
    <row r="183" spans="15:19" x14ac:dyDescent="0.25">
      <c r="O183" s="152"/>
      <c r="Q183" s="141" t="s">
        <v>714</v>
      </c>
      <c r="R183" s="141" t="s">
        <v>715</v>
      </c>
      <c r="S183" s="150" t="str">
        <f>CONCATENATE(تقویم!$A$2,EventsTable[[#This Row],[روز و ماه]])</f>
        <v>14000929</v>
      </c>
    </row>
    <row r="184" spans="15:19" x14ac:dyDescent="0.25">
      <c r="O184" s="152"/>
      <c r="Q184" s="141" t="s">
        <v>716</v>
      </c>
      <c r="R184" s="141" t="s">
        <v>717</v>
      </c>
      <c r="S184" s="150" t="str">
        <f>CONCATENATE(تقویم!$A$2,EventsTable[[#This Row],[روز و ماه]])</f>
        <v>14000930</v>
      </c>
    </row>
    <row r="185" spans="15:19" x14ac:dyDescent="0.25">
      <c r="O185" s="152"/>
      <c r="Q185" s="141" t="s">
        <v>718</v>
      </c>
      <c r="R185" s="141" t="s">
        <v>719</v>
      </c>
      <c r="S185" s="150" t="str">
        <f>CONCATENATE(تقویم!$A$2,EventsTable[[#This Row],[روز و ماه]])</f>
        <v>14001003</v>
      </c>
    </row>
    <row r="186" spans="15:19" ht="30" x14ac:dyDescent="0.25">
      <c r="O186" s="152"/>
      <c r="Q186" s="141" t="s">
        <v>720</v>
      </c>
      <c r="R186" s="141" t="s">
        <v>721</v>
      </c>
      <c r="S186" s="150" t="str">
        <f>CONCATENATE(تقویم!$A$2,EventsTable[[#This Row],[روز و ماه]])</f>
        <v>14001005</v>
      </c>
    </row>
    <row r="187" spans="15:19" ht="45" x14ac:dyDescent="0.25">
      <c r="O187" s="152"/>
      <c r="Q187" s="141" t="s">
        <v>722</v>
      </c>
      <c r="R187" s="141" t="s">
        <v>723</v>
      </c>
      <c r="S187" s="150" t="str">
        <f>CONCATENATE(تقویم!$A$2,EventsTable[[#This Row],[روز و ماه]])</f>
        <v>14001007</v>
      </c>
    </row>
    <row r="188" spans="15:19" ht="45" x14ac:dyDescent="0.25">
      <c r="O188" s="152"/>
      <c r="Q188" s="141" t="s">
        <v>724</v>
      </c>
      <c r="R188" s="141" t="s">
        <v>723</v>
      </c>
      <c r="S188" s="150" t="str">
        <f>CONCATENATE(تقویم!$A$2,EventsTable[[#This Row],[روز و ماه]])</f>
        <v>14001007</v>
      </c>
    </row>
    <row r="189" spans="15:19" x14ac:dyDescent="0.25">
      <c r="O189" s="152"/>
      <c r="Q189" s="141" t="s">
        <v>725</v>
      </c>
      <c r="R189" s="141" t="s">
        <v>726</v>
      </c>
      <c r="S189" s="150" t="str">
        <f>CONCATENATE(تقویم!$A$2,EventsTable[[#This Row],[روز و ماه]])</f>
        <v>14001008</v>
      </c>
    </row>
    <row r="190" spans="15:19" ht="30" x14ac:dyDescent="0.25">
      <c r="O190" s="152"/>
      <c r="Q190" s="141" t="s">
        <v>727</v>
      </c>
      <c r="R190" s="141" t="s">
        <v>728</v>
      </c>
      <c r="S190" s="150" t="str">
        <f>CONCATENATE(تقویم!$A$2,EventsTable[[#This Row],[روز و ماه]])</f>
        <v>14001009</v>
      </c>
    </row>
    <row r="191" spans="15:19" ht="60" x14ac:dyDescent="0.25">
      <c r="O191" s="152"/>
      <c r="Q191" s="141" t="s">
        <v>729</v>
      </c>
      <c r="R191" s="141" t="s">
        <v>730</v>
      </c>
      <c r="S191" s="150" t="str">
        <f>CONCATENATE(تقویم!$A$2,EventsTable[[#This Row],[روز و ماه]])</f>
        <v>14001013</v>
      </c>
    </row>
    <row r="192" spans="15:19" ht="45" x14ac:dyDescent="0.25">
      <c r="O192" s="152"/>
      <c r="Q192" s="141" t="s">
        <v>731</v>
      </c>
      <c r="R192" s="141" t="s">
        <v>730</v>
      </c>
      <c r="S192" s="150" t="str">
        <f>CONCATENATE(تقویم!$A$2,EventsTable[[#This Row],[روز و ماه]])</f>
        <v>14001013</v>
      </c>
    </row>
    <row r="193" spans="15:19" ht="45" x14ac:dyDescent="0.25">
      <c r="O193" s="152"/>
      <c r="Q193" s="141" t="s">
        <v>732</v>
      </c>
      <c r="R193" s="141" t="s">
        <v>733</v>
      </c>
      <c r="S193" s="150" t="str">
        <f>CONCATENATE(تقویم!$A$2,EventsTable[[#This Row],[روز و ماه]])</f>
        <v>14001017</v>
      </c>
    </row>
    <row r="194" spans="15:19" x14ac:dyDescent="0.25">
      <c r="O194" s="152"/>
      <c r="Q194" s="141" t="s">
        <v>734</v>
      </c>
      <c r="R194" s="141" t="s">
        <v>733</v>
      </c>
      <c r="S194" s="150" t="str">
        <f>CONCATENATE(تقویم!$A$2,EventsTable[[#This Row],[روز و ماه]])</f>
        <v>14001017</v>
      </c>
    </row>
    <row r="195" spans="15:19" x14ac:dyDescent="0.25">
      <c r="O195" s="152"/>
      <c r="Q195" s="141" t="s">
        <v>735</v>
      </c>
      <c r="R195" s="141" t="s">
        <v>736</v>
      </c>
      <c r="S195" s="150" t="str">
        <f>CONCATENATE(تقویم!$A$2,EventsTable[[#This Row],[روز و ماه]])</f>
        <v>14001019</v>
      </c>
    </row>
    <row r="196" spans="15:19" ht="30" x14ac:dyDescent="0.25">
      <c r="O196" s="152"/>
      <c r="Q196" s="141" t="s">
        <v>737</v>
      </c>
      <c r="R196" s="141" t="s">
        <v>738</v>
      </c>
      <c r="S196" s="150" t="str">
        <f>CONCATENATE(تقویم!$A$2,EventsTable[[#This Row],[روز و ماه]])</f>
        <v>14001020</v>
      </c>
    </row>
    <row r="197" spans="15:19" ht="45" x14ac:dyDescent="0.25">
      <c r="O197" s="152"/>
      <c r="Q197" s="141" t="s">
        <v>739</v>
      </c>
      <c r="R197" s="141" t="s">
        <v>740</v>
      </c>
      <c r="S197" s="150" t="str">
        <f>CONCATENATE(تقویم!$A$2,EventsTable[[#This Row],[روز و ماه]])</f>
        <v>14001022</v>
      </c>
    </row>
    <row r="198" spans="15:19" x14ac:dyDescent="0.25">
      <c r="O198" s="152"/>
      <c r="Q198" s="141" t="s">
        <v>741</v>
      </c>
      <c r="R198" s="141" t="s">
        <v>742</v>
      </c>
      <c r="S198" s="150" t="str">
        <f>CONCATENATE(تقویم!$A$2,EventsTable[[#This Row],[روز و ماه]])</f>
        <v>14001026</v>
      </c>
    </row>
    <row r="199" spans="15:19" ht="45" x14ac:dyDescent="0.25">
      <c r="O199" s="152"/>
      <c r="Q199" s="141" t="s">
        <v>743</v>
      </c>
      <c r="R199" s="141" t="s">
        <v>744</v>
      </c>
      <c r="S199" s="150" t="str">
        <f>CONCATENATE(تقویم!$A$2,EventsTable[[#This Row],[روز و ماه]])</f>
        <v>14001027</v>
      </c>
    </row>
    <row r="200" spans="15:19" x14ac:dyDescent="0.25">
      <c r="O200" s="152"/>
      <c r="Q200" s="141" t="s">
        <v>745</v>
      </c>
      <c r="R200" s="141" t="s">
        <v>746</v>
      </c>
      <c r="S200" s="150" t="str">
        <f>CONCATENATE(تقویم!$A$2,EventsTable[[#This Row],[روز و ماه]])</f>
        <v>14001029</v>
      </c>
    </row>
    <row r="201" spans="15:19" x14ac:dyDescent="0.25">
      <c r="O201" s="152"/>
      <c r="Q201" s="141" t="s">
        <v>747</v>
      </c>
      <c r="R201" s="141" t="s">
        <v>748</v>
      </c>
      <c r="S201" s="150" t="str">
        <f>CONCATENATE(تقویم!$A$2,EventsTable[[#This Row],[روز و ماه]])</f>
        <v>14001106</v>
      </c>
    </row>
    <row r="202" spans="15:19" ht="45" x14ac:dyDescent="0.25">
      <c r="O202" s="152"/>
      <c r="Q202" s="141" t="s">
        <v>749</v>
      </c>
      <c r="R202" s="141" t="s">
        <v>750</v>
      </c>
      <c r="S202" s="150" t="str">
        <f>CONCATENATE(تقویم!$A$2,EventsTable[[#This Row],[روز و ماه]])</f>
        <v>14001112</v>
      </c>
    </row>
    <row r="203" spans="15:19" x14ac:dyDescent="0.25">
      <c r="O203" s="152"/>
      <c r="Q203" s="141" t="s">
        <v>751</v>
      </c>
      <c r="R203" s="141" t="s">
        <v>752</v>
      </c>
      <c r="S203" s="150" t="str">
        <f>CONCATENATE(تقویم!$A$2,EventsTable[[#This Row],[روز و ماه]])</f>
        <v>14001114</v>
      </c>
    </row>
    <row r="204" spans="15:19" x14ac:dyDescent="0.25">
      <c r="O204" s="152"/>
      <c r="Q204" s="141" t="s">
        <v>753</v>
      </c>
      <c r="R204" s="141" t="s">
        <v>754</v>
      </c>
      <c r="S204" s="150" t="str">
        <f>CONCATENATE(تقویم!$A$2,EventsTable[[#This Row],[روز و ماه]])</f>
        <v>14001119</v>
      </c>
    </row>
    <row r="205" spans="15:19" ht="45" x14ac:dyDescent="0.25">
      <c r="O205" s="152"/>
      <c r="Q205" s="141" t="s">
        <v>755</v>
      </c>
      <c r="R205" s="141" t="s">
        <v>756</v>
      </c>
      <c r="S205" s="150" t="str">
        <f>CONCATENATE(تقویم!$A$2,EventsTable[[#This Row],[روز و ماه]])</f>
        <v>14001121</v>
      </c>
    </row>
    <row r="206" spans="15:19" ht="60" x14ac:dyDescent="0.25">
      <c r="O206" s="152"/>
      <c r="Q206" s="141" t="s">
        <v>757</v>
      </c>
      <c r="R206" s="141" t="s">
        <v>758</v>
      </c>
      <c r="S206" s="150" t="str">
        <f>CONCATENATE(تقویم!$A$2,EventsTable[[#This Row],[روز و ماه]])</f>
        <v>14001125</v>
      </c>
    </row>
    <row r="207" spans="15:19" ht="30" x14ac:dyDescent="0.25">
      <c r="O207" s="152"/>
      <c r="Q207" s="141" t="s">
        <v>759</v>
      </c>
      <c r="R207" s="141" t="s">
        <v>760</v>
      </c>
      <c r="S207" s="150" t="str">
        <f>CONCATENATE(تقویم!$A$2,EventsTable[[#This Row],[روز و ماه]])</f>
        <v>14001129</v>
      </c>
    </row>
    <row r="208" spans="15:19" x14ac:dyDescent="0.25">
      <c r="O208" s="152"/>
      <c r="Q208" s="141" t="s">
        <v>761</v>
      </c>
      <c r="R208" s="141" t="s">
        <v>760</v>
      </c>
      <c r="S208" s="150" t="str">
        <f>CONCATENATE(تقویم!$A$2,EventsTable[[#This Row],[روز و ماه]])</f>
        <v>14001129</v>
      </c>
    </row>
    <row r="209" spans="15:19" ht="30" x14ac:dyDescent="0.25">
      <c r="O209" s="152"/>
      <c r="Q209" s="141" t="s">
        <v>762</v>
      </c>
      <c r="R209" s="141" t="s">
        <v>763</v>
      </c>
      <c r="S209" s="150" t="str">
        <f>CONCATENATE(تقویم!$A$2,EventsTable[[#This Row],[روز و ماه]])</f>
        <v>14001203</v>
      </c>
    </row>
    <row r="210" spans="15:19" x14ac:dyDescent="0.25">
      <c r="O210" s="152"/>
      <c r="Q210" s="141" t="s">
        <v>764</v>
      </c>
      <c r="R210" s="141" t="s">
        <v>765</v>
      </c>
      <c r="S210" s="150" t="str">
        <f>CONCATENATE(تقویم!$A$2,EventsTable[[#This Row],[روز و ماه]])</f>
        <v>14001205</v>
      </c>
    </row>
    <row r="211" spans="15:19" x14ac:dyDescent="0.25">
      <c r="O211" s="152"/>
      <c r="Q211" s="141" t="s">
        <v>766</v>
      </c>
      <c r="R211" s="141" t="s">
        <v>765</v>
      </c>
      <c r="S211" s="150" t="str">
        <f>CONCATENATE(تقویم!$A$2,EventsTable[[#This Row],[روز و ماه]])</f>
        <v>14001205</v>
      </c>
    </row>
    <row r="212" spans="15:19" x14ac:dyDescent="0.25">
      <c r="O212" s="152"/>
      <c r="Q212" s="141" t="s">
        <v>767</v>
      </c>
      <c r="R212" s="141" t="s">
        <v>768</v>
      </c>
      <c r="S212" s="150" t="str">
        <f>CONCATENATE(تقویم!$A$2,EventsTable[[#This Row],[روز و ماه]])</f>
        <v>14001208</v>
      </c>
    </row>
    <row r="213" spans="15:19" ht="30" x14ac:dyDescent="0.25">
      <c r="O213" s="152"/>
      <c r="Q213" s="141" t="s">
        <v>769</v>
      </c>
      <c r="R213" s="141" t="s">
        <v>768</v>
      </c>
      <c r="S213" s="150" t="str">
        <f>CONCATENATE(تقویم!$A$2,EventsTable[[#This Row],[روز و ماه]])</f>
        <v>14001208</v>
      </c>
    </row>
    <row r="214" spans="15:19" x14ac:dyDescent="0.25">
      <c r="O214" s="152"/>
      <c r="Q214" s="141" t="s">
        <v>770</v>
      </c>
      <c r="R214" s="141" t="s">
        <v>771</v>
      </c>
      <c r="S214" s="150" t="str">
        <f>CONCATENATE(تقویم!$A$2,EventsTable[[#This Row],[روز و ماه]])</f>
        <v>14001209</v>
      </c>
    </row>
    <row r="215" spans="15:19" x14ac:dyDescent="0.25">
      <c r="O215" s="152"/>
      <c r="Q215" s="141" t="s">
        <v>772</v>
      </c>
      <c r="R215" s="141" t="s">
        <v>773</v>
      </c>
      <c r="S215" s="150" t="str">
        <f>CONCATENATE(تقویم!$A$2,EventsTable[[#This Row],[روز و ماه]])</f>
        <v>14001214</v>
      </c>
    </row>
    <row r="216" spans="15:19" x14ac:dyDescent="0.25">
      <c r="O216" s="152"/>
      <c r="Q216" s="141" t="s">
        <v>774</v>
      </c>
      <c r="R216" s="141" t="s">
        <v>773</v>
      </c>
      <c r="S216" s="150" t="str">
        <f>CONCATENATE(تقویم!$A$2,EventsTable[[#This Row],[روز و ماه]])</f>
        <v>14001214</v>
      </c>
    </row>
    <row r="217" spans="15:19" x14ac:dyDescent="0.25">
      <c r="O217" s="152"/>
      <c r="Q217" s="141" t="s">
        <v>775</v>
      </c>
      <c r="R217" s="141" t="s">
        <v>776</v>
      </c>
      <c r="S217" s="150" t="str">
        <f>CONCATENATE(تقویم!$A$2,EventsTable[[#This Row],[روز و ماه]])</f>
        <v>14001215</v>
      </c>
    </row>
    <row r="218" spans="15:19" x14ac:dyDescent="0.25">
      <c r="O218" s="152"/>
      <c r="Q218" s="141" t="s">
        <v>777</v>
      </c>
      <c r="R218" s="141" t="s">
        <v>778</v>
      </c>
      <c r="S218" s="150" t="str">
        <f>CONCATENATE(تقویم!$A$2,EventsTable[[#This Row],[روز و ماه]])</f>
        <v>14001218</v>
      </c>
    </row>
    <row r="219" spans="15:19" ht="30" x14ac:dyDescent="0.25">
      <c r="O219" s="152"/>
      <c r="Q219" s="141" t="s">
        <v>779</v>
      </c>
      <c r="R219" s="141" t="s">
        <v>778</v>
      </c>
      <c r="S219" s="150" t="str">
        <f>CONCATENATE(تقویم!$A$2,EventsTable[[#This Row],[روز و ماه]])</f>
        <v>14001218</v>
      </c>
    </row>
    <row r="220" spans="15:19" x14ac:dyDescent="0.25">
      <c r="O220" s="152"/>
      <c r="Q220" s="141" t="s">
        <v>780</v>
      </c>
      <c r="R220" s="141" t="s">
        <v>781</v>
      </c>
      <c r="S220" s="150" t="str">
        <f>CONCATENATE(تقویم!$A$2,EventsTable[[#This Row],[روز و ماه]])</f>
        <v>14001220</v>
      </c>
    </row>
    <row r="221" spans="15:19" x14ac:dyDescent="0.25">
      <c r="O221" s="152"/>
      <c r="Q221" s="141" t="s">
        <v>782</v>
      </c>
      <c r="R221" s="141" t="s">
        <v>783</v>
      </c>
      <c r="S221" s="150" t="str">
        <f>CONCATENATE(تقویم!$A$2,EventsTable[[#This Row],[روز و ماه]])</f>
        <v>14001221</v>
      </c>
    </row>
    <row r="222" spans="15:19" ht="60" x14ac:dyDescent="0.25">
      <c r="O222" s="152"/>
      <c r="Q222" s="141" t="s">
        <v>784</v>
      </c>
      <c r="R222" s="141" t="s">
        <v>785</v>
      </c>
      <c r="S222" s="150" t="str">
        <f>CONCATENATE(تقویم!$A$2,EventsTable[[#This Row],[روز و ماه]])</f>
        <v>14001222</v>
      </c>
    </row>
    <row r="223" spans="15:19" ht="30" x14ac:dyDescent="0.25">
      <c r="O223" s="152"/>
      <c r="Q223" s="141" t="s">
        <v>786</v>
      </c>
      <c r="R223" s="141" t="s">
        <v>787</v>
      </c>
      <c r="S223" s="150" t="str">
        <f>CONCATENATE(تقویم!$A$2,EventsTable[[#This Row],[روز و ماه]])</f>
        <v>14001225</v>
      </c>
    </row>
    <row r="224" spans="15:19" ht="30" x14ac:dyDescent="0.25">
      <c r="O224" s="152"/>
      <c r="Q224" s="141" t="s">
        <v>788</v>
      </c>
      <c r="R224" s="141" t="s">
        <v>789</v>
      </c>
      <c r="S224" s="150" t="str">
        <f>CONCATENATE(تقویم!$A$2,EventsTable[[#This Row],[روز و ماه]])</f>
        <v>14001230</v>
      </c>
    </row>
    <row r="225" spans="15:19" x14ac:dyDescent="0.25">
      <c r="O225" s="152"/>
      <c r="S225" s="152"/>
    </row>
    <row r="226" spans="15:19" x14ac:dyDescent="0.25">
      <c r="O226" s="152"/>
      <c r="S226" s="152"/>
    </row>
    <row r="227" spans="15:19" x14ac:dyDescent="0.25">
      <c r="O227" s="152"/>
      <c r="S227" s="152"/>
    </row>
    <row r="228" spans="15:19" x14ac:dyDescent="0.25">
      <c r="O228" s="152"/>
      <c r="S228" s="152"/>
    </row>
    <row r="229" spans="15:19" x14ac:dyDescent="0.25">
      <c r="O229" s="152"/>
      <c r="S229" s="152"/>
    </row>
    <row r="230" spans="15:19" x14ac:dyDescent="0.25">
      <c r="O230" s="152"/>
      <c r="S230" s="152"/>
    </row>
    <row r="231" spans="15:19" x14ac:dyDescent="0.25">
      <c r="O231" s="152"/>
      <c r="S231" s="152"/>
    </row>
    <row r="232" spans="15:19" x14ac:dyDescent="0.25">
      <c r="O232" s="152"/>
      <c r="S232" s="152"/>
    </row>
    <row r="233" spans="15:19" x14ac:dyDescent="0.25">
      <c r="O233" s="152"/>
      <c r="S233" s="152"/>
    </row>
    <row r="234" spans="15:19" x14ac:dyDescent="0.25">
      <c r="O234" s="152"/>
      <c r="S234" s="152"/>
    </row>
    <row r="235" spans="15:19" x14ac:dyDescent="0.25">
      <c r="O235" s="152"/>
      <c r="S235" s="152"/>
    </row>
    <row r="236" spans="15:19" x14ac:dyDescent="0.25">
      <c r="O236" s="152"/>
      <c r="S236" s="152"/>
    </row>
    <row r="237" spans="15:19" x14ac:dyDescent="0.25">
      <c r="O237" s="152"/>
      <c r="S237" s="152"/>
    </row>
    <row r="238" spans="15:19" x14ac:dyDescent="0.25">
      <c r="O238" s="152"/>
      <c r="S238" s="152"/>
    </row>
    <row r="239" spans="15:19" x14ac:dyDescent="0.25">
      <c r="O239" s="152"/>
      <c r="S239" s="152"/>
    </row>
    <row r="240" spans="15:19" x14ac:dyDescent="0.25">
      <c r="O240" s="152"/>
      <c r="S240" s="152"/>
    </row>
    <row r="241" spans="15:19" x14ac:dyDescent="0.25">
      <c r="O241" s="152"/>
      <c r="S241" s="152"/>
    </row>
    <row r="242" spans="15:19" x14ac:dyDescent="0.25">
      <c r="O242" s="152"/>
      <c r="S242" s="152"/>
    </row>
    <row r="243" spans="15:19" x14ac:dyDescent="0.25">
      <c r="O243" s="152"/>
      <c r="S243" s="152"/>
    </row>
    <row r="244" spans="15:19" x14ac:dyDescent="0.25">
      <c r="O244" s="152"/>
      <c r="S244" s="152"/>
    </row>
    <row r="245" spans="15:19" x14ac:dyDescent="0.25">
      <c r="O245" s="152"/>
      <c r="S245" s="152"/>
    </row>
    <row r="246" spans="15:19" x14ac:dyDescent="0.25">
      <c r="O246" s="152"/>
      <c r="S246" s="152"/>
    </row>
    <row r="247" spans="15:19" x14ac:dyDescent="0.25">
      <c r="O247" s="152"/>
      <c r="S247" s="152"/>
    </row>
    <row r="248" spans="15:19" x14ac:dyDescent="0.25">
      <c r="O248" s="152"/>
      <c r="S248" s="152"/>
    </row>
    <row r="249" spans="15:19" x14ac:dyDescent="0.25">
      <c r="O249" s="152"/>
      <c r="S249" s="152"/>
    </row>
    <row r="250" spans="15:19" x14ac:dyDescent="0.25">
      <c r="O250" s="152"/>
      <c r="S250" s="152"/>
    </row>
    <row r="251" spans="15:19" x14ac:dyDescent="0.25">
      <c r="O251" s="152"/>
      <c r="S251" s="152"/>
    </row>
    <row r="252" spans="15:19" x14ac:dyDescent="0.25">
      <c r="O252" s="152"/>
      <c r="S252" s="152"/>
    </row>
    <row r="253" spans="15:19" x14ac:dyDescent="0.25">
      <c r="O253" s="152"/>
      <c r="S253" s="152"/>
    </row>
    <row r="254" spans="15:19" x14ac:dyDescent="0.25">
      <c r="O254" s="152"/>
      <c r="S254" s="152"/>
    </row>
    <row r="255" spans="15:19" x14ac:dyDescent="0.25">
      <c r="O255" s="152"/>
      <c r="S255" s="152"/>
    </row>
    <row r="256" spans="15:19" x14ac:dyDescent="0.25">
      <c r="O256" s="152"/>
      <c r="S256" s="152"/>
    </row>
    <row r="257" spans="15:19" x14ac:dyDescent="0.25">
      <c r="O257" s="152"/>
      <c r="S257" s="152"/>
    </row>
    <row r="258" spans="15:19" x14ac:dyDescent="0.25">
      <c r="O258" s="152"/>
      <c r="S258" s="152"/>
    </row>
    <row r="259" spans="15:19" x14ac:dyDescent="0.25">
      <c r="O259" s="152"/>
      <c r="S259" s="152"/>
    </row>
    <row r="260" spans="15:19" x14ac:dyDescent="0.25">
      <c r="O260" s="152"/>
      <c r="S260" s="152"/>
    </row>
    <row r="261" spans="15:19" x14ac:dyDescent="0.25">
      <c r="O261" s="152"/>
      <c r="S261" s="152"/>
    </row>
    <row r="262" spans="15:19" x14ac:dyDescent="0.25">
      <c r="O262" s="152"/>
      <c r="S262" s="152"/>
    </row>
    <row r="263" spans="15:19" x14ac:dyDescent="0.25">
      <c r="O263" s="152"/>
      <c r="S263" s="152"/>
    </row>
    <row r="264" spans="15:19" x14ac:dyDescent="0.25">
      <c r="O264" s="152"/>
      <c r="S264" s="152"/>
    </row>
    <row r="265" spans="15:19" x14ac:dyDescent="0.25">
      <c r="O265" s="152"/>
      <c r="S265" s="152"/>
    </row>
    <row r="266" spans="15:19" x14ac:dyDescent="0.25">
      <c r="O266" s="152"/>
      <c r="S266" s="152"/>
    </row>
    <row r="267" spans="15:19" x14ac:dyDescent="0.25">
      <c r="O267" s="152"/>
      <c r="S267" s="152"/>
    </row>
    <row r="268" spans="15:19" x14ac:dyDescent="0.25">
      <c r="O268" s="152"/>
      <c r="S268" s="152"/>
    </row>
    <row r="269" spans="15:19" x14ac:dyDescent="0.25">
      <c r="O269" s="152"/>
      <c r="S269" s="152"/>
    </row>
    <row r="270" spans="15:19" x14ac:dyDescent="0.25">
      <c r="O270" s="152"/>
      <c r="S270" s="152"/>
    </row>
    <row r="271" spans="15:19" x14ac:dyDescent="0.25">
      <c r="O271" s="152"/>
      <c r="S271" s="152"/>
    </row>
    <row r="272" spans="15:19" x14ac:dyDescent="0.25">
      <c r="O272" s="152"/>
      <c r="S272" s="152"/>
    </row>
    <row r="273" spans="15:19" x14ac:dyDescent="0.25">
      <c r="O273" s="152"/>
      <c r="S273" s="152"/>
    </row>
    <row r="274" spans="15:19" x14ac:dyDescent="0.25">
      <c r="O274" s="152"/>
      <c r="S274" s="152"/>
    </row>
    <row r="275" spans="15:19" x14ac:dyDescent="0.25">
      <c r="O275" s="152"/>
      <c r="S275" s="152"/>
    </row>
    <row r="276" spans="15:19" x14ac:dyDescent="0.25">
      <c r="O276" s="152"/>
      <c r="S276" s="152"/>
    </row>
    <row r="277" spans="15:19" x14ac:dyDescent="0.25">
      <c r="O277" s="152"/>
      <c r="S277" s="152"/>
    </row>
    <row r="278" spans="15:19" x14ac:dyDescent="0.25">
      <c r="O278" s="152"/>
      <c r="S278" s="152"/>
    </row>
    <row r="279" spans="15:19" x14ac:dyDescent="0.25">
      <c r="O279" s="152"/>
      <c r="S279" s="152"/>
    </row>
    <row r="280" spans="15:19" x14ac:dyDescent="0.25">
      <c r="O280" s="152"/>
      <c r="S280" s="152"/>
    </row>
    <row r="281" spans="15:19" x14ac:dyDescent="0.25">
      <c r="O281" s="152"/>
      <c r="S281" s="152"/>
    </row>
    <row r="282" spans="15:19" x14ac:dyDescent="0.25">
      <c r="O282" s="152"/>
      <c r="S282" s="152"/>
    </row>
    <row r="283" spans="15:19" x14ac:dyDescent="0.25">
      <c r="O283" s="152"/>
      <c r="S283" s="152"/>
    </row>
    <row r="284" spans="15:19" x14ac:dyDescent="0.25">
      <c r="O284" s="152"/>
      <c r="S284" s="152"/>
    </row>
    <row r="285" spans="15:19" x14ac:dyDescent="0.25">
      <c r="O285" s="152"/>
      <c r="S285" s="152"/>
    </row>
    <row r="286" spans="15:19" x14ac:dyDescent="0.25">
      <c r="O286" s="152"/>
      <c r="S286" s="152"/>
    </row>
    <row r="287" spans="15:19" x14ac:dyDescent="0.25">
      <c r="O287" s="152"/>
      <c r="S287" s="152"/>
    </row>
    <row r="288" spans="15:19" x14ac:dyDescent="0.25">
      <c r="O288" s="152"/>
      <c r="S288" s="152"/>
    </row>
    <row r="289" spans="15:19" x14ac:dyDescent="0.25">
      <c r="O289" s="152"/>
      <c r="S289" s="152"/>
    </row>
    <row r="290" spans="15:19" x14ac:dyDescent="0.25">
      <c r="O290" s="152"/>
      <c r="S290" s="152"/>
    </row>
    <row r="291" spans="15:19" x14ac:dyDescent="0.25">
      <c r="O291" s="152"/>
      <c r="S291" s="152"/>
    </row>
    <row r="292" spans="15:19" x14ac:dyDescent="0.25">
      <c r="O292" s="152"/>
      <c r="S292" s="152"/>
    </row>
    <row r="293" spans="15:19" x14ac:dyDescent="0.25">
      <c r="O293" s="152"/>
      <c r="S293" s="152"/>
    </row>
    <row r="294" spans="15:19" x14ac:dyDescent="0.25">
      <c r="O294" s="152"/>
      <c r="S294" s="152"/>
    </row>
    <row r="295" spans="15:19" x14ac:dyDescent="0.25">
      <c r="O295" s="152"/>
      <c r="S295" s="152"/>
    </row>
    <row r="296" spans="15:19" x14ac:dyDescent="0.25">
      <c r="O296" s="152"/>
      <c r="S296" s="152"/>
    </row>
    <row r="297" spans="15:19" x14ac:dyDescent="0.25">
      <c r="O297" s="152"/>
      <c r="S297" s="152"/>
    </row>
    <row r="298" spans="15:19" x14ac:dyDescent="0.25">
      <c r="O298" s="152"/>
      <c r="S298" s="152"/>
    </row>
    <row r="299" spans="15:19" x14ac:dyDescent="0.25">
      <c r="O299" s="152"/>
      <c r="S299" s="152"/>
    </row>
    <row r="300" spans="15:19" x14ac:dyDescent="0.25">
      <c r="O300" s="152"/>
      <c r="S300" s="152"/>
    </row>
    <row r="301" spans="15:19" x14ac:dyDescent="0.25">
      <c r="O301" s="152"/>
      <c r="S301" s="152"/>
    </row>
    <row r="302" spans="15:19" x14ac:dyDescent="0.25">
      <c r="O302" s="152"/>
      <c r="S302" s="152"/>
    </row>
    <row r="303" spans="15:19" x14ac:dyDescent="0.25">
      <c r="O303" s="152"/>
      <c r="S303" s="152"/>
    </row>
    <row r="304" spans="15:19" x14ac:dyDescent="0.25">
      <c r="O304" s="152"/>
      <c r="S304" s="152"/>
    </row>
    <row r="305" spans="15:19" x14ac:dyDescent="0.25">
      <c r="O305" s="152"/>
      <c r="S305" s="152"/>
    </row>
    <row r="306" spans="15:19" x14ac:dyDescent="0.25">
      <c r="O306" s="152"/>
      <c r="S306" s="152"/>
    </row>
    <row r="307" spans="15:19" x14ac:dyDescent="0.25">
      <c r="O307" s="152"/>
      <c r="S307" s="152"/>
    </row>
    <row r="308" spans="15:19" x14ac:dyDescent="0.25">
      <c r="O308" s="152"/>
      <c r="S308" s="152"/>
    </row>
    <row r="309" spans="15:19" x14ac:dyDescent="0.25">
      <c r="O309" s="152"/>
      <c r="S309" s="152"/>
    </row>
    <row r="310" spans="15:19" x14ac:dyDescent="0.25">
      <c r="O310" s="152"/>
      <c r="S310" s="152"/>
    </row>
    <row r="311" spans="15:19" x14ac:dyDescent="0.25">
      <c r="O311" s="152"/>
      <c r="S311" s="152"/>
    </row>
    <row r="312" spans="15:19" x14ac:dyDescent="0.25">
      <c r="O312" s="152"/>
      <c r="S312" s="152"/>
    </row>
    <row r="313" spans="15:19" x14ac:dyDescent="0.25">
      <c r="O313" s="152"/>
      <c r="S313" s="152"/>
    </row>
    <row r="314" spans="15:19" x14ac:dyDescent="0.25">
      <c r="O314" s="152"/>
      <c r="S314" s="152"/>
    </row>
    <row r="315" spans="15:19" x14ac:dyDescent="0.25">
      <c r="O315" s="152"/>
      <c r="S315" s="152"/>
    </row>
    <row r="316" spans="15:19" x14ac:dyDescent="0.25">
      <c r="O316" s="152"/>
      <c r="S316" s="152"/>
    </row>
    <row r="317" spans="15:19" x14ac:dyDescent="0.25">
      <c r="O317" s="152"/>
      <c r="S317" s="152"/>
    </row>
    <row r="318" spans="15:19" x14ac:dyDescent="0.25">
      <c r="O318" s="152"/>
      <c r="S318" s="152"/>
    </row>
    <row r="319" spans="15:19" x14ac:dyDescent="0.25">
      <c r="O319" s="152"/>
      <c r="S319" s="152"/>
    </row>
    <row r="320" spans="15:19" x14ac:dyDescent="0.25">
      <c r="O320" s="152"/>
      <c r="S320" s="152"/>
    </row>
    <row r="321" spans="15:19" x14ac:dyDescent="0.25">
      <c r="O321" s="152"/>
      <c r="S321" s="152"/>
    </row>
    <row r="322" spans="15:19" x14ac:dyDescent="0.25">
      <c r="O322" s="152"/>
      <c r="S322" s="152"/>
    </row>
    <row r="323" spans="15:19" x14ac:dyDescent="0.25">
      <c r="O323" s="152"/>
      <c r="S323" s="152"/>
    </row>
    <row r="324" spans="15:19" x14ac:dyDescent="0.25">
      <c r="O324" s="152"/>
      <c r="S324" s="152"/>
    </row>
    <row r="325" spans="15:19" x14ac:dyDescent="0.25">
      <c r="O325" s="152"/>
      <c r="S325" s="152"/>
    </row>
    <row r="326" spans="15:19" x14ac:dyDescent="0.25">
      <c r="O326" s="152"/>
      <c r="S326" s="152"/>
    </row>
    <row r="327" spans="15:19" x14ac:dyDescent="0.25">
      <c r="O327" s="152"/>
      <c r="S327" s="152"/>
    </row>
    <row r="328" spans="15:19" x14ac:dyDescent="0.25">
      <c r="O328" s="152"/>
      <c r="S328" s="152"/>
    </row>
    <row r="329" spans="15:19" x14ac:dyDescent="0.25">
      <c r="O329" s="152"/>
      <c r="S329" s="152"/>
    </row>
    <row r="330" spans="15:19" x14ac:dyDescent="0.25">
      <c r="O330" s="152"/>
      <c r="S330" s="152"/>
    </row>
    <row r="331" spans="15:19" x14ac:dyDescent="0.25">
      <c r="O331" s="152"/>
      <c r="S331" s="152"/>
    </row>
    <row r="332" spans="15:19" x14ac:dyDescent="0.25">
      <c r="O332" s="152"/>
      <c r="S332" s="152"/>
    </row>
    <row r="333" spans="15:19" x14ac:dyDescent="0.25">
      <c r="O333" s="152"/>
      <c r="S333" s="152"/>
    </row>
    <row r="334" spans="15:19" x14ac:dyDescent="0.25">
      <c r="O334" s="152"/>
      <c r="S334" s="152"/>
    </row>
    <row r="335" spans="15:19" x14ac:dyDescent="0.25">
      <c r="O335" s="152"/>
      <c r="S335" s="152"/>
    </row>
    <row r="336" spans="15:19" x14ac:dyDescent="0.25">
      <c r="O336" s="152"/>
      <c r="S336" s="152"/>
    </row>
    <row r="337" spans="15:19" x14ac:dyDescent="0.25">
      <c r="O337" s="152"/>
      <c r="S337" s="152"/>
    </row>
    <row r="338" spans="15:19" x14ac:dyDescent="0.25">
      <c r="O338" s="152"/>
      <c r="S338" s="152"/>
    </row>
    <row r="339" spans="15:19" x14ac:dyDescent="0.25">
      <c r="O339" s="152"/>
      <c r="S339" s="152"/>
    </row>
    <row r="340" spans="15:19" x14ac:dyDescent="0.25">
      <c r="O340" s="152"/>
      <c r="S340" s="152"/>
    </row>
    <row r="341" spans="15:19" x14ac:dyDescent="0.25">
      <c r="O341" s="152"/>
      <c r="S341" s="152"/>
    </row>
    <row r="342" spans="15:19" x14ac:dyDescent="0.25">
      <c r="O342" s="152"/>
      <c r="S342" s="152"/>
    </row>
    <row r="343" spans="15:19" x14ac:dyDescent="0.25">
      <c r="O343" s="152"/>
      <c r="S343" s="152"/>
    </row>
    <row r="344" spans="15:19" x14ac:dyDescent="0.25">
      <c r="O344" s="152"/>
      <c r="S344" s="152"/>
    </row>
    <row r="345" spans="15:19" x14ac:dyDescent="0.25">
      <c r="O345" s="152"/>
      <c r="S345" s="152"/>
    </row>
    <row r="346" spans="15:19" x14ac:dyDescent="0.25">
      <c r="O346" s="152"/>
      <c r="S346" s="152"/>
    </row>
    <row r="347" spans="15:19" x14ac:dyDescent="0.25">
      <c r="O347" s="152"/>
      <c r="S347" s="152"/>
    </row>
    <row r="348" spans="15:19" x14ac:dyDescent="0.25">
      <c r="O348" s="152"/>
      <c r="S348" s="152"/>
    </row>
    <row r="349" spans="15:19" x14ac:dyDescent="0.25">
      <c r="O349" s="152"/>
      <c r="S349" s="152"/>
    </row>
    <row r="350" spans="15:19" x14ac:dyDescent="0.25">
      <c r="O350" s="152"/>
      <c r="S350" s="152"/>
    </row>
    <row r="351" spans="15:19" x14ac:dyDescent="0.25">
      <c r="O351" s="152"/>
      <c r="S351" s="152"/>
    </row>
    <row r="352" spans="15:19" x14ac:dyDescent="0.25">
      <c r="O352" s="152"/>
      <c r="S352" s="152"/>
    </row>
    <row r="353" spans="15:19" x14ac:dyDescent="0.25">
      <c r="O353" s="152"/>
      <c r="S353" s="152"/>
    </row>
    <row r="354" spans="15:19" x14ac:dyDescent="0.25">
      <c r="O354" s="152"/>
      <c r="S354" s="152"/>
    </row>
    <row r="355" spans="15:19" x14ac:dyDescent="0.25">
      <c r="O355" s="152"/>
      <c r="S355" s="152"/>
    </row>
    <row r="356" spans="15:19" x14ac:dyDescent="0.25">
      <c r="O356" s="152"/>
      <c r="S356" s="152"/>
    </row>
    <row r="357" spans="15:19" x14ac:dyDescent="0.25">
      <c r="O357" s="152"/>
      <c r="S357" s="152"/>
    </row>
    <row r="358" spans="15:19" x14ac:dyDescent="0.25">
      <c r="O358" s="152"/>
      <c r="S358" s="152"/>
    </row>
    <row r="359" spans="15:19" x14ac:dyDescent="0.25">
      <c r="O359" s="152"/>
      <c r="S359" s="152"/>
    </row>
    <row r="360" spans="15:19" x14ac:dyDescent="0.25">
      <c r="O360" s="152"/>
      <c r="S360" s="152"/>
    </row>
    <row r="361" spans="15:19" x14ac:dyDescent="0.25">
      <c r="O361" s="152"/>
      <c r="S361" s="152"/>
    </row>
    <row r="362" spans="15:19" x14ac:dyDescent="0.25">
      <c r="O362" s="152"/>
      <c r="S362" s="152"/>
    </row>
    <row r="363" spans="15:19" x14ac:dyDescent="0.25">
      <c r="O363" s="152"/>
      <c r="S363" s="152"/>
    </row>
    <row r="364" spans="15:19" x14ac:dyDescent="0.25">
      <c r="O364" s="152"/>
      <c r="S364" s="152"/>
    </row>
    <row r="365" spans="15:19" x14ac:dyDescent="0.25">
      <c r="O365" s="152"/>
      <c r="S365" s="152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ignoredErrors>
    <ignoredError sqref="M5:O14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7"/>
  <sheetViews>
    <sheetView rightToLeft="1" workbookViewId="0">
      <pane ySplit="2" topLeftCell="A3" activePane="bottomLeft" state="frozen"/>
      <selection pane="bottomLeft" activeCell="D17" sqref="D17"/>
    </sheetView>
  </sheetViews>
  <sheetFormatPr defaultRowHeight="15" x14ac:dyDescent="0.25"/>
  <cols>
    <col min="1" max="1" width="30.5703125" style="209" customWidth="1"/>
    <col min="2" max="2" width="0.7109375" style="209" customWidth="1"/>
    <col min="3" max="3" width="4.5703125" style="211" customWidth="1"/>
    <col min="4" max="4" width="18.28515625" style="211" customWidth="1"/>
    <col min="5" max="5" width="36.5703125" style="211" customWidth="1"/>
    <col min="6" max="6" width="28.5703125" style="211" customWidth="1"/>
    <col min="7" max="10" width="18.28515625" style="211" customWidth="1"/>
    <col min="11" max="11" width="61.5703125" style="211" customWidth="1"/>
    <col min="12" max="12" width="20.85546875" style="211" customWidth="1"/>
    <col min="13" max="13" width="28.7109375" style="211" customWidth="1"/>
    <col min="14" max="16384" width="9.140625" style="211"/>
  </cols>
  <sheetData>
    <row r="1" spans="1:8" s="207" customFormat="1" ht="21" customHeight="1" x14ac:dyDescent="0.25">
      <c r="A1" s="205" t="s">
        <v>402</v>
      </c>
      <c r="B1" s="206"/>
      <c r="D1" s="208" t="s">
        <v>409</v>
      </c>
      <c r="E1" s="208"/>
      <c r="F1" s="171"/>
      <c r="G1" s="171"/>
      <c r="H1" s="171"/>
    </row>
    <row r="2" spans="1:8" s="207" customFormat="1" ht="3" customHeight="1" x14ac:dyDescent="0.25">
      <c r="A2" s="209"/>
      <c r="B2" s="209"/>
    </row>
    <row r="3" spans="1:8" ht="18.75" x14ac:dyDescent="0.25">
      <c r="A3" s="9" t="s">
        <v>8</v>
      </c>
      <c r="B3" s="210"/>
    </row>
    <row r="4" spans="1:8" ht="18.75" x14ac:dyDescent="0.25">
      <c r="A4" s="15" t="s">
        <v>98</v>
      </c>
      <c r="D4" s="212" t="s">
        <v>403</v>
      </c>
      <c r="E4" s="212"/>
      <c r="F4" s="212"/>
    </row>
    <row r="5" spans="1:8" x14ac:dyDescent="0.25">
      <c r="D5" s="213" t="s">
        <v>404</v>
      </c>
      <c r="E5" s="213" t="s">
        <v>40</v>
      </c>
      <c r="F5" s="213" t="s">
        <v>405</v>
      </c>
    </row>
    <row r="6" spans="1:8" ht="45" x14ac:dyDescent="0.25">
      <c r="D6" s="214" t="s">
        <v>8</v>
      </c>
      <c r="E6" s="215" t="s">
        <v>406</v>
      </c>
      <c r="F6" s="215" t="s">
        <v>123</v>
      </c>
    </row>
    <row r="7" spans="1:8" ht="75" x14ac:dyDescent="0.25">
      <c r="D7" s="214" t="s">
        <v>107</v>
      </c>
      <c r="E7" s="215" t="s">
        <v>407</v>
      </c>
      <c r="F7" s="215" t="s">
        <v>408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36</vt:i4>
      </vt:variant>
    </vt:vector>
  </HeadingPairs>
  <TitlesOfParts>
    <vt:vector size="60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2021-12-17T12:32:35Z</dcterms:modified>
</cp:coreProperties>
</file>