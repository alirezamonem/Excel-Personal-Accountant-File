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AFB213AA-92C8-44A8-89D1-74C6DA69C00D}" xr6:coauthVersionLast="47" xr6:coauthVersionMax="47" xr10:uidLastSave="{00000000-0000-0000-0000-000000000000}"/>
  <bookViews>
    <workbookView xWindow="-120" yWindow="330" windowWidth="25440" windowHeight="15540" tabRatio="907" activeTab="12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گروه‌‌های درآمدی" sheetId="20" r:id="rId14"/>
    <sheet name="گزارش گروه‌های دریافتی" sheetId="13" state="hidden" r:id="rId15"/>
    <sheet name="گروه‌‌های (بابت‌ها) هزینه" sheetId="6" r:id="rId16"/>
    <sheet name="گزارش گروه‌های پرداختی" sheetId="12" state="hidden" r:id="rId17"/>
    <sheet name="گروه‌های انتقال" sheetId="26" state="hidden" r:id="rId18"/>
    <sheet name="گزارش گروه‌های انتقال" sheetId="27" state="hidden" r:id="rId19"/>
    <sheet name="جست و جو" sheetId="17" state="hidden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9"/>
  <externalReferences>
    <externalReference r:id="rId25"/>
  </externalReferences>
  <definedNames>
    <definedName name="AccountNamesList" localSheetId="12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>Accounts_Receivers_Payers_Table[Accounts_Receivers_Payers]</definedName>
    <definedName name="RecipientsList" localSheetId="12">[1]!ReceiversAndPayersTable[دریافت کننده - پرداخت کنندگان]</definedName>
    <definedName name="RecipientsList">#REF!</definedName>
    <definedName name="TransactionMethodsList" comment="روش های انتقال پول" localSheetId="12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[1]!OutputProductCategoryTable[دسته خروجی]</definedName>
    <definedName name="کالای_ورودی">[1]!IncomingProductCategoryTable[دسته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1" i="31" l="1"/>
  <c r="G19" i="3" l="1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H23" i="18"/>
  <c r="J23" i="18"/>
  <c r="T14" i="18"/>
  <c r="G5" i="18"/>
  <c r="G23" i="18"/>
  <c r="T5" i="18"/>
  <c r="F23" i="18"/>
  <c r="P32" i="18"/>
  <c r="Z5" i="18"/>
  <c r="S14" i="18"/>
  <c r="P5" i="18"/>
  <c r="Q5" i="18"/>
  <c r="Q32" i="18"/>
  <c r="F5" i="18"/>
  <c r="J32" i="18"/>
  <c r="Q14" i="18"/>
  <c r="G14" i="18"/>
  <c r="R14" i="18"/>
  <c r="Z14" i="18"/>
  <c r="S5" i="18"/>
  <c r="H32" i="18"/>
  <c r="AB14" i="18"/>
  <c r="Z23" i="18"/>
  <c r="AA23" i="18"/>
  <c r="U14" i="18"/>
  <c r="P14" i="18"/>
  <c r="T32" i="18"/>
  <c r="AA32" i="18"/>
  <c r="P23" i="18"/>
  <c r="I32" i="18"/>
  <c r="Z32" i="18"/>
  <c r="F14" i="18"/>
  <c r="S32" i="18"/>
  <c r="G32" i="18"/>
  <c r="U32" i="18"/>
  <c r="AA14" i="18"/>
  <c r="I23" i="18"/>
  <c r="R32" i="18"/>
  <c r="R5" i="18"/>
  <c r="F32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U5" i="18"/>
  <c r="AB32" i="18"/>
  <c r="AA5" i="18"/>
  <c r="K23" i="18"/>
  <c r="V32" i="18"/>
  <c r="K32" i="18"/>
  <c r="AC14" i="18"/>
  <c r="V14" i="18"/>
  <c r="Q23" i="18"/>
  <c r="H14" i="18"/>
  <c r="AB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AC32" i="18"/>
  <c r="R23" i="18"/>
  <c r="I14" i="18"/>
  <c r="L32" i="18"/>
  <c r="AD32" i="18"/>
  <c r="AE32" i="18" s="1"/>
  <c r="AC23" i="18"/>
  <c r="AD14" i="18"/>
  <c r="V5" i="18"/>
  <c r="I5" i="18"/>
  <c r="AB5" i="18"/>
  <c r="L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J5" i="18"/>
  <c r="J14" i="18"/>
  <c r="AC5" i="18"/>
  <c r="AD23" i="18"/>
  <c r="AF32" i="18"/>
  <c r="AE14" i="18"/>
  <c r="AF14" i="18"/>
  <c r="AD5" i="18"/>
  <c r="S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K14" i="18"/>
  <c r="T23" i="18"/>
  <c r="AE23" i="18"/>
  <c r="K5" i="18"/>
  <c r="AE5" i="18"/>
  <c r="U23" i="18"/>
  <c r="I3" i="1" l="1"/>
  <c r="V23" i="18"/>
  <c r="AF5" i="18"/>
  <c r="L14" i="18"/>
  <c r="L5" i="18"/>
  <c r="AF23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<sst xmlns="http://schemas.openxmlformats.org/spreadsheetml/2006/main" count="1537" uniqueCount="1061">
  <si>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</si>
  <si>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</si>
  <si>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</si>
  <si>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</si>
  <si>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</si>
  <si>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</si>
  <si>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</si>
  <si>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</si>
  <si>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</si>
  <si>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</si>
  <si>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</si>
  <si>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</si>
  <si>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</si>
  <si>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</si>
  <si>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</si>
  <si>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</si>
  <si>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</si>
  <si>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</si>
  <si>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</si>
  <si>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</si>
  <si>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</si>
  <si>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</si>
  <si>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</si>
  <si>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</si>
  <si>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</si>
  <si>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</si>
  <si>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</si>
  <si>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</si>
  <si>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</si>
  <si>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</si>
  <si>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</si>
  <si>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</si>
  <si>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</si>
  <si>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</si>
  <si>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</si>
  <si>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</si>
  <si>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</si>
  <si>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</si>
  <si>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</si>
  <si>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</si>
  <si>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</si>
  <si>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</si>
  <si>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</si>
  <si>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</si>
  <si>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</si>
  <si>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</si>
  <si>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</si>
  <si>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</si>
  <si>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</si>
  <si>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</si>
  <si>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</si>
  <si>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</si>
  <si>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</si>
  <si>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</si>
  <si>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</si>
  <si>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</si>
  <si>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</si>
  <si>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</si>
  <si>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</si>
  <si>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</si>
  <si>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</si>
  <si>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</si>
  <si>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</si>
  <si>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</si>
  <si>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</si>
  <si>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</si>
  <si>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</si>
  <si>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</si>
  <si>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</si>
  <si>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</si>
  <si>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</si>
  <si>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</si>
  <si>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</si>
  <si>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</si>
  <si>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</si>
  <si>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</si>
  <si>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</si>
  <si>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</si>
  <si>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</si>
  <si>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</si>
  <si>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</si>
  <si>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</si>
  <si>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</si>
  <si>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</si>
  <si>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</si>
  <si>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</si>
  <si>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</si>
  <si>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</si>
  <si>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</si>
  <si>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</si>
  <si>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</si>
  <si>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</si>
  <si>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</si>
  <si>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</si>
  <si>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</si>
  <si>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</si>
  <si>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</si>
  <si>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</si>
  <si>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</si>
  <si>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</si>
  <si>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</si>
  <si>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</si>
  <si>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</si>
  <si>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</si>
  <si>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</si>
  <si>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</si>
  <si>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</si>
  <si>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</si>
  <si>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</si>
  <si>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</si>
  <si>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</si>
  <si>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</si>
  <si>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</si>
  <si>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</si>
  <si>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</si>
  <si>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</si>
  <si>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</si>
  <si>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</si>
  <si>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</si>
  <si>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</si>
  <si>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</si>
  <si>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</si>
  <si>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</si>
  <si>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</si>
  <si>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</si>
  <si>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</si>
  <si>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</si>
  <si>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</si>
  <si>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</si>
  <si>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</si>
  <si>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</si>
  <si>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</si>
  <si>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</si>
  <si>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</si>
  <si>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</si>
  <si>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</si>
  <si>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</si>
  <si>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</si>
  <si>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</si>
  <si>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</si>
  <si>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</si>
  <si>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</si>
  <si>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</si>
  <si>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</si>
  <si>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</si>
  <si>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</si>
  <si>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</si>
  <si>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</si>
  <si>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</si>
  <si>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</si>
  <si>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</si>
  <si>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</si>
  <si>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</si>
  <si>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</si>
  <si>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</si>
  <si>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</si>
  <si>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</si>
  <si>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</si>
  <si>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</si>
  <si>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</si>
  <si>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</si>
  <si>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</si>
  <si>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</si>
  <si>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</si>
  <si>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</si>
  <si>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</si>
  <si>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</si>
  <si>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</si>
  <si>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</si>
  <si>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</si>
  <si>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</si>
  <si>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</si>
  <si>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</si>
  <si>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</si>
  <si>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</si>
  <si>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</si>
  <si>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</si>
  <si>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</si>
  <si>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</si>
  <si>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</si>
  <si>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</si>
  <si>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</si>
  <si>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</si>
  <si>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</si>
  <si>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</si>
  <si>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</si>
  <si>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</si>
  <si>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</si>
  <si>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</si>
  <si>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</si>
  <si>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</si>
  <si>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</si>
  <si>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</si>
  <si>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</si>
  <si>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</si>
  <si>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</si>
  <si>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</si>
  <si>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</si>
  <si>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</si>
  <si>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</si>
  <si>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</si>
  <si>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</si>
  <si>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</si>
  <si>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</si>
  <si>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</si>
  <si>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</si>
  <si>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</si>
  <si>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</si>
  <si>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</si>
  <si>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</si>
  <si>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</si>
  <si>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</si>
  <si>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</si>
  <si>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</si>
  <si>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</si>
  <si>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</si>
  <si>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</si>
  <si>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</si>
  <si>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</si>
  <si>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</si>
  <si>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</si>
  <si>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</si>
  <si>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</si>
  <si>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</si>
  <si>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</si>
  <si>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</si>
  <si>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</si>
  <si>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</si>
  <si>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</si>
  <si>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</si>
  <si>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</si>
  <si>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</si>
  <si>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</si>
  <si>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</si>
  <si>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</si>
  <si>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</si>
  <si>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</si>
  <si>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</si>
  <si>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</si>
  <si>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</si>
  <si>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</si>
  <si>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</si>
  <si>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</si>
  <si>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</si>
  <si>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</si>
  <si>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</si>
  <si>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</si>
  <si>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</si>
  <si>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</si>
  <si>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</si>
  <si>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</si>
  <si>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</si>
  <si>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</si>
  <si>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</si>
  <si>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</si>
  <si>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</si>
  <si>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</si>
  <si>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</si>
  <si>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</si>
  <si>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</si>
  <si>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</si>
  <si>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</si>
  <si>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</si>
  <si>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</si>
  <si>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</si>
  <si>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</si>
  <si>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</si>
  <si>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</si>
  <si>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</si>
  <si>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</si>
  <si>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</si>
  <si>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</si>
  <si>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</si>
  <si>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</si>
  <si>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</si>
  <si>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</si>
  <si>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</si>
  <si>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</si>
  <si>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</si>
  <si>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</si>
  <si>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</si>
  <si>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</si>
  <si>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</si>
  <si>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</si>
  <si>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</si>
  <si>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</si>
  <si>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</si>
  <si>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</si>
  <si>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</si>
  <si>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</si>
  <si>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</si>
  <si>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</si>
  <si>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</si>
  <si>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</si>
  <si>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</si>
  <si>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</si>
  <si>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</si>
  <si>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</si>
  <si>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</si>
  <si>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</si>
  <si>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</si>
  <si>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</si>
  <si>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</si>
  <si>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</si>
  <si>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</si>
  <si>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</si>
  <si>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</si>
  <si>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</si>
  <si>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</si>
  <si>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</si>
  <si>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</si>
  <si>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</si>
  <si>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</si>
  <si>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</si>
  <si>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</si>
  <si>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</si>
  <si>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</si>
  <si>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</si>
  <si>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</si>
  <si>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</si>
  <si>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</si>
  <si>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</si>
  <si>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</si>
  <si>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</si>
  <si>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</si>
  <si>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</si>
  <si>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</si>
  <si>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</si>
  <si>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</si>
  <si>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</si>
  <si>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</si>
  <si>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</si>
  <si>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</si>
  <si>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</si>
  <si>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</si>
  <si>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</si>
  <si>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</si>
  <si>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</si>
  <si>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</si>
  <si>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</si>
  <si>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</si>
  <si>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</si>
  <si>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</si>
  <si>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</si>
  <si>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</si>
  <si>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</si>
  <si>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</si>
  <si>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</si>
  <si>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</si>
  <si>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</si>
  <si>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</si>
  <si>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</si>
  <si>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</si>
  <si>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</si>
  <si>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</si>
  <si>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</si>
  <si>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</si>
  <si>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</si>
  <si>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</si>
  <si>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</si>
  <si>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</si>
  <si>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</si>
  <si>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</si>
  <si>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</si>
  <si>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</si>
  <si>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</si>
  <si>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</si>
  <si>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</si>
  <si>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</si>
  <si>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</si>
  <si>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</si>
  <si>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</si>
  <si>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</si>
  <si>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</si>
  <si>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</si>
  <si>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</si>
  <si>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</si>
  <si>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</si>
  <si>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</si>
  <si>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</si>
  <si>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</si>
  <si>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</si>
  <si>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</si>
  <si>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</si>
  <si>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</si>
  <si>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</si>
  <si>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</si>
  <si>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</si>
  <si>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</si>
  <si>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</si>
  <si>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</si>
  <si>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</si>
  <si>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</si>
  <si>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</si>
  <si>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</si>
  <si>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</si>
  <si>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</si>
  <si>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</si>
  <si>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</si>
  <si>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</si>
  <si>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</si>
  <si>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</si>
  <si>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</si>
  <si>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</si>
  <si>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</si>
  <si>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</si>
  <si>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</si>
  <si>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</si>
  <si>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</si>
  <si>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</si>
  <si>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</si>
  <si>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</si>
  <si>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</si>
  <si>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</si>
  <si>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</si>
  <si>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</si>
  <si>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</si>
  <si>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</si>
  <si>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</si>
  <si>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</si>
  <si>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</si>
  <si>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</si>
  <si>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</si>
  <si>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</si>
  <si>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</si>
  <si>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</si>
  <si>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</si>
  <si>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</si>
  <si>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</si>
  <si>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</si>
  <si>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</si>
  <si>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</si>
  <si>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</si>
  <si>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</si>
  <si>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</si>
  <si>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</si>
  <si>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</si>
  <si>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</si>
  <si>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</si>
  <si>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</si>
  <si>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</si>
  <si>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</si>
  <si>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</si>
  <si>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</si>
  <si>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</si>
  <si>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</si>
  <si>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</si>
  <si>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</si>
  <si>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</si>
  <si>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</si>
  <si>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</si>
  <si>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</si>
  <si>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</si>
  <si>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</si>
  <si>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</si>
  <si>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</si>
  <si>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</si>
  <si>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</si>
  <si>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</si>
  <si>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</si>
  <si>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</si>
  <si>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</si>
  <si>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</si>
  <si>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</si>
  <si>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</si>
  <si>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</si>
  <si>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</si>
  <si>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</si>
  <si>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</si>
  <si>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</si>
  <si>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</si>
  <si>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</si>
  <si>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</si>
  <si>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</si>
  <si>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</si>
  <si>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</si>
  <si>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</si>
  <si>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</si>
  <si>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</si>
  <si>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</si>
  <si>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</si>
  <si>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</si>
  <si>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</si>
  <si>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</si>
  <si>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</si>
  <si>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</si>
  <si>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</si>
  <si>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</si>
  <si>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</si>
  <si>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</si>
  <si>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</si>
  <si>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</si>
  <si>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</si>
  <si>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</si>
  <si>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</si>
  <si>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</si>
  <si>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</si>
  <si>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</si>
  <si>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</si>
  <si>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</si>
  <si>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</si>
  <si>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</si>
  <si>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</si>
  <si>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</si>
  <si>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</si>
  <si>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</si>
  <si>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</si>
  <si>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</si>
  <si>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</si>
  <si>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</si>
  <si>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</si>
  <si>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</si>
  <si>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</si>
  <si>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</si>
  <si>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</si>
  <si>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</si>
  <si>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</si>
  <si>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</si>
  <si>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</si>
  <si>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</si>
  <si>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</si>
  <si>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</si>
  <si>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</si>
  <si>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</si>
  <si>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</si>
  <si>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</si>
  <si>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</si>
  <si>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</si>
  <si>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</si>
  <si>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</si>
  <si>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</si>
  <si>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</si>
  <si>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</si>
  <si>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</si>
  <si>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</si>
  <si>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</si>
  <si>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</si>
  <si>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</si>
  <si>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</si>
  <si>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</si>
  <si>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</si>
  <si>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</si>
  <si>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</si>
  <si>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</si>
  <si>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</si>
  <si>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</si>
  <si>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</si>
  <si>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</si>
  <si>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</si>
  <si>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</si>
  <si>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</si>
  <si>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</si>
  <si>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</si>
  <si>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</si>
  <si>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</si>
  <si>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</si>
  <si>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</si>
  <si>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</si>
  <si>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</si>
  <si>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</si>
  <si>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</si>
  <si>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</si>
  <si>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</si>
  <si>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</si>
  <si>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</si>
  <si>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</si>
  <si>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</si>
  <si>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</si>
  <si>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</si>
  <si>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</si>
  <si>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</si>
  <si>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</si>
  <si>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</si>
  <si>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</si>
  <si>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</si>
  <si>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</si>
  <si>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</si>
  <si>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</si>
  <si>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</si>
  <si>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</si>
  <si>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</si>
  <si>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</si>
  <si>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</si>
  <si>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</si>
  <si>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</si>
  <si>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</si>
  <si>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</si>
  <si>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</si>
  <si>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</si>
  <si>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</si>
  <si>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</si>
  <si>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</si>
  <si>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</si>
  <si>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</si>
  <si>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</si>
  <si>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</si>
  <si>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</si>
  <si>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</si>
  <si>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</si>
  <si>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</si>
  <si>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</si>
  <si>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</si>
  <si>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</si>
  <si>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</si>
  <si>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</si>
  <si>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</si>
  <si>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</si>
  <si>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</si>
  <si>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</si>
  <si>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</si>
  <si>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</si>
  <si>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</si>
  <si>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</si>
  <si>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</si>
  <si>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</si>
  <si>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</si>
  <si>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</si>
  <si>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</si>
  <si>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</si>
  <si>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</si>
  <si>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</si>
  <si>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</si>
  <si>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</si>
  <si>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</si>
  <si>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</si>
  <si>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</si>
  <si>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</si>
  <si>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</si>
  <si>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</si>
  <si>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</si>
  <si>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</si>
  <si>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</si>
  <si>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</si>
  <si>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</si>
  <si>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</si>
  <si>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</si>
  <si>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</si>
  <si>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</si>
  <si>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</si>
  <si>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</si>
  <si>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</si>
  <si>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</si>
  <si>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</si>
  <si>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</si>
  <si>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</si>
  <si>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</si>
  <si>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</si>
  <si>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</si>
  <si>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</si>
  <si>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</si>
  <si>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</si>
  <si>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</si>
  <si>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</si>
  <si>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</si>
  <si>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</si>
  <si>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</si>
  <si>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</si>
  <si>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</si>
  <si>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</si>
  <si>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</si>
  <si>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</si>
  <si>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</si>
  <si>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</si>
  <si>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</si>
  <si>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</si>
  <si>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</si>
  <si>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</si>
  <si>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</si>
  <si>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</si>
  <si>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</si>
  <si>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</si>
  <si>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</si>
  <si>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</si>
  <si>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</si>
  <si>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</si>
  <si>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</si>
  <si>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</si>
  <si>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</si>
  <si>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</si>
  <si>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</si>
  <si>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</si>
  <si>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</si>
  <si>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</si>
  <si>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</si>
  <si>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</si>
  <si>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</si>
  <si>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</si>
  <si>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</si>
  <si>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</si>
  <si>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</si>
  <si>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</si>
  <si>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</si>
  <si>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</si>
  <si>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</si>
  <si>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</si>
  <si>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</si>
  <si>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</si>
  <si>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</si>
  <si>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</si>
  <si>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</si>
  <si>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</si>
  <si>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</si>
  <si>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</si>
  <si>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</si>
  <si>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</si>
  <si>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</si>
  <si>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</si>
  <si>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</si>
  <si>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</si>
  <si>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</si>
  <si>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</si>
  <si>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</si>
  <si>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</si>
  <si>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</si>
  <si>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</si>
  <si>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</si>
  <si>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</si>
  <si>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</si>
  <si>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</si>
  <si>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</si>
  <si>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</si>
  <si>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</si>
  <si>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</si>
  <si>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</si>
  <si>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</si>
  <si>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</si>
  <si>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</si>
  <si>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</si>
  <si>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</si>
  <si>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</si>
  <si>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</si>
  <si>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</si>
  <si>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</si>
  <si>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</si>
  <si>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</si>
  <si>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</si>
  <si>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</si>
  <si>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</si>
  <si>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</si>
  <si>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</si>
  <si>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</si>
  <si>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</si>
  <si>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</si>
  <si>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</si>
  <si>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</si>
  <si>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</si>
  <si>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</si>
  <si>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</si>
  <si>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</si>
  <si>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</si>
  <si>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</si>
  <si>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</si>
  <si>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</si>
  <si>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</si>
  <si>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</si>
  <si>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</si>
  <si>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</si>
  <si>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</si>
  <si>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</si>
  <si>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</si>
  <si>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</si>
  <si>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</si>
  <si>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</si>
  <si>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</si>
  <si>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</si>
  <si>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</si>
  <si>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</si>
  <si>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</si>
  <si>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</si>
  <si>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</si>
  <si>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</si>
  <si>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</si>
  <si>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</si>
  <si>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</si>
  <si>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</si>
  <si>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</si>
  <si>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</si>
  <si>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</si>
  <si>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</si>
  <si>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</si>
  <si>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</si>
  <si>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</si>
  <si>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</si>
  <si>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</si>
  <si>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</si>
  <si>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</si>
  <si>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</si>
  <si>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</si>
  <si>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</si>
  <si>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</si>
  <si>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</si>
  <si>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</si>
  <si>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</si>
  <si>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</si>
  <si>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</si>
  <si>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</si>
  <si>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</si>
  <si>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</si>
  <si>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</si>
  <si>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</si>
  <si>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</si>
  <si>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</si>
  <si>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</si>
  <si>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</si>
  <si>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</si>
  <si>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</si>
  <si>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</si>
  <si>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</si>
  <si>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</si>
  <si>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</si>
  <si>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</si>
  <si>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</si>
  <si>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</si>
  <si>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</si>
  <si>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</si>
  <si>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</si>
  <si>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</si>
  <si>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</si>
  <si>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</si>
  <si>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</si>
  <si>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</si>
  <si>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</si>
  <si>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</si>
  <si>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</si>
  <si>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</si>
  <si>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</si>
  <si>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</si>
  <si>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</si>
  <si>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</si>
  <si>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</si>
  <si>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</si>
  <si>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</si>
  <si>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</si>
  <si>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</si>
  <si>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</si>
  <si>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</si>
  <si>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</si>
  <si>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</si>
  <si>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</si>
  <si>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</si>
  <si>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</si>
  <si>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</si>
  <si>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</si>
  <si>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</si>
  <si>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</si>
  <si>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</si>
  <si>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</si>
  <si>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</si>
  <si>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</si>
  <si>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</si>
  <si>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</si>
  <si>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</si>
  <si>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</si>
  <si>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</si>
  <si>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</si>
  <si>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</si>
  <si>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</si>
  <si>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</si>
  <si>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</si>
  <si>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</si>
  <si>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</si>
  <si>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</si>
  <si>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</si>
  <si>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</si>
  <si>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</si>
  <si>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</si>
  <si>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</si>
  <si>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</si>
  <si>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</si>
  <si>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</si>
  <si>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</si>
  <si>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</si>
  <si>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</si>
  <si>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</si>
  <si>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</si>
  <si>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</si>
  <si>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</si>
  <si>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</si>
  <si>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</si>
  <si>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</si>
  <si>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</si>
  <si>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</si>
  <si>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</si>
  <si>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</si>
  <si>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</si>
  <si>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</si>
  <si>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</si>
  <si>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</si>
  <si>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</si>
  <si>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</si>
  <si>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</si>
  <si>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</si>
  <si>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</si>
  <si>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</si>
  <si>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</si>
  <si>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</si>
  <si>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</si>
  <si>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</si>
  <si>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</si>
  <si>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</si>
  <si>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</si>
  <si>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</si>
  <si>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</si>
  <si>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</si>
  <si>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</si>
  <si>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</si>
  <si>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</si>
  <si>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</si>
  <si>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</si>
  <si>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</si>
  <si>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</si>
  <si>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</si>
  <si>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</si>
  <si>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</si>
  <si>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</si>
  <si>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</si>
  <si>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</si>
  <si>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</si>
  <si>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</si>
  <si>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</si>
  <si>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</si>
  <si>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</si>
  <si>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</si>
  <si>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</si>
  <si>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</si>
  <si>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</si>
  <si>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</si>
  <si>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</si>
  <si>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</si>
  <si>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</si>
  <si>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</si>
  <si>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</si>
  <si>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</si>
  <si>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</si>
  <si>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</si>
  <si>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</si>
  <si>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</si>
  <si>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</si>
  <si>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</si>
  <si>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</si>
  <si>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</si>
  <si>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</si>
  <si>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</si>
  <si>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</si>
  <si>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</si>
  <si>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</si>
  <si>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</si>
  <si>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</si>
  <si>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</si>
  <si>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</si>
  <si>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</si>
  <si>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</si>
  <si>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</si>
  <si>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</si>
  <si>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</si>
  <si>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</si>
  <si>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</si>
  <si>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</si>
  <si>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</si>
  <si>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</si>
  <si>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</si>
  <si>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</si>
  <si>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</si>
  <si>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</si>
  <si>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</si>
  <si>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</si>
  <si>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</si>
  <si>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</si>
  <si>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</si>
  <si>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</si>
  <si>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</si>
  <si>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</si>
  <si>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</si>
  <si>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</si>
  <si>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</si>
  <si>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</si>
  <si>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</si>
  <si>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</si>
  <si>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</si>
  <si>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</si>
  <si>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</si>
  <si>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</si>
  <si>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</si>
  <si>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رمز صفحه: BudgetSettingsPass</t>
  </si>
  <si>
    <t>نوع</t>
  </si>
  <si>
    <t>توضیح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</si>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</sst>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295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49" fontId="8" fillId="18" borderId="0" xfId="0" applyNumberFormat="1" applyFont="1" applyFill="1" applyAlignment="1">
      <alignment horizontal="center" vertical="center" wrapText="1" readingOrder="2"/>
    </xf>
    <xf numFmtId="49" fontId="18" fillId="0" borderId="0" xfId="0" applyNumberFormat="1" applyFont="1" applyAlignment="1">
      <alignment horizontal="center" vertical="center" wrapText="1" readingOrder="2"/>
    </xf>
    <xf numFmtId="170" fontId="18" fillId="0" borderId="0" xfId="0" applyNumberFormat="1" applyFont="1" applyAlignment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2" borderId="0" xfId="1" applyNumberFormat="1" applyFont="1" applyFill="1" applyAlignment="1" applyProtection="1">
      <alignment horizontal="center" vertical="center"/>
    </xf>
    <xf numFmtId="49" fontId="20" fillId="0" borderId="3" xfId="0" applyNumberFormat="1" applyFont="1" applyBorder="1" applyAlignment="1">
      <alignment horizontal="center" vertical="center" wrapText="1" readingOrder="2"/>
    </xf>
    <xf numFmtId="170" fontId="20" fillId="0" borderId="0" xfId="0" applyNumberFormat="1" applyFont="1" applyAlignment="1">
      <alignment horizontal="center" vertical="center" wrapText="1" readingOrder="2"/>
    </xf>
    <xf numFmtId="0" fontId="13" fillId="17" borderId="0" xfId="1" applyFont="1" applyFill="1" applyAlignment="1" applyProtection="1">
      <alignment horizontal="center" vertical="center" wrapText="1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8" fillId="18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49" fontId="20" fillId="0" borderId="8" xfId="0" applyNumberFormat="1" applyFont="1" applyBorder="1" applyAlignment="1">
      <alignment horizontal="center" vertical="center" wrapText="1" readingOrder="2"/>
    </xf>
    <xf numFmtId="170" fontId="20" fillId="0" borderId="11" xfId="0" applyNumberFormat="1" applyFont="1" applyBorder="1" applyAlignment="1">
      <alignment horizontal="center" vertical="center" wrapText="1" readingOrder="2"/>
    </xf>
    <xf numFmtId="0" fontId="0" fillId="35" borderId="0" xfId="0" applyFont="1" applyFill="1"/>
    <xf numFmtId="0" fontId="0" fillId="37" borderId="0" xfId="0" applyFont="1" applyFill="1"/>
    <xf numFmtId="49" fontId="0" fillId="37" borderId="0" xfId="0" applyNumberFormat="1" applyFont="1" applyFill="1"/>
    <xf numFmtId="49" fontId="0" fillId="0" borderId="5" xfId="0" applyNumberFormat="1" applyFont="1" applyBorder="1" applyAlignment="1">
      <alignment horizontal="center" vertical="center" wrapText="1" readingOrder="2"/>
    </xf>
    <xf numFmtId="170" fontId="0" fillId="0" borderId="5" xfId="0" applyNumberFormat="1" applyFont="1" applyBorder="1" applyAlignment="1">
      <alignment horizontal="center" vertical="center" wrapText="1" readingOrder="2"/>
    </xf>
    <xf numFmtId="49" fontId="2" fillId="0" borderId="5" xfId="1" applyNumberFormat="1" applyFont="1" applyFill="1" applyBorder="1" applyAlignment="1">
      <alignment horizontal="center" vertical="center" wrapText="1" readingOrder="2"/>
    </xf>
    <xf numFmtId="49" fontId="0" fillId="0" borderId="9" xfId="0" applyNumberFormat="1" applyFont="1" applyBorder="1" applyAlignment="1">
      <alignment horizontal="center" vertical="center" wrapText="1" readingOrder="2"/>
    </xf>
    <xf numFmtId="170" fontId="0" fillId="0" borderId="9" xfId="0" applyNumberFormat="1" applyFont="1" applyBorder="1" applyAlignment="1">
      <alignment horizontal="center" vertical="center" wrapText="1" readingOrder="2"/>
    </xf>
    <xf numFmtId="49" fontId="2" fillId="0" borderId="9" xfId="1" applyNumberFormat="1" applyFont="1" applyFill="1" applyBorder="1" applyAlignment="1">
      <alignment horizontal="center" vertical="center" wrapText="1" readingOrder="2"/>
    </xf>
    <xf numFmtId="49" fontId="0" fillId="0" borderId="8" xfId="0" applyNumberFormat="1" applyFont="1" applyFill="1" applyBorder="1" applyAlignment="1">
      <alignment horizontal="center" vertical="center" wrapText="1" readingOrder="2"/>
    </xf>
    <xf numFmtId="170" fontId="0" fillId="0" borderId="8" xfId="0" applyNumberFormat="1" applyFont="1" applyBorder="1" applyAlignment="1">
      <alignment horizontal="center" vertical="center" wrapText="1" readingOrder="2"/>
    </xf>
    <xf numFmtId="49" fontId="0" fillId="0" borderId="8" xfId="0" applyNumberFormat="1" applyFont="1" applyBorder="1" applyAlignment="1">
      <alignment horizontal="center" vertical="center" wrapText="1" readingOrder="2"/>
    </xf>
    <xf numFmtId="49" fontId="2" fillId="0" borderId="8" xfId="1" applyNumberFormat="1" applyFont="1" applyFill="1" applyBorder="1" applyAlignment="1">
      <alignment horizontal="center" vertical="center" wrapText="1" readingOrder="2"/>
    </xf>
    <xf numFmtId="49" fontId="0" fillId="0" borderId="3" xfId="0" applyNumberFormat="1" applyFont="1" applyBorder="1" applyAlignment="1">
      <alignment horizontal="center" vertical="center" wrapText="1" readingOrder="2"/>
    </xf>
    <xf numFmtId="170" fontId="0" fillId="0" borderId="3" xfId="0" applyNumberFormat="1" applyFont="1" applyBorder="1" applyAlignment="1">
      <alignment horizontal="center" vertical="center" wrapText="1" readingOrder="2"/>
    </xf>
    <xf numFmtId="49" fontId="0" fillId="0" borderId="6" xfId="0" applyNumberFormat="1" applyFont="1" applyBorder="1" applyAlignment="1">
      <alignment horizontal="center" vertical="center" wrapText="1" readingOrder="2"/>
    </xf>
    <xf numFmtId="49" fontId="0" fillId="0" borderId="10" xfId="0" applyNumberFormat="1" applyFont="1" applyBorder="1" applyAlignment="1">
      <alignment horizontal="center" vertical="center" wrapText="1" readingOrder="2"/>
    </xf>
    <xf numFmtId="49" fontId="0" fillId="0" borderId="15" xfId="0" applyNumberFormat="1" applyFont="1" applyBorder="1" applyAlignment="1">
      <alignment horizontal="center" vertical="center" wrapText="1" readingOrder="2"/>
    </xf>
    <xf numFmtId="49" fontId="2" fillId="0" borderId="14" xfId="1" applyNumberFormat="1" applyFont="1" applyFill="1" applyBorder="1" applyAlignment="1">
      <alignment horizontal="center" vertical="center" wrapText="1" readingOrder="2"/>
    </xf>
    <xf numFmtId="170" fontId="0" fillId="0" borderId="11" xfId="0" applyNumberFormat="1" applyFont="1" applyBorder="1" applyAlignment="1">
      <alignment horizontal="center" vertical="center" wrapText="1" readingOrder="2"/>
    </xf>
    <xf numFmtId="49" fontId="0" fillId="0" borderId="11" xfId="0" applyNumberFormat="1" applyFont="1" applyBorder="1" applyAlignment="1">
      <alignment horizontal="center" vertical="center" wrapText="1" readingOrder="2"/>
    </xf>
    <xf numFmtId="49" fontId="0" fillId="0" borderId="17" xfId="0" applyNumberFormat="1" applyFont="1" applyBorder="1" applyAlignment="1">
      <alignment horizontal="center" vertical="center" wrapText="1" readingOrder="2"/>
    </xf>
    <xf numFmtId="49" fontId="0" fillId="0" borderId="16" xfId="0" applyNumberFormat="1" applyFont="1" applyFill="1" applyBorder="1" applyAlignment="1">
      <alignment horizontal="center" vertical="center" wrapText="1" readingOrder="2"/>
    </xf>
    <xf numFmtId="170" fontId="0" fillId="0" borderId="8" xfId="0" applyNumberFormat="1" applyFont="1" applyFill="1" applyBorder="1" applyAlignment="1">
      <alignment horizontal="center" vertical="center" wrapText="1" readingOrder="2"/>
    </xf>
    <xf numFmtId="49" fontId="0" fillId="0" borderId="18" xfId="0" applyNumberFormat="1" applyFont="1" applyFill="1" applyBorder="1" applyAlignment="1">
      <alignment horizontal="center" vertical="center" wrapText="1" readingOrder="2"/>
    </xf>
    <xf numFmtId="49" fontId="0" fillId="0" borderId="14" xfId="0" applyNumberFormat="1" applyFont="1" applyFill="1" applyBorder="1" applyAlignment="1">
      <alignment horizontal="center" vertical="center" wrapText="1" readingOrder="2"/>
    </xf>
    <xf numFmtId="49" fontId="0" fillId="0" borderId="19" xfId="0" applyNumberFormat="1" applyFont="1" applyFill="1" applyBorder="1" applyAlignment="1">
      <alignment horizontal="center" vertical="center" wrapText="1" readingOrder="2"/>
    </xf>
    <xf numFmtId="49" fontId="0" fillId="0" borderId="10" xfId="0" applyNumberFormat="1" applyFont="1" applyFill="1" applyBorder="1" applyAlignment="1">
      <alignment horizontal="center" vertical="center" wrapText="1" readingOrder="2"/>
    </xf>
    <xf numFmtId="49" fontId="0" fillId="0" borderId="17" xfId="0" applyNumberFormat="1" applyFont="1" applyFill="1" applyBorder="1" applyAlignment="1">
      <alignment horizontal="center" vertical="center" wrapText="1" readingOrder="2"/>
    </xf>
    <xf numFmtId="49" fontId="0" fillId="0" borderId="20" xfId="0" applyNumberFormat="1" applyFont="1" applyBorder="1" applyAlignment="1">
      <alignment horizontal="center" vertical="center" wrapText="1" readingOrder="2"/>
    </xf>
    <xf numFmtId="49" fontId="0" fillId="0" borderId="3" xfId="0" applyNumberFormat="1" applyFont="1" applyFill="1" applyBorder="1" applyAlignment="1">
      <alignment horizontal="center" vertical="center" wrapText="1" readingOrder="2"/>
    </xf>
    <xf numFmtId="0" fontId="0" fillId="0" borderId="0" xfId="0" applyFont="1" applyAlignment="1">
      <alignment horizontal="center" vertical="center" wrapText="1" readingOrder="2"/>
    </xf>
    <xf numFmtId="170" fontId="0" fillId="35" borderId="0" xfId="0" applyNumberFormat="1" applyFont="1" applyFill="1"/>
    <xf numFmtId="49" fontId="0" fillId="0" borderId="22" xfId="0" applyNumberFormat="1" applyFont="1" applyBorder="1" applyAlignment="1">
      <alignment horizontal="center" vertical="center" wrapText="1" readingOrder="2"/>
    </xf>
    <xf numFmtId="170" fontId="0" fillId="0" borderId="11" xfId="0" applyNumberFormat="1" applyFont="1" applyFill="1" applyBorder="1" applyAlignment="1">
      <alignment horizontal="center" vertical="center" wrapText="1" readingOrder="2"/>
    </xf>
    <xf numFmtId="49" fontId="0" fillId="0" borderId="27" xfId="0" applyNumberFormat="1" applyFont="1" applyBorder="1" applyAlignment="1">
      <alignment horizontal="center" vertical="center" wrapText="1" readingOrder="2"/>
    </xf>
    <xf numFmtId="49" fontId="0" fillId="0" borderId="21" xfId="0" applyNumberFormat="1" applyFont="1" applyBorder="1" applyAlignment="1">
      <alignment horizontal="center" vertical="center" wrapText="1" readingOrder="2"/>
    </xf>
    <xf numFmtId="49" fontId="0" fillId="18" borderId="12" xfId="0" applyNumberFormat="1" applyFont="1" applyFill="1" applyBorder="1" applyAlignment="1">
      <alignment horizontal="center" vertical="center" wrapText="1" readingOrder="2"/>
    </xf>
    <xf numFmtId="170" fontId="0" fillId="18" borderId="12" xfId="0" applyNumberFormat="1" applyFont="1" applyFill="1" applyBorder="1" applyAlignment="1">
      <alignment horizontal="center" vertical="center" wrapText="1" readingOrder="2"/>
    </xf>
    <xf numFmtId="49" fontId="0" fillId="0" borderId="24" xfId="0" applyNumberFormat="1" applyFont="1" applyBorder="1" applyAlignment="1">
      <alignment horizontal="center" vertical="center" wrapText="1" readingOrder="2"/>
    </xf>
    <xf numFmtId="170" fontId="0" fillId="0" borderId="24" xfId="0" applyNumberFormat="1" applyFont="1" applyBorder="1" applyAlignment="1">
      <alignment horizontal="center" vertical="center" wrapText="1" readingOrder="2"/>
    </xf>
    <xf numFmtId="49" fontId="2" fillId="0" borderId="24" xfId="1" applyNumberFormat="1" applyFont="1" applyFill="1" applyBorder="1" applyAlignment="1">
      <alignment horizontal="center" vertical="center" wrapText="1" readingOrder="2"/>
    </xf>
    <xf numFmtId="49" fontId="0" fillId="0" borderId="14" xfId="0" applyNumberFormat="1" applyFont="1" applyBorder="1" applyAlignment="1">
      <alignment horizontal="center" vertical="center" wrapText="1" readingOrder="2"/>
    </xf>
    <xf numFmtId="170" fontId="0" fillId="0" borderId="14" xfId="0" applyNumberFormat="1" applyFont="1" applyBorder="1" applyAlignment="1">
      <alignment horizontal="center" vertical="center" wrapText="1" readingOrder="2"/>
    </xf>
    <xf numFmtId="49" fontId="0" fillId="0" borderId="23" xfId="0" applyNumberFormat="1" applyFont="1" applyBorder="1" applyAlignment="1">
      <alignment horizontal="center" vertical="center" wrapText="1" readingOrder="2"/>
    </xf>
    <xf numFmtId="49" fontId="2" fillId="0" borderId="10" xfId="1" applyNumberFormat="1" applyFont="1" applyFill="1" applyBorder="1" applyAlignment="1">
      <alignment horizontal="center" vertical="center" wrapText="1" readingOrder="2"/>
    </xf>
    <xf numFmtId="49" fontId="0" fillId="0" borderId="16" xfId="0" applyNumberFormat="1" applyFont="1" applyBorder="1" applyAlignment="1">
      <alignment horizontal="center" vertical="center" wrapText="1" readingOrder="2"/>
    </xf>
    <xf numFmtId="0" fontId="0" fillId="0" borderId="7" xfId="0" applyFont="1" applyBorder="1" applyAlignment="1">
      <alignment horizontal="center" vertical="center" wrapText="1" readingOrder="2"/>
    </xf>
    <xf numFmtId="49" fontId="0" fillId="0" borderId="13" xfId="0" applyNumberFormat="1" applyFont="1" applyBorder="1" applyAlignment="1">
      <alignment horizontal="center" vertical="center" wrapText="1" readingOrder="2"/>
    </xf>
    <xf numFmtId="170" fontId="0" fillId="0" borderId="10" xfId="0" applyNumberFormat="1" applyFont="1" applyBorder="1" applyAlignment="1">
      <alignment horizontal="center" vertical="center" wrapText="1" readingOrder="2"/>
    </xf>
    <xf numFmtId="49" fontId="0" fillId="0" borderId="12" xfId="0" applyNumberFormat="1" applyFont="1" applyBorder="1" applyAlignment="1">
      <alignment horizontal="center" vertical="center" wrapText="1" readingOrder="2"/>
    </xf>
    <xf numFmtId="49" fontId="0" fillId="0" borderId="7" xfId="0" applyNumberFormat="1" applyFont="1" applyBorder="1" applyAlignment="1">
      <alignment horizontal="center" vertical="center" wrapText="1" readingOrder="2"/>
    </xf>
    <xf numFmtId="170" fontId="0" fillId="0" borderId="7" xfId="0" applyNumberFormat="1" applyFont="1" applyBorder="1" applyAlignment="1">
      <alignment horizontal="center" vertical="center" wrapText="1" readingOrder="2"/>
    </xf>
    <xf numFmtId="49" fontId="2" fillId="0" borderId="7" xfId="1" applyNumberFormat="1" applyFont="1" applyFill="1" applyBorder="1" applyAlignment="1">
      <alignment horizontal="center" vertical="center" wrapText="1" readingOrder="2"/>
    </xf>
    <xf numFmtId="49" fontId="0" fillId="0" borderId="25" xfId="0" applyNumberFormat="1" applyFont="1" applyBorder="1" applyAlignment="1">
      <alignment horizontal="center" vertical="center" wrapText="1" readingOrder="2"/>
    </xf>
    <xf numFmtId="170" fontId="0" fillId="0" borderId="25" xfId="0" applyNumberFormat="1" applyFont="1" applyBorder="1" applyAlignment="1">
      <alignment horizontal="center" vertical="center" wrapText="1" readingOrder="2"/>
    </xf>
    <xf numFmtId="49" fontId="2" fillId="0" borderId="25" xfId="1" applyNumberFormat="1" applyFont="1" applyFill="1" applyBorder="1" applyAlignment="1">
      <alignment horizontal="center" vertical="center" wrapText="1" readingOrder="2"/>
    </xf>
    <xf numFmtId="49" fontId="2" fillId="0" borderId="3" xfId="1" applyNumberFormat="1" applyFont="1" applyFill="1" applyBorder="1" applyAlignment="1">
      <alignment horizontal="center" vertical="center" wrapText="1" readingOrder="2"/>
    </xf>
    <xf numFmtId="49" fontId="0" fillId="0" borderId="26" xfId="0" applyNumberFormat="1" applyFont="1" applyBorder="1" applyAlignment="1">
      <alignment horizontal="center" vertical="center" wrapText="1" readingOrder="2"/>
    </xf>
    <xf numFmtId="170" fontId="0" fillId="0" borderId="26" xfId="0" applyNumberFormat="1" applyFont="1" applyBorder="1" applyAlignment="1">
      <alignment horizontal="center" vertical="center" wrapText="1" readingOrder="2"/>
    </xf>
    <xf numFmtId="49" fontId="0" fillId="0" borderId="0" xfId="0" applyNumberFormat="1" applyFont="1" applyAlignment="1">
      <alignment horizontal="center" vertical="center" wrapText="1" readingOrder="2"/>
    </xf>
    <xf numFmtId="49" fontId="0" fillId="0" borderId="0" xfId="0" applyNumberFormat="1" applyFont="1" applyAlignment="1">
      <alignment wrapText="1" readingOrder="2"/>
    </xf>
    <xf numFmtId="170" fontId="0" fillId="0" borderId="0" xfId="0" applyNumberFormat="1" applyFont="1" applyAlignment="1">
      <alignment horizontal="center" vertical="center" wrapText="1" readingOrder="2"/>
    </xf>
    <xf numFmtId="0" fontId="0" fillId="0" borderId="0" xfId="0" quotePrefix="1" applyFont="1" applyAlignment="1">
      <alignment horizontal="center" vertical="center" wrapText="1" readingOrder="2"/>
    </xf>
    <xf numFmtId="0" fontId="28" fillId="20" borderId="0" xfId="0" applyFont="1" applyFill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301"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  <sheetName val="Personal Accountant - For My V2"/>
    </sheetNames>
    <sheetDataSet>
      <sheetData sheetId="0" refreshError="1"/>
      <sheetData sheetId="1" refreshError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300" dataDxfId="299">
  <autoFilter ref="A7:N507" xr:uid="{00000000-0009-0000-0100-000003000000}"/>
  <tableColumns count="14">
    <tableColumn id="1" xr3:uid="{00000000-0010-0000-0000-000001000000}" name="ردیف" dataDxfId="298"/>
    <tableColumn id="2" xr3:uid="{00000000-0010-0000-0000-000002000000}" name="افراد (اعضا)" dataDxfId="297"/>
    <tableColumn id="4" xr3:uid="{00000000-0010-0000-0000-000004000000}" name="تاریخ" dataDxfId="296"/>
    <tableColumn id="5" xr3:uid="{00000000-0010-0000-0000-000005000000}" name="عنوان" dataDxfId="295"/>
    <tableColumn id="14" xr3:uid="{00000000-0010-0000-0000-00000E000000}" name="تراکنش" dataDxfId="294"/>
    <tableColumn id="6" xr3:uid="{00000000-0010-0000-0000-000006000000}" name="گروه (درآمد/هزینه)" dataDxfId="293"/>
    <tableColumn id="7" xr3:uid="{00000000-0010-0000-0000-000007000000}" name="زیر گروه" dataDxfId="292"/>
    <tableColumn id="3" xr3:uid="{00000000-0010-0000-0000-000003000000}" name="روش تراکنش" dataDxfId="291"/>
    <tableColumn id="8" xr3:uid="{00000000-0010-0000-0000-000008000000}" name="مبلغ (ریال)" dataDxfId="290"/>
    <tableColumn id="9" xr3:uid="{00000000-0010-0000-0000-000009000000}" name="پرداخت کننده" dataDxfId="289"/>
    <tableColumn id="10" xr3:uid="{00000000-0010-0000-0000-00000A000000}" name="دریافت کننده" dataDxfId="288"/>
    <tableColumn id="11" xr3:uid="{00000000-0010-0000-0000-00000B000000}" name="مانده حساب‌ها" dataDxfId="287" dataCellStyle="Currency"/>
    <tableColumn id="12" xr3:uid="{00000000-0010-0000-0000-00000C000000}" name="نوع خرج" dataDxfId="286"/>
    <tableColumn id="13" xr3:uid="{00000000-0010-0000-0000-00000D000000}" name="شرح" dataDxfId="285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A14:A32" totalsRowShown="0" headerRowDxfId="21" dataDxfId="20">
  <autoFilter ref="A14:A32" xr:uid="{6AEC4E4F-D138-42A7-8625-32AF6446FB92}"/>
  <tableColumns count="1">
    <tableColumn id="1" xr3:uid="{93761557-8AAB-4CE7-978B-119DB8A02638}" name="جدول نوع بودجه" dataDxfId="2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J31" totalsRowCount="1" headerRowDxfId="5" dataDxfId="3" totalsRowDxfId="4">
  <autoFilter ref="D2:J30" xr:uid="{42DADA0B-0B6E-471B-8179-A8983A9B7F20}"/>
  <tableColumns count="7">
    <tableColumn id="7" xr3:uid="{46F43D95-9902-48AB-884C-F451DC2D7FAD}" name="نوع" dataDxfId="19" totalsRowDxfId="18"/>
    <tableColumn id="1" xr3:uid="{DD414367-F788-4733-BEA6-377AEC32C3FF}" name="عنوان" totalsRowLabel="مانده:" dataDxfId="17" totalsRowDxfId="16"/>
    <tableColumn id="2" xr3:uid="{F1FA2425-CBFB-4F05-8BD4-1DF8DC85BFF4}" name="مبلغ (ریال)" totalsRowFunction="sum" dataDxfId="15" totalsRowDxfId="14"/>
    <tableColumn id="6" xr3:uid="{89994E85-8B50-411A-87FD-D9E3D61DE5CD}" name="عملیات و تاریخ  مقرر " dataDxfId="13" totalsRowDxfId="12"/>
    <tableColumn id="3" xr3:uid="{5769A98B-C5B5-403D-BB77-C90472D5BF72}" name="توضیح" dataDxfId="11" totalsRowDxfId="10"/>
    <tableColumn id="9" xr3:uid="{CAB497DF-1678-41B3-8376-86B9A08D3445}" name="وضعیت عملیات" dataDxfId="9" totalsRowDxfId="8"/>
    <tableColumn id="5" xr3:uid="{182B9E66-EE1A-44DE-B4B4-F623AD05F6F8}" name="لینک رسید و تاریخ عملیات" dataDxfId="7" totalsRowDxfId="6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OperationStatusTable" displayName="OperationStatusTable" ref="A34:A42" totalsRowShown="0" headerRowDxfId="1" dataDxfId="0">
  <autoFilter ref="A34:A42" xr:uid="{D62D46A7-088F-4632-AE66-1F49CCF96D94}"/>
  <tableColumns count="1">
    <tableColumn id="1" xr3:uid="{1ADF3900-55E8-4A50-8909-96F1F42EB08A}" name="جدول وضعیت عملیات" dataDxfId="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284" dataDxfId="283">
  <autoFilter ref="A4:B12" xr:uid="{00000000-0009-0000-0100-00000A000000}"/>
  <tableColumns count="2">
    <tableColumn id="1" xr3:uid="{00000000-0010-0000-0100-000001000000}" name="کد گروه درآمدی" dataDxfId="282"/>
    <tableColumn id="2" xr3:uid="{00000000-0010-0000-0100-000002000000}" name="نام گروه درآمد" dataDxfId="281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80" dataDxfId="279">
  <autoFilter ref="F5:F6" xr:uid="{00000000-0009-0000-0100-00000B000000}"/>
  <tableColumns count="1">
    <tableColumn id="1" xr3:uid="{00000000-0010-0000-0200-000001000000}" name="دستمزد" dataDxfId="27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77" dataDxfId="276">
  <autoFilter ref="H5:H6" xr:uid="{00000000-0009-0000-0100-00000C000000}"/>
  <tableColumns count="1">
    <tableColumn id="1" xr3:uid="{00000000-0010-0000-0300-000001000000}" name="منفعت کسب" dataDxfId="27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74" dataDxfId="273">
  <autoFilter ref="J5:J6" xr:uid="{00000000-0009-0000-0100-00000D000000}"/>
  <tableColumns count="1">
    <tableColumn id="1" xr3:uid="{00000000-0010-0000-0400-000001000000}" name="سود سرمایه‌گذاری" dataDxfId="27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71" dataDxfId="270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6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268" dataDxfId="267">
  <autoFilter ref="N5:N6" xr:uid="{00000000-0009-0000-0100-000010000000}"/>
  <tableColumns count="1">
    <tableColumn id="1" xr3:uid="{00000000-0010-0000-0600-000001000000}" name="دریافت رهن و اجاره" dataDxfId="266"/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265" dataDxfId="264">
  <autoFilter ref="P5:P6" xr:uid="{00000000-0009-0000-0100-000011000000}"/>
  <tableColumns count="1">
    <tableColumn id="1" xr3:uid="{00000000-0010-0000-0700-000001000000}" name="دریافت وام" dataDxfId="263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262" dataDxfId="261">
  <autoFilter ref="R5:R6" xr:uid="{00000000-0009-0000-0100-000012000000}"/>
  <tableColumns count="1">
    <tableColumn id="1" xr3:uid="{00000000-0010-0000-0800-000001000000}" name="درآمد متفرقه" dataDxfId="260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59" dataDxfId="258">
  <autoFilter ref="D5:D6" xr:uid="{00000000-0009-0000-0100-00002A000000}"/>
  <tableColumns count="1">
    <tableColumn id="1" xr3:uid="{00000000-0010-0000-0900-000001000000}" name="حقوق" dataDxfId="25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256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255"/>
    <tableColumn id="2" xr3:uid="{00000000-0010-0000-0A00-000002000000}" name="نام گروه هزینه" dataDxfId="254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53" dataDxfId="252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25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250" dataDxfId="249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24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247" dataDxfId="246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245"/>
  </tableColumns>
  <tableStyleInfo name="TableStyleMedium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244" dataDxfId="243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242"/>
  </tableColumns>
  <tableStyleInfo name="TableStyleMedium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241" dataDxfId="240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39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38" dataDxfId="237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3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35" dataDxfId="234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233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232" dataDxfId="231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30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29" dataDxfId="228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27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226" dataDxfId="225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224"/>
  </tableColumns>
  <tableStyleInfo name="TableStyleMedium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223" dataDxfId="222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21"/>
  </tableColumns>
  <tableStyleInfo name="TableStyleMedium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20" dataDxfId="219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18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17" dataDxfId="216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15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14" dataDxfId="213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1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11" dataDxfId="210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09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08" dataDxfId="207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06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05" dataDxfId="204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03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02" dataDxfId="201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00"/>
  </tableColumns>
  <tableStyleInfo name="TableStyleMedium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99" dataDxfId="198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97"/>
  </tableColumns>
  <tableStyleInfo name="TableStyleMedium4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96" dataDxfId="195">
  <autoFilter ref="AP4:AP8" xr:uid="{00000000-0009-0000-0100-000025000000}"/>
  <tableColumns count="1">
    <tableColumn id="1" xr3:uid="{00000000-0010-0000-1E00-000001000000}" name="مالیات" dataDxfId="19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93" dataDxfId="192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91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190" dataDxfId="189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188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187" dataDxfId="186">
  <autoFilter ref="AV4:AV11" xr:uid="{00000000-0009-0000-0100-000028000000}"/>
  <tableColumns count="1">
    <tableColumn id="1" xr3:uid="{00000000-0010-0000-2100-000001000000}" name="هدیه و کادو" dataDxfId="185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184" dataDxfId="183">
  <autoFilter ref="AX4:AX7" xr:uid="{00000000-0009-0000-0100-000029000000}"/>
  <tableColumns count="1">
    <tableColumn id="1" xr3:uid="{00000000-0010-0000-2200-000001000000}" name="یادگیری و توسعه فردی" dataDxfId="182"/>
  </tableColumns>
  <tableStyleInfo name="TableStyleMedium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81" dataDxfId="180">
  <autoFilter ref="D3:D18" xr:uid="{282954C5-616F-485C-A314-4D9D555112CE}"/>
  <tableColumns count="1">
    <tableColumn id="1" xr3:uid="{4F5516FC-A919-4D2F-9080-341CCE3046E2}" name="Accounts_Receivers_Payers" dataDxfId="179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78" dataDxfId="177">
  <autoFilter ref="D3:L4" xr:uid="{48C55AA4-F37D-4D99-BE2B-B1221861617E}"/>
  <tableColumns count="9">
    <tableColumn id="6" xr3:uid="{68E8881D-1F0D-41F5-8C5D-764D3CBD2FD0}" name="ID" dataDxfId="176"/>
    <tableColumn id="1" xr3:uid="{2F87ECEC-D557-47DE-89F2-D88E134F34F1}" name="افراد" dataDxfId="175"/>
    <tableColumn id="2" xr3:uid="{85475129-5B44-4EA7-938C-C7F633C408DC}" name="کد ملی" dataDxfId="174"/>
    <tableColumn id="3" xr3:uid="{AE0E4825-4DF9-4EF2-A007-8D15688BCB78}" name="شماره تماس" dataDxfId="173"/>
    <tableColumn id="4" xr3:uid="{6557281E-E601-4363-A5E8-D3F55F24CFFF}" name="آدرس ایمیل" dataDxfId="172" dataCellStyle="Hyperlink"/>
    <tableColumn id="5" xr3:uid="{7192D02E-A22E-46AF-B898-9ED00C2D1F34}" name="سایت اینترنتی" dataDxfId="171"/>
    <tableColumn id="7" xr3:uid="{31B3615E-F042-4B31-B668-D43C93A87FE5}" name="آدرس محل کار" dataDxfId="170"/>
    <tableColumn id="8" xr3:uid="{B916AA35-F910-4551-98CF-C16AFDBEFF70}" name="آدرس منزل" dataDxfId="169"/>
    <tableColumn id="9" xr3:uid="{8C252ACF-424E-4297-9478-B4372ACF1CCF}" name="توضیحات" dataDxfId="168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67" dataDxfId="166" totalsRowDxfId="165">
  <autoFilter ref="D8:R18" xr:uid="{274EC88A-4B54-49A7-9AA9-7C2621AB40BC}"/>
  <tableColumns count="15">
    <tableColumn id="1" xr3:uid="{B07A4647-B141-4519-A431-57834BEB4690}" name="ID" totalsRowLabel="Total" dataDxfId="164" totalsRowDxfId="163"/>
    <tableColumn id="2" xr3:uid="{9B0863B0-2E0D-40E3-80A5-53A7C80DB031}" name="نام حساب" dataDxfId="162" totalsRowDxfId="161"/>
    <tableColumn id="3" xr3:uid="{22E26951-650A-4DA8-83F7-7342252ADAF4}" name="شرح حساب" dataDxfId="160" totalsRowDxfId="159"/>
    <tableColumn id="4" xr3:uid="{0ACE1E7A-4205-4BD4-B95E-C67B9D28BA4E}" name="موجودی اولیه" totalsRowFunction="custom" dataDxfId="158" totalsRowDxfId="157">
      <totalsRowFormula>SUBTOTAL(109,FinancialAccountsTable[موجودی اولیه])-G14</totalsRowFormula>
    </tableColumn>
    <tableColumn id="9" xr3:uid="{9BF51EE3-668E-4C80-B6DB-2712CE69E2D3}" name="جمع پرداختی" totalsRowFunction="custom" dataDxfId="156" totalsRowDxfId="155">
      <totalsRowFormula>SUBTOTAL(109,FinancialAccountsTable[جمع پرداختی])-H14</totalsRowFormula>
    </tableColumn>
    <tableColumn id="11" xr3:uid="{8AE20E53-4327-42D3-8063-1F3B02795A7E}" name="جمع دریافتی" totalsRowFunction="custom" dataDxfId="154" totalsRowDxfId="153">
      <totalsRowFormula>SUBTOTAL(109,FinancialAccountsTable[جمع دریافتی])-I14</totalsRowFormula>
    </tableColumn>
    <tableColumn id="12" xr3:uid="{095FB686-98D1-4C04-AA7E-A329642F7292}" name="مانده" totalsRowFunction="custom" dataDxfId="152" totalsRowDxfId="151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50" totalsRowDxfId="149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48" totalsRowDxfId="147"/>
    <tableColumn id="18" xr3:uid="{CD505A3A-0F06-41B5-9C88-ACE7BBDC75B9}" name="نوع حساب" dataDxfId="146" totalsRowDxfId="145"/>
    <tableColumn id="10" xr3:uid="{AB3BD14A-860C-4744-B018-FC385AC6514C}" name="شماره حساب" dataDxfId="144" totalsRowDxfId="143"/>
    <tableColumn id="19" xr3:uid="{7E3F7BE6-EF70-4DB5-ACF8-A36DE0C80E5B}" name="شماره شبا" dataDxfId="142" totalsRowDxfId="141"/>
    <tableColumn id="14" xr3:uid="{5D0BD8D2-3C56-4B7E-AE34-770948467C25}" name="شماره کارت" dataDxfId="140" totalsRowDxfId="139"/>
    <tableColumn id="15" xr3:uid="{F0EA249A-426E-4668-B36E-75E5633920DC}" name="تاریخ انقضاء کارت" dataDxfId="138" totalsRowDxfId="137"/>
    <tableColumn id="16" xr3:uid="{CF2BE494-D0B5-4C01-8126-ED743F936578}" name="CVV2" dataDxfId="136" totalsRowDxfId="135"/>
  </tableColumns>
  <tableStyleInfo name="TableStyleMedium1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134" dataDxfId="133">
  <autoFilter ref="D3:D6" xr:uid="{00000000-0009-0000-0100-000002000000}"/>
  <tableColumns count="1">
    <tableColumn id="1" xr3:uid="{00000000-0010-0000-2700-000001000000}" name="نوع خرج" dataDxfId="132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131" dataDxfId="130">
  <autoFilter ref="F3:F7" xr:uid="{00000000-0009-0000-0100-000006000000}"/>
  <tableColumns count="1">
    <tableColumn id="1" xr3:uid="{00000000-0010-0000-2800-000001000000}" name="نوع تراکنش" dataDxfId="129"/>
  </tableColumns>
  <tableStyleInfo name="TableStyleMedium23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128" dataDxfId="127">
  <autoFilter ref="H3:H10" xr:uid="{00000000-0009-0000-0100-000009000000}"/>
  <tableColumns count="1">
    <tableColumn id="1" xr3:uid="{00000000-0010-0000-2900-000001000000}" name="روش تراکنش" dataDxfId="126"/>
  </tableColumns>
  <tableStyleInfo name="TableStyleMedium3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125" dataDxfId="124">
  <autoFilter ref="M4:O14" xr:uid="{00000000-0009-0000-0100-00002C000000}"/>
  <tableColumns count="3">
    <tableColumn id="1" xr3:uid="{00000000-0010-0000-2A00-000001000000}" name="عنوان تعطیلات" dataDxfId="123"/>
    <tableColumn id="2" xr3:uid="{00000000-0010-0000-2A00-000002000000}" name="روز و ماه" dataDxfId="122"/>
    <tableColumn id="3" xr3:uid="{00000000-0010-0000-2A00-000003000000}" name="Date" dataDxfId="121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120" dataDxfId="119">
  <autoFilter ref="J4:K10" xr:uid="{00000000-0009-0000-0100-00002D000000}"/>
  <tableColumns count="2">
    <tableColumn id="1" xr3:uid="{00000000-0010-0000-2B00-000001000000}" name="ID" dataDxfId="118"/>
    <tableColumn id="2" xr3:uid="{00000000-0010-0000-2B00-000002000000}" name="شیوه نمایش تاریخ" dataDxfId="117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116" dataDxfId="115">
  <autoFilter ref="Q4:S224" xr:uid="{00000000-0009-0000-0100-00002E000000}"/>
  <tableColumns count="3">
    <tableColumn id="1" xr3:uid="{00000000-0010-0000-2C00-000001000000}" name="عنوان مناسبت" dataDxfId="114"/>
    <tableColumn id="2" xr3:uid="{00000000-0010-0000-2C00-000002000000}" name="روز و ماه" dataDxfId="113"/>
    <tableColumn id="3" xr3:uid="{00000000-0010-0000-2C00-000003000000}" name="Date" dataDxfId="112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111" dataDxfId="110">
  <autoFilter ref="U4:V24" xr:uid="{00000000-0009-0000-0100-00002F000000}"/>
  <tableColumns count="2">
    <tableColumn id="1" xr3:uid="{00000000-0010-0000-2D00-000001000000}" name="تعطیلات قمری" dataDxfId="109"/>
    <tableColumn id="2" xr3:uid="{00000000-0010-0000-2D00-000002000000}" name="Day and Month" dataDxfId="108"/>
  </tableColumns>
  <tableStyleInfo name="TableStyleMedium1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107" dataDxfId="106">
  <autoFilter ref="X4:Y63" xr:uid="{00000000-0009-0000-0100-000030000000}"/>
  <tableColumns count="2">
    <tableColumn id="1" xr3:uid="{00000000-0010-0000-2E00-000001000000}" name="مناسبت قمری" dataDxfId="105"/>
    <tableColumn id="2" xr3:uid="{00000000-0010-0000-2E00-000002000000}" name="Day and Month" dataDxfId="104"/>
  </tableColumns>
  <tableStyleInfo name="TableStyleMedium14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103" dataDxfId="102">
  <autoFilter ref="AA4:AB32" xr:uid="{00000000-0009-0000-0100-000031000000}"/>
  <tableColumns count="2">
    <tableColumn id="1" xr3:uid="{00000000-0010-0000-2F00-000001000000}" name="مناسبت میلادی" dataDxfId="101"/>
    <tableColumn id="2" xr3:uid="{00000000-0010-0000-2F00-000002000000}" name="Day and Month" dataDxfId="100"/>
  </tableColumns>
  <tableStyleInfo name="TableStyleMedium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99" dataDxfId="98">
  <autoFilter ref="J13:K41" xr:uid="{00000000-0009-0000-0100-000032000000}"/>
  <tableColumns count="2">
    <tableColumn id="1" xr3:uid="{00000000-0010-0000-3000-000001000000}" name="عملیات" dataDxfId="97"/>
    <tableColumn id="2" xr3:uid="{00000000-0010-0000-3000-000002000000}" name="Wage" dataDxfId="96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13" Type="http://schemas.openxmlformats.org/officeDocument/2006/relationships/table" Target="../tables/table25.xml"/><Relationship Id="rId18" Type="http://schemas.openxmlformats.org/officeDocument/2006/relationships/table" Target="../tables/table30.xml"/><Relationship Id="rId26" Type="http://schemas.openxmlformats.org/officeDocument/2006/relationships/table" Target="../tables/table38.xml"/><Relationship Id="rId3" Type="http://schemas.openxmlformats.org/officeDocument/2006/relationships/table" Target="../tables/table15.xml"/><Relationship Id="rId21" Type="http://schemas.openxmlformats.org/officeDocument/2006/relationships/table" Target="../tables/table33.xml"/><Relationship Id="rId7" Type="http://schemas.openxmlformats.org/officeDocument/2006/relationships/table" Target="../tables/table19.xml"/><Relationship Id="rId12" Type="http://schemas.openxmlformats.org/officeDocument/2006/relationships/table" Target="../tables/table24.xml"/><Relationship Id="rId17" Type="http://schemas.openxmlformats.org/officeDocument/2006/relationships/table" Target="../tables/table29.xml"/><Relationship Id="rId25" Type="http://schemas.openxmlformats.org/officeDocument/2006/relationships/table" Target="../tables/table37.xml"/><Relationship Id="rId2" Type="http://schemas.openxmlformats.org/officeDocument/2006/relationships/table" Target="../tables/table14.xml"/><Relationship Id="rId16" Type="http://schemas.openxmlformats.org/officeDocument/2006/relationships/table" Target="../tables/table28.xml"/><Relationship Id="rId20" Type="http://schemas.openxmlformats.org/officeDocument/2006/relationships/table" Target="../tables/table3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11" Type="http://schemas.openxmlformats.org/officeDocument/2006/relationships/table" Target="../tables/table23.xml"/><Relationship Id="rId24" Type="http://schemas.openxmlformats.org/officeDocument/2006/relationships/table" Target="../tables/table36.xml"/><Relationship Id="rId5" Type="http://schemas.openxmlformats.org/officeDocument/2006/relationships/table" Target="../tables/table17.xml"/><Relationship Id="rId15" Type="http://schemas.openxmlformats.org/officeDocument/2006/relationships/table" Target="../tables/table27.xml"/><Relationship Id="rId23" Type="http://schemas.openxmlformats.org/officeDocument/2006/relationships/table" Target="../tables/table35.xml"/><Relationship Id="rId10" Type="http://schemas.openxmlformats.org/officeDocument/2006/relationships/table" Target="../tables/table22.xml"/><Relationship Id="rId19" Type="http://schemas.openxmlformats.org/officeDocument/2006/relationships/table" Target="../tables/table31.xml"/><Relationship Id="rId4" Type="http://schemas.openxmlformats.org/officeDocument/2006/relationships/table" Target="../tables/table16.xml"/><Relationship Id="rId9" Type="http://schemas.openxmlformats.org/officeDocument/2006/relationships/table" Target="../tables/table21.xml"/><Relationship Id="rId14" Type="http://schemas.openxmlformats.org/officeDocument/2006/relationships/table" Target="../tables/table26.xml"/><Relationship Id="rId22" Type="http://schemas.openxmlformats.org/officeDocument/2006/relationships/table" Target="../tables/table3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table" Target="../tables/table43.xml"/><Relationship Id="rId7" Type="http://schemas.openxmlformats.org/officeDocument/2006/relationships/table" Target="../tables/table47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 x14ac:dyDescent="0.2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 x14ac:dyDescent="0.2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 x14ac:dyDescent="0.2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335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17" t="str">
        <f>Slash(14000525)</f>
        <v>1400/05/25</v>
      </c>
      <c r="Q22">
        <v>7</v>
      </c>
    </row>
    <row r="23" spans="3:17" x14ac:dyDescent="0.25">
      <c r="K23" s="95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7" spans="3:17" ht="18.75" x14ac:dyDescent="0.25">
      <c r="C27" s="159" t="s">
        <v>8</v>
      </c>
    </row>
    <row r="28" spans="3:17" ht="18.75" x14ac:dyDescent="0.25">
      <c r="C28" s="167" t="s">
        <v>98</v>
      </c>
      <c r="M28" t="e">
        <f>CL</f>
        <v>#NAME?</v>
      </c>
    </row>
    <row r="29" spans="3:17" ht="18.75" x14ac:dyDescent="0.25">
      <c r="C29" s="160" t="s">
        <v>115</v>
      </c>
    </row>
    <row r="30" spans="3:17" ht="18.75" x14ac:dyDescent="0.25">
      <c r="C30" s="165" t="s">
        <v>111</v>
      </c>
    </row>
    <row r="31" spans="3:17" ht="18.75" x14ac:dyDescent="0.25">
      <c r="C31" s="163" t="s">
        <v>974</v>
      </c>
    </row>
    <row r="32" spans="3:17" ht="18.75" x14ac:dyDescent="0.25">
      <c r="C32" s="146" t="s">
        <v>975</v>
      </c>
    </row>
    <row r="33" spans="3:3" ht="18.75" x14ac:dyDescent="0.25">
      <c r="C33" s="164" t="s">
        <v>89</v>
      </c>
    </row>
    <row r="34" spans="3:3" ht="18.75" x14ac:dyDescent="0.25">
      <c r="C34" s="165" t="s">
        <v>111</v>
      </c>
    </row>
    <row r="35" spans="3:3" ht="18.75" x14ac:dyDescent="0.25">
      <c r="C35" s="166" t="s">
        <v>105</v>
      </c>
    </row>
    <row r="36" spans="3:3" x14ac:dyDescent="0.25">
      <c r="C36" s="153"/>
    </row>
    <row r="37" spans="3:3" x14ac:dyDescent="0.25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144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E8" sqref="E8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 x14ac:dyDescent="0.25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205" t="s">
        <v>144</v>
      </c>
      <c r="K3" s="205"/>
      <c r="L3" s="4"/>
      <c r="M3" s="29"/>
      <c r="N3" s="4"/>
      <c r="O3" s="45"/>
      <c r="P3" s="45"/>
      <c r="Q3" s="45"/>
      <c r="R3" s="45"/>
    </row>
    <row r="4" spans="1:19" s="56" customFormat="1" ht="3.75" customHeight="1" x14ac:dyDescent="0.25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52"/>
      <c r="C5" s="118">
        <v>0</v>
      </c>
      <c r="D5" s="52"/>
      <c r="E5" s="126" t="s">
        <v>410</v>
      </c>
      <c r="F5" s="125">
        <f ca="1">TODAY()</f>
        <v>44548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 x14ac:dyDescent="0.25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 x14ac:dyDescent="0.2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 x14ac:dyDescent="0.25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 x14ac:dyDescent="0.25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 x14ac:dyDescent="0.2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 x14ac:dyDescent="0.25">
      <c r="D514" s="119"/>
    </row>
    <row r="515" spans="4:4" x14ac:dyDescent="0.25">
      <c r="D515" s="119"/>
    </row>
  </sheetData>
  <dataConsolidate/>
  <mergeCells count="1">
    <mergeCell ref="J3:K3"/>
  </mergeCells>
  <conditionalFormatting sqref="A8:N507">
    <cfRule type="expression" dxfId="57" priority="1">
      <formula xml:space="preserve"> "" = $E8</formula>
    </cfRule>
    <cfRule type="expression" dxfId="56" priority="5">
      <formula xml:space="preserve"> "انتقال" = $E8</formula>
    </cfRule>
    <cfRule type="expression" dxfId="55" priority="6">
      <formula xml:space="preserve"> "پرداخت_هزینه" = $E8</formula>
    </cfRule>
    <cfRule type="expression" dxfId="54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00" t="s">
        <v>337</v>
      </c>
    </row>
    <row r="2" spans="1:33" ht="24" customHeight="1" x14ac:dyDescent="0.25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 x14ac:dyDescent="0.25">
      <c r="A3" s="41"/>
      <c r="D3" s="209" t="s">
        <v>346</v>
      </c>
      <c r="E3" s="102"/>
      <c r="F3" s="207" t="s">
        <v>338</v>
      </c>
      <c r="G3" s="207"/>
      <c r="H3" s="207"/>
      <c r="I3" s="207"/>
      <c r="J3" s="207"/>
      <c r="K3" s="207"/>
      <c r="L3" s="207"/>
      <c r="M3" s="104"/>
      <c r="O3" s="102"/>
      <c r="P3" s="207" t="s">
        <v>347</v>
      </c>
      <c r="Q3" s="207"/>
      <c r="R3" s="207"/>
      <c r="S3" s="207"/>
      <c r="T3" s="207"/>
      <c r="U3" s="207"/>
      <c r="V3" s="207"/>
      <c r="W3" s="104"/>
      <c r="Y3" s="102"/>
      <c r="Z3" s="207" t="s">
        <v>350</v>
      </c>
      <c r="AA3" s="207"/>
      <c r="AB3" s="207"/>
      <c r="AC3" s="207"/>
      <c r="AD3" s="207"/>
      <c r="AE3" s="207"/>
      <c r="AF3" s="207"/>
      <c r="AG3" s="104"/>
    </row>
    <row r="4" spans="1:33" ht="24" customHeight="1" thickBot="1" x14ac:dyDescent="0.3">
      <c r="A4" s="9" t="s">
        <v>8</v>
      </c>
      <c r="D4" s="209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 x14ac:dyDescent="0.25">
      <c r="A5" s="35" t="s">
        <v>115</v>
      </c>
      <c r="D5" s="209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 x14ac:dyDescent="0.25">
      <c r="A6" s="10" t="s">
        <v>102</v>
      </c>
      <c r="D6" s="209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 x14ac:dyDescent="0.25">
      <c r="A7" s="11" t="s">
        <v>103</v>
      </c>
      <c r="D7" s="209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 x14ac:dyDescent="0.25">
      <c r="A8" s="33" t="s">
        <v>104</v>
      </c>
      <c r="D8" s="209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 x14ac:dyDescent="0.25">
      <c r="A9" s="12" t="s">
        <v>110</v>
      </c>
      <c r="D9" s="209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 x14ac:dyDescent="0.25">
      <c r="A10" s="13" t="s">
        <v>89</v>
      </c>
      <c r="D10" s="209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 x14ac:dyDescent="0.25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 x14ac:dyDescent="0.25">
      <c r="A12" s="14" t="s">
        <v>105</v>
      </c>
      <c r="D12" s="208" t="s">
        <v>348</v>
      </c>
      <c r="E12" s="106"/>
      <c r="F12" s="206" t="s">
        <v>349</v>
      </c>
      <c r="G12" s="206"/>
      <c r="H12" s="206"/>
      <c r="I12" s="206"/>
      <c r="J12" s="206"/>
      <c r="K12" s="206"/>
      <c r="L12" s="206"/>
      <c r="M12" s="107"/>
      <c r="O12" s="106"/>
      <c r="P12" s="206" t="s">
        <v>351</v>
      </c>
      <c r="Q12" s="206"/>
      <c r="R12" s="206"/>
      <c r="S12" s="206"/>
      <c r="T12" s="206"/>
      <c r="U12" s="206"/>
      <c r="V12" s="206"/>
      <c r="W12" s="107"/>
      <c r="Y12" s="106"/>
      <c r="Z12" s="206" t="s">
        <v>352</v>
      </c>
      <c r="AA12" s="206"/>
      <c r="AB12" s="206"/>
      <c r="AC12" s="206"/>
      <c r="AD12" s="206"/>
      <c r="AE12" s="206"/>
      <c r="AF12" s="206"/>
      <c r="AG12" s="107"/>
    </row>
    <row r="13" spans="1:33" ht="24" customHeight="1" thickBot="1" x14ac:dyDescent="0.3">
      <c r="A13" s="15" t="s">
        <v>98</v>
      </c>
      <c r="D13" s="208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 x14ac:dyDescent="0.25">
      <c r="A14" s="116" t="s">
        <v>99</v>
      </c>
      <c r="D14" s="208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 x14ac:dyDescent="0.25">
      <c r="A15" s="98" t="s">
        <v>100</v>
      </c>
      <c r="D15" s="208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 x14ac:dyDescent="0.25">
      <c r="D16" s="208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 x14ac:dyDescent="0.25">
      <c r="D17" s="208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 x14ac:dyDescent="0.25">
      <c r="D18" s="208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 x14ac:dyDescent="0.25">
      <c r="D19" s="208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 x14ac:dyDescent="0.25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 x14ac:dyDescent="0.25">
      <c r="D21" s="213" t="s">
        <v>353</v>
      </c>
      <c r="E21" s="108"/>
      <c r="F21" s="210" t="s">
        <v>354</v>
      </c>
      <c r="G21" s="210"/>
      <c r="H21" s="210"/>
      <c r="I21" s="210"/>
      <c r="J21" s="210"/>
      <c r="K21" s="210"/>
      <c r="L21" s="210"/>
      <c r="M21" s="110"/>
      <c r="O21" s="108"/>
      <c r="P21" s="210" t="s">
        <v>355</v>
      </c>
      <c r="Q21" s="210"/>
      <c r="R21" s="210"/>
      <c r="S21" s="210"/>
      <c r="T21" s="210"/>
      <c r="U21" s="210"/>
      <c r="V21" s="210"/>
      <c r="W21" s="110"/>
      <c r="Y21" s="108"/>
      <c r="Z21" s="210" t="s">
        <v>355</v>
      </c>
      <c r="AA21" s="210"/>
      <c r="AB21" s="210"/>
      <c r="AC21" s="210"/>
      <c r="AD21" s="210"/>
      <c r="AE21" s="210"/>
      <c r="AF21" s="210"/>
      <c r="AG21" s="110"/>
    </row>
    <row r="22" spans="4:33" ht="21.75" thickBot="1" x14ac:dyDescent="0.3">
      <c r="D22" s="213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 x14ac:dyDescent="0.25">
      <c r="D23" s="213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 x14ac:dyDescent="0.25">
      <c r="D24" s="213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 x14ac:dyDescent="0.25">
      <c r="D25" s="213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 x14ac:dyDescent="0.25">
      <c r="D26" s="213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 x14ac:dyDescent="0.25">
      <c r="D27" s="213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 x14ac:dyDescent="0.25">
      <c r="D28" s="213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 x14ac:dyDescent="0.25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 x14ac:dyDescent="0.25">
      <c r="D30" s="211" t="s">
        <v>356</v>
      </c>
      <c r="E30" s="113"/>
      <c r="F30" s="212" t="s">
        <v>357</v>
      </c>
      <c r="G30" s="212"/>
      <c r="H30" s="212"/>
      <c r="I30" s="212"/>
      <c r="J30" s="212"/>
      <c r="K30" s="212"/>
      <c r="L30" s="212"/>
      <c r="M30" s="115"/>
      <c r="O30" s="113"/>
      <c r="P30" s="212" t="s">
        <v>358</v>
      </c>
      <c r="Q30" s="212"/>
      <c r="R30" s="212"/>
      <c r="S30" s="212"/>
      <c r="T30" s="212"/>
      <c r="U30" s="212"/>
      <c r="V30" s="212"/>
      <c r="W30" s="115"/>
      <c r="Y30" s="113"/>
      <c r="Z30" s="212" t="s">
        <v>359</v>
      </c>
      <c r="AA30" s="212"/>
      <c r="AB30" s="212"/>
      <c r="AC30" s="212"/>
      <c r="AD30" s="212"/>
      <c r="AE30" s="212"/>
      <c r="AF30" s="212"/>
      <c r="AG30" s="115"/>
    </row>
    <row r="31" spans="4:33" ht="21.75" thickBot="1" x14ac:dyDescent="0.3">
      <c r="D31" s="211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 x14ac:dyDescent="0.25">
      <c r="D32" s="211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 x14ac:dyDescent="0.25">
      <c r="D33" s="211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 x14ac:dyDescent="0.25">
      <c r="D34" s="211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 x14ac:dyDescent="0.25">
      <c r="D35" s="211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 x14ac:dyDescent="0.25">
      <c r="D36" s="211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 x14ac:dyDescent="0.25">
      <c r="D37" s="211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5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J87"/>
  <sheetViews>
    <sheetView rightToLeft="1" tabSelected="1" zoomScaleNormal="100" workbookViewId="0">
      <selection activeCell="C1" sqref="C1"/>
    </sheetView>
  </sheetViews>
  <sheetFormatPr defaultRowHeight="15" x14ac:dyDescent="0.25"/>
  <cols>
    <col min="1" max="1" width="29.7109375" style="230" customWidth="1"/>
    <col min="2" max="2" width="0.7109375" style="262" customWidth="1"/>
    <col min="3" max="3" width="4.5703125" style="231" customWidth="1"/>
    <col min="4" max="4" width="29.7109375" style="231" customWidth="1"/>
    <col min="5" max="5" width="36.5703125" style="231" customWidth="1"/>
    <col min="6" max="6" width="18.28515625" style="231" customWidth="1"/>
    <col min="7" max="7" width="23.5703125" style="231" customWidth="1"/>
    <col min="8" max="8" width="36.5703125" style="231" customWidth="1"/>
    <col min="9" max="10" width="18.28515625" style="231" customWidth="1"/>
    <col min="11" max="11" width="29.85546875" style="231" customWidth="1"/>
    <col min="12" max="12" width="36.7109375" style="231" customWidth="1"/>
    <col min="13" max="13" width="18.42578125" style="231" customWidth="1"/>
    <col min="14" max="14" width="23.5703125" style="231" customWidth="1"/>
    <col min="15" max="15" width="36.7109375" style="231" customWidth="1"/>
    <col min="16" max="16" width="18.42578125" style="231" customWidth="1"/>
    <col min="17" max="16384" width="9.140625" style="231"/>
  </cols>
  <sheetData>
    <row r="1" spans="1:10" ht="15.75" x14ac:dyDescent="0.25">
      <c r="A1" s="294" t="s">
        <v>983</v>
      </c>
      <c r="B1" s="230"/>
      <c r="D1" s="197" t="s">
        <v>1000</v>
      </c>
      <c r="E1" s="232"/>
      <c r="G1" s="232"/>
      <c r="H1" s="232"/>
      <c r="I1" s="232"/>
      <c r="J1" s="232"/>
    </row>
    <row r="2" spans="1:10" ht="30" x14ac:dyDescent="0.25">
      <c r="B2" s="230"/>
      <c r="D2" s="198" t="s">
        <v>984</v>
      </c>
      <c r="E2" s="198" t="s">
        <v>17</v>
      </c>
      <c r="F2" s="199" t="s">
        <v>2</v>
      </c>
      <c r="G2" s="198" t="s">
        <v>1010</v>
      </c>
      <c r="H2" s="198" t="s">
        <v>985</v>
      </c>
      <c r="I2" s="198" t="s">
        <v>1003</v>
      </c>
      <c r="J2" s="198" t="s">
        <v>998</v>
      </c>
    </row>
    <row r="3" spans="1:10" ht="18.75" x14ac:dyDescent="0.25">
      <c r="A3" s="9" t="s">
        <v>8</v>
      </c>
      <c r="B3" s="230"/>
      <c r="D3" s="233" t="s">
        <v>991</v>
      </c>
      <c r="E3" s="233" t="s">
        <v>1001</v>
      </c>
      <c r="F3" s="234">
        <v>50000000</v>
      </c>
      <c r="G3" s="233" t="s">
        <v>1057</v>
      </c>
      <c r="H3" s="233"/>
      <c r="I3" s="233" t="s">
        <v>1058</v>
      </c>
      <c r="J3" s="235" t="s">
        <v>1052</v>
      </c>
    </row>
    <row r="4" spans="1:10" ht="19.5" thickBot="1" x14ac:dyDescent="0.3">
      <c r="A4" s="200" t="s">
        <v>115</v>
      </c>
      <c r="B4" s="230"/>
      <c r="D4" s="236" t="s">
        <v>991</v>
      </c>
      <c r="E4" s="236" t="s">
        <v>1022</v>
      </c>
      <c r="F4" s="237"/>
      <c r="G4" s="236" t="s">
        <v>1057</v>
      </c>
      <c r="H4" s="236"/>
      <c r="I4" s="236"/>
      <c r="J4" s="238"/>
    </row>
    <row r="5" spans="1:10" ht="18.75" x14ac:dyDescent="0.25">
      <c r="A5" s="10" t="s">
        <v>102</v>
      </c>
      <c r="B5" s="230"/>
      <c r="D5" s="239" t="s">
        <v>986</v>
      </c>
      <c r="E5" s="239" t="s">
        <v>1020</v>
      </c>
      <c r="F5" s="240"/>
      <c r="G5" s="228" t="s">
        <v>1012</v>
      </c>
      <c r="H5" s="239" t="s">
        <v>1021</v>
      </c>
      <c r="I5" s="241" t="s">
        <v>1060</v>
      </c>
      <c r="J5" s="242"/>
    </row>
    <row r="6" spans="1:10" ht="19.5" thickBot="1" x14ac:dyDescent="0.3">
      <c r="A6" s="11" t="s">
        <v>103</v>
      </c>
      <c r="B6" s="230"/>
      <c r="D6" s="243" t="s">
        <v>986</v>
      </c>
      <c r="E6" s="203" t="s">
        <v>1019</v>
      </c>
      <c r="F6" s="244"/>
      <c r="G6" s="203" t="s">
        <v>1012</v>
      </c>
      <c r="H6" s="203"/>
      <c r="I6" s="203"/>
      <c r="J6" s="203"/>
    </row>
    <row r="7" spans="1:10" ht="19.5" thickBot="1" x14ac:dyDescent="0.3">
      <c r="A7" s="33" t="s">
        <v>104</v>
      </c>
      <c r="B7" s="230"/>
      <c r="D7" s="245" t="s">
        <v>992</v>
      </c>
      <c r="E7" s="246" t="s">
        <v>1013</v>
      </c>
      <c r="F7" s="237"/>
      <c r="G7" s="236" t="s">
        <v>1057</v>
      </c>
      <c r="H7" s="245"/>
      <c r="I7" s="247"/>
      <c r="J7" s="248"/>
    </row>
    <row r="8" spans="1:10" ht="19.5" thickBot="1" x14ac:dyDescent="0.3">
      <c r="A8" s="201" t="s">
        <v>110</v>
      </c>
      <c r="B8" s="230"/>
      <c r="D8" s="246" t="s">
        <v>993</v>
      </c>
      <c r="E8" s="246" t="s">
        <v>1014</v>
      </c>
      <c r="F8" s="249"/>
      <c r="G8" s="250" t="s">
        <v>1057</v>
      </c>
      <c r="H8" s="246"/>
      <c r="I8" s="251"/>
      <c r="J8" s="251"/>
    </row>
    <row r="9" spans="1:10" ht="18.75" x14ac:dyDescent="0.25">
      <c r="A9" s="13" t="s">
        <v>89</v>
      </c>
      <c r="B9" s="230"/>
      <c r="D9" s="252" t="s">
        <v>995</v>
      </c>
      <c r="E9" s="252" t="s">
        <v>1015</v>
      </c>
      <c r="F9" s="253"/>
      <c r="G9" s="239" t="s">
        <v>1016</v>
      </c>
      <c r="H9" s="252"/>
      <c r="I9" s="241" t="s">
        <v>1059</v>
      </c>
      <c r="J9" s="254"/>
    </row>
    <row r="10" spans="1:10" ht="19.5" thickBot="1" x14ac:dyDescent="0.3">
      <c r="A10" s="202" t="s">
        <v>7</v>
      </c>
      <c r="B10" s="230"/>
      <c r="D10" s="255" t="s">
        <v>995</v>
      </c>
      <c r="E10" s="255" t="s">
        <v>1034</v>
      </c>
      <c r="F10" s="234"/>
      <c r="G10" s="243" t="s">
        <v>1057</v>
      </c>
      <c r="H10" s="255"/>
      <c r="I10" s="243"/>
      <c r="J10" s="256"/>
    </row>
    <row r="11" spans="1:10" ht="19.5" thickBot="1" x14ac:dyDescent="0.3">
      <c r="A11" s="14" t="s">
        <v>105</v>
      </c>
      <c r="B11" s="230"/>
      <c r="D11" s="257" t="s">
        <v>994</v>
      </c>
      <c r="E11" s="257" t="s">
        <v>1036</v>
      </c>
      <c r="F11" s="249"/>
      <c r="G11" s="250" t="s">
        <v>1057</v>
      </c>
      <c r="H11" s="257"/>
      <c r="I11" s="250"/>
      <c r="J11" s="258"/>
    </row>
    <row r="12" spans="1:10" ht="18.75" x14ac:dyDescent="0.25">
      <c r="A12" s="15" t="s">
        <v>98</v>
      </c>
      <c r="B12" s="230"/>
      <c r="D12" s="252" t="s">
        <v>996</v>
      </c>
      <c r="E12" s="252" t="s">
        <v>1023</v>
      </c>
      <c r="F12" s="253"/>
      <c r="G12" s="259" t="s">
        <v>1057</v>
      </c>
      <c r="H12" s="252"/>
      <c r="I12" s="241"/>
      <c r="J12" s="254"/>
    </row>
    <row r="13" spans="1:10" ht="15.75" thickBot="1" x14ac:dyDescent="0.3">
      <c r="B13" s="230"/>
      <c r="D13" s="255" t="s">
        <v>996</v>
      </c>
      <c r="E13" s="255" t="s">
        <v>1017</v>
      </c>
      <c r="F13" s="244"/>
      <c r="G13" s="260" t="s">
        <v>1018</v>
      </c>
      <c r="H13" s="255"/>
      <c r="I13" s="243" t="s">
        <v>1007</v>
      </c>
      <c r="J13" s="256"/>
    </row>
    <row r="14" spans="1:10" ht="30" x14ac:dyDescent="0.25">
      <c r="A14" s="261" t="s">
        <v>1009</v>
      </c>
      <c r="D14" s="252" t="s">
        <v>1027</v>
      </c>
      <c r="E14" s="252" t="s">
        <v>1025</v>
      </c>
      <c r="F14" s="240"/>
      <c r="G14" s="259" t="s">
        <v>1057</v>
      </c>
      <c r="H14" s="252"/>
      <c r="I14" s="241"/>
      <c r="J14" s="254"/>
    </row>
    <row r="15" spans="1:10" ht="15.75" thickBot="1" x14ac:dyDescent="0.3">
      <c r="A15" s="261" t="s">
        <v>991</v>
      </c>
      <c r="D15" s="255" t="s">
        <v>1027</v>
      </c>
      <c r="E15" s="255" t="s">
        <v>1024</v>
      </c>
      <c r="F15" s="244"/>
      <c r="G15" s="263" t="s">
        <v>1057</v>
      </c>
      <c r="H15" s="255"/>
      <c r="I15" s="243"/>
      <c r="J15" s="256"/>
    </row>
    <row r="16" spans="1:10" ht="30.75" thickBot="1" x14ac:dyDescent="0.3">
      <c r="A16" s="261" t="s">
        <v>986</v>
      </c>
      <c r="D16" s="257" t="s">
        <v>1029</v>
      </c>
      <c r="E16" s="257" t="s">
        <v>1026</v>
      </c>
      <c r="F16" s="264"/>
      <c r="G16" s="265" t="s">
        <v>1057</v>
      </c>
      <c r="H16" s="257" t="s">
        <v>1031</v>
      </c>
      <c r="I16" s="243" t="s">
        <v>123</v>
      </c>
      <c r="J16" s="258"/>
    </row>
    <row r="17" spans="1:10" ht="15.75" thickBot="1" x14ac:dyDescent="0.3">
      <c r="A17" s="261" t="s">
        <v>992</v>
      </c>
      <c r="D17" s="257" t="s">
        <v>1002</v>
      </c>
      <c r="E17" s="257" t="s">
        <v>1032</v>
      </c>
      <c r="F17" s="264"/>
      <c r="G17" s="266" t="s">
        <v>1057</v>
      </c>
      <c r="H17" s="257"/>
      <c r="I17" s="243"/>
      <c r="J17" s="258"/>
    </row>
    <row r="18" spans="1:10" ht="15.75" thickBot="1" x14ac:dyDescent="0.3">
      <c r="A18" s="261" t="s">
        <v>993</v>
      </c>
      <c r="D18" s="267"/>
      <c r="E18" s="267"/>
      <c r="F18" s="268"/>
      <c r="G18" s="267"/>
      <c r="H18" s="267"/>
      <c r="I18" s="267"/>
      <c r="J18" s="267"/>
    </row>
    <row r="19" spans="1:10" ht="16.5" thickTop="1" thickBot="1" x14ac:dyDescent="0.3">
      <c r="A19" s="261" t="s">
        <v>995</v>
      </c>
      <c r="D19" s="269" t="s">
        <v>987</v>
      </c>
      <c r="E19" s="269" t="s">
        <v>1033</v>
      </c>
      <c r="F19" s="270">
        <v>-45000000</v>
      </c>
      <c r="G19" s="269" t="s">
        <v>1038</v>
      </c>
      <c r="H19" s="269"/>
      <c r="I19" s="269" t="s">
        <v>1005</v>
      </c>
      <c r="J19" s="271"/>
    </row>
    <row r="20" spans="1:10" ht="15.75" thickBot="1" x14ac:dyDescent="0.3">
      <c r="A20" s="261" t="s">
        <v>994</v>
      </c>
      <c r="D20" s="272" t="s">
        <v>989</v>
      </c>
      <c r="E20" s="272" t="s">
        <v>1037</v>
      </c>
      <c r="F20" s="273"/>
      <c r="G20" s="274" t="s">
        <v>1039</v>
      </c>
      <c r="H20" s="243"/>
      <c r="I20" s="243"/>
      <c r="J20" s="248"/>
    </row>
    <row r="21" spans="1:10" ht="30.75" thickBot="1" x14ac:dyDescent="0.3">
      <c r="A21" s="261" t="s">
        <v>996</v>
      </c>
      <c r="D21" s="246" t="s">
        <v>1028</v>
      </c>
      <c r="E21" s="246" t="s">
        <v>1040</v>
      </c>
      <c r="F21" s="229"/>
      <c r="G21" s="246" t="s">
        <v>1039</v>
      </c>
      <c r="H21" s="246"/>
      <c r="I21" s="246" t="s">
        <v>123</v>
      </c>
      <c r="J21" s="275"/>
    </row>
    <row r="22" spans="1:10" ht="45.75" thickBot="1" x14ac:dyDescent="0.3">
      <c r="A22" s="261" t="s">
        <v>1027</v>
      </c>
      <c r="D22" s="272" t="s">
        <v>1030</v>
      </c>
      <c r="E22" s="272" t="s">
        <v>1041</v>
      </c>
      <c r="F22" s="244"/>
      <c r="G22" s="246" t="s">
        <v>1039</v>
      </c>
      <c r="H22" s="243" t="s">
        <v>1042</v>
      </c>
      <c r="I22" s="243"/>
      <c r="J22" s="243"/>
    </row>
    <row r="23" spans="1:10" x14ac:dyDescent="0.25">
      <c r="A23" s="261" t="s">
        <v>1029</v>
      </c>
      <c r="D23" s="276" t="s">
        <v>990</v>
      </c>
      <c r="E23" s="276" t="s">
        <v>1044</v>
      </c>
      <c r="F23" s="240"/>
      <c r="G23" s="245" t="s">
        <v>1045</v>
      </c>
      <c r="H23" s="241"/>
      <c r="I23" s="241" t="s">
        <v>1006</v>
      </c>
      <c r="J23" s="241"/>
    </row>
    <row r="24" spans="1:10" ht="30.75" thickBot="1" x14ac:dyDescent="0.3">
      <c r="A24" s="277" t="s">
        <v>1002</v>
      </c>
      <c r="D24" s="272" t="s">
        <v>990</v>
      </c>
      <c r="E24" s="247" t="s">
        <v>1043</v>
      </c>
      <c r="F24" s="204"/>
      <c r="G24" s="278" t="s">
        <v>1045</v>
      </c>
      <c r="H24" s="272"/>
      <c r="I24" s="272"/>
      <c r="J24" s="248"/>
    </row>
    <row r="25" spans="1:10" ht="16.5" thickTop="1" thickBot="1" x14ac:dyDescent="0.3">
      <c r="A25" s="261" t="s">
        <v>987</v>
      </c>
      <c r="D25" s="246" t="s">
        <v>997</v>
      </c>
      <c r="E25" s="246" t="s">
        <v>1044</v>
      </c>
      <c r="F25" s="279"/>
      <c r="G25" s="246" t="s">
        <v>1045</v>
      </c>
      <c r="H25" s="246"/>
      <c r="I25" s="246"/>
      <c r="J25" s="246"/>
    </row>
    <row r="26" spans="1:10" ht="15.75" thickBot="1" x14ac:dyDescent="0.3">
      <c r="A26" s="261" t="s">
        <v>989</v>
      </c>
      <c r="D26" s="280" t="s">
        <v>1011</v>
      </c>
      <c r="E26" s="281" t="s">
        <v>1046</v>
      </c>
      <c r="F26" s="282"/>
      <c r="G26" s="281" t="s">
        <v>1047</v>
      </c>
      <c r="H26" s="281"/>
      <c r="I26" s="281"/>
      <c r="J26" s="283"/>
    </row>
    <row r="27" spans="1:10" ht="16.5" thickTop="1" thickBot="1" x14ac:dyDescent="0.3">
      <c r="A27" s="261" t="s">
        <v>1028</v>
      </c>
      <c r="D27" s="284" t="s">
        <v>988</v>
      </c>
      <c r="E27" s="284" t="s">
        <v>1049</v>
      </c>
      <c r="F27" s="285"/>
      <c r="G27" s="284" t="s">
        <v>1051</v>
      </c>
      <c r="H27" s="284" t="s">
        <v>1050</v>
      </c>
      <c r="I27" s="284"/>
      <c r="J27" s="286"/>
    </row>
    <row r="28" spans="1:10" ht="15.75" thickBot="1" x14ac:dyDescent="0.3">
      <c r="A28" s="261" t="s">
        <v>1030</v>
      </c>
      <c r="D28" s="243" t="s">
        <v>988</v>
      </c>
      <c r="E28" s="243" t="s">
        <v>1053</v>
      </c>
      <c r="F28" s="244"/>
      <c r="G28" s="243" t="s">
        <v>1051</v>
      </c>
      <c r="H28" s="243" t="s">
        <v>1054</v>
      </c>
      <c r="I28" s="243"/>
      <c r="J28" s="287"/>
    </row>
    <row r="29" spans="1:10" ht="15.75" thickBot="1" x14ac:dyDescent="0.3">
      <c r="A29" s="261" t="s">
        <v>990</v>
      </c>
      <c r="D29" s="288" t="s">
        <v>988</v>
      </c>
      <c r="E29" s="288" t="s">
        <v>1055</v>
      </c>
      <c r="F29" s="289"/>
      <c r="G29" s="288" t="s">
        <v>1056</v>
      </c>
      <c r="H29" s="288"/>
      <c r="I29" s="288" t="s">
        <v>1008</v>
      </c>
      <c r="J29" s="288"/>
    </row>
    <row r="30" spans="1:10" ht="16.5" thickTop="1" thickBot="1" x14ac:dyDescent="0.3">
      <c r="A30" s="261" t="s">
        <v>997</v>
      </c>
      <c r="D30" s="281" t="s">
        <v>988</v>
      </c>
      <c r="E30" s="281" t="s">
        <v>1035</v>
      </c>
      <c r="F30" s="282">
        <v>-5000000</v>
      </c>
      <c r="G30" s="281"/>
      <c r="H30" s="281" t="s">
        <v>1048</v>
      </c>
      <c r="I30" s="281"/>
      <c r="J30" s="281"/>
    </row>
    <row r="31" spans="1:10" ht="15.75" thickTop="1" x14ac:dyDescent="0.25">
      <c r="A31" s="290" t="s">
        <v>1011</v>
      </c>
      <c r="D31" s="291"/>
      <c r="E31" s="290" t="s">
        <v>999</v>
      </c>
      <c r="F31" s="292">
        <f>SUBTOTAL(109,BudgetTable[مبلغ (ریال)])</f>
        <v>0</v>
      </c>
      <c r="G31" s="290"/>
      <c r="H31" s="290"/>
      <c r="I31" s="290"/>
      <c r="J31" s="291"/>
    </row>
    <row r="32" spans="1:10" x14ac:dyDescent="0.25">
      <c r="A32" s="261" t="s">
        <v>988</v>
      </c>
    </row>
    <row r="34" spans="1:1" x14ac:dyDescent="0.25">
      <c r="A34" s="261" t="s">
        <v>1004</v>
      </c>
    </row>
    <row r="35" spans="1:1" x14ac:dyDescent="0.25">
      <c r="A35" s="261" t="s">
        <v>123</v>
      </c>
    </row>
    <row r="36" spans="1:1" x14ac:dyDescent="0.25">
      <c r="A36" s="293" t="s">
        <v>1060</v>
      </c>
    </row>
    <row r="37" spans="1:1" x14ac:dyDescent="0.25">
      <c r="A37" s="261" t="s">
        <v>1058</v>
      </c>
    </row>
    <row r="38" spans="1:1" x14ac:dyDescent="0.25">
      <c r="A38" s="261" t="s">
        <v>1005</v>
      </c>
    </row>
    <row r="39" spans="1:1" x14ac:dyDescent="0.25">
      <c r="A39" s="261" t="s">
        <v>1006</v>
      </c>
    </row>
    <row r="40" spans="1:1" x14ac:dyDescent="0.25">
      <c r="A40" s="261" t="s">
        <v>1059</v>
      </c>
    </row>
    <row r="41" spans="1:1" x14ac:dyDescent="0.25">
      <c r="A41" s="261" t="s">
        <v>1007</v>
      </c>
    </row>
    <row r="42" spans="1:1" x14ac:dyDescent="0.25">
      <c r="A42" s="261" t="s">
        <v>1008</v>
      </c>
    </row>
    <row r="87" spans="1:1" x14ac:dyDescent="0.25">
      <c r="A87" s="230" t="s">
        <v>123</v>
      </c>
    </row>
  </sheetData>
  <conditionalFormatting sqref="D3:J30">
    <cfRule type="expression" dxfId="39" priority="10">
      <formula xml:space="preserve"> "خریداری شد" = $I3</formula>
    </cfRule>
    <cfRule type="expression" dxfId="40" priority="11">
      <formula xml:space="preserve"> "صادر شد" = $I3</formula>
    </cfRule>
    <cfRule type="expression" dxfId="41" priority="12">
      <formula xml:space="preserve"> "پرداخت شد" = $I3</formula>
    </cfRule>
    <cfRule type="expression" dxfId="42" priority="13">
      <formula xml:space="preserve"> "به فروش رسید" = $I3</formula>
    </cfRule>
    <cfRule type="expression" dxfId="43" priority="14">
      <formula xml:space="preserve"> "باطل شد" = $I3</formula>
    </cfRule>
    <cfRule type="expression" dxfId="44" priority="15">
      <formula xml:space="preserve"> "----------" = $I3</formula>
    </cfRule>
    <cfRule type="expression" dxfId="45" priority="16">
      <formula xml:space="preserve"> "دریافت شد" = $I3</formula>
    </cfRule>
    <cfRule type="expression" dxfId="38" priority="9">
      <formula xml:space="preserve"> "-" = $I3</formula>
    </cfRule>
  </conditionalFormatting>
  <dataValidations count="2">
    <dataValidation type="list" allowBlank="1" showInputMessage="1" showErrorMessage="1" sqref="I3:I30" xr:uid="{2401327C-5D6C-49CD-90E8-C2C36E90CFE1}">
      <formula1>$A$35:$A$42</formula1>
    </dataValidation>
    <dataValidation type="list" allowBlank="1" showInputMessage="1" showErrorMessage="1" sqref="D3:D30" xr:uid="{98D912E9-A278-4054-AD6F-DCB48BD2E3FE}">
      <formula1>$A$15:$A$32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J3" r:id="rId1" xr:uid="{26089A42-4AC1-4FE7-8261-4D386B07371B}"/>
  </hyperlinks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214" t="s">
        <v>157</v>
      </c>
      <c r="B3" s="214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 x14ac:dyDescent="0.2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 x14ac:dyDescent="0.2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 x14ac:dyDescent="0.2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 x14ac:dyDescent="0.2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 x14ac:dyDescent="0.25">
      <c r="A10" s="42">
        <v>6</v>
      </c>
      <c r="B10" s="42" t="s">
        <v>308</v>
      </c>
      <c r="L10" s="47"/>
    </row>
    <row r="11" spans="1:23" ht="15.75" x14ac:dyDescent="0.25">
      <c r="A11" s="42">
        <v>7</v>
      </c>
      <c r="B11" s="42" t="s">
        <v>309</v>
      </c>
      <c r="L11" s="47"/>
    </row>
    <row r="12" spans="1:23" ht="15.75" x14ac:dyDescent="0.25">
      <c r="A12" s="42">
        <v>8</v>
      </c>
      <c r="B12" s="42" t="s">
        <v>315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 x14ac:dyDescent="0.25">
      <c r="A4" s="215" t="s">
        <v>166</v>
      </c>
      <c r="B4" s="215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 x14ac:dyDescent="0.2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 x14ac:dyDescent="0.2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 x14ac:dyDescent="0.2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 x14ac:dyDescent="0.2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 x14ac:dyDescent="0.2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 x14ac:dyDescent="0.2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 x14ac:dyDescent="0.2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 x14ac:dyDescent="0.2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 x14ac:dyDescent="0.2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 x14ac:dyDescent="0.2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 x14ac:dyDescent="0.2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 x14ac:dyDescent="0.2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 x14ac:dyDescent="0.2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 x14ac:dyDescent="0.2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 x14ac:dyDescent="0.2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 x14ac:dyDescent="0.2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 x14ac:dyDescent="0.2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 x14ac:dyDescent="0.2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 x14ac:dyDescent="0.25">
      <c r="A23" s="42">
        <v>18</v>
      </c>
      <c r="B23" s="58" t="s">
        <v>300</v>
      </c>
    </row>
    <row r="24" spans="1:53" ht="15.75" x14ac:dyDescent="0.25">
      <c r="A24" s="42">
        <v>19</v>
      </c>
      <c r="B24" s="59" t="s">
        <v>293</v>
      </c>
    </row>
    <row r="25" spans="1:53" ht="15.75" x14ac:dyDescent="0.25">
      <c r="A25" s="42">
        <v>20</v>
      </c>
      <c r="B25" s="59" t="s">
        <v>174</v>
      </c>
    </row>
    <row r="26" spans="1:53" ht="15.75" x14ac:dyDescent="0.25">
      <c r="A26" s="42">
        <v>21</v>
      </c>
      <c r="B26" s="59" t="s">
        <v>294</v>
      </c>
    </row>
    <row r="27" spans="1:53" ht="15.75" x14ac:dyDescent="0.25">
      <c r="A27" s="42">
        <v>22</v>
      </c>
      <c r="B27" s="59" t="s">
        <v>295</v>
      </c>
    </row>
    <row r="28" spans="1:53" ht="15.75" x14ac:dyDescent="0.25">
      <c r="A28" s="42">
        <v>23</v>
      </c>
      <c r="B28" s="58" t="s">
        <v>243</v>
      </c>
    </row>
    <row r="29" spans="1:53" ht="15.75" x14ac:dyDescent="0.2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178</v>
      </c>
    </row>
    <row r="5" spans="4:4" x14ac:dyDescent="0.25">
      <c r="D5" t="s">
        <v>179</v>
      </c>
    </row>
    <row r="6" spans="4:4" x14ac:dyDescent="0.25">
      <c r="D6" t="s">
        <v>180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193" customWidth="1"/>
    <col min="5" max="5" width="4.5703125" style="194" customWidth="1"/>
    <col min="6" max="6" width="18.140625" style="194" bestFit="1" customWidth="1"/>
    <col min="7" max="7" width="27.28515625" style="194" bestFit="1" customWidth="1"/>
    <col min="8" max="8" width="30.5703125" style="194" bestFit="1" customWidth="1"/>
    <col min="9" max="9" width="11" style="194" customWidth="1"/>
    <col min="10" max="10" width="17.7109375" style="194" customWidth="1"/>
    <col min="11" max="11" width="27.28515625" style="194" customWidth="1"/>
    <col min="12" max="12" width="10.7109375" style="194" customWidth="1"/>
    <col min="13" max="13" width="11.85546875" style="194" customWidth="1"/>
    <col min="14" max="15" width="18.28515625" style="194" customWidth="1"/>
    <col min="16" max="16384" width="9.140625" style="194"/>
  </cols>
  <sheetData>
    <row r="1" spans="1:10" ht="24" customHeight="1" x14ac:dyDescent="0.25">
      <c r="A1" s="170" t="s">
        <v>976</v>
      </c>
      <c r="C1" s="194"/>
      <c r="D1" s="216" t="s">
        <v>401</v>
      </c>
      <c r="E1" s="216"/>
      <c r="F1" s="216"/>
      <c r="G1" s="216"/>
      <c r="H1" s="216"/>
      <c r="I1" s="216"/>
      <c r="J1" s="216"/>
    </row>
    <row r="2" spans="1:10" ht="3.75" customHeight="1" x14ac:dyDescent="0.25">
      <c r="D2" s="194"/>
    </row>
    <row r="3" spans="1:10" ht="18.75" x14ac:dyDescent="0.25">
      <c r="A3" s="159" t="s">
        <v>8</v>
      </c>
      <c r="D3" s="44" t="s">
        <v>981</v>
      </c>
      <c r="H3" s="186"/>
    </row>
    <row r="4" spans="1:10" ht="18.75" x14ac:dyDescent="0.25">
      <c r="A4" s="160" t="s">
        <v>115</v>
      </c>
      <c r="D4" s="27" t="s">
        <v>138</v>
      </c>
      <c r="F4" s="195"/>
      <c r="G4" s="195"/>
      <c r="H4" s="196"/>
      <c r="I4" s="195"/>
    </row>
    <row r="5" spans="1:10" ht="18.75" x14ac:dyDescent="0.25">
      <c r="A5" s="161" t="s">
        <v>102</v>
      </c>
      <c r="D5" s="27" t="s">
        <v>949</v>
      </c>
      <c r="F5" s="195"/>
      <c r="G5" s="195"/>
      <c r="H5" s="196"/>
      <c r="I5" s="195"/>
    </row>
    <row r="6" spans="1:10" ht="18.75" x14ac:dyDescent="0.25">
      <c r="A6" s="162" t="s">
        <v>103</v>
      </c>
      <c r="D6" s="27" t="s">
        <v>967</v>
      </c>
      <c r="F6" s="195"/>
      <c r="G6" s="195"/>
      <c r="H6" s="195"/>
      <c r="I6" s="195"/>
    </row>
    <row r="7" spans="1:10" ht="18.75" x14ac:dyDescent="0.25">
      <c r="A7" s="163" t="s">
        <v>104</v>
      </c>
      <c r="D7" s="27" t="s">
        <v>950</v>
      </c>
      <c r="F7" s="195"/>
      <c r="G7" s="195"/>
      <c r="H7" s="195"/>
      <c r="I7" s="195"/>
    </row>
    <row r="8" spans="1:10" ht="18.75" x14ac:dyDescent="0.25">
      <c r="A8" s="146" t="s">
        <v>110</v>
      </c>
      <c r="D8" s="27" t="s">
        <v>321</v>
      </c>
      <c r="F8" s="195"/>
      <c r="G8" s="195"/>
      <c r="H8" s="195"/>
      <c r="I8" s="195"/>
    </row>
    <row r="9" spans="1:10" ht="18.75" x14ac:dyDescent="0.25">
      <c r="A9" s="164" t="s">
        <v>89</v>
      </c>
      <c r="D9" s="27" t="s">
        <v>956</v>
      </c>
      <c r="F9" s="195"/>
      <c r="G9" s="195"/>
      <c r="H9" s="195"/>
      <c r="I9" s="195"/>
    </row>
    <row r="10" spans="1:10" ht="18.75" x14ac:dyDescent="0.25">
      <c r="A10" s="165" t="s">
        <v>111</v>
      </c>
      <c r="D10" s="27" t="s">
        <v>959</v>
      </c>
      <c r="F10" s="195"/>
      <c r="G10" s="195"/>
      <c r="H10" s="195"/>
      <c r="I10" s="195"/>
    </row>
    <row r="11" spans="1:10" ht="18.75" x14ac:dyDescent="0.25">
      <c r="A11" s="166" t="s">
        <v>105</v>
      </c>
      <c r="D11" s="27" t="s">
        <v>960</v>
      </c>
      <c r="F11" s="195"/>
      <c r="G11" s="195"/>
      <c r="H11" s="195"/>
    </row>
    <row r="12" spans="1:10" ht="18.75" x14ac:dyDescent="0.25">
      <c r="A12" s="167" t="s">
        <v>98</v>
      </c>
      <c r="D12" s="27" t="s">
        <v>961</v>
      </c>
      <c r="F12" s="195"/>
      <c r="G12" s="195"/>
      <c r="H12" s="195"/>
    </row>
    <row r="13" spans="1:10" ht="15.75" x14ac:dyDescent="0.25">
      <c r="A13" s="187"/>
      <c r="D13" s="27" t="s">
        <v>965</v>
      </c>
      <c r="F13" s="195"/>
      <c r="G13" s="195"/>
      <c r="H13" s="195"/>
    </row>
    <row r="14" spans="1:10" ht="15.75" x14ac:dyDescent="0.25">
      <c r="A14" s="187"/>
      <c r="D14" s="27" t="s">
        <v>977</v>
      </c>
      <c r="F14" s="195"/>
      <c r="G14" s="195"/>
      <c r="H14" s="195"/>
    </row>
    <row r="15" spans="1:10" ht="15.75" x14ac:dyDescent="0.25">
      <c r="A15" s="187"/>
      <c r="D15" s="27" t="s">
        <v>978</v>
      </c>
      <c r="F15" s="195"/>
      <c r="G15" s="195"/>
      <c r="H15" s="195"/>
    </row>
    <row r="16" spans="1:10" ht="15.75" x14ac:dyDescent="0.25">
      <c r="A16" s="187"/>
      <c r="D16" s="27" t="s">
        <v>979</v>
      </c>
      <c r="F16" s="195"/>
      <c r="G16" s="195"/>
      <c r="H16" s="195"/>
    </row>
    <row r="17" spans="1:8" ht="15.75" x14ac:dyDescent="0.25">
      <c r="A17" s="187"/>
      <c r="D17" s="27" t="s">
        <v>980</v>
      </c>
      <c r="F17" s="195"/>
      <c r="G17" s="195"/>
      <c r="H17" s="195"/>
    </row>
    <row r="18" spans="1:8" ht="15.75" x14ac:dyDescent="0.25">
      <c r="A18" s="187"/>
      <c r="D18" s="27" t="s">
        <v>982</v>
      </c>
    </row>
    <row r="19" spans="1:8" ht="15.75" x14ac:dyDescent="0.25">
      <c r="A19" s="187"/>
      <c r="D19" s="27"/>
    </row>
    <row r="20" spans="1:8" ht="15.75" x14ac:dyDescent="0.25">
      <c r="A20" s="187"/>
      <c r="D20" s="27"/>
    </row>
    <row r="21" spans="1:8" ht="15.75" x14ac:dyDescent="0.25">
      <c r="A21" s="187"/>
      <c r="D21" s="27"/>
    </row>
    <row r="22" spans="1:8" ht="15.75" x14ac:dyDescent="0.25">
      <c r="A22" s="187"/>
      <c r="D22" s="27"/>
    </row>
    <row r="23" spans="1:8" ht="15.75" x14ac:dyDescent="0.25">
      <c r="A23" s="187"/>
      <c r="D23" s="27"/>
    </row>
    <row r="24" spans="1:8" ht="15.75" x14ac:dyDescent="0.25">
      <c r="D24" s="27"/>
    </row>
    <row r="25" spans="1:8" ht="15.75" x14ac:dyDescent="0.25">
      <c r="D25" s="27"/>
    </row>
    <row r="26" spans="1:8" ht="15.75" x14ac:dyDescent="0.25">
      <c r="D26" s="27"/>
    </row>
    <row r="27" spans="1:8" ht="15.75" x14ac:dyDescent="0.25">
      <c r="D27" s="27"/>
    </row>
    <row r="28" spans="1:8" ht="15.75" x14ac:dyDescent="0.25">
      <c r="D28" s="27"/>
    </row>
    <row r="29" spans="1:8" ht="15.75" x14ac:dyDescent="0.25">
      <c r="D29" s="27"/>
    </row>
    <row r="30" spans="1:8" ht="15.75" x14ac:dyDescent="0.25">
      <c r="D30" s="27"/>
    </row>
    <row r="31" spans="1:8" ht="15.75" x14ac:dyDescent="0.25">
      <c r="D31" s="27"/>
    </row>
    <row r="32" spans="1:8" ht="15.75" x14ac:dyDescent="0.25">
      <c r="D32" s="27"/>
    </row>
    <row r="33" spans="4:4" ht="15.75" x14ac:dyDescent="0.25">
      <c r="D33" s="27"/>
    </row>
    <row r="34" spans="4:4" ht="15.75" x14ac:dyDescent="0.25">
      <c r="D34" s="27"/>
    </row>
    <row r="35" spans="4:4" ht="15.75" x14ac:dyDescent="0.25">
      <c r="D35" s="27"/>
    </row>
    <row r="36" spans="4:4" ht="15.75" x14ac:dyDescent="0.25">
      <c r="D36" s="27"/>
    </row>
    <row r="37" spans="4:4" ht="15.75" x14ac:dyDescent="0.25">
      <c r="D37" s="27"/>
    </row>
    <row r="38" spans="4:4" ht="15.75" x14ac:dyDescent="0.25">
      <c r="D38" s="27"/>
    </row>
    <row r="39" spans="4:4" ht="15.75" x14ac:dyDescent="0.25">
      <c r="D39" s="27"/>
    </row>
    <row r="40" spans="4:4" ht="15.75" x14ac:dyDescent="0.25">
      <c r="D40" s="27"/>
    </row>
    <row r="41" spans="4:4" ht="15.75" x14ac:dyDescent="0.25">
      <c r="D41" s="27"/>
    </row>
    <row r="42" spans="4:4" ht="15.75" x14ac:dyDescent="0.25">
      <c r="D42" s="27"/>
    </row>
    <row r="43" spans="4:4" ht="15.75" x14ac:dyDescent="0.25">
      <c r="D43" s="27"/>
    </row>
    <row r="44" spans="4:4" ht="15.75" x14ac:dyDescent="0.25">
      <c r="D44" s="27"/>
    </row>
    <row r="45" spans="4:4" ht="15.75" x14ac:dyDescent="0.25">
      <c r="D45" s="27"/>
    </row>
    <row r="46" spans="4:4" ht="15.75" x14ac:dyDescent="0.25">
      <c r="D46" s="27"/>
    </row>
    <row r="47" spans="4:4" ht="15.75" x14ac:dyDescent="0.25">
      <c r="D47" s="27"/>
    </row>
    <row r="48" spans="4:4" ht="15.75" x14ac:dyDescent="0.25">
      <c r="D48" s="27"/>
    </row>
    <row r="49" spans="4:4" ht="15.75" x14ac:dyDescent="0.25">
      <c r="D49" s="27"/>
    </row>
    <row r="50" spans="4:4" ht="15.75" x14ac:dyDescent="0.25">
      <c r="D50" s="27"/>
    </row>
    <row r="51" spans="4:4" ht="15.75" x14ac:dyDescent="0.25">
      <c r="D51" s="27"/>
    </row>
    <row r="52" spans="4:4" ht="15.75" x14ac:dyDescent="0.25">
      <c r="D52" s="27"/>
    </row>
    <row r="53" spans="4:4" ht="15.75" x14ac:dyDescent="0.25">
      <c r="D53" s="27"/>
    </row>
    <row r="54" spans="4:4" ht="15.75" x14ac:dyDescent="0.25">
      <c r="D54" s="27"/>
    </row>
    <row r="55" spans="4:4" ht="15.75" x14ac:dyDescent="0.25">
      <c r="D55" s="27"/>
    </row>
    <row r="56" spans="4:4" ht="15.75" x14ac:dyDescent="0.25">
      <c r="D56" s="27"/>
    </row>
    <row r="57" spans="4:4" ht="15.75" x14ac:dyDescent="0.25">
      <c r="D57" s="27"/>
    </row>
    <row r="58" spans="4:4" ht="15.75" x14ac:dyDescent="0.25">
      <c r="D58" s="27"/>
    </row>
    <row r="59" spans="4:4" ht="15.75" x14ac:dyDescent="0.25">
      <c r="D59" s="27"/>
    </row>
    <row r="60" spans="4:4" ht="15.75" x14ac:dyDescent="0.25">
      <c r="D60" s="27"/>
    </row>
    <row r="61" spans="4:4" ht="15.75" x14ac:dyDescent="0.25">
      <c r="D61" s="27"/>
    </row>
    <row r="62" spans="4:4" ht="15.75" x14ac:dyDescent="0.25">
      <c r="D62" s="27"/>
    </row>
    <row r="63" spans="4:4" ht="15.75" x14ac:dyDescent="0.25">
      <c r="D63" s="27"/>
    </row>
    <row r="64" spans="4:4" ht="15.75" x14ac:dyDescent="0.25">
      <c r="D64" s="27"/>
    </row>
    <row r="65" spans="4:4" ht="15.75" x14ac:dyDescent="0.2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 x14ac:dyDescent="0.25">
      <c r="A1" s="170" t="s">
        <v>398</v>
      </c>
      <c r="D1" s="216" t="s">
        <v>401</v>
      </c>
      <c r="E1" s="216"/>
      <c r="F1" s="216"/>
      <c r="G1" s="216"/>
      <c r="H1" s="216"/>
      <c r="I1" s="216"/>
      <c r="J1" s="216"/>
      <c r="K1" s="155"/>
      <c r="L1" s="156"/>
      <c r="M1" s="157"/>
    </row>
    <row r="2" spans="1:18" ht="3.75" customHeight="1" x14ac:dyDescent="0.25">
      <c r="F2" s="154" t="s">
        <v>3</v>
      </c>
    </row>
    <row r="3" spans="1:18" ht="18.75" x14ac:dyDescent="0.2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 x14ac:dyDescent="0.2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 x14ac:dyDescent="0.25">
      <c r="A5" s="161" t="s">
        <v>102</v>
      </c>
    </row>
    <row r="6" spans="1:18" ht="34.5" customHeight="1" x14ac:dyDescent="0.25">
      <c r="A6" s="162" t="s">
        <v>103</v>
      </c>
    </row>
    <row r="7" spans="1:18" ht="18.75" x14ac:dyDescent="0.2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 x14ac:dyDescent="0.2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 x14ac:dyDescent="0.2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 t="e">
        <v>#REF!</v>
      </c>
      <c r="I9" s="172" t="e">
        <v>#REF!</v>
      </c>
      <c r="J9" s="172" t="e">
        <f>(FinancialAccountsTable[[#This Row],[جمع دریافتی]]+FinancialAccountsTable[[#This Row],[موجودی اولیه]])-FinancialAccountsTable[[#This Row],[جمع پرداختی]]</f>
        <v>#REF!</v>
      </c>
      <c r="K9" s="139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 x14ac:dyDescent="0.2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 t="e">
        <v>#REF!</v>
      </c>
      <c r="I10" s="172" t="e">
        <v>#REF!</v>
      </c>
      <c r="J10" s="172" t="e">
        <f>(FinancialAccountsTable[[#This Row],[جمع دریافتی]]+FinancialAccountsTable[[#This Row],[موجودی اولیه]])-FinancialAccountsTable[[#This Row],[جمع پرداختی]]</f>
        <v>#REF!</v>
      </c>
      <c r="K10" s="139" t="e">
        <f>IF(FinancialAccountsTable[[#This Row],[مانده]]=0,"",IF(FinancialAccountsTable[[#This Row],[مانده]]&gt;0,"بدهکار","بستانکار"))</f>
        <v>#REF!</v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 x14ac:dyDescent="0.2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 t="e">
        <v>#REF!</v>
      </c>
      <c r="I11" s="172" t="e">
        <v>#REF!</v>
      </c>
      <c r="J11" s="172" t="e">
        <f>(FinancialAccountsTable[[#This Row],[جمع دریافتی]]+FinancialAccountsTable[[#This Row],[موجودی اولیه]])-FinancialAccountsTable[[#This Row],[جمع پرداختی]]</f>
        <v>#REF!</v>
      </c>
      <c r="K11" s="139" t="e">
        <f>IF(FinancialAccountsTable[[#This Row],[مانده]]=0,"",IF(FinancialAccountsTable[[#This Row],[مانده]]&gt;0,"بدهکار","بستانکار"))</f>
        <v>#REF!</v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 x14ac:dyDescent="0.25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 t="e">
        <v>#REF!</v>
      </c>
      <c r="I12" s="172" t="e">
        <v>#REF!</v>
      </c>
      <c r="J12" s="172" t="e">
        <f>(FinancialAccountsTable[[#This Row],[جمع دریافتی]]+FinancialAccountsTable[[#This Row],[موجودی اولیه]])-FinancialAccountsTable[[#This Row],[جمع پرداختی]]</f>
        <v>#REF!</v>
      </c>
      <c r="K12" s="139" t="e">
        <f>IF(FinancialAccountsTable[[#This Row],[مانده]]=0,"",IF(FinancialAccountsTable[[#This Row],[مانده]]&gt;0,"بدهکار","بستانکار"))</f>
        <v>#REF!</v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 x14ac:dyDescent="0.25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 t="e">
        <v>#REF!</v>
      </c>
      <c r="I13" s="172" t="e">
        <v>#REF!</v>
      </c>
      <c r="J13" s="172" t="e">
        <f>(FinancialAccountsTable[[#This Row],[جمع دریافتی]]+FinancialAccountsTable[[#This Row],[موجودی اولیه]])-FinancialAccountsTable[[#This Row],[جمع پرداختی]]</f>
        <v>#REF!</v>
      </c>
      <c r="K13" s="139" t="e">
        <f>IF(FinancialAccountsTable[[#This Row],[مانده]]=0,"",IF(FinancialAccountsTable[[#This Row],[مانده]]&gt;0,"بدهکار","بستانکار"))</f>
        <v>#REF!</v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 x14ac:dyDescent="0.25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 t="e">
        <v>#REF!</v>
      </c>
      <c r="I14" s="172" t="e">
        <v>#REF!</v>
      </c>
      <c r="J14" s="172" t="e">
        <f>(FinancialAccountsTable[[#This Row],[جمع دریافتی]]+FinancialAccountsTable[[#This Row],[موجودی اولیه]])-FinancialAccountsTable[[#This Row],[جمع پرداختی]]</f>
        <v>#REF!</v>
      </c>
      <c r="K14" s="139" t="e">
        <f>IF(FinancialAccountsTable[[#This Row],[مانده]]=0,"",IF(FinancialAccountsTable[[#This Row],[مانده]]&gt;0,"بدهکار","بستانکار"))</f>
        <v>#REF!</v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 x14ac:dyDescent="0.25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 t="e">
        <v>#REF!</v>
      </c>
      <c r="I15" s="172" t="e">
        <v>#REF!</v>
      </c>
      <c r="J15" s="172" t="e">
        <f>(FinancialAccountsTable[[#This Row],[جمع دریافتی]]+FinancialAccountsTable[[#This Row],[موجودی اولیه]])-FinancialAccountsTable[[#This Row],[جمع پرداختی]]</f>
        <v>#REF!</v>
      </c>
      <c r="K15" s="173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 x14ac:dyDescent="0.25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 t="e">
        <v>#REF!</v>
      </c>
      <c r="I16" s="172" t="e">
        <v>#REF!</v>
      </c>
      <c r="J16" s="172" t="e">
        <f>(FinancialAccountsTable[[#This Row],[جمع دریافتی]]+FinancialAccountsTable[[#This Row],[موجودی اولیه]])-FinancialAccountsTable[[#This Row],[جمع پرداختی]]</f>
        <v>#REF!</v>
      </c>
      <c r="K16" s="173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 x14ac:dyDescent="0.25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 t="e">
        <v>#REF!</v>
      </c>
      <c r="I17" s="172" t="e">
        <v>#REF!</v>
      </c>
      <c r="J17" s="172" t="e">
        <f>(FinancialAccountsTable[[#This Row],[جمع دریافتی]]+FinancialAccountsTable[[#This Row],[موجودی اولیه]])-FinancialAccountsTable[[#This Row],[جمع پرداختی]]</f>
        <v>#REF!</v>
      </c>
      <c r="K17" s="173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 x14ac:dyDescent="0.25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 t="e">
        <v>#REF!</v>
      </c>
      <c r="I18" s="172" t="e">
        <v>#REF!</v>
      </c>
      <c r="J18" s="172" t="e">
        <f>(FinancialAccountsTable[[#This Row],[جمع دریافتی]]+FinancialAccountsTable[[#This Row],[موجودی اولیه]])-FinancialAccountsTable[[#This Row],[جمع پرداختی]]</f>
        <v>#REF!</v>
      </c>
      <c r="K18" s="173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 x14ac:dyDescent="0.2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 t="e">
        <f>SUBTOTAL(109,FinancialAccountsTable[جمع پرداختی])-H14</f>
        <v>#REF!</v>
      </c>
      <c r="I19" s="172" t="e">
        <f>SUBTOTAL(109,FinancialAccountsTable[جمع دریافتی])-I14</f>
        <v>#REF!</v>
      </c>
      <c r="J19" s="172" t="e">
        <f>SUBTOTAL(109,FinancialAccountsTable[مانده])-J14</f>
        <v>#REF!</v>
      </c>
      <c r="K19" s="174"/>
      <c r="L19" s="174"/>
      <c r="M19" s="174"/>
      <c r="N19" s="175"/>
      <c r="O19" s="175"/>
      <c r="P19" s="175"/>
      <c r="Q19" s="175"/>
      <c r="R19" s="175"/>
    </row>
    <row r="20" spans="1:18" x14ac:dyDescent="0.25">
      <c r="A20" s="124"/>
    </row>
    <row r="21" spans="1:18" x14ac:dyDescent="0.25">
      <c r="A21" s="124"/>
      <c r="I21" s="176"/>
      <c r="K21" s="176"/>
    </row>
    <row r="22" spans="1:18" x14ac:dyDescent="0.25">
      <c r="A22" s="124"/>
      <c r="I22" s="176"/>
    </row>
    <row r="23" spans="1:18" ht="15.75" x14ac:dyDescent="0.2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 x14ac:dyDescent="0.2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topLeftCell="J1" workbookViewId="0">
      <selection activeCell="O6" sqref="O6"/>
    </sheetView>
  </sheetViews>
  <sheetFormatPr defaultRowHeight="15" x14ac:dyDescent="0.2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 x14ac:dyDescent="0.25">
      <c r="A1" s="127" t="s">
        <v>397</v>
      </c>
      <c r="B1" s="128"/>
      <c r="C1" s="129"/>
      <c r="D1" s="219" t="s">
        <v>395</v>
      </c>
      <c r="E1" s="219"/>
      <c r="F1" s="219"/>
      <c r="G1" s="219"/>
      <c r="H1" s="219"/>
      <c r="I1" s="219"/>
      <c r="J1" s="219"/>
      <c r="K1" s="219"/>
      <c r="M1" s="220" t="s">
        <v>396</v>
      </c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</row>
    <row r="2" spans="1:28" ht="3.75" customHeight="1" x14ac:dyDescent="0.25"/>
    <row r="3" spans="1:28" ht="18.75" x14ac:dyDescent="0.25">
      <c r="A3" s="134" t="s">
        <v>8</v>
      </c>
      <c r="D3" s="120" t="s">
        <v>112</v>
      </c>
      <c r="F3" s="135" t="s">
        <v>139</v>
      </c>
      <c r="H3" s="136" t="s">
        <v>147</v>
      </c>
      <c r="J3" s="222" t="s">
        <v>393</v>
      </c>
      <c r="K3" s="222"/>
      <c r="M3" s="223" t="s">
        <v>360</v>
      </c>
      <c r="N3" s="223"/>
      <c r="O3" s="223"/>
      <c r="P3" s="137"/>
      <c r="Q3" s="224" t="s">
        <v>361</v>
      </c>
      <c r="R3" s="224"/>
      <c r="S3" s="224"/>
      <c r="U3" s="225" t="s">
        <v>385</v>
      </c>
      <c r="V3" s="225"/>
      <c r="X3" s="217" t="s">
        <v>362</v>
      </c>
      <c r="Y3" s="217"/>
      <c r="AA3" s="218" t="s">
        <v>363</v>
      </c>
      <c r="AB3" s="218"/>
    </row>
    <row r="4" spans="1:28" ht="18.75" x14ac:dyDescent="0.2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180" t="s">
        <v>368</v>
      </c>
      <c r="AB4" s="180" t="s">
        <v>394</v>
      </c>
    </row>
    <row r="5" spans="1:28" ht="30" x14ac:dyDescent="0.25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18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181" t="s">
        <v>826</v>
      </c>
      <c r="Y5" s="141" t="s">
        <v>369</v>
      </c>
      <c r="AA5" s="141" t="s">
        <v>907</v>
      </c>
      <c r="AB5" s="141" t="s">
        <v>369</v>
      </c>
    </row>
    <row r="6" spans="1:28" ht="18.75" x14ac:dyDescent="0.2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18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181" t="s">
        <v>827</v>
      </c>
      <c r="Y6" s="141" t="s">
        <v>828</v>
      </c>
      <c r="AA6" s="141" t="s">
        <v>908</v>
      </c>
      <c r="AB6" s="141" t="s">
        <v>909</v>
      </c>
    </row>
    <row r="7" spans="1:28" ht="30" x14ac:dyDescent="0.25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18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181" t="s">
        <v>829</v>
      </c>
      <c r="Y7" s="141" t="s">
        <v>373</v>
      </c>
      <c r="AA7" s="141" t="s">
        <v>910</v>
      </c>
      <c r="AB7" s="141" t="s">
        <v>911</v>
      </c>
    </row>
    <row r="8" spans="1:28" ht="30" x14ac:dyDescent="0.25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18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181" t="s">
        <v>830</v>
      </c>
      <c r="Y8" s="141" t="s">
        <v>438</v>
      </c>
      <c r="AA8" s="141" t="s">
        <v>912</v>
      </c>
      <c r="AB8" s="141" t="s">
        <v>913</v>
      </c>
    </row>
    <row r="9" spans="1:28" ht="30" x14ac:dyDescent="0.25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18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181" t="s">
        <v>831</v>
      </c>
      <c r="Y9" s="141" t="s">
        <v>454</v>
      </c>
      <c r="AA9" s="141" t="s">
        <v>914</v>
      </c>
      <c r="AB9" s="141" t="s">
        <v>915</v>
      </c>
    </row>
    <row r="10" spans="1:28" ht="18.75" x14ac:dyDescent="0.2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18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 x14ac:dyDescent="0.25">
      <c r="A11" s="149" t="s">
        <v>105</v>
      </c>
      <c r="M11" s="18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18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181" t="s">
        <v>834</v>
      </c>
      <c r="Y11" s="141" t="s">
        <v>474</v>
      </c>
      <c r="AA11" s="141" t="s">
        <v>917</v>
      </c>
      <c r="AB11" s="141" t="s">
        <v>556</v>
      </c>
    </row>
    <row r="12" spans="1:28" ht="30" x14ac:dyDescent="0.25">
      <c r="A12" s="151" t="s">
        <v>98</v>
      </c>
      <c r="J12" s="221" t="s">
        <v>388</v>
      </c>
      <c r="K12" s="221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18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181" t="s">
        <v>835</v>
      </c>
      <c r="Y12" s="141" t="s">
        <v>482</v>
      </c>
      <c r="AA12" s="141" t="s">
        <v>918</v>
      </c>
      <c r="AB12" s="141" t="s">
        <v>571</v>
      </c>
    </row>
    <row r="13" spans="1:28" ht="45" x14ac:dyDescent="0.2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18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181" t="s">
        <v>836</v>
      </c>
      <c r="Y13" s="141" t="s">
        <v>837</v>
      </c>
      <c r="AA13" s="141" t="s">
        <v>919</v>
      </c>
      <c r="AB13" s="141" t="s">
        <v>586</v>
      </c>
    </row>
    <row r="14" spans="1:28" ht="30" x14ac:dyDescent="0.25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18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181" t="s">
        <v>838</v>
      </c>
      <c r="Y14" s="141" t="s">
        <v>837</v>
      </c>
      <c r="AA14" s="141" t="s">
        <v>920</v>
      </c>
      <c r="AB14" s="141" t="s">
        <v>598</v>
      </c>
    </row>
    <row r="15" spans="1:28" ht="60" x14ac:dyDescent="0.25">
      <c r="J15" s="136" t="s">
        <v>389</v>
      </c>
      <c r="K15" s="136"/>
      <c r="O15" s="152"/>
      <c r="Q15" s="18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 x14ac:dyDescent="0.25">
      <c r="J16" s="136" t="s">
        <v>390</v>
      </c>
      <c r="K16" s="136"/>
      <c r="O16" s="152"/>
      <c r="Q16" s="18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 x14ac:dyDescent="0.25">
      <c r="J17" s="136" t="s">
        <v>391</v>
      </c>
      <c r="K17" s="136"/>
      <c r="O17" s="152"/>
      <c r="Q17" s="18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 x14ac:dyDescent="0.25">
      <c r="J18" s="136" t="s">
        <v>392</v>
      </c>
      <c r="K18" s="136"/>
      <c r="O18" s="152"/>
      <c r="Q18" s="18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 x14ac:dyDescent="0.25">
      <c r="J19" s="136"/>
      <c r="K19" s="141"/>
      <c r="O19" s="152"/>
      <c r="Q19" s="18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 x14ac:dyDescent="0.25">
      <c r="J20" s="136"/>
      <c r="K20" s="141"/>
      <c r="O20" s="152"/>
      <c r="Q20" s="18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 x14ac:dyDescent="0.25">
      <c r="J21" s="136"/>
      <c r="K21" s="141"/>
      <c r="O21" s="152"/>
      <c r="Q21" s="18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 x14ac:dyDescent="0.25">
      <c r="J22" s="136"/>
      <c r="K22" s="141"/>
      <c r="O22" s="152"/>
      <c r="Q22" s="18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 x14ac:dyDescent="0.25">
      <c r="J23" s="136"/>
      <c r="K23" s="141"/>
      <c r="O23" s="152"/>
      <c r="Q23" s="18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 x14ac:dyDescent="0.25">
      <c r="J24" s="136"/>
      <c r="K24" s="141"/>
      <c r="O24" s="152"/>
      <c r="Q24" s="18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 x14ac:dyDescent="0.25">
      <c r="J25" s="136"/>
      <c r="K25" s="141"/>
      <c r="O25" s="152"/>
      <c r="Q25" s="18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 x14ac:dyDescent="0.25">
      <c r="J26" s="136"/>
      <c r="K26" s="141"/>
      <c r="O26" s="152"/>
      <c r="Q26" s="18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 x14ac:dyDescent="0.25">
      <c r="J27" s="136"/>
      <c r="K27" s="141"/>
      <c r="O27" s="152"/>
      <c r="Q27" s="18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 x14ac:dyDescent="0.25">
      <c r="J28" s="136"/>
      <c r="K28" s="141"/>
      <c r="O28" s="152"/>
      <c r="Q28" s="18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 x14ac:dyDescent="0.25">
      <c r="J29" s="136"/>
      <c r="K29" s="141"/>
      <c r="O29" s="152"/>
      <c r="Q29" s="18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 x14ac:dyDescent="0.25">
      <c r="J30" s="136"/>
      <c r="K30" s="141"/>
      <c r="O30" s="152"/>
      <c r="Q30" s="18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 x14ac:dyDescent="0.25">
      <c r="J31" s="136"/>
      <c r="K31" s="141"/>
      <c r="O31" s="152"/>
      <c r="Q31" s="18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 x14ac:dyDescent="0.25">
      <c r="J32" s="136"/>
      <c r="K32" s="141"/>
      <c r="O32" s="152"/>
      <c r="Q32" s="18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 x14ac:dyDescent="0.25">
      <c r="J33" s="136"/>
      <c r="K33" s="141"/>
      <c r="O33" s="152"/>
      <c r="Q33" s="18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 x14ac:dyDescent="0.25">
      <c r="J34" s="136"/>
      <c r="K34" s="141"/>
      <c r="O34" s="152"/>
      <c r="Q34" s="18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 x14ac:dyDescent="0.25">
      <c r="J35" s="136"/>
      <c r="K35" s="141"/>
      <c r="O35" s="152"/>
      <c r="Q35" s="18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 x14ac:dyDescent="0.25">
      <c r="J36" s="136"/>
      <c r="K36" s="141"/>
      <c r="O36" s="152"/>
      <c r="Q36" s="18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 x14ac:dyDescent="0.25">
      <c r="J37" s="136"/>
      <c r="K37" s="141"/>
      <c r="O37" s="152"/>
      <c r="Q37" s="18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 x14ac:dyDescent="0.25">
      <c r="J38" s="136"/>
      <c r="K38" s="141"/>
      <c r="O38" s="152"/>
      <c r="Q38" s="18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 x14ac:dyDescent="0.25">
      <c r="J39" s="136"/>
      <c r="K39" s="141"/>
      <c r="O39" s="152"/>
      <c r="Q39" s="18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 x14ac:dyDescent="0.25">
      <c r="J40" s="136"/>
      <c r="K40" s="141"/>
      <c r="O40" s="152"/>
      <c r="Q40" s="18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 x14ac:dyDescent="0.25">
      <c r="J41" s="136"/>
      <c r="K41" s="141"/>
      <c r="O41" s="152"/>
      <c r="Q41" s="18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 x14ac:dyDescent="0.25">
      <c r="O42" s="152"/>
      <c r="Q42" s="18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 x14ac:dyDescent="0.25">
      <c r="O43" s="152"/>
      <c r="Q43" s="18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 x14ac:dyDescent="0.25">
      <c r="O44" s="152"/>
      <c r="Q44" s="18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 x14ac:dyDescent="0.25">
      <c r="O45" s="152"/>
      <c r="Q45" s="18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 x14ac:dyDescent="0.25">
      <c r="O46" s="152"/>
      <c r="Q46" s="18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 x14ac:dyDescent="0.25">
      <c r="O47" s="152"/>
      <c r="Q47" s="18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 x14ac:dyDescent="0.25">
      <c r="O48" s="152"/>
      <c r="Q48" s="18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 x14ac:dyDescent="0.25">
      <c r="O49" s="152"/>
      <c r="Q49" s="18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 x14ac:dyDescent="0.25">
      <c r="O50" s="152"/>
      <c r="Q50" s="18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 x14ac:dyDescent="0.25">
      <c r="O51" s="152"/>
      <c r="Q51" s="18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 x14ac:dyDescent="0.25">
      <c r="O52" s="152"/>
      <c r="Q52" s="18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 x14ac:dyDescent="0.25">
      <c r="O53" s="152"/>
      <c r="Q53" s="18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 x14ac:dyDescent="0.25">
      <c r="O54" s="152"/>
      <c r="Q54" s="18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 x14ac:dyDescent="0.25">
      <c r="O55" s="152"/>
      <c r="Q55" s="18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 x14ac:dyDescent="0.25">
      <c r="O56" s="152"/>
      <c r="Q56" s="18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 x14ac:dyDescent="0.25">
      <c r="O57" s="152"/>
      <c r="Q57" s="18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 x14ac:dyDescent="0.25">
      <c r="O58" s="152"/>
      <c r="Q58" s="18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 x14ac:dyDescent="0.25">
      <c r="O59" s="152"/>
      <c r="Q59" s="18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 x14ac:dyDescent="0.25">
      <c r="O60" s="152"/>
      <c r="Q60" s="18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 x14ac:dyDescent="0.25">
      <c r="O61" s="152"/>
      <c r="Q61" s="18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 x14ac:dyDescent="0.25">
      <c r="O62" s="152"/>
      <c r="Q62" s="18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 x14ac:dyDescent="0.25">
      <c r="O63" s="152"/>
      <c r="Q63" s="18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 x14ac:dyDescent="0.25">
      <c r="O64" s="152"/>
      <c r="Q64" s="18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 x14ac:dyDescent="0.25">
      <c r="O65" s="152"/>
      <c r="Q65" s="18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 x14ac:dyDescent="0.25">
      <c r="O66" s="152"/>
      <c r="Q66" s="18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 x14ac:dyDescent="0.25">
      <c r="O67" s="152"/>
      <c r="Q67" s="18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 x14ac:dyDescent="0.25">
      <c r="O68" s="152"/>
      <c r="Q68" s="18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 x14ac:dyDescent="0.25">
      <c r="O69" s="152"/>
      <c r="Q69" s="18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 x14ac:dyDescent="0.25">
      <c r="O70" s="152"/>
      <c r="Q70" s="18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 x14ac:dyDescent="0.25">
      <c r="O71" s="152"/>
      <c r="Q71" s="18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 x14ac:dyDescent="0.25">
      <c r="O72" s="152"/>
      <c r="Q72" s="18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 x14ac:dyDescent="0.25">
      <c r="O73" s="152"/>
      <c r="Q73" s="18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 x14ac:dyDescent="0.25">
      <c r="O74" s="152"/>
      <c r="Q74" s="18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 x14ac:dyDescent="0.25">
      <c r="O75" s="152"/>
      <c r="Q75" s="18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 x14ac:dyDescent="0.25">
      <c r="O76" s="152"/>
      <c r="Q76" s="18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 x14ac:dyDescent="0.25">
      <c r="O77" s="152"/>
      <c r="Q77" s="18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 x14ac:dyDescent="0.25">
      <c r="O78" s="152"/>
      <c r="Q78" s="18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 x14ac:dyDescent="0.25">
      <c r="O79" s="152"/>
      <c r="Q79" s="18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 x14ac:dyDescent="0.25">
      <c r="O80" s="152"/>
      <c r="Q80" s="18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 x14ac:dyDescent="0.25">
      <c r="O81" s="152"/>
      <c r="Q81" s="18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 x14ac:dyDescent="0.25">
      <c r="O82" s="152"/>
      <c r="Q82" s="18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 x14ac:dyDescent="0.25">
      <c r="O83" s="152"/>
      <c r="Q83" s="18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 x14ac:dyDescent="0.25">
      <c r="O84" s="152"/>
      <c r="Q84" s="18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 x14ac:dyDescent="0.25">
      <c r="O85" s="152"/>
      <c r="Q85" s="18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 x14ac:dyDescent="0.25">
      <c r="O86" s="152"/>
      <c r="Q86" s="18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 x14ac:dyDescent="0.25">
      <c r="O87" s="152"/>
      <c r="Q87" s="18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 x14ac:dyDescent="0.25">
      <c r="O88" s="152"/>
      <c r="Q88" s="18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 x14ac:dyDescent="0.25">
      <c r="O89" s="152"/>
      <c r="Q89" s="18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 x14ac:dyDescent="0.25">
      <c r="O90" s="152"/>
      <c r="Q90" s="18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 x14ac:dyDescent="0.25">
      <c r="O91" s="152"/>
      <c r="Q91" s="18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 x14ac:dyDescent="0.25">
      <c r="O92" s="152"/>
      <c r="Q92" s="18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 x14ac:dyDescent="0.25">
      <c r="O93" s="152"/>
      <c r="Q93" s="18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 x14ac:dyDescent="0.25">
      <c r="O94" s="152"/>
      <c r="Q94" s="18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 x14ac:dyDescent="0.25">
      <c r="O95" s="152"/>
      <c r="Q95" s="18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 x14ac:dyDescent="0.25">
      <c r="O96" s="152"/>
      <c r="Q96" s="18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 x14ac:dyDescent="0.25">
      <c r="O97" s="152"/>
      <c r="Q97" s="18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 x14ac:dyDescent="0.25">
      <c r="O98" s="152"/>
      <c r="Q98" s="18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 x14ac:dyDescent="0.25">
      <c r="O99" s="152"/>
      <c r="Q99" s="18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 x14ac:dyDescent="0.25">
      <c r="O100" s="152"/>
      <c r="Q100" s="18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 x14ac:dyDescent="0.25">
      <c r="O101" s="152"/>
      <c r="Q101" s="18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 x14ac:dyDescent="0.25">
      <c r="O102" s="152"/>
      <c r="Q102" s="18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 x14ac:dyDescent="0.25">
      <c r="O103" s="152"/>
      <c r="Q103" s="18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 x14ac:dyDescent="0.25">
      <c r="O104" s="152"/>
      <c r="Q104" s="18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 x14ac:dyDescent="0.25">
      <c r="O105" s="152"/>
      <c r="Q105" s="18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 x14ac:dyDescent="0.25">
      <c r="O106" s="152"/>
      <c r="Q106" s="18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 x14ac:dyDescent="0.25">
      <c r="O107" s="152"/>
      <c r="Q107" s="18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 x14ac:dyDescent="0.25">
      <c r="O108" s="152"/>
      <c r="Q108" s="18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 x14ac:dyDescent="0.25">
      <c r="O109" s="152"/>
      <c r="Q109" s="18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 x14ac:dyDescent="0.25">
      <c r="O110" s="152"/>
      <c r="Q110" s="18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 x14ac:dyDescent="0.25">
      <c r="O111" s="152"/>
      <c r="Q111" s="18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 x14ac:dyDescent="0.25">
      <c r="O112" s="152"/>
      <c r="Q112" s="18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 x14ac:dyDescent="0.25">
      <c r="O113" s="152"/>
      <c r="Q113" s="18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 x14ac:dyDescent="0.25">
      <c r="O114" s="152"/>
      <c r="Q114" s="18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 x14ac:dyDescent="0.25">
      <c r="O115" s="152"/>
      <c r="Q115" s="18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 x14ac:dyDescent="0.25">
      <c r="O116" s="152"/>
      <c r="Q116" s="18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 x14ac:dyDescent="0.25">
      <c r="O117" s="152"/>
      <c r="Q117" s="18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 x14ac:dyDescent="0.25">
      <c r="O118" s="152"/>
      <c r="Q118" s="18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 x14ac:dyDescent="0.25">
      <c r="O119" s="152"/>
      <c r="Q119" s="18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 x14ac:dyDescent="0.25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 x14ac:dyDescent="0.25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 x14ac:dyDescent="0.25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 x14ac:dyDescent="0.25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 x14ac:dyDescent="0.2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 x14ac:dyDescent="0.2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 x14ac:dyDescent="0.25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 x14ac:dyDescent="0.25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 x14ac:dyDescent="0.25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 x14ac:dyDescent="0.25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 x14ac:dyDescent="0.25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 x14ac:dyDescent="0.25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 x14ac:dyDescent="0.25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 x14ac:dyDescent="0.25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 x14ac:dyDescent="0.2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 x14ac:dyDescent="0.25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 x14ac:dyDescent="0.25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 x14ac:dyDescent="0.25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 x14ac:dyDescent="0.25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 x14ac:dyDescent="0.25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 x14ac:dyDescent="0.25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 x14ac:dyDescent="0.25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 x14ac:dyDescent="0.25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 x14ac:dyDescent="0.25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 x14ac:dyDescent="0.2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 x14ac:dyDescent="0.25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 x14ac:dyDescent="0.25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 x14ac:dyDescent="0.2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 x14ac:dyDescent="0.25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 x14ac:dyDescent="0.25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 x14ac:dyDescent="0.25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 x14ac:dyDescent="0.25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 x14ac:dyDescent="0.2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 x14ac:dyDescent="0.25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 x14ac:dyDescent="0.25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 x14ac:dyDescent="0.25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 x14ac:dyDescent="0.25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 x14ac:dyDescent="0.2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 x14ac:dyDescent="0.2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 x14ac:dyDescent="0.25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 x14ac:dyDescent="0.25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 x14ac:dyDescent="0.25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 x14ac:dyDescent="0.25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 x14ac:dyDescent="0.25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 x14ac:dyDescent="0.25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 x14ac:dyDescent="0.2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 x14ac:dyDescent="0.25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 x14ac:dyDescent="0.2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 x14ac:dyDescent="0.25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 x14ac:dyDescent="0.25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 x14ac:dyDescent="0.25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 x14ac:dyDescent="0.25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 x14ac:dyDescent="0.25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 x14ac:dyDescent="0.2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 x14ac:dyDescent="0.25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 x14ac:dyDescent="0.25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 x14ac:dyDescent="0.2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 x14ac:dyDescent="0.2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 x14ac:dyDescent="0.2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 x14ac:dyDescent="0.25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 x14ac:dyDescent="0.25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 x14ac:dyDescent="0.25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 x14ac:dyDescent="0.25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 x14ac:dyDescent="0.25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 x14ac:dyDescent="0.25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 x14ac:dyDescent="0.25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 x14ac:dyDescent="0.25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 x14ac:dyDescent="0.2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 x14ac:dyDescent="0.2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 x14ac:dyDescent="0.25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 x14ac:dyDescent="0.25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 x14ac:dyDescent="0.25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 x14ac:dyDescent="0.2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 x14ac:dyDescent="0.2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 x14ac:dyDescent="0.25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 x14ac:dyDescent="0.25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 x14ac:dyDescent="0.25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 x14ac:dyDescent="0.2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 x14ac:dyDescent="0.25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 x14ac:dyDescent="0.2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 x14ac:dyDescent="0.25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 x14ac:dyDescent="0.25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 x14ac:dyDescent="0.2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 x14ac:dyDescent="0.25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 x14ac:dyDescent="0.25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 x14ac:dyDescent="0.2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 x14ac:dyDescent="0.25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 x14ac:dyDescent="0.25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 x14ac:dyDescent="0.25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 x14ac:dyDescent="0.25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 x14ac:dyDescent="0.25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 x14ac:dyDescent="0.25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 x14ac:dyDescent="0.25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 x14ac:dyDescent="0.25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 x14ac:dyDescent="0.25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 x14ac:dyDescent="0.25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 x14ac:dyDescent="0.25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 x14ac:dyDescent="0.25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 x14ac:dyDescent="0.25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 x14ac:dyDescent="0.25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 x14ac:dyDescent="0.25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 x14ac:dyDescent="0.25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 x14ac:dyDescent="0.25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 x14ac:dyDescent="0.25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 x14ac:dyDescent="0.25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 x14ac:dyDescent="0.25">
      <c r="O225" s="152"/>
      <c r="S225" s="152"/>
    </row>
    <row r="226" spans="15:19" x14ac:dyDescent="0.25">
      <c r="O226" s="152"/>
      <c r="S226" s="152"/>
    </row>
    <row r="227" spans="15:19" x14ac:dyDescent="0.25">
      <c r="O227" s="152"/>
      <c r="S227" s="152"/>
    </row>
    <row r="228" spans="15:19" x14ac:dyDescent="0.25">
      <c r="O228" s="152"/>
      <c r="S228" s="152"/>
    </row>
    <row r="229" spans="15:19" x14ac:dyDescent="0.25">
      <c r="O229" s="152"/>
      <c r="S229" s="152"/>
    </row>
    <row r="230" spans="15:19" x14ac:dyDescent="0.25">
      <c r="O230" s="152"/>
      <c r="S230" s="152"/>
    </row>
    <row r="231" spans="15:19" x14ac:dyDescent="0.25">
      <c r="O231" s="152"/>
      <c r="S231" s="152"/>
    </row>
    <row r="232" spans="15:19" x14ac:dyDescent="0.25">
      <c r="O232" s="152"/>
      <c r="S232" s="152"/>
    </row>
    <row r="233" spans="15:19" x14ac:dyDescent="0.25">
      <c r="O233" s="152"/>
      <c r="S233" s="152"/>
    </row>
    <row r="234" spans="15:19" x14ac:dyDescent="0.25">
      <c r="O234" s="152"/>
      <c r="S234" s="152"/>
    </row>
    <row r="235" spans="15:19" x14ac:dyDescent="0.25">
      <c r="O235" s="152"/>
      <c r="S235" s="152"/>
    </row>
    <row r="236" spans="15:19" x14ac:dyDescent="0.25">
      <c r="O236" s="152"/>
      <c r="S236" s="152"/>
    </row>
    <row r="237" spans="15:19" x14ac:dyDescent="0.25">
      <c r="O237" s="152"/>
      <c r="S237" s="152"/>
    </row>
    <row r="238" spans="15:19" x14ac:dyDescent="0.25">
      <c r="O238" s="152"/>
      <c r="S238" s="152"/>
    </row>
    <row r="239" spans="15:19" x14ac:dyDescent="0.25">
      <c r="O239" s="152"/>
      <c r="S239" s="152"/>
    </row>
    <row r="240" spans="15:19" x14ac:dyDescent="0.25">
      <c r="O240" s="152"/>
      <c r="S240" s="152"/>
    </row>
    <row r="241" spans="15:19" x14ac:dyDescent="0.25">
      <c r="O241" s="152"/>
      <c r="S241" s="152"/>
    </row>
    <row r="242" spans="15:19" x14ac:dyDescent="0.25">
      <c r="O242" s="152"/>
      <c r="S242" s="152"/>
    </row>
    <row r="243" spans="15:19" x14ac:dyDescent="0.25">
      <c r="O243" s="152"/>
      <c r="S243" s="152"/>
    </row>
    <row r="244" spans="15:19" x14ac:dyDescent="0.25">
      <c r="O244" s="152"/>
      <c r="S244" s="152"/>
    </row>
    <row r="245" spans="15:19" x14ac:dyDescent="0.25">
      <c r="O245" s="152"/>
      <c r="S245" s="152"/>
    </row>
    <row r="246" spans="15:19" x14ac:dyDescent="0.25">
      <c r="O246" s="152"/>
      <c r="S246" s="152"/>
    </row>
    <row r="247" spans="15:19" x14ac:dyDescent="0.25">
      <c r="O247" s="152"/>
      <c r="S247" s="152"/>
    </row>
    <row r="248" spans="15:19" x14ac:dyDescent="0.25">
      <c r="O248" s="152"/>
      <c r="S248" s="152"/>
    </row>
    <row r="249" spans="15:19" x14ac:dyDescent="0.25">
      <c r="O249" s="152"/>
      <c r="S249" s="152"/>
    </row>
    <row r="250" spans="15:19" x14ac:dyDescent="0.25">
      <c r="O250" s="152"/>
      <c r="S250" s="152"/>
    </row>
    <row r="251" spans="15:19" x14ac:dyDescent="0.25">
      <c r="O251" s="152"/>
      <c r="S251" s="152"/>
    </row>
    <row r="252" spans="15:19" x14ac:dyDescent="0.25">
      <c r="O252" s="152"/>
      <c r="S252" s="152"/>
    </row>
    <row r="253" spans="15:19" x14ac:dyDescent="0.25">
      <c r="O253" s="152"/>
      <c r="S253" s="152"/>
    </row>
    <row r="254" spans="15:19" x14ac:dyDescent="0.25">
      <c r="O254" s="152"/>
      <c r="S254" s="152"/>
    </row>
    <row r="255" spans="15:19" x14ac:dyDescent="0.25">
      <c r="O255" s="152"/>
      <c r="S255" s="152"/>
    </row>
    <row r="256" spans="15:19" x14ac:dyDescent="0.25">
      <c r="O256" s="152"/>
      <c r="S256" s="152"/>
    </row>
    <row r="257" spans="15:19" x14ac:dyDescent="0.25">
      <c r="O257" s="152"/>
      <c r="S257" s="152"/>
    </row>
    <row r="258" spans="15:19" x14ac:dyDescent="0.25">
      <c r="O258" s="152"/>
      <c r="S258" s="152"/>
    </row>
    <row r="259" spans="15:19" x14ac:dyDescent="0.25">
      <c r="O259" s="152"/>
      <c r="S259" s="152"/>
    </row>
    <row r="260" spans="15:19" x14ac:dyDescent="0.25">
      <c r="O260" s="152"/>
      <c r="S260" s="152"/>
    </row>
    <row r="261" spans="15:19" x14ac:dyDescent="0.25">
      <c r="O261" s="152"/>
      <c r="S261" s="152"/>
    </row>
    <row r="262" spans="15:19" x14ac:dyDescent="0.25">
      <c r="O262" s="152"/>
      <c r="S262" s="152"/>
    </row>
    <row r="263" spans="15:19" x14ac:dyDescent="0.25">
      <c r="O263" s="152"/>
      <c r="S263" s="152"/>
    </row>
    <row r="264" spans="15:19" x14ac:dyDescent="0.25">
      <c r="O264" s="152"/>
      <c r="S264" s="152"/>
    </row>
    <row r="265" spans="15:19" x14ac:dyDescent="0.25">
      <c r="O265" s="152"/>
      <c r="S265" s="152"/>
    </row>
    <row r="266" spans="15:19" x14ac:dyDescent="0.25">
      <c r="O266" s="152"/>
      <c r="S266" s="152"/>
    </row>
    <row r="267" spans="15:19" x14ac:dyDescent="0.25">
      <c r="O267" s="152"/>
      <c r="S267" s="152"/>
    </row>
    <row r="268" spans="15:19" x14ac:dyDescent="0.25">
      <c r="O268" s="152"/>
      <c r="S268" s="152"/>
    </row>
    <row r="269" spans="15:19" x14ac:dyDescent="0.25">
      <c r="O269" s="152"/>
      <c r="S269" s="152"/>
    </row>
    <row r="270" spans="15:19" x14ac:dyDescent="0.25">
      <c r="O270" s="152"/>
      <c r="S270" s="152"/>
    </row>
    <row r="271" spans="15:19" x14ac:dyDescent="0.25">
      <c r="O271" s="152"/>
      <c r="S271" s="152"/>
    </row>
    <row r="272" spans="15:19" x14ac:dyDescent="0.25">
      <c r="O272" s="152"/>
      <c r="S272" s="152"/>
    </row>
    <row r="273" spans="15:19" x14ac:dyDescent="0.25">
      <c r="O273" s="152"/>
      <c r="S273" s="152"/>
    </row>
    <row r="274" spans="15:19" x14ac:dyDescent="0.25">
      <c r="O274" s="152"/>
      <c r="S274" s="152"/>
    </row>
    <row r="275" spans="15:19" x14ac:dyDescent="0.25">
      <c r="O275" s="152"/>
      <c r="S275" s="152"/>
    </row>
    <row r="276" spans="15:19" x14ac:dyDescent="0.25">
      <c r="O276" s="152"/>
      <c r="S276" s="152"/>
    </row>
    <row r="277" spans="15:19" x14ac:dyDescent="0.25">
      <c r="O277" s="152"/>
      <c r="S277" s="152"/>
    </row>
    <row r="278" spans="15:19" x14ac:dyDescent="0.25">
      <c r="O278" s="152"/>
      <c r="S278" s="152"/>
    </row>
    <row r="279" spans="15:19" x14ac:dyDescent="0.25">
      <c r="O279" s="152"/>
      <c r="S279" s="152"/>
    </row>
    <row r="280" spans="15:19" x14ac:dyDescent="0.25">
      <c r="O280" s="152"/>
      <c r="S280" s="152"/>
    </row>
    <row r="281" spans="15:19" x14ac:dyDescent="0.25">
      <c r="O281" s="152"/>
      <c r="S281" s="152"/>
    </row>
    <row r="282" spans="15:19" x14ac:dyDescent="0.25">
      <c r="O282" s="152"/>
      <c r="S282" s="152"/>
    </row>
    <row r="283" spans="15:19" x14ac:dyDescent="0.25">
      <c r="O283" s="152"/>
      <c r="S283" s="152"/>
    </row>
    <row r="284" spans="15:19" x14ac:dyDescent="0.25">
      <c r="O284" s="152"/>
      <c r="S284" s="152"/>
    </row>
    <row r="285" spans="15:19" x14ac:dyDescent="0.25">
      <c r="O285" s="152"/>
      <c r="S285" s="152"/>
    </row>
    <row r="286" spans="15:19" x14ac:dyDescent="0.25">
      <c r="O286" s="152"/>
      <c r="S286" s="152"/>
    </row>
    <row r="287" spans="15:19" x14ac:dyDescent="0.25">
      <c r="O287" s="152"/>
      <c r="S287" s="152"/>
    </row>
    <row r="288" spans="15:19" x14ac:dyDescent="0.25">
      <c r="O288" s="152"/>
      <c r="S288" s="152"/>
    </row>
    <row r="289" spans="15:19" x14ac:dyDescent="0.25">
      <c r="O289" s="152"/>
      <c r="S289" s="152"/>
    </row>
    <row r="290" spans="15:19" x14ac:dyDescent="0.25">
      <c r="O290" s="152"/>
      <c r="S290" s="152"/>
    </row>
    <row r="291" spans="15:19" x14ac:dyDescent="0.25">
      <c r="O291" s="152"/>
      <c r="S291" s="152"/>
    </row>
    <row r="292" spans="15:19" x14ac:dyDescent="0.25">
      <c r="O292" s="152"/>
      <c r="S292" s="152"/>
    </row>
    <row r="293" spans="15:19" x14ac:dyDescent="0.25">
      <c r="O293" s="152"/>
      <c r="S293" s="152"/>
    </row>
    <row r="294" spans="15:19" x14ac:dyDescent="0.25">
      <c r="O294" s="152"/>
      <c r="S294" s="152"/>
    </row>
    <row r="295" spans="15:19" x14ac:dyDescent="0.25">
      <c r="O295" s="152"/>
      <c r="S295" s="152"/>
    </row>
    <row r="296" spans="15:19" x14ac:dyDescent="0.25">
      <c r="O296" s="152"/>
      <c r="S296" s="152"/>
    </row>
    <row r="297" spans="15:19" x14ac:dyDescent="0.25">
      <c r="O297" s="152"/>
      <c r="S297" s="152"/>
    </row>
    <row r="298" spans="15:19" x14ac:dyDescent="0.25">
      <c r="O298" s="152"/>
      <c r="S298" s="152"/>
    </row>
    <row r="299" spans="15:19" x14ac:dyDescent="0.25">
      <c r="O299" s="152"/>
      <c r="S299" s="152"/>
    </row>
    <row r="300" spans="15:19" x14ac:dyDescent="0.25">
      <c r="O300" s="152"/>
      <c r="S300" s="152"/>
    </row>
    <row r="301" spans="15:19" x14ac:dyDescent="0.25">
      <c r="O301" s="152"/>
      <c r="S301" s="152"/>
    </row>
    <row r="302" spans="15:19" x14ac:dyDescent="0.25">
      <c r="O302" s="152"/>
      <c r="S302" s="152"/>
    </row>
    <row r="303" spans="15:19" x14ac:dyDescent="0.25">
      <c r="O303" s="152"/>
      <c r="S303" s="152"/>
    </row>
    <row r="304" spans="15:19" x14ac:dyDescent="0.25">
      <c r="O304" s="152"/>
      <c r="S304" s="152"/>
    </row>
    <row r="305" spans="15:19" x14ac:dyDescent="0.25">
      <c r="O305" s="152"/>
      <c r="S305" s="152"/>
    </row>
    <row r="306" spans="15:19" x14ac:dyDescent="0.25">
      <c r="O306" s="152"/>
      <c r="S306" s="152"/>
    </row>
    <row r="307" spans="15:19" x14ac:dyDescent="0.25">
      <c r="O307" s="152"/>
      <c r="S307" s="152"/>
    </row>
    <row r="308" spans="15:19" x14ac:dyDescent="0.25">
      <c r="O308" s="152"/>
      <c r="S308" s="152"/>
    </row>
    <row r="309" spans="15:19" x14ac:dyDescent="0.25">
      <c r="O309" s="152"/>
      <c r="S309" s="152"/>
    </row>
    <row r="310" spans="15:19" x14ac:dyDescent="0.25">
      <c r="O310" s="152"/>
      <c r="S310" s="152"/>
    </row>
    <row r="311" spans="15:19" x14ac:dyDescent="0.25">
      <c r="O311" s="152"/>
      <c r="S311" s="152"/>
    </row>
    <row r="312" spans="15:19" x14ac:dyDescent="0.25">
      <c r="O312" s="152"/>
      <c r="S312" s="152"/>
    </row>
    <row r="313" spans="15:19" x14ac:dyDescent="0.25">
      <c r="O313" s="152"/>
      <c r="S313" s="152"/>
    </row>
    <row r="314" spans="15:19" x14ac:dyDescent="0.25">
      <c r="O314" s="152"/>
      <c r="S314" s="152"/>
    </row>
    <row r="315" spans="15:19" x14ac:dyDescent="0.25">
      <c r="O315" s="152"/>
      <c r="S315" s="152"/>
    </row>
    <row r="316" spans="15:19" x14ac:dyDescent="0.25">
      <c r="O316" s="152"/>
      <c r="S316" s="152"/>
    </row>
    <row r="317" spans="15:19" x14ac:dyDescent="0.25">
      <c r="O317" s="152"/>
      <c r="S317" s="152"/>
    </row>
    <row r="318" spans="15:19" x14ac:dyDescent="0.25">
      <c r="O318" s="152"/>
      <c r="S318" s="152"/>
    </row>
    <row r="319" spans="15:19" x14ac:dyDescent="0.25">
      <c r="O319" s="152"/>
      <c r="S319" s="152"/>
    </row>
    <row r="320" spans="15:19" x14ac:dyDescent="0.25">
      <c r="O320" s="152"/>
      <c r="S320" s="152"/>
    </row>
    <row r="321" spans="15:19" x14ac:dyDescent="0.25">
      <c r="O321" s="152"/>
      <c r="S321" s="152"/>
    </row>
    <row r="322" spans="15:19" x14ac:dyDescent="0.25">
      <c r="O322" s="152"/>
      <c r="S322" s="152"/>
    </row>
    <row r="323" spans="15:19" x14ac:dyDescent="0.25">
      <c r="O323" s="152"/>
      <c r="S323" s="152"/>
    </row>
    <row r="324" spans="15:19" x14ac:dyDescent="0.25">
      <c r="O324" s="152"/>
      <c r="S324" s="152"/>
    </row>
    <row r="325" spans="15:19" x14ac:dyDescent="0.25">
      <c r="O325" s="152"/>
      <c r="S325" s="152"/>
    </row>
    <row r="326" spans="15:19" x14ac:dyDescent="0.25">
      <c r="O326" s="152"/>
      <c r="S326" s="152"/>
    </row>
    <row r="327" spans="15:19" x14ac:dyDescent="0.25">
      <c r="O327" s="152"/>
      <c r="S327" s="152"/>
    </row>
    <row r="328" spans="15:19" x14ac:dyDescent="0.25">
      <c r="O328" s="152"/>
      <c r="S328" s="152"/>
    </row>
    <row r="329" spans="15:19" x14ac:dyDescent="0.25">
      <c r="O329" s="152"/>
      <c r="S329" s="152"/>
    </row>
    <row r="330" spans="15:19" x14ac:dyDescent="0.25">
      <c r="O330" s="152"/>
      <c r="S330" s="152"/>
    </row>
    <row r="331" spans="15:19" x14ac:dyDescent="0.25">
      <c r="O331" s="152"/>
      <c r="S331" s="152"/>
    </row>
    <row r="332" spans="15:19" x14ac:dyDescent="0.25">
      <c r="O332" s="152"/>
      <c r="S332" s="152"/>
    </row>
    <row r="333" spans="15:19" x14ac:dyDescent="0.25">
      <c r="O333" s="152"/>
      <c r="S333" s="152"/>
    </row>
    <row r="334" spans="15:19" x14ac:dyDescent="0.25">
      <c r="O334" s="152"/>
      <c r="S334" s="152"/>
    </row>
    <row r="335" spans="15:19" x14ac:dyDescent="0.25">
      <c r="O335" s="152"/>
      <c r="S335" s="152"/>
    </row>
    <row r="336" spans="15:19" x14ac:dyDescent="0.25">
      <c r="O336" s="152"/>
      <c r="S336" s="152"/>
    </row>
    <row r="337" spans="15:19" x14ac:dyDescent="0.25">
      <c r="O337" s="152"/>
      <c r="S337" s="152"/>
    </row>
    <row r="338" spans="15:19" x14ac:dyDescent="0.25">
      <c r="O338" s="152"/>
      <c r="S338" s="152"/>
    </row>
    <row r="339" spans="15:19" x14ac:dyDescent="0.25">
      <c r="O339" s="152"/>
      <c r="S339" s="152"/>
    </row>
    <row r="340" spans="15:19" x14ac:dyDescent="0.25">
      <c r="O340" s="152"/>
      <c r="S340" s="152"/>
    </row>
    <row r="341" spans="15:19" x14ac:dyDescent="0.25">
      <c r="O341" s="152"/>
      <c r="S341" s="152"/>
    </row>
    <row r="342" spans="15:19" x14ac:dyDescent="0.25">
      <c r="O342" s="152"/>
      <c r="S342" s="152"/>
    </row>
    <row r="343" spans="15:19" x14ac:dyDescent="0.25">
      <c r="O343" s="152"/>
      <c r="S343" s="152"/>
    </row>
    <row r="344" spans="15:19" x14ac:dyDescent="0.25">
      <c r="O344" s="152"/>
      <c r="S344" s="152"/>
    </row>
    <row r="345" spans="15:19" x14ac:dyDescent="0.25">
      <c r="O345" s="152"/>
      <c r="S345" s="152"/>
    </row>
    <row r="346" spans="15:19" x14ac:dyDescent="0.25">
      <c r="O346" s="152"/>
      <c r="S346" s="152"/>
    </row>
    <row r="347" spans="15:19" x14ac:dyDescent="0.25">
      <c r="O347" s="152"/>
      <c r="S347" s="152"/>
    </row>
    <row r="348" spans="15:19" x14ac:dyDescent="0.25">
      <c r="O348" s="152"/>
      <c r="S348" s="152"/>
    </row>
    <row r="349" spans="15:19" x14ac:dyDescent="0.25">
      <c r="O349" s="152"/>
      <c r="S349" s="152"/>
    </row>
    <row r="350" spans="15:19" x14ac:dyDescent="0.25">
      <c r="O350" s="152"/>
      <c r="S350" s="152"/>
    </row>
    <row r="351" spans="15:19" x14ac:dyDescent="0.25">
      <c r="O351" s="152"/>
      <c r="S351" s="152"/>
    </row>
    <row r="352" spans="15:19" x14ac:dyDescent="0.25">
      <c r="O352" s="152"/>
      <c r="S352" s="152"/>
    </row>
    <row r="353" spans="15:19" x14ac:dyDescent="0.25">
      <c r="O353" s="152"/>
      <c r="S353" s="152"/>
    </row>
    <row r="354" spans="15:19" x14ac:dyDescent="0.25">
      <c r="O354" s="152"/>
      <c r="S354" s="152"/>
    </row>
    <row r="355" spans="15:19" x14ac:dyDescent="0.25">
      <c r="O355" s="152"/>
      <c r="S355" s="152"/>
    </row>
    <row r="356" spans="15:19" x14ac:dyDescent="0.25">
      <c r="O356" s="152"/>
      <c r="S356" s="152"/>
    </row>
    <row r="357" spans="15:19" x14ac:dyDescent="0.25">
      <c r="O357" s="152"/>
      <c r="S357" s="152"/>
    </row>
    <row r="358" spans="15:19" x14ac:dyDescent="0.25">
      <c r="O358" s="152"/>
      <c r="S358" s="152"/>
    </row>
    <row r="359" spans="15:19" x14ac:dyDescent="0.25">
      <c r="O359" s="152"/>
      <c r="S359" s="152"/>
    </row>
    <row r="360" spans="15:19" x14ac:dyDescent="0.25">
      <c r="O360" s="152"/>
      <c r="S360" s="152"/>
    </row>
    <row r="361" spans="15:19" x14ac:dyDescent="0.25">
      <c r="O361" s="152"/>
      <c r="S361" s="152"/>
    </row>
    <row r="362" spans="15:19" x14ac:dyDescent="0.25">
      <c r="O362" s="152"/>
      <c r="S362" s="152"/>
    </row>
    <row r="363" spans="15:19" x14ac:dyDescent="0.25">
      <c r="O363" s="152"/>
      <c r="S363" s="152"/>
    </row>
    <row r="364" spans="15:19" x14ac:dyDescent="0.25">
      <c r="O364" s="152"/>
      <c r="S364" s="152"/>
    </row>
    <row r="365" spans="15:19" x14ac:dyDescent="0.25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 x14ac:dyDescent="0.25"/>
  <cols>
    <col min="1" max="1" width="30.5703125" style="187" customWidth="1"/>
    <col min="2" max="2" width="0.7109375" style="187" customWidth="1"/>
    <col min="3" max="3" width="4.5703125" style="189" customWidth="1"/>
    <col min="4" max="4" width="18.28515625" style="189" customWidth="1"/>
    <col min="5" max="5" width="36.5703125" style="189" customWidth="1"/>
    <col min="6" max="6" width="28.5703125" style="189" customWidth="1"/>
    <col min="7" max="10" width="18.28515625" style="189" customWidth="1"/>
    <col min="11" max="11" width="61.5703125" style="189" customWidth="1"/>
    <col min="12" max="12" width="20.85546875" style="189" customWidth="1"/>
    <col min="13" max="13" width="28.7109375" style="189" customWidth="1"/>
    <col min="14" max="16384" width="9.140625" style="189"/>
  </cols>
  <sheetData>
    <row r="1" spans="1:8" s="186" customFormat="1" ht="21" customHeight="1" x14ac:dyDescent="0.25">
      <c r="A1" s="184" t="s">
        <v>402</v>
      </c>
      <c r="B1" s="185"/>
      <c r="D1" s="227" t="s">
        <v>409</v>
      </c>
      <c r="E1" s="227"/>
      <c r="F1" s="171"/>
      <c r="G1" s="171"/>
      <c r="H1" s="171"/>
    </row>
    <row r="2" spans="1:8" s="186" customFormat="1" ht="3" customHeight="1" x14ac:dyDescent="0.25">
      <c r="A2" s="187"/>
      <c r="B2" s="187"/>
    </row>
    <row r="3" spans="1:8" ht="18.75" x14ac:dyDescent="0.25">
      <c r="A3" s="9" t="s">
        <v>8</v>
      </c>
      <c r="B3" s="188"/>
    </row>
    <row r="4" spans="1:8" ht="18.75" x14ac:dyDescent="0.25">
      <c r="A4" s="15" t="s">
        <v>98</v>
      </c>
      <c r="D4" s="226" t="s">
        <v>403</v>
      </c>
      <c r="E4" s="226"/>
      <c r="F4" s="226"/>
    </row>
    <row r="5" spans="1:8" x14ac:dyDescent="0.25">
      <c r="D5" s="190" t="s">
        <v>404</v>
      </c>
      <c r="E5" s="190" t="s">
        <v>40</v>
      </c>
      <c r="F5" s="190" t="s">
        <v>405</v>
      </c>
    </row>
    <row r="6" spans="1:8" ht="45" x14ac:dyDescent="0.25">
      <c r="D6" s="191" t="s">
        <v>8</v>
      </c>
      <c r="E6" s="192" t="s">
        <v>406</v>
      </c>
      <c r="F6" s="192" t="s">
        <v>123</v>
      </c>
    </row>
    <row r="7" spans="1:8" ht="75" x14ac:dyDescent="0.25">
      <c r="D7" s="191" t="s">
        <v>107</v>
      </c>
      <c r="E7" s="192" t="s">
        <v>407</v>
      </c>
      <c r="F7" s="192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36</vt:i4>
      </vt:variant>
    </vt:vector>
  </HeadingPairs>
  <TitlesOfParts>
    <vt:vector size="60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2021-12-18T14:42:04Z</dcterms:modified>
</cp:coreProperties>
</file>