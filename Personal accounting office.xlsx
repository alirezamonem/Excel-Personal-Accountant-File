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queryTables/queryTable1.xml" ContentType="application/vnd.openxmlformats-officedocument.spreadsheetml.query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E:\Personal accounting office\Github_Repository\"/>
    </mc:Choice>
  </mc:AlternateContent>
  <bookViews>
    <workbookView xWindow="0" yWindow="7200" windowWidth="25200" windowHeight="12015" tabRatio="907" activeTab="2"/>
  </bookViews>
  <sheets>
    <sheet name="چک نویس" sheetId="22" r:id="rId1"/>
    <sheet name="فهرست" sheetId="19" r:id="rId2"/>
    <sheet name="تراکنش‌ها" sheetId="1" r:id="rId3"/>
    <sheet name="بودجه بندی" sheetId="23" r:id="rId4"/>
    <sheet name="مدیریت وام و اقساط" sheetId="14" r:id="rId5"/>
    <sheet name="مدیریت چک‌ها" sheetId="2" r:id="rId6"/>
    <sheet name="مدیریت بدهی‌ها-طلب‌ها" sheetId="16" r:id="rId7"/>
    <sheet name="برنامه ریزی پرداخت‌ها" sheetId="15" r:id="rId8"/>
    <sheet name="تقویم" sheetId="18" r:id="rId9"/>
    <sheet name="گزارش فعالیت‌های ماه جاری" sheetId="5" r:id="rId10"/>
    <sheet name="گزارش دریافت‌ها" sheetId="8" r:id="rId11"/>
    <sheet name="گزارش پرداخت‌ها" sheetId="9" r:id="rId12"/>
    <sheet name="گزارش انتقال‌ها" sheetId="10" r:id="rId13"/>
    <sheet name="گروه‌‌های درآمدی" sheetId="20" r:id="rId14"/>
    <sheet name="گزارش گروه‌های دریافتی" sheetId="13" r:id="rId15"/>
    <sheet name="گروه‌‌های (بابت‌ها) هزینه" sheetId="6" r:id="rId16"/>
    <sheet name="گزارش گروه‌های پرداختی" sheetId="12" r:id="rId17"/>
    <sheet name="گروه‌های انتقال" sheetId="26" r:id="rId18"/>
    <sheet name="گزارش گروه‌های انتقال" sheetId="27" r:id="rId19"/>
    <sheet name="جست و جو" sheetId="17" r:id="rId20"/>
    <sheet name="دریافت کنندگان - پرداخت کنندگان" sheetId="24" r:id="rId21"/>
    <sheet name="تنظیمات حساب" sheetId="3" r:id="rId22"/>
    <sheet name="تنظیمات دفترچه" sheetId="4" r:id="rId23"/>
    <sheet name="راهنما" sheetId="21" r:id="rId24"/>
  </sheets>
  <definedNames>
    <definedName name="AccountNamesList">FinancialAccountsTable[نام حساب]</definedName>
    <definedName name="Accounts_and_ReceiversAndPayers_List">Accounts_and_ReceiversAndPayers_AppendTabel[Accounts and ReceiversAndPayers]</definedName>
    <definedName name="ExternalData_1" localSheetId="20" hidden="1">'دریافت کنندگان - پرداخت کنندگان'!$C$3:$D$19</definedName>
    <definedName name="RecipientsList">ReceiversAndPayersTable[دریافت کننده - پرداخت کنندگان]</definedName>
    <definedName name="TransactionMethodsList" comment="روش های انتقال پول">TransactionMethodsTable[روش تراکنش]</definedName>
    <definedName name="ارتباطات" comment="گروه هزینه‌های ارتباطات">NetworkCostsTable[ارتباطات]</definedName>
    <definedName name="ایاب_و_ذهاب" comment="گروه هزینه‌های ایاب و ذهاب">TravelCostsTable[ایاب و ذهاب]</definedName>
    <definedName name="بهداشت_و_درمان" comment="گروه هزینه‌های بهداشت و درمان">HealthCareCostsTable[بهداشت و درمان]</definedName>
    <definedName name="بهداشت_و_نظافت_فردی" comment="گروه هزینه‌های بهداشت و نظافت فردی">PersonalCleaningCostsTable[بهداشت و نظافت فردی]</definedName>
    <definedName name="بهداشت_و_نظافت_محیط" comment="گروه هزینه های بهداشت و نظافت محیط">EnvironmentalHealthCostsTable[بهداشت و نظافت محیط]</definedName>
    <definedName name="بیمه" comment="گروه هزینه‌های بیمه">InsuranceCostsTable[بیمه]</definedName>
    <definedName name="پرداخت_اقساط" comment="گروه هزینه‌های پرداخت اقساط">InstallmentPaymentCostsTable[پرداخت اقساط]</definedName>
    <definedName name="پرداخت_هزینه" comment="گروه‌های هزینه در کاربرگ گروه‌های (بابت‌ها) هزینه">CostGroupsTable[نام گروه هزینه]</definedName>
    <definedName name="پوشاک_و_کفش" comment="گروه هزینه‌های پوشاک و کفش">CostsOfClothingAndFootwearTable[پوشاک و کفش]</definedName>
    <definedName name="تشویقی‌ها_جوایز_و_عیدی‌ها" comment="لیست گروه درآمد‌ها تشویفی‌ها، جوایز و عیدی‌ها">IncentivesPrizesAndFeastsTable[تشویقی‌ها، جوایز و عیدی‌ها]</definedName>
    <definedName name="حقوق" comment="لیست گروه درآمد‌ها حقوق">RightsTable[حقوق]</definedName>
    <definedName name="خودرو" comment="گروه هزینه‌های خودرو">CarCostsTable[خودرو]</definedName>
    <definedName name="خوراکی‌ها_و_آشامیدنی‌ها" comment="گروه هزینه‌های خوراکی‌ها و آشامیدنی‌ها">CostsOfFoodAndBeveragesTable[خوراکی‌ها و آشامیدنی‌ها]</definedName>
    <definedName name="خیریه_و_امور_فرهنگی" comment="گروه هزینه‌های خیریه و امور فرهنگی">CharityAndCulturalExpensesTable[خیریه و امور فرهنگی]</definedName>
    <definedName name="دخانیات" comment="گروه هزینه‌های دخانیات">TobaccoCostsTable[دخانیات]</definedName>
    <definedName name="درآمد_متفرقه" comment="لیست گروه های درآمدی، درآمد متفرقه">MiscellaneousIncomeTable[درآمد متفرقه]</definedName>
    <definedName name="دریافت_درآمد" comment="لیست گروه درآمد‌ها - شاخه اصلی">RevenueGroupTable[نام گروه درآمد]</definedName>
    <definedName name="دریافت_رهن_و_اجاره" comment="لیست گروه‌های درآمدی دریافت رهن و اجاره">GetAMortgageAndRentTable[دریافت رهن و اجاره]</definedName>
    <definedName name="دریافت_وام" comment="لیست گروه‌های درآمدی دریافت وام">GetALoanTable[دریافت وام]</definedName>
    <definedName name="دستمزد" comment="لیست گروه درآمد‌ها دستمزد">SalaryTable[دستمزد]</definedName>
    <definedName name="دوچرخه" comment="گروه هزینه‌های دوچرخه">BicycleCostsTable[دوچرخه]</definedName>
    <definedName name="زیورآلات_سرمایه" comment="گروه هزینه‌های زیورآلات سرمایه مانند طلا، تقره، عتیقه، جواهرات و غیره">CostsOfCapitalJewelryTable[زیورآلات سرمایه]</definedName>
    <definedName name="زیورآلات_غیر‌سرمایه" comment="گروه هزینه‌های زیورآلات غیر سرمایه">Non_CapitalJewelryCostsTable[[ زیورآلات غیر سرمایه]]</definedName>
    <definedName name="سرمایه‌گذاری" comment="گروه هزینه‌های سرمایه گذاری">InvestmentCostsTable[[ سرمایه گذاری]]</definedName>
    <definedName name="سفر_و_گردش" comment="گروه هزینه‌های سفر و گردش">TravelAndTourExpensesTable[سفر و گردش]</definedName>
    <definedName name="سود_سرمایه‌گذاری" comment="لیست گروه درآمد‌ها سود سرمایه‌گذاری">ProfitableInvestmentTable[سود سرمایه‌گذاری]</definedName>
    <definedName name="صورتحساب‌های_مسکن" comment="گروه هزینه‌های صورتحساب‌های مسکن">HousingBillCostsTable[صورتحاب‌های مسکن]</definedName>
    <definedName name="فراغت_و_سرگرمی" comment="گروه هزینه‌های فراغت و سرگرمی">LeisureAndEntertainmentExpensesTable[فراغت و سرگرمی]</definedName>
    <definedName name="مالیات" comment="گروه هزینه‌های مالیات">TaxCostsTable[مالیات]</definedName>
    <definedName name="مدرک_و_تحصیل" comment="گروه هزینه‌های مدرک و تحصیل">DegreeAndTuitionFeesTable[[ مدرک و تحصیل]]</definedName>
    <definedName name="منفعت_کسب" comment="لیست گروه‌ درآمد‌ها منفعت کسب">ProfitOfAcquisitionTable[منفعت کسب]</definedName>
    <definedName name="هدیه" comment="لیست هزینه‌های هدیه">GiftCostsTable[هدیه و کادو]</definedName>
    <definedName name="ورزش" comment="گروه هزینه‌های ورزش">ExerciseCostsTable[ورزش]</definedName>
    <definedName name="یادگیری_و_توسعه_فردی" comment="گروه هزینه‌های یادگیری و توسعه فردی">LearningAndIndividualDevelopmentCostsTable[یادگیری و توسعه فردی]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K18" i="3"/>
  <c r="J18" i="3"/>
  <c r="I18" i="3"/>
  <c r="L13" i="3"/>
  <c r="L14" i="3"/>
  <c r="L15" i="3"/>
  <c r="L16" i="3"/>
  <c r="L17" i="3"/>
  <c r="K13" i="3"/>
  <c r="K14" i="3"/>
  <c r="K15" i="3"/>
  <c r="K16" i="3"/>
  <c r="K17" i="3"/>
  <c r="J13" i="3"/>
  <c r="J14" i="3"/>
  <c r="J15" i="3"/>
  <c r="J16" i="3"/>
  <c r="J17" i="3"/>
  <c r="I13" i="3"/>
  <c r="I14" i="3"/>
  <c r="I15" i="3"/>
  <c r="I16" i="3"/>
  <c r="I17" i="3"/>
  <c r="E3" i="1"/>
  <c r="C3" i="1"/>
  <c r="R8" i="22" l="1"/>
  <c r="R7" i="22"/>
  <c r="R6" i="22"/>
  <c r="C10" i="1" l="1"/>
  <c r="C8" i="1" l="1"/>
  <c r="C9" i="1" l="1"/>
  <c r="C5" i="1"/>
  <c r="D18" i="3" l="1"/>
  <c r="E9" i="24"/>
  <c r="E10" i="24"/>
  <c r="E11" i="24"/>
  <c r="E12" i="24"/>
  <c r="E13" i="24"/>
  <c r="E14" i="24"/>
  <c r="E15" i="24"/>
  <c r="E16" i="24"/>
  <c r="E17" i="24"/>
  <c r="E18" i="24"/>
  <c r="E4" i="24"/>
  <c r="E5" i="24"/>
  <c r="E6" i="24"/>
  <c r="E7" i="24"/>
  <c r="E8" i="24"/>
  <c r="E19" i="24"/>
</calcChain>
</file>

<file path=xl/connections.xml><?xml version="1.0" encoding="utf-8"?>
<connections xmlns="http://schemas.openxmlformats.org/spreadsheetml/2006/main">
  <connection id="1" keepAlive="1" name="Query - AccountsNameFromFinancialAccountsTable" description="Connection to the 'AccountsNameFromFinancialAccountsTable' query in the workbook." type="5" refreshedVersion="0" background="1">
    <dbPr connection="Provider=Microsoft.Mashup.OleDb.1;Data Source=$Workbook$;Location=AccountsNameFromFinancialAccountsTable" command="SELECT * FROM [AccountsNameFromFinancialAccountsTable]"/>
  </connection>
  <connection id="2" keepAlive="1" name="Query - Append1 (2)" description="Connection to the 'Append1 (2)' query in the workbook." type="5" refreshedVersion="6" background="1" saveData="1">
    <dbPr connection="Provider=Microsoft.Mashup.OleDb.1;Data Source=$Workbook$;Location=Append1 (2);Extended Properties=&quot;&quot;" command="SELECT * FROM [Append1 (2)]"/>
  </connection>
  <connection id="3" keepAlive="1" name="Query - ReceiversAndPayersTable" description="Connection to the 'ReceiversAndPayersTable' query in the workbook." type="5" refreshedVersion="0" background="1">
    <dbPr connection="Provider=Microsoft.Mashup.OleDb.1;Data Source=$Workbook$;Location=ReceiversAndPayersTable" command="SELECT * FROM [ReceiversAndPayersTable]"/>
  </connection>
</connections>
</file>

<file path=xl/sharedStrings.xml><?xml version="1.0" encoding="utf-8"?>
<sst xmlns="http://schemas.openxmlformats.org/spreadsheetml/2006/main" count="563" uniqueCount="350">
  <si>
    <t>تاریخ</t>
  </si>
  <si>
    <t>ردیف</t>
  </si>
  <si>
    <t>مبلغ (ریال)</t>
  </si>
  <si>
    <t xml:space="preserve"> </t>
  </si>
  <si>
    <t>گروه / بابت (خوراک، پوشاک، مسکن و...)</t>
  </si>
  <si>
    <t>دریافت کننده</t>
  </si>
  <si>
    <t>پرداخت کننده</t>
  </si>
  <si>
    <t>تنظیمات حساب</t>
  </si>
  <si>
    <t>فهرست</t>
  </si>
  <si>
    <t>تاریخ چک</t>
  </si>
  <si>
    <t>به وجه</t>
  </si>
  <si>
    <t>گزار</t>
  </si>
  <si>
    <t>معادل دریافت ها و پرداخت ها به تفکیک</t>
  </si>
  <si>
    <t>مانده حساب اصلی</t>
  </si>
  <si>
    <t>عضو</t>
  </si>
  <si>
    <t>عضو به معنی افرادی که تحت سرپرستی هستند مثلا اعضای خانواده</t>
  </si>
  <si>
    <t>برچسب</t>
  </si>
  <si>
    <t>پرداخت کننده2</t>
  </si>
  <si>
    <t>عنوان</t>
  </si>
  <si>
    <t>تراکنش (دریافت، پرداخت، انتقال</t>
  </si>
  <si>
    <t>حساب بانکی</t>
  </si>
  <si>
    <t>شماره چک</t>
  </si>
  <si>
    <t>به مبلغ</t>
  </si>
  <si>
    <t>برای (بابت)</t>
  </si>
  <si>
    <t>گروه هزینه</t>
  </si>
  <si>
    <t>یادآوری در تاریخ</t>
  </si>
  <si>
    <t>وضعیت (پاس شده، در جریان، برگشت شده،‌ باطل شده)</t>
  </si>
  <si>
    <t>عنوان وام</t>
  </si>
  <si>
    <t>تاریخ دریافت</t>
  </si>
  <si>
    <t>مبلغ وام</t>
  </si>
  <si>
    <t>تعداد اقساط</t>
  </si>
  <si>
    <t>اقساط پرداخت شده</t>
  </si>
  <si>
    <t>اقساط مانده</t>
  </si>
  <si>
    <t>مبلغ پرداخت شده</t>
  </si>
  <si>
    <t>مبلغ مانده</t>
  </si>
  <si>
    <t>دوره پرداخت (ماهانه، سالانه و...)</t>
  </si>
  <si>
    <t>درصد سود</t>
  </si>
  <si>
    <t>برنامه ریزی پردخت (ماهانه، روزانه، هتفگی و...)</t>
  </si>
  <si>
    <t>تاریخ اولین پرداخت</t>
  </si>
  <si>
    <t>تاریخ پرداخت پیش رو</t>
  </si>
  <si>
    <t xml:space="preserve">یاد آوری </t>
  </si>
  <si>
    <t>شرح</t>
  </si>
  <si>
    <t>نوع خرج (نامشخص، خرج صحیح، خرج اضافی)</t>
  </si>
  <si>
    <t>یاد آوری ها</t>
  </si>
  <si>
    <t>صف</t>
  </si>
  <si>
    <t>دریافت کننده یا پرداخت کننده</t>
  </si>
  <si>
    <t>لیست دریافت کننده یا پرداخت کننده ها</t>
  </si>
  <si>
    <t>لیست گروه‌های پرداخت یا دریافت</t>
  </si>
  <si>
    <t>از تاریخ</t>
  </si>
  <si>
    <t>00.000.00</t>
  </si>
  <si>
    <t>الی تاریخ</t>
  </si>
  <si>
    <t>00.0.00.0.0.0</t>
  </si>
  <si>
    <t>تاریخ تراکنش</t>
  </si>
  <si>
    <t xml:space="preserve">پرداخت یا دریافت یا انتقال </t>
  </si>
  <si>
    <t>با زدن گزینه انتقال «لیست گروه پرداخت یا دریافت خاموش می شود</t>
  </si>
  <si>
    <t>خرج اضافی یا صحیح</t>
  </si>
  <si>
    <t>برچسب گذاری</t>
  </si>
  <si>
    <t>لیست اعضا</t>
  </si>
  <si>
    <t>شرح تراکنش</t>
  </si>
  <si>
    <t>نمایش جزعی وضعیت حساب ها</t>
  </si>
  <si>
    <t>مانده حساب</t>
  </si>
  <si>
    <t>مجموع در آمد های ماه جاری</t>
  </si>
  <si>
    <t>هزینه ها و در آمد ها</t>
  </si>
  <si>
    <t>مجموع هزینه های ماه جاری</t>
  </si>
  <si>
    <t>در مقالسه با ماه قبل</t>
  </si>
  <si>
    <t>در مقالیسه با ماه قبل، درآمد شما ۱۳٪ افزایش داشته است، معادل ۱۱۱۱۱۱</t>
  </si>
  <si>
    <t>در مقایسه با ماه قبل، هزینه های شماه ۱٪ کاهش داشت است، معادل ۳۲۴۲۳۴۲۳</t>
  </si>
  <si>
    <t xml:space="preserve">خرج صحیح / خرج اضافی </t>
  </si>
  <si>
    <t>یک نمودار کوجک شامل ۳ بهش نامشخص صحیح و اضافه</t>
  </si>
  <si>
    <t>درصد اعضا</t>
  </si>
  <si>
    <t>آنالیز این ماه</t>
  </si>
  <si>
    <t>دریافتی‌ها</t>
  </si>
  <si>
    <t>طلب ها</t>
  </si>
  <si>
    <t>...</t>
  </si>
  <si>
    <t>مجموع</t>
  </si>
  <si>
    <t>پرداختی ها</t>
  </si>
  <si>
    <t>بدهی ها</t>
  </si>
  <si>
    <t>اقساط</t>
  </si>
  <si>
    <t>چک</t>
  </si>
  <si>
    <t>برنامه ریزی پرداهخت</t>
  </si>
  <si>
    <t>میانگین هزینه و در آمد</t>
  </si>
  <si>
    <t>میانگین درآمد شما در این ماه،‌روزانه</t>
  </si>
  <si>
    <t>میانگین هزینه شما در این ماه، روزانه</t>
  </si>
  <si>
    <t>۵ گروه پر در آمد این ماه</t>
  </si>
  <si>
    <t>پنج گروه پس هزینه این ماه</t>
  </si>
  <si>
    <t>ثبت تراکنش‌های روزانه</t>
  </si>
  <si>
    <t>مدیریت وام و اقساط</t>
  </si>
  <si>
    <t>مدیریت چک‌ها</t>
  </si>
  <si>
    <t>مدیریت بدهی‌ها و طلب‌ها</t>
  </si>
  <si>
    <t>برنامه ریزی پرداخت‌ها</t>
  </si>
  <si>
    <t>تقویم</t>
  </si>
  <si>
    <t>گزارش فعالیت‌های ماه جاری</t>
  </si>
  <si>
    <t>گزارش دریافت‌ها (درآمد‌ها)</t>
  </si>
  <si>
    <t>گزارش پرداخت‌ها (هزینه‌ها)</t>
  </si>
  <si>
    <t>گزارش نقل و انتقالات بین حساب‌ها</t>
  </si>
  <si>
    <t>گروه‌‌های درآمدی</t>
  </si>
  <si>
    <t>گزارش وضعیت گروه‌های دریافتی به جزء</t>
  </si>
  <si>
    <t>گروه‌‌های (بابت‌ها) هزینه</t>
  </si>
  <si>
    <t>گزارش  وضعیت گروه‌های پرداختی به جزء</t>
  </si>
  <si>
    <t>جست و جو</t>
  </si>
  <si>
    <t>تنظیمات دفترچه</t>
  </si>
  <si>
    <t>راهنما</t>
  </si>
  <si>
    <t>اجزای شیت تراکنش</t>
  </si>
  <si>
    <t>وام و اقساط</t>
  </si>
  <si>
    <t>چک‌ها</t>
  </si>
  <si>
    <t>بدهی‌ها و طلب‌ها</t>
  </si>
  <si>
    <t>ماه جاری</t>
  </si>
  <si>
    <t>نوار جابحایی بین شیت ها در صفحه تراکنش</t>
  </si>
  <si>
    <t>تراکنش</t>
  </si>
  <si>
    <t>مقدار کارموزد های عملیات های بانکی</t>
  </si>
  <si>
    <t>کارکزد کارت به کارت</t>
  </si>
  <si>
    <t>کارمزد گرفتن موجودی از خودپرداز</t>
  </si>
  <si>
    <t>کارمزد گرفتن موجودی از کارت‌خوان</t>
  </si>
  <si>
    <t>جمع کل دریافتی‌ها:</t>
  </si>
  <si>
    <t>جمع کل پرداختی‌ها:</t>
  </si>
  <si>
    <t>برنامه ریزی</t>
  </si>
  <si>
    <t>بودجه بندی</t>
  </si>
  <si>
    <t>نوع خرج</t>
  </si>
  <si>
    <t>نامشخص</t>
  </si>
  <si>
    <t>صحیح</t>
  </si>
  <si>
    <t>تراکنش‌ها</t>
  </si>
  <si>
    <t>زیر گروه</t>
  </si>
  <si>
    <t>افراد</t>
  </si>
  <si>
    <t>افراد (اعضا)</t>
  </si>
  <si>
    <t>علیرضا منعم (مالک)</t>
  </si>
  <si>
    <t>شماره حساب</t>
  </si>
  <si>
    <t>شماره کارت</t>
  </si>
  <si>
    <t>CVV2</t>
  </si>
  <si>
    <t>-</t>
  </si>
  <si>
    <t>ID</t>
  </si>
  <si>
    <t>نام حساب</t>
  </si>
  <si>
    <t>نوع حساب</t>
  </si>
  <si>
    <t>موجودی اولیه</t>
  </si>
  <si>
    <t>کد ملی</t>
  </si>
  <si>
    <t>شماره تماس</t>
  </si>
  <si>
    <t>آدرس ایمیل</t>
  </si>
  <si>
    <t>سایت اینترنتی</t>
  </si>
  <si>
    <t>آدرس محل کار</t>
  </si>
  <si>
    <t>آدرس منزل</t>
  </si>
  <si>
    <t>توضیحات</t>
  </si>
  <si>
    <t>Alirezamonem.ir</t>
  </si>
  <si>
    <t>تاریخ انقضاء کارت</t>
  </si>
  <si>
    <t>حساب نقدی (نقدینگی)</t>
  </si>
  <si>
    <t>حساب نقدی</t>
  </si>
  <si>
    <t>انفرادی از نوع قرض الحسنه</t>
  </si>
  <si>
    <t>نوع تراکنش</t>
  </si>
  <si>
    <t>انتقال</t>
  </si>
  <si>
    <t>اضافه</t>
  </si>
  <si>
    <t>مبلع دریافت شده از هر گروه درآمدی</t>
  </si>
  <si>
    <t>گزارش هزینه برای هر گروه پرداختی</t>
  </si>
  <si>
    <t>دریافت کننده - پرداخت کنندگان</t>
  </si>
  <si>
    <t>Accounts</t>
  </si>
  <si>
    <t>ReceiversAndPayers</t>
  </si>
  <si>
    <t>Accounts and ReceiversAndPayers</t>
  </si>
  <si>
    <t>دریافت کنندگان - پرداخت کنندگان</t>
  </si>
  <si>
    <t>Total</t>
  </si>
  <si>
    <t>گروه (درآمد/هزینه)</t>
  </si>
  <si>
    <t>روش تراکنش</t>
  </si>
  <si>
    <t>نقدی</t>
  </si>
  <si>
    <t>کارت به کارت</t>
  </si>
  <si>
    <t>انتقال وجه از شعبه بانک مربوطه</t>
  </si>
  <si>
    <t>کارت خوان</t>
  </si>
  <si>
    <t>خودپرداز</t>
  </si>
  <si>
    <t>تست</t>
  </si>
  <si>
    <t>نمونه</t>
  </si>
  <si>
    <t>مانده حساب‌ها</t>
  </si>
  <si>
    <t>کد گروه درآمدی</t>
  </si>
  <si>
    <t>گروه‌های اصلی درآمدی</t>
  </si>
  <si>
    <t>دستمزد</t>
  </si>
  <si>
    <t>فرادرس - آموزش برنامه نویسی مقدماتی Kotlin</t>
  </si>
  <si>
    <t>منفعت کسب</t>
  </si>
  <si>
    <t>سود فروش</t>
  </si>
  <si>
    <t>سود سرمایه‌گذاری</t>
  </si>
  <si>
    <t>دریافت وام</t>
  </si>
  <si>
    <t>تشویقی‌ها، جوایز و عیدی‌ها</t>
  </si>
  <si>
    <t>دریافت رهن و اجاره</t>
  </si>
  <si>
    <t>گروه‌های اصلی هزینه‌</t>
  </si>
  <si>
    <t>کد گروه هزینه</t>
  </si>
  <si>
    <t>نام گروه درآمد</t>
  </si>
  <si>
    <t>نام گروه هزینه</t>
  </si>
  <si>
    <t>یادگیری و توسعه فردی</t>
  </si>
  <si>
    <t>بهداشت و نظافت محیط</t>
  </si>
  <si>
    <t>بهداشت و نظافت فردی</t>
  </si>
  <si>
    <t>بیمه</t>
  </si>
  <si>
    <t>مالیات</t>
  </si>
  <si>
    <t>سفر و گردش</t>
  </si>
  <si>
    <t>هدیه و کادو</t>
  </si>
  <si>
    <t>پرداخت اقساط</t>
  </si>
  <si>
    <t>حساب پس انداز خرید خونه</t>
  </si>
  <si>
    <t>پس انداز خرید خودرو</t>
  </si>
  <si>
    <t>پس انداز سرمایه گذاری</t>
  </si>
  <si>
    <t>خوراکی‌ها و آشامیدنی‌ها</t>
  </si>
  <si>
    <t>بهداشت و درمان</t>
  </si>
  <si>
    <t>پوشاک و کفش</t>
  </si>
  <si>
    <t>ارتباطات</t>
  </si>
  <si>
    <t>دخانیات</t>
  </si>
  <si>
    <t>گروه‌های هزینه</t>
  </si>
  <si>
    <t>تاریخ روز:</t>
  </si>
  <si>
    <t>گروه‌های درآمد</t>
  </si>
  <si>
    <t>ایاب و ذهاب</t>
  </si>
  <si>
    <t>تاکسی اینترنتی (Maxim)</t>
  </si>
  <si>
    <t>تاکسی سرویس (آژانس)</t>
  </si>
  <si>
    <t>تاکسی (خطی)</t>
  </si>
  <si>
    <t>اتوبوس داخل شهری</t>
  </si>
  <si>
    <t>اتوبوس خارج از شهر</t>
  </si>
  <si>
    <t>قطار</t>
  </si>
  <si>
    <t>هواپیما</t>
  </si>
  <si>
    <t>وانت</t>
  </si>
  <si>
    <t>موتور سیکلت</t>
  </si>
  <si>
    <t>خودرو</t>
  </si>
  <si>
    <t>تعمین اجتماعی</t>
  </si>
  <si>
    <t>عمر</t>
  </si>
  <si>
    <t>منزل</t>
  </si>
  <si>
    <t>دوچرخه</t>
  </si>
  <si>
    <t>پارکینگ</t>
  </si>
  <si>
    <t>سوخت</t>
  </si>
  <si>
    <t>مالیات و بیمه</t>
  </si>
  <si>
    <t>نگهداریو تعمیر</t>
  </si>
  <si>
    <t>تیونینگ</t>
  </si>
  <si>
    <t>تنقلات</t>
  </si>
  <si>
    <t>خرید غذا - فروشگاه - خواربار فروشی</t>
  </si>
  <si>
    <t>صرف غذا - رستوران</t>
  </si>
  <si>
    <t>صرف غذا - فست فود</t>
  </si>
  <si>
    <t>تهیه نسخه</t>
  </si>
  <si>
    <t>چشم پزشکی</t>
  </si>
  <si>
    <t>حق پزشک</t>
  </si>
  <si>
    <t>دارو</t>
  </si>
  <si>
    <t>دندانسازی</t>
  </si>
  <si>
    <t>بهداشت دهان و دندان</t>
  </si>
  <si>
    <t>عطر و ادکلن</t>
  </si>
  <si>
    <t>مواد ضدعفونی بدن</t>
  </si>
  <si>
    <t>سلامت مو</t>
  </si>
  <si>
    <t>مواد شست و شو</t>
  </si>
  <si>
    <t>مواد ضد عفونی</t>
  </si>
  <si>
    <t>ماسک</t>
  </si>
  <si>
    <t>صورتحاب‌های مسکن</t>
  </si>
  <si>
    <t>اجاره</t>
  </si>
  <si>
    <t>آب</t>
  </si>
  <si>
    <t>برق</t>
  </si>
  <si>
    <t>تلفن</t>
  </si>
  <si>
    <t>گاز</t>
  </si>
  <si>
    <t>نگهداری و تعمیر</t>
  </si>
  <si>
    <t>کمیسون معامله</t>
  </si>
  <si>
    <t>خرید مسکن</t>
  </si>
  <si>
    <t>پول پیش اجاره یا رهن</t>
  </si>
  <si>
    <t>کت و شلوار</t>
  </si>
  <si>
    <t>کفش رسمی</t>
  </si>
  <si>
    <t>کفش نیمه رسمی</t>
  </si>
  <si>
    <t>کفش ورزشی</t>
  </si>
  <si>
    <t>فراغت و سرگرمی</t>
  </si>
  <si>
    <t>کتاب رمان و داستان</t>
  </si>
  <si>
    <t>انیمه، فیلم و سریال</t>
  </si>
  <si>
    <t>مانگا، مانهوا،مانها و ناول</t>
  </si>
  <si>
    <t>مجله و روزنامه</t>
  </si>
  <si>
    <t>ورزش</t>
  </si>
  <si>
    <t>خرید لوازم ورزشی</t>
  </si>
  <si>
    <t>اجاره لوازم ورزشی</t>
  </si>
  <si>
    <t>شهریه باشگاه</t>
  </si>
  <si>
    <t>غیره</t>
  </si>
  <si>
    <t>مالیات درآمد</t>
  </si>
  <si>
    <t>مالیات منزل</t>
  </si>
  <si>
    <t>اثاثیه منزل</t>
  </si>
  <si>
    <t>اقامتگاه</t>
  </si>
  <si>
    <t>هتل</t>
  </si>
  <si>
    <t>خواهران و برادران</t>
  </si>
  <si>
    <t>دوستان</t>
  </si>
  <si>
    <t>پدر و مادر</t>
  </si>
  <si>
    <t>همسر</t>
  </si>
  <si>
    <t>فرزندان</t>
  </si>
  <si>
    <t>همکاران</t>
  </si>
  <si>
    <t>آشنایان</t>
  </si>
  <si>
    <t>خیریه و امور فرهنگی</t>
  </si>
  <si>
    <t>اینترنت همراه</t>
  </si>
  <si>
    <t>تلفن همراه</t>
  </si>
  <si>
    <t>اینترنت ثابت</t>
  </si>
  <si>
    <t>اینترنت شبانه</t>
  </si>
  <si>
    <t>قطعات افزوده</t>
  </si>
  <si>
    <t>اقساط وام مرکز رشد</t>
  </si>
  <si>
    <t>کمک به یتیم خانه</t>
  </si>
  <si>
    <t>سیگار</t>
  </si>
  <si>
    <t>قلیان</t>
  </si>
  <si>
    <t>زیورآلات سرمایه</t>
  </si>
  <si>
    <t>طلا</t>
  </si>
  <si>
    <t>نقره</t>
  </si>
  <si>
    <t xml:space="preserve"> زیورآلات غیر سرمایه</t>
  </si>
  <si>
    <t>انگشتر فیک</t>
  </si>
  <si>
    <t xml:space="preserve"> سرمایه گذاری</t>
  </si>
  <si>
    <t xml:space="preserve"> مدرک و تحصیل</t>
  </si>
  <si>
    <t>کتاب‌های کمک درسی</t>
  </si>
  <si>
    <t>انگشتر فیروزه</t>
  </si>
  <si>
    <t>انگشتر عقیق</t>
  </si>
  <si>
    <t>پرداخت_هزینه</t>
  </si>
  <si>
    <t>خیریه_و_امور_فرهنگی</t>
  </si>
  <si>
    <t>ایاب_و_ذهاب</t>
  </si>
  <si>
    <t>بهداشت_و_درمان</t>
  </si>
  <si>
    <t>بهداشت_و_نظافت_فردی</t>
  </si>
  <si>
    <t>بهداشت_و_نظافت_محیط</t>
  </si>
  <si>
    <t>پرداخت_اقساط</t>
  </si>
  <si>
    <t>پوشاک_و_کفش</t>
  </si>
  <si>
    <t>خوراکی‌ها_و_آشامیدنی‌ها</t>
  </si>
  <si>
    <t>زیورآلات_سرمایه</t>
  </si>
  <si>
    <t>زیورآلات_غیرسرمایه</t>
  </si>
  <si>
    <t>سرمایه‌گذاری</t>
  </si>
  <si>
    <t>سفر_و_گردش</t>
  </si>
  <si>
    <t>فراغت_و_سرگرمی</t>
  </si>
  <si>
    <t>مدرک_و_تحصیل</t>
  </si>
  <si>
    <t>هدیه</t>
  </si>
  <si>
    <t>یادگیری_و_توسعه_فردی</t>
  </si>
  <si>
    <t>دوره‌های توسعه فردی</t>
  </si>
  <si>
    <t>کتاب‌های توسعه فردی</t>
  </si>
  <si>
    <t>کارگاه‌های توسعه فردی</t>
  </si>
  <si>
    <t>صورتحساب‌های_مسکن</t>
  </si>
  <si>
    <t>دستبند فیک</t>
  </si>
  <si>
    <t>سایت شخصی</t>
  </si>
  <si>
    <t>شهریه دانشگاه</t>
  </si>
  <si>
    <t>دریافت_درآمد</t>
  </si>
  <si>
    <t>درگاه پرداخت اینترنتی</t>
  </si>
  <si>
    <t>حقوق</t>
  </si>
  <si>
    <t>سود_سرمایه‌گذاری</t>
  </si>
  <si>
    <t>دریافت_رهن_و_اجاره</t>
  </si>
  <si>
    <t>دریافت_وام</t>
  </si>
  <si>
    <t>منفعت_کسب</t>
  </si>
  <si>
    <t>عیدی سال نو</t>
  </si>
  <si>
    <t>عیدی عید فطر</t>
  </si>
  <si>
    <t>تشویقی‌ها_جوایز_و_عیدی‌ها</t>
  </si>
  <si>
    <t>پول تو جیبی از پدر و مادر</t>
  </si>
  <si>
    <t>درآمد_متفرقه</t>
  </si>
  <si>
    <t>درآمد متفرقه</t>
  </si>
  <si>
    <t>شرکت</t>
  </si>
  <si>
    <t>طرح بانکی</t>
  </si>
  <si>
    <t>وام بانک X</t>
  </si>
  <si>
    <t>۱۱۱</t>
  </si>
  <si>
    <t xml:space="preserve">حساب روزمره </t>
  </si>
  <si>
    <t>حساب پس‌انداز</t>
  </si>
  <si>
    <t xml:space="preserve">بانک </t>
  </si>
  <si>
    <t xml:space="preserve">پدر </t>
  </si>
  <si>
    <t>مادر</t>
  </si>
  <si>
    <t>هسته تحقیقاتی</t>
  </si>
  <si>
    <t>مرکز رشد و فناوری</t>
  </si>
  <si>
    <t xml:space="preserve">مغازه </t>
  </si>
  <si>
    <t xml:space="preserve">محمد </t>
  </si>
  <si>
    <t xml:space="preserve">سید </t>
  </si>
  <si>
    <t xml:space="preserve"> پور</t>
  </si>
  <si>
    <t>یاشار</t>
  </si>
  <si>
    <t xml:space="preserve">حسین </t>
  </si>
  <si>
    <t>جمع دریافتی</t>
  </si>
  <si>
    <t>جمع پرداختی</t>
  </si>
  <si>
    <t>مانده</t>
  </si>
  <si>
    <t>وضعیت فعلی</t>
  </si>
  <si>
    <t>مجموع کل انتقال‌ها: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</si>
</sst>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(&quot;$&quot;* #,##0.00_);_(&quot;$&quot;* \(#,##0.00\);_(&quot;$&quot;* &quot;-&quot;??_);_(@_)"/>
    <numFmt numFmtId="164" formatCode="[$-3000401]0"/>
    <numFmt numFmtId="165" formatCode="#,##0_-[$ريال-429]"/>
    <numFmt numFmtId="166" formatCode="[$-160429]dddd\,\ d\ mmmm\ yyyy;@"/>
    <numFmt numFmtId="167" formatCode="[$-960429]dddd\,\ d\ mmmm\ yyyy;@"/>
    <numFmt numFmtId="168" formatCode="_ * #,##0_-[$ريال-429]_ ;_ * #,##0\-[$ريال-429]_ ;_ * &quot;-&quot;_-[$ريال-429]_ ;_ @_ "/>
  </numFmts>
  <fonts count="1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16" fillId="0" borderId="0" applyFont="0" applyFill="0" applyBorder="0" applyAlignment="0" applyProtection="0"/>
  </cellStyleXfs>
  <cellXfs count="127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wrapText="1"/>
    </xf>
    <xf numFmtId="164" fontId="0" fillId="0" borderId="0" xfId="0" applyNumberFormat="1"/>
    <xf numFmtId="0" fontId="2" fillId="0" borderId="0" xfId="1"/>
    <xf numFmtId="0" fontId="0" fillId="0" borderId="0" xfId="0" applyProtection="1">
      <protection locked="0"/>
    </xf>
    <xf numFmtId="0" fontId="0" fillId="11" borderId="0" xfId="0" applyFill="1" applyProtection="1"/>
    <xf numFmtId="0" fontId="4" fillId="12" borderId="0" xfId="0" applyFont="1" applyFill="1" applyAlignment="1" applyProtection="1">
      <alignment horizontal="center" vertical="center"/>
    </xf>
    <xf numFmtId="0" fontId="4" fillId="15" borderId="0" xfId="0" applyFont="1" applyFill="1" applyAlignment="1" applyProtection="1">
      <alignment horizontal="center" vertical="center"/>
    </xf>
    <xf numFmtId="0" fontId="3" fillId="11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7" borderId="0" xfId="1" applyFont="1" applyFill="1" applyBorder="1" applyAlignment="1" applyProtection="1">
      <alignment horizontal="center" vertical="center"/>
    </xf>
    <xf numFmtId="0" fontId="5" fillId="2" borderId="0" xfId="1" applyFont="1" applyFill="1" applyBorder="1" applyAlignment="1" applyProtection="1">
      <alignment horizontal="center" vertical="center"/>
    </xf>
    <xf numFmtId="0" fontId="5" fillId="5" borderId="0" xfId="1" applyFont="1" applyFill="1" applyBorder="1" applyAlignment="1" applyProtection="1">
      <alignment horizontal="center" vertical="center"/>
    </xf>
    <xf numFmtId="0" fontId="5" fillId="6" borderId="0" xfId="1" applyFont="1" applyFill="1" applyBorder="1" applyAlignment="1" applyProtection="1">
      <alignment horizontal="center" vertical="center"/>
    </xf>
    <xf numFmtId="0" fontId="5" fillId="9" borderId="0" xfId="1" applyFont="1" applyFill="1" applyBorder="1" applyAlignment="1" applyProtection="1">
      <alignment horizontal="center" vertical="center"/>
    </xf>
    <xf numFmtId="0" fontId="6" fillId="10" borderId="0" xfId="1" applyFont="1" applyFill="1" applyBorder="1" applyAlignment="1" applyProtection="1">
      <alignment horizontal="center" vertical="center"/>
    </xf>
    <xf numFmtId="0" fontId="5" fillId="14" borderId="0" xfId="1" applyFont="1" applyFill="1" applyBorder="1" applyAlignment="1" applyProtection="1">
      <alignment horizontal="center" vertical="center"/>
    </xf>
    <xf numFmtId="1" fontId="9" fillId="11" borderId="0" xfId="0" applyNumberFormat="1" applyFont="1" applyFill="1" applyAlignment="1" applyProtection="1">
      <alignment horizontal="center" vertical="center"/>
    </xf>
    <xf numFmtId="1" fontId="9" fillId="0" borderId="0" xfId="0" applyNumberFormat="1" applyFont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</xf>
    <xf numFmtId="165" fontId="0" fillId="11" borderId="0" xfId="0" applyNumberFormat="1" applyFill="1" applyProtection="1"/>
    <xf numFmtId="165" fontId="3" fillId="11" borderId="0" xfId="0" applyNumberFormat="1" applyFont="1" applyFill="1" applyAlignment="1" applyProtection="1">
      <alignment horizontal="center" vertical="center"/>
    </xf>
    <xf numFmtId="165" fontId="4" fillId="0" borderId="0" xfId="0" applyNumberFormat="1" applyFont="1" applyAlignment="1" applyProtection="1">
      <alignment horizontal="center" vertical="center"/>
    </xf>
    <xf numFmtId="165" fontId="0" fillId="0" borderId="0" xfId="0" applyNumberFormat="1" applyProtection="1">
      <protection locked="0"/>
    </xf>
    <xf numFmtId="0" fontId="5" fillId="16" borderId="0" xfId="1" applyNumberFormat="1" applyFont="1" applyFill="1" applyAlignment="1" applyProtection="1">
      <alignment horizontal="center" vertical="center"/>
      <protection locked="0"/>
    </xf>
    <xf numFmtId="0" fontId="3" fillId="11" borderId="0" xfId="0" applyNumberFormat="1" applyFont="1" applyFill="1" applyAlignment="1" applyProtection="1">
      <alignment horizontal="center" vertical="center"/>
    </xf>
    <xf numFmtId="165" fontId="9" fillId="0" borderId="0" xfId="0" applyNumberFormat="1" applyFont="1" applyAlignment="1" applyProtection="1">
      <alignment horizontal="center" vertical="center" wrapText="1" readingOrder="2"/>
      <protection locked="0"/>
    </xf>
    <xf numFmtId="1" fontId="9" fillId="0" borderId="0" xfId="0" applyNumberFormat="1" applyFont="1" applyAlignment="1" applyProtection="1">
      <alignment horizontal="center" vertical="center" wrapText="1" readingOrder="2"/>
      <protection locked="0"/>
    </xf>
    <xf numFmtId="0" fontId="9" fillId="0" borderId="0" xfId="0" applyFont="1" applyAlignment="1" applyProtection="1">
      <alignment horizontal="center" vertical="center" wrapText="1" readingOrder="2"/>
      <protection locked="0"/>
    </xf>
    <xf numFmtId="49" fontId="0" fillId="11" borderId="0" xfId="0" applyNumberFormat="1" applyFill="1" applyProtection="1"/>
    <xf numFmtId="49" fontId="3" fillId="11" borderId="0" xfId="0" applyNumberFormat="1" applyFont="1" applyFill="1" applyAlignment="1" applyProtection="1">
      <alignment horizontal="center" vertical="center"/>
    </xf>
    <xf numFmtId="49" fontId="4" fillId="0" borderId="0" xfId="0" applyNumberFormat="1" applyFont="1" applyAlignment="1" applyProtection="1">
      <alignment horizontal="center" vertical="center"/>
    </xf>
    <xf numFmtId="49" fontId="9" fillId="0" borderId="0" xfId="0" applyNumberFormat="1" applyFont="1" applyAlignment="1" applyProtection="1">
      <alignment horizontal="center" vertical="center" wrapText="1" readingOrder="2"/>
      <protection locked="0"/>
    </xf>
    <xf numFmtId="49" fontId="0" fillId="0" borderId="0" xfId="0" applyNumberFormat="1" applyProtection="1">
      <protection locked="0"/>
    </xf>
    <xf numFmtId="0" fontId="5" fillId="8" borderId="0" xfId="1" applyNumberFormat="1" applyFont="1" applyFill="1" applyBorder="1" applyAlignment="1" applyProtection="1">
      <alignment horizontal="center" vertical="center"/>
    </xf>
    <xf numFmtId="0" fontId="0" fillId="11" borderId="0" xfId="0" applyNumberFormat="1" applyFill="1" applyProtection="1"/>
    <xf numFmtId="0" fontId="5" fillId="17" borderId="0" xfId="1" applyFont="1" applyFill="1" applyAlignment="1">
      <alignment horizontal="center" vertical="center"/>
    </xf>
    <xf numFmtId="0" fontId="5" fillId="6" borderId="0" xfId="1" applyNumberFormat="1" applyFont="1" applyFill="1" applyBorder="1" applyAlignment="1" applyProtection="1">
      <alignment horizontal="center" vertical="center"/>
    </xf>
    <xf numFmtId="0" fontId="4" fillId="13" borderId="0" xfId="0" applyNumberFormat="1" applyFont="1" applyFill="1" applyAlignment="1" applyProtection="1">
      <alignment horizontal="center" vertical="center"/>
    </xf>
    <xf numFmtId="0" fontId="4" fillId="0" borderId="0" xfId="0" applyNumberFormat="1" applyFont="1" applyAlignment="1" applyProtection="1">
      <alignment horizontal="center" vertical="center"/>
    </xf>
    <xf numFmtId="0" fontId="9" fillId="0" borderId="0" xfId="0" applyNumberFormat="1" applyFont="1" applyAlignment="1" applyProtection="1">
      <alignment horizontal="center" vertical="center" wrapText="1" readingOrder="2"/>
      <protection locked="0"/>
    </xf>
    <xf numFmtId="0" fontId="0" fillId="0" borderId="0" xfId="0" applyNumberFormat="1" applyProtection="1">
      <protection locked="0"/>
    </xf>
    <xf numFmtId="0" fontId="0" fillId="11" borderId="0" xfId="0" applyFill="1"/>
    <xf numFmtId="0" fontId="9" fillId="0" borderId="0" xfId="0" applyFont="1" applyAlignment="1">
      <alignment horizontal="center" vertical="center" readingOrder="2"/>
    </xf>
    <xf numFmtId="0" fontId="9" fillId="0" borderId="0" xfId="0" applyFont="1" applyAlignment="1">
      <alignment horizontal="center" vertical="center" wrapText="1" readingOrder="2"/>
    </xf>
    <xf numFmtId="0" fontId="4" fillId="0" borderId="0" xfId="0" applyFont="1" applyAlignment="1">
      <alignment horizontal="center" vertical="center" wrapText="1" readingOrder="2"/>
    </xf>
    <xf numFmtId="49" fontId="9" fillId="0" borderId="0" xfId="0" applyNumberFormat="1" applyFont="1" applyAlignment="1">
      <alignment horizontal="center" vertical="center" wrapText="1" readingOrder="2"/>
    </xf>
    <xf numFmtId="49" fontId="2" fillId="0" borderId="0" xfId="1" applyNumberFormat="1" applyFont="1" applyAlignment="1">
      <alignment horizontal="center" vertical="center" wrapText="1" readingOrder="2"/>
    </xf>
    <xf numFmtId="0" fontId="8" fillId="0" borderId="0" xfId="0" applyFont="1" applyAlignment="1">
      <alignment horizontal="center" vertical="center" wrapText="1" readingOrder="2"/>
    </xf>
    <xf numFmtId="0" fontId="10" fillId="0" borderId="0" xfId="0" applyFont="1" applyAlignment="1">
      <alignment horizontal="center" vertical="center" wrapText="1" readingOrder="2"/>
    </xf>
    <xf numFmtId="165" fontId="8" fillId="0" borderId="0" xfId="0" applyNumberFormat="1" applyFont="1" applyAlignment="1">
      <alignment horizontal="center" vertical="center" wrapText="1" readingOrder="2"/>
    </xf>
    <xf numFmtId="165" fontId="9" fillId="0" borderId="0" xfId="0" applyNumberFormat="1" applyFont="1" applyAlignment="1">
      <alignment horizontal="center" vertical="center" wrapText="1" readingOrder="2"/>
    </xf>
    <xf numFmtId="0" fontId="11" fillId="0" borderId="0" xfId="0" applyFont="1" applyAlignment="1">
      <alignment horizontal="center" vertical="center" wrapText="1" readingOrder="2"/>
    </xf>
    <xf numFmtId="49" fontId="11" fillId="0" borderId="0" xfId="0" applyNumberFormat="1" applyFont="1" applyAlignment="1">
      <alignment horizontal="center" vertical="center" wrapText="1" readingOrder="2"/>
    </xf>
    <xf numFmtId="49" fontId="8" fillId="0" borderId="0" xfId="0" applyNumberFormat="1" applyFont="1" applyAlignment="1">
      <alignment horizontal="center" vertical="center" wrapText="1" readingOrder="2"/>
    </xf>
    <xf numFmtId="49" fontId="1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readingOrder="2"/>
    </xf>
    <xf numFmtId="0" fontId="8" fillId="18" borderId="0" xfId="0" applyFont="1" applyFill="1" applyAlignment="1">
      <alignment horizontal="center" vertical="center" readingOrder="2"/>
    </xf>
    <xf numFmtId="0" fontId="0" fillId="0" borderId="0" xfId="0" applyNumberFormat="1"/>
    <xf numFmtId="0" fontId="12" fillId="0" borderId="0" xfId="0" applyFont="1" applyAlignment="1">
      <alignment horizontal="center" vertical="center" wrapText="1" readingOrder="2"/>
    </xf>
    <xf numFmtId="49" fontId="13" fillId="0" borderId="0" xfId="0" applyNumberFormat="1" applyFont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 readingOrder="2"/>
    </xf>
    <xf numFmtId="0" fontId="0" fillId="0" borderId="0" xfId="0" applyNumberFormat="1" applyFont="1" applyAlignment="1">
      <alignment horizontal="center" vertical="center" wrapText="1" readingOrder="2"/>
    </xf>
    <xf numFmtId="0" fontId="9" fillId="0" borderId="0" xfId="0" applyFont="1" applyAlignment="1">
      <alignment horizontal="center" vertical="center"/>
    </xf>
    <xf numFmtId="0" fontId="4" fillId="0" borderId="0" xfId="0" applyFont="1" applyAlignment="1" applyProtection="1">
      <alignment horizontal="center" vertical="center" wrapText="1" readingOrder="2"/>
      <protection locked="0"/>
    </xf>
    <xf numFmtId="49" fontId="0" fillId="0" borderId="0" xfId="0" applyNumberFormat="1" applyFont="1" applyAlignment="1" applyProtection="1">
      <alignment horizontal="center" vertical="center" wrapText="1" readingOrder="2"/>
      <protection locked="0"/>
    </xf>
    <xf numFmtId="0" fontId="0" fillId="0" borderId="0" xfId="0" applyProtection="1"/>
    <xf numFmtId="0" fontId="10" fillId="20" borderId="0" xfId="0" applyFont="1" applyFill="1" applyAlignment="1">
      <alignment horizontal="center" vertical="center" wrapText="1" readingOrder="2"/>
    </xf>
    <xf numFmtId="0" fontId="11" fillId="20" borderId="0" xfId="0" applyFont="1" applyFill="1" applyAlignment="1">
      <alignment horizontal="center" vertical="center" wrapText="1"/>
    </xf>
    <xf numFmtId="0" fontId="11" fillId="20" borderId="0" xfId="0" applyFont="1" applyFill="1" applyAlignment="1">
      <alignment horizontal="center" vertical="center" wrapText="1" readingOrder="2"/>
    </xf>
    <xf numFmtId="0" fontId="9" fillId="20" borderId="0" xfId="0" applyFont="1" applyFill="1" applyAlignment="1">
      <alignment horizontal="center" vertical="center" wrapText="1" readingOrder="2"/>
    </xf>
    <xf numFmtId="0" fontId="7" fillId="0" borderId="0" xfId="0" applyFont="1" applyAlignment="1" applyProtection="1">
      <alignment horizontal="center" vertical="center"/>
    </xf>
    <xf numFmtId="0" fontId="0" fillId="0" borderId="0" xfId="0" applyAlignment="1">
      <alignment wrapText="1"/>
    </xf>
    <xf numFmtId="0" fontId="0" fillId="11" borderId="0" xfId="0" applyFill="1" applyAlignment="1">
      <alignment wrapText="1"/>
    </xf>
    <xf numFmtId="0" fontId="0" fillId="11" borderId="0" xfId="0" applyFill="1" applyAlignment="1">
      <alignment horizontal="center" vertical="center"/>
    </xf>
    <xf numFmtId="0" fontId="5" fillId="11" borderId="0" xfId="1" applyFont="1" applyFill="1" applyAlignment="1">
      <alignment vertical="center"/>
    </xf>
    <xf numFmtId="167" fontId="9" fillId="0" borderId="0" xfId="0" applyNumberFormat="1" applyFont="1" applyAlignment="1" applyProtection="1">
      <alignment horizontal="center" vertical="center" wrapText="1" readingOrder="2"/>
      <protection locked="0"/>
    </xf>
    <xf numFmtId="0" fontId="5" fillId="6" borderId="0" xfId="1" applyNumberFormat="1" applyFont="1" applyFill="1" applyAlignment="1" applyProtection="1">
      <alignment horizontal="center" vertical="center"/>
    </xf>
    <xf numFmtId="0" fontId="4" fillId="11" borderId="0" xfId="0" applyFont="1" applyFill="1" applyAlignment="1" applyProtection="1">
      <alignment horizontal="center" vertical="center"/>
    </xf>
    <xf numFmtId="0" fontId="4" fillId="11" borderId="0" xfId="0" applyNumberFormat="1" applyFont="1" applyFill="1" applyAlignment="1" applyProtection="1">
      <alignment horizontal="center" vertical="center"/>
    </xf>
    <xf numFmtId="0" fontId="5" fillId="11" borderId="0" xfId="1" applyNumberFormat="1" applyFont="1" applyFill="1" applyAlignment="1" applyProtection="1">
      <alignment horizontal="center" vertical="center"/>
    </xf>
    <xf numFmtId="0" fontId="5" fillId="11" borderId="0" xfId="1" applyFont="1" applyFill="1" applyAlignment="1" applyProtection="1">
      <alignment horizontal="center" vertical="center" wrapText="1"/>
    </xf>
    <xf numFmtId="0" fontId="4" fillId="22" borderId="0" xfId="0" applyFont="1" applyFill="1" applyAlignment="1" applyProtection="1">
      <alignment horizontal="center" vertical="center"/>
    </xf>
    <xf numFmtId="0" fontId="0" fillId="11" borderId="0" xfId="0" applyFill="1" applyProtection="1">
      <protection locked="0"/>
    </xf>
    <xf numFmtId="166" fontId="4" fillId="22" borderId="0" xfId="0" applyNumberFormat="1" applyFont="1" applyFill="1" applyAlignment="1" applyProtection="1">
      <alignment horizontal="center" vertical="center"/>
    </xf>
    <xf numFmtId="165" fontId="0" fillId="11" borderId="0" xfId="0" applyNumberFormat="1" applyFill="1" applyProtection="1">
      <protection locked="0"/>
    </xf>
    <xf numFmtId="0" fontId="5" fillId="23" borderId="0" xfId="1" applyFont="1" applyFill="1" applyAlignment="1" applyProtection="1">
      <alignment horizontal="center" vertical="center" wrapText="1"/>
    </xf>
    <xf numFmtId="0" fontId="0" fillId="0" borderId="0" xfId="0" applyAlignment="1">
      <alignment horizontal="right" vertical="center" wrapText="1" readingOrder="2"/>
    </xf>
    <xf numFmtId="0" fontId="9" fillId="0" borderId="0" xfId="0" applyFont="1" applyAlignment="1">
      <alignment horizontal="right" vertical="center" wrapText="1" readingOrder="2"/>
    </xf>
    <xf numFmtId="0" fontId="0" fillId="24" borderId="0" xfId="0" applyFill="1"/>
    <xf numFmtId="0" fontId="9" fillId="24" borderId="0" xfId="0" applyFont="1" applyFill="1" applyAlignment="1">
      <alignment horizontal="center" vertical="center" wrapText="1" readingOrder="2"/>
    </xf>
    <xf numFmtId="0" fontId="9" fillId="11" borderId="0" xfId="0" applyFont="1" applyFill="1" applyAlignment="1">
      <alignment horizontal="center" vertical="center" wrapText="1" readingOrder="2"/>
    </xf>
    <xf numFmtId="0" fontId="14" fillId="24" borderId="0" xfId="0" applyFont="1" applyFill="1" applyAlignment="1">
      <alignment horizontal="center" vertical="center" wrapText="1" readingOrder="2"/>
    </xf>
    <xf numFmtId="0" fontId="0" fillId="24" borderId="0" xfId="0" applyFill="1" applyAlignment="1">
      <alignment wrapText="1"/>
    </xf>
    <xf numFmtId="0" fontId="15" fillId="0" borderId="0" xfId="0" applyFont="1" applyAlignment="1">
      <alignment horizontal="center" vertical="center" wrapText="1" readingOrder="2"/>
    </xf>
    <xf numFmtId="0" fontId="0" fillId="0" borderId="0" xfId="0" applyAlignment="1">
      <alignment horizontal="center" vertical="center" readingOrder="2"/>
    </xf>
    <xf numFmtId="0" fontId="0" fillId="0" borderId="0" xfId="0" applyAlignment="1">
      <alignment horizontal="center" vertical="center" wrapText="1" readingOrder="2"/>
    </xf>
    <xf numFmtId="0" fontId="0" fillId="0" borderId="0" xfId="0" applyFill="1" applyBorder="1" applyAlignment="1">
      <alignment horizontal="center" vertical="center" wrapText="1" readingOrder="2"/>
    </xf>
    <xf numFmtId="164" fontId="9" fillId="0" borderId="0" xfId="0" applyNumberFormat="1" applyFont="1" applyAlignment="1">
      <alignment horizontal="center" vertical="center" wrapText="1" readingOrder="2"/>
    </xf>
    <xf numFmtId="49" fontId="1" fillId="25" borderId="2" xfId="0" applyNumberFormat="1" applyFont="1" applyFill="1" applyBorder="1" applyAlignment="1">
      <alignment horizontal="center" vertical="center"/>
    </xf>
    <xf numFmtId="0" fontId="8" fillId="25" borderId="2" xfId="0" applyFont="1" applyFill="1" applyBorder="1" applyAlignment="1">
      <alignment horizontal="center" vertical="center"/>
    </xf>
    <xf numFmtId="49" fontId="8" fillId="25" borderId="2" xfId="0" applyNumberFormat="1" applyFont="1" applyFill="1" applyBorder="1" applyAlignment="1">
      <alignment horizontal="center" vertical="center"/>
    </xf>
    <xf numFmtId="0" fontId="8" fillId="25" borderId="2" xfId="0" applyNumberFormat="1" applyFont="1" applyFill="1" applyBorder="1" applyAlignment="1">
      <alignment horizontal="center" vertical="center"/>
    </xf>
    <xf numFmtId="0" fontId="1" fillId="25" borderId="2" xfId="0" applyFont="1" applyFill="1" applyBorder="1" applyAlignment="1">
      <alignment horizontal="center" vertical="center"/>
    </xf>
    <xf numFmtId="165" fontId="8" fillId="25" borderId="2" xfId="0" applyNumberFormat="1" applyFont="1" applyFill="1" applyBorder="1" applyAlignment="1">
      <alignment horizontal="center" vertical="center"/>
    </xf>
    <xf numFmtId="1" fontId="9" fillId="26" borderId="3" xfId="0" applyNumberFormat="1" applyFont="1" applyFill="1" applyBorder="1" applyAlignment="1">
      <alignment horizontal="center" vertical="center" wrapText="1" readingOrder="2"/>
    </xf>
    <xf numFmtId="0" fontId="9" fillId="26" borderId="3" xfId="0" applyFont="1" applyFill="1" applyBorder="1" applyAlignment="1">
      <alignment horizontal="center" vertical="center" wrapText="1" readingOrder="2"/>
    </xf>
    <xf numFmtId="167" fontId="9" fillId="26" borderId="3" xfId="0" applyNumberFormat="1" applyFont="1" applyFill="1" applyBorder="1" applyAlignment="1">
      <alignment horizontal="center" vertical="center" wrapText="1" readingOrder="2"/>
    </xf>
    <xf numFmtId="49" fontId="9" fillId="26" borderId="3" xfId="0" applyNumberFormat="1" applyFont="1" applyFill="1" applyBorder="1" applyAlignment="1">
      <alignment horizontal="center" vertical="center" wrapText="1" readingOrder="2"/>
    </xf>
    <xf numFmtId="0" fontId="9" fillId="26" borderId="3" xfId="0" applyNumberFormat="1" applyFont="1" applyFill="1" applyBorder="1" applyAlignment="1">
      <alignment horizontal="center" vertical="center" wrapText="1" readingOrder="2"/>
    </xf>
    <xf numFmtId="165" fontId="9" fillId="26" borderId="3" xfId="0" applyNumberFormat="1" applyFont="1" applyFill="1" applyBorder="1" applyAlignment="1">
      <alignment horizontal="center" vertical="center" wrapText="1" readingOrder="2"/>
    </xf>
    <xf numFmtId="1" fontId="9" fillId="0" borderId="3" xfId="0" applyNumberFormat="1" applyFont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wrapText="1" readingOrder="2"/>
    </xf>
    <xf numFmtId="167" fontId="9" fillId="0" borderId="3" xfId="0" applyNumberFormat="1" applyFont="1" applyBorder="1" applyAlignment="1">
      <alignment horizontal="center" vertical="center" wrapText="1" readingOrder="2"/>
    </xf>
    <xf numFmtId="49" fontId="9" fillId="0" borderId="3" xfId="0" applyNumberFormat="1" applyFont="1" applyBorder="1" applyAlignment="1">
      <alignment horizontal="center" vertical="center" wrapText="1" readingOrder="2"/>
    </xf>
    <xf numFmtId="0" fontId="9" fillId="0" borderId="3" xfId="0" applyNumberFormat="1" applyFont="1" applyBorder="1" applyAlignment="1">
      <alignment horizontal="center" vertical="center" wrapText="1" readingOrder="2"/>
    </xf>
    <xf numFmtId="165" fontId="9" fillId="0" borderId="3" xfId="0" applyNumberFormat="1" applyFont="1" applyBorder="1" applyAlignment="1">
      <alignment horizontal="center" vertical="center" wrapText="1" readingOrder="2"/>
    </xf>
    <xf numFmtId="0" fontId="5" fillId="19" borderId="0" xfId="1" applyFont="1" applyFill="1" applyAlignment="1" applyProtection="1">
      <alignment horizontal="center" vertical="center" wrapText="1"/>
    </xf>
    <xf numFmtId="49" fontId="8" fillId="21" borderId="0" xfId="0" applyNumberFormat="1" applyFont="1" applyFill="1" applyAlignment="1">
      <alignment horizontal="center" vertical="center" wrapText="1" readingOrder="2"/>
    </xf>
    <xf numFmtId="0" fontId="8" fillId="20" borderId="0" xfId="0" applyFont="1" applyFill="1" applyAlignment="1">
      <alignment horizontal="center" vertical="center" wrapText="1" readingOrder="2"/>
    </xf>
    <xf numFmtId="168" fontId="0" fillId="0" borderId="0" xfId="2" applyNumberFormat="1" applyFont="1" applyProtection="1">
      <protection locked="0"/>
    </xf>
    <xf numFmtId="165" fontId="11" fillId="0" borderId="0" xfId="0" applyNumberFormat="1" applyFont="1" applyAlignment="1">
      <alignment horizontal="center" vertical="center" wrapText="1" readingOrder="2"/>
    </xf>
    <xf numFmtId="165" fontId="11" fillId="0" borderId="0" xfId="0" applyNumberFormat="1" applyFont="1" applyFill="1" applyAlignment="1">
      <alignment horizontal="center" vertical="center" wrapText="1" readingOrder="2"/>
    </xf>
    <xf numFmtId="165" fontId="4" fillId="13" borderId="0" xfId="0" applyNumberFormat="1" applyFont="1" applyFill="1" applyAlignment="1" applyProtection="1">
      <alignment horizontal="center" vertical="center" wrapText="1" readingOrder="2"/>
    </xf>
    <xf numFmtId="165" fontId="4" fillId="15" borderId="0" xfId="0" applyNumberFormat="1" applyFont="1" applyFill="1" applyAlignment="1" applyProtection="1">
      <alignment horizontal="center" vertical="center" wrapText="1" readingOrder="2"/>
    </xf>
    <xf numFmtId="165" fontId="4" fillId="12" borderId="0" xfId="0" applyNumberFormat="1" applyFont="1" applyFill="1" applyAlignment="1" applyProtection="1">
      <alignment horizontal="center" vertical="center" wrapText="1" readingOrder="2"/>
    </xf>
  </cellXfs>
  <cellStyles count="3">
    <cellStyle name="Currency" xfId="2" builtinId="4"/>
    <cellStyle name="Hyperlink" xfId="1" builtinId="8"/>
    <cellStyle name="Normal" xfId="0" builtinId="0"/>
  </cellStyles>
  <dxfs count="16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0" formatCode="General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1" indent="0" justifyLastLine="0" shrinkToFit="0" readingOrder="2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indexed="64"/>
          <bgColor theme="4" tint="-0.499984740745262"/>
        </patternFill>
      </fill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/>
        <vertAlign val="baseline"/>
        <sz val="11"/>
        <color theme="10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alignment horizontal="right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indent="0" justifyLastLine="0" shrinkToFit="0" readingOrder="2"/>
    </dxf>
    <dxf>
      <alignment horizontal="center" vertical="center" textRotation="0" indent="0" justifyLastLine="0" shrinkToFit="0" readingOrder="2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#,##0_-[$ريال-429]"/>
      <alignment horizontal="center" vertical="center" textRotation="0" wrapText="1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7" formatCode="[$-960429]dddd\,\ d\ mmmm\ yyyy;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name="ExternalData_1" connectionId="2" autoFormatId="0" applyNumberFormats="0" applyBorderFormats="0" applyFontFormats="1" applyPatternFormats="1" applyAlignmentFormats="0" applyWidthHeightFormats="0">
  <queryTableRefresh preserveSortFilterLayout="0" nextId="4" unboundColumnsRight="1">
    <queryTableFields count="3">
      <queryTableField id="1" name="Accounts" tableColumnId="4"/>
      <queryTableField id="2" name="ReceiversAndPayers" tableColumnId="5"/>
      <queryTableField id="3" dataBound="0" tableColumnId="6"/>
    </queryTableFields>
  </queryTableRefresh>
</queryTable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3" name="Tarakonesh" displayName="Tarakonesh" ref="A7:N507" totalsRowShown="0" headerRowDxfId="164" dataDxfId="163">
  <autoFilter ref="A7:N507"/>
  <tableColumns count="14">
    <tableColumn id="1" name="ردیف" dataDxfId="162"/>
    <tableColumn id="2" name="افراد (اعضا)" dataDxfId="161"/>
    <tableColumn id="4" name="تاریخ" dataDxfId="160"/>
    <tableColumn id="5" name="عنوان" dataDxfId="159"/>
    <tableColumn id="14" name="تراکنش" dataDxfId="158"/>
    <tableColumn id="6" name="گروه (درآمد/هزینه)" dataDxfId="157"/>
    <tableColumn id="7" name="زیر گروه" dataDxfId="156"/>
    <tableColumn id="3" name="روش تراکنش" dataDxfId="155"/>
    <tableColumn id="8" name="مبلغ (ریال)" dataDxfId="154"/>
    <tableColumn id="9" name="پرداخت کننده" dataDxfId="153"/>
    <tableColumn id="10" name="دریافت کننده" dataDxfId="152"/>
    <tableColumn id="11" name="مانده حساب‌ها" dataDxfId="151"/>
    <tableColumn id="12" name="نوع خرج" dataDxfId="150"/>
    <tableColumn id="13" name="شرح" dataDxfId="14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id="10" name="RevenueGroupTable" displayName="RevenueGroupTable" ref="A4:B12" totalsRowShown="0" headerRowDxfId="148" dataDxfId="147">
  <autoFilter ref="A4:B12"/>
  <tableColumns count="2">
    <tableColumn id="1" name="کد گروه درآمدی" dataDxfId="146"/>
    <tableColumn id="2" name="نام گروه درآمد" dataDxfId="145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id="11" name="SalaryTable" displayName="SalaryTable" ref="F5:F6" totalsRowShown="0" headerRowDxfId="144" dataDxfId="143">
  <autoFilter ref="F5:F6"/>
  <tableColumns count="1">
    <tableColumn id="1" name="دستمزد" dataDxfId="14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id="12" name="ProfitOfAcquisitionTable" displayName="ProfitOfAcquisitionTable" ref="H5:H6" totalsRowShown="0" headerRowDxfId="141" dataDxfId="140">
  <autoFilter ref="H5:H6"/>
  <tableColumns count="1">
    <tableColumn id="1" name="منفعت کسب" dataDxfId="13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13" name="ProfitableInvestmentTable" displayName="ProfitableInvestmentTable" ref="J5:J6" totalsRowShown="0" headerRowDxfId="138" dataDxfId="137">
  <autoFilter ref="J5:J6"/>
  <tableColumns count="1">
    <tableColumn id="1" name="سود سرمایه‌گذاری" dataDxfId="136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15" name="IncentivesPrizesAndFeastsTable" displayName="IncentivesPrizesAndFeastsTable" ref="L5:L8" totalsRowShown="0" headerRowDxfId="135" dataDxfId="134">
  <autoFilter ref="L5:L8"/>
  <sortState ref="L6:L8">
    <sortCondition ref="L5:L8"/>
  </sortState>
  <tableColumns count="1">
    <tableColumn id="1" name="تشویقی‌ها، جوایز و عیدی‌ها" dataDxfId="133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16" name="GetAMortgageAndRentTable" displayName="GetAMortgageAndRentTable" ref="N5:N6" totalsRowShown="0" headerRowDxfId="132" dataDxfId="131">
  <autoFilter ref="N5:N6"/>
  <tableColumns count="1">
    <tableColumn id="1" name="دریافت رهن و اجاره" dataDxfId="13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id="17" name="GetALoanTable" displayName="GetALoanTable" ref="P5:P6" totalsRowShown="0" headerRowDxfId="129" dataDxfId="128">
  <autoFilter ref="P5:P6"/>
  <tableColumns count="1">
    <tableColumn id="1" name="دریافت وام" dataDxfId="127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18" name="MiscellaneousIncomeTable" displayName="MiscellaneousIncomeTable" ref="R5:R6" totalsRowShown="0" headerRowDxfId="126" dataDxfId="125">
  <autoFilter ref="R5:R6"/>
  <tableColumns count="1">
    <tableColumn id="1" name="درآمد متفرقه" dataDxfId="12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id="42" name="RightsTable" displayName="RightsTable" ref="D5:D6" totalsRowShown="0" headerRowDxfId="123" dataDxfId="122">
  <autoFilter ref="D5:D6"/>
  <tableColumns count="1">
    <tableColumn id="1" name="حقوق" dataDxfId="12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7" name="CostGroupsTable" displayName="CostGroupsTable" ref="A5:B29" totalsRowShown="0" headerRowDxfId="120">
  <autoFilter ref="A5:B29"/>
  <sortState ref="A5:B28">
    <sortCondition ref="B4:B28"/>
  </sortState>
  <tableColumns count="2">
    <tableColumn id="1" name="کد گروه هزینه" dataDxfId="119"/>
    <tableColumn id="2" name="نام گروه هزینه" dataDxfId="118"/>
  </tableColumns>
  <tableStyleInfo name="TableStyleMedium15" showFirstColumn="0" showLastColumn="0" showRowStripes="1" showColumnStripes="0"/>
</table>
</file>

<file path=xl/tables/table12.xml><?xml version="1.0" encoding="utf-8"?>
<table xmlns="http://schemas.openxmlformats.org/spreadsheetml/2006/main" id="14" name="TravelCostsTable" displayName="TravelCostsTable" ref="F4:F13" totalsRowShown="0" headerRowDxfId="117" dataDxfId="116">
  <autoFilter ref="F4:F13"/>
  <sortState ref="F4:F12">
    <sortCondition ref="F3:F12"/>
  </sortState>
  <tableColumns count="1">
    <tableColumn id="1" name="ایاب و ذهاب" dataDxfId="115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id="19" name="NetworkCostsTable" displayName="NetworkCostsTable" ref="D4:D8" totalsRowShown="0" headerRowDxfId="114" dataDxfId="113">
  <autoFilter ref="D4:D8"/>
  <sortState ref="D4:D7">
    <sortCondition ref="D3:D7"/>
  </sortState>
  <tableColumns count="1">
    <tableColumn id="1" name="ارتباطات" dataDxfId="11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20" name="HealthCareCostsTable" displayName="HealthCareCostsTable" ref="H4:H9" totalsRowShown="0" headerRowDxfId="111" dataDxfId="110">
  <autoFilter ref="H4:H9"/>
  <sortState ref="H4:H8">
    <sortCondition ref="H3:H8"/>
  </sortState>
  <tableColumns count="1">
    <tableColumn id="1" name="بهداشت و درمان" dataDxfId="109"/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id="21" name="PersonalCleaningCostsTable" displayName="PersonalCleaningCostsTable" ref="J4:J9" totalsRowShown="0" headerRowDxfId="108" dataDxfId="107">
  <autoFilter ref="J4:J9"/>
  <sortState ref="J4:J8">
    <sortCondition ref="J3:J8"/>
  </sortState>
  <tableColumns count="1">
    <tableColumn id="1" name="بهداشت و نظافت فردی" dataDxfId="106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id="22" name="EnvironmentalHealthCostsTable" displayName="EnvironmentalHealthCostsTable" ref="L4:L6" totalsRowShown="0" headerRowDxfId="105" dataDxfId="104">
  <autoFilter ref="L4:L6"/>
  <sortState ref="L4:L5">
    <sortCondition ref="L3:L5"/>
  </sortState>
  <tableColumns count="1">
    <tableColumn id="1" name="بهداشت و نظافت محیط" dataDxfId="103"/>
  </tableColumns>
  <tableStyleInfo name="TableStyleMedium3" showFirstColumn="0" showLastColumn="0" showRowStripes="1" showColumnStripes="0"/>
</table>
</file>

<file path=xl/tables/table17.xml><?xml version="1.0" encoding="utf-8"?>
<table xmlns="http://schemas.openxmlformats.org/spreadsheetml/2006/main" id="23" name="InsuranceCostsTable" displayName="InsuranceCostsTable" ref="N4:N8" totalsRowShown="0" headerRowDxfId="102" dataDxfId="101">
  <autoFilter ref="N4:N8"/>
  <sortState ref="N4:N7">
    <sortCondition ref="N3:N7"/>
  </sortState>
  <tableColumns count="1">
    <tableColumn id="1" name="بیمه" dataDxfId="10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24" name="InstallmentPaymentCostsTable" displayName="InstallmentPaymentCostsTable" ref="P4:P6" totalsRowShown="0" headerRowDxfId="99" dataDxfId="98">
  <autoFilter ref="P4:P6"/>
  <sortState ref="P4">
    <sortCondition ref="P3:P4"/>
  </sortState>
  <tableColumns count="1">
    <tableColumn id="1" name="پرداخت اقساط" dataDxfId="97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id="25" name="CostsOfClothingAndFootwearTable" displayName="CostsOfClothingAndFootwearTable" ref="R4:R8" totalsRowShown="0" headerRowDxfId="96" dataDxfId="95">
  <autoFilter ref="R4:R8"/>
  <sortState ref="R4:R7">
    <sortCondition ref="R3:R7"/>
  </sortState>
  <tableColumns count="1">
    <tableColumn id="1" name="پوشاک و کفش" dataDxfId="94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id="26" name="CarCostsTable" displayName="CarCostsTable" ref="T4:T9" totalsRowShown="0" headerRowDxfId="93" dataDxfId="92">
  <autoFilter ref="T4:T9"/>
  <sortState ref="T4:T8">
    <sortCondition ref="T3:T8"/>
  </sortState>
  <tableColumns count="1">
    <tableColumn id="1" name="خودرو" dataDxfId="91"/>
  </tableColumns>
  <tableStyleInfo name="TableStyleMedium6" showFirstColumn="0" showLastColumn="0" showRowStripes="1" showColumnStripes="0"/>
</table>
</file>

<file path=xl/tables/table21.xml><?xml version="1.0" encoding="utf-8"?>
<table xmlns="http://schemas.openxmlformats.org/spreadsheetml/2006/main" id="27" name="CostsOfFoodAndBeveragesTable" displayName="CostsOfFoodAndBeveragesTable" ref="V4:V8" totalsRowShown="0" headerRowDxfId="90" dataDxfId="89">
  <autoFilter ref="V4:V8"/>
  <sortState ref="V4:V7">
    <sortCondition ref="V3:V7"/>
  </sortState>
  <tableColumns count="1">
    <tableColumn id="1" name="خوراکی‌ها و آشامیدنی‌ها" dataDxfId="88"/>
  </tableColumns>
  <tableStyleInfo name="TableStyleMedium5" showFirstColumn="0" showLastColumn="0" showRowStripes="1" showColumnStripes="0"/>
</table>
</file>

<file path=xl/tables/table22.xml><?xml version="1.0" encoding="utf-8"?>
<table xmlns="http://schemas.openxmlformats.org/spreadsheetml/2006/main" id="28" name="CharityAndCulturalExpensesTable" displayName="CharityAndCulturalExpensesTable" ref="X4:X6" totalsRowShown="0" headerRowDxfId="87" dataDxfId="86">
  <autoFilter ref="X4:X6"/>
  <sortState ref="X4">
    <sortCondition ref="X3:X4"/>
  </sortState>
  <tableColumns count="1">
    <tableColumn id="1" name="خیریه و امور فرهنگی" dataDxfId="85"/>
  </tableColumns>
  <tableStyleInfo name="TableStyleMedium4" showFirstColumn="0" showLastColumn="0" showRowStripes="1" showColumnStripes="0"/>
</table>
</file>

<file path=xl/tables/table23.xml><?xml version="1.0" encoding="utf-8"?>
<table xmlns="http://schemas.openxmlformats.org/spreadsheetml/2006/main" id="29" name="TobaccoCostsTable" displayName="TobaccoCostsTable" ref="Z4:Z6" totalsRowShown="0" headerRowDxfId="84" dataDxfId="83">
  <autoFilter ref="Z4:Z6"/>
  <sortState ref="Z4:Z5">
    <sortCondition ref="Z3:Z5"/>
  </sortState>
  <tableColumns count="1">
    <tableColumn id="1" name="دخانیات" dataDxfId="82"/>
  </tableColumns>
  <tableStyleInfo name="TableStyleMedium3" showFirstColumn="0" showLastColumn="0" showRowStripes="1" showColumnStripes="0"/>
</table>
</file>

<file path=xl/tables/table24.xml><?xml version="1.0" encoding="utf-8"?>
<table xmlns="http://schemas.openxmlformats.org/spreadsheetml/2006/main" id="30" name="BicycleCostsTable" displayName="BicycleCostsTable" ref="AB4:AB6" totalsRowShown="0" headerRowDxfId="81" dataDxfId="80">
  <autoFilter ref="AB4:AB6"/>
  <sortState ref="AB4:AB5">
    <sortCondition ref="AB3:AB5"/>
  </sortState>
  <tableColumns count="1">
    <tableColumn id="1" name="دوچرخه" dataDxfId="7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31" name="CostsOfCapitalJewelryTable" displayName="CostsOfCapitalJewelryTable" ref="AD4:AD8" totalsRowShown="0" headerRowDxfId="78" dataDxfId="77">
  <autoFilter ref="AD4:AD8"/>
  <sortState ref="AD4:AD7">
    <sortCondition ref="AD3:AD7"/>
  </sortState>
  <tableColumns count="1">
    <tableColumn id="1" name="زیورآلات سرمایه" dataDxfId="76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32" name="Non_CapitalJewelryCostsTable" displayName="Non_CapitalJewelryCostsTable" ref="AF4:AF6" totalsRowShown="0" headerRowDxfId="75" dataDxfId="74">
  <autoFilter ref="AF4:AF6"/>
  <sortState ref="AF4">
    <sortCondition ref="AF3:AF4"/>
  </sortState>
  <tableColumns count="1">
    <tableColumn id="1" name=" زیورآلات غیر سرمایه" dataDxfId="73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id="33" name="InvestmentCostsTable" displayName="InvestmentCostsTable" ref="AH4:AH6" totalsRowShown="0" headerRowDxfId="72" dataDxfId="71">
  <autoFilter ref="AH4:AH6"/>
  <sortState ref="AH5:AH6">
    <sortCondition ref="AH4:AH6"/>
  </sortState>
  <tableColumns count="1">
    <tableColumn id="1" name=" سرمایه گذاری" dataDxfId="70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id="34" name="TravelAndTourExpensesTable" displayName="TravelAndTourExpensesTable" ref="AJ4:AJ6" totalsRowShown="0" headerRowDxfId="69" dataDxfId="68">
  <autoFilter ref="AJ4:AJ6"/>
  <sortState ref="AJ4">
    <sortCondition ref="AJ3:AJ4"/>
  </sortState>
  <tableColumns count="1">
    <tableColumn id="1" name="سفر و گردش" dataDxfId="67"/>
  </tableColumns>
  <tableStyleInfo name="TableStyleMedium6" showFirstColumn="0" showLastColumn="0" showRowStripes="1" showColumnStripes="0"/>
</table>
</file>

<file path=xl/tables/table29.xml><?xml version="1.0" encoding="utf-8"?>
<table xmlns="http://schemas.openxmlformats.org/spreadsheetml/2006/main" id="35" name="HousingBillCostsTable" displayName="HousingBillCostsTable" ref="AL4:AL15" totalsRowShown="0" headerRowDxfId="66" dataDxfId="65">
  <autoFilter ref="AL4:AL15"/>
  <sortState ref="AL4:AL14">
    <sortCondition ref="AL3:AL14"/>
  </sortState>
  <tableColumns count="1">
    <tableColumn id="1" name="صورتحاب‌های مسکن" dataDxfId="64"/>
  </tableColumns>
  <tableStyleInfo name="TableStyleMedium5" showFirstColumn="0" showLastColumn="0" showRowStripes="1" showColumnStripes="0"/>
</table>
</file>

<file path=xl/tables/table30.xml><?xml version="1.0" encoding="utf-8"?>
<table xmlns="http://schemas.openxmlformats.org/spreadsheetml/2006/main" id="36" name="LeisureAndEntertainmentExpensesTable" displayName="LeisureAndEntertainmentExpensesTable" ref="AN4:AN8" totalsRowShown="0" headerRowDxfId="63" dataDxfId="62">
  <autoFilter ref="AN4:AN8"/>
  <sortState ref="AN4:AN7">
    <sortCondition ref="AN3:AN7"/>
  </sortState>
  <tableColumns count="1">
    <tableColumn id="1" name="فراغت و سرگرمی" dataDxfId="61"/>
  </tableColumns>
  <tableStyleInfo name="TableStyleMedium4" showFirstColumn="0" showLastColumn="0" showRowStripes="1" showColumnStripes="0"/>
</table>
</file>

<file path=xl/tables/table31.xml><?xml version="1.0" encoding="utf-8"?>
<table xmlns="http://schemas.openxmlformats.org/spreadsheetml/2006/main" id="37" name="TaxCostsTable" displayName="TaxCostsTable" ref="AP4:AP8" totalsRowShown="0" headerRowDxfId="60" dataDxfId="59">
  <autoFilter ref="AP4:AP8"/>
  <tableColumns count="1">
    <tableColumn id="1" name="مالیات" dataDxfId="58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8" name="DegreeAndTuitionFeesTable" displayName="DegreeAndTuitionFeesTable" ref="AR4:AR6" totalsRowShown="0" headerRowDxfId="57" dataDxfId="56">
  <autoFilter ref="AR4:AR6"/>
  <sortState ref="AR4">
    <sortCondition ref="AR3:AR4"/>
  </sortState>
  <tableColumns count="1">
    <tableColumn id="1" name=" مدرک و تحصیل" dataDxfId="55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id="39" name="ExerciseCostsTable" displayName="ExerciseCostsTable" ref="AT4:AT7" totalsRowShown="0" headerRowDxfId="54" dataDxfId="53">
  <autoFilter ref="AT4:AT7"/>
  <sortState ref="AT4:AT6">
    <sortCondition ref="AT3:AT6"/>
  </sortState>
  <tableColumns count="1">
    <tableColumn id="1" name="ورزش" dataDxfId="52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id="40" name="GiftCostsTable" displayName="GiftCostsTable" ref="AV4:AV11" totalsRowShown="0" headerRowDxfId="51" dataDxfId="50">
  <autoFilter ref="AV4:AV11"/>
  <tableColumns count="1">
    <tableColumn id="1" name="هدیه و کادو" dataDxfId="49"/>
  </tableColumns>
  <tableStyleInfo name="TableStyleMedium6" showFirstColumn="0" showLastColumn="0" showRowStripes="1" showColumnStripes="0"/>
</table>
</file>

<file path=xl/tables/table35.xml><?xml version="1.0" encoding="utf-8"?>
<table xmlns="http://schemas.openxmlformats.org/spreadsheetml/2006/main" id="41" name="LearningAndIndividualDevelopmentCostsTable" displayName="LearningAndIndividualDevelopmentCostsTable" ref="AX4:AX7" totalsRowShown="0" headerRowDxfId="48" dataDxfId="47">
  <autoFilter ref="AX4:AX7"/>
  <tableColumns count="1">
    <tableColumn id="1" name="یادگیری و توسعه فردی" dataDxfId="46"/>
  </tableColumns>
  <tableStyleInfo name="TableStyleMedium5" showFirstColumn="0" showLastColumn="0" showRowStripes="1" showColumnStripes="0"/>
</table>
</file>

<file path=xl/tables/table36.xml><?xml version="1.0" encoding="utf-8"?>
<table xmlns="http://schemas.openxmlformats.org/spreadsheetml/2006/main" id="1" name="ReceiversAndPayersTable" displayName="ReceiversAndPayersTable" ref="A3:A14" totalsRowShown="0" headerRowDxfId="45" dataDxfId="44" dataCellStyle="Normal">
  <autoFilter ref="A3:A14"/>
  <tableColumns count="1">
    <tableColumn id="1" name="دریافت کننده - پرداخت کنندگان" dataDxfId="43" dataCellStyle="Normal"/>
  </tableColumns>
  <tableStyleInfo name="TableStyleMedium15" showFirstColumn="0" showLastColumn="0" showRowStripes="1" showColumnStripes="0"/>
</table>
</file>

<file path=xl/tables/table37.xml><?xml version="1.0" encoding="utf-8"?>
<table xmlns="http://schemas.openxmlformats.org/spreadsheetml/2006/main" id="8" name="Accounts_and_ReceiversAndPayers_AppendTabel" displayName="Accounts_and_ReceiversAndPayers_AppendTabel" ref="C3:E19" tableType="queryTable" totalsRowShown="0" headerRowDxfId="42" dataDxfId="41">
  <autoFilter ref="C3:E19"/>
  <tableColumns count="3">
    <tableColumn id="4" uniqueName="4" name="Accounts" queryTableFieldId="1" dataDxfId="40"/>
    <tableColumn id="5" uniqueName="5" name="ReceiversAndPayers" queryTableFieldId="2" dataDxfId="39"/>
    <tableColumn id="6" uniqueName="6" name="Accounts and ReceiversAndPayers" queryTableFieldId="3" dataDxfId="38"/>
  </tableColumns>
  <tableStyleInfo name="TableStyleMedium15" showFirstColumn="0" showLastColumn="0" showRowStripes="1" showColumnStripes="0"/>
</table>
</file>

<file path=xl/tables/table38.xml><?xml version="1.0" encoding="utf-8"?>
<table xmlns="http://schemas.openxmlformats.org/spreadsheetml/2006/main" id="4" name="PersonsTable" displayName="PersonsTable" ref="A5:I6" totalsRowShown="0" headerRowDxfId="37" dataDxfId="36">
  <autoFilter ref="A5:I6"/>
  <tableColumns count="9">
    <tableColumn id="6" name="ID" dataDxfId="35"/>
    <tableColumn id="1" name="افراد" dataDxfId="34"/>
    <tableColumn id="2" name="کد ملی" dataDxfId="33"/>
    <tableColumn id="3" name="شماره تماس" dataDxfId="32"/>
    <tableColumn id="4" name="آدرس ایمیل" dataDxfId="31" dataCellStyle="Hyperlink"/>
    <tableColumn id="5" name="سایت اینترنتی" dataDxfId="30"/>
    <tableColumn id="7" name="آدرس محل کار" dataDxfId="29"/>
    <tableColumn id="8" name="آدرس منزل" dataDxfId="28"/>
    <tableColumn id="9" name="توضیحات" dataDxfId="27"/>
  </tableColumns>
  <tableStyleInfo name="TableStyleMedium15" showFirstColumn="0" showLastColumn="0" showRowStripes="1" showColumnStripes="0"/>
</table>
</file>

<file path=xl/tables/table39.xml><?xml version="1.0" encoding="utf-8"?>
<table xmlns="http://schemas.openxmlformats.org/spreadsheetml/2006/main" id="5" name="FinancialAccountsTable" displayName="FinancialAccountsTable" ref="A12:L18" totalsRowCount="1" headerRowDxfId="20" dataDxfId="19">
  <autoFilter ref="A12:L17"/>
  <tableColumns count="12">
    <tableColumn id="1" name="ID" totalsRowLabel="Total" dataDxfId="18" totalsRowDxfId="12"/>
    <tableColumn id="2" name="نام حساب" dataDxfId="17" totalsRowDxfId="11"/>
    <tableColumn id="3" name="نوع حساب" dataDxfId="16" totalsRowDxfId="10"/>
    <tableColumn id="4" name="موجودی اولیه" totalsRowFunction="sum" dataDxfId="15" totalsRowDxfId="9"/>
    <tableColumn id="5" name="شماره حساب" totalsRowDxfId="8"/>
    <tableColumn id="6" name="شماره کارت" totalsRowDxfId="7"/>
    <tableColumn id="7" name="تاریخ انقضاء کارت" totalsRowDxfId="6"/>
    <tableColumn id="8" name="CVV2" totalsRowDxfId="5"/>
    <tableColumn id="9" name="جمع پرداختی" totalsRowFunction="sum" totalsRowDxfId="2">
      <calculatedColumnFormula>SUMIF(Tarakonesh[پرداخت کننده],FinancialAccountsTable[[#This Row],[نام حساب]],Tarakonesh[مبلغ (ریال)])</calculatedColumnFormula>
    </tableColumn>
    <tableColumn id="11" name="جمع دریافتی" totalsRowFunction="sum" dataDxfId="14" totalsRowDxfId="1">
      <calculatedColumnFormula>SUMIF(Tarakonesh[دریافت کننده],FinancialAccountsTable[[#This Row],[نام حساب]],Tarakonesh[مبلغ (ریال)])</calculatedColumnFormula>
    </tableColumn>
    <tableColumn id="12" name="مانده" totalsRowFunction="sum" dataDxfId="13" totalsRowDxfId="0">
      <calculatedColumnFormula>(FinancialAccountsTable[[#This Row],[جمع دریافتی]]+FinancialAccountsTable[[#This Row],[موجودی اولیه]])-FinancialAccountsTable[[#This Row],[جمع پرداختی]]</calculatedColumnFormula>
    </tableColumn>
    <tableColumn id="13" name="وضعیت فعلی" dataDxfId="3" totalsRowDxfId="4">
      <calculatedColumnFormula>IF(FinancialAccountsTable[[#This Row],[مانده]]=0,"",IF(FinancialAccountsTable[[#This Row],[مانده]]&gt;0,"بدهکار","بستانکار"))</calculatedColumnFormula>
    </tableColumn>
  </tableColumns>
  <tableStyleInfo name="TableStyleMedium15" showFirstColumn="0" showLastColumn="0" showRowStripes="1" showColumnStripes="0"/>
</table>
</file>

<file path=xl/tables/table40.xml><?xml version="1.0" encoding="utf-8"?>
<table xmlns="http://schemas.openxmlformats.org/spreadsheetml/2006/main" id="2" name="TypeOfExpenditureTable" displayName="TypeOfExpenditureTable" ref="A3:A6" totalsRowShown="0" headerRowDxfId="26" dataDxfId="25">
  <autoFilter ref="A3:A6"/>
  <tableColumns count="1">
    <tableColumn id="1" name="نوع خرج" dataDxfId="24"/>
  </tableColumns>
  <tableStyleInfo name="TableStyleMedium15" showFirstColumn="0" showLastColumn="0" showRowStripes="1" showColumnStripes="0"/>
</table>
</file>

<file path=xl/tables/table41.xml><?xml version="1.0" encoding="utf-8"?>
<table xmlns="http://schemas.openxmlformats.org/spreadsheetml/2006/main" id="6" name="TypeOfTransactionTable" displayName="TypeOfTransactionTable" ref="B3:B6" totalsRowShown="0" headerRowDxfId="23" dataDxfId="22">
  <autoFilter ref="B3:B6"/>
  <tableColumns count="1">
    <tableColumn id="1" name="نوع تراکنش" dataDxfId="21"/>
  </tableColumns>
  <tableStyleInfo name="TableStyleMedium23" showFirstColumn="0" showLastColumn="0" showRowStripes="1" showColumnStripes="0"/>
</table>
</file>

<file path=xl/tables/table42.xml><?xml version="1.0" encoding="utf-8"?>
<table xmlns="http://schemas.openxmlformats.org/spreadsheetml/2006/main" id="9" name="TransactionMethodsTable" displayName="TransactionMethodsTable" ref="C3:C10" totalsRowShown="0">
  <autoFilter ref="C3:C10"/>
  <tableColumns count="1">
    <tableColumn id="1" name="روش تراکنش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26" Type="http://schemas.openxmlformats.org/officeDocument/2006/relationships/table" Target="../tables/table35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5" Type="http://schemas.openxmlformats.org/officeDocument/2006/relationships/table" Target="../tables/table34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24" Type="http://schemas.openxmlformats.org/officeDocument/2006/relationships/table" Target="../tables/table33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23" Type="http://schemas.openxmlformats.org/officeDocument/2006/relationships/table" Target="../tables/table32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Relationship Id="rId22" Type="http://schemas.openxmlformats.org/officeDocument/2006/relationships/table" Target="../tables/table31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hyperlink" Target="mailto:Alireza13.m2@gmail.com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AC16"/>
  <sheetViews>
    <sheetView rightToLeft="1" topLeftCell="O1" workbookViewId="0">
      <selection activeCell="O12" sqref="O3:AC12"/>
    </sheetView>
  </sheetViews>
  <sheetFormatPr defaultRowHeight="15" x14ac:dyDescent="0.25"/>
  <cols>
    <col min="1" max="1" width="5.140625" customWidth="1"/>
    <col min="2" max="2" width="10.5703125" bestFit="1" customWidth="1"/>
    <col min="3" max="3" width="21.140625" bestFit="1" customWidth="1"/>
    <col min="4" max="4" width="5.5703125" customWidth="1"/>
    <col min="5" max="5" width="8.7109375" customWidth="1"/>
    <col min="6" max="6" width="15.7109375" bestFit="1" customWidth="1"/>
    <col min="7" max="7" width="8.140625" customWidth="1"/>
    <col min="8" max="8" width="11.28515625" bestFit="1" customWidth="1"/>
    <col min="9" max="9" width="11" bestFit="1" customWidth="1"/>
    <col min="10" max="10" width="12.140625" bestFit="1" customWidth="1"/>
    <col min="11" max="11" width="11.5703125" bestFit="1" customWidth="1"/>
    <col min="12" max="12" width="13.140625" bestFit="1" customWidth="1"/>
    <col min="13" max="13" width="7.7109375" customWidth="1"/>
    <col min="14" max="14" width="4.5703125" customWidth="1"/>
    <col min="16" max="16" width="5.140625" customWidth="1"/>
    <col min="17" max="17" width="17.28515625" customWidth="1"/>
    <col min="18" max="18" width="21.140625" bestFit="1" customWidth="1"/>
    <col min="19" max="19" width="19.42578125" customWidth="1"/>
    <col min="20" max="20" width="22.140625" customWidth="1"/>
    <col min="21" max="21" width="15.7109375" bestFit="1" customWidth="1"/>
    <col min="22" max="22" width="18.5703125" customWidth="1"/>
    <col min="23" max="23" width="16" customWidth="1"/>
    <col min="24" max="24" width="13.28515625" customWidth="1"/>
    <col min="25" max="25" width="23.7109375" customWidth="1"/>
    <col min="26" max="26" width="11.5703125" bestFit="1" customWidth="1"/>
    <col min="27" max="27" width="13.140625" bestFit="1" customWidth="1"/>
    <col min="28" max="28" width="12.28515625" customWidth="1"/>
    <col min="29" max="29" width="10.42578125" customWidth="1"/>
  </cols>
  <sheetData>
    <row r="4" spans="1:29" ht="15.75" thickBot="1" x14ac:dyDescent="0.3">
      <c r="A4" t="s">
        <v>102</v>
      </c>
    </row>
    <row r="5" spans="1:29" ht="16.5" thickBot="1" x14ac:dyDescent="0.3">
      <c r="A5" t="s">
        <v>1</v>
      </c>
      <c r="B5" t="s">
        <v>14</v>
      </c>
      <c r="C5" t="s">
        <v>16</v>
      </c>
      <c r="D5" t="s">
        <v>0</v>
      </c>
      <c r="E5" t="s">
        <v>18</v>
      </c>
      <c r="F5" t="s">
        <v>4</v>
      </c>
      <c r="G5" t="s">
        <v>19</v>
      </c>
      <c r="H5" t="s">
        <v>2</v>
      </c>
      <c r="I5" t="s">
        <v>6</v>
      </c>
      <c r="J5" t="s">
        <v>5</v>
      </c>
      <c r="K5" t="s">
        <v>13</v>
      </c>
      <c r="L5" t="s">
        <v>42</v>
      </c>
      <c r="M5" t="s">
        <v>41</v>
      </c>
      <c r="P5" s="100" t="s">
        <v>1</v>
      </c>
      <c r="Q5" s="101" t="s">
        <v>123</v>
      </c>
      <c r="R5" s="101" t="s">
        <v>0</v>
      </c>
      <c r="S5" s="102" t="s">
        <v>18</v>
      </c>
      <c r="T5" s="103" t="s">
        <v>108</v>
      </c>
      <c r="U5" s="104" t="s">
        <v>156</v>
      </c>
      <c r="V5" s="101" t="s">
        <v>121</v>
      </c>
      <c r="W5" s="101" t="s">
        <v>157</v>
      </c>
      <c r="X5" s="105" t="s">
        <v>2</v>
      </c>
      <c r="Y5" s="101" t="s">
        <v>6</v>
      </c>
      <c r="Z5" s="101" t="s">
        <v>5</v>
      </c>
      <c r="AA5" s="101" t="s">
        <v>165</v>
      </c>
      <c r="AB5" s="102" t="s">
        <v>117</v>
      </c>
      <c r="AC5" s="102" t="s">
        <v>41</v>
      </c>
    </row>
    <row r="6" spans="1:29" ht="15.75" x14ac:dyDescent="0.25">
      <c r="P6" s="106">
        <v>1</v>
      </c>
      <c r="Q6" s="107" t="s">
        <v>124</v>
      </c>
      <c r="R6" s="108">
        <f>DATE(2021,6,26)</f>
        <v>44373</v>
      </c>
      <c r="S6" s="109" t="s">
        <v>164</v>
      </c>
      <c r="T6" s="110" t="s">
        <v>291</v>
      </c>
      <c r="U6" s="107" t="s">
        <v>194</v>
      </c>
      <c r="V6" s="107" t="s">
        <v>279</v>
      </c>
      <c r="W6" s="107" t="s">
        <v>161</v>
      </c>
      <c r="X6" s="111">
        <v>80000</v>
      </c>
      <c r="Y6" s="107" t="s">
        <v>142</v>
      </c>
      <c r="Z6" s="107" t="s">
        <v>339</v>
      </c>
      <c r="AA6" s="107"/>
      <c r="AB6" s="109" t="s">
        <v>118</v>
      </c>
      <c r="AC6" s="109"/>
    </row>
    <row r="7" spans="1:29" ht="15.75" x14ac:dyDescent="0.25">
      <c r="P7" s="112">
        <v>2</v>
      </c>
      <c r="Q7" s="113"/>
      <c r="R7" s="114">
        <f>DATE(2021,6,26)</f>
        <v>44373</v>
      </c>
      <c r="S7" s="115"/>
      <c r="T7" s="116" t="s">
        <v>291</v>
      </c>
      <c r="U7" s="113"/>
      <c r="V7" s="113"/>
      <c r="W7" s="113"/>
      <c r="X7" s="117"/>
      <c r="Y7" s="113"/>
      <c r="Z7" s="113"/>
      <c r="AA7" s="113"/>
      <c r="AB7" s="115"/>
      <c r="AC7" s="115"/>
    </row>
    <row r="8" spans="1:29" ht="15.75" x14ac:dyDescent="0.25">
      <c r="P8" s="106">
        <v>3</v>
      </c>
      <c r="Q8" s="107"/>
      <c r="R8" s="108">
        <f>DATE(2021,8,17)</f>
        <v>44425</v>
      </c>
      <c r="S8" s="109"/>
      <c r="T8" s="110" t="s">
        <v>315</v>
      </c>
      <c r="U8" s="107" t="s">
        <v>318</v>
      </c>
      <c r="V8" s="107" t="s">
        <v>329</v>
      </c>
      <c r="W8" s="107"/>
      <c r="X8" s="111"/>
      <c r="Y8" s="107"/>
      <c r="Z8" s="107"/>
      <c r="AA8" s="107"/>
      <c r="AB8" s="109"/>
      <c r="AC8" s="109"/>
    </row>
    <row r="11" spans="1:29" x14ac:dyDescent="0.25">
      <c r="A11" t="s">
        <v>107</v>
      </c>
    </row>
    <row r="12" spans="1:29" x14ac:dyDescent="0.25">
      <c r="A12" t="s">
        <v>8</v>
      </c>
      <c r="B12" t="s">
        <v>103</v>
      </c>
      <c r="C12" t="s">
        <v>104</v>
      </c>
      <c r="D12" t="s">
        <v>105</v>
      </c>
      <c r="E12" t="s">
        <v>89</v>
      </c>
      <c r="F12" t="s">
        <v>90</v>
      </c>
      <c r="G12" t="s">
        <v>106</v>
      </c>
      <c r="H12" t="s">
        <v>99</v>
      </c>
    </row>
    <row r="16" spans="1:29" ht="18.75" x14ac:dyDescent="0.25">
      <c r="A16" s="11" t="s">
        <v>8</v>
      </c>
      <c r="B16" s="37" t="s">
        <v>120</v>
      </c>
      <c r="C16" s="12" t="s">
        <v>103</v>
      </c>
      <c r="D16" s="13" t="s">
        <v>104</v>
      </c>
      <c r="E16" s="35" t="s">
        <v>105</v>
      </c>
      <c r="F16" s="14" t="s">
        <v>115</v>
      </c>
      <c r="G16" s="15" t="s">
        <v>90</v>
      </c>
      <c r="H16" s="25" t="s">
        <v>116</v>
      </c>
      <c r="I16" s="16" t="s">
        <v>106</v>
      </c>
      <c r="J16" s="17" t="s">
        <v>99</v>
      </c>
    </row>
  </sheetData>
  <dataValidations count="12">
    <dataValidation type="list" allowBlank="1" showInputMessage="1" showErrorMessage="1" sqref="V8">
      <formula1>INDIRECT($F$10)</formula1>
    </dataValidation>
    <dataValidation type="list" allowBlank="1" showInputMessage="1" showErrorMessage="1" sqref="U8">
      <formula1>INDIRECT($E$10)</formula1>
    </dataValidation>
    <dataValidation type="list" allowBlank="1" showInputMessage="1" showErrorMessage="1" sqref="V7">
      <formula1>INDIRECT($F$9)</formula1>
    </dataValidation>
    <dataValidation type="list" allowBlank="1" showInputMessage="1" showErrorMessage="1" sqref="U7">
      <formula1>INDIRECT($E$9)</formula1>
    </dataValidation>
    <dataValidation type="list" allowBlank="1" showInputMessage="1" showErrorMessage="1" sqref="V6">
      <formula1>INDIRECT($F$8)</formula1>
    </dataValidation>
    <dataValidation type="list" allowBlank="1" showInputMessage="1" showErrorMessage="1" sqref="U6">
      <formula1>INDIRECT($E$8)</formula1>
    </dataValidation>
    <dataValidation showInputMessage="1" promptTitle="راهنما" prompt="تاریخ به میلادی ثبت شود._x000a_به صورت خودکار تاریخ شمسی نمایش داده میشود." sqref="R6:R8"/>
    <dataValidation type="list" allowBlank="1" showInputMessage="1" showErrorMessage="1" errorTitle="Error" error="مقدار ورودی را از لیست انتخاب کنید" promptTitle="راهنما" prompt="روش انتقال پول را انتخاب کنید_x000a_" sqref="W6:W8">
      <formula1 xml:space="preserve"> TransactionMethodsList</formula1>
    </dataValidation>
    <dataValidation type="list" allowBlank="1" showInputMessage="1" showErrorMessage="1" errorTitle="Error" error="مقدار ورودی را از لیست انتخاب کنید" promptTitle="راهنما" prompt="نوع تراکنش را مشخص کنید._x000a_پرداخت (هزینه)_x000a_دریافت (درآمد)_x000a_انتقال" sqref="T6:T8">
      <formula1>INDIRECT("TypeOfTransactionTable[نوع تراکنش]")</formula1>
    </dataValidation>
    <dataValidation type="list" allowBlank="1" showInputMessage="1" showErrorMessage="1" errorTitle="Error" error="مقدار ورودی را از لیست انتخاب کنید" promptTitle="راهنما" prompt="حساب/فرد پرداخت کننده و دریافت کننده را تعیین کنید" sqref="Y6:Z8">
      <formula1>Accounts_and_ReceiversAndPayers_List</formula1>
    </dataValidation>
    <dataValidation type="list" allowBlank="1" showInputMessage="1" showErrorMessage="1" errorTitle="Error" error="فرد باید از لیست «افراد» انتخاب شود._x000a_به جدول «افراد» موجود در کاربردگ «تنظیمات حساب» مراجعه شود." promptTitle="راهنما" prompt="فردی که هزینه کرده یا برای آن هزینه شده" sqref="Q6:Q8">
      <formula1>INDIRECT("PersonsTable[افراد]")</formula1>
    </dataValidation>
    <dataValidation type="list" allowBlank="1" showInputMessage="1" showErrorMessage="1" errorTitle="Error" error="نوع خرج باید از گزینه‌های موجود در لیست کشویی باشد." promptTitle="راهنما" prompt="نوع خرج را مشخص کنید._x000a_نا مشخص_x000a_خرج صحیح_x000a_خرج اضافی" sqref="AB6:AB8">
      <formula1>INDIRECT("TypeOfExpenditureTable[نوع خرج]")</formula1>
    </dataValidation>
  </dataValidations>
  <hyperlinks>
    <hyperlink ref="A16" location="فهرست!A1" display="فهرست"/>
    <hyperlink ref="C16" location="'مدیریت وام و اقساط'!A1" display="وام و اقساط"/>
    <hyperlink ref="D16" location="'مدیریت چک‌ها'!A1" display="چک‌ها"/>
    <hyperlink ref="E16" location="'مدیریت بدهی‌ها-طلب‌ها'!A1" display="بدهی‌ها و طلب‌ها"/>
    <hyperlink ref="F16" location="'برنامه ریزی پرداخت‌ها'!A1" display="برنامه ریزی"/>
    <hyperlink ref="G16" location="تقویم!A1" display="تقویم"/>
    <hyperlink ref="H16" location="'بودجه بندی'!A1" display="بودجه بندی"/>
    <hyperlink ref="I16" location="'گزارش فعالیت‌های ماه جاری'!A1" display="ماه جاری"/>
    <hyperlink ref="J16" location="'جست و جو'!A1" display="جست و جو"/>
    <hyperlink ref="B16" location="تراکنش‌ها!A1" display="تراکنش‌ها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7030A0"/>
  </sheetPr>
  <dimension ref="B6:R29"/>
  <sheetViews>
    <sheetView rightToLeft="1" workbookViewId="0">
      <selection activeCell="B9" sqref="B9"/>
    </sheetView>
  </sheetViews>
  <sheetFormatPr defaultRowHeight="15" x14ac:dyDescent="0.25"/>
  <cols>
    <col min="1" max="1" width="9.140625" customWidth="1"/>
    <col min="2" max="2" width="31.5703125" customWidth="1"/>
    <col min="3" max="3" width="4.5703125" customWidth="1"/>
    <col min="4" max="4" width="19.5703125" bestFit="1" customWidth="1"/>
    <col min="6" max="6" width="26.7109375" bestFit="1" customWidth="1"/>
    <col min="8" max="8" width="30" bestFit="1" customWidth="1"/>
    <col min="11" max="11" width="10.140625" bestFit="1" customWidth="1"/>
    <col min="13" max="13" width="6" bestFit="1" customWidth="1"/>
    <col min="14" max="14" width="13.42578125" bestFit="1" customWidth="1"/>
    <col min="15" max="15" width="17" bestFit="1" customWidth="1"/>
  </cols>
  <sheetData>
    <row r="6" spans="2:18" x14ac:dyDescent="0.25">
      <c r="B6" s="4" t="s">
        <v>85</v>
      </c>
      <c r="D6" t="s">
        <v>86</v>
      </c>
      <c r="F6" t="s">
        <v>91</v>
      </c>
      <c r="H6" s="4" t="s">
        <v>95</v>
      </c>
      <c r="K6" t="s">
        <v>8</v>
      </c>
      <c r="L6" t="s">
        <v>103</v>
      </c>
      <c r="M6" t="s">
        <v>104</v>
      </c>
      <c r="N6" t="s">
        <v>105</v>
      </c>
      <c r="O6" t="s">
        <v>89</v>
      </c>
      <c r="P6" t="s">
        <v>90</v>
      </c>
      <c r="Q6" t="s">
        <v>106</v>
      </c>
      <c r="R6" t="s">
        <v>99</v>
      </c>
    </row>
    <row r="7" spans="2:18" x14ac:dyDescent="0.25">
      <c r="B7" t="s">
        <v>99</v>
      </c>
      <c r="D7" t="s">
        <v>87</v>
      </c>
      <c r="F7" t="s">
        <v>92</v>
      </c>
      <c r="H7" t="s">
        <v>96</v>
      </c>
    </row>
    <row r="8" spans="2:18" x14ac:dyDescent="0.25">
      <c r="B8" s="4" t="s">
        <v>154</v>
      </c>
      <c r="D8" t="s">
        <v>88</v>
      </c>
      <c r="F8" t="s">
        <v>93</v>
      </c>
    </row>
    <row r="9" spans="2:18" x14ac:dyDescent="0.25">
      <c r="B9" s="4" t="s">
        <v>7</v>
      </c>
      <c r="D9" t="s">
        <v>89</v>
      </c>
      <c r="F9" t="s">
        <v>94</v>
      </c>
    </row>
    <row r="10" spans="2:18" x14ac:dyDescent="0.25">
      <c r="B10" s="4" t="s">
        <v>100</v>
      </c>
      <c r="D10" t="s">
        <v>90</v>
      </c>
      <c r="H10" t="s">
        <v>97</v>
      </c>
    </row>
    <row r="11" spans="2:18" x14ac:dyDescent="0.25">
      <c r="H11" t="s">
        <v>98</v>
      </c>
    </row>
    <row r="12" spans="2:18" x14ac:dyDescent="0.25">
      <c r="B12" t="s">
        <v>101</v>
      </c>
    </row>
    <row r="24" spans="8:11" x14ac:dyDescent="0.25">
      <c r="H24" t="s">
        <v>43</v>
      </c>
    </row>
    <row r="29" spans="8:11" x14ac:dyDescent="0.25">
      <c r="H29" t="s">
        <v>59</v>
      </c>
      <c r="K29" t="s">
        <v>60</v>
      </c>
    </row>
  </sheetData>
  <hyperlinks>
    <hyperlink ref="B6" location="تراکنش‌ها!A1" display="ثبت تراکنش‌های روزانه"/>
    <hyperlink ref="B10" location="'تنظیمات دفترچه'!A1" display="تنظیمات دفترچه"/>
    <hyperlink ref="B9" location="'تنظیمات حساب'!A1" display="تنظیمات حساب"/>
    <hyperlink ref="B8" location="'دریافت کنندگان - پرداخت کنندگان'!A1" display="دریافت کنندگان - پرداخت کنندگان"/>
    <hyperlink ref="H6" location="'گروه‌‌های درآمدی'!A1" display="گروه‌‌های درآمدی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theme="7"/>
  </sheetPr>
  <dimension ref="A1:S507"/>
  <sheetViews>
    <sheetView showGridLines="0" rightToLeft="1" tabSelected="1" workbookViewId="0">
      <selection activeCell="L8" sqref="L8"/>
    </sheetView>
  </sheetViews>
  <sheetFormatPr defaultRowHeight="15.75" x14ac:dyDescent="0.25"/>
  <cols>
    <col min="1" max="1" width="6.7109375" style="19" customWidth="1"/>
    <col min="2" max="2" width="18.28515625" style="5" customWidth="1"/>
    <col min="3" max="3" width="22.85546875" style="5" customWidth="1"/>
    <col min="4" max="4" width="36.5703125" style="5" customWidth="1"/>
    <col min="5" max="5" width="18.28515625" style="34" customWidth="1"/>
    <col min="6" max="6" width="18.28515625" style="42" customWidth="1"/>
    <col min="7" max="7" width="18.28515625" style="5" customWidth="1"/>
    <col min="8" max="8" width="18.28515625" style="24" customWidth="1"/>
    <col min="9" max="9" width="18.42578125" style="5" customWidth="1"/>
    <col min="10" max="10" width="18.28515625" style="5" customWidth="1"/>
    <col min="11" max="11" width="18.42578125" style="5" customWidth="1"/>
    <col min="12" max="12" width="18.28515625" style="5" customWidth="1"/>
    <col min="13" max="13" width="9.140625" style="34" customWidth="1"/>
    <col min="14" max="14" width="36.5703125" style="5" customWidth="1"/>
    <col min="15" max="17" width="9.140625" style="5"/>
    <col min="18" max="18" width="12.5703125" style="5" bestFit="1" customWidth="1"/>
    <col min="19" max="16384" width="9.140625" style="5"/>
  </cols>
  <sheetData>
    <row r="1" spans="1:19" ht="27" customHeight="1" x14ac:dyDescent="0.25">
      <c r="A1" s="18"/>
      <c r="B1" s="11" t="s">
        <v>8</v>
      </c>
      <c r="C1" s="12" t="s">
        <v>103</v>
      </c>
      <c r="D1" s="13" t="s">
        <v>104</v>
      </c>
      <c r="E1" s="35" t="s">
        <v>105</v>
      </c>
      <c r="F1" s="38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  <c r="K1" s="6"/>
      <c r="L1" s="6"/>
      <c r="M1" s="30"/>
      <c r="N1" s="6"/>
      <c r="O1" s="67"/>
      <c r="P1" s="67"/>
      <c r="Q1" s="67"/>
      <c r="R1" s="67"/>
    </row>
    <row r="2" spans="1:19" ht="3.75" customHeight="1" x14ac:dyDescent="0.25">
      <c r="A2" s="18"/>
      <c r="B2" s="6"/>
      <c r="C2" s="6"/>
      <c r="D2" s="6"/>
      <c r="E2" s="36"/>
      <c r="F2" s="36"/>
      <c r="G2" s="6"/>
      <c r="H2" s="21"/>
      <c r="I2" s="6"/>
      <c r="J2" s="6"/>
      <c r="K2" s="6"/>
      <c r="L2" s="6"/>
      <c r="M2" s="30"/>
      <c r="N2" s="6"/>
      <c r="O2" s="67"/>
      <c r="P2" s="67"/>
      <c r="Q2" s="67"/>
      <c r="R2" s="67"/>
    </row>
    <row r="3" spans="1:19" ht="24" customHeight="1" x14ac:dyDescent="0.25">
      <c r="A3" s="18"/>
      <c r="B3" s="7" t="s">
        <v>113</v>
      </c>
      <c r="C3" s="126">
        <f>SUMIF(Tarakonesh[تراکنش],"دریافت_درآمد",Tarakonesh[مبلغ (ریال)])</f>
        <v>1520000</v>
      </c>
      <c r="D3" s="8" t="s">
        <v>114</v>
      </c>
      <c r="E3" s="125">
        <f>SUMIF(Tarakonesh[تراکنش],"پرداخت_هزینه",Tarakonesh[مبلغ (ریال)])</f>
        <v>83000</v>
      </c>
      <c r="F3" s="39" t="s">
        <v>349</v>
      </c>
      <c r="G3" s="124">
        <f>SUMIF(Tarakonesh[تراکنش],"انتقال",Tarakonesh[مبلغ (ریال)])</f>
        <v>520000</v>
      </c>
      <c r="H3" s="86"/>
      <c r="I3" s="118" t="s">
        <v>154</v>
      </c>
      <c r="J3" s="118"/>
      <c r="K3" s="9"/>
      <c r="L3" s="9"/>
      <c r="M3" s="31"/>
      <c r="N3" s="6"/>
      <c r="O3" s="67"/>
      <c r="P3" s="67"/>
      <c r="Q3" s="67"/>
      <c r="R3" s="67"/>
    </row>
    <row r="4" spans="1:19" s="84" customFormat="1" ht="3.75" customHeight="1" x14ac:dyDescent="0.25">
      <c r="A4" s="18"/>
      <c r="B4" s="79"/>
      <c r="C4" s="79"/>
      <c r="D4" s="79"/>
      <c r="E4" s="80"/>
      <c r="F4" s="80"/>
      <c r="G4" s="79"/>
      <c r="H4" s="81"/>
      <c r="I4" s="82"/>
      <c r="J4" s="82"/>
      <c r="K4" s="9"/>
      <c r="L4" s="9"/>
      <c r="M4" s="31"/>
      <c r="N4" s="6"/>
      <c r="O4" s="6"/>
      <c r="P4" s="6"/>
      <c r="Q4" s="6"/>
      <c r="R4" s="6"/>
    </row>
    <row r="5" spans="1:19" ht="24" customHeight="1" x14ac:dyDescent="0.25">
      <c r="A5" s="18"/>
      <c r="B5" s="83" t="s">
        <v>197</v>
      </c>
      <c r="C5" s="85">
        <f ca="1">TODAY()</f>
        <v>44425</v>
      </c>
      <c r="D5" s="79"/>
      <c r="E5" s="80"/>
      <c r="F5" s="80"/>
      <c r="G5" s="79"/>
      <c r="H5" s="81"/>
      <c r="I5" s="78" t="s">
        <v>196</v>
      </c>
      <c r="J5" s="87" t="s">
        <v>198</v>
      </c>
      <c r="K5" s="9"/>
      <c r="L5" s="9"/>
      <c r="M5" s="31"/>
      <c r="N5" s="6"/>
      <c r="O5" s="67"/>
      <c r="P5" s="67"/>
      <c r="Q5" s="67"/>
      <c r="R5" s="67"/>
    </row>
    <row r="6" spans="1:19" ht="3.75" customHeight="1" x14ac:dyDescent="0.25">
      <c r="A6" s="18"/>
      <c r="B6" s="9"/>
      <c r="C6" s="9"/>
      <c r="D6" s="9"/>
      <c r="E6" s="26"/>
      <c r="F6" s="26"/>
      <c r="G6" s="9"/>
      <c r="H6" s="22"/>
      <c r="I6" s="9"/>
      <c r="J6" s="9"/>
      <c r="K6" s="9"/>
      <c r="L6" s="9"/>
      <c r="M6" s="31"/>
      <c r="N6" s="6"/>
      <c r="O6" s="67"/>
      <c r="P6" s="67"/>
      <c r="Q6" s="67"/>
      <c r="R6" s="67"/>
    </row>
    <row r="7" spans="1:19" ht="24" customHeight="1" x14ac:dyDescent="0.25">
      <c r="A7" s="20" t="s">
        <v>1</v>
      </c>
      <c r="B7" s="10" t="s">
        <v>123</v>
      </c>
      <c r="C7" s="10" t="s">
        <v>0</v>
      </c>
      <c r="D7" s="32" t="s">
        <v>18</v>
      </c>
      <c r="E7" s="40" t="s">
        <v>108</v>
      </c>
      <c r="F7" s="72" t="s">
        <v>156</v>
      </c>
      <c r="G7" s="10" t="s">
        <v>121</v>
      </c>
      <c r="H7" s="10" t="s">
        <v>157</v>
      </c>
      <c r="I7" s="23" t="s">
        <v>2</v>
      </c>
      <c r="J7" s="10" t="s">
        <v>6</v>
      </c>
      <c r="K7" s="10" t="s">
        <v>5</v>
      </c>
      <c r="L7" s="10" t="s">
        <v>165</v>
      </c>
      <c r="M7" s="32" t="s">
        <v>117</v>
      </c>
      <c r="N7" s="32" t="s">
        <v>41</v>
      </c>
      <c r="O7" s="67"/>
      <c r="P7" s="67"/>
      <c r="Q7" s="67"/>
      <c r="R7" s="67"/>
      <c r="S7" s="67"/>
    </row>
    <row r="8" spans="1:19" x14ac:dyDescent="0.25">
      <c r="A8" s="28">
        <v>1</v>
      </c>
      <c r="B8" s="29" t="s">
        <v>124</v>
      </c>
      <c r="C8" s="77">
        <f>DATE(2021,6,26)</f>
        <v>44373</v>
      </c>
      <c r="D8" s="33" t="s">
        <v>164</v>
      </c>
      <c r="E8" s="41" t="s">
        <v>291</v>
      </c>
      <c r="F8" s="29" t="s">
        <v>194</v>
      </c>
      <c r="G8" s="29" t="s">
        <v>272</v>
      </c>
      <c r="H8" s="29" t="s">
        <v>316</v>
      </c>
      <c r="I8" s="27">
        <v>80000</v>
      </c>
      <c r="J8" s="29" t="s">
        <v>332</v>
      </c>
      <c r="K8" s="29" t="s">
        <v>342</v>
      </c>
      <c r="L8" s="29"/>
      <c r="M8" s="33" t="s">
        <v>118</v>
      </c>
      <c r="N8" s="33"/>
    </row>
    <row r="9" spans="1:19" ht="31.5" x14ac:dyDescent="0.25">
      <c r="A9" s="28">
        <v>2</v>
      </c>
      <c r="B9" s="29"/>
      <c r="C9" s="77">
        <f>DATE(2021,6,26)</f>
        <v>44373</v>
      </c>
      <c r="D9" s="33"/>
      <c r="E9" s="41" t="s">
        <v>315</v>
      </c>
      <c r="F9" s="29" t="s">
        <v>317</v>
      </c>
      <c r="G9" s="29" t="s">
        <v>328</v>
      </c>
      <c r="H9" s="29" t="s">
        <v>160</v>
      </c>
      <c r="I9" s="27">
        <v>1000000</v>
      </c>
      <c r="J9" s="29" t="s">
        <v>337</v>
      </c>
      <c r="K9" s="29" t="s">
        <v>332</v>
      </c>
      <c r="L9" s="29"/>
      <c r="M9" s="33"/>
      <c r="N9" s="33"/>
    </row>
    <row r="10" spans="1:19" ht="31.5" x14ac:dyDescent="0.25">
      <c r="A10" s="28">
        <v>3</v>
      </c>
      <c r="B10" s="29"/>
      <c r="C10" s="77">
        <f>DATE(2021,8,17)</f>
        <v>44425</v>
      </c>
      <c r="D10" s="33"/>
      <c r="E10" s="41" t="s">
        <v>146</v>
      </c>
      <c r="F10" s="29"/>
      <c r="G10" s="29"/>
      <c r="H10" s="29" t="s">
        <v>159</v>
      </c>
      <c r="I10" s="27">
        <v>20000</v>
      </c>
      <c r="J10" s="29" t="s">
        <v>142</v>
      </c>
      <c r="K10" s="29" t="s">
        <v>332</v>
      </c>
      <c r="L10" s="29"/>
      <c r="M10" s="33"/>
      <c r="N10" s="33"/>
      <c r="R10" s="121"/>
    </row>
    <row r="11" spans="1:19" x14ac:dyDescent="0.25">
      <c r="A11" s="28">
        <v>4</v>
      </c>
      <c r="B11" s="29"/>
      <c r="C11" s="77"/>
      <c r="D11" s="33"/>
      <c r="E11" s="41" t="s">
        <v>315</v>
      </c>
      <c r="F11" s="29" t="s">
        <v>317</v>
      </c>
      <c r="G11" s="29" t="s">
        <v>328</v>
      </c>
      <c r="H11" s="29" t="s">
        <v>158</v>
      </c>
      <c r="I11" s="27">
        <v>20000</v>
      </c>
      <c r="J11" s="29" t="s">
        <v>335</v>
      </c>
      <c r="K11" s="29" t="s">
        <v>333</v>
      </c>
      <c r="L11" s="29"/>
      <c r="M11" s="33"/>
      <c r="N11" s="33"/>
      <c r="R11" s="121"/>
    </row>
    <row r="12" spans="1:19" x14ac:dyDescent="0.25">
      <c r="A12" s="28">
        <v>5</v>
      </c>
      <c r="B12" s="29"/>
      <c r="C12" s="77"/>
      <c r="D12" s="33"/>
      <c r="E12" s="41" t="s">
        <v>291</v>
      </c>
      <c r="F12" s="29"/>
      <c r="G12" s="29"/>
      <c r="H12" s="29"/>
      <c r="I12" s="27">
        <v>3000</v>
      </c>
      <c r="J12" s="29" t="s">
        <v>333</v>
      </c>
      <c r="K12" s="29" t="s">
        <v>339</v>
      </c>
      <c r="L12" s="29"/>
      <c r="M12" s="33"/>
      <c r="N12" s="33"/>
    </row>
    <row r="13" spans="1:19" ht="31.5" x14ac:dyDescent="0.25">
      <c r="A13" s="28">
        <v>6</v>
      </c>
      <c r="B13" s="29"/>
      <c r="C13" s="77"/>
      <c r="D13" s="33"/>
      <c r="E13" s="41" t="s">
        <v>315</v>
      </c>
      <c r="F13" s="29"/>
      <c r="G13" s="29"/>
      <c r="H13" s="29"/>
      <c r="I13" s="27">
        <v>500000</v>
      </c>
      <c r="J13" s="29" t="s">
        <v>336</v>
      </c>
      <c r="K13" s="29" t="s">
        <v>142</v>
      </c>
      <c r="L13" s="29"/>
      <c r="M13" s="33"/>
      <c r="N13" s="33"/>
    </row>
    <row r="14" spans="1:19" x14ac:dyDescent="0.25">
      <c r="A14" s="28">
        <v>7</v>
      </c>
      <c r="B14" s="29"/>
      <c r="C14" s="77"/>
      <c r="D14" s="33"/>
      <c r="E14" s="41" t="s">
        <v>146</v>
      </c>
      <c r="F14" s="29"/>
      <c r="G14" s="29"/>
      <c r="H14" s="29"/>
      <c r="I14" s="27">
        <v>500000</v>
      </c>
      <c r="J14" s="29" t="s">
        <v>334</v>
      </c>
      <c r="K14" s="29" t="s">
        <v>333</v>
      </c>
      <c r="L14" s="29"/>
      <c r="M14" s="33"/>
      <c r="N14" s="33"/>
    </row>
    <row r="15" spans="1:19" x14ac:dyDescent="0.25">
      <c r="A15" s="28">
        <v>8</v>
      </c>
      <c r="B15" s="29"/>
      <c r="C15" s="77"/>
      <c r="D15" s="33"/>
      <c r="E15" s="41"/>
      <c r="F15" s="29"/>
      <c r="G15" s="29"/>
      <c r="H15" s="29"/>
      <c r="I15" s="27"/>
      <c r="J15" s="29"/>
      <c r="K15" s="29"/>
      <c r="L15" s="29"/>
      <c r="M15" s="33"/>
      <c r="N15" s="33"/>
    </row>
    <row r="16" spans="1:19" x14ac:dyDescent="0.25">
      <c r="A16" s="28">
        <v>9</v>
      </c>
      <c r="B16" s="29"/>
      <c r="C16" s="77"/>
      <c r="D16" s="33"/>
      <c r="E16" s="41"/>
      <c r="F16" s="29"/>
      <c r="G16" s="29"/>
      <c r="H16" s="29"/>
      <c r="I16" s="27"/>
      <c r="J16" s="29"/>
      <c r="K16" s="29"/>
      <c r="L16" s="29"/>
      <c r="M16" s="33"/>
      <c r="N16" s="33"/>
    </row>
    <row r="17" spans="1:14" x14ac:dyDescent="0.25">
      <c r="A17" s="28">
        <v>10</v>
      </c>
      <c r="B17" s="29"/>
      <c r="C17" s="77"/>
      <c r="D17" s="33"/>
      <c r="E17" s="41"/>
      <c r="F17" s="29"/>
      <c r="G17" s="29"/>
      <c r="H17" s="29"/>
      <c r="I17" s="27"/>
      <c r="J17" s="29"/>
      <c r="K17" s="29"/>
      <c r="L17" s="29"/>
      <c r="M17" s="33"/>
      <c r="N17" s="33"/>
    </row>
    <row r="18" spans="1:14" x14ac:dyDescent="0.25">
      <c r="A18" s="28">
        <v>11</v>
      </c>
      <c r="B18" s="29"/>
      <c r="C18" s="77"/>
      <c r="D18" s="33"/>
      <c r="E18" s="41"/>
      <c r="F18" s="29"/>
      <c r="G18" s="29"/>
      <c r="H18" s="29"/>
      <c r="I18" s="27"/>
      <c r="J18" s="29"/>
      <c r="K18" s="29"/>
      <c r="L18" s="29"/>
      <c r="M18" s="33"/>
      <c r="N18" s="33"/>
    </row>
    <row r="19" spans="1:14" x14ac:dyDescent="0.25">
      <c r="A19" s="28">
        <v>12</v>
      </c>
      <c r="B19" s="29"/>
      <c r="C19" s="77"/>
      <c r="D19" s="33"/>
      <c r="E19" s="41"/>
      <c r="F19" s="29"/>
      <c r="G19" s="29"/>
      <c r="H19" s="29"/>
      <c r="I19" s="27"/>
      <c r="J19" s="29"/>
      <c r="K19" s="29"/>
      <c r="L19" s="29"/>
      <c r="M19" s="33"/>
      <c r="N19" s="33"/>
    </row>
    <row r="20" spans="1:14" x14ac:dyDescent="0.25">
      <c r="A20" s="28">
        <v>13</v>
      </c>
      <c r="B20" s="29"/>
      <c r="C20" s="77"/>
      <c r="D20" s="33"/>
      <c r="E20" s="41"/>
      <c r="F20" s="29"/>
      <c r="G20" s="29"/>
      <c r="H20" s="29"/>
      <c r="I20" s="27"/>
      <c r="J20" s="29"/>
      <c r="K20" s="29"/>
      <c r="L20" s="29"/>
      <c r="M20" s="33"/>
      <c r="N20" s="33"/>
    </row>
    <row r="21" spans="1:14" x14ac:dyDescent="0.25">
      <c r="A21" s="28">
        <v>14</v>
      </c>
      <c r="B21" s="29"/>
      <c r="C21" s="77"/>
      <c r="D21" s="33"/>
      <c r="E21" s="41"/>
      <c r="F21" s="29"/>
      <c r="G21" s="29"/>
      <c r="H21" s="29"/>
      <c r="I21" s="27"/>
      <c r="J21" s="29"/>
      <c r="K21" s="29"/>
      <c r="L21" s="29"/>
      <c r="M21" s="33"/>
      <c r="N21" s="33"/>
    </row>
    <row r="22" spans="1:14" x14ac:dyDescent="0.25">
      <c r="A22" s="28">
        <v>15</v>
      </c>
      <c r="B22" s="29"/>
      <c r="C22" s="77"/>
      <c r="D22" s="33"/>
      <c r="E22" s="41"/>
      <c r="F22" s="29"/>
      <c r="G22" s="29"/>
      <c r="H22" s="29"/>
      <c r="I22" s="27"/>
      <c r="J22" s="29"/>
      <c r="K22" s="29"/>
      <c r="L22" s="29"/>
      <c r="M22" s="33"/>
      <c r="N22" s="33"/>
    </row>
    <row r="23" spans="1:14" x14ac:dyDescent="0.25">
      <c r="A23" s="28">
        <v>16</v>
      </c>
      <c r="B23" s="29"/>
      <c r="C23" s="77"/>
      <c r="D23" s="33"/>
      <c r="E23" s="41"/>
      <c r="F23" s="29"/>
      <c r="G23" s="29"/>
      <c r="H23" s="29"/>
      <c r="I23" s="27"/>
      <c r="J23" s="29"/>
      <c r="K23" s="29"/>
      <c r="L23" s="29"/>
      <c r="M23" s="33"/>
      <c r="N23" s="33"/>
    </row>
    <row r="24" spans="1:14" x14ac:dyDescent="0.25">
      <c r="A24" s="28">
        <v>17</v>
      </c>
      <c r="B24" s="29"/>
      <c r="C24" s="77"/>
      <c r="D24" s="33"/>
      <c r="E24" s="41"/>
      <c r="F24" s="29"/>
      <c r="G24" s="29"/>
      <c r="H24" s="29"/>
      <c r="I24" s="27"/>
      <c r="J24" s="29"/>
      <c r="K24" s="29"/>
      <c r="L24" s="29"/>
      <c r="M24" s="33"/>
      <c r="N24" s="33"/>
    </row>
    <row r="25" spans="1:14" x14ac:dyDescent="0.25">
      <c r="A25" s="28">
        <v>18</v>
      </c>
      <c r="B25" s="29"/>
      <c r="C25" s="77"/>
      <c r="D25" s="33"/>
      <c r="E25" s="41"/>
      <c r="F25" s="29"/>
      <c r="G25" s="29"/>
      <c r="H25" s="29"/>
      <c r="I25" s="27"/>
      <c r="J25" s="29"/>
      <c r="K25" s="29"/>
      <c r="L25" s="29"/>
      <c r="M25" s="33"/>
      <c r="N25" s="33"/>
    </row>
    <row r="26" spans="1:14" x14ac:dyDescent="0.25">
      <c r="A26" s="28">
        <v>19</v>
      </c>
      <c r="B26" s="29"/>
      <c r="C26" s="77"/>
      <c r="D26" s="33"/>
      <c r="E26" s="41"/>
      <c r="F26" s="29"/>
      <c r="G26" s="29"/>
      <c r="H26" s="29"/>
      <c r="I26" s="27"/>
      <c r="J26" s="29"/>
      <c r="K26" s="29"/>
      <c r="L26" s="29"/>
      <c r="M26" s="33"/>
      <c r="N26" s="33"/>
    </row>
    <row r="27" spans="1:14" x14ac:dyDescent="0.25">
      <c r="A27" s="28">
        <v>20</v>
      </c>
      <c r="B27" s="29"/>
      <c r="C27" s="77"/>
      <c r="D27" s="33"/>
      <c r="E27" s="41"/>
      <c r="F27" s="29"/>
      <c r="G27" s="29"/>
      <c r="H27" s="29"/>
      <c r="I27" s="27"/>
      <c r="J27" s="29"/>
      <c r="K27" s="29"/>
      <c r="L27" s="29"/>
      <c r="M27" s="33"/>
      <c r="N27" s="33"/>
    </row>
    <row r="28" spans="1:14" x14ac:dyDescent="0.25">
      <c r="A28" s="28">
        <v>21</v>
      </c>
      <c r="B28" s="29"/>
      <c r="C28" s="77"/>
      <c r="D28" s="33"/>
      <c r="E28" s="41"/>
      <c r="F28" s="29"/>
      <c r="G28" s="29"/>
      <c r="H28" s="29"/>
      <c r="I28" s="27"/>
      <c r="J28" s="29"/>
      <c r="K28" s="29"/>
      <c r="L28" s="29"/>
      <c r="M28" s="33"/>
      <c r="N28" s="33"/>
    </row>
    <row r="29" spans="1:14" x14ac:dyDescent="0.25">
      <c r="A29" s="28">
        <v>22</v>
      </c>
      <c r="B29" s="29"/>
      <c r="C29" s="77"/>
      <c r="D29" s="33"/>
      <c r="E29" s="41"/>
      <c r="F29" s="29"/>
      <c r="G29" s="29"/>
      <c r="H29" s="29"/>
      <c r="I29" s="27"/>
      <c r="J29" s="29"/>
      <c r="K29" s="29"/>
      <c r="L29" s="29"/>
      <c r="M29" s="33"/>
      <c r="N29" s="33"/>
    </row>
    <row r="30" spans="1:14" x14ac:dyDescent="0.25">
      <c r="A30" s="28">
        <v>23</v>
      </c>
      <c r="B30" s="29"/>
      <c r="C30" s="77"/>
      <c r="D30" s="33"/>
      <c r="E30" s="41"/>
      <c r="F30" s="29"/>
      <c r="G30" s="29"/>
      <c r="H30" s="29"/>
      <c r="I30" s="27"/>
      <c r="J30" s="29"/>
      <c r="K30" s="29"/>
      <c r="L30" s="29"/>
      <c r="M30" s="33"/>
      <c r="N30" s="33"/>
    </row>
    <row r="31" spans="1:14" x14ac:dyDescent="0.25">
      <c r="A31" s="28">
        <v>24</v>
      </c>
      <c r="B31" s="29"/>
      <c r="C31" s="77"/>
      <c r="D31" s="33"/>
      <c r="E31" s="41"/>
      <c r="F31" s="29"/>
      <c r="G31" s="29"/>
      <c r="H31" s="29"/>
      <c r="I31" s="27"/>
      <c r="J31" s="29"/>
      <c r="K31" s="29"/>
      <c r="L31" s="29"/>
      <c r="M31" s="33"/>
      <c r="N31" s="33"/>
    </row>
    <row r="32" spans="1:14" x14ac:dyDescent="0.25">
      <c r="A32" s="28">
        <v>25</v>
      </c>
      <c r="B32" s="29"/>
      <c r="C32" s="77"/>
      <c r="D32" s="33"/>
      <c r="E32" s="41"/>
      <c r="F32" s="29"/>
      <c r="G32" s="29"/>
      <c r="H32" s="29"/>
      <c r="I32" s="27"/>
      <c r="J32" s="29"/>
      <c r="K32" s="29"/>
      <c r="L32" s="29"/>
      <c r="M32" s="33"/>
      <c r="N32" s="33"/>
    </row>
    <row r="33" spans="1:14" x14ac:dyDescent="0.25">
      <c r="A33" s="28">
        <v>26</v>
      </c>
      <c r="B33" s="29"/>
      <c r="C33" s="77"/>
      <c r="D33" s="33"/>
      <c r="E33" s="41"/>
      <c r="F33" s="29"/>
      <c r="G33" s="29"/>
      <c r="H33" s="29"/>
      <c r="I33" s="27"/>
      <c r="J33" s="29"/>
      <c r="K33" s="29"/>
      <c r="L33" s="29"/>
      <c r="M33" s="33"/>
      <c r="N33" s="33"/>
    </row>
    <row r="34" spans="1:14" x14ac:dyDescent="0.25">
      <c r="A34" s="28">
        <v>27</v>
      </c>
      <c r="B34" s="29"/>
      <c r="C34" s="77"/>
      <c r="D34" s="33"/>
      <c r="E34" s="41"/>
      <c r="F34" s="29"/>
      <c r="G34" s="29"/>
      <c r="H34" s="29"/>
      <c r="I34" s="27"/>
      <c r="J34" s="29"/>
      <c r="K34" s="29"/>
      <c r="L34" s="29"/>
      <c r="M34" s="33"/>
      <c r="N34" s="33"/>
    </row>
    <row r="35" spans="1:14" x14ac:dyDescent="0.25">
      <c r="A35" s="28">
        <v>28</v>
      </c>
      <c r="B35" s="29"/>
      <c r="C35" s="77"/>
      <c r="D35" s="33"/>
      <c r="E35" s="41"/>
      <c r="F35" s="29"/>
      <c r="G35" s="29"/>
      <c r="H35" s="29"/>
      <c r="I35" s="27"/>
      <c r="J35" s="29"/>
      <c r="K35" s="29"/>
      <c r="L35" s="29"/>
      <c r="M35" s="33"/>
      <c r="N35" s="33"/>
    </row>
    <row r="36" spans="1:14" x14ac:dyDescent="0.25">
      <c r="A36" s="28">
        <v>29</v>
      </c>
      <c r="B36" s="29"/>
      <c r="C36" s="77"/>
      <c r="D36" s="33"/>
      <c r="E36" s="41"/>
      <c r="F36" s="29"/>
      <c r="G36" s="29"/>
      <c r="H36" s="29"/>
      <c r="I36" s="27"/>
      <c r="J36" s="29"/>
      <c r="K36" s="29"/>
      <c r="L36" s="29"/>
      <c r="M36" s="33"/>
      <c r="N36" s="33"/>
    </row>
    <row r="37" spans="1:14" x14ac:dyDescent="0.25">
      <c r="A37" s="28">
        <v>30</v>
      </c>
      <c r="B37" s="29"/>
      <c r="C37" s="77"/>
      <c r="D37" s="33"/>
      <c r="E37" s="41"/>
      <c r="F37" s="29"/>
      <c r="G37" s="29"/>
      <c r="H37" s="29"/>
      <c r="I37" s="27"/>
      <c r="J37" s="29"/>
      <c r="K37" s="29"/>
      <c r="L37" s="29"/>
      <c r="M37" s="33"/>
      <c r="N37" s="33"/>
    </row>
    <row r="38" spans="1:14" x14ac:dyDescent="0.25">
      <c r="A38" s="28">
        <v>31</v>
      </c>
      <c r="B38" s="29"/>
      <c r="C38" s="77"/>
      <c r="D38" s="33"/>
      <c r="E38" s="41"/>
      <c r="F38" s="29"/>
      <c r="G38" s="29"/>
      <c r="H38" s="29"/>
      <c r="I38" s="27"/>
      <c r="J38" s="29"/>
      <c r="K38" s="29"/>
      <c r="L38" s="29"/>
      <c r="M38" s="33"/>
      <c r="N38" s="33"/>
    </row>
    <row r="39" spans="1:14" x14ac:dyDescent="0.25">
      <c r="A39" s="28">
        <v>32</v>
      </c>
      <c r="B39" s="29"/>
      <c r="C39" s="77"/>
      <c r="D39" s="33"/>
      <c r="E39" s="41"/>
      <c r="F39" s="29"/>
      <c r="G39" s="29"/>
      <c r="H39" s="29"/>
      <c r="I39" s="27"/>
      <c r="J39" s="29"/>
      <c r="K39" s="29"/>
      <c r="L39" s="29"/>
      <c r="M39" s="33"/>
      <c r="N39" s="33"/>
    </row>
    <row r="40" spans="1:14" x14ac:dyDescent="0.25">
      <c r="A40" s="28">
        <v>33</v>
      </c>
      <c r="B40" s="29"/>
      <c r="C40" s="77"/>
      <c r="D40" s="33"/>
      <c r="E40" s="41"/>
      <c r="F40" s="29"/>
      <c r="G40" s="29"/>
      <c r="H40" s="29"/>
      <c r="I40" s="27"/>
      <c r="J40" s="29"/>
      <c r="K40" s="29"/>
      <c r="L40" s="29"/>
      <c r="M40" s="33"/>
      <c r="N40" s="33"/>
    </row>
    <row r="41" spans="1:14" x14ac:dyDescent="0.25">
      <c r="A41" s="28">
        <v>34</v>
      </c>
      <c r="B41" s="29"/>
      <c r="C41" s="77"/>
      <c r="D41" s="33"/>
      <c r="E41" s="41"/>
      <c r="F41" s="29"/>
      <c r="G41" s="29"/>
      <c r="H41" s="29"/>
      <c r="I41" s="27"/>
      <c r="J41" s="29"/>
      <c r="K41" s="29"/>
      <c r="L41" s="29"/>
      <c r="M41" s="33"/>
      <c r="N41" s="33"/>
    </row>
    <row r="42" spans="1:14" x14ac:dyDescent="0.25">
      <c r="A42" s="28">
        <v>35</v>
      </c>
      <c r="B42" s="29"/>
      <c r="C42" s="77"/>
      <c r="D42" s="33"/>
      <c r="E42" s="41"/>
      <c r="F42" s="29"/>
      <c r="G42" s="29"/>
      <c r="H42" s="29"/>
      <c r="I42" s="27"/>
      <c r="J42" s="29"/>
      <c r="K42" s="29"/>
      <c r="L42" s="29"/>
      <c r="M42" s="33"/>
      <c r="N42" s="33"/>
    </row>
    <row r="43" spans="1:14" x14ac:dyDescent="0.25">
      <c r="A43" s="28">
        <v>36</v>
      </c>
      <c r="B43" s="29"/>
      <c r="C43" s="77"/>
      <c r="D43" s="33"/>
      <c r="E43" s="41"/>
      <c r="F43" s="29"/>
      <c r="G43" s="29"/>
      <c r="H43" s="29"/>
      <c r="I43" s="27"/>
      <c r="J43" s="29"/>
      <c r="K43" s="29"/>
      <c r="L43" s="29"/>
      <c r="M43" s="33"/>
      <c r="N43" s="33"/>
    </row>
    <row r="44" spans="1:14" x14ac:dyDescent="0.25">
      <c r="A44" s="28">
        <v>37</v>
      </c>
      <c r="B44" s="29"/>
      <c r="C44" s="77"/>
      <c r="D44" s="33"/>
      <c r="E44" s="41"/>
      <c r="F44" s="29"/>
      <c r="G44" s="29"/>
      <c r="H44" s="29"/>
      <c r="I44" s="27"/>
      <c r="J44" s="29"/>
      <c r="K44" s="29"/>
      <c r="L44" s="29"/>
      <c r="M44" s="33"/>
      <c r="N44" s="33"/>
    </row>
    <row r="45" spans="1:14" x14ac:dyDescent="0.25">
      <c r="A45" s="28">
        <v>38</v>
      </c>
      <c r="B45" s="29"/>
      <c r="C45" s="77"/>
      <c r="D45" s="33"/>
      <c r="E45" s="41"/>
      <c r="F45" s="29"/>
      <c r="G45" s="29"/>
      <c r="H45" s="29"/>
      <c r="I45" s="27"/>
      <c r="J45" s="29"/>
      <c r="K45" s="29"/>
      <c r="L45" s="29"/>
      <c r="M45" s="33"/>
      <c r="N45" s="33"/>
    </row>
    <row r="46" spans="1:14" x14ac:dyDescent="0.25">
      <c r="A46" s="28">
        <v>39</v>
      </c>
      <c r="B46" s="29"/>
      <c r="C46" s="77"/>
      <c r="D46" s="33"/>
      <c r="E46" s="41"/>
      <c r="F46" s="29"/>
      <c r="G46" s="29"/>
      <c r="H46" s="29"/>
      <c r="I46" s="27"/>
      <c r="J46" s="29"/>
      <c r="K46" s="29"/>
      <c r="L46" s="29"/>
      <c r="M46" s="33"/>
      <c r="N46" s="33"/>
    </row>
    <row r="47" spans="1:14" x14ac:dyDescent="0.25">
      <c r="A47" s="28">
        <v>40</v>
      </c>
      <c r="B47" s="29"/>
      <c r="C47" s="77"/>
      <c r="D47" s="33"/>
      <c r="E47" s="41"/>
      <c r="F47" s="29"/>
      <c r="G47" s="29"/>
      <c r="H47" s="29"/>
      <c r="I47" s="27"/>
      <c r="J47" s="29"/>
      <c r="K47" s="29"/>
      <c r="L47" s="29"/>
      <c r="M47" s="33"/>
      <c r="N47" s="33"/>
    </row>
    <row r="48" spans="1:14" x14ac:dyDescent="0.25">
      <c r="A48" s="28">
        <v>41</v>
      </c>
      <c r="B48" s="29"/>
      <c r="C48" s="77"/>
      <c r="D48" s="33"/>
      <c r="E48" s="41"/>
      <c r="F48" s="29"/>
      <c r="G48" s="29"/>
      <c r="H48" s="29"/>
      <c r="I48" s="27"/>
      <c r="J48" s="29"/>
      <c r="K48" s="29"/>
      <c r="L48" s="29"/>
      <c r="M48" s="33"/>
      <c r="N48" s="33"/>
    </row>
    <row r="49" spans="1:14" x14ac:dyDescent="0.25">
      <c r="A49" s="28">
        <v>42</v>
      </c>
      <c r="B49" s="29"/>
      <c r="C49" s="77"/>
      <c r="D49" s="33"/>
      <c r="E49" s="41"/>
      <c r="F49" s="29"/>
      <c r="G49" s="29"/>
      <c r="H49" s="29"/>
      <c r="I49" s="27"/>
      <c r="J49" s="29"/>
      <c r="K49" s="29"/>
      <c r="L49" s="29"/>
      <c r="M49" s="33"/>
      <c r="N49" s="33"/>
    </row>
    <row r="50" spans="1:14" x14ac:dyDescent="0.25">
      <c r="A50" s="28">
        <v>43</v>
      </c>
      <c r="B50" s="29"/>
      <c r="C50" s="77"/>
      <c r="D50" s="33"/>
      <c r="E50" s="41"/>
      <c r="F50" s="29"/>
      <c r="G50" s="29"/>
      <c r="H50" s="29"/>
      <c r="I50" s="27"/>
      <c r="J50" s="29"/>
      <c r="K50" s="29"/>
      <c r="L50" s="29"/>
      <c r="M50" s="33"/>
      <c r="N50" s="33"/>
    </row>
    <row r="51" spans="1:14" x14ac:dyDescent="0.25">
      <c r="A51" s="28">
        <v>44</v>
      </c>
      <c r="B51" s="29"/>
      <c r="C51" s="77"/>
      <c r="D51" s="33"/>
      <c r="E51" s="41"/>
      <c r="F51" s="29"/>
      <c r="G51" s="29"/>
      <c r="H51" s="29"/>
      <c r="I51" s="27"/>
      <c r="J51" s="29"/>
      <c r="K51" s="29"/>
      <c r="L51" s="29"/>
      <c r="M51" s="33"/>
      <c r="N51" s="33"/>
    </row>
    <row r="52" spans="1:14" x14ac:dyDescent="0.25">
      <c r="A52" s="28">
        <v>45</v>
      </c>
      <c r="B52" s="29"/>
      <c r="C52" s="77"/>
      <c r="D52" s="33"/>
      <c r="E52" s="41"/>
      <c r="F52" s="29"/>
      <c r="G52" s="29"/>
      <c r="H52" s="29"/>
      <c r="I52" s="27"/>
      <c r="J52" s="29"/>
      <c r="K52" s="29"/>
      <c r="L52" s="29"/>
      <c r="M52" s="33"/>
      <c r="N52" s="33"/>
    </row>
    <row r="53" spans="1:14" x14ac:dyDescent="0.25">
      <c r="A53" s="28">
        <v>46</v>
      </c>
      <c r="B53" s="29"/>
      <c r="C53" s="77"/>
      <c r="D53" s="33"/>
      <c r="E53" s="41"/>
      <c r="F53" s="29"/>
      <c r="G53" s="29"/>
      <c r="H53" s="29"/>
      <c r="I53" s="27"/>
      <c r="J53" s="29"/>
      <c r="K53" s="29"/>
      <c r="L53" s="29"/>
      <c r="M53" s="33"/>
      <c r="N53" s="33"/>
    </row>
    <row r="54" spans="1:14" x14ac:dyDescent="0.25">
      <c r="A54" s="28">
        <v>47</v>
      </c>
      <c r="B54" s="29"/>
      <c r="C54" s="77"/>
      <c r="D54" s="33"/>
      <c r="E54" s="41"/>
      <c r="F54" s="29"/>
      <c r="G54" s="29"/>
      <c r="H54" s="29"/>
      <c r="I54" s="27"/>
      <c r="J54" s="29"/>
      <c r="K54" s="29"/>
      <c r="L54" s="29"/>
      <c r="M54" s="33"/>
      <c r="N54" s="33"/>
    </row>
    <row r="55" spans="1:14" x14ac:dyDescent="0.25">
      <c r="A55" s="28">
        <v>48</v>
      </c>
      <c r="B55" s="29"/>
      <c r="C55" s="77"/>
      <c r="D55" s="33"/>
      <c r="E55" s="41"/>
      <c r="F55" s="29"/>
      <c r="G55" s="29"/>
      <c r="H55" s="29"/>
      <c r="I55" s="27"/>
      <c r="J55" s="29"/>
      <c r="K55" s="29"/>
      <c r="L55" s="29"/>
      <c r="M55" s="33"/>
      <c r="N55" s="33"/>
    </row>
    <row r="56" spans="1:14" x14ac:dyDescent="0.25">
      <c r="A56" s="28">
        <v>49</v>
      </c>
      <c r="B56" s="29"/>
      <c r="C56" s="77"/>
      <c r="D56" s="33"/>
      <c r="E56" s="41"/>
      <c r="F56" s="29"/>
      <c r="G56" s="29"/>
      <c r="H56" s="29"/>
      <c r="I56" s="27"/>
      <c r="J56" s="29"/>
      <c r="K56" s="29"/>
      <c r="L56" s="29"/>
      <c r="M56" s="33"/>
      <c r="N56" s="33"/>
    </row>
    <row r="57" spans="1:14" x14ac:dyDescent="0.25">
      <c r="A57" s="28">
        <v>50</v>
      </c>
      <c r="B57" s="29"/>
      <c r="C57" s="77"/>
      <c r="D57" s="33"/>
      <c r="E57" s="41"/>
      <c r="F57" s="29"/>
      <c r="G57" s="29"/>
      <c r="H57" s="29"/>
      <c r="I57" s="27"/>
      <c r="J57" s="29"/>
      <c r="K57" s="29"/>
      <c r="L57" s="29"/>
      <c r="M57" s="33"/>
      <c r="N57" s="33"/>
    </row>
    <row r="58" spans="1:14" x14ac:dyDescent="0.25">
      <c r="A58" s="28">
        <v>51</v>
      </c>
      <c r="B58" s="29"/>
      <c r="C58" s="77"/>
      <c r="D58" s="33"/>
      <c r="E58" s="41"/>
      <c r="F58" s="29"/>
      <c r="G58" s="29"/>
      <c r="H58" s="29"/>
      <c r="I58" s="27"/>
      <c r="J58" s="29"/>
      <c r="K58" s="29"/>
      <c r="L58" s="29"/>
      <c r="M58" s="33"/>
      <c r="N58" s="33"/>
    </row>
    <row r="59" spans="1:14" x14ac:dyDescent="0.25">
      <c r="A59" s="28">
        <v>52</v>
      </c>
      <c r="B59" s="29"/>
      <c r="C59" s="77"/>
      <c r="D59" s="33"/>
      <c r="E59" s="41"/>
      <c r="F59" s="29"/>
      <c r="G59" s="29"/>
      <c r="H59" s="29"/>
      <c r="I59" s="27"/>
      <c r="J59" s="29"/>
      <c r="K59" s="29"/>
      <c r="L59" s="29"/>
      <c r="M59" s="33"/>
      <c r="N59" s="33"/>
    </row>
    <row r="60" spans="1:14" x14ac:dyDescent="0.25">
      <c r="A60" s="28">
        <v>53</v>
      </c>
      <c r="B60" s="29"/>
      <c r="C60" s="77"/>
      <c r="D60" s="33"/>
      <c r="E60" s="41"/>
      <c r="F60" s="29"/>
      <c r="G60" s="29"/>
      <c r="H60" s="29"/>
      <c r="I60" s="27"/>
      <c r="J60" s="29"/>
      <c r="K60" s="29"/>
      <c r="L60" s="29"/>
      <c r="M60" s="33"/>
      <c r="N60" s="33"/>
    </row>
    <row r="61" spans="1:14" x14ac:dyDescent="0.25">
      <c r="A61" s="28">
        <v>54</v>
      </c>
      <c r="B61" s="29"/>
      <c r="C61" s="77"/>
      <c r="D61" s="33"/>
      <c r="E61" s="41"/>
      <c r="F61" s="29"/>
      <c r="G61" s="29"/>
      <c r="H61" s="29"/>
      <c r="I61" s="27"/>
      <c r="J61" s="29"/>
      <c r="K61" s="29"/>
      <c r="L61" s="29"/>
      <c r="M61" s="33"/>
      <c r="N61" s="33"/>
    </row>
    <row r="62" spans="1:14" x14ac:dyDescent="0.25">
      <c r="A62" s="28">
        <v>55</v>
      </c>
      <c r="B62" s="29"/>
      <c r="C62" s="77"/>
      <c r="D62" s="33"/>
      <c r="E62" s="41"/>
      <c r="F62" s="29"/>
      <c r="G62" s="29"/>
      <c r="H62" s="29"/>
      <c r="I62" s="27"/>
      <c r="J62" s="29"/>
      <c r="K62" s="29"/>
      <c r="L62" s="29"/>
      <c r="M62" s="33"/>
      <c r="N62" s="33"/>
    </row>
    <row r="63" spans="1:14" x14ac:dyDescent="0.25">
      <c r="A63" s="28">
        <v>56</v>
      </c>
      <c r="B63" s="29"/>
      <c r="C63" s="77"/>
      <c r="D63" s="33"/>
      <c r="E63" s="41"/>
      <c r="F63" s="29"/>
      <c r="G63" s="29"/>
      <c r="H63" s="29"/>
      <c r="I63" s="27"/>
      <c r="J63" s="29"/>
      <c r="K63" s="29"/>
      <c r="L63" s="29"/>
      <c r="M63" s="33"/>
      <c r="N63" s="33"/>
    </row>
    <row r="64" spans="1:14" x14ac:dyDescent="0.25">
      <c r="A64" s="28">
        <v>57</v>
      </c>
      <c r="B64" s="29"/>
      <c r="C64" s="77"/>
      <c r="D64" s="33"/>
      <c r="E64" s="41"/>
      <c r="F64" s="29"/>
      <c r="G64" s="29"/>
      <c r="H64" s="29"/>
      <c r="I64" s="27"/>
      <c r="J64" s="29"/>
      <c r="K64" s="29"/>
      <c r="L64" s="29"/>
      <c r="M64" s="33"/>
      <c r="N64" s="33"/>
    </row>
    <row r="65" spans="1:14" x14ac:dyDescent="0.25">
      <c r="A65" s="28">
        <v>58</v>
      </c>
      <c r="B65" s="29"/>
      <c r="C65" s="77"/>
      <c r="D65" s="33"/>
      <c r="E65" s="41"/>
      <c r="F65" s="29"/>
      <c r="G65" s="29"/>
      <c r="H65" s="29"/>
      <c r="I65" s="27"/>
      <c r="J65" s="29"/>
      <c r="K65" s="29"/>
      <c r="L65" s="29"/>
      <c r="M65" s="33"/>
      <c r="N65" s="33"/>
    </row>
    <row r="66" spans="1:14" x14ac:dyDescent="0.25">
      <c r="A66" s="28">
        <v>59</v>
      </c>
      <c r="B66" s="29"/>
      <c r="C66" s="77"/>
      <c r="D66" s="33"/>
      <c r="E66" s="41"/>
      <c r="F66" s="29"/>
      <c r="G66" s="29"/>
      <c r="H66" s="29"/>
      <c r="I66" s="27"/>
      <c r="J66" s="29"/>
      <c r="K66" s="29"/>
      <c r="L66" s="29"/>
      <c r="M66" s="33"/>
      <c r="N66" s="33"/>
    </row>
    <row r="67" spans="1:14" x14ac:dyDescent="0.25">
      <c r="A67" s="28">
        <v>60</v>
      </c>
      <c r="B67" s="29"/>
      <c r="C67" s="77"/>
      <c r="D67" s="33"/>
      <c r="E67" s="41"/>
      <c r="F67" s="29"/>
      <c r="G67" s="29"/>
      <c r="H67" s="29"/>
      <c r="I67" s="27"/>
      <c r="J67" s="29"/>
      <c r="K67" s="29"/>
      <c r="L67" s="29"/>
      <c r="M67" s="33"/>
      <c r="N67" s="33"/>
    </row>
    <row r="68" spans="1:14" x14ac:dyDescent="0.25">
      <c r="A68" s="28">
        <v>61</v>
      </c>
      <c r="B68" s="29"/>
      <c r="C68" s="77"/>
      <c r="D68" s="33"/>
      <c r="E68" s="41"/>
      <c r="F68" s="29"/>
      <c r="G68" s="29"/>
      <c r="H68" s="29"/>
      <c r="I68" s="27"/>
      <c r="J68" s="29"/>
      <c r="K68" s="29"/>
      <c r="L68" s="29"/>
      <c r="M68" s="33"/>
      <c r="N68" s="33"/>
    </row>
    <row r="69" spans="1:14" x14ac:dyDescent="0.25">
      <c r="A69" s="28">
        <v>62</v>
      </c>
      <c r="B69" s="29"/>
      <c r="C69" s="77"/>
      <c r="D69" s="33"/>
      <c r="E69" s="41"/>
      <c r="F69" s="29"/>
      <c r="G69" s="29"/>
      <c r="H69" s="29"/>
      <c r="I69" s="27"/>
      <c r="J69" s="29"/>
      <c r="K69" s="29"/>
      <c r="L69" s="29"/>
      <c r="M69" s="33"/>
      <c r="N69" s="33"/>
    </row>
    <row r="70" spans="1:14" x14ac:dyDescent="0.25">
      <c r="A70" s="28">
        <v>63</v>
      </c>
      <c r="B70" s="29"/>
      <c r="C70" s="77"/>
      <c r="D70" s="33"/>
      <c r="E70" s="41"/>
      <c r="F70" s="29"/>
      <c r="G70" s="29"/>
      <c r="H70" s="29"/>
      <c r="I70" s="27"/>
      <c r="J70" s="29"/>
      <c r="K70" s="29"/>
      <c r="L70" s="29"/>
      <c r="M70" s="33"/>
      <c r="N70" s="33"/>
    </row>
    <row r="71" spans="1:14" x14ac:dyDescent="0.25">
      <c r="A71" s="28">
        <v>64</v>
      </c>
      <c r="B71" s="29"/>
      <c r="C71" s="77"/>
      <c r="D71" s="33"/>
      <c r="E71" s="41"/>
      <c r="F71" s="29"/>
      <c r="G71" s="29"/>
      <c r="H71" s="29"/>
      <c r="I71" s="27"/>
      <c r="J71" s="29"/>
      <c r="K71" s="29"/>
      <c r="L71" s="29"/>
      <c r="M71" s="33"/>
      <c r="N71" s="33"/>
    </row>
    <row r="72" spans="1:14" x14ac:dyDescent="0.25">
      <c r="A72" s="28">
        <v>65</v>
      </c>
      <c r="B72" s="29"/>
      <c r="C72" s="77"/>
      <c r="D72" s="33"/>
      <c r="E72" s="41"/>
      <c r="F72" s="29"/>
      <c r="G72" s="29"/>
      <c r="H72" s="29"/>
      <c r="I72" s="27"/>
      <c r="J72" s="29"/>
      <c r="K72" s="29"/>
      <c r="L72" s="29"/>
      <c r="M72" s="33"/>
      <c r="N72" s="33"/>
    </row>
    <row r="73" spans="1:14" x14ac:dyDescent="0.25">
      <c r="A73" s="28">
        <v>66</v>
      </c>
      <c r="B73" s="29"/>
      <c r="C73" s="77"/>
      <c r="D73" s="33"/>
      <c r="E73" s="41"/>
      <c r="F73" s="29"/>
      <c r="G73" s="29"/>
      <c r="H73" s="29"/>
      <c r="I73" s="27"/>
      <c r="J73" s="29"/>
      <c r="K73" s="29"/>
      <c r="L73" s="29"/>
      <c r="M73" s="33"/>
      <c r="N73" s="33"/>
    </row>
    <row r="74" spans="1:14" x14ac:dyDescent="0.25">
      <c r="A74" s="28">
        <v>67</v>
      </c>
      <c r="B74" s="29"/>
      <c r="C74" s="77"/>
      <c r="D74" s="33"/>
      <c r="E74" s="41"/>
      <c r="F74" s="29"/>
      <c r="G74" s="29"/>
      <c r="H74" s="29"/>
      <c r="I74" s="27"/>
      <c r="J74" s="29"/>
      <c r="K74" s="29"/>
      <c r="L74" s="29"/>
      <c r="M74" s="33"/>
      <c r="N74" s="33"/>
    </row>
    <row r="75" spans="1:14" x14ac:dyDescent="0.25">
      <c r="A75" s="28">
        <v>68</v>
      </c>
      <c r="B75" s="29"/>
      <c r="C75" s="77"/>
      <c r="D75" s="33"/>
      <c r="E75" s="41"/>
      <c r="F75" s="29"/>
      <c r="G75" s="29"/>
      <c r="H75" s="29"/>
      <c r="I75" s="27"/>
      <c r="J75" s="29"/>
      <c r="K75" s="29"/>
      <c r="L75" s="29"/>
      <c r="M75" s="33"/>
      <c r="N75" s="33"/>
    </row>
    <row r="76" spans="1:14" x14ac:dyDescent="0.25">
      <c r="A76" s="28">
        <v>69</v>
      </c>
      <c r="B76" s="29"/>
      <c r="C76" s="77"/>
      <c r="D76" s="33"/>
      <c r="E76" s="41"/>
      <c r="F76" s="29"/>
      <c r="G76" s="29"/>
      <c r="H76" s="29"/>
      <c r="I76" s="27"/>
      <c r="J76" s="29"/>
      <c r="K76" s="29"/>
      <c r="L76" s="29"/>
      <c r="M76" s="33"/>
      <c r="N76" s="33"/>
    </row>
    <row r="77" spans="1:14" x14ac:dyDescent="0.25">
      <c r="A77" s="28">
        <v>70</v>
      </c>
      <c r="B77" s="29"/>
      <c r="C77" s="77"/>
      <c r="D77" s="33"/>
      <c r="E77" s="41"/>
      <c r="F77" s="29"/>
      <c r="G77" s="29"/>
      <c r="H77" s="29"/>
      <c r="I77" s="27"/>
      <c r="J77" s="29"/>
      <c r="K77" s="29"/>
      <c r="L77" s="29"/>
      <c r="M77" s="33"/>
      <c r="N77" s="33"/>
    </row>
    <row r="78" spans="1:14" x14ac:dyDescent="0.25">
      <c r="A78" s="28">
        <v>71</v>
      </c>
      <c r="B78" s="29"/>
      <c r="C78" s="77"/>
      <c r="D78" s="33"/>
      <c r="E78" s="41"/>
      <c r="F78" s="29"/>
      <c r="G78" s="29"/>
      <c r="H78" s="29"/>
      <c r="I78" s="27"/>
      <c r="J78" s="29"/>
      <c r="K78" s="29"/>
      <c r="L78" s="29"/>
      <c r="M78" s="33"/>
      <c r="N78" s="33"/>
    </row>
    <row r="79" spans="1:14" x14ac:dyDescent="0.25">
      <c r="A79" s="28">
        <v>72</v>
      </c>
      <c r="B79" s="29"/>
      <c r="C79" s="77"/>
      <c r="D79" s="33"/>
      <c r="E79" s="41"/>
      <c r="F79" s="29"/>
      <c r="G79" s="29"/>
      <c r="H79" s="29"/>
      <c r="I79" s="27"/>
      <c r="J79" s="29"/>
      <c r="K79" s="29"/>
      <c r="L79" s="29"/>
      <c r="M79" s="33"/>
      <c r="N79" s="33"/>
    </row>
    <row r="80" spans="1:14" x14ac:dyDescent="0.25">
      <c r="A80" s="28">
        <v>73</v>
      </c>
      <c r="B80" s="29"/>
      <c r="C80" s="77"/>
      <c r="D80" s="33"/>
      <c r="E80" s="41"/>
      <c r="F80" s="29"/>
      <c r="G80" s="29"/>
      <c r="H80" s="29"/>
      <c r="I80" s="27"/>
      <c r="J80" s="29"/>
      <c r="K80" s="29"/>
      <c r="L80" s="29"/>
      <c r="M80" s="33"/>
      <c r="N80" s="33"/>
    </row>
    <row r="81" spans="1:14" x14ac:dyDescent="0.25">
      <c r="A81" s="28">
        <v>74</v>
      </c>
      <c r="B81" s="29"/>
      <c r="C81" s="77"/>
      <c r="D81" s="33"/>
      <c r="E81" s="41"/>
      <c r="F81" s="29"/>
      <c r="G81" s="29"/>
      <c r="H81" s="29"/>
      <c r="I81" s="27"/>
      <c r="J81" s="29"/>
      <c r="K81" s="29"/>
      <c r="L81" s="29"/>
      <c r="M81" s="33"/>
      <c r="N81" s="33"/>
    </row>
    <row r="82" spans="1:14" x14ac:dyDescent="0.25">
      <c r="A82" s="28">
        <v>75</v>
      </c>
      <c r="B82" s="29"/>
      <c r="C82" s="77"/>
      <c r="D82" s="33"/>
      <c r="E82" s="41"/>
      <c r="F82" s="29"/>
      <c r="G82" s="29"/>
      <c r="H82" s="29"/>
      <c r="I82" s="27"/>
      <c r="J82" s="29"/>
      <c r="K82" s="29"/>
      <c r="L82" s="29"/>
      <c r="M82" s="33"/>
      <c r="N82" s="33"/>
    </row>
    <row r="83" spans="1:14" x14ac:dyDescent="0.25">
      <c r="A83" s="28">
        <v>76</v>
      </c>
      <c r="B83" s="29"/>
      <c r="C83" s="77"/>
      <c r="D83" s="33"/>
      <c r="E83" s="41"/>
      <c r="F83" s="29"/>
      <c r="G83" s="29"/>
      <c r="H83" s="29"/>
      <c r="I83" s="27"/>
      <c r="J83" s="29"/>
      <c r="K83" s="29"/>
      <c r="L83" s="29"/>
      <c r="M83" s="33"/>
      <c r="N83" s="33"/>
    </row>
    <row r="84" spans="1:14" x14ac:dyDescent="0.25">
      <c r="A84" s="28">
        <v>77</v>
      </c>
      <c r="B84" s="29"/>
      <c r="C84" s="77"/>
      <c r="D84" s="33"/>
      <c r="E84" s="41"/>
      <c r="F84" s="29"/>
      <c r="G84" s="29"/>
      <c r="H84" s="29"/>
      <c r="I84" s="27"/>
      <c r="J84" s="29"/>
      <c r="K84" s="29"/>
      <c r="L84" s="29"/>
      <c r="M84" s="33"/>
      <c r="N84" s="33"/>
    </row>
    <row r="85" spans="1:14" x14ac:dyDescent="0.25">
      <c r="A85" s="28">
        <v>78</v>
      </c>
      <c r="B85" s="29"/>
      <c r="C85" s="77"/>
      <c r="D85" s="33"/>
      <c r="E85" s="41"/>
      <c r="F85" s="29"/>
      <c r="G85" s="29"/>
      <c r="H85" s="29"/>
      <c r="I85" s="27"/>
      <c r="J85" s="29"/>
      <c r="K85" s="29"/>
      <c r="L85" s="29"/>
      <c r="M85" s="33"/>
      <c r="N85" s="33"/>
    </row>
    <row r="86" spans="1:14" x14ac:dyDescent="0.25">
      <c r="A86" s="28">
        <v>79</v>
      </c>
      <c r="B86" s="29"/>
      <c r="C86" s="77"/>
      <c r="D86" s="33"/>
      <c r="E86" s="41"/>
      <c r="F86" s="29"/>
      <c r="G86" s="29"/>
      <c r="H86" s="29"/>
      <c r="I86" s="27"/>
      <c r="J86" s="29"/>
      <c r="K86" s="29"/>
      <c r="L86" s="29"/>
      <c r="M86" s="33"/>
      <c r="N86" s="33"/>
    </row>
    <row r="87" spans="1:14" x14ac:dyDescent="0.25">
      <c r="A87" s="28">
        <v>80</v>
      </c>
      <c r="B87" s="29"/>
      <c r="C87" s="77"/>
      <c r="D87" s="33"/>
      <c r="E87" s="41"/>
      <c r="F87" s="29"/>
      <c r="G87" s="29"/>
      <c r="H87" s="29"/>
      <c r="I87" s="27"/>
      <c r="J87" s="29"/>
      <c r="K87" s="29"/>
      <c r="L87" s="29"/>
      <c r="M87" s="33"/>
      <c r="N87" s="33"/>
    </row>
    <row r="88" spans="1:14" x14ac:dyDescent="0.25">
      <c r="A88" s="28">
        <v>81</v>
      </c>
      <c r="B88" s="29"/>
      <c r="C88" s="77"/>
      <c r="D88" s="33"/>
      <c r="E88" s="41"/>
      <c r="F88" s="29"/>
      <c r="G88" s="29"/>
      <c r="H88" s="29"/>
      <c r="I88" s="27"/>
      <c r="J88" s="29"/>
      <c r="K88" s="29"/>
      <c r="L88" s="29"/>
      <c r="M88" s="33"/>
      <c r="N88" s="33"/>
    </row>
    <row r="89" spans="1:14" x14ac:dyDescent="0.25">
      <c r="A89" s="28">
        <v>82</v>
      </c>
      <c r="B89" s="29"/>
      <c r="C89" s="77"/>
      <c r="D89" s="33"/>
      <c r="E89" s="41"/>
      <c r="F89" s="29"/>
      <c r="G89" s="29"/>
      <c r="H89" s="29"/>
      <c r="I89" s="27"/>
      <c r="J89" s="29"/>
      <c r="K89" s="29"/>
      <c r="L89" s="29"/>
      <c r="M89" s="33"/>
      <c r="N89" s="33"/>
    </row>
    <row r="90" spans="1:14" x14ac:dyDescent="0.25">
      <c r="A90" s="28">
        <v>83</v>
      </c>
      <c r="B90" s="29"/>
      <c r="C90" s="77"/>
      <c r="D90" s="33"/>
      <c r="E90" s="41"/>
      <c r="F90" s="29"/>
      <c r="G90" s="29"/>
      <c r="H90" s="29"/>
      <c r="I90" s="27"/>
      <c r="J90" s="29"/>
      <c r="K90" s="29"/>
      <c r="L90" s="29"/>
      <c r="M90" s="33"/>
      <c r="N90" s="33"/>
    </row>
    <row r="91" spans="1:14" x14ac:dyDescent="0.25">
      <c r="A91" s="28">
        <v>84</v>
      </c>
      <c r="B91" s="29"/>
      <c r="C91" s="77"/>
      <c r="D91" s="33"/>
      <c r="E91" s="41"/>
      <c r="F91" s="29"/>
      <c r="G91" s="29"/>
      <c r="H91" s="29"/>
      <c r="I91" s="27"/>
      <c r="J91" s="29"/>
      <c r="K91" s="29"/>
      <c r="L91" s="29"/>
      <c r="M91" s="33"/>
      <c r="N91" s="33"/>
    </row>
    <row r="92" spans="1:14" x14ac:dyDescent="0.25">
      <c r="A92" s="28">
        <v>85</v>
      </c>
      <c r="B92" s="29"/>
      <c r="C92" s="77"/>
      <c r="D92" s="33"/>
      <c r="E92" s="41"/>
      <c r="F92" s="29"/>
      <c r="G92" s="29"/>
      <c r="H92" s="29"/>
      <c r="I92" s="27"/>
      <c r="J92" s="29"/>
      <c r="K92" s="29"/>
      <c r="L92" s="29"/>
      <c r="M92" s="33"/>
      <c r="N92" s="33"/>
    </row>
    <row r="93" spans="1:14" x14ac:dyDescent="0.25">
      <c r="A93" s="28">
        <v>86</v>
      </c>
      <c r="B93" s="29"/>
      <c r="C93" s="77"/>
      <c r="D93" s="33"/>
      <c r="E93" s="41"/>
      <c r="F93" s="29"/>
      <c r="G93" s="29"/>
      <c r="H93" s="29"/>
      <c r="I93" s="27"/>
      <c r="J93" s="29"/>
      <c r="K93" s="29"/>
      <c r="L93" s="29"/>
      <c r="M93" s="33"/>
      <c r="N93" s="33"/>
    </row>
    <row r="94" spans="1:14" x14ac:dyDescent="0.25">
      <c r="A94" s="28">
        <v>87</v>
      </c>
      <c r="B94" s="29"/>
      <c r="C94" s="77"/>
      <c r="D94" s="33"/>
      <c r="E94" s="41"/>
      <c r="F94" s="29"/>
      <c r="G94" s="29"/>
      <c r="H94" s="29"/>
      <c r="I94" s="27"/>
      <c r="J94" s="29"/>
      <c r="K94" s="29"/>
      <c r="L94" s="29"/>
      <c r="M94" s="33"/>
      <c r="N94" s="33"/>
    </row>
    <row r="95" spans="1:14" x14ac:dyDescent="0.25">
      <c r="A95" s="28">
        <v>88</v>
      </c>
      <c r="B95" s="29"/>
      <c r="C95" s="77"/>
      <c r="D95" s="33"/>
      <c r="E95" s="41"/>
      <c r="F95" s="29"/>
      <c r="G95" s="29"/>
      <c r="H95" s="29"/>
      <c r="I95" s="27"/>
      <c r="J95" s="29"/>
      <c r="K95" s="29"/>
      <c r="L95" s="29"/>
      <c r="M95" s="33"/>
      <c r="N95" s="33"/>
    </row>
    <row r="96" spans="1:14" x14ac:dyDescent="0.25">
      <c r="A96" s="28">
        <v>89</v>
      </c>
      <c r="B96" s="29"/>
      <c r="C96" s="77"/>
      <c r="D96" s="33"/>
      <c r="E96" s="41"/>
      <c r="F96" s="29"/>
      <c r="G96" s="29"/>
      <c r="H96" s="29"/>
      <c r="I96" s="27"/>
      <c r="J96" s="29"/>
      <c r="K96" s="29"/>
      <c r="L96" s="29"/>
      <c r="M96" s="33"/>
      <c r="N96" s="33"/>
    </row>
    <row r="97" spans="1:14" x14ac:dyDescent="0.25">
      <c r="A97" s="28">
        <v>90</v>
      </c>
      <c r="B97" s="29"/>
      <c r="C97" s="77"/>
      <c r="D97" s="33"/>
      <c r="E97" s="41"/>
      <c r="F97" s="29"/>
      <c r="G97" s="29"/>
      <c r="H97" s="29"/>
      <c r="I97" s="27"/>
      <c r="J97" s="29"/>
      <c r="K97" s="29"/>
      <c r="L97" s="29"/>
      <c r="M97" s="33"/>
      <c r="N97" s="33"/>
    </row>
    <row r="98" spans="1:14" x14ac:dyDescent="0.25">
      <c r="A98" s="28">
        <v>91</v>
      </c>
      <c r="B98" s="29"/>
      <c r="C98" s="77"/>
      <c r="D98" s="33"/>
      <c r="E98" s="41"/>
      <c r="F98" s="29"/>
      <c r="G98" s="29"/>
      <c r="H98" s="29"/>
      <c r="I98" s="27"/>
      <c r="J98" s="29"/>
      <c r="K98" s="29"/>
      <c r="L98" s="29"/>
      <c r="M98" s="33"/>
      <c r="N98" s="33"/>
    </row>
    <row r="99" spans="1:14" x14ac:dyDescent="0.25">
      <c r="A99" s="28">
        <v>92</v>
      </c>
      <c r="B99" s="29"/>
      <c r="C99" s="77"/>
      <c r="D99" s="33"/>
      <c r="E99" s="41"/>
      <c r="F99" s="29"/>
      <c r="G99" s="29"/>
      <c r="H99" s="29"/>
      <c r="I99" s="27"/>
      <c r="J99" s="29"/>
      <c r="K99" s="29"/>
      <c r="L99" s="29"/>
      <c r="M99" s="33"/>
      <c r="N99" s="33"/>
    </row>
    <row r="100" spans="1:14" x14ac:dyDescent="0.25">
      <c r="A100" s="28">
        <v>93</v>
      </c>
      <c r="B100" s="29"/>
      <c r="C100" s="77"/>
      <c r="D100" s="33"/>
      <c r="E100" s="41"/>
      <c r="F100" s="29"/>
      <c r="G100" s="29"/>
      <c r="H100" s="29"/>
      <c r="I100" s="27"/>
      <c r="J100" s="29"/>
      <c r="K100" s="29"/>
      <c r="L100" s="29"/>
      <c r="M100" s="33"/>
      <c r="N100" s="33"/>
    </row>
    <row r="101" spans="1:14" x14ac:dyDescent="0.25">
      <c r="A101" s="28">
        <v>94</v>
      </c>
      <c r="B101" s="29"/>
      <c r="C101" s="77"/>
      <c r="D101" s="33"/>
      <c r="E101" s="41"/>
      <c r="F101" s="29"/>
      <c r="G101" s="29"/>
      <c r="H101" s="29"/>
      <c r="I101" s="27"/>
      <c r="J101" s="29"/>
      <c r="K101" s="29"/>
      <c r="L101" s="29"/>
      <c r="M101" s="33"/>
      <c r="N101" s="33"/>
    </row>
    <row r="102" spans="1:14" x14ac:dyDescent="0.25">
      <c r="A102" s="28">
        <v>95</v>
      </c>
      <c r="B102" s="29"/>
      <c r="C102" s="77"/>
      <c r="D102" s="33"/>
      <c r="E102" s="41"/>
      <c r="F102" s="29"/>
      <c r="G102" s="29"/>
      <c r="H102" s="29"/>
      <c r="I102" s="27"/>
      <c r="J102" s="29"/>
      <c r="K102" s="29"/>
      <c r="L102" s="29"/>
      <c r="M102" s="33"/>
      <c r="N102" s="33"/>
    </row>
    <row r="103" spans="1:14" x14ac:dyDescent="0.25">
      <c r="A103" s="28">
        <v>96</v>
      </c>
      <c r="B103" s="29"/>
      <c r="C103" s="77"/>
      <c r="D103" s="33"/>
      <c r="E103" s="41"/>
      <c r="F103" s="29"/>
      <c r="G103" s="29"/>
      <c r="H103" s="29"/>
      <c r="I103" s="27"/>
      <c r="J103" s="29"/>
      <c r="K103" s="29"/>
      <c r="L103" s="29"/>
      <c r="M103" s="33"/>
      <c r="N103" s="33"/>
    </row>
    <row r="104" spans="1:14" x14ac:dyDescent="0.25">
      <c r="A104" s="28">
        <v>97</v>
      </c>
      <c r="B104" s="29"/>
      <c r="C104" s="77"/>
      <c r="D104" s="33"/>
      <c r="E104" s="41"/>
      <c r="F104" s="29"/>
      <c r="G104" s="29"/>
      <c r="H104" s="29"/>
      <c r="I104" s="27"/>
      <c r="J104" s="29"/>
      <c r="K104" s="29"/>
      <c r="L104" s="29"/>
      <c r="M104" s="33"/>
      <c r="N104" s="33"/>
    </row>
    <row r="105" spans="1:14" x14ac:dyDescent="0.25">
      <c r="A105" s="28">
        <v>98</v>
      </c>
      <c r="B105" s="29"/>
      <c r="C105" s="77"/>
      <c r="D105" s="33"/>
      <c r="E105" s="41"/>
      <c r="F105" s="29"/>
      <c r="G105" s="29"/>
      <c r="H105" s="29"/>
      <c r="I105" s="27"/>
      <c r="J105" s="29"/>
      <c r="K105" s="29"/>
      <c r="L105" s="29"/>
      <c r="M105" s="33"/>
      <c r="N105" s="33"/>
    </row>
    <row r="106" spans="1:14" x14ac:dyDescent="0.25">
      <c r="A106" s="28">
        <v>99</v>
      </c>
      <c r="B106" s="29"/>
      <c r="C106" s="77"/>
      <c r="D106" s="33"/>
      <c r="E106" s="41"/>
      <c r="F106" s="29"/>
      <c r="G106" s="29"/>
      <c r="H106" s="29"/>
      <c r="I106" s="27"/>
      <c r="J106" s="29"/>
      <c r="K106" s="29"/>
      <c r="L106" s="29"/>
      <c r="M106" s="33"/>
      <c r="N106" s="33"/>
    </row>
    <row r="107" spans="1:14" x14ac:dyDescent="0.25">
      <c r="A107" s="28">
        <v>100</v>
      </c>
      <c r="B107" s="29"/>
      <c r="C107" s="77"/>
      <c r="D107" s="33"/>
      <c r="E107" s="41"/>
      <c r="F107" s="29"/>
      <c r="G107" s="29"/>
      <c r="H107" s="29"/>
      <c r="I107" s="27"/>
      <c r="J107" s="29"/>
      <c r="K107" s="29"/>
      <c r="L107" s="29"/>
      <c r="M107" s="33"/>
      <c r="N107" s="33"/>
    </row>
    <row r="108" spans="1:14" x14ac:dyDescent="0.25">
      <c r="A108" s="28">
        <v>101</v>
      </c>
      <c r="B108" s="29"/>
      <c r="C108" s="77"/>
      <c r="D108" s="33"/>
      <c r="E108" s="41"/>
      <c r="F108" s="29"/>
      <c r="G108" s="29"/>
      <c r="H108" s="29"/>
      <c r="I108" s="27"/>
      <c r="J108" s="29"/>
      <c r="K108" s="29"/>
      <c r="L108" s="29"/>
      <c r="M108" s="33"/>
      <c r="N108" s="33"/>
    </row>
    <row r="109" spans="1:14" x14ac:dyDescent="0.25">
      <c r="A109" s="28">
        <v>102</v>
      </c>
      <c r="B109" s="29"/>
      <c r="C109" s="77"/>
      <c r="D109" s="33"/>
      <c r="E109" s="41"/>
      <c r="F109" s="29"/>
      <c r="G109" s="29"/>
      <c r="H109" s="29"/>
      <c r="I109" s="27"/>
      <c r="J109" s="29"/>
      <c r="K109" s="29"/>
      <c r="L109" s="29"/>
      <c r="M109" s="33"/>
      <c r="N109" s="33"/>
    </row>
    <row r="110" spans="1:14" x14ac:dyDescent="0.25">
      <c r="A110" s="28">
        <v>103</v>
      </c>
      <c r="B110" s="29"/>
      <c r="C110" s="77"/>
      <c r="D110" s="33"/>
      <c r="E110" s="41"/>
      <c r="F110" s="29"/>
      <c r="G110" s="29"/>
      <c r="H110" s="29"/>
      <c r="I110" s="27"/>
      <c r="J110" s="29"/>
      <c r="K110" s="29"/>
      <c r="L110" s="29"/>
      <c r="M110" s="33"/>
      <c r="N110" s="33"/>
    </row>
    <row r="111" spans="1:14" x14ac:dyDescent="0.25">
      <c r="A111" s="28">
        <v>104</v>
      </c>
      <c r="B111" s="29"/>
      <c r="C111" s="77"/>
      <c r="D111" s="33"/>
      <c r="E111" s="41"/>
      <c r="F111" s="29"/>
      <c r="G111" s="29"/>
      <c r="H111" s="29"/>
      <c r="I111" s="27"/>
      <c r="J111" s="29"/>
      <c r="K111" s="29"/>
      <c r="L111" s="29"/>
      <c r="M111" s="33"/>
      <c r="N111" s="33"/>
    </row>
    <row r="112" spans="1:14" x14ac:dyDescent="0.25">
      <c r="A112" s="28">
        <v>105</v>
      </c>
      <c r="B112" s="29"/>
      <c r="C112" s="77"/>
      <c r="D112" s="33"/>
      <c r="E112" s="41"/>
      <c r="F112" s="29"/>
      <c r="G112" s="29"/>
      <c r="H112" s="29"/>
      <c r="I112" s="27"/>
      <c r="J112" s="29"/>
      <c r="K112" s="29"/>
      <c r="L112" s="29"/>
      <c r="M112" s="33"/>
      <c r="N112" s="33"/>
    </row>
    <row r="113" spans="1:14" x14ac:dyDescent="0.25">
      <c r="A113" s="28">
        <v>106</v>
      </c>
      <c r="B113" s="29"/>
      <c r="C113" s="77"/>
      <c r="D113" s="33"/>
      <c r="E113" s="41"/>
      <c r="F113" s="29"/>
      <c r="G113" s="29"/>
      <c r="H113" s="29"/>
      <c r="I113" s="27"/>
      <c r="J113" s="29"/>
      <c r="K113" s="29"/>
      <c r="L113" s="29"/>
      <c r="M113" s="33"/>
      <c r="N113" s="33"/>
    </row>
    <row r="114" spans="1:14" x14ac:dyDescent="0.25">
      <c r="A114" s="28">
        <v>107</v>
      </c>
      <c r="B114" s="29"/>
      <c r="C114" s="77"/>
      <c r="D114" s="33"/>
      <c r="E114" s="41"/>
      <c r="F114" s="29"/>
      <c r="G114" s="29"/>
      <c r="H114" s="29"/>
      <c r="I114" s="27"/>
      <c r="J114" s="29"/>
      <c r="K114" s="29"/>
      <c r="L114" s="29"/>
      <c r="M114" s="33"/>
      <c r="N114" s="33"/>
    </row>
    <row r="115" spans="1:14" x14ac:dyDescent="0.25">
      <c r="A115" s="28">
        <v>108</v>
      </c>
      <c r="B115" s="29"/>
      <c r="C115" s="77"/>
      <c r="D115" s="33"/>
      <c r="E115" s="41"/>
      <c r="F115" s="29"/>
      <c r="G115" s="29"/>
      <c r="H115" s="29"/>
      <c r="I115" s="27"/>
      <c r="J115" s="29"/>
      <c r="K115" s="29"/>
      <c r="L115" s="29"/>
      <c r="M115" s="33"/>
      <c r="N115" s="33"/>
    </row>
    <row r="116" spans="1:14" x14ac:dyDescent="0.25">
      <c r="A116" s="28">
        <v>109</v>
      </c>
      <c r="B116" s="29"/>
      <c r="C116" s="77"/>
      <c r="D116" s="33"/>
      <c r="E116" s="41"/>
      <c r="F116" s="29"/>
      <c r="G116" s="29"/>
      <c r="H116" s="29"/>
      <c r="I116" s="27"/>
      <c r="J116" s="29"/>
      <c r="K116" s="29"/>
      <c r="L116" s="29"/>
      <c r="M116" s="33"/>
      <c r="N116" s="33"/>
    </row>
    <row r="117" spans="1:14" x14ac:dyDescent="0.25">
      <c r="A117" s="28">
        <v>110</v>
      </c>
      <c r="B117" s="29"/>
      <c r="C117" s="77"/>
      <c r="D117" s="33"/>
      <c r="E117" s="41"/>
      <c r="F117" s="29"/>
      <c r="G117" s="29"/>
      <c r="H117" s="29"/>
      <c r="I117" s="27"/>
      <c r="J117" s="29"/>
      <c r="K117" s="29"/>
      <c r="L117" s="29"/>
      <c r="M117" s="33"/>
      <c r="N117" s="33"/>
    </row>
    <row r="118" spans="1:14" x14ac:dyDescent="0.25">
      <c r="A118" s="28">
        <v>111</v>
      </c>
      <c r="B118" s="29"/>
      <c r="C118" s="77"/>
      <c r="D118" s="33"/>
      <c r="E118" s="41"/>
      <c r="F118" s="29"/>
      <c r="G118" s="29"/>
      <c r="H118" s="29"/>
      <c r="I118" s="27"/>
      <c r="J118" s="29"/>
      <c r="K118" s="29"/>
      <c r="L118" s="29"/>
      <c r="M118" s="33"/>
      <c r="N118" s="33"/>
    </row>
    <row r="119" spans="1:14" x14ac:dyDescent="0.25">
      <c r="A119" s="28">
        <v>112</v>
      </c>
      <c r="B119" s="29"/>
      <c r="C119" s="77"/>
      <c r="D119" s="33"/>
      <c r="E119" s="41"/>
      <c r="F119" s="29"/>
      <c r="G119" s="29"/>
      <c r="H119" s="29"/>
      <c r="I119" s="27"/>
      <c r="J119" s="29"/>
      <c r="K119" s="29"/>
      <c r="L119" s="29"/>
      <c r="M119" s="33"/>
      <c r="N119" s="33"/>
    </row>
    <row r="120" spans="1:14" x14ac:dyDescent="0.25">
      <c r="A120" s="28">
        <v>113</v>
      </c>
      <c r="B120" s="29"/>
      <c r="C120" s="77"/>
      <c r="D120" s="33"/>
      <c r="E120" s="41"/>
      <c r="F120" s="29"/>
      <c r="G120" s="29"/>
      <c r="H120" s="29"/>
      <c r="I120" s="27"/>
      <c r="J120" s="29"/>
      <c r="K120" s="29"/>
      <c r="L120" s="29"/>
      <c r="M120" s="33"/>
      <c r="N120" s="33"/>
    </row>
    <row r="121" spans="1:14" x14ac:dyDescent="0.25">
      <c r="A121" s="28">
        <v>114</v>
      </c>
      <c r="B121" s="29"/>
      <c r="C121" s="77"/>
      <c r="D121" s="33"/>
      <c r="E121" s="41"/>
      <c r="F121" s="29"/>
      <c r="G121" s="29"/>
      <c r="H121" s="29"/>
      <c r="I121" s="27"/>
      <c r="J121" s="29"/>
      <c r="K121" s="29"/>
      <c r="L121" s="29"/>
      <c r="M121" s="33"/>
      <c r="N121" s="33"/>
    </row>
    <row r="122" spans="1:14" x14ac:dyDescent="0.25">
      <c r="A122" s="28">
        <v>115</v>
      </c>
      <c r="B122" s="29"/>
      <c r="C122" s="77"/>
      <c r="D122" s="33"/>
      <c r="E122" s="41"/>
      <c r="F122" s="29"/>
      <c r="G122" s="29"/>
      <c r="H122" s="29"/>
      <c r="I122" s="27"/>
      <c r="J122" s="29"/>
      <c r="K122" s="29"/>
      <c r="L122" s="29"/>
      <c r="M122" s="33"/>
      <c r="N122" s="33"/>
    </row>
    <row r="123" spans="1:14" x14ac:dyDescent="0.25">
      <c r="A123" s="28">
        <v>116</v>
      </c>
      <c r="B123" s="29"/>
      <c r="C123" s="77"/>
      <c r="D123" s="33"/>
      <c r="E123" s="41"/>
      <c r="F123" s="29"/>
      <c r="G123" s="29"/>
      <c r="H123" s="29"/>
      <c r="I123" s="27"/>
      <c r="J123" s="29"/>
      <c r="K123" s="29"/>
      <c r="L123" s="29"/>
      <c r="M123" s="33"/>
      <c r="N123" s="33"/>
    </row>
    <row r="124" spans="1:14" x14ac:dyDescent="0.25">
      <c r="A124" s="28">
        <v>117</v>
      </c>
      <c r="B124" s="29"/>
      <c r="C124" s="77"/>
      <c r="D124" s="33"/>
      <c r="E124" s="41"/>
      <c r="F124" s="29"/>
      <c r="G124" s="29"/>
      <c r="H124" s="29"/>
      <c r="I124" s="27"/>
      <c r="J124" s="29"/>
      <c r="K124" s="29"/>
      <c r="L124" s="29"/>
      <c r="M124" s="33"/>
      <c r="N124" s="33"/>
    </row>
    <row r="125" spans="1:14" x14ac:dyDescent="0.25">
      <c r="A125" s="28">
        <v>118</v>
      </c>
      <c r="B125" s="29"/>
      <c r="C125" s="77"/>
      <c r="D125" s="33"/>
      <c r="E125" s="41"/>
      <c r="F125" s="29"/>
      <c r="G125" s="29"/>
      <c r="H125" s="29"/>
      <c r="I125" s="27"/>
      <c r="J125" s="29"/>
      <c r="K125" s="29"/>
      <c r="L125" s="29"/>
      <c r="M125" s="33"/>
      <c r="N125" s="33"/>
    </row>
    <row r="126" spans="1:14" x14ac:dyDescent="0.25">
      <c r="A126" s="28">
        <v>119</v>
      </c>
      <c r="B126" s="29"/>
      <c r="C126" s="77"/>
      <c r="D126" s="33"/>
      <c r="E126" s="41"/>
      <c r="F126" s="29"/>
      <c r="G126" s="29"/>
      <c r="H126" s="29"/>
      <c r="I126" s="27"/>
      <c r="J126" s="29"/>
      <c r="K126" s="29"/>
      <c r="L126" s="29"/>
      <c r="M126" s="33"/>
      <c r="N126" s="33"/>
    </row>
    <row r="127" spans="1:14" x14ac:dyDescent="0.25">
      <c r="A127" s="28">
        <v>120</v>
      </c>
      <c r="B127" s="29"/>
      <c r="C127" s="77"/>
      <c r="D127" s="33"/>
      <c r="E127" s="41"/>
      <c r="F127" s="29"/>
      <c r="G127" s="29"/>
      <c r="H127" s="29"/>
      <c r="I127" s="27"/>
      <c r="J127" s="29"/>
      <c r="K127" s="29"/>
      <c r="L127" s="29"/>
      <c r="M127" s="33"/>
      <c r="N127" s="33"/>
    </row>
    <row r="128" spans="1:14" x14ac:dyDescent="0.25">
      <c r="A128" s="28">
        <v>121</v>
      </c>
      <c r="B128" s="29"/>
      <c r="C128" s="77"/>
      <c r="D128" s="33"/>
      <c r="E128" s="41"/>
      <c r="F128" s="29"/>
      <c r="G128" s="29"/>
      <c r="H128" s="29"/>
      <c r="I128" s="27"/>
      <c r="J128" s="29"/>
      <c r="K128" s="29"/>
      <c r="L128" s="29"/>
      <c r="M128" s="33"/>
      <c r="N128" s="33"/>
    </row>
    <row r="129" spans="1:14" x14ac:dyDescent="0.25">
      <c r="A129" s="28">
        <v>122</v>
      </c>
      <c r="B129" s="29"/>
      <c r="C129" s="77"/>
      <c r="D129" s="33"/>
      <c r="E129" s="41"/>
      <c r="F129" s="29"/>
      <c r="G129" s="29"/>
      <c r="H129" s="29"/>
      <c r="I129" s="27"/>
      <c r="J129" s="29"/>
      <c r="K129" s="29"/>
      <c r="L129" s="29"/>
      <c r="M129" s="33"/>
      <c r="N129" s="33"/>
    </row>
    <row r="130" spans="1:14" x14ac:dyDescent="0.25">
      <c r="A130" s="28">
        <v>123</v>
      </c>
      <c r="B130" s="29"/>
      <c r="C130" s="77"/>
      <c r="D130" s="33"/>
      <c r="E130" s="41"/>
      <c r="F130" s="29"/>
      <c r="G130" s="29"/>
      <c r="H130" s="29"/>
      <c r="I130" s="27"/>
      <c r="J130" s="29"/>
      <c r="K130" s="29"/>
      <c r="L130" s="29"/>
      <c r="M130" s="33"/>
      <c r="N130" s="33"/>
    </row>
    <row r="131" spans="1:14" x14ac:dyDescent="0.25">
      <c r="A131" s="28">
        <v>124</v>
      </c>
      <c r="B131" s="29"/>
      <c r="C131" s="77"/>
      <c r="D131" s="33"/>
      <c r="E131" s="41"/>
      <c r="F131" s="29"/>
      <c r="G131" s="29"/>
      <c r="H131" s="29"/>
      <c r="I131" s="27"/>
      <c r="J131" s="29"/>
      <c r="K131" s="29"/>
      <c r="L131" s="29"/>
      <c r="M131" s="33"/>
      <c r="N131" s="33"/>
    </row>
    <row r="132" spans="1:14" x14ac:dyDescent="0.25">
      <c r="A132" s="28">
        <v>125</v>
      </c>
      <c r="B132" s="29"/>
      <c r="C132" s="77"/>
      <c r="D132" s="33"/>
      <c r="E132" s="41"/>
      <c r="F132" s="29"/>
      <c r="G132" s="29"/>
      <c r="H132" s="29"/>
      <c r="I132" s="27"/>
      <c r="J132" s="29"/>
      <c r="K132" s="29"/>
      <c r="L132" s="29"/>
      <c r="M132" s="33"/>
      <c r="N132" s="33"/>
    </row>
    <row r="133" spans="1:14" x14ac:dyDescent="0.25">
      <c r="A133" s="28">
        <v>126</v>
      </c>
      <c r="B133" s="29"/>
      <c r="C133" s="77"/>
      <c r="D133" s="33"/>
      <c r="E133" s="41"/>
      <c r="F133" s="29"/>
      <c r="G133" s="29"/>
      <c r="H133" s="29"/>
      <c r="I133" s="27"/>
      <c r="J133" s="29"/>
      <c r="K133" s="29"/>
      <c r="L133" s="29"/>
      <c r="M133" s="33"/>
      <c r="N133" s="33"/>
    </row>
    <row r="134" spans="1:14" x14ac:dyDescent="0.25">
      <c r="A134" s="28">
        <v>127</v>
      </c>
      <c r="B134" s="29"/>
      <c r="C134" s="77"/>
      <c r="D134" s="33"/>
      <c r="E134" s="41"/>
      <c r="F134" s="29"/>
      <c r="G134" s="29"/>
      <c r="H134" s="29"/>
      <c r="I134" s="27"/>
      <c r="J134" s="29"/>
      <c r="K134" s="29"/>
      <c r="L134" s="29"/>
      <c r="M134" s="33"/>
      <c r="N134" s="33"/>
    </row>
    <row r="135" spans="1:14" x14ac:dyDescent="0.25">
      <c r="A135" s="28">
        <v>128</v>
      </c>
      <c r="B135" s="29"/>
      <c r="C135" s="77"/>
      <c r="D135" s="33"/>
      <c r="E135" s="41"/>
      <c r="F135" s="29"/>
      <c r="G135" s="29"/>
      <c r="H135" s="29"/>
      <c r="I135" s="27"/>
      <c r="J135" s="29"/>
      <c r="K135" s="29"/>
      <c r="L135" s="29"/>
      <c r="M135" s="33"/>
      <c r="N135" s="33"/>
    </row>
    <row r="136" spans="1:14" x14ac:dyDescent="0.25">
      <c r="A136" s="28">
        <v>129</v>
      </c>
      <c r="B136" s="29"/>
      <c r="C136" s="77"/>
      <c r="D136" s="33"/>
      <c r="E136" s="41"/>
      <c r="F136" s="29"/>
      <c r="G136" s="29"/>
      <c r="H136" s="29"/>
      <c r="I136" s="27"/>
      <c r="J136" s="29"/>
      <c r="K136" s="29"/>
      <c r="L136" s="29"/>
      <c r="M136" s="33"/>
      <c r="N136" s="33"/>
    </row>
    <row r="137" spans="1:14" x14ac:dyDescent="0.25">
      <c r="A137" s="28">
        <v>130</v>
      </c>
      <c r="B137" s="29"/>
      <c r="C137" s="77"/>
      <c r="D137" s="33"/>
      <c r="E137" s="41"/>
      <c r="F137" s="29"/>
      <c r="G137" s="29"/>
      <c r="H137" s="29"/>
      <c r="I137" s="27"/>
      <c r="J137" s="29"/>
      <c r="K137" s="29"/>
      <c r="L137" s="29"/>
      <c r="M137" s="33"/>
      <c r="N137" s="33"/>
    </row>
    <row r="138" spans="1:14" x14ac:dyDescent="0.25">
      <c r="A138" s="28">
        <v>131</v>
      </c>
      <c r="B138" s="29"/>
      <c r="C138" s="77"/>
      <c r="D138" s="33"/>
      <c r="E138" s="41"/>
      <c r="F138" s="29"/>
      <c r="G138" s="29"/>
      <c r="H138" s="29"/>
      <c r="I138" s="27"/>
      <c r="J138" s="29"/>
      <c r="K138" s="29"/>
      <c r="L138" s="29"/>
      <c r="M138" s="33"/>
      <c r="N138" s="33"/>
    </row>
    <row r="139" spans="1:14" x14ac:dyDescent="0.25">
      <c r="A139" s="28">
        <v>132</v>
      </c>
      <c r="B139" s="29"/>
      <c r="C139" s="77"/>
      <c r="D139" s="33"/>
      <c r="E139" s="41"/>
      <c r="F139" s="29"/>
      <c r="G139" s="29"/>
      <c r="H139" s="29"/>
      <c r="I139" s="27"/>
      <c r="J139" s="29"/>
      <c r="K139" s="29"/>
      <c r="L139" s="29"/>
      <c r="M139" s="33"/>
      <c r="N139" s="33"/>
    </row>
    <row r="140" spans="1:14" x14ac:dyDescent="0.25">
      <c r="A140" s="28">
        <v>133</v>
      </c>
      <c r="B140" s="29"/>
      <c r="C140" s="77"/>
      <c r="D140" s="33"/>
      <c r="E140" s="41"/>
      <c r="F140" s="29"/>
      <c r="G140" s="29"/>
      <c r="H140" s="29"/>
      <c r="I140" s="27"/>
      <c r="J140" s="29"/>
      <c r="K140" s="29"/>
      <c r="L140" s="29"/>
      <c r="M140" s="33"/>
      <c r="N140" s="33"/>
    </row>
    <row r="141" spans="1:14" x14ac:dyDescent="0.25">
      <c r="A141" s="28">
        <v>134</v>
      </c>
      <c r="B141" s="29"/>
      <c r="C141" s="77"/>
      <c r="D141" s="33"/>
      <c r="E141" s="41"/>
      <c r="F141" s="29"/>
      <c r="G141" s="29"/>
      <c r="H141" s="29"/>
      <c r="I141" s="27"/>
      <c r="J141" s="29"/>
      <c r="K141" s="29"/>
      <c r="L141" s="29"/>
      <c r="M141" s="33"/>
      <c r="N141" s="33"/>
    </row>
    <row r="142" spans="1:14" x14ac:dyDescent="0.25">
      <c r="A142" s="28">
        <v>135</v>
      </c>
      <c r="B142" s="29"/>
      <c r="C142" s="77"/>
      <c r="D142" s="33"/>
      <c r="E142" s="41"/>
      <c r="F142" s="29"/>
      <c r="G142" s="29"/>
      <c r="H142" s="29"/>
      <c r="I142" s="27"/>
      <c r="J142" s="29"/>
      <c r="K142" s="29"/>
      <c r="L142" s="29"/>
      <c r="M142" s="33"/>
      <c r="N142" s="33"/>
    </row>
    <row r="143" spans="1:14" x14ac:dyDescent="0.25">
      <c r="A143" s="28">
        <v>136</v>
      </c>
      <c r="B143" s="29"/>
      <c r="C143" s="77"/>
      <c r="D143" s="33"/>
      <c r="E143" s="41"/>
      <c r="F143" s="29"/>
      <c r="G143" s="29"/>
      <c r="H143" s="29"/>
      <c r="I143" s="27"/>
      <c r="J143" s="29"/>
      <c r="K143" s="29"/>
      <c r="L143" s="29"/>
      <c r="M143" s="33"/>
      <c r="N143" s="33"/>
    </row>
    <row r="144" spans="1:14" x14ac:dyDescent="0.25">
      <c r="A144" s="28">
        <v>137</v>
      </c>
      <c r="B144" s="29"/>
      <c r="C144" s="77"/>
      <c r="D144" s="33"/>
      <c r="E144" s="41"/>
      <c r="F144" s="29"/>
      <c r="G144" s="29"/>
      <c r="H144" s="29"/>
      <c r="I144" s="27"/>
      <c r="J144" s="29"/>
      <c r="K144" s="29"/>
      <c r="L144" s="29"/>
      <c r="M144" s="33"/>
      <c r="N144" s="33"/>
    </row>
    <row r="145" spans="1:14" x14ac:dyDescent="0.25">
      <c r="A145" s="28">
        <v>138</v>
      </c>
      <c r="B145" s="29"/>
      <c r="C145" s="77"/>
      <c r="D145" s="33"/>
      <c r="E145" s="41"/>
      <c r="F145" s="29"/>
      <c r="G145" s="29"/>
      <c r="H145" s="29"/>
      <c r="I145" s="27"/>
      <c r="J145" s="29"/>
      <c r="K145" s="29"/>
      <c r="L145" s="29"/>
      <c r="M145" s="33"/>
      <c r="N145" s="33"/>
    </row>
    <row r="146" spans="1:14" x14ac:dyDescent="0.25">
      <c r="A146" s="28">
        <v>139</v>
      </c>
      <c r="B146" s="29"/>
      <c r="C146" s="77"/>
      <c r="D146" s="33"/>
      <c r="E146" s="41"/>
      <c r="F146" s="29"/>
      <c r="G146" s="29"/>
      <c r="H146" s="29"/>
      <c r="I146" s="27"/>
      <c r="J146" s="29"/>
      <c r="K146" s="29"/>
      <c r="L146" s="29"/>
      <c r="M146" s="33"/>
      <c r="N146" s="33"/>
    </row>
    <row r="147" spans="1:14" x14ac:dyDescent="0.25">
      <c r="A147" s="28">
        <v>140</v>
      </c>
      <c r="B147" s="29"/>
      <c r="C147" s="77"/>
      <c r="D147" s="33"/>
      <c r="E147" s="41"/>
      <c r="F147" s="29"/>
      <c r="G147" s="29"/>
      <c r="H147" s="29"/>
      <c r="I147" s="27"/>
      <c r="J147" s="29"/>
      <c r="K147" s="29"/>
      <c r="L147" s="29"/>
      <c r="M147" s="33"/>
      <c r="N147" s="33"/>
    </row>
    <row r="148" spans="1:14" x14ac:dyDescent="0.25">
      <c r="A148" s="28">
        <v>141</v>
      </c>
      <c r="B148" s="29"/>
      <c r="C148" s="77"/>
      <c r="D148" s="33"/>
      <c r="E148" s="41"/>
      <c r="F148" s="29"/>
      <c r="G148" s="29"/>
      <c r="H148" s="29"/>
      <c r="I148" s="27"/>
      <c r="J148" s="29"/>
      <c r="K148" s="29"/>
      <c r="L148" s="29"/>
      <c r="M148" s="33"/>
      <c r="N148" s="33"/>
    </row>
    <row r="149" spans="1:14" x14ac:dyDescent="0.25">
      <c r="A149" s="28">
        <v>142</v>
      </c>
      <c r="B149" s="29"/>
      <c r="C149" s="77"/>
      <c r="D149" s="33"/>
      <c r="E149" s="41"/>
      <c r="F149" s="29"/>
      <c r="G149" s="29"/>
      <c r="H149" s="29"/>
      <c r="I149" s="27"/>
      <c r="J149" s="29"/>
      <c r="K149" s="29"/>
      <c r="L149" s="29"/>
      <c r="M149" s="33"/>
      <c r="N149" s="33"/>
    </row>
    <row r="150" spans="1:14" x14ac:dyDescent="0.25">
      <c r="A150" s="28">
        <v>143</v>
      </c>
      <c r="B150" s="29"/>
      <c r="C150" s="77"/>
      <c r="D150" s="33"/>
      <c r="E150" s="41"/>
      <c r="F150" s="29"/>
      <c r="G150" s="29"/>
      <c r="H150" s="29"/>
      <c r="I150" s="27"/>
      <c r="J150" s="29"/>
      <c r="K150" s="29"/>
      <c r="L150" s="29"/>
      <c r="M150" s="33"/>
      <c r="N150" s="33"/>
    </row>
    <row r="151" spans="1:14" x14ac:dyDescent="0.25">
      <c r="A151" s="28">
        <v>144</v>
      </c>
      <c r="B151" s="29"/>
      <c r="C151" s="77"/>
      <c r="D151" s="33"/>
      <c r="E151" s="41"/>
      <c r="F151" s="29"/>
      <c r="G151" s="29"/>
      <c r="H151" s="29"/>
      <c r="I151" s="27"/>
      <c r="J151" s="29"/>
      <c r="K151" s="29"/>
      <c r="L151" s="29"/>
      <c r="M151" s="33"/>
      <c r="N151" s="33"/>
    </row>
    <row r="152" spans="1:14" x14ac:dyDescent="0.25">
      <c r="A152" s="28">
        <v>145</v>
      </c>
      <c r="B152" s="29"/>
      <c r="C152" s="77"/>
      <c r="D152" s="33"/>
      <c r="E152" s="41"/>
      <c r="F152" s="29"/>
      <c r="G152" s="29"/>
      <c r="H152" s="29"/>
      <c r="I152" s="27"/>
      <c r="J152" s="29"/>
      <c r="K152" s="29"/>
      <c r="L152" s="29"/>
      <c r="M152" s="33"/>
      <c r="N152" s="33"/>
    </row>
    <row r="153" spans="1:14" x14ac:dyDescent="0.25">
      <c r="A153" s="28">
        <v>146</v>
      </c>
      <c r="B153" s="29"/>
      <c r="C153" s="77"/>
      <c r="D153" s="33"/>
      <c r="E153" s="41"/>
      <c r="F153" s="29"/>
      <c r="G153" s="29"/>
      <c r="H153" s="29"/>
      <c r="I153" s="27"/>
      <c r="J153" s="29"/>
      <c r="K153" s="29"/>
      <c r="L153" s="29"/>
      <c r="M153" s="33"/>
      <c r="N153" s="33"/>
    </row>
    <row r="154" spans="1:14" x14ac:dyDescent="0.25">
      <c r="A154" s="28">
        <v>147</v>
      </c>
      <c r="B154" s="29"/>
      <c r="C154" s="77"/>
      <c r="D154" s="33"/>
      <c r="E154" s="41"/>
      <c r="F154" s="29"/>
      <c r="G154" s="29"/>
      <c r="H154" s="29"/>
      <c r="I154" s="27"/>
      <c r="J154" s="29"/>
      <c r="K154" s="29"/>
      <c r="L154" s="29"/>
      <c r="M154" s="33"/>
      <c r="N154" s="33"/>
    </row>
    <row r="155" spans="1:14" x14ac:dyDescent="0.25">
      <c r="A155" s="28">
        <v>148</v>
      </c>
      <c r="B155" s="29"/>
      <c r="C155" s="77"/>
      <c r="D155" s="33"/>
      <c r="E155" s="41"/>
      <c r="F155" s="29"/>
      <c r="G155" s="29"/>
      <c r="H155" s="29"/>
      <c r="I155" s="27"/>
      <c r="J155" s="29"/>
      <c r="K155" s="29"/>
      <c r="L155" s="29"/>
      <c r="M155" s="33"/>
      <c r="N155" s="33"/>
    </row>
    <row r="156" spans="1:14" x14ac:dyDescent="0.25">
      <c r="A156" s="28">
        <v>149</v>
      </c>
      <c r="B156" s="29"/>
      <c r="C156" s="77"/>
      <c r="D156" s="33"/>
      <c r="E156" s="41"/>
      <c r="F156" s="29"/>
      <c r="G156" s="29"/>
      <c r="H156" s="29"/>
      <c r="I156" s="27"/>
      <c r="J156" s="29"/>
      <c r="K156" s="29"/>
      <c r="L156" s="29"/>
      <c r="M156" s="33"/>
      <c r="N156" s="33"/>
    </row>
    <row r="157" spans="1:14" x14ac:dyDescent="0.25">
      <c r="A157" s="28">
        <v>150</v>
      </c>
      <c r="B157" s="29"/>
      <c r="C157" s="77"/>
      <c r="D157" s="33"/>
      <c r="E157" s="41"/>
      <c r="F157" s="29"/>
      <c r="G157" s="29"/>
      <c r="H157" s="29"/>
      <c r="I157" s="27"/>
      <c r="J157" s="29"/>
      <c r="K157" s="29"/>
      <c r="L157" s="29"/>
      <c r="M157" s="33"/>
      <c r="N157" s="33"/>
    </row>
    <row r="158" spans="1:14" x14ac:dyDescent="0.25">
      <c r="A158" s="28">
        <v>151</v>
      </c>
      <c r="B158" s="29"/>
      <c r="C158" s="77"/>
      <c r="D158" s="33"/>
      <c r="E158" s="41"/>
      <c r="F158" s="29"/>
      <c r="G158" s="29"/>
      <c r="H158" s="29"/>
      <c r="I158" s="27"/>
      <c r="J158" s="29"/>
      <c r="K158" s="29"/>
      <c r="L158" s="29"/>
      <c r="M158" s="33"/>
      <c r="N158" s="33"/>
    </row>
    <row r="159" spans="1:14" x14ac:dyDescent="0.25">
      <c r="A159" s="28">
        <v>152</v>
      </c>
      <c r="B159" s="29"/>
      <c r="C159" s="77"/>
      <c r="D159" s="33"/>
      <c r="E159" s="41"/>
      <c r="F159" s="29"/>
      <c r="G159" s="29"/>
      <c r="H159" s="29"/>
      <c r="I159" s="27"/>
      <c r="J159" s="29"/>
      <c r="K159" s="29"/>
      <c r="L159" s="29"/>
      <c r="M159" s="33"/>
      <c r="N159" s="33"/>
    </row>
    <row r="160" spans="1:14" x14ac:dyDescent="0.25">
      <c r="A160" s="28">
        <v>153</v>
      </c>
      <c r="B160" s="29"/>
      <c r="C160" s="77"/>
      <c r="D160" s="33"/>
      <c r="E160" s="41"/>
      <c r="F160" s="29"/>
      <c r="G160" s="29"/>
      <c r="H160" s="29"/>
      <c r="I160" s="27"/>
      <c r="J160" s="29"/>
      <c r="K160" s="29"/>
      <c r="L160" s="29"/>
      <c r="M160" s="33"/>
      <c r="N160" s="33"/>
    </row>
    <row r="161" spans="1:14" x14ac:dyDescent="0.25">
      <c r="A161" s="28">
        <v>154</v>
      </c>
      <c r="B161" s="29"/>
      <c r="C161" s="77"/>
      <c r="D161" s="33"/>
      <c r="E161" s="41"/>
      <c r="F161" s="29"/>
      <c r="G161" s="29"/>
      <c r="H161" s="29"/>
      <c r="I161" s="27"/>
      <c r="J161" s="29"/>
      <c r="K161" s="29"/>
      <c r="L161" s="29"/>
      <c r="M161" s="33"/>
      <c r="N161" s="33"/>
    </row>
    <row r="162" spans="1:14" x14ac:dyDescent="0.25">
      <c r="A162" s="28">
        <v>155</v>
      </c>
      <c r="B162" s="29"/>
      <c r="C162" s="77"/>
      <c r="D162" s="33"/>
      <c r="E162" s="41"/>
      <c r="F162" s="29"/>
      <c r="G162" s="29"/>
      <c r="H162" s="29"/>
      <c r="I162" s="27"/>
      <c r="J162" s="29"/>
      <c r="K162" s="29"/>
      <c r="L162" s="29"/>
      <c r="M162" s="33"/>
      <c r="N162" s="33"/>
    </row>
    <row r="163" spans="1:14" x14ac:dyDescent="0.25">
      <c r="A163" s="28">
        <v>156</v>
      </c>
      <c r="B163" s="29"/>
      <c r="C163" s="77"/>
      <c r="D163" s="33"/>
      <c r="E163" s="41"/>
      <c r="F163" s="29"/>
      <c r="G163" s="29"/>
      <c r="H163" s="29"/>
      <c r="I163" s="27"/>
      <c r="J163" s="29"/>
      <c r="K163" s="29"/>
      <c r="L163" s="29"/>
      <c r="M163" s="33"/>
      <c r="N163" s="33"/>
    </row>
    <row r="164" spans="1:14" x14ac:dyDescent="0.25">
      <c r="A164" s="28">
        <v>157</v>
      </c>
      <c r="B164" s="29"/>
      <c r="C164" s="77"/>
      <c r="D164" s="33"/>
      <c r="E164" s="41"/>
      <c r="F164" s="29"/>
      <c r="G164" s="29"/>
      <c r="H164" s="29"/>
      <c r="I164" s="27"/>
      <c r="J164" s="29"/>
      <c r="K164" s="29"/>
      <c r="L164" s="29"/>
      <c r="M164" s="33"/>
      <c r="N164" s="33"/>
    </row>
    <row r="165" spans="1:14" x14ac:dyDescent="0.25">
      <c r="A165" s="28">
        <v>158</v>
      </c>
      <c r="B165" s="29"/>
      <c r="C165" s="77"/>
      <c r="D165" s="33"/>
      <c r="E165" s="41"/>
      <c r="F165" s="29"/>
      <c r="G165" s="29"/>
      <c r="H165" s="29"/>
      <c r="I165" s="27"/>
      <c r="J165" s="29"/>
      <c r="K165" s="29"/>
      <c r="L165" s="29"/>
      <c r="M165" s="33"/>
      <c r="N165" s="33"/>
    </row>
    <row r="166" spans="1:14" x14ac:dyDescent="0.25">
      <c r="A166" s="28">
        <v>159</v>
      </c>
      <c r="B166" s="29"/>
      <c r="C166" s="77"/>
      <c r="D166" s="33"/>
      <c r="E166" s="41"/>
      <c r="F166" s="29"/>
      <c r="G166" s="29"/>
      <c r="H166" s="29"/>
      <c r="I166" s="27"/>
      <c r="J166" s="29"/>
      <c r="K166" s="29"/>
      <c r="L166" s="29"/>
      <c r="M166" s="33"/>
      <c r="N166" s="33"/>
    </row>
    <row r="167" spans="1:14" x14ac:dyDescent="0.25">
      <c r="A167" s="28">
        <v>160</v>
      </c>
      <c r="B167" s="29"/>
      <c r="C167" s="77"/>
      <c r="D167" s="33"/>
      <c r="E167" s="41"/>
      <c r="F167" s="29"/>
      <c r="G167" s="29"/>
      <c r="H167" s="29"/>
      <c r="I167" s="27"/>
      <c r="J167" s="29"/>
      <c r="K167" s="29"/>
      <c r="L167" s="29"/>
      <c r="M167" s="33"/>
      <c r="N167" s="33"/>
    </row>
    <row r="168" spans="1:14" x14ac:dyDescent="0.25">
      <c r="A168" s="28">
        <v>161</v>
      </c>
      <c r="B168" s="29"/>
      <c r="C168" s="77"/>
      <c r="D168" s="33"/>
      <c r="E168" s="41"/>
      <c r="F168" s="29"/>
      <c r="G168" s="29"/>
      <c r="H168" s="29"/>
      <c r="I168" s="27"/>
      <c r="J168" s="29"/>
      <c r="K168" s="29"/>
      <c r="L168" s="29"/>
      <c r="M168" s="33"/>
      <c r="N168" s="33"/>
    </row>
    <row r="169" spans="1:14" x14ac:dyDescent="0.25">
      <c r="A169" s="28">
        <v>162</v>
      </c>
      <c r="B169" s="29"/>
      <c r="C169" s="77"/>
      <c r="D169" s="33"/>
      <c r="E169" s="41"/>
      <c r="F169" s="29"/>
      <c r="G169" s="29"/>
      <c r="H169" s="29"/>
      <c r="I169" s="27"/>
      <c r="J169" s="29"/>
      <c r="K169" s="29"/>
      <c r="L169" s="29"/>
      <c r="M169" s="33"/>
      <c r="N169" s="33"/>
    </row>
    <row r="170" spans="1:14" x14ac:dyDescent="0.25">
      <c r="A170" s="28">
        <v>163</v>
      </c>
      <c r="B170" s="29"/>
      <c r="C170" s="77"/>
      <c r="D170" s="33"/>
      <c r="E170" s="41"/>
      <c r="F170" s="29"/>
      <c r="G170" s="29"/>
      <c r="H170" s="29"/>
      <c r="I170" s="27"/>
      <c r="J170" s="29"/>
      <c r="K170" s="29"/>
      <c r="L170" s="29"/>
      <c r="M170" s="33"/>
      <c r="N170" s="33"/>
    </row>
    <row r="171" spans="1:14" x14ac:dyDescent="0.25">
      <c r="A171" s="28">
        <v>164</v>
      </c>
      <c r="B171" s="29"/>
      <c r="C171" s="77"/>
      <c r="D171" s="33"/>
      <c r="E171" s="41"/>
      <c r="F171" s="29"/>
      <c r="G171" s="29"/>
      <c r="H171" s="29"/>
      <c r="I171" s="27"/>
      <c r="J171" s="29"/>
      <c r="K171" s="29"/>
      <c r="L171" s="29"/>
      <c r="M171" s="33"/>
      <c r="N171" s="33"/>
    </row>
    <row r="172" spans="1:14" x14ac:dyDescent="0.25">
      <c r="A172" s="28">
        <v>165</v>
      </c>
      <c r="B172" s="29"/>
      <c r="C172" s="77"/>
      <c r="D172" s="33"/>
      <c r="E172" s="41"/>
      <c r="F172" s="29"/>
      <c r="G172" s="29"/>
      <c r="H172" s="29"/>
      <c r="I172" s="27"/>
      <c r="J172" s="29"/>
      <c r="K172" s="29"/>
      <c r="L172" s="29"/>
      <c r="M172" s="33"/>
      <c r="N172" s="33"/>
    </row>
    <row r="173" spans="1:14" x14ac:dyDescent="0.25">
      <c r="A173" s="28">
        <v>166</v>
      </c>
      <c r="B173" s="29"/>
      <c r="C173" s="77"/>
      <c r="D173" s="33"/>
      <c r="E173" s="41"/>
      <c r="F173" s="29"/>
      <c r="G173" s="29"/>
      <c r="H173" s="29"/>
      <c r="I173" s="27"/>
      <c r="J173" s="29"/>
      <c r="K173" s="29"/>
      <c r="L173" s="29"/>
      <c r="M173" s="33"/>
      <c r="N173" s="33"/>
    </row>
    <row r="174" spans="1:14" x14ac:dyDescent="0.25">
      <c r="A174" s="28">
        <v>167</v>
      </c>
      <c r="B174" s="29"/>
      <c r="C174" s="77"/>
      <c r="D174" s="33"/>
      <c r="E174" s="41"/>
      <c r="F174" s="29"/>
      <c r="G174" s="29"/>
      <c r="H174" s="29"/>
      <c r="I174" s="27"/>
      <c r="J174" s="29"/>
      <c r="K174" s="29"/>
      <c r="L174" s="29"/>
      <c r="M174" s="33"/>
      <c r="N174" s="33"/>
    </row>
    <row r="175" spans="1:14" x14ac:dyDescent="0.25">
      <c r="A175" s="28">
        <v>168</v>
      </c>
      <c r="B175" s="29"/>
      <c r="C175" s="77"/>
      <c r="D175" s="33"/>
      <c r="E175" s="41"/>
      <c r="F175" s="29"/>
      <c r="G175" s="29"/>
      <c r="H175" s="29"/>
      <c r="I175" s="27"/>
      <c r="J175" s="29"/>
      <c r="K175" s="29"/>
      <c r="L175" s="29"/>
      <c r="M175" s="33"/>
      <c r="N175" s="33"/>
    </row>
    <row r="176" spans="1:14" x14ac:dyDescent="0.25">
      <c r="A176" s="28">
        <v>169</v>
      </c>
      <c r="B176" s="29"/>
      <c r="C176" s="77"/>
      <c r="D176" s="33"/>
      <c r="E176" s="41"/>
      <c r="F176" s="29"/>
      <c r="G176" s="29"/>
      <c r="H176" s="29"/>
      <c r="I176" s="27"/>
      <c r="J176" s="29"/>
      <c r="K176" s="29"/>
      <c r="L176" s="29"/>
      <c r="M176" s="33"/>
      <c r="N176" s="33"/>
    </row>
    <row r="177" spans="1:14" x14ac:dyDescent="0.25">
      <c r="A177" s="28">
        <v>170</v>
      </c>
      <c r="B177" s="29"/>
      <c r="C177" s="77"/>
      <c r="D177" s="33"/>
      <c r="E177" s="41"/>
      <c r="F177" s="29"/>
      <c r="G177" s="29"/>
      <c r="H177" s="29"/>
      <c r="I177" s="27"/>
      <c r="J177" s="29"/>
      <c r="K177" s="29"/>
      <c r="L177" s="29"/>
      <c r="M177" s="33"/>
      <c r="N177" s="33"/>
    </row>
    <row r="178" spans="1:14" x14ac:dyDescent="0.25">
      <c r="A178" s="28">
        <v>171</v>
      </c>
      <c r="B178" s="29"/>
      <c r="C178" s="77"/>
      <c r="D178" s="33"/>
      <c r="E178" s="41"/>
      <c r="F178" s="29"/>
      <c r="G178" s="29"/>
      <c r="H178" s="29"/>
      <c r="I178" s="27"/>
      <c r="J178" s="29"/>
      <c r="K178" s="29"/>
      <c r="L178" s="29"/>
      <c r="M178" s="33"/>
      <c r="N178" s="33"/>
    </row>
    <row r="179" spans="1:14" x14ac:dyDescent="0.25">
      <c r="A179" s="28">
        <v>172</v>
      </c>
      <c r="B179" s="29"/>
      <c r="C179" s="77"/>
      <c r="D179" s="33"/>
      <c r="E179" s="41"/>
      <c r="F179" s="29"/>
      <c r="G179" s="29"/>
      <c r="H179" s="29"/>
      <c r="I179" s="27"/>
      <c r="J179" s="29"/>
      <c r="K179" s="29"/>
      <c r="L179" s="29"/>
      <c r="M179" s="33"/>
      <c r="N179" s="33"/>
    </row>
    <row r="180" spans="1:14" x14ac:dyDescent="0.25">
      <c r="A180" s="28">
        <v>173</v>
      </c>
      <c r="B180" s="29"/>
      <c r="C180" s="77"/>
      <c r="D180" s="33"/>
      <c r="E180" s="41"/>
      <c r="F180" s="29"/>
      <c r="G180" s="29"/>
      <c r="H180" s="29"/>
      <c r="I180" s="27"/>
      <c r="J180" s="29"/>
      <c r="K180" s="29"/>
      <c r="L180" s="29"/>
      <c r="M180" s="33"/>
      <c r="N180" s="33"/>
    </row>
    <row r="181" spans="1:14" x14ac:dyDescent="0.25">
      <c r="A181" s="28">
        <v>174</v>
      </c>
      <c r="B181" s="29"/>
      <c r="C181" s="77"/>
      <c r="D181" s="33"/>
      <c r="E181" s="41"/>
      <c r="F181" s="29"/>
      <c r="G181" s="29"/>
      <c r="H181" s="29"/>
      <c r="I181" s="27"/>
      <c r="J181" s="29"/>
      <c r="K181" s="29"/>
      <c r="L181" s="29"/>
      <c r="M181" s="33"/>
      <c r="N181" s="33"/>
    </row>
    <row r="182" spans="1:14" x14ac:dyDescent="0.25">
      <c r="A182" s="28">
        <v>175</v>
      </c>
      <c r="B182" s="29"/>
      <c r="C182" s="77"/>
      <c r="D182" s="33"/>
      <c r="E182" s="41"/>
      <c r="F182" s="29"/>
      <c r="G182" s="29"/>
      <c r="H182" s="29"/>
      <c r="I182" s="27"/>
      <c r="J182" s="29"/>
      <c r="K182" s="29"/>
      <c r="L182" s="29"/>
      <c r="M182" s="33"/>
      <c r="N182" s="33"/>
    </row>
    <row r="183" spans="1:14" x14ac:dyDescent="0.25">
      <c r="A183" s="28">
        <v>176</v>
      </c>
      <c r="B183" s="29"/>
      <c r="C183" s="77"/>
      <c r="D183" s="33"/>
      <c r="E183" s="41"/>
      <c r="F183" s="29"/>
      <c r="G183" s="29"/>
      <c r="H183" s="29"/>
      <c r="I183" s="27"/>
      <c r="J183" s="29"/>
      <c r="K183" s="29"/>
      <c r="L183" s="29"/>
      <c r="M183" s="33"/>
      <c r="N183" s="33"/>
    </row>
    <row r="184" spans="1:14" x14ac:dyDescent="0.25">
      <c r="A184" s="28">
        <v>177</v>
      </c>
      <c r="B184" s="29"/>
      <c r="C184" s="77"/>
      <c r="D184" s="33"/>
      <c r="E184" s="41"/>
      <c r="F184" s="29"/>
      <c r="G184" s="29"/>
      <c r="H184" s="29"/>
      <c r="I184" s="27"/>
      <c r="J184" s="29"/>
      <c r="K184" s="29"/>
      <c r="L184" s="29"/>
      <c r="M184" s="33"/>
      <c r="N184" s="33"/>
    </row>
    <row r="185" spans="1:14" x14ac:dyDescent="0.25">
      <c r="A185" s="28">
        <v>178</v>
      </c>
      <c r="B185" s="29"/>
      <c r="C185" s="77"/>
      <c r="D185" s="33"/>
      <c r="E185" s="41"/>
      <c r="F185" s="29"/>
      <c r="G185" s="29"/>
      <c r="H185" s="29"/>
      <c r="I185" s="27"/>
      <c r="J185" s="29"/>
      <c r="K185" s="29"/>
      <c r="L185" s="29"/>
      <c r="M185" s="33"/>
      <c r="N185" s="33"/>
    </row>
    <row r="186" spans="1:14" x14ac:dyDescent="0.25">
      <c r="A186" s="28">
        <v>179</v>
      </c>
      <c r="B186" s="29"/>
      <c r="C186" s="77"/>
      <c r="D186" s="33"/>
      <c r="E186" s="41"/>
      <c r="F186" s="29"/>
      <c r="G186" s="29"/>
      <c r="H186" s="29"/>
      <c r="I186" s="27"/>
      <c r="J186" s="29"/>
      <c r="K186" s="29"/>
      <c r="L186" s="29"/>
      <c r="M186" s="33"/>
      <c r="N186" s="33"/>
    </row>
    <row r="187" spans="1:14" x14ac:dyDescent="0.25">
      <c r="A187" s="28">
        <v>180</v>
      </c>
      <c r="B187" s="29"/>
      <c r="C187" s="77"/>
      <c r="D187" s="33"/>
      <c r="E187" s="41"/>
      <c r="F187" s="29"/>
      <c r="G187" s="29"/>
      <c r="H187" s="29"/>
      <c r="I187" s="27"/>
      <c r="J187" s="29"/>
      <c r="K187" s="29"/>
      <c r="L187" s="29"/>
      <c r="M187" s="33"/>
      <c r="N187" s="33"/>
    </row>
    <row r="188" spans="1:14" x14ac:dyDescent="0.25">
      <c r="A188" s="28">
        <v>181</v>
      </c>
      <c r="B188" s="29"/>
      <c r="C188" s="77"/>
      <c r="D188" s="33"/>
      <c r="E188" s="41"/>
      <c r="F188" s="29"/>
      <c r="G188" s="29"/>
      <c r="H188" s="29"/>
      <c r="I188" s="27"/>
      <c r="J188" s="29"/>
      <c r="K188" s="29"/>
      <c r="L188" s="29"/>
      <c r="M188" s="33"/>
      <c r="N188" s="33"/>
    </row>
    <row r="189" spans="1:14" x14ac:dyDescent="0.25">
      <c r="A189" s="28">
        <v>182</v>
      </c>
      <c r="B189" s="29"/>
      <c r="C189" s="77"/>
      <c r="D189" s="33"/>
      <c r="E189" s="41"/>
      <c r="F189" s="29"/>
      <c r="G189" s="29"/>
      <c r="H189" s="29"/>
      <c r="I189" s="27"/>
      <c r="J189" s="29"/>
      <c r="K189" s="29"/>
      <c r="L189" s="29"/>
      <c r="M189" s="33"/>
      <c r="N189" s="33"/>
    </row>
    <row r="190" spans="1:14" x14ac:dyDescent="0.25">
      <c r="A190" s="28">
        <v>183</v>
      </c>
      <c r="B190" s="29"/>
      <c r="C190" s="77"/>
      <c r="D190" s="33"/>
      <c r="E190" s="41"/>
      <c r="F190" s="29"/>
      <c r="G190" s="29"/>
      <c r="H190" s="29"/>
      <c r="I190" s="27"/>
      <c r="J190" s="29"/>
      <c r="K190" s="29"/>
      <c r="L190" s="29"/>
      <c r="M190" s="33"/>
      <c r="N190" s="33"/>
    </row>
    <row r="191" spans="1:14" x14ac:dyDescent="0.25">
      <c r="A191" s="28">
        <v>184</v>
      </c>
      <c r="B191" s="29"/>
      <c r="C191" s="77"/>
      <c r="D191" s="33"/>
      <c r="E191" s="41"/>
      <c r="F191" s="29"/>
      <c r="G191" s="29"/>
      <c r="H191" s="29"/>
      <c r="I191" s="27"/>
      <c r="J191" s="29"/>
      <c r="K191" s="29"/>
      <c r="L191" s="29"/>
      <c r="M191" s="33"/>
      <c r="N191" s="33"/>
    </row>
    <row r="192" spans="1:14" x14ac:dyDescent="0.25">
      <c r="A192" s="28">
        <v>185</v>
      </c>
      <c r="B192" s="29"/>
      <c r="C192" s="77"/>
      <c r="D192" s="33"/>
      <c r="E192" s="41"/>
      <c r="F192" s="29"/>
      <c r="G192" s="29"/>
      <c r="H192" s="29"/>
      <c r="I192" s="27"/>
      <c r="J192" s="29"/>
      <c r="K192" s="29"/>
      <c r="L192" s="29"/>
      <c r="M192" s="33"/>
      <c r="N192" s="33"/>
    </row>
    <row r="193" spans="1:14" x14ac:dyDescent="0.25">
      <c r="A193" s="28">
        <v>186</v>
      </c>
      <c r="B193" s="29"/>
      <c r="C193" s="77"/>
      <c r="D193" s="33"/>
      <c r="E193" s="41"/>
      <c r="F193" s="29"/>
      <c r="G193" s="29"/>
      <c r="H193" s="29"/>
      <c r="I193" s="27"/>
      <c r="J193" s="29"/>
      <c r="K193" s="29"/>
      <c r="L193" s="29"/>
      <c r="M193" s="33"/>
      <c r="N193" s="33"/>
    </row>
    <row r="194" spans="1:14" x14ac:dyDescent="0.25">
      <c r="A194" s="28">
        <v>187</v>
      </c>
      <c r="B194" s="29"/>
      <c r="C194" s="77"/>
      <c r="D194" s="33"/>
      <c r="E194" s="41"/>
      <c r="F194" s="29"/>
      <c r="G194" s="29"/>
      <c r="H194" s="29"/>
      <c r="I194" s="27"/>
      <c r="J194" s="29"/>
      <c r="K194" s="29"/>
      <c r="L194" s="29"/>
      <c r="M194" s="33"/>
      <c r="N194" s="33"/>
    </row>
    <row r="195" spans="1:14" x14ac:dyDescent="0.25">
      <c r="A195" s="28">
        <v>188</v>
      </c>
      <c r="B195" s="29"/>
      <c r="C195" s="77"/>
      <c r="D195" s="33"/>
      <c r="E195" s="41"/>
      <c r="F195" s="29"/>
      <c r="G195" s="29"/>
      <c r="H195" s="29"/>
      <c r="I195" s="27"/>
      <c r="J195" s="29"/>
      <c r="K195" s="29"/>
      <c r="L195" s="29"/>
      <c r="M195" s="33"/>
      <c r="N195" s="33"/>
    </row>
    <row r="196" spans="1:14" x14ac:dyDescent="0.25">
      <c r="A196" s="28">
        <v>189</v>
      </c>
      <c r="B196" s="29"/>
      <c r="C196" s="77"/>
      <c r="D196" s="33"/>
      <c r="E196" s="41"/>
      <c r="F196" s="29"/>
      <c r="G196" s="29"/>
      <c r="H196" s="29"/>
      <c r="I196" s="27"/>
      <c r="J196" s="29"/>
      <c r="K196" s="29"/>
      <c r="L196" s="29"/>
      <c r="M196" s="33"/>
      <c r="N196" s="33"/>
    </row>
    <row r="197" spans="1:14" x14ac:dyDescent="0.25">
      <c r="A197" s="28">
        <v>190</v>
      </c>
      <c r="B197" s="29"/>
      <c r="C197" s="77"/>
      <c r="D197" s="33"/>
      <c r="E197" s="41"/>
      <c r="F197" s="29"/>
      <c r="G197" s="29"/>
      <c r="H197" s="29"/>
      <c r="I197" s="27"/>
      <c r="J197" s="29"/>
      <c r="K197" s="29"/>
      <c r="L197" s="29"/>
      <c r="M197" s="33"/>
      <c r="N197" s="33"/>
    </row>
    <row r="198" spans="1:14" x14ac:dyDescent="0.25">
      <c r="A198" s="28">
        <v>191</v>
      </c>
      <c r="B198" s="29"/>
      <c r="C198" s="77"/>
      <c r="D198" s="33"/>
      <c r="E198" s="41"/>
      <c r="F198" s="29"/>
      <c r="G198" s="29"/>
      <c r="H198" s="29"/>
      <c r="I198" s="27"/>
      <c r="J198" s="29"/>
      <c r="K198" s="29"/>
      <c r="L198" s="29"/>
      <c r="M198" s="33"/>
      <c r="N198" s="33"/>
    </row>
    <row r="199" spans="1:14" x14ac:dyDescent="0.25">
      <c r="A199" s="28">
        <v>192</v>
      </c>
      <c r="B199" s="29"/>
      <c r="C199" s="77"/>
      <c r="D199" s="33"/>
      <c r="E199" s="41"/>
      <c r="F199" s="29"/>
      <c r="G199" s="29"/>
      <c r="H199" s="29"/>
      <c r="I199" s="27"/>
      <c r="J199" s="29"/>
      <c r="K199" s="29"/>
      <c r="L199" s="29"/>
      <c r="M199" s="33"/>
      <c r="N199" s="33"/>
    </row>
    <row r="200" spans="1:14" x14ac:dyDescent="0.25">
      <c r="A200" s="28">
        <v>193</v>
      </c>
      <c r="B200" s="29"/>
      <c r="C200" s="77"/>
      <c r="D200" s="33"/>
      <c r="E200" s="41"/>
      <c r="F200" s="29"/>
      <c r="G200" s="29"/>
      <c r="H200" s="29"/>
      <c r="I200" s="27"/>
      <c r="J200" s="29"/>
      <c r="K200" s="29"/>
      <c r="L200" s="29"/>
      <c r="M200" s="33"/>
      <c r="N200" s="33"/>
    </row>
    <row r="201" spans="1:14" x14ac:dyDescent="0.25">
      <c r="A201" s="28">
        <v>194</v>
      </c>
      <c r="B201" s="29"/>
      <c r="C201" s="77"/>
      <c r="D201" s="33"/>
      <c r="E201" s="41"/>
      <c r="F201" s="29"/>
      <c r="G201" s="29"/>
      <c r="H201" s="29"/>
      <c r="I201" s="27"/>
      <c r="J201" s="29"/>
      <c r="K201" s="29"/>
      <c r="L201" s="29"/>
      <c r="M201" s="33"/>
      <c r="N201" s="33"/>
    </row>
    <row r="202" spans="1:14" x14ac:dyDescent="0.25">
      <c r="A202" s="28">
        <v>195</v>
      </c>
      <c r="B202" s="29"/>
      <c r="C202" s="77"/>
      <c r="D202" s="33"/>
      <c r="E202" s="41"/>
      <c r="F202" s="29"/>
      <c r="G202" s="29"/>
      <c r="H202" s="29"/>
      <c r="I202" s="27"/>
      <c r="J202" s="29"/>
      <c r="K202" s="29"/>
      <c r="L202" s="29"/>
      <c r="M202" s="33"/>
      <c r="N202" s="33"/>
    </row>
    <row r="203" spans="1:14" x14ac:dyDescent="0.25">
      <c r="A203" s="28">
        <v>196</v>
      </c>
      <c r="B203" s="29"/>
      <c r="C203" s="77"/>
      <c r="D203" s="33"/>
      <c r="E203" s="41"/>
      <c r="F203" s="29"/>
      <c r="G203" s="29"/>
      <c r="H203" s="29"/>
      <c r="I203" s="27"/>
      <c r="J203" s="29"/>
      <c r="K203" s="29"/>
      <c r="L203" s="29"/>
      <c r="M203" s="33"/>
      <c r="N203" s="33"/>
    </row>
    <row r="204" spans="1:14" x14ac:dyDescent="0.25">
      <c r="A204" s="28">
        <v>197</v>
      </c>
      <c r="B204" s="29"/>
      <c r="C204" s="77"/>
      <c r="D204" s="33"/>
      <c r="E204" s="41"/>
      <c r="F204" s="29"/>
      <c r="G204" s="29"/>
      <c r="H204" s="29"/>
      <c r="I204" s="27"/>
      <c r="J204" s="29"/>
      <c r="K204" s="29"/>
      <c r="L204" s="29"/>
      <c r="M204" s="33"/>
      <c r="N204" s="33"/>
    </row>
    <row r="205" spans="1:14" x14ac:dyDescent="0.25">
      <c r="A205" s="28">
        <v>198</v>
      </c>
      <c r="B205" s="29"/>
      <c r="C205" s="77"/>
      <c r="D205" s="33"/>
      <c r="E205" s="41"/>
      <c r="F205" s="29"/>
      <c r="G205" s="29"/>
      <c r="H205" s="29"/>
      <c r="I205" s="27"/>
      <c r="J205" s="29"/>
      <c r="K205" s="29"/>
      <c r="L205" s="29"/>
      <c r="M205" s="33"/>
      <c r="N205" s="33"/>
    </row>
    <row r="206" spans="1:14" x14ac:dyDescent="0.25">
      <c r="A206" s="28">
        <v>199</v>
      </c>
      <c r="B206" s="29"/>
      <c r="C206" s="77"/>
      <c r="D206" s="33"/>
      <c r="E206" s="41"/>
      <c r="F206" s="29"/>
      <c r="G206" s="29"/>
      <c r="H206" s="29"/>
      <c r="I206" s="27"/>
      <c r="J206" s="29"/>
      <c r="K206" s="29"/>
      <c r="L206" s="29"/>
      <c r="M206" s="33"/>
      <c r="N206" s="33"/>
    </row>
    <row r="207" spans="1:14" x14ac:dyDescent="0.25">
      <c r="A207" s="28">
        <v>200</v>
      </c>
      <c r="B207" s="29"/>
      <c r="C207" s="77"/>
      <c r="D207" s="33"/>
      <c r="E207" s="41"/>
      <c r="F207" s="29"/>
      <c r="G207" s="29"/>
      <c r="H207" s="29"/>
      <c r="I207" s="27"/>
      <c r="J207" s="29"/>
      <c r="K207" s="29"/>
      <c r="L207" s="29"/>
      <c r="M207" s="33"/>
      <c r="N207" s="33"/>
    </row>
    <row r="208" spans="1:14" x14ac:dyDescent="0.25">
      <c r="A208" s="28">
        <v>201</v>
      </c>
      <c r="B208" s="29"/>
      <c r="C208" s="77"/>
      <c r="D208" s="33"/>
      <c r="E208" s="41"/>
      <c r="F208" s="29"/>
      <c r="G208" s="29"/>
      <c r="H208" s="29"/>
      <c r="I208" s="27"/>
      <c r="J208" s="29"/>
      <c r="K208" s="29"/>
      <c r="L208" s="29"/>
      <c r="M208" s="33"/>
      <c r="N208" s="33"/>
    </row>
    <row r="209" spans="1:14" x14ac:dyDescent="0.25">
      <c r="A209" s="28">
        <v>202</v>
      </c>
      <c r="B209" s="29"/>
      <c r="C209" s="77"/>
      <c r="D209" s="33"/>
      <c r="E209" s="41"/>
      <c r="F209" s="29"/>
      <c r="G209" s="29"/>
      <c r="H209" s="29"/>
      <c r="I209" s="27"/>
      <c r="J209" s="29"/>
      <c r="K209" s="29"/>
      <c r="L209" s="29"/>
      <c r="M209" s="33"/>
      <c r="N209" s="33"/>
    </row>
    <row r="210" spans="1:14" x14ac:dyDescent="0.25">
      <c r="A210" s="28">
        <v>203</v>
      </c>
      <c r="B210" s="29"/>
      <c r="C210" s="77"/>
      <c r="D210" s="33"/>
      <c r="E210" s="41"/>
      <c r="F210" s="29"/>
      <c r="G210" s="29"/>
      <c r="H210" s="29"/>
      <c r="I210" s="27"/>
      <c r="J210" s="29"/>
      <c r="K210" s="29"/>
      <c r="L210" s="29"/>
      <c r="M210" s="33"/>
      <c r="N210" s="33"/>
    </row>
    <row r="211" spans="1:14" x14ac:dyDescent="0.25">
      <c r="A211" s="28">
        <v>204</v>
      </c>
      <c r="B211" s="29"/>
      <c r="C211" s="77"/>
      <c r="D211" s="33"/>
      <c r="E211" s="41"/>
      <c r="F211" s="29"/>
      <c r="G211" s="29"/>
      <c r="H211" s="29"/>
      <c r="I211" s="27"/>
      <c r="J211" s="29"/>
      <c r="K211" s="29"/>
      <c r="L211" s="29"/>
      <c r="M211" s="33"/>
      <c r="N211" s="33"/>
    </row>
    <row r="212" spans="1:14" x14ac:dyDescent="0.25">
      <c r="A212" s="28">
        <v>205</v>
      </c>
      <c r="B212" s="29"/>
      <c r="C212" s="77"/>
      <c r="D212" s="33"/>
      <c r="E212" s="41"/>
      <c r="F212" s="29"/>
      <c r="G212" s="29"/>
      <c r="H212" s="29"/>
      <c r="I212" s="27"/>
      <c r="J212" s="29"/>
      <c r="K212" s="29"/>
      <c r="L212" s="29"/>
      <c r="M212" s="33"/>
      <c r="N212" s="33"/>
    </row>
    <row r="213" spans="1:14" x14ac:dyDescent="0.25">
      <c r="A213" s="28">
        <v>206</v>
      </c>
      <c r="B213" s="29"/>
      <c r="C213" s="77"/>
      <c r="D213" s="33"/>
      <c r="E213" s="41"/>
      <c r="F213" s="29"/>
      <c r="G213" s="29"/>
      <c r="H213" s="29"/>
      <c r="I213" s="27"/>
      <c r="J213" s="29"/>
      <c r="K213" s="29"/>
      <c r="L213" s="29"/>
      <c r="M213" s="33"/>
      <c r="N213" s="33"/>
    </row>
    <row r="214" spans="1:14" x14ac:dyDescent="0.25">
      <c r="A214" s="28">
        <v>207</v>
      </c>
      <c r="B214" s="29"/>
      <c r="C214" s="77"/>
      <c r="D214" s="33"/>
      <c r="E214" s="41"/>
      <c r="F214" s="29"/>
      <c r="G214" s="29"/>
      <c r="H214" s="29"/>
      <c r="I214" s="27"/>
      <c r="J214" s="29"/>
      <c r="K214" s="29"/>
      <c r="L214" s="29"/>
      <c r="M214" s="33"/>
      <c r="N214" s="33"/>
    </row>
    <row r="215" spans="1:14" x14ac:dyDescent="0.25">
      <c r="A215" s="28">
        <v>208</v>
      </c>
      <c r="B215" s="29"/>
      <c r="C215" s="77"/>
      <c r="D215" s="33"/>
      <c r="E215" s="41"/>
      <c r="F215" s="29"/>
      <c r="G215" s="29"/>
      <c r="H215" s="29"/>
      <c r="I215" s="27"/>
      <c r="J215" s="29"/>
      <c r="K215" s="29"/>
      <c r="L215" s="29"/>
      <c r="M215" s="33"/>
      <c r="N215" s="33"/>
    </row>
    <row r="216" spans="1:14" x14ac:dyDescent="0.25">
      <c r="A216" s="28">
        <v>209</v>
      </c>
      <c r="B216" s="29"/>
      <c r="C216" s="77"/>
      <c r="D216" s="33"/>
      <c r="E216" s="41"/>
      <c r="F216" s="29"/>
      <c r="G216" s="29"/>
      <c r="H216" s="29"/>
      <c r="I216" s="27"/>
      <c r="J216" s="29"/>
      <c r="K216" s="29"/>
      <c r="L216" s="29"/>
      <c r="M216" s="33"/>
      <c r="N216" s="33"/>
    </row>
    <row r="217" spans="1:14" x14ac:dyDescent="0.25">
      <c r="A217" s="28">
        <v>210</v>
      </c>
      <c r="B217" s="29"/>
      <c r="C217" s="77"/>
      <c r="D217" s="33"/>
      <c r="E217" s="41"/>
      <c r="F217" s="29"/>
      <c r="G217" s="29"/>
      <c r="H217" s="29"/>
      <c r="I217" s="27"/>
      <c r="J217" s="29"/>
      <c r="K217" s="29"/>
      <c r="L217" s="29"/>
      <c r="M217" s="33"/>
      <c r="N217" s="33"/>
    </row>
    <row r="218" spans="1:14" x14ac:dyDescent="0.25">
      <c r="A218" s="28">
        <v>211</v>
      </c>
      <c r="B218" s="29"/>
      <c r="C218" s="77"/>
      <c r="D218" s="33"/>
      <c r="E218" s="41"/>
      <c r="F218" s="29"/>
      <c r="G218" s="29"/>
      <c r="H218" s="29"/>
      <c r="I218" s="27"/>
      <c r="J218" s="29"/>
      <c r="K218" s="29"/>
      <c r="L218" s="29"/>
      <c r="M218" s="33"/>
      <c r="N218" s="33"/>
    </row>
    <row r="219" spans="1:14" x14ac:dyDescent="0.25">
      <c r="A219" s="28">
        <v>212</v>
      </c>
      <c r="B219" s="29"/>
      <c r="C219" s="77"/>
      <c r="D219" s="33"/>
      <c r="E219" s="41"/>
      <c r="F219" s="29"/>
      <c r="G219" s="29"/>
      <c r="H219" s="29"/>
      <c r="I219" s="27"/>
      <c r="J219" s="29"/>
      <c r="K219" s="29"/>
      <c r="L219" s="29"/>
      <c r="M219" s="33"/>
      <c r="N219" s="33"/>
    </row>
    <row r="220" spans="1:14" x14ac:dyDescent="0.25">
      <c r="A220" s="28">
        <v>213</v>
      </c>
      <c r="B220" s="29"/>
      <c r="C220" s="77"/>
      <c r="D220" s="33"/>
      <c r="E220" s="41"/>
      <c r="F220" s="29"/>
      <c r="G220" s="29"/>
      <c r="H220" s="29"/>
      <c r="I220" s="27"/>
      <c r="J220" s="29"/>
      <c r="K220" s="29"/>
      <c r="L220" s="29"/>
      <c r="M220" s="33"/>
      <c r="N220" s="33"/>
    </row>
    <row r="221" spans="1:14" x14ac:dyDescent="0.25">
      <c r="A221" s="28">
        <v>214</v>
      </c>
      <c r="B221" s="29"/>
      <c r="C221" s="77"/>
      <c r="D221" s="33"/>
      <c r="E221" s="41"/>
      <c r="F221" s="29"/>
      <c r="G221" s="29"/>
      <c r="H221" s="29"/>
      <c r="I221" s="27"/>
      <c r="J221" s="29"/>
      <c r="K221" s="29"/>
      <c r="L221" s="29"/>
      <c r="M221" s="33"/>
      <c r="N221" s="33"/>
    </row>
    <row r="222" spans="1:14" x14ac:dyDescent="0.25">
      <c r="A222" s="28">
        <v>215</v>
      </c>
      <c r="B222" s="29"/>
      <c r="C222" s="77"/>
      <c r="D222" s="33"/>
      <c r="E222" s="41"/>
      <c r="F222" s="29"/>
      <c r="G222" s="29"/>
      <c r="H222" s="29"/>
      <c r="I222" s="27"/>
      <c r="J222" s="29"/>
      <c r="K222" s="29"/>
      <c r="L222" s="29"/>
      <c r="M222" s="33"/>
      <c r="N222" s="33"/>
    </row>
    <row r="223" spans="1:14" x14ac:dyDescent="0.25">
      <c r="A223" s="28">
        <v>216</v>
      </c>
      <c r="B223" s="29"/>
      <c r="C223" s="77"/>
      <c r="D223" s="33"/>
      <c r="E223" s="41"/>
      <c r="F223" s="29"/>
      <c r="G223" s="29"/>
      <c r="H223" s="29"/>
      <c r="I223" s="27"/>
      <c r="J223" s="29"/>
      <c r="K223" s="29"/>
      <c r="L223" s="29"/>
      <c r="M223" s="33"/>
      <c r="N223" s="33"/>
    </row>
    <row r="224" spans="1:14" x14ac:dyDescent="0.25">
      <c r="A224" s="28">
        <v>217</v>
      </c>
      <c r="B224" s="29"/>
      <c r="C224" s="77"/>
      <c r="D224" s="33"/>
      <c r="E224" s="41"/>
      <c r="F224" s="29"/>
      <c r="G224" s="29"/>
      <c r="H224" s="29"/>
      <c r="I224" s="27"/>
      <c r="J224" s="29"/>
      <c r="K224" s="29"/>
      <c r="L224" s="29"/>
      <c r="M224" s="33"/>
      <c r="N224" s="33"/>
    </row>
    <row r="225" spans="1:14" x14ac:dyDescent="0.25">
      <c r="A225" s="28">
        <v>218</v>
      </c>
      <c r="B225" s="29"/>
      <c r="C225" s="77"/>
      <c r="D225" s="33"/>
      <c r="E225" s="41"/>
      <c r="F225" s="29"/>
      <c r="G225" s="29"/>
      <c r="H225" s="29"/>
      <c r="I225" s="27"/>
      <c r="J225" s="29"/>
      <c r="K225" s="29"/>
      <c r="L225" s="29"/>
      <c r="M225" s="33"/>
      <c r="N225" s="33"/>
    </row>
    <row r="226" spans="1:14" x14ac:dyDescent="0.25">
      <c r="A226" s="28">
        <v>219</v>
      </c>
      <c r="B226" s="29"/>
      <c r="C226" s="77"/>
      <c r="D226" s="33"/>
      <c r="E226" s="41"/>
      <c r="F226" s="29"/>
      <c r="G226" s="29"/>
      <c r="H226" s="29"/>
      <c r="I226" s="27"/>
      <c r="J226" s="29"/>
      <c r="K226" s="29"/>
      <c r="L226" s="29"/>
      <c r="M226" s="33"/>
      <c r="N226" s="33"/>
    </row>
    <row r="227" spans="1:14" x14ac:dyDescent="0.25">
      <c r="A227" s="28">
        <v>220</v>
      </c>
      <c r="B227" s="29"/>
      <c r="C227" s="77"/>
      <c r="D227" s="33"/>
      <c r="E227" s="41"/>
      <c r="F227" s="29"/>
      <c r="G227" s="29"/>
      <c r="H227" s="29"/>
      <c r="I227" s="27"/>
      <c r="J227" s="29"/>
      <c r="K227" s="29"/>
      <c r="L227" s="29"/>
      <c r="M227" s="33"/>
      <c r="N227" s="33"/>
    </row>
    <row r="228" spans="1:14" x14ac:dyDescent="0.25">
      <c r="A228" s="28">
        <v>221</v>
      </c>
      <c r="B228" s="29"/>
      <c r="C228" s="77"/>
      <c r="D228" s="33"/>
      <c r="E228" s="41"/>
      <c r="F228" s="29"/>
      <c r="G228" s="29"/>
      <c r="H228" s="29"/>
      <c r="I228" s="27"/>
      <c r="J228" s="29"/>
      <c r="K228" s="29"/>
      <c r="L228" s="29"/>
      <c r="M228" s="33"/>
      <c r="N228" s="33"/>
    </row>
    <row r="229" spans="1:14" x14ac:dyDescent="0.25">
      <c r="A229" s="28">
        <v>222</v>
      </c>
      <c r="B229" s="29"/>
      <c r="C229" s="77"/>
      <c r="D229" s="33"/>
      <c r="E229" s="41"/>
      <c r="F229" s="29"/>
      <c r="G229" s="29"/>
      <c r="H229" s="29"/>
      <c r="I229" s="27"/>
      <c r="J229" s="29"/>
      <c r="K229" s="29"/>
      <c r="L229" s="29"/>
      <c r="M229" s="33"/>
      <c r="N229" s="33"/>
    </row>
    <row r="230" spans="1:14" x14ac:dyDescent="0.25">
      <c r="A230" s="28">
        <v>223</v>
      </c>
      <c r="B230" s="29"/>
      <c r="C230" s="77"/>
      <c r="D230" s="33"/>
      <c r="E230" s="41"/>
      <c r="F230" s="29"/>
      <c r="G230" s="29"/>
      <c r="H230" s="29"/>
      <c r="I230" s="27"/>
      <c r="J230" s="29"/>
      <c r="K230" s="29"/>
      <c r="L230" s="29"/>
      <c r="M230" s="33"/>
      <c r="N230" s="33"/>
    </row>
    <row r="231" spans="1:14" x14ac:dyDescent="0.25">
      <c r="A231" s="28">
        <v>224</v>
      </c>
      <c r="B231" s="29"/>
      <c r="C231" s="77"/>
      <c r="D231" s="33"/>
      <c r="E231" s="41"/>
      <c r="F231" s="29"/>
      <c r="G231" s="29"/>
      <c r="H231" s="29"/>
      <c r="I231" s="27"/>
      <c r="J231" s="29"/>
      <c r="K231" s="29"/>
      <c r="L231" s="29"/>
      <c r="M231" s="33"/>
      <c r="N231" s="33"/>
    </row>
    <row r="232" spans="1:14" x14ac:dyDescent="0.25">
      <c r="A232" s="28">
        <v>225</v>
      </c>
      <c r="B232" s="29"/>
      <c r="C232" s="77"/>
      <c r="D232" s="33"/>
      <c r="E232" s="41"/>
      <c r="F232" s="29"/>
      <c r="G232" s="29"/>
      <c r="H232" s="29"/>
      <c r="I232" s="27"/>
      <c r="J232" s="29"/>
      <c r="K232" s="29"/>
      <c r="L232" s="29"/>
      <c r="M232" s="33"/>
      <c r="N232" s="33"/>
    </row>
    <row r="233" spans="1:14" x14ac:dyDescent="0.25">
      <c r="A233" s="28">
        <v>226</v>
      </c>
      <c r="B233" s="29"/>
      <c r="C233" s="77"/>
      <c r="D233" s="33"/>
      <c r="E233" s="41"/>
      <c r="F233" s="29"/>
      <c r="G233" s="29"/>
      <c r="H233" s="29"/>
      <c r="I233" s="27"/>
      <c r="J233" s="29"/>
      <c r="K233" s="29"/>
      <c r="L233" s="29"/>
      <c r="M233" s="33"/>
      <c r="N233" s="33"/>
    </row>
    <row r="234" spans="1:14" x14ac:dyDescent="0.25">
      <c r="A234" s="28">
        <v>227</v>
      </c>
      <c r="B234" s="29"/>
      <c r="C234" s="77"/>
      <c r="D234" s="33"/>
      <c r="E234" s="41"/>
      <c r="F234" s="29"/>
      <c r="G234" s="29"/>
      <c r="H234" s="29"/>
      <c r="I234" s="27"/>
      <c r="J234" s="29"/>
      <c r="K234" s="29"/>
      <c r="L234" s="29"/>
      <c r="M234" s="33"/>
      <c r="N234" s="33"/>
    </row>
    <row r="235" spans="1:14" x14ac:dyDescent="0.25">
      <c r="A235" s="28">
        <v>228</v>
      </c>
      <c r="B235" s="29"/>
      <c r="C235" s="77"/>
      <c r="D235" s="33"/>
      <c r="E235" s="41"/>
      <c r="F235" s="29"/>
      <c r="G235" s="29"/>
      <c r="H235" s="29"/>
      <c r="I235" s="27"/>
      <c r="J235" s="29"/>
      <c r="K235" s="29"/>
      <c r="L235" s="29"/>
      <c r="M235" s="33"/>
      <c r="N235" s="33"/>
    </row>
    <row r="236" spans="1:14" x14ac:dyDescent="0.25">
      <c r="A236" s="28">
        <v>229</v>
      </c>
      <c r="B236" s="29"/>
      <c r="C236" s="77"/>
      <c r="D236" s="33"/>
      <c r="E236" s="41"/>
      <c r="F236" s="29"/>
      <c r="G236" s="29"/>
      <c r="H236" s="29"/>
      <c r="I236" s="27"/>
      <c r="J236" s="29"/>
      <c r="K236" s="29"/>
      <c r="L236" s="29"/>
      <c r="M236" s="33"/>
      <c r="N236" s="33"/>
    </row>
    <row r="237" spans="1:14" x14ac:dyDescent="0.25">
      <c r="A237" s="28">
        <v>230</v>
      </c>
      <c r="B237" s="29"/>
      <c r="C237" s="77"/>
      <c r="D237" s="33"/>
      <c r="E237" s="41"/>
      <c r="F237" s="29"/>
      <c r="G237" s="29"/>
      <c r="H237" s="29"/>
      <c r="I237" s="27"/>
      <c r="J237" s="29"/>
      <c r="K237" s="29"/>
      <c r="L237" s="29"/>
      <c r="M237" s="33"/>
      <c r="N237" s="33"/>
    </row>
    <row r="238" spans="1:14" x14ac:dyDescent="0.25">
      <c r="A238" s="28">
        <v>231</v>
      </c>
      <c r="B238" s="29"/>
      <c r="C238" s="77"/>
      <c r="D238" s="33"/>
      <c r="E238" s="41"/>
      <c r="F238" s="29"/>
      <c r="G238" s="29"/>
      <c r="H238" s="29"/>
      <c r="I238" s="27"/>
      <c r="J238" s="29"/>
      <c r="K238" s="29"/>
      <c r="L238" s="29"/>
      <c r="M238" s="33"/>
      <c r="N238" s="33"/>
    </row>
    <row r="239" spans="1:14" x14ac:dyDescent="0.25">
      <c r="A239" s="28">
        <v>232</v>
      </c>
      <c r="B239" s="29"/>
      <c r="C239" s="77"/>
      <c r="D239" s="33"/>
      <c r="E239" s="41"/>
      <c r="F239" s="29"/>
      <c r="G239" s="29"/>
      <c r="H239" s="29"/>
      <c r="I239" s="27"/>
      <c r="J239" s="29"/>
      <c r="K239" s="29"/>
      <c r="L239" s="29"/>
      <c r="M239" s="33"/>
      <c r="N239" s="33"/>
    </row>
    <row r="240" spans="1:14" x14ac:dyDescent="0.25">
      <c r="A240" s="28">
        <v>233</v>
      </c>
      <c r="B240" s="29"/>
      <c r="C240" s="77"/>
      <c r="D240" s="33"/>
      <c r="E240" s="41"/>
      <c r="F240" s="29"/>
      <c r="G240" s="29"/>
      <c r="H240" s="29"/>
      <c r="I240" s="27"/>
      <c r="J240" s="29"/>
      <c r="K240" s="29"/>
      <c r="L240" s="29"/>
      <c r="M240" s="33"/>
      <c r="N240" s="33"/>
    </row>
    <row r="241" spans="1:14" x14ac:dyDescent="0.25">
      <c r="A241" s="28">
        <v>234</v>
      </c>
      <c r="B241" s="29"/>
      <c r="C241" s="77"/>
      <c r="D241" s="33"/>
      <c r="E241" s="41"/>
      <c r="F241" s="29"/>
      <c r="G241" s="29"/>
      <c r="H241" s="29"/>
      <c r="I241" s="27"/>
      <c r="J241" s="29"/>
      <c r="K241" s="29"/>
      <c r="L241" s="29"/>
      <c r="M241" s="33"/>
      <c r="N241" s="33"/>
    </row>
    <row r="242" spans="1:14" x14ac:dyDescent="0.25">
      <c r="A242" s="28">
        <v>235</v>
      </c>
      <c r="B242" s="29"/>
      <c r="C242" s="77"/>
      <c r="D242" s="33"/>
      <c r="E242" s="41"/>
      <c r="F242" s="29"/>
      <c r="G242" s="29"/>
      <c r="H242" s="29"/>
      <c r="I242" s="27"/>
      <c r="J242" s="29"/>
      <c r="K242" s="29"/>
      <c r="L242" s="29"/>
      <c r="M242" s="33"/>
      <c r="N242" s="33"/>
    </row>
    <row r="243" spans="1:14" x14ac:dyDescent="0.25">
      <c r="A243" s="28">
        <v>236</v>
      </c>
      <c r="B243" s="29"/>
      <c r="C243" s="77"/>
      <c r="D243" s="33"/>
      <c r="E243" s="41"/>
      <c r="F243" s="29"/>
      <c r="G243" s="29"/>
      <c r="H243" s="29"/>
      <c r="I243" s="27"/>
      <c r="J243" s="29"/>
      <c r="K243" s="29"/>
      <c r="L243" s="29"/>
      <c r="M243" s="33"/>
      <c r="N243" s="33"/>
    </row>
    <row r="244" spans="1:14" x14ac:dyDescent="0.25">
      <c r="A244" s="28">
        <v>237</v>
      </c>
      <c r="B244" s="29"/>
      <c r="C244" s="77"/>
      <c r="D244" s="33"/>
      <c r="E244" s="41"/>
      <c r="F244" s="29"/>
      <c r="G244" s="29"/>
      <c r="H244" s="29"/>
      <c r="I244" s="27"/>
      <c r="J244" s="29"/>
      <c r="K244" s="29"/>
      <c r="L244" s="29"/>
      <c r="M244" s="33"/>
      <c r="N244" s="33"/>
    </row>
    <row r="245" spans="1:14" x14ac:dyDescent="0.25">
      <c r="A245" s="28">
        <v>238</v>
      </c>
      <c r="B245" s="29"/>
      <c r="C245" s="77"/>
      <c r="D245" s="33"/>
      <c r="E245" s="41"/>
      <c r="F245" s="29"/>
      <c r="G245" s="29"/>
      <c r="H245" s="29"/>
      <c r="I245" s="27"/>
      <c r="J245" s="29"/>
      <c r="K245" s="29"/>
      <c r="L245" s="29"/>
      <c r="M245" s="33"/>
      <c r="N245" s="33"/>
    </row>
    <row r="246" spans="1:14" x14ac:dyDescent="0.25">
      <c r="A246" s="28">
        <v>239</v>
      </c>
      <c r="B246" s="29"/>
      <c r="C246" s="77"/>
      <c r="D246" s="33"/>
      <c r="E246" s="41"/>
      <c r="F246" s="29"/>
      <c r="G246" s="29"/>
      <c r="H246" s="29"/>
      <c r="I246" s="27"/>
      <c r="J246" s="29"/>
      <c r="K246" s="29"/>
      <c r="L246" s="29"/>
      <c r="M246" s="33"/>
      <c r="N246" s="33"/>
    </row>
    <row r="247" spans="1:14" x14ac:dyDescent="0.25">
      <c r="A247" s="28">
        <v>240</v>
      </c>
      <c r="B247" s="29"/>
      <c r="C247" s="77"/>
      <c r="D247" s="33"/>
      <c r="E247" s="41"/>
      <c r="F247" s="29"/>
      <c r="G247" s="29"/>
      <c r="H247" s="29"/>
      <c r="I247" s="27"/>
      <c r="J247" s="29"/>
      <c r="K247" s="29"/>
      <c r="L247" s="29"/>
      <c r="M247" s="33"/>
      <c r="N247" s="33"/>
    </row>
    <row r="248" spans="1:14" x14ac:dyDescent="0.25">
      <c r="A248" s="28">
        <v>241</v>
      </c>
      <c r="B248" s="29"/>
      <c r="C248" s="77"/>
      <c r="D248" s="33"/>
      <c r="E248" s="41"/>
      <c r="F248" s="29"/>
      <c r="G248" s="29"/>
      <c r="H248" s="29"/>
      <c r="I248" s="27"/>
      <c r="J248" s="29"/>
      <c r="K248" s="29"/>
      <c r="L248" s="29"/>
      <c r="M248" s="33"/>
      <c r="N248" s="33"/>
    </row>
    <row r="249" spans="1:14" x14ac:dyDescent="0.25">
      <c r="A249" s="28">
        <v>242</v>
      </c>
      <c r="B249" s="29"/>
      <c r="C249" s="77"/>
      <c r="D249" s="33"/>
      <c r="E249" s="41"/>
      <c r="F249" s="29"/>
      <c r="G249" s="29"/>
      <c r="H249" s="29"/>
      <c r="I249" s="27"/>
      <c r="J249" s="29"/>
      <c r="K249" s="29"/>
      <c r="L249" s="29"/>
      <c r="M249" s="33"/>
      <c r="N249" s="33"/>
    </row>
    <row r="250" spans="1:14" x14ac:dyDescent="0.25">
      <c r="A250" s="28">
        <v>243</v>
      </c>
      <c r="B250" s="29"/>
      <c r="C250" s="77"/>
      <c r="D250" s="33"/>
      <c r="E250" s="41"/>
      <c r="F250" s="29"/>
      <c r="G250" s="29"/>
      <c r="H250" s="29"/>
      <c r="I250" s="27"/>
      <c r="J250" s="29"/>
      <c r="K250" s="29"/>
      <c r="L250" s="29"/>
      <c r="M250" s="33"/>
      <c r="N250" s="33"/>
    </row>
    <row r="251" spans="1:14" x14ac:dyDescent="0.25">
      <c r="A251" s="28">
        <v>244</v>
      </c>
      <c r="B251" s="29"/>
      <c r="C251" s="77"/>
      <c r="D251" s="33"/>
      <c r="E251" s="41"/>
      <c r="F251" s="29"/>
      <c r="G251" s="29"/>
      <c r="H251" s="29"/>
      <c r="I251" s="27"/>
      <c r="J251" s="29"/>
      <c r="K251" s="29"/>
      <c r="L251" s="29"/>
      <c r="M251" s="33"/>
      <c r="N251" s="33"/>
    </row>
    <row r="252" spans="1:14" x14ac:dyDescent="0.25">
      <c r="A252" s="28">
        <v>245</v>
      </c>
      <c r="B252" s="29"/>
      <c r="C252" s="77"/>
      <c r="D252" s="33"/>
      <c r="E252" s="41"/>
      <c r="F252" s="29"/>
      <c r="G252" s="29"/>
      <c r="H252" s="29"/>
      <c r="I252" s="27"/>
      <c r="J252" s="29"/>
      <c r="K252" s="29"/>
      <c r="L252" s="29"/>
      <c r="M252" s="33"/>
      <c r="N252" s="33"/>
    </row>
    <row r="253" spans="1:14" x14ac:dyDescent="0.25">
      <c r="A253" s="28">
        <v>246</v>
      </c>
      <c r="B253" s="29"/>
      <c r="C253" s="77"/>
      <c r="D253" s="33"/>
      <c r="E253" s="41"/>
      <c r="F253" s="29"/>
      <c r="G253" s="29"/>
      <c r="H253" s="29"/>
      <c r="I253" s="27"/>
      <c r="J253" s="29"/>
      <c r="K253" s="29"/>
      <c r="L253" s="29"/>
      <c r="M253" s="33"/>
      <c r="N253" s="33"/>
    </row>
    <row r="254" spans="1:14" x14ac:dyDescent="0.25">
      <c r="A254" s="28">
        <v>247</v>
      </c>
      <c r="B254" s="29"/>
      <c r="C254" s="77"/>
      <c r="D254" s="33"/>
      <c r="E254" s="41"/>
      <c r="F254" s="29"/>
      <c r="G254" s="29"/>
      <c r="H254" s="29"/>
      <c r="I254" s="27"/>
      <c r="J254" s="29"/>
      <c r="K254" s="29"/>
      <c r="L254" s="29"/>
      <c r="M254" s="33"/>
      <c r="N254" s="33"/>
    </row>
    <row r="255" spans="1:14" x14ac:dyDescent="0.25">
      <c r="A255" s="28">
        <v>248</v>
      </c>
      <c r="B255" s="29"/>
      <c r="C255" s="77"/>
      <c r="D255" s="33"/>
      <c r="E255" s="41"/>
      <c r="F255" s="29"/>
      <c r="G255" s="29"/>
      <c r="H255" s="29"/>
      <c r="I255" s="27"/>
      <c r="J255" s="29"/>
      <c r="K255" s="29"/>
      <c r="L255" s="29"/>
      <c r="M255" s="33"/>
      <c r="N255" s="33"/>
    </row>
    <row r="256" spans="1:14" x14ac:dyDescent="0.25">
      <c r="A256" s="28">
        <v>249</v>
      </c>
      <c r="B256" s="29"/>
      <c r="C256" s="77"/>
      <c r="D256" s="33"/>
      <c r="E256" s="41"/>
      <c r="F256" s="29"/>
      <c r="G256" s="29"/>
      <c r="H256" s="29"/>
      <c r="I256" s="27"/>
      <c r="J256" s="29"/>
      <c r="K256" s="29"/>
      <c r="L256" s="29"/>
      <c r="M256" s="33"/>
      <c r="N256" s="33"/>
    </row>
    <row r="257" spans="1:14" x14ac:dyDescent="0.25">
      <c r="A257" s="28">
        <v>250</v>
      </c>
      <c r="B257" s="29"/>
      <c r="C257" s="77"/>
      <c r="D257" s="33"/>
      <c r="E257" s="41"/>
      <c r="F257" s="29"/>
      <c r="G257" s="29"/>
      <c r="H257" s="29"/>
      <c r="I257" s="27"/>
      <c r="J257" s="29"/>
      <c r="K257" s="29"/>
      <c r="L257" s="29"/>
      <c r="M257" s="33"/>
      <c r="N257" s="33"/>
    </row>
    <row r="258" spans="1:14" x14ac:dyDescent="0.25">
      <c r="A258" s="28">
        <v>251</v>
      </c>
      <c r="B258" s="29"/>
      <c r="C258" s="77"/>
      <c r="D258" s="33"/>
      <c r="E258" s="41"/>
      <c r="F258" s="29"/>
      <c r="G258" s="29"/>
      <c r="H258" s="29"/>
      <c r="I258" s="27"/>
      <c r="J258" s="29"/>
      <c r="K258" s="29"/>
      <c r="L258" s="29"/>
      <c r="M258" s="33"/>
      <c r="N258" s="33"/>
    </row>
    <row r="259" spans="1:14" x14ac:dyDescent="0.25">
      <c r="A259" s="28">
        <v>252</v>
      </c>
      <c r="B259" s="29"/>
      <c r="C259" s="77"/>
      <c r="D259" s="33"/>
      <c r="E259" s="41"/>
      <c r="F259" s="29"/>
      <c r="G259" s="29"/>
      <c r="H259" s="29"/>
      <c r="I259" s="27"/>
      <c r="J259" s="29"/>
      <c r="K259" s="29"/>
      <c r="L259" s="29"/>
      <c r="M259" s="33"/>
      <c r="N259" s="33"/>
    </row>
    <row r="260" spans="1:14" x14ac:dyDescent="0.25">
      <c r="A260" s="28">
        <v>253</v>
      </c>
      <c r="B260" s="29"/>
      <c r="C260" s="77"/>
      <c r="D260" s="33"/>
      <c r="E260" s="41"/>
      <c r="F260" s="29"/>
      <c r="G260" s="29"/>
      <c r="H260" s="29"/>
      <c r="I260" s="27"/>
      <c r="J260" s="29"/>
      <c r="K260" s="29"/>
      <c r="L260" s="29"/>
      <c r="M260" s="33"/>
      <c r="N260" s="33"/>
    </row>
    <row r="261" spans="1:14" x14ac:dyDescent="0.25">
      <c r="A261" s="28">
        <v>254</v>
      </c>
      <c r="B261" s="29"/>
      <c r="C261" s="77"/>
      <c r="D261" s="33"/>
      <c r="E261" s="41"/>
      <c r="F261" s="29"/>
      <c r="G261" s="29"/>
      <c r="H261" s="29"/>
      <c r="I261" s="27"/>
      <c r="J261" s="29"/>
      <c r="K261" s="29"/>
      <c r="L261" s="29"/>
      <c r="M261" s="33"/>
      <c r="N261" s="33"/>
    </row>
    <row r="262" spans="1:14" x14ac:dyDescent="0.25">
      <c r="A262" s="28">
        <v>255</v>
      </c>
      <c r="B262" s="29"/>
      <c r="C262" s="77"/>
      <c r="D262" s="33"/>
      <c r="E262" s="41"/>
      <c r="F262" s="29"/>
      <c r="G262" s="29"/>
      <c r="H262" s="29"/>
      <c r="I262" s="27"/>
      <c r="J262" s="29"/>
      <c r="K262" s="29"/>
      <c r="L262" s="29"/>
      <c r="M262" s="33"/>
      <c r="N262" s="33"/>
    </row>
    <row r="263" spans="1:14" x14ac:dyDescent="0.25">
      <c r="A263" s="28">
        <v>256</v>
      </c>
      <c r="B263" s="29"/>
      <c r="C263" s="77"/>
      <c r="D263" s="33"/>
      <c r="E263" s="41"/>
      <c r="F263" s="29"/>
      <c r="G263" s="29"/>
      <c r="H263" s="29"/>
      <c r="I263" s="27"/>
      <c r="J263" s="29"/>
      <c r="K263" s="29"/>
      <c r="L263" s="29"/>
      <c r="M263" s="33"/>
      <c r="N263" s="33"/>
    </row>
    <row r="264" spans="1:14" x14ac:dyDescent="0.25">
      <c r="A264" s="28">
        <v>257</v>
      </c>
      <c r="B264" s="29"/>
      <c r="C264" s="77"/>
      <c r="D264" s="33"/>
      <c r="E264" s="41"/>
      <c r="F264" s="29"/>
      <c r="G264" s="29"/>
      <c r="H264" s="29"/>
      <c r="I264" s="27"/>
      <c r="J264" s="29"/>
      <c r="K264" s="29"/>
      <c r="L264" s="29"/>
      <c r="M264" s="33"/>
      <c r="N264" s="33"/>
    </row>
    <row r="265" spans="1:14" x14ac:dyDescent="0.25">
      <c r="A265" s="28">
        <v>258</v>
      </c>
      <c r="B265" s="29"/>
      <c r="C265" s="77"/>
      <c r="D265" s="33"/>
      <c r="E265" s="41"/>
      <c r="F265" s="29"/>
      <c r="G265" s="29"/>
      <c r="H265" s="29"/>
      <c r="I265" s="27"/>
      <c r="J265" s="29"/>
      <c r="K265" s="29"/>
      <c r="L265" s="29"/>
      <c r="M265" s="33"/>
      <c r="N265" s="33"/>
    </row>
    <row r="266" spans="1:14" x14ac:dyDescent="0.25">
      <c r="A266" s="28">
        <v>259</v>
      </c>
      <c r="B266" s="29"/>
      <c r="C266" s="77"/>
      <c r="D266" s="33"/>
      <c r="E266" s="41"/>
      <c r="F266" s="29"/>
      <c r="G266" s="29"/>
      <c r="H266" s="29"/>
      <c r="I266" s="27"/>
      <c r="J266" s="29"/>
      <c r="K266" s="29"/>
      <c r="L266" s="29"/>
      <c r="M266" s="33"/>
      <c r="N266" s="33"/>
    </row>
    <row r="267" spans="1:14" x14ac:dyDescent="0.25">
      <c r="A267" s="28">
        <v>260</v>
      </c>
      <c r="B267" s="29"/>
      <c r="C267" s="77"/>
      <c r="D267" s="33"/>
      <c r="E267" s="41"/>
      <c r="F267" s="29"/>
      <c r="G267" s="29"/>
      <c r="H267" s="29"/>
      <c r="I267" s="27"/>
      <c r="J267" s="29"/>
      <c r="K267" s="29"/>
      <c r="L267" s="29"/>
      <c r="M267" s="33"/>
      <c r="N267" s="33"/>
    </row>
    <row r="268" spans="1:14" x14ac:dyDescent="0.25">
      <c r="A268" s="28">
        <v>261</v>
      </c>
      <c r="B268" s="29"/>
      <c r="C268" s="77"/>
      <c r="D268" s="33"/>
      <c r="E268" s="41"/>
      <c r="F268" s="29"/>
      <c r="G268" s="29"/>
      <c r="H268" s="29"/>
      <c r="I268" s="27"/>
      <c r="J268" s="29"/>
      <c r="K268" s="29"/>
      <c r="L268" s="29"/>
      <c r="M268" s="33"/>
      <c r="N268" s="33"/>
    </row>
    <row r="269" spans="1:14" x14ac:dyDescent="0.25">
      <c r="A269" s="28">
        <v>262</v>
      </c>
      <c r="B269" s="29"/>
      <c r="C269" s="77"/>
      <c r="D269" s="33"/>
      <c r="E269" s="41"/>
      <c r="F269" s="29"/>
      <c r="G269" s="29"/>
      <c r="H269" s="29"/>
      <c r="I269" s="27"/>
      <c r="J269" s="29"/>
      <c r="K269" s="29"/>
      <c r="L269" s="29"/>
      <c r="M269" s="33"/>
      <c r="N269" s="33"/>
    </row>
    <row r="270" spans="1:14" x14ac:dyDescent="0.25">
      <c r="A270" s="28">
        <v>263</v>
      </c>
      <c r="B270" s="29"/>
      <c r="C270" s="77"/>
      <c r="D270" s="33"/>
      <c r="E270" s="41"/>
      <c r="F270" s="29"/>
      <c r="G270" s="29"/>
      <c r="H270" s="29"/>
      <c r="I270" s="27"/>
      <c r="J270" s="29"/>
      <c r="K270" s="29"/>
      <c r="L270" s="29"/>
      <c r="M270" s="33"/>
      <c r="N270" s="33"/>
    </row>
    <row r="271" spans="1:14" x14ac:dyDescent="0.25">
      <c r="A271" s="28">
        <v>264</v>
      </c>
      <c r="B271" s="29"/>
      <c r="C271" s="77"/>
      <c r="D271" s="33"/>
      <c r="E271" s="41"/>
      <c r="F271" s="29"/>
      <c r="G271" s="29"/>
      <c r="H271" s="29"/>
      <c r="I271" s="27"/>
      <c r="J271" s="29"/>
      <c r="K271" s="29"/>
      <c r="L271" s="29"/>
      <c r="M271" s="33"/>
      <c r="N271" s="33"/>
    </row>
    <row r="272" spans="1:14" x14ac:dyDescent="0.25">
      <c r="A272" s="28">
        <v>265</v>
      </c>
      <c r="B272" s="29"/>
      <c r="C272" s="77"/>
      <c r="D272" s="33"/>
      <c r="E272" s="41"/>
      <c r="F272" s="29"/>
      <c r="G272" s="29"/>
      <c r="H272" s="29"/>
      <c r="I272" s="27"/>
      <c r="J272" s="29"/>
      <c r="K272" s="29"/>
      <c r="L272" s="29"/>
      <c r="M272" s="33"/>
      <c r="N272" s="33"/>
    </row>
    <row r="273" spans="1:14" x14ac:dyDescent="0.25">
      <c r="A273" s="28">
        <v>266</v>
      </c>
      <c r="B273" s="29"/>
      <c r="C273" s="77"/>
      <c r="D273" s="33"/>
      <c r="E273" s="41"/>
      <c r="F273" s="29"/>
      <c r="G273" s="29"/>
      <c r="H273" s="29"/>
      <c r="I273" s="27"/>
      <c r="J273" s="29"/>
      <c r="K273" s="29"/>
      <c r="L273" s="29"/>
      <c r="M273" s="33"/>
      <c r="N273" s="33"/>
    </row>
    <row r="274" spans="1:14" x14ac:dyDescent="0.25">
      <c r="A274" s="28">
        <v>267</v>
      </c>
      <c r="B274" s="29"/>
      <c r="C274" s="77"/>
      <c r="D274" s="33"/>
      <c r="E274" s="41"/>
      <c r="F274" s="29"/>
      <c r="G274" s="29"/>
      <c r="H274" s="29"/>
      <c r="I274" s="27"/>
      <c r="J274" s="29"/>
      <c r="K274" s="29"/>
      <c r="L274" s="29"/>
      <c r="M274" s="33"/>
      <c r="N274" s="33"/>
    </row>
    <row r="275" spans="1:14" x14ac:dyDescent="0.25">
      <c r="A275" s="28">
        <v>268</v>
      </c>
      <c r="B275" s="29"/>
      <c r="C275" s="77"/>
      <c r="D275" s="33"/>
      <c r="E275" s="41"/>
      <c r="F275" s="29"/>
      <c r="G275" s="29"/>
      <c r="H275" s="29"/>
      <c r="I275" s="27"/>
      <c r="J275" s="29"/>
      <c r="K275" s="29"/>
      <c r="L275" s="29"/>
      <c r="M275" s="33"/>
      <c r="N275" s="33"/>
    </row>
    <row r="276" spans="1:14" x14ac:dyDescent="0.25">
      <c r="A276" s="28">
        <v>269</v>
      </c>
      <c r="B276" s="29"/>
      <c r="C276" s="77"/>
      <c r="D276" s="33"/>
      <c r="E276" s="41"/>
      <c r="F276" s="29"/>
      <c r="G276" s="29"/>
      <c r="H276" s="29"/>
      <c r="I276" s="27"/>
      <c r="J276" s="29"/>
      <c r="K276" s="29"/>
      <c r="L276" s="29"/>
      <c r="M276" s="33"/>
      <c r="N276" s="33"/>
    </row>
    <row r="277" spans="1:14" x14ac:dyDescent="0.25">
      <c r="A277" s="28">
        <v>270</v>
      </c>
      <c r="B277" s="29"/>
      <c r="C277" s="77"/>
      <c r="D277" s="33"/>
      <c r="E277" s="41"/>
      <c r="F277" s="29"/>
      <c r="G277" s="29"/>
      <c r="H277" s="29"/>
      <c r="I277" s="27"/>
      <c r="J277" s="29"/>
      <c r="K277" s="29"/>
      <c r="L277" s="29"/>
      <c r="M277" s="33"/>
      <c r="N277" s="33"/>
    </row>
    <row r="278" spans="1:14" x14ac:dyDescent="0.25">
      <c r="A278" s="28">
        <v>271</v>
      </c>
      <c r="B278" s="29"/>
      <c r="C278" s="77"/>
      <c r="D278" s="33"/>
      <c r="E278" s="41"/>
      <c r="F278" s="29"/>
      <c r="G278" s="29"/>
      <c r="H278" s="29"/>
      <c r="I278" s="27"/>
      <c r="J278" s="29"/>
      <c r="K278" s="29"/>
      <c r="L278" s="29"/>
      <c r="M278" s="33"/>
      <c r="N278" s="33"/>
    </row>
    <row r="279" spans="1:14" x14ac:dyDescent="0.25">
      <c r="A279" s="28">
        <v>272</v>
      </c>
      <c r="B279" s="29"/>
      <c r="C279" s="77"/>
      <c r="D279" s="33"/>
      <c r="E279" s="41"/>
      <c r="F279" s="29"/>
      <c r="G279" s="29"/>
      <c r="H279" s="29"/>
      <c r="I279" s="27"/>
      <c r="J279" s="29"/>
      <c r="K279" s="29"/>
      <c r="L279" s="29"/>
      <c r="M279" s="33"/>
      <c r="N279" s="33"/>
    </row>
    <row r="280" spans="1:14" x14ac:dyDescent="0.25">
      <c r="A280" s="28">
        <v>273</v>
      </c>
      <c r="B280" s="29"/>
      <c r="C280" s="77"/>
      <c r="D280" s="33"/>
      <c r="E280" s="41"/>
      <c r="F280" s="29"/>
      <c r="G280" s="29"/>
      <c r="H280" s="29"/>
      <c r="I280" s="27"/>
      <c r="J280" s="29"/>
      <c r="K280" s="29"/>
      <c r="L280" s="29"/>
      <c r="M280" s="33"/>
      <c r="N280" s="33"/>
    </row>
    <row r="281" spans="1:14" x14ac:dyDescent="0.25">
      <c r="A281" s="28">
        <v>274</v>
      </c>
      <c r="B281" s="29"/>
      <c r="C281" s="77"/>
      <c r="D281" s="33"/>
      <c r="E281" s="41"/>
      <c r="F281" s="29"/>
      <c r="G281" s="29"/>
      <c r="H281" s="29"/>
      <c r="I281" s="27"/>
      <c r="J281" s="29"/>
      <c r="K281" s="29"/>
      <c r="L281" s="29"/>
      <c r="M281" s="33"/>
      <c r="N281" s="33"/>
    </row>
    <row r="282" spans="1:14" x14ac:dyDescent="0.25">
      <c r="A282" s="28">
        <v>275</v>
      </c>
      <c r="B282" s="29"/>
      <c r="C282" s="77"/>
      <c r="D282" s="33"/>
      <c r="E282" s="41"/>
      <c r="F282" s="29"/>
      <c r="G282" s="29"/>
      <c r="H282" s="29"/>
      <c r="I282" s="27"/>
      <c r="J282" s="29"/>
      <c r="K282" s="29"/>
      <c r="L282" s="29"/>
      <c r="M282" s="33"/>
      <c r="N282" s="33"/>
    </row>
    <row r="283" spans="1:14" x14ac:dyDescent="0.25">
      <c r="A283" s="28">
        <v>276</v>
      </c>
      <c r="B283" s="29"/>
      <c r="C283" s="77"/>
      <c r="D283" s="33"/>
      <c r="E283" s="41"/>
      <c r="F283" s="29"/>
      <c r="G283" s="29"/>
      <c r="H283" s="29"/>
      <c r="I283" s="27"/>
      <c r="J283" s="29"/>
      <c r="K283" s="29"/>
      <c r="L283" s="29"/>
      <c r="M283" s="33"/>
      <c r="N283" s="33"/>
    </row>
    <row r="284" spans="1:14" x14ac:dyDescent="0.25">
      <c r="A284" s="28">
        <v>277</v>
      </c>
      <c r="B284" s="29"/>
      <c r="C284" s="77"/>
      <c r="D284" s="33"/>
      <c r="E284" s="41"/>
      <c r="F284" s="29"/>
      <c r="G284" s="29"/>
      <c r="H284" s="29"/>
      <c r="I284" s="27"/>
      <c r="J284" s="29"/>
      <c r="K284" s="29"/>
      <c r="L284" s="29"/>
      <c r="M284" s="33"/>
      <c r="N284" s="33"/>
    </row>
    <row r="285" spans="1:14" x14ac:dyDescent="0.25">
      <c r="A285" s="28">
        <v>278</v>
      </c>
      <c r="B285" s="29"/>
      <c r="C285" s="77"/>
      <c r="D285" s="33"/>
      <c r="E285" s="41"/>
      <c r="F285" s="29"/>
      <c r="G285" s="29"/>
      <c r="H285" s="29"/>
      <c r="I285" s="27"/>
      <c r="J285" s="29"/>
      <c r="K285" s="29"/>
      <c r="L285" s="29"/>
      <c r="M285" s="33"/>
      <c r="N285" s="33"/>
    </row>
    <row r="286" spans="1:14" x14ac:dyDescent="0.25">
      <c r="A286" s="28">
        <v>279</v>
      </c>
      <c r="B286" s="29"/>
      <c r="C286" s="77"/>
      <c r="D286" s="33"/>
      <c r="E286" s="41"/>
      <c r="F286" s="29"/>
      <c r="G286" s="29"/>
      <c r="H286" s="29"/>
      <c r="I286" s="27"/>
      <c r="J286" s="29"/>
      <c r="K286" s="29"/>
      <c r="L286" s="29"/>
      <c r="M286" s="33"/>
      <c r="N286" s="33"/>
    </row>
    <row r="287" spans="1:14" x14ac:dyDescent="0.25">
      <c r="A287" s="28">
        <v>280</v>
      </c>
      <c r="B287" s="29"/>
      <c r="C287" s="77"/>
      <c r="D287" s="33"/>
      <c r="E287" s="41"/>
      <c r="F287" s="29"/>
      <c r="G287" s="29"/>
      <c r="H287" s="29"/>
      <c r="I287" s="27"/>
      <c r="J287" s="29"/>
      <c r="K287" s="29"/>
      <c r="L287" s="29"/>
      <c r="M287" s="33"/>
      <c r="N287" s="33"/>
    </row>
    <row r="288" spans="1:14" x14ac:dyDescent="0.25">
      <c r="A288" s="28">
        <v>281</v>
      </c>
      <c r="B288" s="29"/>
      <c r="C288" s="77"/>
      <c r="D288" s="33"/>
      <c r="E288" s="41"/>
      <c r="F288" s="29"/>
      <c r="G288" s="29"/>
      <c r="H288" s="29"/>
      <c r="I288" s="27"/>
      <c r="J288" s="29"/>
      <c r="K288" s="29"/>
      <c r="L288" s="29"/>
      <c r="M288" s="33"/>
      <c r="N288" s="33"/>
    </row>
    <row r="289" spans="1:14" x14ac:dyDescent="0.25">
      <c r="A289" s="28">
        <v>282</v>
      </c>
      <c r="B289" s="29"/>
      <c r="C289" s="77"/>
      <c r="D289" s="33"/>
      <c r="E289" s="41"/>
      <c r="F289" s="29"/>
      <c r="G289" s="29"/>
      <c r="H289" s="29"/>
      <c r="I289" s="27"/>
      <c r="J289" s="29"/>
      <c r="K289" s="29"/>
      <c r="L289" s="29"/>
      <c r="M289" s="33"/>
      <c r="N289" s="33"/>
    </row>
    <row r="290" spans="1:14" x14ac:dyDescent="0.25">
      <c r="A290" s="28">
        <v>283</v>
      </c>
      <c r="B290" s="29"/>
      <c r="C290" s="77"/>
      <c r="D290" s="33"/>
      <c r="E290" s="41"/>
      <c r="F290" s="29"/>
      <c r="G290" s="29"/>
      <c r="H290" s="29"/>
      <c r="I290" s="27"/>
      <c r="J290" s="29"/>
      <c r="K290" s="29"/>
      <c r="L290" s="29"/>
      <c r="M290" s="33"/>
      <c r="N290" s="33"/>
    </row>
    <row r="291" spans="1:14" x14ac:dyDescent="0.25">
      <c r="A291" s="28">
        <v>284</v>
      </c>
      <c r="B291" s="29"/>
      <c r="C291" s="77"/>
      <c r="D291" s="33"/>
      <c r="E291" s="41"/>
      <c r="F291" s="29"/>
      <c r="G291" s="29"/>
      <c r="H291" s="29"/>
      <c r="I291" s="27"/>
      <c r="J291" s="29"/>
      <c r="K291" s="29"/>
      <c r="L291" s="29"/>
      <c r="M291" s="33"/>
      <c r="N291" s="33"/>
    </row>
    <row r="292" spans="1:14" x14ac:dyDescent="0.25">
      <c r="A292" s="28">
        <v>285</v>
      </c>
      <c r="B292" s="29"/>
      <c r="C292" s="77"/>
      <c r="D292" s="33"/>
      <c r="E292" s="41"/>
      <c r="F292" s="29"/>
      <c r="G292" s="29"/>
      <c r="H292" s="29"/>
      <c r="I292" s="27"/>
      <c r="J292" s="29"/>
      <c r="K292" s="29"/>
      <c r="L292" s="29"/>
      <c r="M292" s="33"/>
      <c r="N292" s="33"/>
    </row>
    <row r="293" spans="1:14" x14ac:dyDescent="0.25">
      <c r="A293" s="28">
        <v>286</v>
      </c>
      <c r="B293" s="29"/>
      <c r="C293" s="77"/>
      <c r="D293" s="33"/>
      <c r="E293" s="41"/>
      <c r="F293" s="29"/>
      <c r="G293" s="29"/>
      <c r="H293" s="29"/>
      <c r="I293" s="27"/>
      <c r="J293" s="29"/>
      <c r="K293" s="29"/>
      <c r="L293" s="29"/>
      <c r="M293" s="33"/>
      <c r="N293" s="33"/>
    </row>
    <row r="294" spans="1:14" x14ac:dyDescent="0.25">
      <c r="A294" s="28">
        <v>287</v>
      </c>
      <c r="B294" s="29"/>
      <c r="C294" s="77"/>
      <c r="D294" s="33"/>
      <c r="E294" s="41"/>
      <c r="F294" s="29"/>
      <c r="G294" s="29"/>
      <c r="H294" s="29"/>
      <c r="I294" s="27"/>
      <c r="J294" s="29"/>
      <c r="K294" s="29"/>
      <c r="L294" s="29"/>
      <c r="M294" s="33"/>
      <c r="N294" s="33"/>
    </row>
    <row r="295" spans="1:14" x14ac:dyDescent="0.25">
      <c r="A295" s="28">
        <v>288</v>
      </c>
      <c r="B295" s="29"/>
      <c r="C295" s="77"/>
      <c r="D295" s="33"/>
      <c r="E295" s="41"/>
      <c r="F295" s="29"/>
      <c r="G295" s="29"/>
      <c r="H295" s="29"/>
      <c r="I295" s="27"/>
      <c r="J295" s="29"/>
      <c r="K295" s="29"/>
      <c r="L295" s="29"/>
      <c r="M295" s="33"/>
      <c r="N295" s="33"/>
    </row>
    <row r="296" spans="1:14" x14ac:dyDescent="0.25">
      <c r="A296" s="28">
        <v>289</v>
      </c>
      <c r="B296" s="29"/>
      <c r="C296" s="77"/>
      <c r="D296" s="33"/>
      <c r="E296" s="41"/>
      <c r="F296" s="29"/>
      <c r="G296" s="29"/>
      <c r="H296" s="29"/>
      <c r="I296" s="27"/>
      <c r="J296" s="29"/>
      <c r="K296" s="29"/>
      <c r="L296" s="29"/>
      <c r="M296" s="33"/>
      <c r="N296" s="33"/>
    </row>
    <row r="297" spans="1:14" x14ac:dyDescent="0.25">
      <c r="A297" s="28">
        <v>290</v>
      </c>
      <c r="B297" s="29"/>
      <c r="C297" s="77"/>
      <c r="D297" s="33"/>
      <c r="E297" s="41"/>
      <c r="F297" s="29"/>
      <c r="G297" s="29"/>
      <c r="H297" s="29"/>
      <c r="I297" s="27"/>
      <c r="J297" s="29"/>
      <c r="K297" s="29"/>
      <c r="L297" s="29"/>
      <c r="M297" s="33"/>
      <c r="N297" s="33"/>
    </row>
    <row r="298" spans="1:14" x14ac:dyDescent="0.25">
      <c r="A298" s="28">
        <v>291</v>
      </c>
      <c r="B298" s="29"/>
      <c r="C298" s="77"/>
      <c r="D298" s="33"/>
      <c r="E298" s="41"/>
      <c r="F298" s="29"/>
      <c r="G298" s="29"/>
      <c r="H298" s="29"/>
      <c r="I298" s="27"/>
      <c r="J298" s="29"/>
      <c r="K298" s="29"/>
      <c r="L298" s="29"/>
      <c r="M298" s="33"/>
      <c r="N298" s="33"/>
    </row>
    <row r="299" spans="1:14" x14ac:dyDescent="0.25">
      <c r="A299" s="28">
        <v>292</v>
      </c>
      <c r="B299" s="29"/>
      <c r="C299" s="77"/>
      <c r="D299" s="33"/>
      <c r="E299" s="41"/>
      <c r="F299" s="29"/>
      <c r="G299" s="29"/>
      <c r="H299" s="29"/>
      <c r="I299" s="27"/>
      <c r="J299" s="29"/>
      <c r="K299" s="29"/>
      <c r="L299" s="29"/>
      <c r="M299" s="33"/>
      <c r="N299" s="33"/>
    </row>
    <row r="300" spans="1:14" x14ac:dyDescent="0.25">
      <c r="A300" s="28">
        <v>293</v>
      </c>
      <c r="B300" s="29"/>
      <c r="C300" s="77"/>
      <c r="D300" s="33"/>
      <c r="E300" s="41"/>
      <c r="F300" s="29"/>
      <c r="G300" s="29"/>
      <c r="H300" s="29"/>
      <c r="I300" s="27"/>
      <c r="J300" s="29"/>
      <c r="K300" s="29"/>
      <c r="L300" s="29"/>
      <c r="M300" s="33"/>
      <c r="N300" s="33"/>
    </row>
    <row r="301" spans="1:14" x14ac:dyDescent="0.25">
      <c r="A301" s="28">
        <v>294</v>
      </c>
      <c r="B301" s="29"/>
      <c r="C301" s="77"/>
      <c r="D301" s="33"/>
      <c r="E301" s="41"/>
      <c r="F301" s="29"/>
      <c r="G301" s="29"/>
      <c r="H301" s="29"/>
      <c r="I301" s="27"/>
      <c r="J301" s="29"/>
      <c r="K301" s="29"/>
      <c r="L301" s="29"/>
      <c r="M301" s="33"/>
      <c r="N301" s="33"/>
    </row>
    <row r="302" spans="1:14" x14ac:dyDescent="0.25">
      <c r="A302" s="28">
        <v>295</v>
      </c>
      <c r="B302" s="29"/>
      <c r="C302" s="77"/>
      <c r="D302" s="33"/>
      <c r="E302" s="41"/>
      <c r="F302" s="29"/>
      <c r="G302" s="29"/>
      <c r="H302" s="29"/>
      <c r="I302" s="27"/>
      <c r="J302" s="29"/>
      <c r="K302" s="29"/>
      <c r="L302" s="29"/>
      <c r="M302" s="33"/>
      <c r="N302" s="33"/>
    </row>
    <row r="303" spans="1:14" x14ac:dyDescent="0.25">
      <c r="A303" s="28">
        <v>296</v>
      </c>
      <c r="B303" s="29"/>
      <c r="C303" s="77"/>
      <c r="D303" s="33"/>
      <c r="E303" s="41"/>
      <c r="F303" s="29"/>
      <c r="G303" s="29"/>
      <c r="H303" s="29"/>
      <c r="I303" s="27"/>
      <c r="J303" s="29"/>
      <c r="K303" s="29"/>
      <c r="L303" s="29"/>
      <c r="M303" s="33"/>
      <c r="N303" s="33"/>
    </row>
    <row r="304" spans="1:14" x14ac:dyDescent="0.25">
      <c r="A304" s="28">
        <v>297</v>
      </c>
      <c r="B304" s="29"/>
      <c r="C304" s="77"/>
      <c r="D304" s="33"/>
      <c r="E304" s="41"/>
      <c r="F304" s="29"/>
      <c r="G304" s="29"/>
      <c r="H304" s="29"/>
      <c r="I304" s="27"/>
      <c r="J304" s="29"/>
      <c r="K304" s="29"/>
      <c r="L304" s="29"/>
      <c r="M304" s="33"/>
      <c r="N304" s="33"/>
    </row>
    <row r="305" spans="1:14" x14ac:dyDescent="0.25">
      <c r="A305" s="28">
        <v>298</v>
      </c>
      <c r="B305" s="29"/>
      <c r="C305" s="77"/>
      <c r="D305" s="33"/>
      <c r="E305" s="41"/>
      <c r="F305" s="29"/>
      <c r="G305" s="29"/>
      <c r="H305" s="29"/>
      <c r="I305" s="27"/>
      <c r="J305" s="29"/>
      <c r="K305" s="29"/>
      <c r="L305" s="29"/>
      <c r="M305" s="33"/>
      <c r="N305" s="33"/>
    </row>
    <row r="306" spans="1:14" x14ac:dyDescent="0.25">
      <c r="A306" s="28">
        <v>299</v>
      </c>
      <c r="B306" s="29"/>
      <c r="C306" s="77"/>
      <c r="D306" s="33"/>
      <c r="E306" s="41"/>
      <c r="F306" s="29"/>
      <c r="G306" s="29"/>
      <c r="H306" s="29"/>
      <c r="I306" s="27"/>
      <c r="J306" s="29"/>
      <c r="K306" s="29"/>
      <c r="L306" s="29"/>
      <c r="M306" s="33"/>
      <c r="N306" s="33"/>
    </row>
    <row r="307" spans="1:14" x14ac:dyDescent="0.25">
      <c r="A307" s="28">
        <v>300</v>
      </c>
      <c r="B307" s="29"/>
      <c r="C307" s="77"/>
      <c r="D307" s="33"/>
      <c r="E307" s="41"/>
      <c r="F307" s="29"/>
      <c r="G307" s="29"/>
      <c r="H307" s="29"/>
      <c r="I307" s="27"/>
      <c r="J307" s="29"/>
      <c r="K307" s="29"/>
      <c r="L307" s="29"/>
      <c r="M307" s="33"/>
      <c r="N307" s="33"/>
    </row>
    <row r="308" spans="1:14" x14ac:dyDescent="0.25">
      <c r="A308" s="28">
        <v>301</v>
      </c>
      <c r="B308" s="29"/>
      <c r="C308" s="77"/>
      <c r="D308" s="33"/>
      <c r="E308" s="41"/>
      <c r="F308" s="29"/>
      <c r="G308" s="29"/>
      <c r="H308" s="29"/>
      <c r="I308" s="27"/>
      <c r="J308" s="29"/>
      <c r="K308" s="29"/>
      <c r="L308" s="29"/>
      <c r="M308" s="33"/>
      <c r="N308" s="33"/>
    </row>
    <row r="309" spans="1:14" x14ac:dyDescent="0.25">
      <c r="A309" s="28">
        <v>302</v>
      </c>
      <c r="B309" s="29"/>
      <c r="C309" s="77"/>
      <c r="D309" s="33"/>
      <c r="E309" s="41"/>
      <c r="F309" s="29"/>
      <c r="G309" s="29"/>
      <c r="H309" s="29"/>
      <c r="I309" s="27"/>
      <c r="J309" s="29"/>
      <c r="K309" s="29"/>
      <c r="L309" s="29"/>
      <c r="M309" s="33"/>
      <c r="N309" s="33"/>
    </row>
    <row r="310" spans="1:14" x14ac:dyDescent="0.25">
      <c r="A310" s="28">
        <v>303</v>
      </c>
      <c r="B310" s="29"/>
      <c r="C310" s="77"/>
      <c r="D310" s="33"/>
      <c r="E310" s="41"/>
      <c r="F310" s="29"/>
      <c r="G310" s="29"/>
      <c r="H310" s="29"/>
      <c r="I310" s="27"/>
      <c r="J310" s="29"/>
      <c r="K310" s="29"/>
      <c r="L310" s="29"/>
      <c r="M310" s="33"/>
      <c r="N310" s="33"/>
    </row>
    <row r="311" spans="1:14" x14ac:dyDescent="0.25">
      <c r="A311" s="28">
        <v>304</v>
      </c>
      <c r="B311" s="29"/>
      <c r="C311" s="77"/>
      <c r="D311" s="33"/>
      <c r="E311" s="41"/>
      <c r="F311" s="29"/>
      <c r="G311" s="29"/>
      <c r="H311" s="29"/>
      <c r="I311" s="27"/>
      <c r="J311" s="29"/>
      <c r="K311" s="29"/>
      <c r="L311" s="29"/>
      <c r="M311" s="33"/>
      <c r="N311" s="33"/>
    </row>
    <row r="312" spans="1:14" x14ac:dyDescent="0.25">
      <c r="A312" s="28">
        <v>305</v>
      </c>
      <c r="B312" s="29"/>
      <c r="C312" s="77"/>
      <c r="D312" s="33"/>
      <c r="E312" s="41"/>
      <c r="F312" s="29"/>
      <c r="G312" s="29"/>
      <c r="H312" s="29"/>
      <c r="I312" s="27"/>
      <c r="J312" s="29"/>
      <c r="K312" s="29"/>
      <c r="L312" s="29"/>
      <c r="M312" s="33"/>
      <c r="N312" s="33"/>
    </row>
    <row r="313" spans="1:14" x14ac:dyDescent="0.25">
      <c r="A313" s="28">
        <v>306</v>
      </c>
      <c r="B313" s="29"/>
      <c r="C313" s="77"/>
      <c r="D313" s="33"/>
      <c r="E313" s="41"/>
      <c r="F313" s="29"/>
      <c r="G313" s="29"/>
      <c r="H313" s="29"/>
      <c r="I313" s="27"/>
      <c r="J313" s="29"/>
      <c r="K313" s="29"/>
      <c r="L313" s="29"/>
      <c r="M313" s="33"/>
      <c r="N313" s="33"/>
    </row>
    <row r="314" spans="1:14" x14ac:dyDescent="0.25">
      <c r="A314" s="28">
        <v>307</v>
      </c>
      <c r="B314" s="29"/>
      <c r="C314" s="77"/>
      <c r="D314" s="33"/>
      <c r="E314" s="41"/>
      <c r="F314" s="29"/>
      <c r="G314" s="29"/>
      <c r="H314" s="29"/>
      <c r="I314" s="27"/>
      <c r="J314" s="29"/>
      <c r="K314" s="29"/>
      <c r="L314" s="29"/>
      <c r="M314" s="33"/>
      <c r="N314" s="33"/>
    </row>
    <row r="315" spans="1:14" x14ac:dyDescent="0.25">
      <c r="A315" s="28">
        <v>308</v>
      </c>
      <c r="B315" s="29"/>
      <c r="C315" s="77"/>
      <c r="D315" s="33"/>
      <c r="E315" s="41"/>
      <c r="F315" s="29"/>
      <c r="G315" s="29"/>
      <c r="H315" s="29"/>
      <c r="I315" s="27"/>
      <c r="J315" s="29"/>
      <c r="K315" s="29"/>
      <c r="L315" s="29"/>
      <c r="M315" s="33"/>
      <c r="N315" s="33"/>
    </row>
    <row r="316" spans="1:14" x14ac:dyDescent="0.25">
      <c r="A316" s="28">
        <v>309</v>
      </c>
      <c r="B316" s="29"/>
      <c r="C316" s="77"/>
      <c r="D316" s="33"/>
      <c r="E316" s="41"/>
      <c r="F316" s="29"/>
      <c r="G316" s="29"/>
      <c r="H316" s="29"/>
      <c r="I316" s="27"/>
      <c r="J316" s="29"/>
      <c r="K316" s="29"/>
      <c r="L316" s="29"/>
      <c r="M316" s="33"/>
      <c r="N316" s="33"/>
    </row>
    <row r="317" spans="1:14" x14ac:dyDescent="0.25">
      <c r="A317" s="28">
        <v>310</v>
      </c>
      <c r="B317" s="29"/>
      <c r="C317" s="77"/>
      <c r="D317" s="33"/>
      <c r="E317" s="41"/>
      <c r="F317" s="29"/>
      <c r="G317" s="29"/>
      <c r="H317" s="29"/>
      <c r="I317" s="27"/>
      <c r="J317" s="29"/>
      <c r="K317" s="29"/>
      <c r="L317" s="29"/>
      <c r="M317" s="33"/>
      <c r="N317" s="33"/>
    </row>
    <row r="318" spans="1:14" x14ac:dyDescent="0.25">
      <c r="A318" s="28">
        <v>311</v>
      </c>
      <c r="B318" s="29"/>
      <c r="C318" s="77"/>
      <c r="D318" s="33"/>
      <c r="E318" s="41"/>
      <c r="F318" s="29"/>
      <c r="G318" s="29"/>
      <c r="H318" s="29"/>
      <c r="I318" s="27"/>
      <c r="J318" s="29"/>
      <c r="K318" s="29"/>
      <c r="L318" s="29"/>
      <c r="M318" s="33"/>
      <c r="N318" s="33"/>
    </row>
    <row r="319" spans="1:14" x14ac:dyDescent="0.25">
      <c r="A319" s="28">
        <v>312</v>
      </c>
      <c r="B319" s="29"/>
      <c r="C319" s="77"/>
      <c r="D319" s="33"/>
      <c r="E319" s="41"/>
      <c r="F319" s="29"/>
      <c r="G319" s="29"/>
      <c r="H319" s="29"/>
      <c r="I319" s="27"/>
      <c r="J319" s="29"/>
      <c r="K319" s="29"/>
      <c r="L319" s="29"/>
      <c r="M319" s="33"/>
      <c r="N319" s="33"/>
    </row>
    <row r="320" spans="1:14" x14ac:dyDescent="0.25">
      <c r="A320" s="28">
        <v>313</v>
      </c>
      <c r="B320" s="29"/>
      <c r="C320" s="77"/>
      <c r="D320" s="33"/>
      <c r="E320" s="41"/>
      <c r="F320" s="29"/>
      <c r="G320" s="29"/>
      <c r="H320" s="29"/>
      <c r="I320" s="27"/>
      <c r="J320" s="29"/>
      <c r="K320" s="29"/>
      <c r="L320" s="29"/>
      <c r="M320" s="33"/>
      <c r="N320" s="33"/>
    </row>
    <row r="321" spans="1:14" x14ac:dyDescent="0.25">
      <c r="A321" s="28">
        <v>314</v>
      </c>
      <c r="B321" s="29"/>
      <c r="C321" s="77"/>
      <c r="D321" s="33"/>
      <c r="E321" s="41"/>
      <c r="F321" s="29"/>
      <c r="G321" s="29"/>
      <c r="H321" s="29"/>
      <c r="I321" s="27"/>
      <c r="J321" s="29"/>
      <c r="K321" s="29"/>
      <c r="L321" s="29"/>
      <c r="M321" s="33"/>
      <c r="N321" s="33"/>
    </row>
    <row r="322" spans="1:14" x14ac:dyDescent="0.25">
      <c r="A322" s="28">
        <v>315</v>
      </c>
      <c r="B322" s="29"/>
      <c r="C322" s="77"/>
      <c r="D322" s="33"/>
      <c r="E322" s="41"/>
      <c r="F322" s="29"/>
      <c r="G322" s="29"/>
      <c r="H322" s="29"/>
      <c r="I322" s="27"/>
      <c r="J322" s="29"/>
      <c r="K322" s="29"/>
      <c r="L322" s="29"/>
      <c r="M322" s="33"/>
      <c r="N322" s="33"/>
    </row>
    <row r="323" spans="1:14" x14ac:dyDescent="0.25">
      <c r="A323" s="28">
        <v>316</v>
      </c>
      <c r="B323" s="29"/>
      <c r="C323" s="77"/>
      <c r="D323" s="33"/>
      <c r="E323" s="41"/>
      <c r="F323" s="29"/>
      <c r="G323" s="29"/>
      <c r="H323" s="29"/>
      <c r="I323" s="27"/>
      <c r="J323" s="29"/>
      <c r="K323" s="29"/>
      <c r="L323" s="29"/>
      <c r="M323" s="33"/>
      <c r="N323" s="33"/>
    </row>
    <row r="324" spans="1:14" x14ac:dyDescent="0.25">
      <c r="A324" s="28">
        <v>317</v>
      </c>
      <c r="B324" s="29"/>
      <c r="C324" s="77"/>
      <c r="D324" s="33"/>
      <c r="E324" s="41"/>
      <c r="F324" s="29"/>
      <c r="G324" s="29"/>
      <c r="H324" s="29"/>
      <c r="I324" s="27"/>
      <c r="J324" s="29"/>
      <c r="K324" s="29"/>
      <c r="L324" s="29"/>
      <c r="M324" s="33"/>
      <c r="N324" s="33"/>
    </row>
    <row r="325" spans="1:14" x14ac:dyDescent="0.25">
      <c r="A325" s="28">
        <v>318</v>
      </c>
      <c r="B325" s="29"/>
      <c r="C325" s="77"/>
      <c r="D325" s="33"/>
      <c r="E325" s="41"/>
      <c r="F325" s="29"/>
      <c r="G325" s="29"/>
      <c r="H325" s="29"/>
      <c r="I325" s="27"/>
      <c r="J325" s="29"/>
      <c r="K325" s="29"/>
      <c r="L325" s="29"/>
      <c r="M325" s="33"/>
      <c r="N325" s="33"/>
    </row>
    <row r="326" spans="1:14" x14ac:dyDescent="0.25">
      <c r="A326" s="28">
        <v>319</v>
      </c>
      <c r="B326" s="29"/>
      <c r="C326" s="77"/>
      <c r="D326" s="33"/>
      <c r="E326" s="41"/>
      <c r="F326" s="29"/>
      <c r="G326" s="29"/>
      <c r="H326" s="29"/>
      <c r="I326" s="27"/>
      <c r="J326" s="29"/>
      <c r="K326" s="29"/>
      <c r="L326" s="29"/>
      <c r="M326" s="33"/>
      <c r="N326" s="33"/>
    </row>
    <row r="327" spans="1:14" x14ac:dyDescent="0.25">
      <c r="A327" s="28">
        <v>320</v>
      </c>
      <c r="B327" s="29"/>
      <c r="C327" s="77"/>
      <c r="D327" s="33"/>
      <c r="E327" s="41"/>
      <c r="F327" s="29"/>
      <c r="G327" s="29"/>
      <c r="H327" s="29"/>
      <c r="I327" s="27"/>
      <c r="J327" s="29"/>
      <c r="K327" s="29"/>
      <c r="L327" s="29"/>
      <c r="M327" s="33"/>
      <c r="N327" s="33"/>
    </row>
    <row r="328" spans="1:14" x14ac:dyDescent="0.25">
      <c r="A328" s="28">
        <v>321</v>
      </c>
      <c r="B328" s="29"/>
      <c r="C328" s="77"/>
      <c r="D328" s="33"/>
      <c r="E328" s="41"/>
      <c r="F328" s="29"/>
      <c r="G328" s="29"/>
      <c r="H328" s="29"/>
      <c r="I328" s="27"/>
      <c r="J328" s="29"/>
      <c r="K328" s="29"/>
      <c r="L328" s="29"/>
      <c r="M328" s="33"/>
      <c r="N328" s="33"/>
    </row>
    <row r="329" spans="1:14" x14ac:dyDescent="0.25">
      <c r="A329" s="28">
        <v>322</v>
      </c>
      <c r="B329" s="29"/>
      <c r="C329" s="77"/>
      <c r="D329" s="33"/>
      <c r="E329" s="41"/>
      <c r="F329" s="29"/>
      <c r="G329" s="29"/>
      <c r="H329" s="29"/>
      <c r="I329" s="27"/>
      <c r="J329" s="29"/>
      <c r="K329" s="29"/>
      <c r="L329" s="29"/>
      <c r="M329" s="33"/>
      <c r="N329" s="33"/>
    </row>
    <row r="330" spans="1:14" x14ac:dyDescent="0.25">
      <c r="A330" s="28">
        <v>323</v>
      </c>
      <c r="B330" s="29"/>
      <c r="C330" s="77"/>
      <c r="D330" s="33"/>
      <c r="E330" s="41"/>
      <c r="F330" s="29"/>
      <c r="G330" s="29"/>
      <c r="H330" s="29"/>
      <c r="I330" s="27"/>
      <c r="J330" s="29"/>
      <c r="K330" s="29"/>
      <c r="L330" s="29"/>
      <c r="M330" s="33"/>
      <c r="N330" s="33"/>
    </row>
    <row r="331" spans="1:14" x14ac:dyDescent="0.25">
      <c r="A331" s="28">
        <v>324</v>
      </c>
      <c r="B331" s="29"/>
      <c r="C331" s="77"/>
      <c r="D331" s="33"/>
      <c r="E331" s="41"/>
      <c r="F331" s="29"/>
      <c r="G331" s="29"/>
      <c r="H331" s="29"/>
      <c r="I331" s="27"/>
      <c r="J331" s="29"/>
      <c r="K331" s="29"/>
      <c r="L331" s="29"/>
      <c r="M331" s="33"/>
      <c r="N331" s="33"/>
    </row>
    <row r="332" spans="1:14" x14ac:dyDescent="0.25">
      <c r="A332" s="28">
        <v>325</v>
      </c>
      <c r="B332" s="29"/>
      <c r="C332" s="77"/>
      <c r="D332" s="33"/>
      <c r="E332" s="41"/>
      <c r="F332" s="29"/>
      <c r="G332" s="29"/>
      <c r="H332" s="29"/>
      <c r="I332" s="27"/>
      <c r="J332" s="29"/>
      <c r="K332" s="29"/>
      <c r="L332" s="29"/>
      <c r="M332" s="33"/>
      <c r="N332" s="33"/>
    </row>
    <row r="333" spans="1:14" x14ac:dyDescent="0.25">
      <c r="A333" s="28">
        <v>326</v>
      </c>
      <c r="B333" s="29"/>
      <c r="C333" s="77"/>
      <c r="D333" s="33"/>
      <c r="E333" s="41"/>
      <c r="F333" s="29"/>
      <c r="G333" s="29"/>
      <c r="H333" s="29"/>
      <c r="I333" s="27"/>
      <c r="J333" s="29"/>
      <c r="K333" s="29"/>
      <c r="L333" s="29"/>
      <c r="M333" s="33"/>
      <c r="N333" s="33"/>
    </row>
    <row r="334" spans="1:14" x14ac:dyDescent="0.25">
      <c r="A334" s="28">
        <v>327</v>
      </c>
      <c r="B334" s="29"/>
      <c r="C334" s="77"/>
      <c r="D334" s="33"/>
      <c r="E334" s="41"/>
      <c r="F334" s="29"/>
      <c r="G334" s="29"/>
      <c r="H334" s="29"/>
      <c r="I334" s="27"/>
      <c r="J334" s="29"/>
      <c r="K334" s="29"/>
      <c r="L334" s="29"/>
      <c r="M334" s="33"/>
      <c r="N334" s="33"/>
    </row>
    <row r="335" spans="1:14" x14ac:dyDescent="0.25">
      <c r="A335" s="28">
        <v>328</v>
      </c>
      <c r="B335" s="29"/>
      <c r="C335" s="77"/>
      <c r="D335" s="33"/>
      <c r="E335" s="41"/>
      <c r="F335" s="29"/>
      <c r="G335" s="29"/>
      <c r="H335" s="29"/>
      <c r="I335" s="27"/>
      <c r="J335" s="29"/>
      <c r="K335" s="29"/>
      <c r="L335" s="29"/>
      <c r="M335" s="33"/>
      <c r="N335" s="33"/>
    </row>
    <row r="336" spans="1:14" x14ac:dyDescent="0.25">
      <c r="A336" s="28">
        <v>329</v>
      </c>
      <c r="B336" s="29"/>
      <c r="C336" s="77"/>
      <c r="D336" s="33"/>
      <c r="E336" s="41"/>
      <c r="F336" s="29"/>
      <c r="G336" s="29"/>
      <c r="H336" s="29"/>
      <c r="I336" s="27"/>
      <c r="J336" s="29"/>
      <c r="K336" s="29"/>
      <c r="L336" s="29"/>
      <c r="M336" s="33"/>
      <c r="N336" s="33"/>
    </row>
    <row r="337" spans="1:14" x14ac:dyDescent="0.25">
      <c r="A337" s="28">
        <v>330</v>
      </c>
      <c r="B337" s="29"/>
      <c r="C337" s="77"/>
      <c r="D337" s="33"/>
      <c r="E337" s="41"/>
      <c r="F337" s="29"/>
      <c r="G337" s="29"/>
      <c r="H337" s="29"/>
      <c r="I337" s="27"/>
      <c r="J337" s="29"/>
      <c r="K337" s="29"/>
      <c r="L337" s="29"/>
      <c r="M337" s="33"/>
      <c r="N337" s="33"/>
    </row>
    <row r="338" spans="1:14" x14ac:dyDescent="0.25">
      <c r="A338" s="28">
        <v>331</v>
      </c>
      <c r="B338" s="29"/>
      <c r="C338" s="77"/>
      <c r="D338" s="33"/>
      <c r="E338" s="41"/>
      <c r="F338" s="29"/>
      <c r="G338" s="29"/>
      <c r="H338" s="29"/>
      <c r="I338" s="27"/>
      <c r="J338" s="29"/>
      <c r="K338" s="29"/>
      <c r="L338" s="29"/>
      <c r="M338" s="33"/>
      <c r="N338" s="33"/>
    </row>
    <row r="339" spans="1:14" x14ac:dyDescent="0.25">
      <c r="A339" s="28">
        <v>332</v>
      </c>
      <c r="B339" s="29"/>
      <c r="C339" s="77"/>
      <c r="D339" s="33"/>
      <c r="E339" s="41"/>
      <c r="F339" s="29"/>
      <c r="G339" s="29"/>
      <c r="H339" s="29"/>
      <c r="I339" s="27"/>
      <c r="J339" s="29"/>
      <c r="K339" s="29"/>
      <c r="L339" s="29"/>
      <c r="M339" s="33"/>
      <c r="N339" s="33"/>
    </row>
    <row r="340" spans="1:14" x14ac:dyDescent="0.25">
      <c r="A340" s="28">
        <v>333</v>
      </c>
      <c r="B340" s="29"/>
      <c r="C340" s="77"/>
      <c r="D340" s="33"/>
      <c r="E340" s="41"/>
      <c r="F340" s="29"/>
      <c r="G340" s="29"/>
      <c r="H340" s="29"/>
      <c r="I340" s="27"/>
      <c r="J340" s="29"/>
      <c r="K340" s="29"/>
      <c r="L340" s="29"/>
      <c r="M340" s="33"/>
      <c r="N340" s="33"/>
    </row>
    <row r="341" spans="1:14" x14ac:dyDescent="0.25">
      <c r="A341" s="28">
        <v>334</v>
      </c>
      <c r="B341" s="29"/>
      <c r="C341" s="77"/>
      <c r="D341" s="33"/>
      <c r="E341" s="41"/>
      <c r="F341" s="29"/>
      <c r="G341" s="29"/>
      <c r="H341" s="29"/>
      <c r="I341" s="27"/>
      <c r="J341" s="29"/>
      <c r="K341" s="29"/>
      <c r="L341" s="29"/>
      <c r="M341" s="33"/>
      <c r="N341" s="33"/>
    </row>
    <row r="342" spans="1:14" x14ac:dyDescent="0.25">
      <c r="A342" s="28">
        <v>335</v>
      </c>
      <c r="B342" s="29"/>
      <c r="C342" s="77"/>
      <c r="D342" s="33"/>
      <c r="E342" s="41"/>
      <c r="F342" s="29"/>
      <c r="G342" s="29"/>
      <c r="H342" s="29"/>
      <c r="I342" s="27"/>
      <c r="J342" s="29"/>
      <c r="K342" s="29"/>
      <c r="L342" s="29"/>
      <c r="M342" s="33"/>
      <c r="N342" s="33"/>
    </row>
    <row r="343" spans="1:14" x14ac:dyDescent="0.25">
      <c r="A343" s="28">
        <v>336</v>
      </c>
      <c r="B343" s="29"/>
      <c r="C343" s="77"/>
      <c r="D343" s="33"/>
      <c r="E343" s="41"/>
      <c r="F343" s="29"/>
      <c r="G343" s="29"/>
      <c r="H343" s="29"/>
      <c r="I343" s="27"/>
      <c r="J343" s="29"/>
      <c r="K343" s="29"/>
      <c r="L343" s="29"/>
      <c r="M343" s="33"/>
      <c r="N343" s="33"/>
    </row>
    <row r="344" spans="1:14" x14ac:dyDescent="0.25">
      <c r="A344" s="28">
        <v>337</v>
      </c>
      <c r="B344" s="29"/>
      <c r="C344" s="77"/>
      <c r="D344" s="33"/>
      <c r="E344" s="41"/>
      <c r="F344" s="29"/>
      <c r="G344" s="29"/>
      <c r="H344" s="29"/>
      <c r="I344" s="27"/>
      <c r="J344" s="29"/>
      <c r="K344" s="29"/>
      <c r="L344" s="29"/>
      <c r="M344" s="33"/>
      <c r="N344" s="33"/>
    </row>
    <row r="345" spans="1:14" x14ac:dyDescent="0.25">
      <c r="A345" s="28">
        <v>338</v>
      </c>
      <c r="B345" s="29"/>
      <c r="C345" s="77"/>
      <c r="D345" s="33"/>
      <c r="E345" s="41"/>
      <c r="F345" s="29"/>
      <c r="G345" s="29"/>
      <c r="H345" s="29"/>
      <c r="I345" s="27"/>
      <c r="J345" s="29"/>
      <c r="K345" s="29"/>
      <c r="L345" s="29"/>
      <c r="M345" s="33"/>
      <c r="N345" s="33"/>
    </row>
    <row r="346" spans="1:14" x14ac:dyDescent="0.25">
      <c r="A346" s="28">
        <v>339</v>
      </c>
      <c r="B346" s="29"/>
      <c r="C346" s="77"/>
      <c r="D346" s="33"/>
      <c r="E346" s="41"/>
      <c r="F346" s="29"/>
      <c r="G346" s="29"/>
      <c r="H346" s="29"/>
      <c r="I346" s="27"/>
      <c r="J346" s="29"/>
      <c r="K346" s="29"/>
      <c r="L346" s="29"/>
      <c r="M346" s="33"/>
      <c r="N346" s="33"/>
    </row>
    <row r="347" spans="1:14" x14ac:dyDescent="0.25">
      <c r="A347" s="28">
        <v>340</v>
      </c>
      <c r="B347" s="29"/>
      <c r="C347" s="77"/>
      <c r="D347" s="33"/>
      <c r="E347" s="41"/>
      <c r="F347" s="29"/>
      <c r="G347" s="29"/>
      <c r="H347" s="29"/>
      <c r="I347" s="27"/>
      <c r="J347" s="29"/>
      <c r="K347" s="29"/>
      <c r="L347" s="29"/>
      <c r="M347" s="33"/>
      <c r="N347" s="33"/>
    </row>
    <row r="348" spans="1:14" x14ac:dyDescent="0.25">
      <c r="A348" s="28">
        <v>341</v>
      </c>
      <c r="B348" s="29"/>
      <c r="C348" s="77"/>
      <c r="D348" s="33"/>
      <c r="E348" s="41"/>
      <c r="F348" s="29"/>
      <c r="G348" s="29"/>
      <c r="H348" s="29"/>
      <c r="I348" s="27"/>
      <c r="J348" s="29"/>
      <c r="K348" s="29"/>
      <c r="L348" s="29"/>
      <c r="M348" s="33"/>
      <c r="N348" s="33"/>
    </row>
    <row r="349" spans="1:14" x14ac:dyDescent="0.25">
      <c r="A349" s="28">
        <v>342</v>
      </c>
      <c r="B349" s="29"/>
      <c r="C349" s="77"/>
      <c r="D349" s="33"/>
      <c r="E349" s="41"/>
      <c r="F349" s="29"/>
      <c r="G349" s="29"/>
      <c r="H349" s="29"/>
      <c r="I349" s="27"/>
      <c r="J349" s="29"/>
      <c r="K349" s="29"/>
      <c r="L349" s="29"/>
      <c r="M349" s="33"/>
      <c r="N349" s="33"/>
    </row>
    <row r="350" spans="1:14" x14ac:dyDescent="0.25">
      <c r="A350" s="28">
        <v>343</v>
      </c>
      <c r="B350" s="29"/>
      <c r="C350" s="77"/>
      <c r="D350" s="33"/>
      <c r="E350" s="41"/>
      <c r="F350" s="29"/>
      <c r="G350" s="29"/>
      <c r="H350" s="29"/>
      <c r="I350" s="27"/>
      <c r="J350" s="29"/>
      <c r="K350" s="29"/>
      <c r="L350" s="29"/>
      <c r="M350" s="33"/>
      <c r="N350" s="33"/>
    </row>
    <row r="351" spans="1:14" x14ac:dyDescent="0.25">
      <c r="A351" s="28">
        <v>344</v>
      </c>
      <c r="B351" s="29"/>
      <c r="C351" s="77"/>
      <c r="D351" s="33"/>
      <c r="E351" s="41"/>
      <c r="F351" s="29"/>
      <c r="G351" s="29"/>
      <c r="H351" s="29"/>
      <c r="I351" s="27"/>
      <c r="J351" s="29"/>
      <c r="K351" s="29"/>
      <c r="L351" s="29"/>
      <c r="M351" s="33"/>
      <c r="N351" s="33"/>
    </row>
    <row r="352" spans="1:14" x14ac:dyDescent="0.25">
      <c r="A352" s="28">
        <v>345</v>
      </c>
      <c r="B352" s="29"/>
      <c r="C352" s="77"/>
      <c r="D352" s="33"/>
      <c r="E352" s="41"/>
      <c r="F352" s="29"/>
      <c r="G352" s="29"/>
      <c r="H352" s="29"/>
      <c r="I352" s="27"/>
      <c r="J352" s="29"/>
      <c r="K352" s="29"/>
      <c r="L352" s="29"/>
      <c r="M352" s="33"/>
      <c r="N352" s="33"/>
    </row>
    <row r="353" spans="1:14" x14ac:dyDescent="0.25">
      <c r="A353" s="28">
        <v>346</v>
      </c>
      <c r="B353" s="29"/>
      <c r="C353" s="77"/>
      <c r="D353" s="33"/>
      <c r="E353" s="41"/>
      <c r="F353" s="29"/>
      <c r="G353" s="29"/>
      <c r="H353" s="29"/>
      <c r="I353" s="27"/>
      <c r="J353" s="29"/>
      <c r="K353" s="29"/>
      <c r="L353" s="29"/>
      <c r="M353" s="33"/>
      <c r="N353" s="33"/>
    </row>
    <row r="354" spans="1:14" x14ac:dyDescent="0.25">
      <c r="A354" s="28">
        <v>347</v>
      </c>
      <c r="B354" s="29"/>
      <c r="C354" s="77"/>
      <c r="D354" s="33"/>
      <c r="E354" s="41"/>
      <c r="F354" s="29"/>
      <c r="G354" s="29"/>
      <c r="H354" s="29"/>
      <c r="I354" s="27"/>
      <c r="J354" s="29"/>
      <c r="K354" s="29"/>
      <c r="L354" s="29"/>
      <c r="M354" s="33"/>
      <c r="N354" s="33"/>
    </row>
    <row r="355" spans="1:14" x14ac:dyDescent="0.25">
      <c r="A355" s="28">
        <v>348</v>
      </c>
      <c r="B355" s="29"/>
      <c r="C355" s="77"/>
      <c r="D355" s="33"/>
      <c r="E355" s="41"/>
      <c r="F355" s="29"/>
      <c r="G355" s="29"/>
      <c r="H355" s="29"/>
      <c r="I355" s="27"/>
      <c r="J355" s="29"/>
      <c r="K355" s="29"/>
      <c r="L355" s="29"/>
      <c r="M355" s="33"/>
      <c r="N355" s="33"/>
    </row>
    <row r="356" spans="1:14" x14ac:dyDescent="0.25">
      <c r="A356" s="28">
        <v>349</v>
      </c>
      <c r="B356" s="29"/>
      <c r="C356" s="77"/>
      <c r="D356" s="33"/>
      <c r="E356" s="41"/>
      <c r="F356" s="29"/>
      <c r="G356" s="29"/>
      <c r="H356" s="29"/>
      <c r="I356" s="27"/>
      <c r="J356" s="29"/>
      <c r="K356" s="29"/>
      <c r="L356" s="29"/>
      <c r="M356" s="33"/>
      <c r="N356" s="33"/>
    </row>
    <row r="357" spans="1:14" x14ac:dyDescent="0.25">
      <c r="A357" s="28">
        <v>350</v>
      </c>
      <c r="B357" s="29"/>
      <c r="C357" s="77"/>
      <c r="D357" s="33"/>
      <c r="E357" s="41"/>
      <c r="F357" s="29"/>
      <c r="G357" s="29"/>
      <c r="H357" s="29"/>
      <c r="I357" s="27"/>
      <c r="J357" s="29"/>
      <c r="K357" s="29"/>
      <c r="L357" s="29"/>
      <c r="M357" s="33"/>
      <c r="N357" s="33"/>
    </row>
    <row r="358" spans="1:14" x14ac:dyDescent="0.25">
      <c r="A358" s="28">
        <v>351</v>
      </c>
      <c r="B358" s="29"/>
      <c r="C358" s="77"/>
      <c r="D358" s="33"/>
      <c r="E358" s="41"/>
      <c r="F358" s="29"/>
      <c r="G358" s="29"/>
      <c r="H358" s="29"/>
      <c r="I358" s="27"/>
      <c r="J358" s="29"/>
      <c r="K358" s="29"/>
      <c r="L358" s="29"/>
      <c r="M358" s="33"/>
      <c r="N358" s="33"/>
    </row>
    <row r="359" spans="1:14" x14ac:dyDescent="0.25">
      <c r="A359" s="28">
        <v>352</v>
      </c>
      <c r="B359" s="29"/>
      <c r="C359" s="77"/>
      <c r="D359" s="33"/>
      <c r="E359" s="41"/>
      <c r="F359" s="29"/>
      <c r="G359" s="29"/>
      <c r="H359" s="29"/>
      <c r="I359" s="27"/>
      <c r="J359" s="29"/>
      <c r="K359" s="29"/>
      <c r="L359" s="29"/>
      <c r="M359" s="33"/>
      <c r="N359" s="33"/>
    </row>
    <row r="360" spans="1:14" x14ac:dyDescent="0.25">
      <c r="A360" s="28">
        <v>353</v>
      </c>
      <c r="B360" s="29"/>
      <c r="C360" s="77"/>
      <c r="D360" s="33"/>
      <c r="E360" s="41"/>
      <c r="F360" s="29"/>
      <c r="G360" s="29"/>
      <c r="H360" s="29"/>
      <c r="I360" s="27"/>
      <c r="J360" s="29"/>
      <c r="K360" s="29"/>
      <c r="L360" s="29"/>
      <c r="M360" s="33"/>
      <c r="N360" s="33"/>
    </row>
    <row r="361" spans="1:14" x14ac:dyDescent="0.25">
      <c r="A361" s="28">
        <v>354</v>
      </c>
      <c r="B361" s="29"/>
      <c r="C361" s="77"/>
      <c r="D361" s="33"/>
      <c r="E361" s="41"/>
      <c r="F361" s="29"/>
      <c r="G361" s="29"/>
      <c r="H361" s="29"/>
      <c r="I361" s="27"/>
      <c r="J361" s="29"/>
      <c r="K361" s="29"/>
      <c r="L361" s="29"/>
      <c r="M361" s="33"/>
      <c r="N361" s="33"/>
    </row>
    <row r="362" spans="1:14" x14ac:dyDescent="0.25">
      <c r="A362" s="28">
        <v>355</v>
      </c>
      <c r="B362" s="29"/>
      <c r="C362" s="77"/>
      <c r="D362" s="33"/>
      <c r="E362" s="41"/>
      <c r="F362" s="29"/>
      <c r="G362" s="29"/>
      <c r="H362" s="29"/>
      <c r="I362" s="27"/>
      <c r="J362" s="29"/>
      <c r="K362" s="29"/>
      <c r="L362" s="29"/>
      <c r="M362" s="33"/>
      <c r="N362" s="33"/>
    </row>
    <row r="363" spans="1:14" x14ac:dyDescent="0.25">
      <c r="A363" s="28">
        <v>356</v>
      </c>
      <c r="B363" s="29"/>
      <c r="C363" s="77"/>
      <c r="D363" s="33"/>
      <c r="E363" s="41"/>
      <c r="F363" s="29"/>
      <c r="G363" s="29"/>
      <c r="H363" s="29"/>
      <c r="I363" s="27"/>
      <c r="J363" s="29"/>
      <c r="K363" s="29"/>
      <c r="L363" s="29"/>
      <c r="M363" s="33"/>
      <c r="N363" s="33"/>
    </row>
    <row r="364" spans="1:14" x14ac:dyDescent="0.25">
      <c r="A364" s="28">
        <v>357</v>
      </c>
      <c r="B364" s="29"/>
      <c r="C364" s="77"/>
      <c r="D364" s="33"/>
      <c r="E364" s="41"/>
      <c r="F364" s="29"/>
      <c r="G364" s="29"/>
      <c r="H364" s="29"/>
      <c r="I364" s="27"/>
      <c r="J364" s="29"/>
      <c r="K364" s="29"/>
      <c r="L364" s="29"/>
      <c r="M364" s="33"/>
      <c r="N364" s="33"/>
    </row>
    <row r="365" spans="1:14" x14ac:dyDescent="0.25">
      <c r="A365" s="28">
        <v>358</v>
      </c>
      <c r="B365" s="29"/>
      <c r="C365" s="77"/>
      <c r="D365" s="33"/>
      <c r="E365" s="41"/>
      <c r="F365" s="29"/>
      <c r="G365" s="29"/>
      <c r="H365" s="29"/>
      <c r="I365" s="27"/>
      <c r="J365" s="29"/>
      <c r="K365" s="29"/>
      <c r="L365" s="29"/>
      <c r="M365" s="33"/>
      <c r="N365" s="33"/>
    </row>
    <row r="366" spans="1:14" x14ac:dyDescent="0.25">
      <c r="A366" s="28">
        <v>359</v>
      </c>
      <c r="B366" s="29"/>
      <c r="C366" s="77"/>
      <c r="D366" s="33"/>
      <c r="E366" s="41"/>
      <c r="F366" s="29"/>
      <c r="G366" s="29"/>
      <c r="H366" s="29"/>
      <c r="I366" s="27"/>
      <c r="J366" s="29"/>
      <c r="K366" s="29"/>
      <c r="L366" s="29"/>
      <c r="M366" s="33"/>
      <c r="N366" s="33"/>
    </row>
    <row r="367" spans="1:14" x14ac:dyDescent="0.25">
      <c r="A367" s="28">
        <v>360</v>
      </c>
      <c r="B367" s="29"/>
      <c r="C367" s="77"/>
      <c r="D367" s="33"/>
      <c r="E367" s="41"/>
      <c r="F367" s="29"/>
      <c r="G367" s="29"/>
      <c r="H367" s="29"/>
      <c r="I367" s="27"/>
      <c r="J367" s="29"/>
      <c r="K367" s="29"/>
      <c r="L367" s="29"/>
      <c r="M367" s="33"/>
      <c r="N367" s="33"/>
    </row>
    <row r="368" spans="1:14" x14ac:dyDescent="0.25">
      <c r="A368" s="28">
        <v>361</v>
      </c>
      <c r="B368" s="29"/>
      <c r="C368" s="77"/>
      <c r="D368" s="33"/>
      <c r="E368" s="41"/>
      <c r="F368" s="29"/>
      <c r="G368" s="29"/>
      <c r="H368" s="29"/>
      <c r="I368" s="27"/>
      <c r="J368" s="29"/>
      <c r="K368" s="29"/>
      <c r="L368" s="29"/>
      <c r="M368" s="33"/>
      <c r="N368" s="33"/>
    </row>
    <row r="369" spans="1:14" x14ac:dyDescent="0.25">
      <c r="A369" s="28">
        <v>362</v>
      </c>
      <c r="B369" s="29"/>
      <c r="C369" s="77"/>
      <c r="D369" s="33"/>
      <c r="E369" s="41"/>
      <c r="F369" s="29"/>
      <c r="G369" s="29"/>
      <c r="H369" s="29"/>
      <c r="I369" s="27"/>
      <c r="J369" s="29"/>
      <c r="K369" s="29"/>
      <c r="L369" s="29"/>
      <c r="M369" s="33"/>
      <c r="N369" s="33"/>
    </row>
    <row r="370" spans="1:14" x14ac:dyDescent="0.25">
      <c r="A370" s="28">
        <v>363</v>
      </c>
      <c r="B370" s="29"/>
      <c r="C370" s="77"/>
      <c r="D370" s="33"/>
      <c r="E370" s="41"/>
      <c r="F370" s="29"/>
      <c r="G370" s="29"/>
      <c r="H370" s="29"/>
      <c r="I370" s="27"/>
      <c r="J370" s="29"/>
      <c r="K370" s="29"/>
      <c r="L370" s="29"/>
      <c r="M370" s="33"/>
      <c r="N370" s="33"/>
    </row>
    <row r="371" spans="1:14" x14ac:dyDescent="0.25">
      <c r="A371" s="28">
        <v>364</v>
      </c>
      <c r="B371" s="29"/>
      <c r="C371" s="77"/>
      <c r="D371" s="33"/>
      <c r="E371" s="41"/>
      <c r="F371" s="29"/>
      <c r="G371" s="29"/>
      <c r="H371" s="29"/>
      <c r="I371" s="27"/>
      <c r="J371" s="29"/>
      <c r="K371" s="29"/>
      <c r="L371" s="29"/>
      <c r="M371" s="33"/>
      <c r="N371" s="33"/>
    </row>
    <row r="372" spans="1:14" x14ac:dyDescent="0.25">
      <c r="A372" s="28">
        <v>365</v>
      </c>
      <c r="B372" s="29"/>
      <c r="C372" s="77"/>
      <c r="D372" s="33"/>
      <c r="E372" s="41"/>
      <c r="F372" s="29"/>
      <c r="G372" s="29"/>
      <c r="H372" s="29"/>
      <c r="I372" s="27"/>
      <c r="J372" s="29"/>
      <c r="K372" s="29"/>
      <c r="L372" s="29"/>
      <c r="M372" s="33"/>
      <c r="N372" s="33"/>
    </row>
    <row r="373" spans="1:14" x14ac:dyDescent="0.25">
      <c r="A373" s="28">
        <v>366</v>
      </c>
      <c r="B373" s="29"/>
      <c r="C373" s="77"/>
      <c r="D373" s="33"/>
      <c r="E373" s="41"/>
      <c r="F373" s="29"/>
      <c r="G373" s="29"/>
      <c r="H373" s="29"/>
      <c r="I373" s="27"/>
      <c r="J373" s="29"/>
      <c r="K373" s="29"/>
      <c r="L373" s="29"/>
      <c r="M373" s="33"/>
      <c r="N373" s="33"/>
    </row>
    <row r="374" spans="1:14" x14ac:dyDescent="0.25">
      <c r="A374" s="28">
        <v>367</v>
      </c>
      <c r="B374" s="29"/>
      <c r="C374" s="77"/>
      <c r="D374" s="33"/>
      <c r="E374" s="41"/>
      <c r="F374" s="29"/>
      <c r="G374" s="29"/>
      <c r="H374" s="29"/>
      <c r="I374" s="27"/>
      <c r="J374" s="29"/>
      <c r="K374" s="29"/>
      <c r="L374" s="29"/>
      <c r="M374" s="33"/>
      <c r="N374" s="33"/>
    </row>
    <row r="375" spans="1:14" x14ac:dyDescent="0.25">
      <c r="A375" s="28">
        <v>368</v>
      </c>
      <c r="B375" s="29"/>
      <c r="C375" s="77"/>
      <c r="D375" s="33"/>
      <c r="E375" s="41"/>
      <c r="F375" s="29"/>
      <c r="G375" s="29"/>
      <c r="H375" s="29"/>
      <c r="I375" s="27"/>
      <c r="J375" s="29"/>
      <c r="K375" s="29"/>
      <c r="L375" s="29"/>
      <c r="M375" s="33"/>
      <c r="N375" s="33"/>
    </row>
    <row r="376" spans="1:14" x14ac:dyDescent="0.25">
      <c r="A376" s="28">
        <v>369</v>
      </c>
      <c r="B376" s="29"/>
      <c r="C376" s="77"/>
      <c r="D376" s="33"/>
      <c r="E376" s="41"/>
      <c r="F376" s="29"/>
      <c r="G376" s="29"/>
      <c r="H376" s="29"/>
      <c r="I376" s="27"/>
      <c r="J376" s="29"/>
      <c r="K376" s="29"/>
      <c r="L376" s="29"/>
      <c r="M376" s="33"/>
      <c r="N376" s="33"/>
    </row>
    <row r="377" spans="1:14" x14ac:dyDescent="0.25">
      <c r="A377" s="28">
        <v>370</v>
      </c>
      <c r="B377" s="29"/>
      <c r="C377" s="77"/>
      <c r="D377" s="33"/>
      <c r="E377" s="41"/>
      <c r="F377" s="29"/>
      <c r="G377" s="29"/>
      <c r="H377" s="29"/>
      <c r="I377" s="27"/>
      <c r="J377" s="29"/>
      <c r="K377" s="29"/>
      <c r="L377" s="29"/>
      <c r="M377" s="33"/>
      <c r="N377" s="33"/>
    </row>
    <row r="378" spans="1:14" x14ac:dyDescent="0.25">
      <c r="A378" s="28">
        <v>371</v>
      </c>
      <c r="B378" s="29"/>
      <c r="C378" s="77"/>
      <c r="D378" s="33"/>
      <c r="E378" s="41"/>
      <c r="F378" s="29"/>
      <c r="G378" s="29"/>
      <c r="H378" s="29"/>
      <c r="I378" s="27"/>
      <c r="J378" s="29"/>
      <c r="K378" s="29"/>
      <c r="L378" s="29"/>
      <c r="M378" s="33"/>
      <c r="N378" s="33"/>
    </row>
    <row r="379" spans="1:14" x14ac:dyDescent="0.25">
      <c r="A379" s="28">
        <v>372</v>
      </c>
      <c r="B379" s="29"/>
      <c r="C379" s="77"/>
      <c r="D379" s="33"/>
      <c r="E379" s="41"/>
      <c r="F379" s="29"/>
      <c r="G379" s="29"/>
      <c r="H379" s="29"/>
      <c r="I379" s="27"/>
      <c r="J379" s="29"/>
      <c r="K379" s="29"/>
      <c r="L379" s="29"/>
      <c r="M379" s="33"/>
      <c r="N379" s="33"/>
    </row>
    <row r="380" spans="1:14" x14ac:dyDescent="0.25">
      <c r="A380" s="28">
        <v>373</v>
      </c>
      <c r="B380" s="29"/>
      <c r="C380" s="77"/>
      <c r="D380" s="33"/>
      <c r="E380" s="41"/>
      <c r="F380" s="29"/>
      <c r="G380" s="29"/>
      <c r="H380" s="29"/>
      <c r="I380" s="27"/>
      <c r="J380" s="29"/>
      <c r="K380" s="29"/>
      <c r="L380" s="29"/>
      <c r="M380" s="33"/>
      <c r="N380" s="33"/>
    </row>
    <row r="381" spans="1:14" x14ac:dyDescent="0.25">
      <c r="A381" s="28">
        <v>374</v>
      </c>
      <c r="B381" s="29"/>
      <c r="C381" s="77"/>
      <c r="D381" s="33"/>
      <c r="E381" s="41"/>
      <c r="F381" s="29"/>
      <c r="G381" s="29"/>
      <c r="H381" s="29"/>
      <c r="I381" s="27"/>
      <c r="J381" s="29"/>
      <c r="K381" s="29"/>
      <c r="L381" s="29"/>
      <c r="M381" s="33"/>
      <c r="N381" s="33"/>
    </row>
    <row r="382" spans="1:14" x14ac:dyDescent="0.25">
      <c r="A382" s="28">
        <v>375</v>
      </c>
      <c r="B382" s="29"/>
      <c r="C382" s="77"/>
      <c r="D382" s="33"/>
      <c r="E382" s="41"/>
      <c r="F382" s="29"/>
      <c r="G382" s="29"/>
      <c r="H382" s="29"/>
      <c r="I382" s="27"/>
      <c r="J382" s="29"/>
      <c r="K382" s="29"/>
      <c r="L382" s="29"/>
      <c r="M382" s="33"/>
      <c r="N382" s="33"/>
    </row>
    <row r="383" spans="1:14" x14ac:dyDescent="0.25">
      <c r="A383" s="28">
        <v>376</v>
      </c>
      <c r="B383" s="29"/>
      <c r="C383" s="77"/>
      <c r="D383" s="33"/>
      <c r="E383" s="41"/>
      <c r="F383" s="29"/>
      <c r="G383" s="29"/>
      <c r="H383" s="29"/>
      <c r="I383" s="27"/>
      <c r="J383" s="29"/>
      <c r="K383" s="29"/>
      <c r="L383" s="29"/>
      <c r="M383" s="33"/>
      <c r="N383" s="33"/>
    </row>
    <row r="384" spans="1:14" x14ac:dyDescent="0.25">
      <c r="A384" s="28">
        <v>377</v>
      </c>
      <c r="B384" s="29"/>
      <c r="C384" s="77"/>
      <c r="D384" s="33"/>
      <c r="E384" s="41"/>
      <c r="F384" s="29"/>
      <c r="G384" s="29"/>
      <c r="H384" s="29"/>
      <c r="I384" s="27"/>
      <c r="J384" s="29"/>
      <c r="K384" s="29"/>
      <c r="L384" s="29"/>
      <c r="M384" s="33"/>
      <c r="N384" s="33"/>
    </row>
    <row r="385" spans="1:14" x14ac:dyDescent="0.25">
      <c r="A385" s="28">
        <v>378</v>
      </c>
      <c r="B385" s="29"/>
      <c r="C385" s="77"/>
      <c r="D385" s="33"/>
      <c r="E385" s="41"/>
      <c r="F385" s="29"/>
      <c r="G385" s="29"/>
      <c r="H385" s="29"/>
      <c r="I385" s="27"/>
      <c r="J385" s="29"/>
      <c r="K385" s="29"/>
      <c r="L385" s="29"/>
      <c r="M385" s="33"/>
      <c r="N385" s="33"/>
    </row>
    <row r="386" spans="1:14" x14ac:dyDescent="0.25">
      <c r="A386" s="28">
        <v>379</v>
      </c>
      <c r="B386" s="29"/>
      <c r="C386" s="77"/>
      <c r="D386" s="33"/>
      <c r="E386" s="41"/>
      <c r="F386" s="29"/>
      <c r="G386" s="29"/>
      <c r="H386" s="29"/>
      <c r="I386" s="27"/>
      <c r="J386" s="29"/>
      <c r="K386" s="29"/>
      <c r="L386" s="29"/>
      <c r="M386" s="33"/>
      <c r="N386" s="33"/>
    </row>
    <row r="387" spans="1:14" x14ac:dyDescent="0.25">
      <c r="A387" s="28">
        <v>380</v>
      </c>
      <c r="B387" s="29"/>
      <c r="C387" s="77"/>
      <c r="D387" s="33"/>
      <c r="E387" s="41"/>
      <c r="F387" s="29"/>
      <c r="G387" s="29"/>
      <c r="H387" s="29"/>
      <c r="I387" s="27"/>
      <c r="J387" s="29"/>
      <c r="K387" s="29"/>
      <c r="L387" s="29"/>
      <c r="M387" s="33"/>
      <c r="N387" s="33"/>
    </row>
    <row r="388" spans="1:14" x14ac:dyDescent="0.25">
      <c r="A388" s="28">
        <v>381</v>
      </c>
      <c r="B388" s="29"/>
      <c r="C388" s="77"/>
      <c r="D388" s="33"/>
      <c r="E388" s="41"/>
      <c r="F388" s="29"/>
      <c r="G388" s="29"/>
      <c r="H388" s="29"/>
      <c r="I388" s="27"/>
      <c r="J388" s="29"/>
      <c r="K388" s="29"/>
      <c r="L388" s="29"/>
      <c r="M388" s="33"/>
      <c r="N388" s="33"/>
    </row>
    <row r="389" spans="1:14" x14ac:dyDescent="0.25">
      <c r="A389" s="28">
        <v>382</v>
      </c>
      <c r="B389" s="29"/>
      <c r="C389" s="77"/>
      <c r="D389" s="33"/>
      <c r="E389" s="41"/>
      <c r="F389" s="29"/>
      <c r="G389" s="29"/>
      <c r="H389" s="29"/>
      <c r="I389" s="27"/>
      <c r="J389" s="29"/>
      <c r="K389" s="29"/>
      <c r="L389" s="29"/>
      <c r="M389" s="33"/>
      <c r="N389" s="33"/>
    </row>
    <row r="390" spans="1:14" x14ac:dyDescent="0.25">
      <c r="A390" s="28">
        <v>383</v>
      </c>
      <c r="B390" s="29"/>
      <c r="C390" s="77"/>
      <c r="D390" s="33"/>
      <c r="E390" s="41"/>
      <c r="F390" s="29"/>
      <c r="G390" s="29"/>
      <c r="H390" s="29"/>
      <c r="I390" s="27"/>
      <c r="J390" s="29"/>
      <c r="K390" s="29"/>
      <c r="L390" s="29"/>
      <c r="M390" s="33"/>
      <c r="N390" s="33"/>
    </row>
    <row r="391" spans="1:14" x14ac:dyDescent="0.25">
      <c r="A391" s="28">
        <v>384</v>
      </c>
      <c r="B391" s="29"/>
      <c r="C391" s="77"/>
      <c r="D391" s="33"/>
      <c r="E391" s="41"/>
      <c r="F391" s="29"/>
      <c r="G391" s="29"/>
      <c r="H391" s="29"/>
      <c r="I391" s="27"/>
      <c r="J391" s="29"/>
      <c r="K391" s="29"/>
      <c r="L391" s="29"/>
      <c r="M391" s="33"/>
      <c r="N391" s="33"/>
    </row>
    <row r="392" spans="1:14" x14ac:dyDescent="0.25">
      <c r="A392" s="28">
        <v>385</v>
      </c>
      <c r="B392" s="29"/>
      <c r="C392" s="77"/>
      <c r="D392" s="33"/>
      <c r="E392" s="41"/>
      <c r="F392" s="29"/>
      <c r="G392" s="29"/>
      <c r="H392" s="29"/>
      <c r="I392" s="27"/>
      <c r="J392" s="29"/>
      <c r="K392" s="29"/>
      <c r="L392" s="29"/>
      <c r="M392" s="33"/>
      <c r="N392" s="33"/>
    </row>
    <row r="393" spans="1:14" x14ac:dyDescent="0.25">
      <c r="A393" s="28">
        <v>386</v>
      </c>
      <c r="B393" s="29"/>
      <c r="C393" s="77"/>
      <c r="D393" s="33"/>
      <c r="E393" s="41"/>
      <c r="F393" s="29"/>
      <c r="G393" s="29"/>
      <c r="H393" s="29"/>
      <c r="I393" s="27"/>
      <c r="J393" s="29"/>
      <c r="K393" s="29"/>
      <c r="L393" s="29"/>
      <c r="M393" s="33"/>
      <c r="N393" s="33"/>
    </row>
    <row r="394" spans="1:14" x14ac:dyDescent="0.25">
      <c r="A394" s="28">
        <v>387</v>
      </c>
      <c r="B394" s="29"/>
      <c r="C394" s="77"/>
      <c r="D394" s="33"/>
      <c r="E394" s="41"/>
      <c r="F394" s="29"/>
      <c r="G394" s="29"/>
      <c r="H394" s="29"/>
      <c r="I394" s="27"/>
      <c r="J394" s="29"/>
      <c r="K394" s="29"/>
      <c r="L394" s="29"/>
      <c r="M394" s="33"/>
      <c r="N394" s="33"/>
    </row>
    <row r="395" spans="1:14" x14ac:dyDescent="0.25">
      <c r="A395" s="28">
        <v>388</v>
      </c>
      <c r="B395" s="29"/>
      <c r="C395" s="77"/>
      <c r="D395" s="33"/>
      <c r="E395" s="41"/>
      <c r="F395" s="29"/>
      <c r="G395" s="29"/>
      <c r="H395" s="29"/>
      <c r="I395" s="27"/>
      <c r="J395" s="29"/>
      <c r="K395" s="29"/>
      <c r="L395" s="29"/>
      <c r="M395" s="33"/>
      <c r="N395" s="33"/>
    </row>
    <row r="396" spans="1:14" x14ac:dyDescent="0.25">
      <c r="A396" s="28">
        <v>389</v>
      </c>
      <c r="B396" s="29"/>
      <c r="C396" s="77"/>
      <c r="D396" s="33"/>
      <c r="E396" s="41"/>
      <c r="F396" s="29"/>
      <c r="G396" s="29"/>
      <c r="H396" s="29"/>
      <c r="I396" s="27"/>
      <c r="J396" s="29"/>
      <c r="K396" s="29"/>
      <c r="L396" s="29"/>
      <c r="M396" s="33"/>
      <c r="N396" s="33"/>
    </row>
    <row r="397" spans="1:14" x14ac:dyDescent="0.25">
      <c r="A397" s="28">
        <v>390</v>
      </c>
      <c r="B397" s="29"/>
      <c r="C397" s="77"/>
      <c r="D397" s="33"/>
      <c r="E397" s="41"/>
      <c r="F397" s="29"/>
      <c r="G397" s="29"/>
      <c r="H397" s="29"/>
      <c r="I397" s="27"/>
      <c r="J397" s="29"/>
      <c r="K397" s="29"/>
      <c r="L397" s="29"/>
      <c r="M397" s="33"/>
      <c r="N397" s="33"/>
    </row>
    <row r="398" spans="1:14" x14ac:dyDescent="0.25">
      <c r="A398" s="28">
        <v>391</v>
      </c>
      <c r="B398" s="29"/>
      <c r="C398" s="77"/>
      <c r="D398" s="33"/>
      <c r="E398" s="41"/>
      <c r="F398" s="29"/>
      <c r="G398" s="29"/>
      <c r="H398" s="29"/>
      <c r="I398" s="27"/>
      <c r="J398" s="29"/>
      <c r="K398" s="29"/>
      <c r="L398" s="29"/>
      <c r="M398" s="33"/>
      <c r="N398" s="33"/>
    </row>
    <row r="399" spans="1:14" x14ac:dyDescent="0.25">
      <c r="A399" s="28">
        <v>392</v>
      </c>
      <c r="B399" s="29"/>
      <c r="C399" s="77"/>
      <c r="D399" s="33"/>
      <c r="E399" s="41"/>
      <c r="F399" s="29"/>
      <c r="G399" s="29"/>
      <c r="H399" s="29"/>
      <c r="I399" s="27"/>
      <c r="J399" s="29"/>
      <c r="K399" s="29"/>
      <c r="L399" s="29"/>
      <c r="M399" s="33"/>
      <c r="N399" s="33"/>
    </row>
    <row r="400" spans="1:14" x14ac:dyDescent="0.25">
      <c r="A400" s="28">
        <v>393</v>
      </c>
      <c r="B400" s="29"/>
      <c r="C400" s="77"/>
      <c r="D400" s="33"/>
      <c r="E400" s="41"/>
      <c r="F400" s="29"/>
      <c r="G400" s="29"/>
      <c r="H400" s="29"/>
      <c r="I400" s="27"/>
      <c r="J400" s="29"/>
      <c r="K400" s="29"/>
      <c r="L400" s="29"/>
      <c r="M400" s="33"/>
      <c r="N400" s="33"/>
    </row>
    <row r="401" spans="1:14" x14ac:dyDescent="0.25">
      <c r="A401" s="28">
        <v>394</v>
      </c>
      <c r="B401" s="29"/>
      <c r="C401" s="77"/>
      <c r="D401" s="33"/>
      <c r="E401" s="41"/>
      <c r="F401" s="29"/>
      <c r="G401" s="29"/>
      <c r="H401" s="29"/>
      <c r="I401" s="27"/>
      <c r="J401" s="29"/>
      <c r="K401" s="29"/>
      <c r="L401" s="29"/>
      <c r="M401" s="33"/>
      <c r="N401" s="33"/>
    </row>
    <row r="402" spans="1:14" x14ac:dyDescent="0.25">
      <c r="A402" s="28">
        <v>395</v>
      </c>
      <c r="B402" s="29"/>
      <c r="C402" s="77"/>
      <c r="D402" s="33"/>
      <c r="E402" s="41"/>
      <c r="F402" s="29"/>
      <c r="G402" s="29"/>
      <c r="H402" s="29"/>
      <c r="I402" s="27"/>
      <c r="J402" s="29"/>
      <c r="K402" s="29"/>
      <c r="L402" s="29"/>
      <c r="M402" s="33"/>
      <c r="N402" s="33"/>
    </row>
    <row r="403" spans="1:14" x14ac:dyDescent="0.25">
      <c r="A403" s="28">
        <v>396</v>
      </c>
      <c r="B403" s="29"/>
      <c r="C403" s="77"/>
      <c r="D403" s="33"/>
      <c r="E403" s="41"/>
      <c r="F403" s="29"/>
      <c r="G403" s="29"/>
      <c r="H403" s="29"/>
      <c r="I403" s="27"/>
      <c r="J403" s="29"/>
      <c r="K403" s="29"/>
      <c r="L403" s="29"/>
      <c r="M403" s="33"/>
      <c r="N403" s="33"/>
    </row>
    <row r="404" spans="1:14" x14ac:dyDescent="0.25">
      <c r="A404" s="28">
        <v>397</v>
      </c>
      <c r="B404" s="29"/>
      <c r="C404" s="77"/>
      <c r="D404" s="33"/>
      <c r="E404" s="41"/>
      <c r="F404" s="29"/>
      <c r="G404" s="29"/>
      <c r="H404" s="29"/>
      <c r="I404" s="27"/>
      <c r="J404" s="29"/>
      <c r="K404" s="29"/>
      <c r="L404" s="29"/>
      <c r="M404" s="33"/>
      <c r="N404" s="33"/>
    </row>
    <row r="405" spans="1:14" x14ac:dyDescent="0.25">
      <c r="A405" s="28">
        <v>398</v>
      </c>
      <c r="B405" s="29"/>
      <c r="C405" s="77"/>
      <c r="D405" s="33"/>
      <c r="E405" s="41"/>
      <c r="F405" s="29"/>
      <c r="G405" s="29"/>
      <c r="H405" s="29"/>
      <c r="I405" s="27"/>
      <c r="J405" s="29"/>
      <c r="K405" s="29"/>
      <c r="L405" s="29"/>
      <c r="M405" s="33"/>
      <c r="N405" s="33"/>
    </row>
    <row r="406" spans="1:14" x14ac:dyDescent="0.25">
      <c r="A406" s="28">
        <v>399</v>
      </c>
      <c r="B406" s="29"/>
      <c r="C406" s="77"/>
      <c r="D406" s="33"/>
      <c r="E406" s="41"/>
      <c r="F406" s="29"/>
      <c r="G406" s="29"/>
      <c r="H406" s="29"/>
      <c r="I406" s="27"/>
      <c r="J406" s="29"/>
      <c r="K406" s="29"/>
      <c r="L406" s="29"/>
      <c r="M406" s="33"/>
      <c r="N406" s="33"/>
    </row>
    <row r="407" spans="1:14" x14ac:dyDescent="0.25">
      <c r="A407" s="28">
        <v>400</v>
      </c>
      <c r="B407" s="29"/>
      <c r="C407" s="77"/>
      <c r="D407" s="33"/>
      <c r="E407" s="41"/>
      <c r="F407" s="29"/>
      <c r="G407" s="29"/>
      <c r="H407" s="29"/>
      <c r="I407" s="27"/>
      <c r="J407" s="29"/>
      <c r="K407" s="29"/>
      <c r="L407" s="29"/>
      <c r="M407" s="33"/>
      <c r="N407" s="33"/>
    </row>
    <row r="408" spans="1:14" x14ac:dyDescent="0.25">
      <c r="A408" s="28">
        <v>401</v>
      </c>
      <c r="B408" s="29"/>
      <c r="C408" s="77"/>
      <c r="D408" s="33"/>
      <c r="E408" s="41"/>
      <c r="F408" s="29"/>
      <c r="G408" s="29"/>
      <c r="H408" s="29"/>
      <c r="I408" s="27"/>
      <c r="J408" s="29"/>
      <c r="K408" s="29"/>
      <c r="L408" s="29"/>
      <c r="M408" s="33"/>
      <c r="N408" s="33"/>
    </row>
    <row r="409" spans="1:14" x14ac:dyDescent="0.25">
      <c r="A409" s="28">
        <v>402</v>
      </c>
      <c r="B409" s="29"/>
      <c r="C409" s="77"/>
      <c r="D409" s="33"/>
      <c r="E409" s="41"/>
      <c r="F409" s="29"/>
      <c r="G409" s="29"/>
      <c r="H409" s="29"/>
      <c r="I409" s="27"/>
      <c r="J409" s="29"/>
      <c r="K409" s="29"/>
      <c r="L409" s="29"/>
      <c r="M409" s="33"/>
      <c r="N409" s="33"/>
    </row>
    <row r="410" spans="1:14" x14ac:dyDescent="0.25">
      <c r="A410" s="28">
        <v>403</v>
      </c>
      <c r="B410" s="29"/>
      <c r="C410" s="77"/>
      <c r="D410" s="33"/>
      <c r="E410" s="41"/>
      <c r="F410" s="29"/>
      <c r="G410" s="29"/>
      <c r="H410" s="29"/>
      <c r="I410" s="27"/>
      <c r="J410" s="29"/>
      <c r="K410" s="29"/>
      <c r="L410" s="29"/>
      <c r="M410" s="33"/>
      <c r="N410" s="33"/>
    </row>
    <row r="411" spans="1:14" x14ac:dyDescent="0.25">
      <c r="A411" s="28">
        <v>404</v>
      </c>
      <c r="B411" s="29"/>
      <c r="C411" s="77"/>
      <c r="D411" s="33"/>
      <c r="E411" s="41"/>
      <c r="F411" s="29"/>
      <c r="G411" s="29"/>
      <c r="H411" s="29"/>
      <c r="I411" s="27"/>
      <c r="J411" s="29"/>
      <c r="K411" s="29"/>
      <c r="L411" s="29"/>
      <c r="M411" s="33"/>
      <c r="N411" s="33"/>
    </row>
    <row r="412" spans="1:14" x14ac:dyDescent="0.25">
      <c r="A412" s="28">
        <v>405</v>
      </c>
      <c r="B412" s="29"/>
      <c r="C412" s="77"/>
      <c r="D412" s="33"/>
      <c r="E412" s="41"/>
      <c r="F412" s="29"/>
      <c r="G412" s="29"/>
      <c r="H412" s="29"/>
      <c r="I412" s="27"/>
      <c r="J412" s="29"/>
      <c r="K412" s="29"/>
      <c r="L412" s="29"/>
      <c r="M412" s="33"/>
      <c r="N412" s="33"/>
    </row>
    <row r="413" spans="1:14" x14ac:dyDescent="0.25">
      <c r="A413" s="28">
        <v>406</v>
      </c>
      <c r="B413" s="29"/>
      <c r="C413" s="77"/>
      <c r="D413" s="33"/>
      <c r="E413" s="41"/>
      <c r="F413" s="29"/>
      <c r="G413" s="29"/>
      <c r="H413" s="29"/>
      <c r="I413" s="27"/>
      <c r="J413" s="29"/>
      <c r="K413" s="29"/>
      <c r="L413" s="29"/>
      <c r="M413" s="33"/>
      <c r="N413" s="33"/>
    </row>
    <row r="414" spans="1:14" x14ac:dyDescent="0.25">
      <c r="A414" s="28">
        <v>407</v>
      </c>
      <c r="B414" s="29"/>
      <c r="C414" s="77"/>
      <c r="D414" s="33"/>
      <c r="E414" s="41"/>
      <c r="F414" s="29"/>
      <c r="G414" s="29"/>
      <c r="H414" s="29"/>
      <c r="I414" s="27"/>
      <c r="J414" s="29"/>
      <c r="K414" s="29"/>
      <c r="L414" s="29"/>
      <c r="M414" s="33"/>
      <c r="N414" s="33"/>
    </row>
    <row r="415" spans="1:14" x14ac:dyDescent="0.25">
      <c r="A415" s="28">
        <v>408</v>
      </c>
      <c r="B415" s="29"/>
      <c r="C415" s="77"/>
      <c r="D415" s="33"/>
      <c r="E415" s="41"/>
      <c r="F415" s="29"/>
      <c r="G415" s="29"/>
      <c r="H415" s="29"/>
      <c r="I415" s="27"/>
      <c r="J415" s="29"/>
      <c r="K415" s="29"/>
      <c r="L415" s="29"/>
      <c r="M415" s="33"/>
      <c r="N415" s="33"/>
    </row>
    <row r="416" spans="1:14" x14ac:dyDescent="0.25">
      <c r="A416" s="28">
        <v>409</v>
      </c>
      <c r="B416" s="29"/>
      <c r="C416" s="77"/>
      <c r="D416" s="33"/>
      <c r="E416" s="41"/>
      <c r="F416" s="29"/>
      <c r="G416" s="29"/>
      <c r="H416" s="29"/>
      <c r="I416" s="27"/>
      <c r="J416" s="29"/>
      <c r="K416" s="29"/>
      <c r="L416" s="29"/>
      <c r="M416" s="33"/>
      <c r="N416" s="33"/>
    </row>
    <row r="417" spans="1:14" x14ac:dyDescent="0.25">
      <c r="A417" s="28">
        <v>410</v>
      </c>
      <c r="B417" s="29"/>
      <c r="C417" s="77"/>
      <c r="D417" s="33"/>
      <c r="E417" s="41"/>
      <c r="F417" s="29"/>
      <c r="G417" s="29"/>
      <c r="H417" s="29"/>
      <c r="I417" s="27"/>
      <c r="J417" s="29"/>
      <c r="K417" s="29"/>
      <c r="L417" s="29"/>
      <c r="M417" s="33"/>
      <c r="N417" s="33"/>
    </row>
    <row r="418" spans="1:14" x14ac:dyDescent="0.25">
      <c r="A418" s="28">
        <v>411</v>
      </c>
      <c r="B418" s="29"/>
      <c r="C418" s="77"/>
      <c r="D418" s="33"/>
      <c r="E418" s="41"/>
      <c r="F418" s="29"/>
      <c r="G418" s="29"/>
      <c r="H418" s="29"/>
      <c r="I418" s="27"/>
      <c r="J418" s="29"/>
      <c r="K418" s="29"/>
      <c r="L418" s="29"/>
      <c r="M418" s="33"/>
      <c r="N418" s="33"/>
    </row>
    <row r="419" spans="1:14" x14ac:dyDescent="0.25">
      <c r="A419" s="28">
        <v>412</v>
      </c>
      <c r="B419" s="29"/>
      <c r="C419" s="77"/>
      <c r="D419" s="33"/>
      <c r="E419" s="41"/>
      <c r="F419" s="29"/>
      <c r="G419" s="29"/>
      <c r="H419" s="29"/>
      <c r="I419" s="27"/>
      <c r="J419" s="29"/>
      <c r="K419" s="29"/>
      <c r="L419" s="29"/>
      <c r="M419" s="33"/>
      <c r="N419" s="33"/>
    </row>
    <row r="420" spans="1:14" x14ac:dyDescent="0.25">
      <c r="A420" s="28">
        <v>413</v>
      </c>
      <c r="B420" s="29"/>
      <c r="C420" s="77"/>
      <c r="D420" s="33"/>
      <c r="E420" s="41"/>
      <c r="F420" s="29"/>
      <c r="G420" s="29"/>
      <c r="H420" s="29"/>
      <c r="I420" s="27"/>
      <c r="J420" s="29"/>
      <c r="K420" s="29"/>
      <c r="L420" s="29"/>
      <c r="M420" s="33"/>
      <c r="N420" s="33"/>
    </row>
    <row r="421" spans="1:14" x14ac:dyDescent="0.25">
      <c r="A421" s="28">
        <v>414</v>
      </c>
      <c r="B421" s="29"/>
      <c r="C421" s="77"/>
      <c r="D421" s="33"/>
      <c r="E421" s="41"/>
      <c r="F421" s="29"/>
      <c r="G421" s="29"/>
      <c r="H421" s="29"/>
      <c r="I421" s="27"/>
      <c r="J421" s="29"/>
      <c r="K421" s="29"/>
      <c r="L421" s="29"/>
      <c r="M421" s="33"/>
      <c r="N421" s="33"/>
    </row>
    <row r="422" spans="1:14" x14ac:dyDescent="0.25">
      <c r="A422" s="28">
        <v>415</v>
      </c>
      <c r="B422" s="29"/>
      <c r="C422" s="77"/>
      <c r="D422" s="33"/>
      <c r="E422" s="41"/>
      <c r="F422" s="29"/>
      <c r="G422" s="29"/>
      <c r="H422" s="29"/>
      <c r="I422" s="27"/>
      <c r="J422" s="29"/>
      <c r="K422" s="29"/>
      <c r="L422" s="29"/>
      <c r="M422" s="33"/>
      <c r="N422" s="33"/>
    </row>
    <row r="423" spans="1:14" x14ac:dyDescent="0.25">
      <c r="A423" s="28">
        <v>416</v>
      </c>
      <c r="B423" s="29"/>
      <c r="C423" s="77"/>
      <c r="D423" s="33"/>
      <c r="E423" s="41"/>
      <c r="F423" s="29"/>
      <c r="G423" s="29"/>
      <c r="H423" s="29"/>
      <c r="I423" s="27"/>
      <c r="J423" s="29"/>
      <c r="K423" s="29"/>
      <c r="L423" s="29"/>
      <c r="M423" s="33"/>
      <c r="N423" s="33"/>
    </row>
    <row r="424" spans="1:14" x14ac:dyDescent="0.25">
      <c r="A424" s="28">
        <v>417</v>
      </c>
      <c r="B424" s="29"/>
      <c r="C424" s="77"/>
      <c r="D424" s="33"/>
      <c r="E424" s="41"/>
      <c r="F424" s="29"/>
      <c r="G424" s="29"/>
      <c r="H424" s="29"/>
      <c r="I424" s="27"/>
      <c r="J424" s="29"/>
      <c r="K424" s="29"/>
      <c r="L424" s="29"/>
      <c r="M424" s="33"/>
      <c r="N424" s="33"/>
    </row>
    <row r="425" spans="1:14" x14ac:dyDescent="0.25">
      <c r="A425" s="28">
        <v>418</v>
      </c>
      <c r="B425" s="29"/>
      <c r="C425" s="77"/>
      <c r="D425" s="33"/>
      <c r="E425" s="41"/>
      <c r="F425" s="29"/>
      <c r="G425" s="29"/>
      <c r="H425" s="29"/>
      <c r="I425" s="27"/>
      <c r="J425" s="29"/>
      <c r="K425" s="29"/>
      <c r="L425" s="29"/>
      <c r="M425" s="33"/>
      <c r="N425" s="33"/>
    </row>
    <row r="426" spans="1:14" x14ac:dyDescent="0.25">
      <c r="A426" s="28">
        <v>419</v>
      </c>
      <c r="B426" s="29"/>
      <c r="C426" s="77"/>
      <c r="D426" s="33"/>
      <c r="E426" s="41"/>
      <c r="F426" s="29"/>
      <c r="G426" s="29"/>
      <c r="H426" s="29"/>
      <c r="I426" s="27"/>
      <c r="J426" s="29"/>
      <c r="K426" s="29"/>
      <c r="L426" s="29"/>
      <c r="M426" s="33"/>
      <c r="N426" s="33"/>
    </row>
    <row r="427" spans="1:14" x14ac:dyDescent="0.25">
      <c r="A427" s="28">
        <v>420</v>
      </c>
      <c r="B427" s="29"/>
      <c r="C427" s="77"/>
      <c r="D427" s="33"/>
      <c r="E427" s="41"/>
      <c r="F427" s="29"/>
      <c r="G427" s="29"/>
      <c r="H427" s="29"/>
      <c r="I427" s="27"/>
      <c r="J427" s="29"/>
      <c r="K427" s="29"/>
      <c r="L427" s="29"/>
      <c r="M427" s="33"/>
      <c r="N427" s="33"/>
    </row>
    <row r="428" spans="1:14" x14ac:dyDescent="0.25">
      <c r="A428" s="28">
        <v>421</v>
      </c>
      <c r="B428" s="29"/>
      <c r="C428" s="77"/>
      <c r="D428" s="33"/>
      <c r="E428" s="41"/>
      <c r="F428" s="29"/>
      <c r="G428" s="29"/>
      <c r="H428" s="29"/>
      <c r="I428" s="27"/>
      <c r="J428" s="29"/>
      <c r="K428" s="29"/>
      <c r="L428" s="29"/>
      <c r="M428" s="33"/>
      <c r="N428" s="33"/>
    </row>
    <row r="429" spans="1:14" x14ac:dyDescent="0.25">
      <c r="A429" s="28">
        <v>422</v>
      </c>
      <c r="B429" s="29"/>
      <c r="C429" s="77"/>
      <c r="D429" s="33"/>
      <c r="E429" s="41"/>
      <c r="F429" s="29"/>
      <c r="G429" s="29"/>
      <c r="H429" s="29"/>
      <c r="I429" s="27"/>
      <c r="J429" s="29"/>
      <c r="K429" s="29"/>
      <c r="L429" s="29"/>
      <c r="M429" s="33"/>
      <c r="N429" s="33"/>
    </row>
    <row r="430" spans="1:14" x14ac:dyDescent="0.25">
      <c r="A430" s="28">
        <v>423</v>
      </c>
      <c r="B430" s="29"/>
      <c r="C430" s="77"/>
      <c r="D430" s="33"/>
      <c r="E430" s="41"/>
      <c r="F430" s="29"/>
      <c r="G430" s="29"/>
      <c r="H430" s="29"/>
      <c r="I430" s="27"/>
      <c r="J430" s="29"/>
      <c r="K430" s="29"/>
      <c r="L430" s="29"/>
      <c r="M430" s="33"/>
      <c r="N430" s="33"/>
    </row>
    <row r="431" spans="1:14" x14ac:dyDescent="0.25">
      <c r="A431" s="28">
        <v>424</v>
      </c>
      <c r="B431" s="29"/>
      <c r="C431" s="77"/>
      <c r="D431" s="33"/>
      <c r="E431" s="41"/>
      <c r="F431" s="29"/>
      <c r="G431" s="29"/>
      <c r="H431" s="29"/>
      <c r="I431" s="27"/>
      <c r="J431" s="29"/>
      <c r="K431" s="29"/>
      <c r="L431" s="29"/>
      <c r="M431" s="33"/>
      <c r="N431" s="33"/>
    </row>
    <row r="432" spans="1:14" x14ac:dyDescent="0.25">
      <c r="A432" s="28">
        <v>425</v>
      </c>
      <c r="B432" s="29"/>
      <c r="C432" s="77"/>
      <c r="D432" s="33"/>
      <c r="E432" s="41"/>
      <c r="F432" s="29"/>
      <c r="G432" s="29"/>
      <c r="H432" s="29"/>
      <c r="I432" s="27"/>
      <c r="J432" s="29"/>
      <c r="K432" s="29"/>
      <c r="L432" s="29"/>
      <c r="M432" s="33"/>
      <c r="N432" s="33"/>
    </row>
    <row r="433" spans="1:14" x14ac:dyDescent="0.25">
      <c r="A433" s="28">
        <v>426</v>
      </c>
      <c r="B433" s="29"/>
      <c r="C433" s="77"/>
      <c r="D433" s="33"/>
      <c r="E433" s="41"/>
      <c r="F433" s="29"/>
      <c r="G433" s="29"/>
      <c r="H433" s="29"/>
      <c r="I433" s="27"/>
      <c r="J433" s="29"/>
      <c r="K433" s="29"/>
      <c r="L433" s="29"/>
      <c r="M433" s="33"/>
      <c r="N433" s="33"/>
    </row>
    <row r="434" spans="1:14" x14ac:dyDescent="0.25">
      <c r="A434" s="28">
        <v>427</v>
      </c>
      <c r="B434" s="29"/>
      <c r="C434" s="77"/>
      <c r="D434" s="33"/>
      <c r="E434" s="41"/>
      <c r="F434" s="29"/>
      <c r="G434" s="29"/>
      <c r="H434" s="29"/>
      <c r="I434" s="27"/>
      <c r="J434" s="29"/>
      <c r="K434" s="29"/>
      <c r="L434" s="29"/>
      <c r="M434" s="33"/>
      <c r="N434" s="33"/>
    </row>
    <row r="435" spans="1:14" x14ac:dyDescent="0.25">
      <c r="A435" s="28">
        <v>428</v>
      </c>
      <c r="B435" s="29"/>
      <c r="C435" s="77"/>
      <c r="D435" s="33"/>
      <c r="E435" s="41"/>
      <c r="F435" s="29"/>
      <c r="G435" s="29"/>
      <c r="H435" s="29"/>
      <c r="I435" s="27"/>
      <c r="J435" s="29"/>
      <c r="K435" s="29"/>
      <c r="L435" s="29"/>
      <c r="M435" s="33"/>
      <c r="N435" s="33"/>
    </row>
    <row r="436" spans="1:14" x14ac:dyDescent="0.25">
      <c r="A436" s="28">
        <v>429</v>
      </c>
      <c r="B436" s="29"/>
      <c r="C436" s="77"/>
      <c r="D436" s="33"/>
      <c r="E436" s="41"/>
      <c r="F436" s="29"/>
      <c r="G436" s="29"/>
      <c r="H436" s="29"/>
      <c r="I436" s="27"/>
      <c r="J436" s="29"/>
      <c r="K436" s="29"/>
      <c r="L436" s="29"/>
      <c r="M436" s="33"/>
      <c r="N436" s="33"/>
    </row>
    <row r="437" spans="1:14" x14ac:dyDescent="0.25">
      <c r="A437" s="28">
        <v>430</v>
      </c>
      <c r="B437" s="29"/>
      <c r="C437" s="77"/>
      <c r="D437" s="33"/>
      <c r="E437" s="41"/>
      <c r="F437" s="29"/>
      <c r="G437" s="29"/>
      <c r="H437" s="29"/>
      <c r="I437" s="27"/>
      <c r="J437" s="29"/>
      <c r="K437" s="29"/>
      <c r="L437" s="29"/>
      <c r="M437" s="33"/>
      <c r="N437" s="33"/>
    </row>
    <row r="438" spans="1:14" x14ac:dyDescent="0.25">
      <c r="A438" s="28">
        <v>431</v>
      </c>
      <c r="B438" s="29"/>
      <c r="C438" s="77"/>
      <c r="D438" s="33"/>
      <c r="E438" s="41"/>
      <c r="F438" s="29"/>
      <c r="G438" s="29"/>
      <c r="H438" s="29"/>
      <c r="I438" s="27"/>
      <c r="J438" s="29"/>
      <c r="K438" s="29"/>
      <c r="L438" s="29"/>
      <c r="M438" s="33"/>
      <c r="N438" s="33"/>
    </row>
    <row r="439" spans="1:14" x14ac:dyDescent="0.25">
      <c r="A439" s="28">
        <v>432</v>
      </c>
      <c r="B439" s="29"/>
      <c r="C439" s="77"/>
      <c r="D439" s="33"/>
      <c r="E439" s="41"/>
      <c r="F439" s="29"/>
      <c r="G439" s="29"/>
      <c r="H439" s="29"/>
      <c r="I439" s="27"/>
      <c r="J439" s="29"/>
      <c r="K439" s="29"/>
      <c r="L439" s="29"/>
      <c r="M439" s="33"/>
      <c r="N439" s="33"/>
    </row>
    <row r="440" spans="1:14" x14ac:dyDescent="0.25">
      <c r="A440" s="28">
        <v>433</v>
      </c>
      <c r="B440" s="29"/>
      <c r="C440" s="77"/>
      <c r="D440" s="33"/>
      <c r="E440" s="41"/>
      <c r="F440" s="29"/>
      <c r="G440" s="29"/>
      <c r="H440" s="29"/>
      <c r="I440" s="27"/>
      <c r="J440" s="29"/>
      <c r="K440" s="29"/>
      <c r="L440" s="29"/>
      <c r="M440" s="33"/>
      <c r="N440" s="33"/>
    </row>
    <row r="441" spans="1:14" x14ac:dyDescent="0.25">
      <c r="A441" s="28">
        <v>434</v>
      </c>
      <c r="B441" s="29"/>
      <c r="C441" s="77"/>
      <c r="D441" s="33"/>
      <c r="E441" s="41"/>
      <c r="F441" s="29"/>
      <c r="G441" s="29"/>
      <c r="H441" s="29"/>
      <c r="I441" s="27"/>
      <c r="J441" s="29"/>
      <c r="K441" s="29"/>
      <c r="L441" s="29"/>
      <c r="M441" s="33"/>
      <c r="N441" s="33"/>
    </row>
    <row r="442" spans="1:14" x14ac:dyDescent="0.25">
      <c r="A442" s="28">
        <v>435</v>
      </c>
      <c r="B442" s="29"/>
      <c r="C442" s="77"/>
      <c r="D442" s="33"/>
      <c r="E442" s="41"/>
      <c r="F442" s="29"/>
      <c r="G442" s="29"/>
      <c r="H442" s="29"/>
      <c r="I442" s="27"/>
      <c r="J442" s="29"/>
      <c r="K442" s="29"/>
      <c r="L442" s="29"/>
      <c r="M442" s="33"/>
      <c r="N442" s="33"/>
    </row>
    <row r="443" spans="1:14" x14ac:dyDescent="0.25">
      <c r="A443" s="28">
        <v>436</v>
      </c>
      <c r="B443" s="29"/>
      <c r="C443" s="77"/>
      <c r="D443" s="33"/>
      <c r="E443" s="41"/>
      <c r="F443" s="29"/>
      <c r="G443" s="29"/>
      <c r="H443" s="29"/>
      <c r="I443" s="27"/>
      <c r="J443" s="29"/>
      <c r="K443" s="29"/>
      <c r="L443" s="29"/>
      <c r="M443" s="33"/>
      <c r="N443" s="33"/>
    </row>
    <row r="444" spans="1:14" x14ac:dyDescent="0.25">
      <c r="A444" s="28">
        <v>437</v>
      </c>
      <c r="B444" s="29"/>
      <c r="C444" s="77"/>
      <c r="D444" s="33"/>
      <c r="E444" s="41"/>
      <c r="F444" s="29"/>
      <c r="G444" s="29"/>
      <c r="H444" s="29"/>
      <c r="I444" s="27"/>
      <c r="J444" s="29"/>
      <c r="K444" s="29"/>
      <c r="L444" s="29"/>
      <c r="M444" s="33"/>
      <c r="N444" s="33"/>
    </row>
    <row r="445" spans="1:14" x14ac:dyDescent="0.25">
      <c r="A445" s="28">
        <v>438</v>
      </c>
      <c r="B445" s="29"/>
      <c r="C445" s="77"/>
      <c r="D445" s="33"/>
      <c r="E445" s="41"/>
      <c r="F445" s="29"/>
      <c r="G445" s="29"/>
      <c r="H445" s="29"/>
      <c r="I445" s="27"/>
      <c r="J445" s="29"/>
      <c r="K445" s="29"/>
      <c r="L445" s="29"/>
      <c r="M445" s="33"/>
      <c r="N445" s="33"/>
    </row>
    <row r="446" spans="1:14" x14ac:dyDescent="0.25">
      <c r="A446" s="28">
        <v>439</v>
      </c>
      <c r="B446" s="29"/>
      <c r="C446" s="77"/>
      <c r="D446" s="33"/>
      <c r="E446" s="41"/>
      <c r="F446" s="29"/>
      <c r="G446" s="29"/>
      <c r="H446" s="29"/>
      <c r="I446" s="27"/>
      <c r="J446" s="29"/>
      <c r="K446" s="29"/>
      <c r="L446" s="29"/>
      <c r="M446" s="33"/>
      <c r="N446" s="33"/>
    </row>
    <row r="447" spans="1:14" x14ac:dyDescent="0.25">
      <c r="A447" s="28">
        <v>440</v>
      </c>
      <c r="B447" s="29"/>
      <c r="C447" s="77"/>
      <c r="D447" s="33"/>
      <c r="E447" s="41"/>
      <c r="F447" s="29"/>
      <c r="G447" s="29"/>
      <c r="H447" s="29"/>
      <c r="I447" s="27"/>
      <c r="J447" s="29"/>
      <c r="K447" s="29"/>
      <c r="L447" s="29"/>
      <c r="M447" s="33"/>
      <c r="N447" s="33"/>
    </row>
    <row r="448" spans="1:14" x14ac:dyDescent="0.25">
      <c r="A448" s="28">
        <v>441</v>
      </c>
      <c r="B448" s="29"/>
      <c r="C448" s="77"/>
      <c r="D448" s="33"/>
      <c r="E448" s="41"/>
      <c r="F448" s="29"/>
      <c r="G448" s="29"/>
      <c r="H448" s="29"/>
      <c r="I448" s="27"/>
      <c r="J448" s="29"/>
      <c r="K448" s="29"/>
      <c r="L448" s="29"/>
      <c r="M448" s="33"/>
      <c r="N448" s="33"/>
    </row>
    <row r="449" spans="1:14" x14ac:dyDescent="0.25">
      <c r="A449" s="28">
        <v>442</v>
      </c>
      <c r="B449" s="29"/>
      <c r="C449" s="77"/>
      <c r="D449" s="33"/>
      <c r="E449" s="41"/>
      <c r="F449" s="29"/>
      <c r="G449" s="29"/>
      <c r="H449" s="29"/>
      <c r="I449" s="27"/>
      <c r="J449" s="29"/>
      <c r="K449" s="29"/>
      <c r="L449" s="29"/>
      <c r="M449" s="33"/>
      <c r="N449" s="33"/>
    </row>
    <row r="450" spans="1:14" x14ac:dyDescent="0.25">
      <c r="A450" s="28">
        <v>443</v>
      </c>
      <c r="B450" s="29"/>
      <c r="C450" s="77"/>
      <c r="D450" s="33"/>
      <c r="E450" s="41"/>
      <c r="F450" s="29"/>
      <c r="G450" s="29"/>
      <c r="H450" s="29"/>
      <c r="I450" s="27"/>
      <c r="J450" s="29"/>
      <c r="K450" s="29"/>
      <c r="L450" s="29"/>
      <c r="M450" s="33"/>
      <c r="N450" s="33"/>
    </row>
    <row r="451" spans="1:14" x14ac:dyDescent="0.25">
      <c r="A451" s="28">
        <v>444</v>
      </c>
      <c r="B451" s="29"/>
      <c r="C451" s="77"/>
      <c r="D451" s="33"/>
      <c r="E451" s="41"/>
      <c r="F451" s="29"/>
      <c r="G451" s="29"/>
      <c r="H451" s="29"/>
      <c r="I451" s="27"/>
      <c r="J451" s="29"/>
      <c r="K451" s="29"/>
      <c r="L451" s="29"/>
      <c r="M451" s="33"/>
      <c r="N451" s="33"/>
    </row>
    <row r="452" spans="1:14" x14ac:dyDescent="0.25">
      <c r="A452" s="28">
        <v>445</v>
      </c>
      <c r="B452" s="29"/>
      <c r="C452" s="77"/>
      <c r="D452" s="33"/>
      <c r="E452" s="41"/>
      <c r="F452" s="29"/>
      <c r="G452" s="29"/>
      <c r="H452" s="29"/>
      <c r="I452" s="27"/>
      <c r="J452" s="29"/>
      <c r="K452" s="29"/>
      <c r="L452" s="29"/>
      <c r="M452" s="33"/>
      <c r="N452" s="33"/>
    </row>
    <row r="453" spans="1:14" x14ac:dyDescent="0.25">
      <c r="A453" s="28">
        <v>446</v>
      </c>
      <c r="B453" s="29"/>
      <c r="C453" s="77"/>
      <c r="D453" s="33"/>
      <c r="E453" s="41"/>
      <c r="F453" s="29"/>
      <c r="G453" s="29"/>
      <c r="H453" s="29"/>
      <c r="I453" s="27"/>
      <c r="J453" s="29"/>
      <c r="K453" s="29"/>
      <c r="L453" s="29"/>
      <c r="M453" s="33"/>
      <c r="N453" s="33"/>
    </row>
    <row r="454" spans="1:14" x14ac:dyDescent="0.25">
      <c r="A454" s="28">
        <v>447</v>
      </c>
      <c r="B454" s="29"/>
      <c r="C454" s="77"/>
      <c r="D454" s="33"/>
      <c r="E454" s="41"/>
      <c r="F454" s="29"/>
      <c r="G454" s="29"/>
      <c r="H454" s="29"/>
      <c r="I454" s="27"/>
      <c r="J454" s="29"/>
      <c r="K454" s="29"/>
      <c r="L454" s="29"/>
      <c r="M454" s="33"/>
      <c r="N454" s="33"/>
    </row>
    <row r="455" spans="1:14" x14ac:dyDescent="0.25">
      <c r="A455" s="28">
        <v>448</v>
      </c>
      <c r="B455" s="29"/>
      <c r="C455" s="77"/>
      <c r="D455" s="33"/>
      <c r="E455" s="41"/>
      <c r="F455" s="29"/>
      <c r="G455" s="29"/>
      <c r="H455" s="29"/>
      <c r="I455" s="27"/>
      <c r="J455" s="29"/>
      <c r="K455" s="29"/>
      <c r="L455" s="29"/>
      <c r="M455" s="33"/>
      <c r="N455" s="33"/>
    </row>
    <row r="456" spans="1:14" x14ac:dyDescent="0.25">
      <c r="A456" s="28">
        <v>449</v>
      </c>
      <c r="B456" s="29"/>
      <c r="C456" s="77"/>
      <c r="D456" s="33"/>
      <c r="E456" s="41"/>
      <c r="F456" s="29"/>
      <c r="G456" s="29"/>
      <c r="H456" s="29"/>
      <c r="I456" s="27"/>
      <c r="J456" s="29"/>
      <c r="K456" s="29"/>
      <c r="L456" s="29"/>
      <c r="M456" s="33"/>
      <c r="N456" s="33"/>
    </row>
    <row r="457" spans="1:14" x14ac:dyDescent="0.25">
      <c r="A457" s="28">
        <v>450</v>
      </c>
      <c r="B457" s="29"/>
      <c r="C457" s="77"/>
      <c r="D457" s="33"/>
      <c r="E457" s="41"/>
      <c r="F457" s="29"/>
      <c r="G457" s="29"/>
      <c r="H457" s="29"/>
      <c r="I457" s="27"/>
      <c r="J457" s="29"/>
      <c r="K457" s="29"/>
      <c r="L457" s="29"/>
      <c r="M457" s="33"/>
      <c r="N457" s="33"/>
    </row>
    <row r="458" spans="1:14" x14ac:dyDescent="0.25">
      <c r="A458" s="28">
        <v>451</v>
      </c>
      <c r="B458" s="29"/>
      <c r="C458" s="77"/>
      <c r="D458" s="33"/>
      <c r="E458" s="41"/>
      <c r="F458" s="29"/>
      <c r="G458" s="29"/>
      <c r="H458" s="29"/>
      <c r="I458" s="27"/>
      <c r="J458" s="29"/>
      <c r="K458" s="29"/>
      <c r="L458" s="29"/>
      <c r="M458" s="33"/>
      <c r="N458" s="33"/>
    </row>
    <row r="459" spans="1:14" x14ac:dyDescent="0.25">
      <c r="A459" s="28">
        <v>452</v>
      </c>
      <c r="B459" s="29"/>
      <c r="C459" s="77"/>
      <c r="D459" s="33"/>
      <c r="E459" s="41"/>
      <c r="F459" s="29"/>
      <c r="G459" s="29"/>
      <c r="H459" s="29"/>
      <c r="I459" s="27"/>
      <c r="J459" s="29"/>
      <c r="K459" s="29"/>
      <c r="L459" s="29"/>
      <c r="M459" s="33"/>
      <c r="N459" s="33"/>
    </row>
    <row r="460" spans="1:14" x14ac:dyDescent="0.25">
      <c r="A460" s="28">
        <v>453</v>
      </c>
      <c r="B460" s="29"/>
      <c r="C460" s="77"/>
      <c r="D460" s="33"/>
      <c r="E460" s="41"/>
      <c r="F460" s="29"/>
      <c r="G460" s="29"/>
      <c r="H460" s="29"/>
      <c r="I460" s="27"/>
      <c r="J460" s="29"/>
      <c r="K460" s="29"/>
      <c r="L460" s="29"/>
      <c r="M460" s="33"/>
      <c r="N460" s="33"/>
    </row>
    <row r="461" spans="1:14" x14ac:dyDescent="0.25">
      <c r="A461" s="28">
        <v>454</v>
      </c>
      <c r="B461" s="29"/>
      <c r="C461" s="77"/>
      <c r="D461" s="33"/>
      <c r="E461" s="41"/>
      <c r="F461" s="29"/>
      <c r="G461" s="29"/>
      <c r="H461" s="29"/>
      <c r="I461" s="27"/>
      <c r="J461" s="29"/>
      <c r="K461" s="29"/>
      <c r="L461" s="29"/>
      <c r="M461" s="33"/>
      <c r="N461" s="33"/>
    </row>
    <row r="462" spans="1:14" x14ac:dyDescent="0.25">
      <c r="A462" s="28">
        <v>455</v>
      </c>
      <c r="B462" s="29"/>
      <c r="C462" s="77"/>
      <c r="D462" s="33"/>
      <c r="E462" s="41"/>
      <c r="F462" s="29"/>
      <c r="G462" s="29"/>
      <c r="H462" s="29"/>
      <c r="I462" s="27"/>
      <c r="J462" s="29"/>
      <c r="K462" s="29"/>
      <c r="L462" s="29"/>
      <c r="M462" s="33"/>
      <c r="N462" s="33"/>
    </row>
    <row r="463" spans="1:14" x14ac:dyDescent="0.25">
      <c r="A463" s="28">
        <v>456</v>
      </c>
      <c r="B463" s="29"/>
      <c r="C463" s="77"/>
      <c r="D463" s="33"/>
      <c r="E463" s="41"/>
      <c r="F463" s="29"/>
      <c r="G463" s="29"/>
      <c r="H463" s="29"/>
      <c r="I463" s="27"/>
      <c r="J463" s="29"/>
      <c r="K463" s="29"/>
      <c r="L463" s="29"/>
      <c r="M463" s="33"/>
      <c r="N463" s="33"/>
    </row>
    <row r="464" spans="1:14" x14ac:dyDescent="0.25">
      <c r="A464" s="28">
        <v>457</v>
      </c>
      <c r="B464" s="29"/>
      <c r="C464" s="77"/>
      <c r="D464" s="33"/>
      <c r="E464" s="41"/>
      <c r="F464" s="29"/>
      <c r="G464" s="29"/>
      <c r="H464" s="29"/>
      <c r="I464" s="27"/>
      <c r="J464" s="29"/>
      <c r="K464" s="29"/>
      <c r="L464" s="29"/>
      <c r="M464" s="33"/>
      <c r="N464" s="33"/>
    </row>
    <row r="465" spans="1:14" x14ac:dyDescent="0.25">
      <c r="A465" s="28">
        <v>458</v>
      </c>
      <c r="B465" s="29"/>
      <c r="C465" s="77"/>
      <c r="D465" s="33"/>
      <c r="E465" s="41"/>
      <c r="F465" s="29"/>
      <c r="G465" s="29"/>
      <c r="H465" s="29"/>
      <c r="I465" s="27"/>
      <c r="J465" s="29"/>
      <c r="K465" s="29"/>
      <c r="L465" s="29"/>
      <c r="M465" s="33"/>
      <c r="N465" s="33"/>
    </row>
    <row r="466" spans="1:14" x14ac:dyDescent="0.25">
      <c r="A466" s="28">
        <v>459</v>
      </c>
      <c r="B466" s="29"/>
      <c r="C466" s="77"/>
      <c r="D466" s="33"/>
      <c r="E466" s="41"/>
      <c r="F466" s="29"/>
      <c r="G466" s="29"/>
      <c r="H466" s="29"/>
      <c r="I466" s="27"/>
      <c r="J466" s="29"/>
      <c r="K466" s="29"/>
      <c r="L466" s="29"/>
      <c r="M466" s="33"/>
      <c r="N466" s="33"/>
    </row>
    <row r="467" spans="1:14" x14ac:dyDescent="0.25">
      <c r="A467" s="28">
        <v>460</v>
      </c>
      <c r="B467" s="29"/>
      <c r="C467" s="77"/>
      <c r="D467" s="33"/>
      <c r="E467" s="41"/>
      <c r="F467" s="29"/>
      <c r="G467" s="29"/>
      <c r="H467" s="29"/>
      <c r="I467" s="27"/>
      <c r="J467" s="29"/>
      <c r="K467" s="29"/>
      <c r="L467" s="29"/>
      <c r="M467" s="33"/>
      <c r="N467" s="33"/>
    </row>
    <row r="468" spans="1:14" x14ac:dyDescent="0.25">
      <c r="A468" s="28">
        <v>461</v>
      </c>
      <c r="B468" s="29"/>
      <c r="C468" s="77"/>
      <c r="D468" s="33"/>
      <c r="E468" s="41"/>
      <c r="F468" s="29"/>
      <c r="G468" s="29"/>
      <c r="H468" s="29"/>
      <c r="I468" s="27"/>
      <c r="J468" s="29"/>
      <c r="K468" s="29"/>
      <c r="L468" s="29"/>
      <c r="M468" s="33"/>
      <c r="N468" s="33"/>
    </row>
    <row r="469" spans="1:14" x14ac:dyDescent="0.25">
      <c r="A469" s="28">
        <v>462</v>
      </c>
      <c r="B469" s="29"/>
      <c r="C469" s="77"/>
      <c r="D469" s="33"/>
      <c r="E469" s="41"/>
      <c r="F469" s="29"/>
      <c r="G469" s="29"/>
      <c r="H469" s="29"/>
      <c r="I469" s="27"/>
      <c r="J469" s="29"/>
      <c r="K469" s="29"/>
      <c r="L469" s="29"/>
      <c r="M469" s="33"/>
      <c r="N469" s="33"/>
    </row>
    <row r="470" spans="1:14" x14ac:dyDescent="0.25">
      <c r="A470" s="28">
        <v>463</v>
      </c>
      <c r="B470" s="29"/>
      <c r="C470" s="77"/>
      <c r="D470" s="33"/>
      <c r="E470" s="41"/>
      <c r="F470" s="29"/>
      <c r="G470" s="29"/>
      <c r="H470" s="29"/>
      <c r="I470" s="27"/>
      <c r="J470" s="29"/>
      <c r="K470" s="29"/>
      <c r="L470" s="29"/>
      <c r="M470" s="33"/>
      <c r="N470" s="33"/>
    </row>
    <row r="471" spans="1:14" x14ac:dyDescent="0.25">
      <c r="A471" s="28">
        <v>464</v>
      </c>
      <c r="B471" s="29"/>
      <c r="C471" s="77"/>
      <c r="D471" s="33"/>
      <c r="E471" s="41"/>
      <c r="F471" s="29"/>
      <c r="G471" s="29"/>
      <c r="H471" s="29"/>
      <c r="I471" s="27"/>
      <c r="J471" s="29"/>
      <c r="K471" s="29"/>
      <c r="L471" s="29"/>
      <c r="M471" s="33"/>
      <c r="N471" s="33"/>
    </row>
    <row r="472" spans="1:14" x14ac:dyDescent="0.25">
      <c r="A472" s="28">
        <v>465</v>
      </c>
      <c r="B472" s="29"/>
      <c r="C472" s="77"/>
      <c r="D472" s="33"/>
      <c r="E472" s="41"/>
      <c r="F472" s="29"/>
      <c r="G472" s="29"/>
      <c r="H472" s="29"/>
      <c r="I472" s="27"/>
      <c r="J472" s="29"/>
      <c r="K472" s="29"/>
      <c r="L472" s="29"/>
      <c r="M472" s="33"/>
      <c r="N472" s="33"/>
    </row>
    <row r="473" spans="1:14" x14ac:dyDescent="0.25">
      <c r="A473" s="28">
        <v>466</v>
      </c>
      <c r="B473" s="29"/>
      <c r="C473" s="77"/>
      <c r="D473" s="33"/>
      <c r="E473" s="41"/>
      <c r="F473" s="29"/>
      <c r="G473" s="29"/>
      <c r="H473" s="29"/>
      <c r="I473" s="27"/>
      <c r="J473" s="29"/>
      <c r="K473" s="29"/>
      <c r="L473" s="29"/>
      <c r="M473" s="33"/>
      <c r="N473" s="33"/>
    </row>
    <row r="474" spans="1:14" x14ac:dyDescent="0.25">
      <c r="A474" s="28">
        <v>467</v>
      </c>
      <c r="B474" s="29"/>
      <c r="C474" s="77"/>
      <c r="D474" s="33"/>
      <c r="E474" s="41"/>
      <c r="F474" s="29"/>
      <c r="G474" s="29"/>
      <c r="H474" s="29"/>
      <c r="I474" s="27"/>
      <c r="J474" s="29"/>
      <c r="K474" s="29"/>
      <c r="L474" s="29"/>
      <c r="M474" s="33"/>
      <c r="N474" s="33"/>
    </row>
    <row r="475" spans="1:14" x14ac:dyDescent="0.25">
      <c r="A475" s="28">
        <v>468</v>
      </c>
      <c r="B475" s="29"/>
      <c r="C475" s="77"/>
      <c r="D475" s="33"/>
      <c r="E475" s="41"/>
      <c r="F475" s="29"/>
      <c r="G475" s="29"/>
      <c r="H475" s="29"/>
      <c r="I475" s="27"/>
      <c r="J475" s="29"/>
      <c r="K475" s="29"/>
      <c r="L475" s="29"/>
      <c r="M475" s="33"/>
      <c r="N475" s="33"/>
    </row>
    <row r="476" spans="1:14" x14ac:dyDescent="0.25">
      <c r="A476" s="28">
        <v>469</v>
      </c>
      <c r="B476" s="29"/>
      <c r="C476" s="77"/>
      <c r="D476" s="33"/>
      <c r="E476" s="41"/>
      <c r="F476" s="29"/>
      <c r="G476" s="29"/>
      <c r="H476" s="29"/>
      <c r="I476" s="27"/>
      <c r="J476" s="29"/>
      <c r="K476" s="29"/>
      <c r="L476" s="29"/>
      <c r="M476" s="33"/>
      <c r="N476" s="33"/>
    </row>
    <row r="477" spans="1:14" x14ac:dyDescent="0.25">
      <c r="A477" s="28">
        <v>470</v>
      </c>
      <c r="B477" s="29"/>
      <c r="C477" s="77"/>
      <c r="D477" s="33"/>
      <c r="E477" s="41"/>
      <c r="F477" s="29"/>
      <c r="G477" s="29"/>
      <c r="H477" s="29"/>
      <c r="I477" s="27"/>
      <c r="J477" s="29"/>
      <c r="K477" s="29"/>
      <c r="L477" s="29"/>
      <c r="M477" s="33"/>
      <c r="N477" s="33"/>
    </row>
    <row r="478" spans="1:14" x14ac:dyDescent="0.25">
      <c r="A478" s="28">
        <v>471</v>
      </c>
      <c r="B478" s="29"/>
      <c r="C478" s="77"/>
      <c r="D478" s="33"/>
      <c r="E478" s="41"/>
      <c r="F478" s="29"/>
      <c r="G478" s="29"/>
      <c r="H478" s="29"/>
      <c r="I478" s="27"/>
      <c r="J478" s="29"/>
      <c r="K478" s="29"/>
      <c r="L478" s="29"/>
      <c r="M478" s="33"/>
      <c r="N478" s="33"/>
    </row>
    <row r="479" spans="1:14" x14ac:dyDescent="0.25">
      <c r="A479" s="28">
        <v>472</v>
      </c>
      <c r="B479" s="29"/>
      <c r="C479" s="77"/>
      <c r="D479" s="33"/>
      <c r="E479" s="41"/>
      <c r="F479" s="29"/>
      <c r="G479" s="29"/>
      <c r="H479" s="29"/>
      <c r="I479" s="27"/>
      <c r="J479" s="29"/>
      <c r="K479" s="29"/>
      <c r="L479" s="29"/>
      <c r="M479" s="33"/>
      <c r="N479" s="33"/>
    </row>
    <row r="480" spans="1:14" x14ac:dyDescent="0.25">
      <c r="A480" s="28">
        <v>473</v>
      </c>
      <c r="B480" s="29"/>
      <c r="C480" s="77"/>
      <c r="D480" s="33"/>
      <c r="E480" s="41"/>
      <c r="F480" s="29"/>
      <c r="G480" s="29"/>
      <c r="H480" s="29"/>
      <c r="I480" s="27"/>
      <c r="J480" s="29"/>
      <c r="K480" s="29"/>
      <c r="L480" s="29"/>
      <c r="M480" s="33"/>
      <c r="N480" s="33"/>
    </row>
    <row r="481" spans="1:14" x14ac:dyDescent="0.25">
      <c r="A481" s="28">
        <v>474</v>
      </c>
      <c r="B481" s="29"/>
      <c r="C481" s="77"/>
      <c r="D481" s="33"/>
      <c r="E481" s="41"/>
      <c r="F481" s="29"/>
      <c r="G481" s="29"/>
      <c r="H481" s="29"/>
      <c r="I481" s="27"/>
      <c r="J481" s="29"/>
      <c r="K481" s="29"/>
      <c r="L481" s="29"/>
      <c r="M481" s="33"/>
      <c r="N481" s="33"/>
    </row>
    <row r="482" spans="1:14" x14ac:dyDescent="0.25">
      <c r="A482" s="28">
        <v>475</v>
      </c>
      <c r="B482" s="29"/>
      <c r="C482" s="77"/>
      <c r="D482" s="33"/>
      <c r="E482" s="41"/>
      <c r="F482" s="29"/>
      <c r="G482" s="29"/>
      <c r="H482" s="29"/>
      <c r="I482" s="27"/>
      <c r="J482" s="29"/>
      <c r="K482" s="29"/>
      <c r="L482" s="29"/>
      <c r="M482" s="33"/>
      <c r="N482" s="33"/>
    </row>
    <row r="483" spans="1:14" x14ac:dyDescent="0.25">
      <c r="A483" s="28">
        <v>476</v>
      </c>
      <c r="B483" s="29"/>
      <c r="C483" s="77"/>
      <c r="D483" s="33"/>
      <c r="E483" s="41"/>
      <c r="F483" s="29"/>
      <c r="G483" s="29"/>
      <c r="H483" s="29"/>
      <c r="I483" s="27"/>
      <c r="J483" s="29"/>
      <c r="K483" s="29"/>
      <c r="L483" s="29"/>
      <c r="M483" s="33"/>
      <c r="N483" s="33"/>
    </row>
    <row r="484" spans="1:14" x14ac:dyDescent="0.25">
      <c r="A484" s="28">
        <v>477</v>
      </c>
      <c r="B484" s="29"/>
      <c r="C484" s="77"/>
      <c r="D484" s="33"/>
      <c r="E484" s="41"/>
      <c r="F484" s="29"/>
      <c r="G484" s="29"/>
      <c r="H484" s="29"/>
      <c r="I484" s="27"/>
      <c r="J484" s="29"/>
      <c r="K484" s="29"/>
      <c r="L484" s="29"/>
      <c r="M484" s="33"/>
      <c r="N484" s="33"/>
    </row>
    <row r="485" spans="1:14" x14ac:dyDescent="0.25">
      <c r="A485" s="28">
        <v>478</v>
      </c>
      <c r="B485" s="29"/>
      <c r="C485" s="77"/>
      <c r="D485" s="33"/>
      <c r="E485" s="41"/>
      <c r="F485" s="29"/>
      <c r="G485" s="29"/>
      <c r="H485" s="29"/>
      <c r="I485" s="27"/>
      <c r="J485" s="29"/>
      <c r="K485" s="29"/>
      <c r="L485" s="29"/>
      <c r="M485" s="33"/>
      <c r="N485" s="33"/>
    </row>
    <row r="486" spans="1:14" x14ac:dyDescent="0.25">
      <c r="A486" s="28">
        <v>479</v>
      </c>
      <c r="B486" s="29"/>
      <c r="C486" s="77"/>
      <c r="D486" s="33"/>
      <c r="E486" s="41"/>
      <c r="F486" s="29"/>
      <c r="G486" s="29"/>
      <c r="H486" s="29"/>
      <c r="I486" s="27"/>
      <c r="J486" s="29"/>
      <c r="K486" s="29"/>
      <c r="L486" s="29"/>
      <c r="M486" s="33"/>
      <c r="N486" s="33"/>
    </row>
    <row r="487" spans="1:14" x14ac:dyDescent="0.25">
      <c r="A487" s="28">
        <v>480</v>
      </c>
      <c r="B487" s="29"/>
      <c r="C487" s="77"/>
      <c r="D487" s="33"/>
      <c r="E487" s="41"/>
      <c r="F487" s="29"/>
      <c r="G487" s="29"/>
      <c r="H487" s="29"/>
      <c r="I487" s="27"/>
      <c r="J487" s="29"/>
      <c r="K487" s="29"/>
      <c r="L487" s="29"/>
      <c r="M487" s="33"/>
      <c r="N487" s="33"/>
    </row>
    <row r="488" spans="1:14" x14ac:dyDescent="0.25">
      <c r="A488" s="28">
        <v>481</v>
      </c>
      <c r="B488" s="29"/>
      <c r="C488" s="77"/>
      <c r="D488" s="33"/>
      <c r="E488" s="41"/>
      <c r="F488" s="29"/>
      <c r="G488" s="29"/>
      <c r="H488" s="29"/>
      <c r="I488" s="27"/>
      <c r="J488" s="29"/>
      <c r="K488" s="29"/>
      <c r="L488" s="29"/>
      <c r="M488" s="33"/>
      <c r="N488" s="33"/>
    </row>
    <row r="489" spans="1:14" x14ac:dyDescent="0.25">
      <c r="A489" s="28">
        <v>482</v>
      </c>
      <c r="B489" s="29"/>
      <c r="C489" s="77"/>
      <c r="D489" s="33"/>
      <c r="E489" s="41"/>
      <c r="F489" s="29"/>
      <c r="G489" s="29"/>
      <c r="H489" s="29"/>
      <c r="I489" s="27"/>
      <c r="J489" s="29"/>
      <c r="K489" s="29"/>
      <c r="L489" s="29"/>
      <c r="M489" s="33"/>
      <c r="N489" s="33"/>
    </row>
    <row r="490" spans="1:14" x14ac:dyDescent="0.25">
      <c r="A490" s="28">
        <v>483</v>
      </c>
      <c r="B490" s="29"/>
      <c r="C490" s="77"/>
      <c r="D490" s="33"/>
      <c r="E490" s="41"/>
      <c r="F490" s="29"/>
      <c r="G490" s="29"/>
      <c r="H490" s="29"/>
      <c r="I490" s="27"/>
      <c r="J490" s="29"/>
      <c r="K490" s="29"/>
      <c r="L490" s="29"/>
      <c r="M490" s="33"/>
      <c r="N490" s="33"/>
    </row>
    <row r="491" spans="1:14" x14ac:dyDescent="0.25">
      <c r="A491" s="28">
        <v>484</v>
      </c>
      <c r="B491" s="29"/>
      <c r="C491" s="77"/>
      <c r="D491" s="33"/>
      <c r="E491" s="41"/>
      <c r="F491" s="29"/>
      <c r="G491" s="29"/>
      <c r="H491" s="29"/>
      <c r="I491" s="27"/>
      <c r="J491" s="29"/>
      <c r="K491" s="29"/>
      <c r="L491" s="29"/>
      <c r="M491" s="33"/>
      <c r="N491" s="33"/>
    </row>
    <row r="492" spans="1:14" x14ac:dyDescent="0.25">
      <c r="A492" s="28">
        <v>485</v>
      </c>
      <c r="B492" s="29"/>
      <c r="C492" s="77"/>
      <c r="D492" s="33"/>
      <c r="E492" s="41"/>
      <c r="F492" s="29"/>
      <c r="G492" s="29"/>
      <c r="H492" s="29"/>
      <c r="I492" s="27"/>
      <c r="J492" s="29"/>
      <c r="K492" s="29"/>
      <c r="L492" s="29"/>
      <c r="M492" s="33"/>
      <c r="N492" s="33"/>
    </row>
    <row r="493" spans="1:14" x14ac:dyDescent="0.25">
      <c r="A493" s="28">
        <v>486</v>
      </c>
      <c r="B493" s="29"/>
      <c r="C493" s="77"/>
      <c r="D493" s="33"/>
      <c r="E493" s="41"/>
      <c r="F493" s="29"/>
      <c r="G493" s="29"/>
      <c r="H493" s="29"/>
      <c r="I493" s="27"/>
      <c r="J493" s="29"/>
      <c r="K493" s="29"/>
      <c r="L493" s="29"/>
      <c r="M493" s="33"/>
      <c r="N493" s="33"/>
    </row>
    <row r="494" spans="1:14" x14ac:dyDescent="0.25">
      <c r="A494" s="28">
        <v>487</v>
      </c>
      <c r="B494" s="29"/>
      <c r="C494" s="77"/>
      <c r="D494" s="33"/>
      <c r="E494" s="41"/>
      <c r="F494" s="29"/>
      <c r="G494" s="29"/>
      <c r="H494" s="29"/>
      <c r="I494" s="27"/>
      <c r="J494" s="29"/>
      <c r="K494" s="29"/>
      <c r="L494" s="29"/>
      <c r="M494" s="33"/>
      <c r="N494" s="33"/>
    </row>
    <row r="495" spans="1:14" x14ac:dyDescent="0.25">
      <c r="A495" s="28">
        <v>488</v>
      </c>
      <c r="B495" s="29"/>
      <c r="C495" s="77"/>
      <c r="D495" s="33"/>
      <c r="E495" s="41"/>
      <c r="F495" s="29"/>
      <c r="G495" s="29"/>
      <c r="H495" s="29"/>
      <c r="I495" s="27"/>
      <c r="J495" s="29"/>
      <c r="K495" s="29"/>
      <c r="L495" s="29"/>
      <c r="M495" s="33"/>
      <c r="N495" s="33"/>
    </row>
    <row r="496" spans="1:14" x14ac:dyDescent="0.25">
      <c r="A496" s="28">
        <v>489</v>
      </c>
      <c r="B496" s="29"/>
      <c r="C496" s="77"/>
      <c r="D496" s="33"/>
      <c r="E496" s="41"/>
      <c r="F496" s="29"/>
      <c r="G496" s="29"/>
      <c r="H496" s="29"/>
      <c r="I496" s="27"/>
      <c r="J496" s="29"/>
      <c r="K496" s="29"/>
      <c r="L496" s="29"/>
      <c r="M496" s="33"/>
      <c r="N496" s="33"/>
    </row>
    <row r="497" spans="1:14" x14ac:dyDescent="0.25">
      <c r="A497" s="28">
        <v>490</v>
      </c>
      <c r="B497" s="29"/>
      <c r="C497" s="77"/>
      <c r="D497" s="33"/>
      <c r="E497" s="41"/>
      <c r="F497" s="29"/>
      <c r="G497" s="29"/>
      <c r="H497" s="29"/>
      <c r="I497" s="27"/>
      <c r="J497" s="29"/>
      <c r="K497" s="29"/>
      <c r="L497" s="29"/>
      <c r="M497" s="33"/>
      <c r="N497" s="33"/>
    </row>
    <row r="498" spans="1:14" x14ac:dyDescent="0.25">
      <c r="A498" s="28">
        <v>491</v>
      </c>
      <c r="B498" s="29"/>
      <c r="C498" s="77"/>
      <c r="D498" s="33"/>
      <c r="E498" s="41"/>
      <c r="F498" s="29"/>
      <c r="G498" s="29"/>
      <c r="H498" s="29"/>
      <c r="I498" s="27"/>
      <c r="J498" s="29"/>
      <c r="K498" s="29"/>
      <c r="L498" s="29"/>
      <c r="M498" s="33"/>
      <c r="N498" s="33"/>
    </row>
    <row r="499" spans="1:14" x14ac:dyDescent="0.25">
      <c r="A499" s="28">
        <v>492</v>
      </c>
      <c r="B499" s="29"/>
      <c r="C499" s="77"/>
      <c r="D499" s="33"/>
      <c r="E499" s="41"/>
      <c r="F499" s="29"/>
      <c r="G499" s="29"/>
      <c r="H499" s="29"/>
      <c r="I499" s="27"/>
      <c r="J499" s="29"/>
      <c r="K499" s="29"/>
      <c r="L499" s="29"/>
      <c r="M499" s="33"/>
      <c r="N499" s="33"/>
    </row>
    <row r="500" spans="1:14" x14ac:dyDescent="0.25">
      <c r="A500" s="28">
        <v>493</v>
      </c>
      <c r="B500" s="29"/>
      <c r="C500" s="77"/>
      <c r="D500" s="33"/>
      <c r="E500" s="41"/>
      <c r="F500" s="29"/>
      <c r="G500" s="29"/>
      <c r="H500" s="29"/>
      <c r="I500" s="27"/>
      <c r="J500" s="29"/>
      <c r="K500" s="29"/>
      <c r="L500" s="29"/>
      <c r="M500" s="33"/>
      <c r="N500" s="33"/>
    </row>
    <row r="501" spans="1:14" x14ac:dyDescent="0.25">
      <c r="A501" s="28">
        <v>494</v>
      </c>
      <c r="B501" s="29"/>
      <c r="C501" s="77"/>
      <c r="D501" s="33"/>
      <c r="E501" s="41"/>
      <c r="F501" s="29"/>
      <c r="G501" s="29"/>
      <c r="H501" s="29"/>
      <c r="I501" s="27"/>
      <c r="J501" s="29"/>
      <c r="K501" s="29"/>
      <c r="L501" s="29"/>
      <c r="M501" s="33"/>
      <c r="N501" s="33"/>
    </row>
    <row r="502" spans="1:14" x14ac:dyDescent="0.25">
      <c r="A502" s="28">
        <v>495</v>
      </c>
      <c r="B502" s="29"/>
      <c r="C502" s="77"/>
      <c r="D502" s="33"/>
      <c r="E502" s="41"/>
      <c r="F502" s="29"/>
      <c r="G502" s="29"/>
      <c r="H502" s="29"/>
      <c r="I502" s="27"/>
      <c r="J502" s="29"/>
      <c r="K502" s="29"/>
      <c r="L502" s="29"/>
      <c r="M502" s="33"/>
      <c r="N502" s="33"/>
    </row>
    <row r="503" spans="1:14" x14ac:dyDescent="0.25">
      <c r="A503" s="28">
        <v>496</v>
      </c>
      <c r="B503" s="29"/>
      <c r="C503" s="77"/>
      <c r="D503" s="33"/>
      <c r="E503" s="41"/>
      <c r="F503" s="29"/>
      <c r="G503" s="29"/>
      <c r="H503" s="29"/>
      <c r="I503" s="27"/>
      <c r="J503" s="29"/>
      <c r="K503" s="29"/>
      <c r="L503" s="29"/>
      <c r="M503" s="33"/>
      <c r="N503" s="33"/>
    </row>
    <row r="504" spans="1:14" x14ac:dyDescent="0.25">
      <c r="A504" s="28">
        <v>497</v>
      </c>
      <c r="B504" s="29"/>
      <c r="C504" s="77"/>
      <c r="D504" s="33"/>
      <c r="E504" s="41"/>
      <c r="F504" s="29"/>
      <c r="G504" s="29"/>
      <c r="H504" s="29"/>
      <c r="I504" s="27"/>
      <c r="J504" s="29"/>
      <c r="K504" s="29"/>
      <c r="L504" s="29"/>
      <c r="M504" s="33"/>
      <c r="N504" s="33"/>
    </row>
    <row r="505" spans="1:14" x14ac:dyDescent="0.25">
      <c r="A505" s="28">
        <v>498</v>
      </c>
      <c r="B505" s="29"/>
      <c r="C505" s="77"/>
      <c r="D505" s="33"/>
      <c r="E505" s="41"/>
      <c r="F505" s="29"/>
      <c r="G505" s="29"/>
      <c r="H505" s="29"/>
      <c r="I505" s="27"/>
      <c r="J505" s="29"/>
      <c r="K505" s="29"/>
      <c r="L505" s="29"/>
      <c r="M505" s="33"/>
      <c r="N505" s="33"/>
    </row>
    <row r="506" spans="1:14" x14ac:dyDescent="0.25">
      <c r="A506" s="28">
        <v>499</v>
      </c>
      <c r="B506" s="29"/>
      <c r="C506" s="77"/>
      <c r="D506" s="33"/>
      <c r="E506" s="41"/>
      <c r="F506" s="29"/>
      <c r="G506" s="29"/>
      <c r="H506" s="29"/>
      <c r="I506" s="27"/>
      <c r="J506" s="29"/>
      <c r="K506" s="29"/>
      <c r="L506" s="29"/>
      <c r="M506" s="33"/>
      <c r="N506" s="33"/>
    </row>
    <row r="507" spans="1:14" x14ac:dyDescent="0.25">
      <c r="A507" s="28">
        <v>500</v>
      </c>
      <c r="B507" s="29"/>
      <c r="C507" s="77"/>
      <c r="D507" s="33"/>
      <c r="E507" s="41"/>
      <c r="F507" s="29"/>
      <c r="G507" s="29"/>
      <c r="H507" s="29"/>
      <c r="I507" s="27"/>
      <c r="J507" s="29"/>
      <c r="K507" s="29"/>
      <c r="L507" s="29"/>
      <c r="M507" s="33"/>
      <c r="N507" s="33"/>
    </row>
  </sheetData>
  <dataConsolidate/>
  <mergeCells count="1">
    <mergeCell ref="I3:J3"/>
  </mergeCells>
  <dataValidations xWindow="680" yWindow="432" count="14">
    <dataValidation type="list" allowBlank="1" showInputMessage="1" showErrorMessage="1" errorTitle="Error" error="نوع خرج باید از گزینه‌های موجود در لیست کشویی باشد." promptTitle="راهنما" prompt="نوع خرج را مشخص کنید._x000a_نا مشخص_x000a_خرج صحیح_x000a_خرج اضافی" sqref="M8:M507">
      <formula1>INDIRECT("TypeOfExpenditureTable[نوع خرج]")</formula1>
    </dataValidation>
    <dataValidation type="list" allowBlank="1" showInputMessage="1" showErrorMessage="1" errorTitle="Error" error="فرد باید از لیست «افراد» انتخاب شود._x000a_به جدول «افراد» موجود در کاربردگ «تنظیمات حساب» مراجعه شود." promptTitle="راهنما" prompt="فردی که هزینه کرده یا برای آن هزینه شده" sqref="B8:B507">
      <formula1>INDIRECT("PersonsTable[افراد]")</formula1>
    </dataValidation>
    <dataValidation type="list" allowBlank="1" showInputMessage="1" showErrorMessage="1" errorTitle="Error" error="مقدار ورودی را از لیست انتخاب کنید" promptTitle="راهنما" prompt="حساب/فرد پرداخت کننده و دریافت کننده را تعیین کنید" sqref="J8:K507">
      <formula1>Accounts_and_ReceiversAndPayers_List</formula1>
    </dataValidation>
    <dataValidation type="list" allowBlank="1" showInputMessage="1" showErrorMessage="1" errorTitle="Error" error="مقدار ورودی را از لیست انتخاب کنید" promptTitle="راهنما" prompt="نوع تراکنش را مشخص کنید._x000a_پرداخت (هزینه)_x000a_دریافت (درآمد)_x000a_انتقال" sqref="E8:E507">
      <formula1>INDIRECT("TypeOfTransactionTable[نوع تراکنش]")</formula1>
    </dataValidation>
    <dataValidation type="list" allowBlank="1" showInputMessage="1" showErrorMessage="1" errorTitle="Error" error="مقدار ورودی را از لیست انتخاب کنید" promptTitle="راهنما" prompt="روش انتقال پول را انتخاب کنید_x000a_" sqref="H8:H507">
      <formula1 xml:space="preserve"> TransactionMethodsList</formula1>
    </dataValidation>
    <dataValidation showInputMessage="1" promptTitle="راهنما" prompt="تاریخ به میلادی ثبت شود._x000a_به صورت خودکار تاریخ شمسی نمایش داده میشود." sqref="C8:C507"/>
    <dataValidation type="list" allowBlank="1" showInputMessage="1" showErrorMessage="1" sqref="F8">
      <formula1>INDIRECT($E$8)</formula1>
    </dataValidation>
    <dataValidation type="list" allowBlank="1" showInputMessage="1" showErrorMessage="1" sqref="G8">
      <formula1>INDIRECT($F$8)</formula1>
    </dataValidation>
    <dataValidation type="list" allowBlank="1" showInputMessage="1" showErrorMessage="1" sqref="F9">
      <formula1>INDIRECT($E$9)</formula1>
    </dataValidation>
    <dataValidation type="list" allowBlank="1" showInputMessage="1" showErrorMessage="1" sqref="G9">
      <formula1>INDIRECT($F$9)</formula1>
    </dataValidation>
    <dataValidation type="list" allowBlank="1" showInputMessage="1" showErrorMessage="1" sqref="F10">
      <formula1>INDIRECT($E$10)</formula1>
    </dataValidation>
    <dataValidation type="list" allowBlank="1" showInputMessage="1" showErrorMessage="1" sqref="G10">
      <formula1>INDIRECT($F$10)</formula1>
    </dataValidation>
    <dataValidation type="list" allowBlank="1" showInputMessage="1" showErrorMessage="1" sqref="F11:F507">
      <formula1>INDIRECT($E$11)</formula1>
    </dataValidation>
    <dataValidation type="list" allowBlank="1" showInputMessage="1" showErrorMessage="1" sqref="G11:G507">
      <formula1>INDIRECT($F$11)</formula1>
    </dataValidation>
  </dataValidations>
  <hyperlinks>
    <hyperlink ref="B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I3:J3" location="'دریافت کنندگان - پرداخت کنندگان'!A1" display="دریافت کنندگان - پرداخت کنندگان"/>
    <hyperlink ref="I5" location="'گروه‌‌های (بابت‌ها) هزینه'!A1" display="گروه‌های هزینه"/>
    <hyperlink ref="J5" location="'گروه‌‌های درآمدی'!A1" display="گروه‌های درآمد"/>
  </hyperlink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theme="9"/>
  </sheetPr>
  <dimension ref="A1:K1"/>
  <sheetViews>
    <sheetView rightToLeft="1" workbookViewId="0"/>
  </sheetViews>
  <sheetFormatPr defaultRowHeight="15" x14ac:dyDescent="0.25"/>
  <cols>
    <col min="6" max="7" width="10.140625" customWidth="1"/>
    <col min="8" max="8" width="17.5703125" customWidth="1"/>
    <col min="9" max="9" width="13.140625" customWidth="1"/>
  </cols>
  <sheetData>
    <row r="1" spans="1:11" x14ac:dyDescent="0.25">
      <c r="A1" t="s">
        <v>1</v>
      </c>
      <c r="B1" t="s">
        <v>27</v>
      </c>
      <c r="C1" t="s">
        <v>28</v>
      </c>
      <c r="D1" t="s">
        <v>29</v>
      </c>
      <c r="E1" t="s">
        <v>36</v>
      </c>
      <c r="F1" t="s">
        <v>30</v>
      </c>
      <c r="G1" t="s">
        <v>35</v>
      </c>
      <c r="H1" t="s">
        <v>31</v>
      </c>
      <c r="I1" t="s">
        <v>32</v>
      </c>
      <c r="J1" t="s">
        <v>33</v>
      </c>
      <c r="K1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8"/>
  </sheetPr>
  <dimension ref="A1:J1"/>
  <sheetViews>
    <sheetView rightToLeft="1" workbookViewId="0"/>
  </sheetViews>
  <sheetFormatPr defaultRowHeight="15" x14ac:dyDescent="0.25"/>
  <cols>
    <col min="3" max="5" width="10.7109375" customWidth="1"/>
    <col min="6" max="6" width="13.28515625" customWidth="1"/>
    <col min="7" max="7" width="14.5703125" customWidth="1"/>
    <col min="8" max="8" width="19.85546875" customWidth="1"/>
    <col min="9" max="9" width="13.5703125" customWidth="1"/>
    <col min="10" max="10" width="15.7109375" customWidth="1"/>
  </cols>
  <sheetData>
    <row r="1" spans="1:10" x14ac:dyDescent="0.25">
      <c r="A1" t="s">
        <v>1</v>
      </c>
      <c r="B1" t="s">
        <v>20</v>
      </c>
      <c r="C1" t="s">
        <v>9</v>
      </c>
      <c r="D1" t="s">
        <v>21</v>
      </c>
      <c r="E1" t="s">
        <v>23</v>
      </c>
      <c r="F1" t="s">
        <v>22</v>
      </c>
      <c r="G1" t="s">
        <v>10</v>
      </c>
      <c r="H1" t="s">
        <v>24</v>
      </c>
      <c r="I1" t="s">
        <v>25</v>
      </c>
      <c r="J1" t="s">
        <v>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theme="6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theme="5"/>
  </sheetPr>
  <dimension ref="A1:M1"/>
  <sheetViews>
    <sheetView rightToLeft="1" workbookViewId="0"/>
  </sheetViews>
  <sheetFormatPr defaultRowHeight="15" x14ac:dyDescent="0.25"/>
  <cols>
    <col min="7" max="8" width="18.28515625" customWidth="1"/>
  </cols>
  <sheetData>
    <row r="1" spans="1:13" x14ac:dyDescent="0.25">
      <c r="A1" t="s">
        <v>1</v>
      </c>
      <c r="B1" t="s">
        <v>14</v>
      </c>
      <c r="C1" t="s">
        <v>16</v>
      </c>
      <c r="D1" t="s">
        <v>18</v>
      </c>
      <c r="E1" t="s">
        <v>38</v>
      </c>
      <c r="F1" t="s">
        <v>37</v>
      </c>
      <c r="G1" t="s">
        <v>39</v>
      </c>
      <c r="H1" t="s">
        <v>40</v>
      </c>
      <c r="I1" t="s">
        <v>4</v>
      </c>
      <c r="J1" t="s">
        <v>2</v>
      </c>
      <c r="K1" t="s">
        <v>17</v>
      </c>
      <c r="L1" t="s">
        <v>5</v>
      </c>
      <c r="M1" t="s">
        <v>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theme="5" tint="-0.499984740745262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4"/>
  </sheetPr>
  <dimension ref="B13:J43"/>
  <sheetViews>
    <sheetView rightToLeft="1" topLeftCell="A15" workbookViewId="0"/>
  </sheetViews>
  <sheetFormatPr defaultRowHeight="15" x14ac:dyDescent="0.25"/>
  <cols>
    <col min="7" max="7" width="11.28515625" bestFit="1" customWidth="1"/>
  </cols>
  <sheetData>
    <row r="13" spans="2:2" x14ac:dyDescent="0.25">
      <c r="B13" t="s">
        <v>62</v>
      </c>
    </row>
    <row r="14" spans="2:2" x14ac:dyDescent="0.25">
      <c r="B14" t="s">
        <v>61</v>
      </c>
    </row>
    <row r="15" spans="2:2" x14ac:dyDescent="0.25">
      <c r="B15" t="s">
        <v>63</v>
      </c>
    </row>
    <row r="20" spans="2:10" x14ac:dyDescent="0.25">
      <c r="B20" t="s">
        <v>64</v>
      </c>
    </row>
    <row r="21" spans="2:10" x14ac:dyDescent="0.25">
      <c r="B21" t="s">
        <v>65</v>
      </c>
    </row>
    <row r="22" spans="2:10" x14ac:dyDescent="0.25">
      <c r="B22" t="s">
        <v>66</v>
      </c>
    </row>
    <row r="24" spans="2:10" x14ac:dyDescent="0.25">
      <c r="B24" t="s">
        <v>67</v>
      </c>
    </row>
    <row r="25" spans="2:10" x14ac:dyDescent="0.25">
      <c r="B25" t="s">
        <v>68</v>
      </c>
    </row>
    <row r="28" spans="2:10" x14ac:dyDescent="0.25">
      <c r="B28" t="s">
        <v>69</v>
      </c>
      <c r="J28" t="s">
        <v>83</v>
      </c>
    </row>
    <row r="29" spans="2:10" x14ac:dyDescent="0.25">
      <c r="J29" t="s">
        <v>84</v>
      </c>
    </row>
    <row r="31" spans="2:10" x14ac:dyDescent="0.25">
      <c r="B31" t="s">
        <v>70</v>
      </c>
    </row>
    <row r="32" spans="2:10" x14ac:dyDescent="0.25">
      <c r="B32" t="s">
        <v>71</v>
      </c>
    </row>
    <row r="33" spans="2:7" x14ac:dyDescent="0.25">
      <c r="B33" t="s">
        <v>72</v>
      </c>
    </row>
    <row r="34" spans="2:7" x14ac:dyDescent="0.25">
      <c r="B34" t="s">
        <v>73</v>
      </c>
    </row>
    <row r="35" spans="2:7" x14ac:dyDescent="0.25">
      <c r="B35" t="s">
        <v>74</v>
      </c>
    </row>
    <row r="36" spans="2:7" x14ac:dyDescent="0.25">
      <c r="G36" t="s">
        <v>80</v>
      </c>
    </row>
    <row r="37" spans="2:7" x14ac:dyDescent="0.25">
      <c r="B37" t="s">
        <v>75</v>
      </c>
      <c r="G37" t="s">
        <v>81</v>
      </c>
    </row>
    <row r="38" spans="2:7" x14ac:dyDescent="0.25">
      <c r="B38" t="s">
        <v>76</v>
      </c>
      <c r="G38" s="3">
        <v>323423423</v>
      </c>
    </row>
    <row r="39" spans="2:7" x14ac:dyDescent="0.25">
      <c r="B39" t="s">
        <v>77</v>
      </c>
    </row>
    <row r="40" spans="2:7" x14ac:dyDescent="0.25">
      <c r="B40" t="s">
        <v>78</v>
      </c>
      <c r="G40" t="s">
        <v>82</v>
      </c>
    </row>
    <row r="41" spans="2:7" x14ac:dyDescent="0.25">
      <c r="B41" t="s">
        <v>79</v>
      </c>
    </row>
    <row r="42" spans="2:7" x14ac:dyDescent="0.25">
      <c r="B42" t="s">
        <v>73</v>
      </c>
    </row>
    <row r="43" spans="2:7" x14ac:dyDescent="0.25">
      <c r="B43" t="s">
        <v>74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>
    <tabColor theme="4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>
    <tabColor theme="4"/>
  </sheetPr>
  <dimension ref="A1"/>
  <sheetViews>
    <sheetView rightToLeft="1" workbookViewId="0"/>
  </sheetViews>
  <sheetFormatPr defaultRowHeight="15" x14ac:dyDescent="0.25"/>
  <sheetData>
    <row r="1" spans="1:1" x14ac:dyDescent="0.25">
      <c r="A1" t="s">
        <v>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>
    <tabColor theme="4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>
    <tabColor theme="9"/>
  </sheetPr>
  <dimension ref="A1:W15"/>
  <sheetViews>
    <sheetView rightToLeft="1" workbookViewId="0">
      <pane ySplit="2" topLeftCell="A3" activePane="bottomLeft" state="frozen"/>
      <selection pane="bottomLeft" activeCell="B8" sqref="B8"/>
    </sheetView>
  </sheetViews>
  <sheetFormatPr defaultRowHeight="15" x14ac:dyDescent="0.25"/>
  <cols>
    <col min="1" max="1" width="19.28515625" customWidth="1"/>
    <col min="2" max="2" width="24.28515625" customWidth="1"/>
    <col min="3" max="3" width="2.85546875" style="43" customWidth="1"/>
    <col min="4" max="4" width="35.85546875" customWidth="1"/>
    <col min="5" max="5" width="0.7109375" style="43" customWidth="1"/>
    <col min="6" max="6" width="36.5703125" customWidth="1"/>
    <col min="7" max="7" width="0.5703125" style="43" customWidth="1"/>
    <col min="8" max="8" width="17.28515625" customWidth="1"/>
    <col min="9" max="9" width="0.7109375" style="43" customWidth="1"/>
    <col min="10" max="10" width="22.85546875" customWidth="1"/>
    <col min="11" max="11" width="0.7109375" style="43" customWidth="1"/>
    <col min="12" max="12" width="36.5703125" customWidth="1"/>
    <col min="13" max="13" width="0.7109375" style="43" customWidth="1"/>
    <col min="14" max="14" width="36.5703125" customWidth="1"/>
    <col min="15" max="15" width="0.7109375" style="43" customWidth="1"/>
    <col min="16" max="16" width="36.5703125" customWidth="1"/>
    <col min="17" max="17" width="0.7109375" style="43" customWidth="1"/>
    <col min="18" max="25" width="36.5703125" customWidth="1"/>
  </cols>
  <sheetData>
    <row r="1" spans="1:23" ht="18.75" x14ac:dyDescent="0.25">
      <c r="A1" s="11" t="s">
        <v>8</v>
      </c>
      <c r="B1" s="37" t="s">
        <v>120</v>
      </c>
      <c r="C1" s="76"/>
      <c r="D1" s="43"/>
      <c r="F1" s="43"/>
      <c r="H1" s="43"/>
      <c r="J1" s="43"/>
      <c r="L1" s="43"/>
      <c r="N1" s="43"/>
      <c r="P1" s="43"/>
      <c r="R1" s="43"/>
      <c r="S1" s="43"/>
      <c r="T1" s="43"/>
      <c r="U1" s="43"/>
      <c r="V1" s="43"/>
      <c r="W1" s="43"/>
    </row>
    <row r="2" spans="1:23" s="43" customFormat="1" ht="3.75" customHeight="1" x14ac:dyDescent="0.25"/>
    <row r="3" spans="1:23" ht="15.75" x14ac:dyDescent="0.25">
      <c r="A3" s="119" t="s">
        <v>167</v>
      </c>
      <c r="B3" s="119"/>
      <c r="D3" s="43"/>
      <c r="F3" s="43"/>
      <c r="H3" s="43"/>
      <c r="J3" s="43"/>
      <c r="L3" s="43"/>
      <c r="N3" s="43"/>
      <c r="P3" s="74"/>
      <c r="Q3" s="74"/>
      <c r="R3" s="43"/>
      <c r="S3" s="43"/>
      <c r="T3" s="43"/>
      <c r="U3" s="43"/>
      <c r="V3" s="43"/>
      <c r="W3" s="43"/>
    </row>
    <row r="4" spans="1:23" ht="15.75" customHeight="1" x14ac:dyDescent="0.25">
      <c r="A4" s="46" t="s">
        <v>166</v>
      </c>
      <c r="B4" s="46" t="s">
        <v>178</v>
      </c>
      <c r="D4" s="43"/>
      <c r="F4" s="43"/>
      <c r="H4" s="43"/>
      <c r="J4" s="43"/>
      <c r="L4" s="43"/>
      <c r="N4" s="43"/>
      <c r="P4" s="74"/>
      <c r="Q4" s="74"/>
      <c r="R4" s="43"/>
      <c r="S4" s="43"/>
      <c r="T4" s="43"/>
      <c r="U4" s="43"/>
      <c r="V4" s="43"/>
      <c r="W4" s="43"/>
    </row>
    <row r="5" spans="1:23" ht="15.75" x14ac:dyDescent="0.25">
      <c r="A5" s="45">
        <v>1</v>
      </c>
      <c r="B5" s="45" t="s">
        <v>317</v>
      </c>
      <c r="D5" s="97" t="s">
        <v>317</v>
      </c>
      <c r="F5" s="97" t="s">
        <v>168</v>
      </c>
      <c r="G5" s="74"/>
      <c r="H5" s="97" t="s">
        <v>170</v>
      </c>
      <c r="I5" s="74"/>
      <c r="J5" s="97" t="s">
        <v>172</v>
      </c>
      <c r="K5" s="74"/>
      <c r="L5" s="97" t="s">
        <v>174</v>
      </c>
      <c r="N5" s="97" t="s">
        <v>175</v>
      </c>
      <c r="O5" s="74"/>
      <c r="P5" s="97" t="s">
        <v>173</v>
      </c>
      <c r="Q5" s="74"/>
      <c r="R5" s="98" t="s">
        <v>327</v>
      </c>
    </row>
    <row r="6" spans="1:23" ht="15.75" x14ac:dyDescent="0.25">
      <c r="A6" s="45">
        <v>2</v>
      </c>
      <c r="B6" s="95" t="s">
        <v>168</v>
      </c>
      <c r="D6" s="97" t="s">
        <v>328</v>
      </c>
      <c r="F6" s="97" t="s">
        <v>169</v>
      </c>
      <c r="G6" s="74"/>
      <c r="H6" s="97" t="s">
        <v>171</v>
      </c>
      <c r="I6" s="74"/>
      <c r="J6" s="97" t="s">
        <v>329</v>
      </c>
      <c r="K6" s="74"/>
      <c r="L6" s="97" t="s">
        <v>328</v>
      </c>
      <c r="M6" s="74"/>
      <c r="N6" s="97" t="s">
        <v>163</v>
      </c>
      <c r="O6" s="74"/>
      <c r="P6" s="97" t="s">
        <v>330</v>
      </c>
      <c r="Q6" s="74"/>
      <c r="R6" s="96" t="s">
        <v>325</v>
      </c>
    </row>
    <row r="7" spans="1:23" ht="15.75" x14ac:dyDescent="0.25">
      <c r="A7" s="45">
        <v>3</v>
      </c>
      <c r="B7" s="45" t="s">
        <v>321</v>
      </c>
      <c r="F7" s="73"/>
      <c r="G7" s="74"/>
      <c r="H7" s="73"/>
      <c r="I7" s="74"/>
      <c r="J7" s="73"/>
      <c r="K7" s="74"/>
      <c r="L7" s="97" t="s">
        <v>322</v>
      </c>
      <c r="M7" s="74"/>
      <c r="N7" s="73"/>
      <c r="O7" s="74"/>
      <c r="P7" s="73"/>
      <c r="Q7" s="74"/>
    </row>
    <row r="8" spans="1:23" ht="15.75" x14ac:dyDescent="0.25">
      <c r="A8" s="45">
        <v>4</v>
      </c>
      <c r="B8" s="45" t="s">
        <v>318</v>
      </c>
      <c r="F8" s="73"/>
      <c r="G8" s="74"/>
      <c r="H8" s="73"/>
      <c r="I8" s="74"/>
      <c r="J8" s="73"/>
      <c r="K8" s="74"/>
      <c r="L8" s="97" t="s">
        <v>323</v>
      </c>
      <c r="M8" s="74"/>
      <c r="N8" s="73"/>
      <c r="O8" s="74"/>
      <c r="P8" s="73"/>
      <c r="Q8" s="74"/>
    </row>
    <row r="9" spans="1:23" ht="15.75" x14ac:dyDescent="0.25">
      <c r="A9" s="45">
        <v>5</v>
      </c>
      <c r="B9" s="45" t="s">
        <v>324</v>
      </c>
      <c r="H9" s="73"/>
      <c r="I9" s="74"/>
      <c r="J9" s="73"/>
      <c r="K9" s="74"/>
      <c r="L9" s="73"/>
      <c r="M9" s="74"/>
      <c r="N9" s="73"/>
      <c r="O9" s="74"/>
    </row>
    <row r="10" spans="1:23" ht="15.75" x14ac:dyDescent="0.25">
      <c r="A10" s="45">
        <v>6</v>
      </c>
      <c r="B10" s="45" t="s">
        <v>319</v>
      </c>
      <c r="L10" s="73"/>
    </row>
    <row r="11" spans="1:23" ht="15.75" x14ac:dyDescent="0.25">
      <c r="A11" s="45">
        <v>7</v>
      </c>
      <c r="B11" s="45" t="s">
        <v>320</v>
      </c>
      <c r="L11" s="73"/>
    </row>
    <row r="12" spans="1:23" ht="15.75" x14ac:dyDescent="0.25">
      <c r="A12" s="45">
        <v>8</v>
      </c>
      <c r="B12" s="45" t="s">
        <v>326</v>
      </c>
    </row>
    <row r="13" spans="1:23" ht="15.75" x14ac:dyDescent="0.25">
      <c r="A13" s="45"/>
      <c r="B13" s="45"/>
    </row>
    <row r="14" spans="1:23" ht="15.75" x14ac:dyDescent="0.25">
      <c r="A14" s="45"/>
      <c r="B14" s="45"/>
    </row>
    <row r="15" spans="1:23" ht="15.75" x14ac:dyDescent="0.25">
      <c r="A15" s="45"/>
      <c r="B15" s="45"/>
    </row>
  </sheetData>
  <mergeCells count="1">
    <mergeCell ref="A3:B3"/>
  </mergeCells>
  <hyperlinks>
    <hyperlink ref="A1" location="فهرست!A1" display="فهرست"/>
    <hyperlink ref="B1" location="تراکنش‌ها!A1" display="تراکنش‌ها"/>
  </hyperlinks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>
    <tabColor theme="9"/>
  </sheetPr>
  <dimension ref="A1:B4"/>
  <sheetViews>
    <sheetView rightToLeft="1" workbookViewId="0">
      <selection activeCell="B4" sqref="B4"/>
    </sheetView>
  </sheetViews>
  <sheetFormatPr defaultRowHeight="15" x14ac:dyDescent="0.25"/>
  <sheetData>
    <row r="1" spans="1:2" x14ac:dyDescent="0.25">
      <c r="A1" t="s">
        <v>12</v>
      </c>
    </row>
    <row r="4" spans="1:2" x14ac:dyDescent="0.25">
      <c r="B4" t="s">
        <v>148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>
    <tabColor theme="5"/>
  </sheetPr>
  <dimension ref="A1:BC29"/>
  <sheetViews>
    <sheetView rightToLeft="1" topLeftCell="AC2" workbookViewId="0">
      <pane ySplit="2" topLeftCell="A4" activePane="bottomLeft" state="frozen"/>
      <selection activeCell="A2" sqref="A2"/>
      <selection pane="bottomLeft" activeCell="AX6" sqref="AX6"/>
    </sheetView>
  </sheetViews>
  <sheetFormatPr defaultRowHeight="15" x14ac:dyDescent="0.25"/>
  <cols>
    <col min="1" max="1" width="18.28515625" customWidth="1"/>
    <col min="2" max="2" width="36.5703125" customWidth="1"/>
    <col min="3" max="3" width="3" style="43" customWidth="1"/>
    <col min="4" max="4" width="17.140625" customWidth="1"/>
    <col min="5" max="5" width="0.7109375" style="90" customWidth="1"/>
    <col min="6" max="6" width="21.42578125" customWidth="1"/>
    <col min="7" max="7" width="0.7109375" style="90" customWidth="1"/>
    <col min="8" max="8" width="15.7109375" customWidth="1"/>
    <col min="9" max="9" width="0.7109375" style="90" customWidth="1"/>
    <col min="10" max="10" width="20.7109375" customWidth="1"/>
    <col min="11" max="11" width="0.7109375" style="90" customWidth="1"/>
    <col min="12" max="12" width="21.42578125" customWidth="1"/>
    <col min="13" max="13" width="0.7109375" style="90" customWidth="1"/>
    <col min="14" max="14" width="14.28515625" customWidth="1"/>
    <col min="15" max="15" width="0.7109375" style="90" customWidth="1"/>
    <col min="16" max="16" width="18.85546875" customWidth="1"/>
    <col min="17" max="17" width="0.7109375" style="90" customWidth="1"/>
    <col min="18" max="18" width="17.140625" customWidth="1"/>
    <col min="19" max="19" width="0.7109375" style="90" customWidth="1"/>
    <col min="20" max="20" width="17.140625" customWidth="1"/>
    <col min="21" max="21" width="0.7109375" style="90" customWidth="1"/>
    <col min="22" max="22" width="30.7109375" customWidth="1"/>
    <col min="23" max="23" width="0.7109375" style="90" customWidth="1"/>
    <col min="24" max="24" width="22.85546875" customWidth="1"/>
    <col min="25" max="25" width="0.7109375" style="90" customWidth="1"/>
    <col min="26" max="26" width="17.140625" customWidth="1"/>
    <col min="27" max="27" width="0.7109375" style="90" customWidth="1"/>
    <col min="28" max="28" width="22.85546875" customWidth="1"/>
    <col min="29" max="29" width="0.7109375" style="90" customWidth="1"/>
    <col min="30" max="30" width="17.140625" customWidth="1"/>
    <col min="31" max="31" width="0.7109375" style="43" customWidth="1"/>
    <col min="32" max="32" width="22.85546875" customWidth="1"/>
    <col min="33" max="33" width="0.7109375" style="43" customWidth="1"/>
    <col min="34" max="34" width="22.85546875" customWidth="1"/>
    <col min="35" max="35" width="0.7109375" style="43" customWidth="1"/>
    <col min="36" max="36" width="17.140625" customWidth="1"/>
    <col min="37" max="37" width="0.7109375" style="43" customWidth="1"/>
    <col min="38" max="38" width="22.85546875" customWidth="1"/>
    <col min="39" max="39" width="0.7109375" style="43" customWidth="1"/>
    <col min="40" max="40" width="21.42578125" customWidth="1"/>
    <col min="41" max="41" width="0.7109375" style="43" customWidth="1"/>
    <col min="42" max="42" width="17.140625" customWidth="1"/>
    <col min="43" max="43" width="0.7109375" style="43" customWidth="1"/>
    <col min="44" max="44" width="18.85546875" customWidth="1"/>
    <col min="45" max="45" width="0.7109375" style="43" customWidth="1"/>
    <col min="46" max="46" width="17.140625" customWidth="1"/>
    <col min="47" max="47" width="0.7109375" style="43" customWidth="1"/>
    <col min="48" max="48" width="17.140625" customWidth="1"/>
    <col min="49" max="49" width="0.7109375" style="43" customWidth="1"/>
    <col min="50" max="50" width="19.5703125" customWidth="1"/>
  </cols>
  <sheetData>
    <row r="1" spans="1:55" ht="18.75" hidden="1" customHeight="1" x14ac:dyDescent="0.25">
      <c r="A1" s="11" t="s">
        <v>8</v>
      </c>
      <c r="B1" s="37" t="s">
        <v>120</v>
      </c>
      <c r="C1" s="75"/>
      <c r="D1" s="90"/>
      <c r="F1" s="43"/>
      <c r="H1" s="43"/>
      <c r="J1" s="43"/>
      <c r="L1" s="43"/>
      <c r="N1" s="90"/>
      <c r="P1" s="90"/>
      <c r="R1" s="90"/>
      <c r="T1" s="43"/>
      <c r="V1" s="43"/>
      <c r="X1" s="43"/>
      <c r="Z1" s="43"/>
      <c r="AB1" s="43"/>
      <c r="AD1" s="43"/>
      <c r="AF1" s="43"/>
      <c r="AH1" s="43"/>
      <c r="AJ1" s="43"/>
      <c r="AL1" s="43"/>
      <c r="AN1" s="43"/>
      <c r="AP1" s="43"/>
      <c r="AR1" s="43"/>
      <c r="AT1" s="43"/>
      <c r="AV1" s="43"/>
      <c r="AX1" s="43"/>
      <c r="AY1" s="43"/>
      <c r="AZ1" s="43"/>
      <c r="BA1" s="43"/>
      <c r="BB1" s="43"/>
      <c r="BC1" s="43"/>
    </row>
    <row r="2" spans="1:55" ht="18.75" customHeight="1" x14ac:dyDescent="0.25">
      <c r="A2" s="11" t="s">
        <v>8</v>
      </c>
      <c r="B2" s="37" t="s">
        <v>120</v>
      </c>
      <c r="C2" s="75"/>
      <c r="D2" s="90"/>
      <c r="F2" s="43"/>
      <c r="H2" s="43"/>
      <c r="J2" s="43"/>
      <c r="L2" s="43"/>
      <c r="N2" s="90"/>
      <c r="P2" s="90"/>
      <c r="R2" s="90"/>
      <c r="T2" s="43"/>
      <c r="V2" s="43"/>
      <c r="X2" s="43"/>
      <c r="Z2" s="43"/>
      <c r="AB2" s="43"/>
      <c r="AD2" s="43"/>
      <c r="AF2" s="43"/>
      <c r="AH2" s="43"/>
      <c r="AJ2" s="43"/>
      <c r="AL2" s="43"/>
      <c r="AN2" s="43"/>
      <c r="AP2" s="43"/>
      <c r="AR2" s="43"/>
      <c r="AT2" s="43"/>
      <c r="AV2" s="43"/>
      <c r="AX2" s="43"/>
      <c r="AY2" s="43"/>
      <c r="AZ2" s="43"/>
      <c r="BA2" s="43"/>
      <c r="BB2" s="43"/>
      <c r="BC2" s="43"/>
    </row>
    <row r="3" spans="1:55" s="43" customFormat="1" ht="3.75" customHeight="1" x14ac:dyDescent="0.25">
      <c r="D3" s="90"/>
      <c r="E3" s="90"/>
      <c r="G3" s="90"/>
      <c r="I3" s="90"/>
      <c r="K3" s="90"/>
      <c r="M3" s="90"/>
      <c r="N3" s="90"/>
      <c r="O3" s="90"/>
      <c r="P3" s="90"/>
      <c r="Q3" s="90"/>
      <c r="R3" s="90"/>
      <c r="S3" s="90"/>
      <c r="U3" s="90"/>
      <c r="W3" s="90"/>
      <c r="Y3" s="90"/>
      <c r="AA3" s="90"/>
      <c r="AC3" s="90"/>
    </row>
    <row r="4" spans="1:55" ht="15.75" x14ac:dyDescent="0.25">
      <c r="A4" s="120" t="s">
        <v>176</v>
      </c>
      <c r="B4" s="120"/>
      <c r="D4" s="45" t="s">
        <v>194</v>
      </c>
      <c r="E4" s="91"/>
      <c r="F4" s="45" t="s">
        <v>199</v>
      </c>
      <c r="G4" s="91"/>
      <c r="H4" s="45" t="s">
        <v>192</v>
      </c>
      <c r="I4" s="91"/>
      <c r="J4" s="45" t="s">
        <v>182</v>
      </c>
      <c r="K4" s="91"/>
      <c r="L4" s="45" t="s">
        <v>181</v>
      </c>
      <c r="M4" s="91"/>
      <c r="N4" s="45" t="s">
        <v>183</v>
      </c>
      <c r="O4" s="91"/>
      <c r="P4" s="45" t="s">
        <v>187</v>
      </c>
      <c r="Q4" s="91"/>
      <c r="R4" s="45" t="s">
        <v>193</v>
      </c>
      <c r="S4" s="91"/>
      <c r="T4" s="45" t="s">
        <v>209</v>
      </c>
      <c r="U4" s="91"/>
      <c r="V4" s="45" t="s">
        <v>191</v>
      </c>
      <c r="W4" s="91"/>
      <c r="X4" s="45" t="s">
        <v>271</v>
      </c>
      <c r="Y4" s="91"/>
      <c r="Z4" s="45" t="s">
        <v>195</v>
      </c>
      <c r="AA4" s="91"/>
      <c r="AB4" s="45" t="s">
        <v>213</v>
      </c>
      <c r="AC4" s="91"/>
      <c r="AD4" s="45" t="s">
        <v>281</v>
      </c>
      <c r="AE4" s="92"/>
      <c r="AF4" s="45" t="s">
        <v>284</v>
      </c>
      <c r="AG4" s="92"/>
      <c r="AH4" s="45" t="s">
        <v>286</v>
      </c>
      <c r="AI4" s="92"/>
      <c r="AJ4" s="45" t="s">
        <v>185</v>
      </c>
      <c r="AK4" s="92"/>
      <c r="AL4" s="45" t="s">
        <v>235</v>
      </c>
      <c r="AM4" s="92"/>
      <c r="AN4" s="45" t="s">
        <v>249</v>
      </c>
      <c r="AO4" s="92"/>
      <c r="AP4" s="45" t="s">
        <v>184</v>
      </c>
      <c r="AQ4" s="92"/>
      <c r="AR4" s="45" t="s">
        <v>287</v>
      </c>
      <c r="AS4" s="92"/>
      <c r="AT4" s="45" t="s">
        <v>254</v>
      </c>
      <c r="AU4" s="92"/>
      <c r="AV4" s="45" t="s">
        <v>186</v>
      </c>
      <c r="AW4" s="74"/>
      <c r="AX4" s="73" t="s">
        <v>180</v>
      </c>
      <c r="AY4" s="73"/>
      <c r="AZ4" s="73"/>
      <c r="BA4" s="73"/>
    </row>
    <row r="5" spans="1:55" ht="15.75" x14ac:dyDescent="0.25">
      <c r="A5" s="45" t="s">
        <v>177</v>
      </c>
      <c r="B5" s="45" t="s">
        <v>179</v>
      </c>
      <c r="D5" s="45" t="s">
        <v>274</v>
      </c>
      <c r="E5" s="91"/>
      <c r="F5" s="45" t="s">
        <v>204</v>
      </c>
      <c r="G5" s="91"/>
      <c r="H5" s="45" t="s">
        <v>223</v>
      </c>
      <c r="I5" s="91"/>
      <c r="J5" s="45" t="s">
        <v>228</v>
      </c>
      <c r="K5" s="91"/>
      <c r="L5" s="45" t="s">
        <v>232</v>
      </c>
      <c r="M5" s="91"/>
      <c r="N5" s="45" t="s">
        <v>210</v>
      </c>
      <c r="O5" s="91"/>
      <c r="P5" s="45" t="s">
        <v>277</v>
      </c>
      <c r="Q5" s="91"/>
      <c r="R5" s="45" t="s">
        <v>245</v>
      </c>
      <c r="S5" s="91"/>
      <c r="T5" s="45" t="s">
        <v>214</v>
      </c>
      <c r="U5" s="91"/>
      <c r="V5" s="45" t="s">
        <v>219</v>
      </c>
      <c r="W5" s="91"/>
      <c r="X5" s="45" t="s">
        <v>278</v>
      </c>
      <c r="Y5" s="91"/>
      <c r="Z5" s="45" t="s">
        <v>279</v>
      </c>
      <c r="AA5" s="91"/>
      <c r="AB5" s="45" t="s">
        <v>276</v>
      </c>
      <c r="AC5" s="91"/>
      <c r="AD5" s="45" t="s">
        <v>290</v>
      </c>
      <c r="AE5" s="92"/>
      <c r="AF5" s="45" t="s">
        <v>285</v>
      </c>
      <c r="AG5" s="92"/>
      <c r="AH5" s="45" t="s">
        <v>313</v>
      </c>
      <c r="AI5" s="92"/>
      <c r="AJ5" s="45" t="s">
        <v>263</v>
      </c>
      <c r="AK5" s="92"/>
      <c r="AL5" s="45" t="s">
        <v>261</v>
      </c>
      <c r="AM5" s="92"/>
      <c r="AN5" s="45" t="s">
        <v>251</v>
      </c>
      <c r="AO5" s="92"/>
      <c r="AP5" s="45" t="s">
        <v>209</v>
      </c>
      <c r="AQ5" s="92"/>
      <c r="AR5" s="45" t="s">
        <v>288</v>
      </c>
      <c r="AS5" s="92"/>
      <c r="AT5" s="45" t="s">
        <v>256</v>
      </c>
      <c r="AU5" s="92"/>
      <c r="AV5" s="45" t="s">
        <v>266</v>
      </c>
      <c r="AW5" s="74"/>
      <c r="AX5" s="73" t="s">
        <v>309</v>
      </c>
      <c r="AY5" s="73"/>
      <c r="AZ5" s="73"/>
      <c r="BA5" s="73"/>
    </row>
    <row r="6" spans="1:55" ht="15.75" x14ac:dyDescent="0.25">
      <c r="A6" s="45">
        <v>1</v>
      </c>
      <c r="B6" s="88" t="s">
        <v>194</v>
      </c>
      <c r="D6" s="45" t="s">
        <v>275</v>
      </c>
      <c r="E6" s="91"/>
      <c r="F6" s="45" t="s">
        <v>203</v>
      </c>
      <c r="G6" s="91"/>
      <c r="H6" s="45" t="s">
        <v>224</v>
      </c>
      <c r="I6" s="91"/>
      <c r="J6" s="45" t="s">
        <v>231</v>
      </c>
      <c r="K6" s="91"/>
      <c r="L6" s="45" t="s">
        <v>233</v>
      </c>
      <c r="M6" s="91"/>
      <c r="N6" s="45" t="s">
        <v>209</v>
      </c>
      <c r="O6" s="91"/>
      <c r="P6" s="45" t="s">
        <v>163</v>
      </c>
      <c r="Q6" s="91"/>
      <c r="R6" s="45" t="s">
        <v>246</v>
      </c>
      <c r="S6" s="91"/>
      <c r="T6" s="45" t="s">
        <v>218</v>
      </c>
      <c r="U6" s="91"/>
      <c r="V6" s="45" t="s">
        <v>220</v>
      </c>
      <c r="W6" s="91"/>
      <c r="X6" s="45" t="s">
        <v>163</v>
      </c>
      <c r="Y6" s="91"/>
      <c r="Z6" s="45" t="s">
        <v>280</v>
      </c>
      <c r="AA6" s="91"/>
      <c r="AB6" s="45" t="s">
        <v>241</v>
      </c>
      <c r="AC6" s="91"/>
      <c r="AD6" s="45" t="s">
        <v>289</v>
      </c>
      <c r="AE6" s="92"/>
      <c r="AF6" s="45" t="s">
        <v>312</v>
      </c>
      <c r="AG6" s="92"/>
      <c r="AH6" s="45" t="s">
        <v>328</v>
      </c>
      <c r="AI6" s="92"/>
      <c r="AJ6" s="45" t="s">
        <v>262</v>
      </c>
      <c r="AK6" s="92"/>
      <c r="AL6" s="45" t="s">
        <v>236</v>
      </c>
      <c r="AM6" s="92"/>
      <c r="AN6" s="45" t="s">
        <v>250</v>
      </c>
      <c r="AO6" s="92"/>
      <c r="AP6" s="45" t="s">
        <v>258</v>
      </c>
      <c r="AQ6" s="92"/>
      <c r="AR6" s="45" t="s">
        <v>314</v>
      </c>
      <c r="AS6" s="92"/>
      <c r="AT6" s="45" t="s">
        <v>255</v>
      </c>
      <c r="AU6" s="92"/>
      <c r="AV6" s="45" t="s">
        <v>267</v>
      </c>
      <c r="AW6" s="74"/>
      <c r="AX6" s="73" t="s">
        <v>308</v>
      </c>
      <c r="AY6" s="73"/>
      <c r="AZ6" s="73"/>
      <c r="BA6" s="73"/>
    </row>
    <row r="7" spans="1:55" ht="15.75" x14ac:dyDescent="0.25">
      <c r="A7" s="45">
        <v>2</v>
      </c>
      <c r="B7" s="89" t="s">
        <v>293</v>
      </c>
      <c r="D7" s="45" t="s">
        <v>272</v>
      </c>
      <c r="E7" s="91"/>
      <c r="F7" s="45" t="s">
        <v>202</v>
      </c>
      <c r="G7" s="91"/>
      <c r="H7" s="45" t="s">
        <v>225</v>
      </c>
      <c r="I7" s="91"/>
      <c r="J7" s="45" t="s">
        <v>229</v>
      </c>
      <c r="K7" s="91"/>
      <c r="L7" s="45"/>
      <c r="M7" s="91"/>
      <c r="N7" s="45" t="s">
        <v>211</v>
      </c>
      <c r="O7" s="91"/>
      <c r="P7" s="45"/>
      <c r="Q7" s="91"/>
      <c r="R7" s="45" t="s">
        <v>247</v>
      </c>
      <c r="S7" s="91"/>
      <c r="T7" s="45" t="s">
        <v>215</v>
      </c>
      <c r="U7" s="91"/>
      <c r="V7" s="45" t="s">
        <v>221</v>
      </c>
      <c r="W7" s="91"/>
      <c r="X7" s="45"/>
      <c r="Y7" s="91"/>
      <c r="Z7" s="45"/>
      <c r="AA7" s="91"/>
      <c r="AB7" s="45"/>
      <c r="AC7" s="91"/>
      <c r="AD7" s="45" t="s">
        <v>282</v>
      </c>
      <c r="AE7" s="92"/>
      <c r="AF7" s="45"/>
      <c r="AG7" s="92"/>
      <c r="AH7" s="45"/>
      <c r="AI7" s="92"/>
      <c r="AJ7" s="45"/>
      <c r="AK7" s="92"/>
      <c r="AL7" s="45" t="s">
        <v>237</v>
      </c>
      <c r="AM7" s="92"/>
      <c r="AN7" s="45" t="s">
        <v>252</v>
      </c>
      <c r="AO7" s="92"/>
      <c r="AP7" s="45" t="s">
        <v>259</v>
      </c>
      <c r="AQ7" s="92"/>
      <c r="AR7" s="45"/>
      <c r="AS7" s="92"/>
      <c r="AT7" s="45" t="s">
        <v>257</v>
      </c>
      <c r="AU7" s="92"/>
      <c r="AV7" s="45" t="s">
        <v>268</v>
      </c>
      <c r="AW7" s="74"/>
      <c r="AX7" s="73" t="s">
        <v>310</v>
      </c>
      <c r="AY7" s="73"/>
      <c r="AZ7" s="73"/>
      <c r="BA7" s="73"/>
    </row>
    <row r="8" spans="1:55" ht="15.75" x14ac:dyDescent="0.25">
      <c r="A8" s="45">
        <v>3</v>
      </c>
      <c r="B8" s="89" t="s">
        <v>294</v>
      </c>
      <c r="D8" s="45" t="s">
        <v>273</v>
      </c>
      <c r="E8" s="91"/>
      <c r="F8" s="45" t="s">
        <v>200</v>
      </c>
      <c r="G8" s="91"/>
      <c r="H8" s="45" t="s">
        <v>226</v>
      </c>
      <c r="I8" s="91"/>
      <c r="J8" s="45" t="s">
        <v>234</v>
      </c>
      <c r="K8" s="91"/>
      <c r="L8" s="45"/>
      <c r="M8" s="91"/>
      <c r="N8" s="45" t="s">
        <v>212</v>
      </c>
      <c r="O8" s="91"/>
      <c r="P8" s="45"/>
      <c r="Q8" s="91"/>
      <c r="R8" s="45" t="s">
        <v>248</v>
      </c>
      <c r="S8" s="91"/>
      <c r="T8" s="45" t="s">
        <v>216</v>
      </c>
      <c r="U8" s="91"/>
      <c r="V8" s="45" t="s">
        <v>222</v>
      </c>
      <c r="W8" s="91"/>
      <c r="X8" s="45"/>
      <c r="Y8" s="91"/>
      <c r="Z8" s="45"/>
      <c r="AA8" s="91"/>
      <c r="AB8" s="45"/>
      <c r="AC8" s="91"/>
      <c r="AD8" s="45" t="s">
        <v>283</v>
      </c>
      <c r="AE8" s="92"/>
      <c r="AF8" s="45"/>
      <c r="AG8" s="92"/>
      <c r="AH8" s="45"/>
      <c r="AI8" s="92"/>
      <c r="AJ8" s="45"/>
      <c r="AK8" s="92"/>
      <c r="AL8" s="45" t="s">
        <v>238</v>
      </c>
      <c r="AM8" s="92"/>
      <c r="AN8" s="45" t="s">
        <v>253</v>
      </c>
      <c r="AO8" s="92"/>
      <c r="AP8" s="45" t="s">
        <v>260</v>
      </c>
      <c r="AQ8" s="92"/>
      <c r="AR8" s="45"/>
      <c r="AS8" s="92"/>
      <c r="AT8" s="45"/>
      <c r="AU8" s="92"/>
      <c r="AV8" s="45" t="s">
        <v>264</v>
      </c>
      <c r="AW8" s="74"/>
      <c r="AX8" s="73"/>
      <c r="AY8" s="73"/>
      <c r="AZ8" s="73"/>
      <c r="BA8" s="73"/>
    </row>
    <row r="9" spans="1:55" ht="15.75" x14ac:dyDescent="0.25">
      <c r="A9" s="45">
        <v>4</v>
      </c>
      <c r="B9" s="88" t="s">
        <v>295</v>
      </c>
      <c r="D9" s="45"/>
      <c r="E9" s="91"/>
      <c r="F9" s="45" t="s">
        <v>201</v>
      </c>
      <c r="G9" s="91"/>
      <c r="H9" s="45" t="s">
        <v>227</v>
      </c>
      <c r="I9" s="91"/>
      <c r="J9" s="45" t="s">
        <v>230</v>
      </c>
      <c r="K9" s="91"/>
      <c r="L9" s="45"/>
      <c r="M9" s="91"/>
      <c r="N9" s="45"/>
      <c r="O9" s="91"/>
      <c r="P9" s="45"/>
      <c r="Q9" s="91"/>
      <c r="R9" s="45"/>
      <c r="S9" s="91"/>
      <c r="T9" s="45" t="s">
        <v>217</v>
      </c>
      <c r="U9" s="91"/>
      <c r="V9" s="45"/>
      <c r="W9" s="91"/>
      <c r="X9" s="45"/>
      <c r="Y9" s="91"/>
      <c r="Z9" s="45"/>
      <c r="AA9" s="91"/>
      <c r="AB9" s="45"/>
      <c r="AC9" s="91"/>
      <c r="AD9" s="45"/>
      <c r="AE9" s="92"/>
      <c r="AF9" s="45"/>
      <c r="AG9" s="92"/>
      <c r="AH9" s="45"/>
      <c r="AI9" s="92"/>
      <c r="AJ9" s="45"/>
      <c r="AK9" s="92"/>
      <c r="AL9" s="45" t="s">
        <v>244</v>
      </c>
      <c r="AM9" s="92"/>
      <c r="AN9" s="45"/>
      <c r="AO9" s="92"/>
      <c r="AP9" s="45"/>
      <c r="AQ9" s="92"/>
      <c r="AR9" s="45"/>
      <c r="AS9" s="92"/>
      <c r="AT9" s="45"/>
      <c r="AU9" s="92"/>
      <c r="AV9" s="45" t="s">
        <v>265</v>
      </c>
      <c r="AW9" s="74"/>
      <c r="AX9" s="73"/>
      <c r="AY9" s="73"/>
      <c r="AZ9" s="73"/>
      <c r="BA9" s="73"/>
    </row>
    <row r="10" spans="1:55" ht="15.75" x14ac:dyDescent="0.25">
      <c r="A10" s="45">
        <v>5</v>
      </c>
      <c r="B10" s="88" t="s">
        <v>296</v>
      </c>
      <c r="D10" s="45"/>
      <c r="E10" s="91"/>
      <c r="F10" s="45" t="s">
        <v>205</v>
      </c>
      <c r="G10" s="91"/>
      <c r="H10" s="45"/>
      <c r="I10" s="91"/>
      <c r="J10" s="45"/>
      <c r="K10" s="91"/>
      <c r="L10" s="45"/>
      <c r="M10" s="91"/>
      <c r="N10" s="45"/>
      <c r="O10" s="91"/>
      <c r="P10" s="45"/>
      <c r="Q10" s="91"/>
      <c r="R10" s="45"/>
      <c r="S10" s="91"/>
      <c r="T10" s="45"/>
      <c r="U10" s="91"/>
      <c r="V10" s="45"/>
      <c r="W10" s="91"/>
      <c r="X10" s="45"/>
      <c r="Y10" s="91"/>
      <c r="Z10" s="45"/>
      <c r="AA10" s="91"/>
      <c r="AB10" s="45"/>
      <c r="AC10" s="91"/>
      <c r="AD10" s="45"/>
      <c r="AE10" s="92"/>
      <c r="AF10" s="45"/>
      <c r="AG10" s="92"/>
      <c r="AH10" s="45"/>
      <c r="AI10" s="92"/>
      <c r="AJ10" s="45"/>
      <c r="AK10" s="92"/>
      <c r="AL10" s="45" t="s">
        <v>239</v>
      </c>
      <c r="AM10" s="92"/>
      <c r="AN10" s="45"/>
      <c r="AO10" s="92"/>
      <c r="AP10" s="45"/>
      <c r="AQ10" s="92"/>
      <c r="AR10" s="45"/>
      <c r="AS10" s="92"/>
      <c r="AT10" s="45"/>
      <c r="AU10" s="92"/>
      <c r="AV10" s="45" t="s">
        <v>269</v>
      </c>
      <c r="AW10" s="74"/>
      <c r="AX10" s="73"/>
      <c r="AY10" s="73"/>
      <c r="AZ10" s="73"/>
      <c r="BA10" s="73"/>
    </row>
    <row r="11" spans="1:55" ht="15.75" x14ac:dyDescent="0.25">
      <c r="A11" s="45">
        <v>6</v>
      </c>
      <c r="B11" s="89" t="s">
        <v>183</v>
      </c>
      <c r="D11" s="45"/>
      <c r="E11" s="91"/>
      <c r="F11" s="45" t="s">
        <v>208</v>
      </c>
      <c r="G11" s="91"/>
      <c r="H11" s="45"/>
      <c r="I11" s="91"/>
      <c r="J11" s="45"/>
      <c r="K11" s="91"/>
      <c r="L11" s="45"/>
      <c r="M11" s="91"/>
      <c r="N11" s="45"/>
      <c r="O11" s="91"/>
      <c r="P11" s="45"/>
      <c r="Q11" s="91"/>
      <c r="R11" s="45"/>
      <c r="S11" s="91"/>
      <c r="T11" s="45"/>
      <c r="U11" s="91"/>
      <c r="V11" s="45"/>
      <c r="W11" s="91"/>
      <c r="X11" s="45"/>
      <c r="Y11" s="91"/>
      <c r="Z11" s="45"/>
      <c r="AA11" s="91"/>
      <c r="AB11" s="45"/>
      <c r="AC11" s="91"/>
      <c r="AD11" s="45"/>
      <c r="AE11" s="92"/>
      <c r="AF11" s="45"/>
      <c r="AG11" s="92"/>
      <c r="AH11" s="45"/>
      <c r="AI11" s="92"/>
      <c r="AJ11" s="45"/>
      <c r="AK11" s="92"/>
      <c r="AL11" s="45" t="s">
        <v>243</v>
      </c>
      <c r="AM11" s="92"/>
      <c r="AN11" s="45"/>
      <c r="AO11" s="92"/>
      <c r="AP11" s="45"/>
      <c r="AQ11" s="92"/>
      <c r="AR11" s="45"/>
      <c r="AS11" s="92"/>
      <c r="AT11" s="45"/>
      <c r="AU11" s="92"/>
      <c r="AV11" s="45" t="s">
        <v>270</v>
      </c>
      <c r="AW11" s="74"/>
      <c r="AX11" s="73"/>
      <c r="AY11" s="73"/>
      <c r="AZ11" s="73"/>
      <c r="BA11" s="73"/>
    </row>
    <row r="12" spans="1:55" ht="15.75" x14ac:dyDescent="0.25">
      <c r="A12" s="45">
        <v>7</v>
      </c>
      <c r="B12" s="89" t="s">
        <v>297</v>
      </c>
      <c r="D12" s="45"/>
      <c r="E12" s="91"/>
      <c r="F12" s="45" t="s">
        <v>206</v>
      </c>
      <c r="G12" s="91"/>
      <c r="H12" s="45"/>
      <c r="I12" s="91"/>
      <c r="J12" s="45"/>
      <c r="K12" s="91"/>
      <c r="L12" s="45"/>
      <c r="M12" s="91"/>
      <c r="N12" s="45"/>
      <c r="O12" s="91"/>
      <c r="P12" s="45"/>
      <c r="Q12" s="91"/>
      <c r="R12" s="45"/>
      <c r="S12" s="91"/>
      <c r="T12" s="45"/>
      <c r="U12" s="91"/>
      <c r="V12" s="45"/>
      <c r="W12" s="91"/>
      <c r="X12" s="45"/>
      <c r="Y12" s="91"/>
      <c r="Z12" s="45"/>
      <c r="AA12" s="91"/>
      <c r="AB12" s="45"/>
      <c r="AC12" s="91"/>
      <c r="AD12" s="45"/>
      <c r="AE12" s="92"/>
      <c r="AF12" s="45"/>
      <c r="AG12" s="92"/>
      <c r="AH12" s="45"/>
      <c r="AI12" s="92"/>
      <c r="AJ12" s="45"/>
      <c r="AK12" s="92"/>
      <c r="AL12" s="45" t="s">
        <v>258</v>
      </c>
      <c r="AM12" s="92"/>
      <c r="AN12" s="45"/>
      <c r="AO12" s="92"/>
      <c r="AP12" s="45"/>
      <c r="AQ12" s="92"/>
      <c r="AR12" s="45"/>
      <c r="AS12" s="92"/>
      <c r="AT12" s="45"/>
      <c r="AU12" s="92"/>
      <c r="AV12" s="45"/>
      <c r="AW12" s="74"/>
      <c r="AX12" s="73"/>
      <c r="AY12" s="73"/>
      <c r="AZ12" s="73"/>
      <c r="BA12" s="73"/>
    </row>
    <row r="13" spans="1:55" ht="15.75" x14ac:dyDescent="0.25">
      <c r="A13" s="45">
        <v>8</v>
      </c>
      <c r="B13" s="89" t="s">
        <v>298</v>
      </c>
      <c r="D13" s="45"/>
      <c r="E13" s="91"/>
      <c r="F13" s="45" t="s">
        <v>207</v>
      </c>
      <c r="G13" s="91"/>
      <c r="H13" s="45"/>
      <c r="I13" s="91"/>
      <c r="J13" s="45"/>
      <c r="K13" s="91"/>
      <c r="L13" s="45"/>
      <c r="M13" s="91"/>
      <c r="N13" s="45"/>
      <c r="O13" s="91"/>
      <c r="P13" s="45"/>
      <c r="Q13" s="91"/>
      <c r="R13" s="45"/>
      <c r="S13" s="93"/>
      <c r="T13" s="45"/>
      <c r="U13" s="91"/>
      <c r="V13" s="45"/>
      <c r="W13" s="91"/>
      <c r="X13" s="45"/>
      <c r="Y13" s="91"/>
      <c r="Z13" s="45"/>
      <c r="AA13" s="91"/>
      <c r="AB13" s="45"/>
      <c r="AC13" s="91"/>
      <c r="AD13" s="45"/>
      <c r="AE13" s="92"/>
      <c r="AF13" s="45"/>
      <c r="AG13" s="92"/>
      <c r="AH13" s="45"/>
      <c r="AI13" s="92"/>
      <c r="AJ13" s="45"/>
      <c r="AK13" s="92"/>
      <c r="AL13" s="45" t="s">
        <v>242</v>
      </c>
      <c r="AM13" s="92"/>
      <c r="AN13" s="45"/>
      <c r="AO13" s="92"/>
      <c r="AP13" s="45"/>
      <c r="AQ13" s="92"/>
      <c r="AR13" s="45"/>
      <c r="AS13" s="92"/>
      <c r="AT13" s="45"/>
      <c r="AU13" s="92"/>
      <c r="AV13" s="45"/>
      <c r="AW13" s="74"/>
      <c r="AX13" s="73"/>
      <c r="AY13" s="73"/>
      <c r="AZ13" s="73"/>
      <c r="BA13" s="73"/>
    </row>
    <row r="14" spans="1:55" ht="15.75" x14ac:dyDescent="0.25">
      <c r="A14" s="45">
        <v>9</v>
      </c>
      <c r="B14" s="88" t="s">
        <v>209</v>
      </c>
      <c r="D14" s="45"/>
      <c r="E14" s="91"/>
      <c r="F14" s="45"/>
      <c r="G14" s="91"/>
      <c r="H14" s="45"/>
      <c r="I14" s="91"/>
      <c r="J14" s="45"/>
      <c r="K14" s="91"/>
      <c r="L14" s="45"/>
      <c r="M14" s="91"/>
      <c r="N14" s="45"/>
      <c r="O14" s="91"/>
      <c r="P14" s="45"/>
      <c r="Q14" s="91"/>
      <c r="R14" s="45"/>
      <c r="S14" s="91"/>
      <c r="T14" s="45"/>
      <c r="U14" s="91"/>
      <c r="V14" s="45"/>
      <c r="W14" s="91"/>
      <c r="X14" s="45"/>
      <c r="Y14" s="91"/>
      <c r="Z14" s="45"/>
      <c r="AA14" s="91"/>
      <c r="AB14" s="45"/>
      <c r="AC14" s="91"/>
      <c r="AD14" s="45"/>
      <c r="AE14" s="92"/>
      <c r="AF14" s="45"/>
      <c r="AG14" s="92"/>
      <c r="AH14" s="45"/>
      <c r="AI14" s="92"/>
      <c r="AJ14" s="45"/>
      <c r="AK14" s="92"/>
      <c r="AL14" s="45" t="s">
        <v>240</v>
      </c>
      <c r="AM14" s="92"/>
      <c r="AN14" s="45"/>
      <c r="AO14" s="92"/>
      <c r="AP14" s="45"/>
      <c r="AQ14" s="92"/>
      <c r="AR14" s="45"/>
      <c r="AS14" s="92"/>
      <c r="AT14" s="45"/>
      <c r="AU14" s="92"/>
      <c r="AV14" s="45"/>
      <c r="AW14" s="74"/>
      <c r="AX14" s="73"/>
      <c r="AY14" s="73"/>
      <c r="AZ14" s="73"/>
      <c r="BA14" s="73"/>
    </row>
    <row r="15" spans="1:55" ht="15.75" x14ac:dyDescent="0.25">
      <c r="A15" s="45">
        <v>10</v>
      </c>
      <c r="B15" s="89" t="s">
        <v>299</v>
      </c>
      <c r="D15" s="45"/>
      <c r="E15" s="91"/>
      <c r="F15" s="45"/>
      <c r="G15" s="91"/>
      <c r="H15" s="45"/>
      <c r="I15" s="91"/>
      <c r="J15" s="45"/>
      <c r="K15" s="91"/>
      <c r="L15" s="45"/>
      <c r="M15" s="91"/>
      <c r="N15" s="45"/>
      <c r="O15" s="91"/>
      <c r="P15" s="45"/>
      <c r="Q15" s="91"/>
      <c r="R15" s="45"/>
      <c r="S15" s="91"/>
      <c r="T15" s="45"/>
      <c r="U15" s="91"/>
      <c r="V15" s="45"/>
      <c r="W15" s="91"/>
      <c r="X15" s="45"/>
      <c r="Y15" s="91"/>
      <c r="Z15" s="45"/>
      <c r="AA15" s="91"/>
      <c r="AB15" s="45"/>
      <c r="AC15" s="91"/>
      <c r="AD15" s="45"/>
      <c r="AE15" s="92"/>
      <c r="AF15" s="45"/>
      <c r="AG15" s="92"/>
      <c r="AH15" s="45"/>
      <c r="AI15" s="92"/>
      <c r="AJ15" s="45"/>
      <c r="AK15" s="92"/>
      <c r="AL15" s="45" t="s">
        <v>241</v>
      </c>
      <c r="AM15" s="92"/>
      <c r="AN15" s="45"/>
      <c r="AO15" s="92"/>
      <c r="AP15" s="45"/>
      <c r="AQ15" s="92"/>
      <c r="AR15" s="45"/>
      <c r="AS15" s="92"/>
      <c r="AT15" s="45"/>
      <c r="AU15" s="92"/>
      <c r="AV15" s="45"/>
      <c r="AW15" s="74"/>
      <c r="AX15" s="73"/>
      <c r="AY15" s="73"/>
      <c r="AZ15" s="73"/>
      <c r="BA15" s="73"/>
    </row>
    <row r="16" spans="1:55" ht="15.75" x14ac:dyDescent="0.25">
      <c r="A16" s="45">
        <v>11</v>
      </c>
      <c r="B16" s="89" t="s">
        <v>292</v>
      </c>
      <c r="D16" s="45"/>
      <c r="E16" s="91"/>
      <c r="F16" s="45"/>
      <c r="G16" s="91"/>
      <c r="H16" s="45"/>
      <c r="I16" s="91"/>
      <c r="J16" s="45"/>
      <c r="K16" s="91"/>
      <c r="L16" s="45"/>
      <c r="M16" s="91"/>
      <c r="N16" s="45"/>
      <c r="O16" s="91"/>
      <c r="P16" s="45"/>
      <c r="Q16" s="91"/>
      <c r="R16" s="45"/>
      <c r="S16" s="91"/>
      <c r="T16" s="45"/>
      <c r="U16" s="91"/>
      <c r="V16" s="45"/>
      <c r="W16" s="91"/>
      <c r="X16" s="45"/>
      <c r="Y16" s="91"/>
      <c r="Z16" s="45"/>
      <c r="AA16" s="91"/>
      <c r="AB16" s="45"/>
      <c r="AC16" s="91"/>
      <c r="AD16" s="45"/>
      <c r="AE16" s="92"/>
      <c r="AF16" s="45"/>
      <c r="AG16" s="92"/>
      <c r="AH16" s="45"/>
      <c r="AI16" s="92"/>
      <c r="AJ16" s="45"/>
      <c r="AK16" s="92"/>
      <c r="AL16" s="45"/>
      <c r="AM16" s="92"/>
      <c r="AN16" s="45"/>
      <c r="AO16" s="92"/>
      <c r="AP16" s="45"/>
      <c r="AQ16" s="92"/>
      <c r="AR16" s="45"/>
      <c r="AS16" s="92"/>
      <c r="AT16" s="45"/>
      <c r="AU16" s="92"/>
      <c r="AV16" s="45"/>
      <c r="AW16" s="74"/>
      <c r="AX16" s="73"/>
      <c r="AY16" s="73"/>
      <c r="AZ16" s="73"/>
      <c r="BA16" s="73"/>
    </row>
    <row r="17" spans="1:53" ht="15.75" x14ac:dyDescent="0.25">
      <c r="A17" s="45">
        <v>12</v>
      </c>
      <c r="B17" s="89" t="s">
        <v>195</v>
      </c>
      <c r="D17" s="73"/>
      <c r="E17" s="94"/>
      <c r="F17" s="73"/>
      <c r="G17" s="94"/>
      <c r="H17" s="73"/>
      <c r="I17" s="94"/>
      <c r="J17" s="73"/>
      <c r="K17" s="94"/>
      <c r="L17" s="73"/>
      <c r="M17" s="94"/>
      <c r="N17" s="73"/>
      <c r="O17" s="94"/>
      <c r="P17" s="73"/>
      <c r="Q17" s="94"/>
      <c r="R17" s="73"/>
      <c r="S17" s="94"/>
      <c r="T17" s="73"/>
      <c r="U17" s="94"/>
      <c r="V17" s="73"/>
      <c r="W17" s="94"/>
      <c r="X17" s="73"/>
      <c r="Y17" s="94"/>
      <c r="Z17" s="73"/>
      <c r="AA17" s="94"/>
      <c r="AB17" s="73"/>
      <c r="AC17" s="94"/>
      <c r="AD17" s="73"/>
      <c r="AE17" s="74"/>
      <c r="AF17" s="73"/>
      <c r="AG17" s="74"/>
      <c r="AH17" s="73"/>
      <c r="AI17" s="74"/>
      <c r="AJ17" s="73"/>
      <c r="AK17" s="74"/>
      <c r="AL17" s="73"/>
      <c r="AM17" s="74"/>
      <c r="AN17" s="73"/>
      <c r="AO17" s="74"/>
      <c r="AP17" s="73"/>
      <c r="AQ17" s="74"/>
      <c r="AR17" s="73"/>
      <c r="AS17" s="74"/>
      <c r="AT17" s="73"/>
      <c r="AU17" s="74"/>
      <c r="AV17" s="73"/>
      <c r="AW17" s="74"/>
      <c r="AX17" s="73"/>
      <c r="AY17" s="73"/>
      <c r="AZ17" s="73"/>
      <c r="BA17" s="73"/>
    </row>
    <row r="18" spans="1:53" ht="15.75" x14ac:dyDescent="0.25">
      <c r="A18" s="45">
        <v>13</v>
      </c>
      <c r="B18" s="88" t="s">
        <v>213</v>
      </c>
      <c r="D18" s="73"/>
      <c r="E18" s="94"/>
      <c r="F18" s="73"/>
      <c r="G18" s="94"/>
      <c r="H18" s="73"/>
      <c r="I18" s="94"/>
      <c r="J18" s="73"/>
      <c r="K18" s="94"/>
      <c r="L18" s="73"/>
      <c r="M18" s="94"/>
      <c r="N18" s="73"/>
      <c r="O18" s="94"/>
      <c r="P18" s="73"/>
      <c r="Q18" s="94"/>
      <c r="R18" s="73"/>
      <c r="S18" s="94"/>
      <c r="T18" s="73"/>
      <c r="U18" s="94"/>
      <c r="V18" s="73"/>
      <c r="W18" s="94"/>
      <c r="X18" s="73"/>
      <c r="Y18" s="94"/>
      <c r="Z18" s="73"/>
      <c r="AA18" s="94"/>
      <c r="AB18" s="73"/>
      <c r="AC18" s="94"/>
      <c r="AD18" s="73"/>
      <c r="AE18" s="74"/>
      <c r="AF18" s="73"/>
      <c r="AG18" s="74"/>
      <c r="AH18" s="73"/>
      <c r="AI18" s="74"/>
      <c r="AJ18" s="73"/>
      <c r="AK18" s="74"/>
      <c r="AL18" s="73"/>
      <c r="AM18" s="74"/>
      <c r="AN18" s="73"/>
      <c r="AO18" s="74"/>
      <c r="AP18" s="73"/>
      <c r="AQ18" s="74"/>
      <c r="AR18" s="73"/>
      <c r="AS18" s="74"/>
      <c r="AT18" s="73"/>
      <c r="AU18" s="74"/>
      <c r="AV18" s="73"/>
      <c r="AW18" s="74"/>
      <c r="AX18" s="73"/>
      <c r="AY18" s="73"/>
      <c r="AZ18" s="73"/>
      <c r="BA18" s="73"/>
    </row>
    <row r="19" spans="1:53" ht="15.75" x14ac:dyDescent="0.25">
      <c r="A19" s="45">
        <v>14</v>
      </c>
      <c r="B19" s="89" t="s">
        <v>300</v>
      </c>
      <c r="D19" s="73"/>
      <c r="E19" s="94"/>
      <c r="F19" s="73"/>
      <c r="G19" s="94"/>
      <c r="H19" s="73"/>
      <c r="I19" s="94"/>
      <c r="J19" s="73"/>
      <c r="K19" s="94"/>
      <c r="L19" s="73"/>
      <c r="M19" s="94"/>
      <c r="N19" s="73"/>
      <c r="O19" s="94"/>
      <c r="P19" s="73"/>
      <c r="Q19" s="94"/>
      <c r="R19" s="73"/>
      <c r="S19" s="94"/>
      <c r="T19" s="73"/>
      <c r="U19" s="94"/>
      <c r="V19" s="73"/>
      <c r="W19" s="94"/>
      <c r="X19" s="73"/>
      <c r="Y19" s="94"/>
      <c r="Z19" s="73"/>
      <c r="AA19" s="94"/>
      <c r="AB19" s="73"/>
      <c r="AC19" s="94"/>
      <c r="AD19" s="73"/>
      <c r="AE19" s="74"/>
      <c r="AF19" s="73"/>
      <c r="AG19" s="74"/>
      <c r="AH19" s="73"/>
      <c r="AI19" s="74"/>
      <c r="AJ19" s="73"/>
      <c r="AK19" s="74"/>
      <c r="AL19" s="73"/>
      <c r="AM19" s="74"/>
      <c r="AN19" s="73"/>
      <c r="AO19" s="74"/>
      <c r="AP19" s="73"/>
      <c r="AQ19" s="74"/>
      <c r="AR19" s="73"/>
      <c r="AS19" s="74"/>
      <c r="AT19" s="73"/>
      <c r="AU19" s="74"/>
      <c r="AV19" s="73"/>
      <c r="AW19" s="74"/>
      <c r="AX19" s="73"/>
      <c r="AY19" s="73"/>
      <c r="AZ19" s="73"/>
      <c r="BA19" s="73"/>
    </row>
    <row r="20" spans="1:53" ht="15.75" x14ac:dyDescent="0.25">
      <c r="A20" s="45">
        <v>15</v>
      </c>
      <c r="B20" s="89" t="s">
        <v>301</v>
      </c>
      <c r="D20" s="73"/>
      <c r="E20" s="94"/>
      <c r="F20" s="73"/>
      <c r="G20" s="94"/>
      <c r="H20" s="73"/>
      <c r="I20" s="94"/>
      <c r="J20" s="73"/>
      <c r="K20" s="94"/>
      <c r="L20" s="73"/>
      <c r="M20" s="94"/>
      <c r="N20" s="73"/>
      <c r="O20" s="94"/>
      <c r="P20" s="73"/>
      <c r="Q20" s="94"/>
      <c r="R20" s="73"/>
      <c r="S20" s="94"/>
      <c r="T20" s="73"/>
      <c r="U20" s="94"/>
      <c r="V20" s="73"/>
      <c r="W20" s="94"/>
      <c r="X20" s="73"/>
      <c r="Y20" s="94"/>
      <c r="Z20" s="73"/>
      <c r="AA20" s="94"/>
      <c r="AB20" s="73"/>
      <c r="AC20" s="94"/>
      <c r="AD20" s="73"/>
      <c r="AE20" s="74"/>
      <c r="AF20" s="73"/>
      <c r="AG20" s="74"/>
      <c r="AH20" s="73"/>
      <c r="AI20" s="74"/>
      <c r="AJ20" s="73"/>
      <c r="AK20" s="74"/>
      <c r="AL20" s="73"/>
      <c r="AM20" s="74"/>
      <c r="AN20" s="73"/>
      <c r="AO20" s="74"/>
      <c r="AP20" s="73"/>
      <c r="AQ20" s="74"/>
      <c r="AR20" s="73"/>
      <c r="AS20" s="74"/>
      <c r="AT20" s="73"/>
      <c r="AU20" s="74"/>
      <c r="AV20" s="73"/>
      <c r="AW20" s="74"/>
      <c r="AX20" s="73"/>
      <c r="AY20" s="73"/>
      <c r="AZ20" s="73"/>
      <c r="BA20" s="73"/>
    </row>
    <row r="21" spans="1:53" ht="15.75" x14ac:dyDescent="0.25">
      <c r="A21" s="45">
        <v>16</v>
      </c>
      <c r="B21" s="89" t="s">
        <v>302</v>
      </c>
      <c r="D21" s="73"/>
      <c r="E21" s="94"/>
      <c r="F21" s="73"/>
      <c r="G21" s="94"/>
      <c r="H21" s="73"/>
      <c r="I21" s="94"/>
      <c r="J21" s="73"/>
      <c r="K21" s="94"/>
      <c r="L21" s="73"/>
      <c r="M21" s="94"/>
      <c r="N21" s="73"/>
      <c r="O21" s="94"/>
      <c r="P21" s="73"/>
      <c r="Q21" s="94"/>
      <c r="R21" s="73"/>
      <c r="S21" s="94"/>
      <c r="T21" s="73"/>
      <c r="U21" s="94"/>
      <c r="V21" s="73"/>
      <c r="W21" s="94"/>
      <c r="X21" s="73"/>
      <c r="Y21" s="94"/>
      <c r="Z21" s="73"/>
      <c r="AA21" s="94"/>
      <c r="AB21" s="73"/>
      <c r="AC21" s="94"/>
      <c r="AD21" s="73"/>
      <c r="AE21" s="74"/>
      <c r="AF21" s="73"/>
      <c r="AG21" s="74"/>
      <c r="AH21" s="73"/>
      <c r="AI21" s="74"/>
      <c r="AJ21" s="73"/>
      <c r="AK21" s="74"/>
      <c r="AL21" s="73"/>
      <c r="AM21" s="74"/>
      <c r="AN21" s="73"/>
      <c r="AO21" s="74"/>
      <c r="AP21" s="73"/>
      <c r="AQ21" s="74"/>
      <c r="AR21" s="73"/>
      <c r="AS21" s="74"/>
      <c r="AT21" s="73"/>
      <c r="AU21" s="74"/>
      <c r="AV21" s="73"/>
      <c r="AW21" s="74"/>
      <c r="AX21" s="73"/>
      <c r="AY21" s="73"/>
      <c r="AZ21" s="73"/>
      <c r="BA21" s="73"/>
    </row>
    <row r="22" spans="1:53" ht="15.75" x14ac:dyDescent="0.25">
      <c r="A22" s="45">
        <v>17</v>
      </c>
      <c r="B22" s="89" t="s">
        <v>303</v>
      </c>
      <c r="D22" s="73"/>
      <c r="E22" s="94"/>
      <c r="F22" s="73"/>
      <c r="G22" s="94"/>
      <c r="H22" s="73"/>
      <c r="I22" s="94"/>
      <c r="J22" s="73"/>
      <c r="K22" s="94"/>
      <c r="L22" s="73"/>
      <c r="M22" s="94"/>
      <c r="N22" s="73"/>
      <c r="O22" s="94"/>
      <c r="P22" s="73"/>
      <c r="Q22" s="94"/>
      <c r="R22" s="73"/>
      <c r="S22" s="94"/>
      <c r="T22" s="73"/>
      <c r="U22" s="94"/>
      <c r="V22" s="73"/>
      <c r="W22" s="94"/>
      <c r="X22" s="73"/>
      <c r="Y22" s="94"/>
      <c r="Z22" s="73"/>
      <c r="AA22" s="94"/>
      <c r="AB22" s="73"/>
      <c r="AC22" s="94"/>
      <c r="AD22" s="73"/>
      <c r="AE22" s="74"/>
      <c r="AF22" s="73"/>
      <c r="AG22" s="74"/>
      <c r="AH22" s="73"/>
      <c r="AI22" s="74"/>
      <c r="AJ22" s="73"/>
      <c r="AK22" s="74"/>
      <c r="AL22" s="73"/>
      <c r="AM22" s="74"/>
      <c r="AN22" s="73"/>
      <c r="AO22" s="74"/>
      <c r="AP22" s="73"/>
      <c r="AQ22" s="74"/>
      <c r="AR22" s="73"/>
      <c r="AS22" s="74"/>
      <c r="AT22" s="73"/>
      <c r="AU22" s="74"/>
      <c r="AV22" s="73"/>
      <c r="AW22" s="74"/>
      <c r="AX22" s="73"/>
      <c r="AY22" s="73"/>
      <c r="AZ22" s="73"/>
      <c r="BA22" s="73"/>
    </row>
    <row r="23" spans="1:53" ht="15.75" x14ac:dyDescent="0.25">
      <c r="A23" s="45">
        <v>18</v>
      </c>
      <c r="B23" s="88" t="s">
        <v>311</v>
      </c>
    </row>
    <row r="24" spans="1:53" ht="15.75" x14ac:dyDescent="0.25">
      <c r="A24" s="45">
        <v>19</v>
      </c>
      <c r="B24" s="89" t="s">
        <v>304</v>
      </c>
    </row>
    <row r="25" spans="1:53" ht="15.75" x14ac:dyDescent="0.25">
      <c r="A25" s="45">
        <v>20</v>
      </c>
      <c r="B25" s="89" t="s">
        <v>184</v>
      </c>
    </row>
    <row r="26" spans="1:53" ht="15.75" x14ac:dyDescent="0.25">
      <c r="A26" s="45">
        <v>21</v>
      </c>
      <c r="B26" s="89" t="s">
        <v>305</v>
      </c>
    </row>
    <row r="27" spans="1:53" ht="15.75" x14ac:dyDescent="0.25">
      <c r="A27" s="45">
        <v>22</v>
      </c>
      <c r="B27" s="89" t="s">
        <v>306</v>
      </c>
    </row>
    <row r="28" spans="1:53" ht="15.75" x14ac:dyDescent="0.25">
      <c r="A28" s="45">
        <v>23</v>
      </c>
      <c r="B28" s="88" t="s">
        <v>254</v>
      </c>
    </row>
    <row r="29" spans="1:53" ht="15.75" x14ac:dyDescent="0.25">
      <c r="A29" s="45">
        <v>24</v>
      </c>
      <c r="B29" s="89" t="s">
        <v>307</v>
      </c>
    </row>
  </sheetData>
  <mergeCells count="1">
    <mergeCell ref="A4:B4"/>
  </mergeCells>
  <hyperlinks>
    <hyperlink ref="A1" location="فهرست!A1" display="فهرست"/>
    <hyperlink ref="B1" location="تراکنش‌ها!A1" display="تراکنش‌ها"/>
    <hyperlink ref="A2" location="فهرست!A1" display="فهرست"/>
    <hyperlink ref="B2" location="تراکنش‌ها!A1" display="تراکنش‌ها"/>
  </hyperlinks>
  <pageMargins left="0.7" right="0.7" top="0.75" bottom="0.75" header="0.3" footer="0.3"/>
  <pageSetup orientation="portrait" r:id="rId1"/>
  <tableParts count="2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>
    <tabColor theme="5"/>
  </sheetPr>
  <dimension ref="A1:B7"/>
  <sheetViews>
    <sheetView rightToLeft="1" workbookViewId="0">
      <selection activeCell="E11" sqref="E11"/>
    </sheetView>
  </sheetViews>
  <sheetFormatPr defaultRowHeight="15" x14ac:dyDescent="0.25"/>
  <sheetData>
    <row r="1" spans="1:2" x14ac:dyDescent="0.25">
      <c r="A1" t="s">
        <v>12</v>
      </c>
    </row>
    <row r="7" spans="1:2" x14ac:dyDescent="0.25">
      <c r="B7" t="s">
        <v>149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/>
  </sheetPr>
  <dimension ref="D4:D6"/>
  <sheetViews>
    <sheetView rightToLeft="1" workbookViewId="0">
      <selection activeCell="D7" sqref="D7"/>
    </sheetView>
  </sheetViews>
  <sheetFormatPr defaultRowHeight="15" x14ac:dyDescent="0.25"/>
  <sheetData>
    <row r="4" spans="4:4" x14ac:dyDescent="0.25">
      <c r="D4" t="s">
        <v>188</v>
      </c>
    </row>
    <row r="5" spans="4:4" x14ac:dyDescent="0.25">
      <c r="D5" t="s">
        <v>189</v>
      </c>
    </row>
    <row r="6" spans="4:4" x14ac:dyDescent="0.25">
      <c r="D6" t="s">
        <v>190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/>
  </sheetPr>
  <dimension ref="A1"/>
  <sheetViews>
    <sheetView rightToLeft="1" workbookViewId="0">
      <selection activeCell="L31" sqref="L31"/>
    </sheetView>
  </sheetViews>
  <sheetFormatPr defaultRowHeight="15" x14ac:dyDescent="0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theme="3" tint="0.39997558519241921"/>
  </sheetPr>
  <dimension ref="A1:C24"/>
  <sheetViews>
    <sheetView rightToLeft="1" workbookViewId="0"/>
  </sheetViews>
  <sheetFormatPr defaultRowHeight="15" x14ac:dyDescent="0.25"/>
  <cols>
    <col min="2" max="2" width="25" customWidth="1"/>
    <col min="3" max="3" width="29.7109375" customWidth="1"/>
  </cols>
  <sheetData>
    <row r="1" spans="1:3" x14ac:dyDescent="0.25">
      <c r="A1" t="s">
        <v>44</v>
      </c>
    </row>
    <row r="6" spans="1:3" x14ac:dyDescent="0.25">
      <c r="B6" t="s">
        <v>45</v>
      </c>
      <c r="C6" t="s">
        <v>46</v>
      </c>
    </row>
    <row r="9" spans="1:3" x14ac:dyDescent="0.25">
      <c r="B9" t="s">
        <v>53</v>
      </c>
      <c r="C9" t="s">
        <v>47</v>
      </c>
    </row>
    <row r="10" spans="1:3" x14ac:dyDescent="0.25">
      <c r="B10" t="s">
        <v>54</v>
      </c>
    </row>
    <row r="13" spans="1:3" x14ac:dyDescent="0.25">
      <c r="B13" t="s">
        <v>52</v>
      </c>
    </row>
    <row r="14" spans="1:3" x14ac:dyDescent="0.25">
      <c r="B14" t="s">
        <v>48</v>
      </c>
      <c r="C14" t="s">
        <v>49</v>
      </c>
    </row>
    <row r="15" spans="1:3" x14ac:dyDescent="0.25">
      <c r="B15" t="s">
        <v>50</v>
      </c>
      <c r="C15" t="s">
        <v>51</v>
      </c>
    </row>
    <row r="18" spans="2:2" x14ac:dyDescent="0.25">
      <c r="B18" t="s">
        <v>55</v>
      </c>
    </row>
    <row r="20" spans="2:2" x14ac:dyDescent="0.25">
      <c r="B20" t="s">
        <v>56</v>
      </c>
    </row>
    <row r="22" spans="2:2" x14ac:dyDescent="0.25">
      <c r="B22" t="s">
        <v>57</v>
      </c>
    </row>
    <row r="24" spans="2:2" x14ac:dyDescent="0.25">
      <c r="B24" t="s">
        <v>58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249977111117893"/>
  </sheetPr>
  <dimension ref="A1:J19"/>
  <sheetViews>
    <sheetView rightToLeft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36.5703125" customWidth="1"/>
    <col min="2" max="2" width="18.28515625" customWidth="1"/>
    <col min="3" max="3" width="17.7109375" customWidth="1"/>
    <col min="4" max="4" width="23.85546875" customWidth="1"/>
    <col min="5" max="5" width="36.42578125" customWidth="1"/>
    <col min="6" max="6" width="11" customWidth="1"/>
    <col min="7" max="7" width="9.28515625" customWidth="1"/>
    <col min="8" max="8" width="13.140625" customWidth="1"/>
    <col min="9" max="9" width="10.7109375" customWidth="1"/>
    <col min="10" max="10" width="11.85546875" customWidth="1"/>
    <col min="11" max="12" width="18.28515625" customWidth="1"/>
  </cols>
  <sheetData>
    <row r="1" spans="1:10" ht="24" customHeight="1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0" s="43" customFormat="1" ht="3.75" customHeight="1" x14ac:dyDescent="0.25"/>
    <row r="3" spans="1:10" ht="15.75" x14ac:dyDescent="0.25">
      <c r="A3" s="65" t="s">
        <v>150</v>
      </c>
      <c r="C3" s="63" t="s">
        <v>151</v>
      </c>
      <c r="D3" s="63" t="s">
        <v>152</v>
      </c>
      <c r="E3" s="63" t="s">
        <v>153</v>
      </c>
    </row>
    <row r="4" spans="1:10" ht="15.75" x14ac:dyDescent="0.25">
      <c r="A4" s="45" t="s">
        <v>335</v>
      </c>
      <c r="C4" s="63" t="s">
        <v>142</v>
      </c>
      <c r="D4" s="63"/>
      <c r="E4" s="66" t="str">
        <f t="shared" ref="E4:E19" si="0" xml:space="preserve">  CONCATENATE(C4, D4)</f>
        <v>حساب نقدی (نقدینگی)</v>
      </c>
      <c r="F4" s="59"/>
    </row>
    <row r="5" spans="1:10" ht="15.75" x14ac:dyDescent="0.25">
      <c r="A5" s="45" t="s">
        <v>336</v>
      </c>
      <c r="C5" s="63" t="s">
        <v>332</v>
      </c>
      <c r="D5" s="63"/>
      <c r="E5" s="66" t="str">
        <f t="shared" si="0"/>
        <v xml:space="preserve">حساب روزمره </v>
      </c>
      <c r="F5" s="59"/>
    </row>
    <row r="6" spans="1:10" ht="15.75" x14ac:dyDescent="0.25">
      <c r="A6" s="45" t="s">
        <v>337</v>
      </c>
      <c r="C6" s="63" t="s">
        <v>333</v>
      </c>
      <c r="D6" s="63"/>
      <c r="E6" s="66" t="str">
        <f t="shared" si="0"/>
        <v>حساب پس‌انداز</v>
      </c>
      <c r="F6" s="59"/>
    </row>
    <row r="7" spans="1:10" ht="15.75" x14ac:dyDescent="0.25">
      <c r="A7" s="45" t="s">
        <v>338</v>
      </c>
      <c r="C7" s="63" t="s">
        <v>334</v>
      </c>
      <c r="D7" s="63"/>
      <c r="E7" s="66" t="str">
        <f t="shared" si="0"/>
        <v xml:space="preserve">بانک </v>
      </c>
      <c r="F7" s="59"/>
    </row>
    <row r="8" spans="1:10" ht="15.75" x14ac:dyDescent="0.25">
      <c r="A8" s="45" t="s">
        <v>339</v>
      </c>
      <c r="C8" s="63" t="s">
        <v>334</v>
      </c>
      <c r="D8" s="63"/>
      <c r="E8" s="66" t="str">
        <f t="shared" si="0"/>
        <v xml:space="preserve">بانک </v>
      </c>
      <c r="F8" s="59"/>
    </row>
    <row r="9" spans="1:10" ht="15.75" x14ac:dyDescent="0.25">
      <c r="A9" s="45" t="s">
        <v>340</v>
      </c>
      <c r="C9" s="63"/>
      <c r="D9" s="63" t="s">
        <v>335</v>
      </c>
      <c r="E9" s="66" t="str">
        <f t="shared" si="0"/>
        <v xml:space="preserve">پدر </v>
      </c>
      <c r="F9" s="59"/>
    </row>
    <row r="10" spans="1:10" ht="15.75" x14ac:dyDescent="0.25">
      <c r="A10" s="45" t="s">
        <v>341</v>
      </c>
      <c r="C10" s="63"/>
      <c r="D10" s="63" t="s">
        <v>336</v>
      </c>
      <c r="E10" s="66" t="str">
        <f t="shared" si="0"/>
        <v>مادر</v>
      </c>
      <c r="F10" s="59"/>
    </row>
    <row r="11" spans="1:10" ht="15.75" x14ac:dyDescent="0.25">
      <c r="A11" s="45" t="s">
        <v>340</v>
      </c>
      <c r="C11" s="63"/>
      <c r="D11" s="63" t="s">
        <v>337</v>
      </c>
      <c r="E11" s="66" t="str">
        <f t="shared" si="0"/>
        <v>هسته تحقیقاتی</v>
      </c>
    </row>
    <row r="12" spans="1:10" ht="15.75" x14ac:dyDescent="0.25">
      <c r="A12" s="45" t="s">
        <v>342</v>
      </c>
      <c r="C12" s="63"/>
      <c r="D12" s="63" t="s">
        <v>338</v>
      </c>
      <c r="E12" s="66" t="str">
        <f t="shared" si="0"/>
        <v>مرکز رشد و فناوری</v>
      </c>
    </row>
    <row r="13" spans="1:10" ht="15.75" x14ac:dyDescent="0.25">
      <c r="A13" s="45" t="s">
        <v>343</v>
      </c>
      <c r="C13" s="63"/>
      <c r="D13" s="63" t="s">
        <v>339</v>
      </c>
      <c r="E13" s="66" t="str">
        <f t="shared" si="0"/>
        <v xml:space="preserve">مغازه </v>
      </c>
    </row>
    <row r="14" spans="1:10" ht="15.75" x14ac:dyDescent="0.25">
      <c r="A14" s="45" t="s">
        <v>344</v>
      </c>
      <c r="C14" s="63"/>
      <c r="D14" s="63" t="s">
        <v>340</v>
      </c>
      <c r="E14" s="66" t="str">
        <f t="shared" si="0"/>
        <v xml:space="preserve">محمد </v>
      </c>
    </row>
    <row r="15" spans="1:10" ht="15.75" x14ac:dyDescent="0.25">
      <c r="A15" s="64"/>
      <c r="C15" s="63"/>
      <c r="D15" s="63" t="s">
        <v>341</v>
      </c>
      <c r="E15" s="66" t="str">
        <f t="shared" si="0"/>
        <v xml:space="preserve">سید </v>
      </c>
    </row>
    <row r="16" spans="1:10" x14ac:dyDescent="0.25">
      <c r="C16" s="63"/>
      <c r="D16" s="63" t="s">
        <v>340</v>
      </c>
      <c r="E16" s="66" t="str">
        <f t="shared" si="0"/>
        <v xml:space="preserve">محمد </v>
      </c>
    </row>
    <row r="17" spans="3:5" x14ac:dyDescent="0.25">
      <c r="C17" s="63"/>
      <c r="D17" s="63" t="s">
        <v>342</v>
      </c>
      <c r="E17" s="66" t="str">
        <f t="shared" si="0"/>
        <v xml:space="preserve"> پور</v>
      </c>
    </row>
    <row r="18" spans="3:5" x14ac:dyDescent="0.25">
      <c r="C18" s="63"/>
      <c r="D18" s="63" t="s">
        <v>343</v>
      </c>
      <c r="E18" s="66" t="str">
        <f t="shared" si="0"/>
        <v>یاشار</v>
      </c>
    </row>
    <row r="19" spans="3:5" x14ac:dyDescent="0.25">
      <c r="C19" s="63"/>
      <c r="D19" s="63" t="s">
        <v>344</v>
      </c>
      <c r="E19" s="66" t="str">
        <f t="shared" si="0"/>
        <v xml:space="preserve">حسین 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3"/>
  </sheetPr>
  <dimension ref="A1:L20"/>
  <sheetViews>
    <sheetView rightToLeft="1" workbookViewId="0">
      <selection activeCell="E24" sqref="E24"/>
    </sheetView>
  </sheetViews>
  <sheetFormatPr defaultRowHeight="15" x14ac:dyDescent="0.25"/>
  <cols>
    <col min="1" max="1" width="18.28515625" customWidth="1"/>
    <col min="2" max="2" width="32" customWidth="1"/>
    <col min="3" max="4" width="18.28515625" customWidth="1"/>
    <col min="5" max="5" width="36.5703125" customWidth="1"/>
    <col min="6" max="6" width="32" customWidth="1"/>
    <col min="7" max="14" width="18.28515625" customWidth="1"/>
  </cols>
  <sheetData>
    <row r="1" spans="1:12" ht="24" customHeight="1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2" s="43" customFormat="1" ht="3.75" customHeight="1" x14ac:dyDescent="0.25">
      <c r="C2" s="43" t="s">
        <v>3</v>
      </c>
    </row>
    <row r="5" spans="1:12" ht="24" customHeight="1" x14ac:dyDescent="0.25">
      <c r="A5" s="46" t="s">
        <v>129</v>
      </c>
      <c r="B5" s="46" t="s">
        <v>122</v>
      </c>
      <c r="C5" s="46" t="s">
        <v>133</v>
      </c>
      <c r="D5" s="46" t="s">
        <v>134</v>
      </c>
      <c r="E5" s="46" t="s">
        <v>135</v>
      </c>
      <c r="F5" s="46" t="s">
        <v>136</v>
      </c>
      <c r="G5" s="46" t="s">
        <v>137</v>
      </c>
      <c r="H5" s="46" t="s">
        <v>138</v>
      </c>
      <c r="I5" s="46" t="s">
        <v>139</v>
      </c>
    </row>
    <row r="6" spans="1:12" ht="34.5" customHeight="1" x14ac:dyDescent="0.25">
      <c r="A6" s="45">
        <v>0</v>
      </c>
      <c r="B6" s="45" t="s">
        <v>124</v>
      </c>
      <c r="C6" s="99">
        <v>1111111111</v>
      </c>
      <c r="D6" s="47" t="s">
        <v>331</v>
      </c>
      <c r="E6" s="48" t="s">
        <v>128</v>
      </c>
      <c r="F6" s="47" t="s">
        <v>140</v>
      </c>
      <c r="G6" s="45"/>
      <c r="H6" s="45"/>
      <c r="I6" s="45"/>
    </row>
    <row r="7" spans="1:12" ht="15.75" x14ac:dyDescent="0.25">
      <c r="A7" s="45"/>
      <c r="B7" s="45"/>
      <c r="C7" s="45"/>
      <c r="D7" s="47"/>
      <c r="E7" s="48"/>
      <c r="F7" s="47"/>
      <c r="G7" s="45"/>
      <c r="H7" s="45"/>
      <c r="I7" s="45"/>
    </row>
    <row r="12" spans="1:12" ht="24" customHeight="1" x14ac:dyDescent="0.25">
      <c r="A12" s="49" t="s">
        <v>129</v>
      </c>
      <c r="B12" s="49" t="s">
        <v>130</v>
      </c>
      <c r="C12" s="49" t="s">
        <v>131</v>
      </c>
      <c r="D12" s="51" t="s">
        <v>132</v>
      </c>
      <c r="E12" s="49" t="s">
        <v>125</v>
      </c>
      <c r="F12" s="55" t="s">
        <v>126</v>
      </c>
      <c r="G12" s="55" t="s">
        <v>141</v>
      </c>
      <c r="H12" s="49" t="s">
        <v>127</v>
      </c>
      <c r="I12" s="49" t="s">
        <v>346</v>
      </c>
      <c r="J12" s="49" t="s">
        <v>345</v>
      </c>
      <c r="K12" s="49" t="s">
        <v>347</v>
      </c>
      <c r="L12" s="49" t="s">
        <v>348</v>
      </c>
    </row>
    <row r="13" spans="1:12" ht="24" customHeight="1" x14ac:dyDescent="0.25">
      <c r="A13" s="45">
        <v>0</v>
      </c>
      <c r="B13" s="45" t="s">
        <v>142</v>
      </c>
      <c r="C13" s="45" t="s">
        <v>143</v>
      </c>
      <c r="D13" s="52">
        <v>2000000</v>
      </c>
      <c r="E13" s="50" t="s">
        <v>128</v>
      </c>
      <c r="F13" s="56" t="s">
        <v>128</v>
      </c>
      <c r="G13" s="54" t="s">
        <v>128</v>
      </c>
      <c r="H13" s="53" t="s">
        <v>128</v>
      </c>
      <c r="I13" s="122">
        <f>SUMIF(Tarakonesh[پرداخت کننده],FinancialAccountsTable[[#This Row],[نام حساب]],Tarakonesh[مبلغ (ریال)])</f>
        <v>20000</v>
      </c>
      <c r="J13" s="122">
        <f>SUMIF(Tarakonesh[دریافت کننده],FinancialAccountsTable[[#This Row],[نام حساب]],Tarakonesh[مبلغ (ریال)])</f>
        <v>500000</v>
      </c>
      <c r="K13" s="122">
        <f>(FinancialAccountsTable[[#This Row],[جمع دریافتی]]+FinancialAccountsTable[[#This Row],[موجودی اولیه]])-FinancialAccountsTable[[#This Row],[جمع پرداختی]]</f>
        <v>2480000</v>
      </c>
      <c r="L13" s="53" t="str">
        <f>IF(FinancialAccountsTable[[#This Row],[مانده]]=0,"",IF(FinancialAccountsTable[[#This Row],[مانده]]&gt;0,"بدهکار","بستانکار"))</f>
        <v>بدهکار</v>
      </c>
    </row>
    <row r="14" spans="1:12" ht="34.5" customHeight="1" x14ac:dyDescent="0.25">
      <c r="A14" s="45">
        <v>1</v>
      </c>
      <c r="B14" s="45" t="s">
        <v>332</v>
      </c>
      <c r="C14" s="45" t="s">
        <v>144</v>
      </c>
      <c r="D14" s="52"/>
      <c r="E14" s="50" t="s">
        <v>128</v>
      </c>
      <c r="F14" s="56" t="s">
        <v>128</v>
      </c>
      <c r="G14" s="54" t="s">
        <v>128</v>
      </c>
      <c r="H14" s="53" t="s">
        <v>128</v>
      </c>
      <c r="I14" s="122">
        <f>SUMIF(Tarakonesh[پرداخت کننده],FinancialAccountsTable[[#This Row],[نام حساب]],Tarakonesh[مبلغ (ریال)])</f>
        <v>80000</v>
      </c>
      <c r="J14" s="122">
        <f>SUMIF(Tarakonesh[دریافت کننده],FinancialAccountsTable[[#This Row],[نام حساب]],Tarakonesh[مبلغ (ریال)])</f>
        <v>1020000</v>
      </c>
      <c r="K14" s="122">
        <f>(FinancialAccountsTable[[#This Row],[جمع دریافتی]]+FinancialAccountsTable[[#This Row],[موجودی اولیه]])-FinancialAccountsTable[[#This Row],[جمع پرداختی]]</f>
        <v>940000</v>
      </c>
      <c r="L14" s="53" t="str">
        <f>IF(FinancialAccountsTable[[#This Row],[مانده]]=0,"",IF(FinancialAccountsTable[[#This Row],[مانده]]&gt;0,"بدهکار","بستانکار"))</f>
        <v>بدهکار</v>
      </c>
    </row>
    <row r="15" spans="1:12" ht="24" customHeight="1" x14ac:dyDescent="0.25">
      <c r="A15" s="45">
        <v>2</v>
      </c>
      <c r="B15" s="45" t="s">
        <v>333</v>
      </c>
      <c r="C15" s="45"/>
      <c r="D15" s="52"/>
      <c r="E15" s="50" t="s">
        <v>128</v>
      </c>
      <c r="F15" s="56" t="s">
        <v>128</v>
      </c>
      <c r="G15" s="54" t="s">
        <v>128</v>
      </c>
      <c r="H15" s="53" t="s">
        <v>128</v>
      </c>
      <c r="I15" s="122">
        <f>SUMIF(Tarakonesh[پرداخت کننده],FinancialAccountsTable[[#This Row],[نام حساب]],Tarakonesh[مبلغ (ریال)])</f>
        <v>3000</v>
      </c>
      <c r="J15" s="122">
        <f>SUMIF(Tarakonesh[دریافت کننده],FinancialAccountsTable[[#This Row],[نام حساب]],Tarakonesh[مبلغ (ریال)])</f>
        <v>520000</v>
      </c>
      <c r="K15" s="122">
        <f>(FinancialAccountsTable[[#This Row],[جمع دریافتی]]+FinancialAccountsTable[[#This Row],[موجودی اولیه]])-FinancialAccountsTable[[#This Row],[جمع پرداختی]]</f>
        <v>517000</v>
      </c>
      <c r="L15" s="53" t="str">
        <f>IF(FinancialAccountsTable[[#This Row],[مانده]]=0,"",IF(FinancialAccountsTable[[#This Row],[مانده]]&gt;0,"بدهکار","بستانکار"))</f>
        <v>بدهکار</v>
      </c>
    </row>
    <row r="16" spans="1:12" ht="24" customHeight="1" x14ac:dyDescent="0.25">
      <c r="A16" s="45">
        <v>3</v>
      </c>
      <c r="B16" s="45" t="s">
        <v>334</v>
      </c>
      <c r="C16" s="45"/>
      <c r="D16" s="52"/>
      <c r="E16" s="50" t="s">
        <v>128</v>
      </c>
      <c r="F16" s="56" t="s">
        <v>128</v>
      </c>
      <c r="G16" s="54" t="s">
        <v>128</v>
      </c>
      <c r="H16" s="53" t="s">
        <v>128</v>
      </c>
      <c r="I16" s="122">
        <f>SUMIF(Tarakonesh[پرداخت کننده],FinancialAccountsTable[[#This Row],[نام حساب]],Tarakonesh[مبلغ (ریال)])</f>
        <v>500000</v>
      </c>
      <c r="J16" s="122">
        <f>SUMIF(Tarakonesh[دریافت کننده],FinancialAccountsTable[[#This Row],[نام حساب]],Tarakonesh[مبلغ (ریال)])</f>
        <v>0</v>
      </c>
      <c r="K16" s="122">
        <f>(FinancialAccountsTable[[#This Row],[جمع دریافتی]]+FinancialAccountsTable[[#This Row],[موجودی اولیه]])-FinancialAccountsTable[[#This Row],[جمع پرداختی]]</f>
        <v>-500000</v>
      </c>
      <c r="L16" s="53" t="str">
        <f>IF(FinancialAccountsTable[[#This Row],[مانده]]=0,"",IF(FinancialAccountsTable[[#This Row],[مانده]]&gt;0,"بدهکار","بستانکار"))</f>
        <v>بستانکار</v>
      </c>
    </row>
    <row r="17" spans="1:12" ht="24" customHeight="1" x14ac:dyDescent="0.25">
      <c r="A17" s="45">
        <v>4</v>
      </c>
      <c r="B17" s="45"/>
      <c r="C17" s="45"/>
      <c r="D17" s="52"/>
      <c r="E17" s="50" t="s">
        <v>128</v>
      </c>
      <c r="F17" s="56" t="s">
        <v>128</v>
      </c>
      <c r="G17" s="54" t="s">
        <v>128</v>
      </c>
      <c r="H17" s="53" t="s">
        <v>128</v>
      </c>
      <c r="I17" s="122">
        <f>SUMIF(Tarakonesh[پرداخت کننده],FinancialAccountsTable[[#This Row],[نام حساب]],Tarakonesh[مبلغ (ریال)])</f>
        <v>0</v>
      </c>
      <c r="J17" s="122">
        <f>SUMIF(Tarakonesh[دریافت کننده],FinancialAccountsTable[[#This Row],[نام حساب]],Tarakonesh[مبلغ (ریال)])</f>
        <v>0</v>
      </c>
      <c r="K17" s="122">
        <f>(FinancialAccountsTable[[#This Row],[جمع دریافتی]]+FinancialAccountsTable[[#This Row],[موجودی اولیه]])-FinancialAccountsTable[[#This Row],[جمع پرداختی]]</f>
        <v>0</v>
      </c>
      <c r="L17" s="53" t="str">
        <f>IF(FinancialAccountsTable[[#This Row],[مانده]]=0,"",IF(FinancialAccountsTable[[#This Row],[مانده]]&gt;0,"بدهکار","بستانکار"))</f>
        <v/>
      </c>
    </row>
    <row r="18" spans="1:12" ht="24" customHeight="1" x14ac:dyDescent="0.25">
      <c r="A18" s="45" t="s">
        <v>155</v>
      </c>
      <c r="B18" s="71"/>
      <c r="C18" s="71"/>
      <c r="D18" s="52">
        <f>SUBTOTAL(109,FinancialAccountsTable[موجودی اولیه])</f>
        <v>2000000</v>
      </c>
      <c r="E18" s="68"/>
      <c r="F18" s="69"/>
      <c r="G18" s="70"/>
      <c r="H18" s="70"/>
      <c r="I18" s="123">
        <f>SUBTOTAL(109,FinancialAccountsTable[جمع پرداختی])</f>
        <v>603000</v>
      </c>
      <c r="J18" s="123">
        <f>SUBTOTAL(109,FinancialAccountsTable[جمع دریافتی])</f>
        <v>2040000</v>
      </c>
      <c r="K18" s="123">
        <f>SUBTOTAL(109,FinancialAccountsTable[مانده])</f>
        <v>3437000</v>
      </c>
      <c r="L18" s="70"/>
    </row>
    <row r="19" spans="1:12" ht="15.75" x14ac:dyDescent="0.25">
      <c r="A19" s="45"/>
      <c r="B19" s="45"/>
      <c r="C19" s="45"/>
      <c r="D19" s="52"/>
      <c r="E19" s="60"/>
      <c r="F19" s="61"/>
      <c r="G19" s="62"/>
      <c r="H19" s="53"/>
    </row>
    <row r="20" spans="1:12" ht="15.75" x14ac:dyDescent="0.25">
      <c r="A20" s="45"/>
      <c r="B20" s="45"/>
      <c r="C20" s="45"/>
      <c r="D20" s="52"/>
      <c r="E20" s="50"/>
      <c r="F20" s="56"/>
      <c r="G20" s="54"/>
      <c r="H20" s="53"/>
    </row>
  </sheetData>
  <dataValidations disablePrompts="1" count="2">
    <dataValidation type="textLength" operator="equal" allowBlank="1" showInputMessage="1" showErrorMessage="1" errorTitle="Error" error="کدملی یک عدد 10 رقمی است_x000a_" sqref="C6">
      <formula1>10</formula1>
    </dataValidation>
    <dataValidation operator="equal" allowBlank="1" showInputMessage="1" showErrorMessage="1" sqref="D6"/>
  </dataValidations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  <hyperlink ref="E6" r:id="rId1" display="Alireza13.m2@gmail.com"/>
  </hyperlinks>
  <pageMargins left="0.7" right="0.7" top="0.75" bottom="0.75" header="0.3" footer="0.3"/>
  <tableParts count="2">
    <tablePart r:id="rId2"/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theme="3"/>
  </sheetPr>
  <dimension ref="A1:J15"/>
  <sheetViews>
    <sheetView rightToLeft="1" workbookViewId="0">
      <pane ySplit="2" topLeftCell="A3" activePane="bottomLeft" state="frozen"/>
      <selection pane="bottomLeft" activeCell="B5" sqref="B5"/>
    </sheetView>
  </sheetViews>
  <sheetFormatPr defaultRowHeight="15" x14ac:dyDescent="0.25"/>
  <cols>
    <col min="1" max="2" width="18.28515625" customWidth="1"/>
    <col min="3" max="3" width="24.85546875" bestFit="1" customWidth="1"/>
    <col min="4" max="10" width="18.28515625" customWidth="1"/>
  </cols>
  <sheetData>
    <row r="1" spans="1:10" ht="23.25" customHeight="1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0" s="43" customFormat="1" ht="3.75" customHeight="1" x14ac:dyDescent="0.25"/>
    <row r="3" spans="1:10" ht="24" customHeight="1" x14ac:dyDescent="0.25">
      <c r="A3" s="57" t="s">
        <v>117</v>
      </c>
      <c r="B3" s="58" t="s">
        <v>145</v>
      </c>
      <c r="C3" t="s">
        <v>157</v>
      </c>
    </row>
    <row r="4" spans="1:10" ht="15.75" x14ac:dyDescent="0.25">
      <c r="A4" s="44" t="s">
        <v>118</v>
      </c>
      <c r="B4" s="44" t="s">
        <v>291</v>
      </c>
      <c r="C4" t="s">
        <v>161</v>
      </c>
    </row>
    <row r="5" spans="1:10" ht="15.75" x14ac:dyDescent="0.25">
      <c r="A5" s="44" t="s">
        <v>119</v>
      </c>
      <c r="B5" s="44" t="s">
        <v>315</v>
      </c>
      <c r="C5" t="s">
        <v>158</v>
      </c>
    </row>
    <row r="6" spans="1:10" ht="15.75" x14ac:dyDescent="0.25">
      <c r="A6" s="44" t="s">
        <v>147</v>
      </c>
      <c r="B6" s="44" t="s">
        <v>146</v>
      </c>
      <c r="C6" t="s">
        <v>159</v>
      </c>
    </row>
    <row r="7" spans="1:10" x14ac:dyDescent="0.25">
      <c r="C7" t="s">
        <v>316</v>
      </c>
    </row>
    <row r="8" spans="1:10" x14ac:dyDescent="0.25">
      <c r="C8" t="s">
        <v>162</v>
      </c>
    </row>
    <row r="9" spans="1:10" x14ac:dyDescent="0.25">
      <c r="C9" t="s">
        <v>78</v>
      </c>
    </row>
    <row r="10" spans="1:10" x14ac:dyDescent="0.25">
      <c r="C10" t="s">
        <v>160</v>
      </c>
    </row>
    <row r="12" spans="1:10" x14ac:dyDescent="0.25">
      <c r="G12" t="s">
        <v>109</v>
      </c>
    </row>
    <row r="13" spans="1:10" x14ac:dyDescent="0.25">
      <c r="G13" t="s">
        <v>110</v>
      </c>
    </row>
    <row r="14" spans="1:10" x14ac:dyDescent="0.25">
      <c r="G14" t="s">
        <v>111</v>
      </c>
    </row>
    <row r="15" spans="1:10" x14ac:dyDescent="0.25">
      <c r="G15" t="s">
        <v>112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  <tableParts count="3">
    <tablePart r:id="rId1"/>
    <tablePart r:id="rId2"/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499984740745262"/>
  </sheetPr>
  <dimension ref="A1:J10"/>
  <sheetViews>
    <sheetView rightToLeft="1"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1" width="18.28515625" customWidth="1"/>
    <col min="12" max="12" width="20.85546875" customWidth="1"/>
    <col min="13" max="13" width="28.7109375" customWidth="1"/>
  </cols>
  <sheetData>
    <row r="1" spans="1:10" ht="18.75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0" s="43" customFormat="1" ht="3" customHeight="1" x14ac:dyDescent="0.25"/>
    <row r="9" spans="1:10" x14ac:dyDescent="0.25">
      <c r="I9" s="1" t="s">
        <v>14</v>
      </c>
    </row>
    <row r="10" spans="1:10" ht="60" x14ac:dyDescent="0.25">
      <c r="I10" s="2" t="s">
        <v>15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D603C4B-B27A-4457-A9A4-A09A108F21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38</vt:i4>
      </vt:variant>
    </vt:vector>
  </HeadingPairs>
  <TitlesOfParts>
    <vt:vector size="62" baseType="lpstr">
      <vt:lpstr>چک نویس</vt:lpstr>
      <vt:lpstr>فهرست</vt:lpstr>
      <vt:lpstr>تراکنش‌ها</vt:lpstr>
      <vt:lpstr>بودجه بندی</vt:lpstr>
      <vt:lpstr>مدیریت وام و اقساط</vt:lpstr>
      <vt:lpstr>مدیریت چک‌ها</vt:lpstr>
      <vt:lpstr>مدیریت بدهی‌ها-طلب‌ها</vt:lpstr>
      <vt:lpstr>برنامه ریزی پرداخت‌ها</vt:lpstr>
      <vt:lpstr>تقویم</vt:lpstr>
      <vt:lpstr>گزارش فعالیت‌های ماه جاری</vt:lpstr>
      <vt:lpstr>گزارش دریافت‌ها</vt:lpstr>
      <vt:lpstr>گزارش پرداخت‌ها</vt:lpstr>
      <vt:lpstr>گزارش انتقال‌ها</vt:lpstr>
      <vt:lpstr>گروه‌‌های درآمدی</vt:lpstr>
      <vt:lpstr>گزارش گروه‌های دریافتی</vt:lpstr>
      <vt:lpstr>گروه‌‌های (بابت‌ها) هزینه</vt:lpstr>
      <vt:lpstr>گزارش گروه‌های پرداختی</vt:lpstr>
      <vt:lpstr>گروه‌های انتقال</vt:lpstr>
      <vt:lpstr>گزارش گروه‌های انتقال</vt:lpstr>
      <vt:lpstr>جست و جو</vt:lpstr>
      <vt:lpstr>دریافت کنندگان - پرداخت کنندگان</vt:lpstr>
      <vt:lpstr>تنظیمات حساب</vt:lpstr>
      <vt:lpstr>تنظیمات دفترچه</vt:lpstr>
      <vt:lpstr>راهنما</vt:lpstr>
      <vt:lpstr>AccountNamesList</vt:lpstr>
      <vt:lpstr>Accounts_and_ReceiversAndPayers_List</vt:lpstr>
      <vt:lpstr>RecipientsList</vt:lpstr>
      <vt:lpstr>TransactionMethodsList</vt:lpstr>
      <vt:lpstr>ارتباطات</vt:lpstr>
      <vt:lpstr>ایاب_و_ذهاب</vt:lpstr>
      <vt:lpstr>بهداشت_و_درمان</vt:lpstr>
      <vt:lpstr>بهداشت_و_نظافت_فردی</vt:lpstr>
      <vt:lpstr>بهداشت_و_نظافت_محیط</vt:lpstr>
      <vt:lpstr>بیمه</vt:lpstr>
      <vt:lpstr>پرداخت_اقساط</vt:lpstr>
      <vt:lpstr>پرداخت_هزینه</vt:lpstr>
      <vt:lpstr>پوشاک_و_کفش</vt:lpstr>
      <vt:lpstr>تشویقی‌ها_جوایز_و_عیدی‌ها</vt:lpstr>
      <vt:lpstr>حقوق</vt:lpstr>
      <vt:lpstr>خودرو</vt:lpstr>
      <vt:lpstr>خوراکی‌ها_و_آشامیدنی‌ها</vt:lpstr>
      <vt:lpstr>خیریه_و_امور_فرهنگی</vt:lpstr>
      <vt:lpstr>دخانیات</vt:lpstr>
      <vt:lpstr>درآمد_متفرقه</vt:lpstr>
      <vt:lpstr>دریافت_درآمد</vt:lpstr>
      <vt:lpstr>دریافت_رهن_و_اجاره</vt:lpstr>
      <vt:lpstr>دریافت_وام</vt:lpstr>
      <vt:lpstr>دستمزد</vt:lpstr>
      <vt:lpstr>دوچرخه</vt:lpstr>
      <vt:lpstr>زیورآلات_سرمایه</vt:lpstr>
      <vt:lpstr>زیورآلات_غیر‌سرمایه</vt:lpstr>
      <vt:lpstr>سرمایه‌گذاری</vt:lpstr>
      <vt:lpstr>سفر_و_گردش</vt:lpstr>
      <vt:lpstr>سود_سرمایه‌گذاری</vt:lpstr>
      <vt:lpstr>صورتحساب‌های_مسکن</vt:lpstr>
      <vt:lpstr>فراغت_و_سرگرمی</vt:lpstr>
      <vt:lpstr>مالیات</vt:lpstr>
      <vt:lpstr>مدرک_و_تحصیل</vt:lpstr>
      <vt:lpstr>منفعت_کسب</vt:lpstr>
      <vt:lpstr>هدیه</vt:lpstr>
      <vt:lpstr>ورزش</vt:lpstr>
      <vt:lpstr>یادگیری_و_توسعه_فردی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Saya Monem</dc:creator>
  <cp:lastModifiedBy>Saya Monem</cp:lastModifiedBy>
  <dcterms:created xsi:type="dcterms:W3CDTF">2021-06-20T04:07:24Z</dcterms:created>
  <dcterms:modified xsi:type="dcterms:W3CDTF">2021-08-17T19:22:24Z</dcterms:modified>
</cp:coreProperties>
</file>